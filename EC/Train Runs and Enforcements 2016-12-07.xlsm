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Runs'!$A$12:$AG$232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1" i="9" l="1"/>
  <c r="C81" i="9" s="1"/>
  <c r="B82" i="9"/>
  <c r="B83" i="9"/>
  <c r="C83" i="9" s="1"/>
  <c r="B84" i="9"/>
  <c r="B85" i="9"/>
  <c r="C85" i="9" s="1"/>
  <c r="B86" i="9"/>
  <c r="B87" i="9"/>
  <c r="X196" i="1"/>
  <c r="X197" i="1"/>
  <c r="X198" i="1"/>
  <c r="X199" i="1"/>
  <c r="X200" i="1"/>
  <c r="X201" i="1"/>
  <c r="K199" i="1"/>
  <c r="L199" i="1"/>
  <c r="M199" i="1"/>
  <c r="V199" i="1"/>
  <c r="Y199" i="1"/>
  <c r="Z199" i="1"/>
  <c r="AA199" i="1" s="1"/>
  <c r="AB199" i="1"/>
  <c r="AC199" i="1"/>
  <c r="AD199" i="1"/>
  <c r="T199" i="1" s="1"/>
  <c r="AE199" i="1"/>
  <c r="AF199" i="1"/>
  <c r="AH199" i="1"/>
  <c r="P197" i="1"/>
  <c r="K197" i="1"/>
  <c r="L197" i="1"/>
  <c r="M197" i="1"/>
  <c r="V197" i="1"/>
  <c r="Y197" i="1"/>
  <c r="Z197" i="1"/>
  <c r="AA197" i="1" s="1"/>
  <c r="AB197" i="1"/>
  <c r="AC197" i="1"/>
  <c r="AD197" i="1"/>
  <c r="T197" i="1" s="1"/>
  <c r="AE197" i="1"/>
  <c r="AF197" i="1"/>
  <c r="AH197" i="1"/>
  <c r="P127" i="1"/>
  <c r="K127" i="1"/>
  <c r="L127" i="1"/>
  <c r="M127" i="1"/>
  <c r="V127" i="1"/>
  <c r="Y127" i="1"/>
  <c r="Z127" i="1"/>
  <c r="AA127" i="1" s="1"/>
  <c r="AB127" i="1"/>
  <c r="AC127" i="1"/>
  <c r="AD127" i="1"/>
  <c r="T127" i="1" s="1"/>
  <c r="AE127" i="1"/>
  <c r="AF127" i="1"/>
  <c r="AH127" i="1"/>
  <c r="X126" i="1"/>
  <c r="X129" i="1"/>
  <c r="X130" i="1"/>
  <c r="P194" i="1"/>
  <c r="P160" i="1"/>
  <c r="P157" i="1"/>
  <c r="X155" i="1"/>
  <c r="X156" i="1"/>
  <c r="X157" i="1"/>
  <c r="X160" i="1"/>
  <c r="X161" i="1"/>
  <c r="P144" i="1"/>
  <c r="X112" i="1"/>
  <c r="X113" i="1"/>
  <c r="X114" i="1"/>
  <c r="X115" i="1"/>
  <c r="X116" i="1"/>
  <c r="X117" i="1"/>
  <c r="X118" i="1"/>
  <c r="X119" i="1"/>
  <c r="X71" i="1"/>
  <c r="P56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G14" i="1"/>
  <c r="AH14" i="1"/>
  <c r="K15" i="1"/>
  <c r="L15" i="1"/>
  <c r="M15" i="1"/>
  <c r="N15" i="1" s="1"/>
  <c r="V15" i="1"/>
  <c r="Y15" i="1"/>
  <c r="Z15" i="1"/>
  <c r="AB15" i="1"/>
  <c r="AC15" i="1"/>
  <c r="AD15" i="1"/>
  <c r="AG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P17" i="1" s="1"/>
  <c r="V17" i="1"/>
  <c r="Y17" i="1"/>
  <c r="Z17" i="1"/>
  <c r="AB17" i="1"/>
  <c r="AC17" i="1"/>
  <c r="AD17" i="1"/>
  <c r="T17" i="1" s="1"/>
  <c r="AE17" i="1"/>
  <c r="R15" i="3" s="1"/>
  <c r="AF17" i="1"/>
  <c r="AH17" i="1"/>
  <c r="K18" i="1"/>
  <c r="L18" i="1"/>
  <c r="M18" i="1"/>
  <c r="N18" i="1" s="1"/>
  <c r="V18" i="1"/>
  <c r="Y18" i="1"/>
  <c r="Z18" i="1"/>
  <c r="AB18" i="1"/>
  <c r="AC18" i="1"/>
  <c r="AD18" i="1"/>
  <c r="AG18" i="1" s="1"/>
  <c r="AE18" i="1"/>
  <c r="AF18" i="1"/>
  <c r="AH18" i="1"/>
  <c r="K19" i="1"/>
  <c r="L19" i="1"/>
  <c r="M19" i="1"/>
  <c r="N19" i="1" s="1"/>
  <c r="V19" i="1"/>
  <c r="S17" i="3" s="1"/>
  <c r="Y19" i="1"/>
  <c r="Z19" i="1"/>
  <c r="AB19" i="1"/>
  <c r="AC19" i="1"/>
  <c r="AD19" i="1"/>
  <c r="T19" i="1" s="1"/>
  <c r="AE19" i="1"/>
  <c r="R17" i="3" s="1"/>
  <c r="AF19" i="1"/>
  <c r="AH19" i="1"/>
  <c r="K20" i="1"/>
  <c r="L20" i="1"/>
  <c r="M20" i="1"/>
  <c r="N20" i="1" s="1"/>
  <c r="V20" i="1"/>
  <c r="Y20" i="1"/>
  <c r="Z20" i="1"/>
  <c r="AB20" i="1"/>
  <c r="AC20" i="1"/>
  <c r="AD20" i="1"/>
  <c r="X20" i="1" s="1"/>
  <c r="AE20" i="1"/>
  <c r="AF20" i="1"/>
  <c r="AH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K22" i="1"/>
  <c r="L22" i="1"/>
  <c r="M22" i="1"/>
  <c r="N22" i="1" s="1"/>
  <c r="V22" i="1"/>
  <c r="Y22" i="1"/>
  <c r="Z22" i="1"/>
  <c r="AB22" i="1"/>
  <c r="AC22" i="1"/>
  <c r="AD22" i="1"/>
  <c r="AG22" i="1" s="1"/>
  <c r="AE22" i="1"/>
  <c r="AF22" i="1"/>
  <c r="AH22" i="1"/>
  <c r="K23" i="1"/>
  <c r="L23" i="1"/>
  <c r="M23" i="1"/>
  <c r="N23" i="1" s="1"/>
  <c r="V23" i="1"/>
  <c r="Y23" i="1"/>
  <c r="Z23" i="1"/>
  <c r="AB23" i="1"/>
  <c r="AC23" i="1"/>
  <c r="AD23" i="1"/>
  <c r="T23" i="1" s="1"/>
  <c r="AE23" i="1"/>
  <c r="AF23" i="1"/>
  <c r="AH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T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AG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H27" i="1"/>
  <c r="K28" i="1"/>
  <c r="L28" i="1"/>
  <c r="M28" i="1"/>
  <c r="N28" i="1" s="1"/>
  <c r="V28" i="1"/>
  <c r="S20" i="3" s="1"/>
  <c r="Y28" i="1"/>
  <c r="Z28" i="1"/>
  <c r="AB28" i="1"/>
  <c r="AC28" i="1"/>
  <c r="AD28" i="1"/>
  <c r="AE28" i="1"/>
  <c r="R20" i="3" s="1"/>
  <c r="AF28" i="1"/>
  <c r="AH28" i="1"/>
  <c r="K29" i="1"/>
  <c r="L29" i="1"/>
  <c r="M29" i="1"/>
  <c r="V29" i="1"/>
  <c r="Y29" i="1"/>
  <c r="Z29" i="1"/>
  <c r="AB29" i="1"/>
  <c r="AC29" i="1"/>
  <c r="AD29" i="1"/>
  <c r="T29" i="1" s="1"/>
  <c r="AE29" i="1"/>
  <c r="AF29" i="1"/>
  <c r="AH29" i="1"/>
  <c r="K30" i="1"/>
  <c r="L30" i="1"/>
  <c r="M30" i="1"/>
  <c r="V30" i="1"/>
  <c r="Y30" i="1"/>
  <c r="Z30" i="1"/>
  <c r="AB30" i="1"/>
  <c r="AC30" i="1"/>
  <c r="AD30" i="1"/>
  <c r="AG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T31" i="1" s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AE32" i="1"/>
  <c r="R10" i="3" s="1"/>
  <c r="AF32" i="1"/>
  <c r="AH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K34" i="1"/>
  <c r="L34" i="1"/>
  <c r="M34" i="1"/>
  <c r="N34" i="1" s="1"/>
  <c r="V34" i="1"/>
  <c r="S27" i="3" s="1"/>
  <c r="Y34" i="1"/>
  <c r="Z34" i="1"/>
  <c r="AB34" i="1"/>
  <c r="AC34" i="1"/>
  <c r="AD34" i="1"/>
  <c r="AG34" i="1" s="1"/>
  <c r="AE34" i="1"/>
  <c r="R27" i="3" s="1"/>
  <c r="AF34" i="1"/>
  <c r="AH34" i="1"/>
  <c r="K35" i="1"/>
  <c r="L35" i="1"/>
  <c r="M35" i="1"/>
  <c r="N35" i="1" s="1"/>
  <c r="V35" i="1"/>
  <c r="Y35" i="1"/>
  <c r="Z35" i="1"/>
  <c r="AB35" i="1"/>
  <c r="AC35" i="1"/>
  <c r="AD35" i="1"/>
  <c r="T35" i="1" s="1"/>
  <c r="AE35" i="1"/>
  <c r="AF35" i="1"/>
  <c r="AH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AG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K41" i="1"/>
  <c r="L41" i="1"/>
  <c r="M41" i="1"/>
  <c r="N41" i="1" s="1"/>
  <c r="V41" i="1"/>
  <c r="Y41" i="1"/>
  <c r="Z41" i="1"/>
  <c r="AB41" i="1"/>
  <c r="AC41" i="1"/>
  <c r="AD41" i="1"/>
  <c r="T41" i="1" s="1"/>
  <c r="AE41" i="1"/>
  <c r="AF41" i="1"/>
  <c r="AH41" i="1"/>
  <c r="K42" i="1"/>
  <c r="L42" i="1"/>
  <c r="M42" i="1"/>
  <c r="N42" i="1" s="1"/>
  <c r="V42" i="1"/>
  <c r="Y42" i="1"/>
  <c r="Z42" i="1"/>
  <c r="AB42" i="1"/>
  <c r="AC42" i="1"/>
  <c r="AD42" i="1"/>
  <c r="AG42" i="1" s="1"/>
  <c r="AE42" i="1"/>
  <c r="AF42" i="1"/>
  <c r="AH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AG46" i="1" s="1"/>
  <c r="AE46" i="1"/>
  <c r="AF46" i="1"/>
  <c r="AH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K48" i="1"/>
  <c r="L48" i="1"/>
  <c r="M48" i="1"/>
  <c r="N48" i="1" s="1"/>
  <c r="V48" i="1"/>
  <c r="Y48" i="1"/>
  <c r="Z48" i="1"/>
  <c r="AB48" i="1"/>
  <c r="AC48" i="1"/>
  <c r="AD48" i="1"/>
  <c r="X48" i="1" s="1"/>
  <c r="AE48" i="1"/>
  <c r="AF48" i="1"/>
  <c r="AH48" i="1"/>
  <c r="K49" i="1"/>
  <c r="L49" i="1"/>
  <c r="M49" i="1"/>
  <c r="N49" i="1" s="1"/>
  <c r="V49" i="1"/>
  <c r="Y49" i="1"/>
  <c r="Z49" i="1"/>
  <c r="AB49" i="1"/>
  <c r="AC49" i="1"/>
  <c r="AD49" i="1"/>
  <c r="AG49" i="1" s="1"/>
  <c r="AE49" i="1"/>
  <c r="AF49" i="1"/>
  <c r="AH49" i="1"/>
  <c r="K50" i="1"/>
  <c r="L50" i="1"/>
  <c r="M50" i="1"/>
  <c r="N50" i="1" s="1"/>
  <c r="V50" i="1"/>
  <c r="Y50" i="1"/>
  <c r="AA50" i="1" s="1"/>
  <c r="Z50" i="1"/>
  <c r="AB50" i="1"/>
  <c r="AC50" i="1"/>
  <c r="AD50" i="1"/>
  <c r="AG50" i="1" s="1"/>
  <c r="AE50" i="1"/>
  <c r="AF50" i="1"/>
  <c r="AH50" i="1"/>
  <c r="AI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K52" i="1"/>
  <c r="L52" i="1"/>
  <c r="M52" i="1"/>
  <c r="N52" i="1" s="1"/>
  <c r="T52" i="1"/>
  <c r="V52" i="1"/>
  <c r="Y52" i="1"/>
  <c r="Z52" i="1"/>
  <c r="AB52" i="1"/>
  <c r="AC52" i="1"/>
  <c r="AD52" i="1"/>
  <c r="AE52" i="1"/>
  <c r="AF52" i="1"/>
  <c r="AG52" i="1"/>
  <c r="AH52" i="1"/>
  <c r="K53" i="1"/>
  <c r="L53" i="1"/>
  <c r="M53" i="1"/>
  <c r="N53" i="1" s="1"/>
  <c r="V53" i="1"/>
  <c r="Y53" i="1"/>
  <c r="Z53" i="1"/>
  <c r="AB53" i="1"/>
  <c r="AC53" i="1"/>
  <c r="AD53" i="1"/>
  <c r="AG53" i="1" s="1"/>
  <c r="AE53" i="1"/>
  <c r="AF53" i="1"/>
  <c r="AH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K56" i="1"/>
  <c r="L56" i="1"/>
  <c r="M56" i="1"/>
  <c r="V56" i="1"/>
  <c r="Y56" i="1"/>
  <c r="Z56" i="1"/>
  <c r="AB56" i="1"/>
  <c r="AC56" i="1"/>
  <c r="AD56" i="1"/>
  <c r="AG56" i="1" s="1"/>
  <c r="AE56" i="1"/>
  <c r="AF56" i="1"/>
  <c r="AH56" i="1"/>
  <c r="K57" i="1"/>
  <c r="L57" i="1"/>
  <c r="M57" i="1"/>
  <c r="V57" i="1"/>
  <c r="Y57" i="1"/>
  <c r="Z57" i="1"/>
  <c r="AB57" i="1"/>
  <c r="AC57" i="1"/>
  <c r="AD57" i="1"/>
  <c r="AG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K60" i="1"/>
  <c r="L60" i="1"/>
  <c r="M60" i="1"/>
  <c r="N60" i="1" s="1"/>
  <c r="V60" i="1"/>
  <c r="S19" i="3" s="1"/>
  <c r="Y60" i="1"/>
  <c r="Z60" i="1"/>
  <c r="AB60" i="1"/>
  <c r="AC60" i="1"/>
  <c r="AD60" i="1"/>
  <c r="T60" i="1" s="1"/>
  <c r="AE60" i="1"/>
  <c r="R19" i="3" s="1"/>
  <c r="AF60" i="1"/>
  <c r="AH60" i="1"/>
  <c r="K61" i="1"/>
  <c r="L61" i="1"/>
  <c r="M61" i="1"/>
  <c r="N61" i="1" s="1"/>
  <c r="V61" i="1"/>
  <c r="Y61" i="1"/>
  <c r="Z61" i="1"/>
  <c r="AB61" i="1"/>
  <c r="AC61" i="1"/>
  <c r="AD61" i="1"/>
  <c r="AG61" i="1" s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K64" i="1"/>
  <c r="L64" i="1"/>
  <c r="M64" i="1"/>
  <c r="N64" i="1" s="1"/>
  <c r="V64" i="1"/>
  <c r="S9" i="3" s="1"/>
  <c r="Y64" i="1"/>
  <c r="Z64" i="1"/>
  <c r="AB64" i="1"/>
  <c r="AC64" i="1"/>
  <c r="AD64" i="1"/>
  <c r="T64" i="1" s="1"/>
  <c r="AE64" i="1"/>
  <c r="R22" i="3" s="1"/>
  <c r="AF64" i="1"/>
  <c r="AH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K67" i="1"/>
  <c r="L67" i="1"/>
  <c r="M67" i="1"/>
  <c r="N67" i="1" s="1"/>
  <c r="V67" i="1"/>
  <c r="Y67" i="1"/>
  <c r="Z67" i="1"/>
  <c r="AB67" i="1"/>
  <c r="AC67" i="1"/>
  <c r="AD67" i="1"/>
  <c r="X67" i="1" s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K70" i="1"/>
  <c r="L70" i="1"/>
  <c r="M70" i="1"/>
  <c r="N70" i="1" s="1"/>
  <c r="V70" i="1"/>
  <c r="Y70" i="1"/>
  <c r="Z70" i="1"/>
  <c r="AA70" i="1" s="1"/>
  <c r="AB70" i="1"/>
  <c r="AC70" i="1"/>
  <c r="AD70" i="1"/>
  <c r="T70" i="1" s="1"/>
  <c r="AE70" i="1"/>
  <c r="AF70" i="1"/>
  <c r="AG70" i="1"/>
  <c r="AI70" i="1" s="1"/>
  <c r="AH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AG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S23" i="3" s="1"/>
  <c r="Y74" i="1"/>
  <c r="Z74" i="1"/>
  <c r="AB74" i="1"/>
  <c r="AC74" i="1"/>
  <c r="AD74" i="1"/>
  <c r="AG74" i="1" s="1"/>
  <c r="AE74" i="1"/>
  <c r="R23" i="3" s="1"/>
  <c r="AF74" i="1"/>
  <c r="AH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 s="1"/>
  <c r="V80" i="1"/>
  <c r="Y80" i="1"/>
  <c r="Z80" i="1"/>
  <c r="AB80" i="1"/>
  <c r="AC80" i="1"/>
  <c r="AD80" i="1"/>
  <c r="AG80" i="1" s="1"/>
  <c r="AE80" i="1"/>
  <c r="AF80" i="1"/>
  <c r="AH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K82" i="1"/>
  <c r="L82" i="1"/>
  <c r="M82" i="1"/>
  <c r="N82" i="1" s="1"/>
  <c r="V82" i="1"/>
  <c r="S12" i="3" s="1"/>
  <c r="Y82" i="1"/>
  <c r="Z82" i="1"/>
  <c r="AB82" i="1"/>
  <c r="AC82" i="1"/>
  <c r="AD82" i="1"/>
  <c r="T82" i="1" s="1"/>
  <c r="AE82" i="1"/>
  <c r="R12" i="3" s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E88" i="1"/>
  <c r="AF88" i="1"/>
  <c r="AH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K92" i="1"/>
  <c r="L92" i="1"/>
  <c r="M92" i="1"/>
  <c r="N92" i="1" s="1"/>
  <c r="V92" i="1"/>
  <c r="Y92" i="1"/>
  <c r="Z92" i="1"/>
  <c r="AB92" i="1"/>
  <c r="AC92" i="1"/>
  <c r="AD92" i="1"/>
  <c r="AG92" i="1" s="1"/>
  <c r="AI92" i="1" s="1"/>
  <c r="AE92" i="1"/>
  <c r="AF92" i="1"/>
  <c r="AH92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93" i="1"/>
  <c r="K94" i="1"/>
  <c r="L94" i="1"/>
  <c r="M94" i="1"/>
  <c r="N94" i="1" s="1"/>
  <c r="V94" i="1"/>
  <c r="S24" i="3" s="1"/>
  <c r="Y94" i="1"/>
  <c r="Z94" i="1"/>
  <c r="AB94" i="1"/>
  <c r="AC94" i="1"/>
  <c r="AD94" i="1"/>
  <c r="AG94" i="1" s="1"/>
  <c r="AE94" i="1"/>
  <c r="R24" i="3" s="1"/>
  <c r="AF94" i="1"/>
  <c r="AH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AF96" i="1"/>
  <c r="AH96" i="1"/>
  <c r="AI96" i="1"/>
  <c r="K97" i="1"/>
  <c r="L97" i="1"/>
  <c r="M97" i="1"/>
  <c r="N97" i="1" s="1"/>
  <c r="V97" i="1"/>
  <c r="Y97" i="1"/>
  <c r="Z97" i="1"/>
  <c r="AA97" i="1" s="1"/>
  <c r="AB97" i="1"/>
  <c r="AC97" i="1"/>
  <c r="AD97" i="1"/>
  <c r="AE97" i="1"/>
  <c r="AF97" i="1"/>
  <c r="AH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H98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99" i="1"/>
  <c r="K100" i="1"/>
  <c r="L100" i="1"/>
  <c r="M100" i="1"/>
  <c r="N100" i="1" s="1"/>
  <c r="V100" i="1"/>
  <c r="Y100" i="1"/>
  <c r="Z100" i="1"/>
  <c r="AI100" i="1" s="1"/>
  <c r="AB100" i="1"/>
  <c r="AC100" i="1"/>
  <c r="AD100" i="1"/>
  <c r="AG100" i="1" s="1"/>
  <c r="AE100" i="1"/>
  <c r="AF100" i="1"/>
  <c r="AH100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01" i="1"/>
  <c r="K102" i="1"/>
  <c r="L102" i="1"/>
  <c r="M102" i="1"/>
  <c r="N102" i="1" s="1"/>
  <c r="V102" i="1"/>
  <c r="Y102" i="1"/>
  <c r="Z102" i="1"/>
  <c r="AB102" i="1"/>
  <c r="AC102" i="1"/>
  <c r="AD102" i="1"/>
  <c r="AE102" i="1"/>
  <c r="AF102" i="1"/>
  <c r="AH102" i="1"/>
  <c r="K103" i="1"/>
  <c r="L103" i="1"/>
  <c r="M103" i="1"/>
  <c r="N103" i="1" s="1"/>
  <c r="V103" i="1"/>
  <c r="Y103" i="1"/>
  <c r="Z103" i="1"/>
  <c r="AB103" i="1"/>
  <c r="AC103" i="1"/>
  <c r="AD103" i="1"/>
  <c r="AE103" i="1"/>
  <c r="AF103" i="1"/>
  <c r="AH103" i="1"/>
  <c r="K104" i="1"/>
  <c r="L104" i="1"/>
  <c r="M104" i="1"/>
  <c r="N104" i="1" s="1"/>
  <c r="V104" i="1"/>
  <c r="Y104" i="1"/>
  <c r="Z104" i="1"/>
  <c r="AA104" i="1" s="1"/>
  <c r="AB104" i="1"/>
  <c r="AC104" i="1"/>
  <c r="AD104" i="1"/>
  <c r="AE104" i="1"/>
  <c r="AF104" i="1"/>
  <c r="AH104" i="1"/>
  <c r="K105" i="1"/>
  <c r="L105" i="1"/>
  <c r="M105" i="1"/>
  <c r="N105" i="1" s="1"/>
  <c r="V105" i="1"/>
  <c r="Y105" i="1"/>
  <c r="Z105" i="1"/>
  <c r="AB105" i="1"/>
  <c r="AC105" i="1"/>
  <c r="AD105" i="1"/>
  <c r="X105" i="1" s="1"/>
  <c r="AE105" i="1"/>
  <c r="AF105" i="1"/>
  <c r="AH105" i="1"/>
  <c r="K106" i="1"/>
  <c r="L106" i="1"/>
  <c r="M106" i="1"/>
  <c r="N106" i="1" s="1"/>
  <c r="V106" i="1"/>
  <c r="Y106" i="1"/>
  <c r="Z106" i="1"/>
  <c r="AA106" i="1" s="1"/>
  <c r="AB106" i="1"/>
  <c r="AC106" i="1"/>
  <c r="AD106" i="1"/>
  <c r="AG106" i="1" s="1"/>
  <c r="AE106" i="1"/>
  <c r="AF106" i="1"/>
  <c r="AH106" i="1"/>
  <c r="K107" i="1"/>
  <c r="L107" i="1"/>
  <c r="M107" i="1"/>
  <c r="N107" i="1" s="1"/>
  <c r="V107" i="1"/>
  <c r="S11" i="3" s="1"/>
  <c r="Y107" i="1"/>
  <c r="Z107" i="1"/>
  <c r="AA107" i="1" s="1"/>
  <c r="AB107" i="1"/>
  <c r="AC107" i="1"/>
  <c r="AD107" i="1"/>
  <c r="T107" i="1" s="1"/>
  <c r="AE107" i="1"/>
  <c r="R8" i="3" s="1"/>
  <c r="AF107" i="1"/>
  <c r="AH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G108" i="1"/>
  <c r="AH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K110" i="1"/>
  <c r="L110" i="1"/>
  <c r="M110" i="1"/>
  <c r="N110" i="1" s="1"/>
  <c r="V110" i="1"/>
  <c r="Y110" i="1"/>
  <c r="Z110" i="1"/>
  <c r="AB110" i="1"/>
  <c r="AC110" i="1"/>
  <c r="AD110" i="1"/>
  <c r="AG110" i="1" s="1"/>
  <c r="AE110" i="1"/>
  <c r="AF110" i="1"/>
  <c r="AH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K113" i="1"/>
  <c r="L113" i="1"/>
  <c r="M113" i="1"/>
  <c r="N113" i="1" s="1"/>
  <c r="V113" i="1"/>
  <c r="Y113" i="1"/>
  <c r="Z113" i="1"/>
  <c r="AI113" i="1" s="1"/>
  <c r="AB113" i="1"/>
  <c r="AC113" i="1"/>
  <c r="AD113" i="1"/>
  <c r="AG113" i="1" s="1"/>
  <c r="AE113" i="1"/>
  <c r="AF113" i="1"/>
  <c r="AH113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K116" i="1"/>
  <c r="L116" i="1"/>
  <c r="M116" i="1"/>
  <c r="N116" i="1" s="1"/>
  <c r="V116" i="1"/>
  <c r="S25" i="3" s="1"/>
  <c r="Y116" i="1"/>
  <c r="Z116" i="1"/>
  <c r="AB116" i="1"/>
  <c r="AC116" i="1"/>
  <c r="AD116" i="1"/>
  <c r="AE116" i="1"/>
  <c r="AF116" i="1"/>
  <c r="AH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E117" i="1"/>
  <c r="AF117" i="1"/>
  <c r="AH117" i="1"/>
  <c r="K118" i="1"/>
  <c r="L118" i="1"/>
  <c r="M118" i="1"/>
  <c r="N118" i="1"/>
  <c r="V118" i="1"/>
  <c r="Y118" i="1"/>
  <c r="Z118" i="1"/>
  <c r="AB118" i="1"/>
  <c r="AC118" i="1"/>
  <c r="AD118" i="1"/>
  <c r="T118" i="1" s="1"/>
  <c r="AE118" i="1"/>
  <c r="AF118" i="1"/>
  <c r="AH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K121" i="1"/>
  <c r="L121" i="1"/>
  <c r="M121" i="1"/>
  <c r="N121" i="1" s="1"/>
  <c r="V121" i="1"/>
  <c r="Y121" i="1"/>
  <c r="AA121" i="1" s="1"/>
  <c r="Z121" i="1"/>
  <c r="AB121" i="1"/>
  <c r="AC121" i="1"/>
  <c r="AD121" i="1"/>
  <c r="AG121" i="1" s="1"/>
  <c r="AE121" i="1"/>
  <c r="AF121" i="1"/>
  <c r="AH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K123" i="1"/>
  <c r="L123" i="1"/>
  <c r="M123" i="1"/>
  <c r="N123" i="1" s="1"/>
  <c r="V123" i="1"/>
  <c r="Y123" i="1"/>
  <c r="Z123" i="1"/>
  <c r="AB123" i="1"/>
  <c r="AC123" i="1"/>
  <c r="AD123" i="1"/>
  <c r="T123" i="1" s="1"/>
  <c r="AE123" i="1"/>
  <c r="AF123" i="1"/>
  <c r="AH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K125" i="1"/>
  <c r="L125" i="1"/>
  <c r="M125" i="1"/>
  <c r="N125" i="1"/>
  <c r="V125" i="1"/>
  <c r="Y125" i="1"/>
  <c r="Z125" i="1"/>
  <c r="AB125" i="1"/>
  <c r="AC125" i="1"/>
  <c r="AD125" i="1"/>
  <c r="AG125" i="1" s="1"/>
  <c r="AE125" i="1"/>
  <c r="AF125" i="1"/>
  <c r="AH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26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G128" i="1"/>
  <c r="AH128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H129" i="1"/>
  <c r="K130" i="1"/>
  <c r="L130" i="1"/>
  <c r="M130" i="1"/>
  <c r="N130" i="1" s="1"/>
  <c r="V130" i="1"/>
  <c r="S26" i="3" s="1"/>
  <c r="Y130" i="1"/>
  <c r="AA130" i="1" s="1"/>
  <c r="Z130" i="1"/>
  <c r="AB130" i="1"/>
  <c r="AC130" i="1"/>
  <c r="AD130" i="1"/>
  <c r="AG130" i="1" s="1"/>
  <c r="AE130" i="1"/>
  <c r="R26" i="3" s="1"/>
  <c r="AF130" i="1"/>
  <c r="AH130" i="1"/>
  <c r="K131" i="1"/>
  <c r="L131" i="1"/>
  <c r="M131" i="1"/>
  <c r="N131" i="1"/>
  <c r="V131" i="1"/>
  <c r="Y131" i="1"/>
  <c r="Z131" i="1"/>
  <c r="AB131" i="1"/>
  <c r="AC131" i="1"/>
  <c r="AD131" i="1"/>
  <c r="T131" i="1" s="1"/>
  <c r="AE131" i="1"/>
  <c r="AF131" i="1"/>
  <c r="AH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I133" i="1" s="1"/>
  <c r="AE133" i="1"/>
  <c r="AF133" i="1"/>
  <c r="AH133" i="1"/>
  <c r="K134" i="1"/>
  <c r="L134" i="1"/>
  <c r="M134" i="1"/>
  <c r="N134" i="1"/>
  <c r="V134" i="1"/>
  <c r="Y134" i="1"/>
  <c r="Z134" i="1"/>
  <c r="AB134" i="1"/>
  <c r="AC134" i="1"/>
  <c r="AD134" i="1"/>
  <c r="AG134" i="1" s="1"/>
  <c r="AE134" i="1"/>
  <c r="AF134" i="1"/>
  <c r="AH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R16" i="3" s="1"/>
  <c r="AF135" i="1"/>
  <c r="AH135" i="1"/>
  <c r="K136" i="1"/>
  <c r="L136" i="1"/>
  <c r="M136" i="1"/>
  <c r="N136" i="1" s="1"/>
  <c r="V136" i="1"/>
  <c r="Y136" i="1"/>
  <c r="Z136" i="1"/>
  <c r="AA136" i="1" s="1"/>
  <c r="AB136" i="1"/>
  <c r="AC136" i="1"/>
  <c r="AD136" i="1"/>
  <c r="T136" i="1" s="1"/>
  <c r="AE136" i="1"/>
  <c r="AF136" i="1"/>
  <c r="AH136" i="1"/>
  <c r="K137" i="1"/>
  <c r="L137" i="1"/>
  <c r="M137" i="1"/>
  <c r="N137" i="1" s="1"/>
  <c r="V137" i="1"/>
  <c r="Y137" i="1"/>
  <c r="Z137" i="1"/>
  <c r="AA137" i="1" s="1"/>
  <c r="AB137" i="1"/>
  <c r="AC137" i="1"/>
  <c r="AD137" i="1"/>
  <c r="T137" i="1" s="1"/>
  <c r="AE137" i="1"/>
  <c r="AF137" i="1"/>
  <c r="AH137" i="1"/>
  <c r="K138" i="1"/>
  <c r="L138" i="1"/>
  <c r="M138" i="1"/>
  <c r="N138" i="1" s="1"/>
  <c r="V138" i="1"/>
  <c r="Y138" i="1"/>
  <c r="Z138" i="1"/>
  <c r="AB138" i="1"/>
  <c r="AC138" i="1"/>
  <c r="AD138" i="1"/>
  <c r="AG138" i="1" s="1"/>
  <c r="AE138" i="1"/>
  <c r="AF138" i="1"/>
  <c r="AH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K141" i="1"/>
  <c r="L141" i="1"/>
  <c r="M141" i="1"/>
  <c r="N141" i="1" s="1"/>
  <c r="V141" i="1"/>
  <c r="Y141" i="1"/>
  <c r="Z141" i="1"/>
  <c r="AB141" i="1"/>
  <c r="AC141" i="1"/>
  <c r="AD141" i="1"/>
  <c r="X141" i="1" s="1"/>
  <c r="AE141" i="1"/>
  <c r="AF141" i="1"/>
  <c r="AH141" i="1"/>
  <c r="K142" i="1"/>
  <c r="L142" i="1"/>
  <c r="M142" i="1"/>
  <c r="N142" i="1" s="1"/>
  <c r="V142" i="1"/>
  <c r="Y142" i="1"/>
  <c r="Z142" i="1"/>
  <c r="AA142" i="1" s="1"/>
  <c r="W142" i="1" s="1"/>
  <c r="AB142" i="1"/>
  <c r="AC142" i="1"/>
  <c r="AD142" i="1"/>
  <c r="AG142" i="1" s="1"/>
  <c r="AE142" i="1"/>
  <c r="AF142" i="1"/>
  <c r="AH142" i="1"/>
  <c r="K143" i="1"/>
  <c r="L143" i="1"/>
  <c r="M143" i="1"/>
  <c r="N143" i="1" s="1"/>
  <c r="V143" i="1"/>
  <c r="Y143" i="1"/>
  <c r="Z143" i="1"/>
  <c r="AB143" i="1"/>
  <c r="AC143" i="1"/>
  <c r="AD143" i="1"/>
  <c r="T143" i="1" s="1"/>
  <c r="AE143" i="1"/>
  <c r="AF143" i="1"/>
  <c r="AH143" i="1"/>
  <c r="K144" i="1"/>
  <c r="L144" i="1"/>
  <c r="M144" i="1"/>
  <c r="V144" i="1"/>
  <c r="Y144" i="1"/>
  <c r="Z144" i="1"/>
  <c r="AB144" i="1"/>
  <c r="AC144" i="1"/>
  <c r="AD144" i="1"/>
  <c r="T144" i="1" s="1"/>
  <c r="AE144" i="1"/>
  <c r="AF144" i="1"/>
  <c r="AH144" i="1"/>
  <c r="K145" i="1"/>
  <c r="L145" i="1"/>
  <c r="M145" i="1"/>
  <c r="N145" i="1" s="1"/>
  <c r="V145" i="1"/>
  <c r="Y145" i="1"/>
  <c r="AA145" i="1" s="1"/>
  <c r="Z145" i="1"/>
  <c r="AB145" i="1"/>
  <c r="AC145" i="1"/>
  <c r="AD145" i="1"/>
  <c r="T145" i="1" s="1"/>
  <c r="AE145" i="1"/>
  <c r="AF145" i="1"/>
  <c r="AH145" i="1"/>
  <c r="K146" i="1"/>
  <c r="L146" i="1"/>
  <c r="M146" i="1"/>
  <c r="N146" i="1"/>
  <c r="V146" i="1"/>
  <c r="Y146" i="1"/>
  <c r="Z146" i="1"/>
  <c r="AA146" i="1"/>
  <c r="W146" i="1" s="1"/>
  <c r="AB146" i="1"/>
  <c r="AC146" i="1"/>
  <c r="AD146" i="1"/>
  <c r="AG146" i="1" s="1"/>
  <c r="AE146" i="1"/>
  <c r="AF146" i="1"/>
  <c r="AH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R7" i="3" s="1"/>
  <c r="AF148" i="1"/>
  <c r="AH148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49" i="1"/>
  <c r="K150" i="1"/>
  <c r="L150" i="1"/>
  <c r="M150" i="1"/>
  <c r="N150" i="1" s="1"/>
  <c r="V150" i="1"/>
  <c r="Y150" i="1"/>
  <c r="Z150" i="1"/>
  <c r="AA150" i="1" s="1"/>
  <c r="W150" i="1" s="1"/>
  <c r="AB150" i="1"/>
  <c r="AC150" i="1"/>
  <c r="AD150" i="1"/>
  <c r="AG150" i="1" s="1"/>
  <c r="AE150" i="1"/>
  <c r="AF150" i="1"/>
  <c r="AH150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52" i="1"/>
  <c r="K153" i="1"/>
  <c r="L153" i="1"/>
  <c r="M153" i="1"/>
  <c r="N153" i="1" s="1"/>
  <c r="V153" i="1"/>
  <c r="S13" i="3" s="1"/>
  <c r="Y153" i="1"/>
  <c r="Z153" i="1"/>
  <c r="AB153" i="1"/>
  <c r="AC153" i="1"/>
  <c r="AD153" i="1"/>
  <c r="T153" i="1" s="1"/>
  <c r="AE153" i="1"/>
  <c r="R13" i="3" s="1"/>
  <c r="AF153" i="1"/>
  <c r="AH153" i="1"/>
  <c r="K154" i="1"/>
  <c r="L154" i="1"/>
  <c r="M154" i="1"/>
  <c r="N154" i="1" s="1"/>
  <c r="V154" i="1"/>
  <c r="Y154" i="1"/>
  <c r="Z154" i="1"/>
  <c r="AB154" i="1"/>
  <c r="AC154" i="1"/>
  <c r="AD154" i="1"/>
  <c r="AG154" i="1" s="1"/>
  <c r="AE154" i="1"/>
  <c r="AF154" i="1"/>
  <c r="AH154" i="1"/>
  <c r="K155" i="1"/>
  <c r="L155" i="1"/>
  <c r="M155" i="1"/>
  <c r="N155" i="1" s="1"/>
  <c r="V155" i="1"/>
  <c r="Y155" i="1"/>
  <c r="Z155" i="1"/>
  <c r="AB155" i="1"/>
  <c r="AC155" i="1"/>
  <c r="AD155" i="1"/>
  <c r="T155" i="1" s="1"/>
  <c r="AE155" i="1"/>
  <c r="AF155" i="1"/>
  <c r="AH155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56" i="1"/>
  <c r="K157" i="1"/>
  <c r="L157" i="1"/>
  <c r="M157" i="1"/>
  <c r="V157" i="1"/>
  <c r="Y157" i="1"/>
  <c r="Z157" i="1"/>
  <c r="AB157" i="1"/>
  <c r="AC157" i="1"/>
  <c r="AD157" i="1"/>
  <c r="AE157" i="1"/>
  <c r="AF157" i="1"/>
  <c r="AH157" i="1"/>
  <c r="K158" i="1"/>
  <c r="L158" i="1"/>
  <c r="M158" i="1"/>
  <c r="V158" i="1"/>
  <c r="Y158" i="1"/>
  <c r="Z158" i="1"/>
  <c r="AB158" i="1"/>
  <c r="AC158" i="1"/>
  <c r="AD158" i="1"/>
  <c r="AG158" i="1" s="1"/>
  <c r="AE158" i="1"/>
  <c r="AF158" i="1"/>
  <c r="AH158" i="1"/>
  <c r="K159" i="1"/>
  <c r="L159" i="1"/>
  <c r="M159" i="1"/>
  <c r="N159" i="1" s="1"/>
  <c r="V159" i="1"/>
  <c r="Y159" i="1"/>
  <c r="Z159" i="1"/>
  <c r="AB159" i="1"/>
  <c r="AC159" i="1"/>
  <c r="AD159" i="1"/>
  <c r="AG159" i="1" s="1"/>
  <c r="AE159" i="1"/>
  <c r="AF159" i="1"/>
  <c r="AH159" i="1"/>
  <c r="K205" i="1"/>
  <c r="L205" i="1"/>
  <c r="M205" i="1"/>
  <c r="N205" i="1" s="1"/>
  <c r="V205" i="1"/>
  <c r="Y205" i="1"/>
  <c r="Z205" i="1"/>
  <c r="AB205" i="1"/>
  <c r="AC205" i="1"/>
  <c r="AD205" i="1"/>
  <c r="AG205" i="1" s="1"/>
  <c r="AE205" i="1"/>
  <c r="AF205" i="1"/>
  <c r="AH160" i="1"/>
  <c r="K206" i="1"/>
  <c r="L206" i="1"/>
  <c r="M206" i="1"/>
  <c r="N206" i="1" s="1"/>
  <c r="V206" i="1"/>
  <c r="Y206" i="1"/>
  <c r="Z206" i="1"/>
  <c r="AB206" i="1"/>
  <c r="AC206" i="1"/>
  <c r="AD206" i="1"/>
  <c r="AE206" i="1"/>
  <c r="AF206" i="1"/>
  <c r="AH161" i="1"/>
  <c r="K207" i="1"/>
  <c r="L207" i="1"/>
  <c r="M207" i="1"/>
  <c r="N207" i="1" s="1"/>
  <c r="V207" i="1"/>
  <c r="S40" i="3" s="1"/>
  <c r="Y207" i="1"/>
  <c r="Z207" i="1"/>
  <c r="AB207" i="1"/>
  <c r="AC207" i="1"/>
  <c r="AD207" i="1"/>
  <c r="AE207" i="1"/>
  <c r="R40" i="3" s="1"/>
  <c r="AF207" i="1"/>
  <c r="AH162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3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4" i="1"/>
  <c r="K210" i="1"/>
  <c r="L210" i="1"/>
  <c r="M210" i="1"/>
  <c r="N210" i="1" s="1"/>
  <c r="V210" i="1"/>
  <c r="Y210" i="1"/>
  <c r="Z210" i="1"/>
  <c r="AB210" i="1"/>
  <c r="AC210" i="1"/>
  <c r="AD210" i="1"/>
  <c r="AE210" i="1"/>
  <c r="AF210" i="1"/>
  <c r="AH165" i="1"/>
  <c r="K211" i="1"/>
  <c r="L211" i="1"/>
  <c r="M211" i="1"/>
  <c r="N211" i="1" s="1"/>
  <c r="V211" i="1"/>
  <c r="Y211" i="1"/>
  <c r="Z211" i="1"/>
  <c r="AB211" i="1"/>
  <c r="AC211" i="1"/>
  <c r="AD211" i="1"/>
  <c r="AG211" i="1" s="1"/>
  <c r="AE211" i="1"/>
  <c r="AF211" i="1"/>
  <c r="AH166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167" i="1"/>
  <c r="K213" i="1"/>
  <c r="L213" i="1"/>
  <c r="M213" i="1"/>
  <c r="N213" i="1" s="1"/>
  <c r="V213" i="1"/>
  <c r="Y213" i="1"/>
  <c r="Z213" i="1"/>
  <c r="AB213" i="1"/>
  <c r="AC213" i="1"/>
  <c r="AD213" i="1"/>
  <c r="AE213" i="1"/>
  <c r="AF213" i="1"/>
  <c r="AH168" i="1"/>
  <c r="K214" i="1"/>
  <c r="L214" i="1"/>
  <c r="M214" i="1"/>
  <c r="N214" i="1" s="1"/>
  <c r="V214" i="1"/>
  <c r="Y214" i="1"/>
  <c r="Z214" i="1"/>
  <c r="AB214" i="1"/>
  <c r="AC214" i="1"/>
  <c r="AD214" i="1"/>
  <c r="T214" i="1" s="1"/>
  <c r="AE214" i="1"/>
  <c r="AF214" i="1"/>
  <c r="AH169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170" i="1"/>
  <c r="K216" i="1"/>
  <c r="L216" i="1"/>
  <c r="M216" i="1"/>
  <c r="N216" i="1" s="1"/>
  <c r="V216" i="1"/>
  <c r="Y216" i="1"/>
  <c r="Z216" i="1"/>
  <c r="AB216" i="1"/>
  <c r="AC216" i="1"/>
  <c r="AD216" i="1"/>
  <c r="T216" i="1" s="1"/>
  <c r="AE216" i="1"/>
  <c r="AF216" i="1"/>
  <c r="AH171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2" i="1"/>
  <c r="K224" i="1"/>
  <c r="L224" i="1"/>
  <c r="M224" i="1"/>
  <c r="N224" i="1" s="1"/>
  <c r="V224" i="1"/>
  <c r="S39" i="3" s="1"/>
  <c r="Y224" i="1"/>
  <c r="Z224" i="1"/>
  <c r="AB224" i="1"/>
  <c r="AC224" i="1"/>
  <c r="AD224" i="1"/>
  <c r="X224" i="1" s="1"/>
  <c r="AE224" i="1"/>
  <c r="R39" i="3" s="1"/>
  <c r="AF224" i="1"/>
  <c r="AH173" i="1"/>
  <c r="K160" i="1"/>
  <c r="L160" i="1"/>
  <c r="M160" i="1"/>
  <c r="V160" i="1"/>
  <c r="S32" i="3" s="1"/>
  <c r="Y160" i="1"/>
  <c r="Z160" i="1"/>
  <c r="AB160" i="1"/>
  <c r="AC160" i="1"/>
  <c r="AD160" i="1"/>
  <c r="T160" i="1" s="1"/>
  <c r="AE160" i="1"/>
  <c r="R32" i="3" s="1"/>
  <c r="AF160" i="1"/>
  <c r="AH174" i="1"/>
  <c r="K161" i="1"/>
  <c r="L161" i="1"/>
  <c r="M161" i="1"/>
  <c r="N161" i="1" s="1"/>
  <c r="V161" i="1"/>
  <c r="S34" i="3" s="1"/>
  <c r="Y161" i="1"/>
  <c r="Z161" i="1"/>
  <c r="AB161" i="1"/>
  <c r="AC161" i="1"/>
  <c r="AD161" i="1"/>
  <c r="T161" i="1" s="1"/>
  <c r="AE161" i="1"/>
  <c r="R34" i="3" s="1"/>
  <c r="AF161" i="1"/>
  <c r="AH175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G162" i="1"/>
  <c r="AH176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77" i="1"/>
  <c r="K164" i="1"/>
  <c r="L164" i="1"/>
  <c r="M164" i="1"/>
  <c r="N164" i="1" s="1"/>
  <c r="V164" i="1"/>
  <c r="S31" i="3" s="1"/>
  <c r="Y164" i="1"/>
  <c r="Z164" i="1"/>
  <c r="AB164" i="1"/>
  <c r="AC164" i="1"/>
  <c r="AD164" i="1"/>
  <c r="T164" i="1" s="1"/>
  <c r="AE164" i="1"/>
  <c r="R31" i="3" s="1"/>
  <c r="AF164" i="1"/>
  <c r="AH178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R28" i="3" s="1"/>
  <c r="AF165" i="1"/>
  <c r="AH179" i="1"/>
  <c r="K166" i="1"/>
  <c r="L166" i="1"/>
  <c r="M166" i="1"/>
  <c r="N166" i="1" s="1"/>
  <c r="V166" i="1"/>
  <c r="Y166" i="1"/>
  <c r="Z166" i="1"/>
  <c r="AB166" i="1"/>
  <c r="AC166" i="1"/>
  <c r="AD166" i="1"/>
  <c r="T166" i="1" s="1"/>
  <c r="AE166" i="1"/>
  <c r="AF166" i="1"/>
  <c r="AH180" i="1"/>
  <c r="K167" i="1"/>
  <c r="L167" i="1"/>
  <c r="M167" i="1"/>
  <c r="N167" i="1" s="1"/>
  <c r="V167" i="1"/>
  <c r="Y167" i="1"/>
  <c r="Z167" i="1"/>
  <c r="AB167" i="1"/>
  <c r="AC167" i="1"/>
  <c r="AD167" i="1"/>
  <c r="X167" i="1" s="1"/>
  <c r="AE167" i="1"/>
  <c r="AF167" i="1"/>
  <c r="AH181" i="1"/>
  <c r="K168" i="1"/>
  <c r="L168" i="1"/>
  <c r="M168" i="1"/>
  <c r="N168" i="1" s="1"/>
  <c r="V168" i="1"/>
  <c r="Y168" i="1"/>
  <c r="Z168" i="1"/>
  <c r="AB168" i="1"/>
  <c r="AC168" i="1"/>
  <c r="AD168" i="1"/>
  <c r="T168" i="1" s="1"/>
  <c r="AE168" i="1"/>
  <c r="AF168" i="1"/>
  <c r="AH182" i="1"/>
  <c r="K169" i="1"/>
  <c r="L169" i="1"/>
  <c r="M169" i="1"/>
  <c r="N169" i="1" s="1"/>
  <c r="V169" i="1"/>
  <c r="S35" i="3" s="1"/>
  <c r="Y169" i="1"/>
  <c r="Z169" i="1"/>
  <c r="AB169" i="1"/>
  <c r="AC169" i="1"/>
  <c r="AD169" i="1"/>
  <c r="T169" i="1" s="1"/>
  <c r="AE169" i="1"/>
  <c r="R35" i="3" s="1"/>
  <c r="AF169" i="1"/>
  <c r="AH183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84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85" i="1"/>
  <c r="K172" i="1"/>
  <c r="L172" i="1"/>
  <c r="M172" i="1"/>
  <c r="N172" i="1" s="1"/>
  <c r="V172" i="1"/>
  <c r="Y172" i="1"/>
  <c r="Z172" i="1"/>
  <c r="AB172" i="1"/>
  <c r="AC172" i="1"/>
  <c r="AD172" i="1"/>
  <c r="T172" i="1" s="1"/>
  <c r="AE172" i="1"/>
  <c r="AF172" i="1"/>
  <c r="AH186" i="1"/>
  <c r="K173" i="1"/>
  <c r="L173" i="1"/>
  <c r="M173" i="1"/>
  <c r="N173" i="1" s="1"/>
  <c r="V173" i="1"/>
  <c r="Y173" i="1"/>
  <c r="Z173" i="1"/>
  <c r="AB173" i="1"/>
  <c r="AC173" i="1"/>
  <c r="AD173" i="1"/>
  <c r="T173" i="1" s="1"/>
  <c r="AE173" i="1"/>
  <c r="AF173" i="1"/>
  <c r="AH187" i="1"/>
  <c r="K174" i="1"/>
  <c r="L174" i="1"/>
  <c r="M174" i="1"/>
  <c r="N174" i="1" s="1"/>
  <c r="V174" i="1"/>
  <c r="Y174" i="1"/>
  <c r="Z174" i="1"/>
  <c r="AB174" i="1"/>
  <c r="AC174" i="1"/>
  <c r="AD174" i="1"/>
  <c r="X174" i="1" s="1"/>
  <c r="AE174" i="1"/>
  <c r="AF174" i="1"/>
  <c r="AH188" i="1"/>
  <c r="K175" i="1"/>
  <c r="L175" i="1"/>
  <c r="M175" i="1"/>
  <c r="N175" i="1" s="1"/>
  <c r="V175" i="1"/>
  <c r="S30" i="3" s="1"/>
  <c r="Y175" i="1"/>
  <c r="Z175" i="1"/>
  <c r="AB175" i="1"/>
  <c r="AC175" i="1"/>
  <c r="AD175" i="1"/>
  <c r="T175" i="1" s="1"/>
  <c r="AE175" i="1"/>
  <c r="AF175" i="1"/>
  <c r="AH189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90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191" i="1"/>
  <c r="K178" i="1"/>
  <c r="L178" i="1"/>
  <c r="M178" i="1"/>
  <c r="N178" i="1" s="1"/>
  <c r="V178" i="1"/>
  <c r="Y178" i="1"/>
  <c r="Z178" i="1"/>
  <c r="AB178" i="1"/>
  <c r="AC178" i="1"/>
  <c r="AD178" i="1"/>
  <c r="T178" i="1" s="1"/>
  <c r="AE178" i="1"/>
  <c r="AF178" i="1"/>
  <c r="AH192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93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194" i="1"/>
  <c r="K181" i="1"/>
  <c r="L181" i="1"/>
  <c r="M181" i="1"/>
  <c r="N181" i="1" s="1"/>
  <c r="V181" i="1"/>
  <c r="S36" i="3" s="1"/>
  <c r="Y181" i="1"/>
  <c r="Z181" i="1"/>
  <c r="AB181" i="1"/>
  <c r="AC181" i="1"/>
  <c r="AD181" i="1"/>
  <c r="AG181" i="1" s="1"/>
  <c r="AE181" i="1"/>
  <c r="R36" i="3" s="1"/>
  <c r="AF181" i="1"/>
  <c r="AH195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196" i="1"/>
  <c r="K183" i="1"/>
  <c r="L183" i="1"/>
  <c r="M183" i="1"/>
  <c r="N183" i="1" s="1"/>
  <c r="V183" i="1"/>
  <c r="Y183" i="1"/>
  <c r="Z183" i="1"/>
  <c r="AB183" i="1"/>
  <c r="AC183" i="1"/>
  <c r="AD183" i="1"/>
  <c r="AG183" i="1" s="1"/>
  <c r="AE183" i="1"/>
  <c r="AF183" i="1"/>
  <c r="AH198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00" i="1"/>
  <c r="K185" i="1"/>
  <c r="L185" i="1"/>
  <c r="M185" i="1"/>
  <c r="N185" i="1" s="1"/>
  <c r="V185" i="1"/>
  <c r="Y185" i="1"/>
  <c r="Z185" i="1"/>
  <c r="AB185" i="1"/>
  <c r="AC185" i="1"/>
  <c r="AD185" i="1"/>
  <c r="AG185" i="1" s="1"/>
  <c r="AE185" i="1"/>
  <c r="AF185" i="1"/>
  <c r="AH201" i="1"/>
  <c r="K186" i="1"/>
  <c r="L186" i="1"/>
  <c r="M186" i="1"/>
  <c r="N186" i="1" s="1"/>
  <c r="V186" i="1"/>
  <c r="S33" i="3" s="1"/>
  <c r="Y186" i="1"/>
  <c r="Z186" i="1"/>
  <c r="AB186" i="1"/>
  <c r="AC186" i="1"/>
  <c r="AD186" i="1"/>
  <c r="T186" i="1" s="1"/>
  <c r="AE186" i="1"/>
  <c r="R33" i="3" s="1"/>
  <c r="AF186" i="1"/>
  <c r="AH202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03" i="1"/>
  <c r="K188" i="1"/>
  <c r="L188" i="1"/>
  <c r="M188" i="1"/>
  <c r="N188" i="1" s="1"/>
  <c r="V188" i="1"/>
  <c r="Y188" i="1"/>
  <c r="Z188" i="1"/>
  <c r="AB188" i="1"/>
  <c r="AC188" i="1"/>
  <c r="AD188" i="1"/>
  <c r="T188" i="1" s="1"/>
  <c r="AE188" i="1"/>
  <c r="AF188" i="1"/>
  <c r="AH204" i="1"/>
  <c r="K189" i="1"/>
  <c r="L189" i="1"/>
  <c r="M189" i="1"/>
  <c r="N189" i="1" s="1"/>
  <c r="V189" i="1"/>
  <c r="Y189" i="1"/>
  <c r="Z189" i="1"/>
  <c r="AB189" i="1"/>
  <c r="AC189" i="1"/>
  <c r="AD189" i="1"/>
  <c r="AG189" i="1" s="1"/>
  <c r="AE189" i="1"/>
  <c r="AF189" i="1"/>
  <c r="AH205" i="1"/>
  <c r="K190" i="1"/>
  <c r="L190" i="1"/>
  <c r="M190" i="1"/>
  <c r="N190" i="1" s="1"/>
  <c r="V190" i="1"/>
  <c r="Y190" i="1"/>
  <c r="Z190" i="1"/>
  <c r="AB190" i="1"/>
  <c r="AC190" i="1"/>
  <c r="AD190" i="1"/>
  <c r="T190" i="1" s="1"/>
  <c r="AE190" i="1"/>
  <c r="AF190" i="1"/>
  <c r="AH206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07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08" i="1"/>
  <c r="K193" i="1"/>
  <c r="L193" i="1"/>
  <c r="M193" i="1"/>
  <c r="N193" i="1" s="1"/>
  <c r="V193" i="1"/>
  <c r="Y193" i="1"/>
  <c r="Z193" i="1"/>
  <c r="AB193" i="1"/>
  <c r="AC193" i="1"/>
  <c r="AD193" i="1"/>
  <c r="AG193" i="1" s="1"/>
  <c r="AE193" i="1"/>
  <c r="AF193" i="1"/>
  <c r="AH209" i="1"/>
  <c r="K194" i="1"/>
  <c r="L194" i="1"/>
  <c r="M194" i="1"/>
  <c r="V194" i="1"/>
  <c r="S29" i="3" s="1"/>
  <c r="Y194" i="1"/>
  <c r="Z194" i="1"/>
  <c r="AB194" i="1"/>
  <c r="AC194" i="1"/>
  <c r="AD194" i="1"/>
  <c r="T194" i="1" s="1"/>
  <c r="AE194" i="1"/>
  <c r="AF194" i="1"/>
  <c r="AH210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11" i="1"/>
  <c r="K196" i="1"/>
  <c r="L196" i="1"/>
  <c r="M196" i="1"/>
  <c r="N196" i="1" s="1"/>
  <c r="V196" i="1"/>
  <c r="Y196" i="1"/>
  <c r="Z196" i="1"/>
  <c r="AB196" i="1"/>
  <c r="AC196" i="1"/>
  <c r="AD196" i="1"/>
  <c r="AG196" i="1" s="1"/>
  <c r="AE196" i="1"/>
  <c r="AF196" i="1"/>
  <c r="AH212" i="1"/>
  <c r="K198" i="1"/>
  <c r="L198" i="1"/>
  <c r="M198" i="1"/>
  <c r="N198" i="1"/>
  <c r="V198" i="1"/>
  <c r="S37" i="3" s="1"/>
  <c r="Y198" i="1"/>
  <c r="Z198" i="1"/>
  <c r="AB198" i="1"/>
  <c r="AC198" i="1"/>
  <c r="AD198" i="1"/>
  <c r="AG198" i="1" s="1"/>
  <c r="AE198" i="1"/>
  <c r="R37" i="3" s="1"/>
  <c r="AF198" i="1"/>
  <c r="AH213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14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15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16" i="1"/>
  <c r="K203" i="1"/>
  <c r="L203" i="1"/>
  <c r="M203" i="1"/>
  <c r="N203" i="1" s="1"/>
  <c r="V203" i="1"/>
  <c r="Y203" i="1"/>
  <c r="Z203" i="1"/>
  <c r="AB203" i="1"/>
  <c r="AC203" i="1"/>
  <c r="AD203" i="1"/>
  <c r="AG203" i="1" s="1"/>
  <c r="AE203" i="1"/>
  <c r="AF203" i="1"/>
  <c r="AH217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18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9" i="1"/>
  <c r="K218" i="1"/>
  <c r="L218" i="1"/>
  <c r="M218" i="1"/>
  <c r="N218" i="1" s="1"/>
  <c r="V218" i="1"/>
  <c r="Y218" i="1"/>
  <c r="Z218" i="1"/>
  <c r="AB218" i="1"/>
  <c r="AC218" i="1"/>
  <c r="AD218" i="1"/>
  <c r="T218" i="1" s="1"/>
  <c r="AE218" i="1"/>
  <c r="AF218" i="1"/>
  <c r="AH220" i="1"/>
  <c r="K219" i="1"/>
  <c r="L219" i="1"/>
  <c r="M219" i="1"/>
  <c r="N219" i="1" s="1"/>
  <c r="V219" i="1"/>
  <c r="Y219" i="1"/>
  <c r="Z219" i="1"/>
  <c r="AB219" i="1"/>
  <c r="AC219" i="1"/>
  <c r="AD219" i="1"/>
  <c r="AG219" i="1" s="1"/>
  <c r="AE219" i="1"/>
  <c r="AF219" i="1"/>
  <c r="AH221" i="1"/>
  <c r="K220" i="1"/>
  <c r="L220" i="1"/>
  <c r="M220" i="1"/>
  <c r="N220" i="1" s="1"/>
  <c r="V220" i="1"/>
  <c r="Y220" i="1"/>
  <c r="Z220" i="1"/>
  <c r="AB220" i="1"/>
  <c r="AC220" i="1"/>
  <c r="AD220" i="1"/>
  <c r="T220" i="1" s="1"/>
  <c r="AE220" i="1"/>
  <c r="AF220" i="1"/>
  <c r="AH222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223" i="1"/>
  <c r="K222" i="1"/>
  <c r="L222" i="1"/>
  <c r="M222" i="1"/>
  <c r="N222" i="1" s="1"/>
  <c r="V222" i="1"/>
  <c r="Y222" i="1"/>
  <c r="Z222" i="1"/>
  <c r="AB222" i="1"/>
  <c r="AC222" i="1"/>
  <c r="AD222" i="1"/>
  <c r="T222" i="1" s="1"/>
  <c r="AE222" i="1"/>
  <c r="AF222" i="1"/>
  <c r="AH224" i="1"/>
  <c r="M14" i="3"/>
  <c r="S14" i="3"/>
  <c r="U14" i="3"/>
  <c r="T14" i="3" s="1"/>
  <c r="V14" i="3"/>
  <c r="W14" i="3"/>
  <c r="X14" i="3"/>
  <c r="M15" i="3"/>
  <c r="S15" i="3"/>
  <c r="U15" i="3"/>
  <c r="T15" i="3" s="1"/>
  <c r="V15" i="3"/>
  <c r="W15" i="3"/>
  <c r="X15" i="3"/>
  <c r="M17" i="3"/>
  <c r="U17" i="3"/>
  <c r="T17" i="3" s="1"/>
  <c r="V17" i="3"/>
  <c r="W17" i="3"/>
  <c r="X17" i="3"/>
  <c r="M18" i="3"/>
  <c r="S18" i="3"/>
  <c r="U18" i="3"/>
  <c r="T18" i="3" s="1"/>
  <c r="V18" i="3"/>
  <c r="W18" i="3"/>
  <c r="X18" i="3"/>
  <c r="M32" i="3"/>
  <c r="U32" i="3"/>
  <c r="T32" i="3" s="1"/>
  <c r="V32" i="3"/>
  <c r="W32" i="3"/>
  <c r="X32" i="3"/>
  <c r="AC32" i="3"/>
  <c r="M34" i="3"/>
  <c r="U34" i="3"/>
  <c r="T34" i="3" s="1"/>
  <c r="V34" i="3"/>
  <c r="W34" i="3"/>
  <c r="X34" i="3"/>
  <c r="AC34" i="3"/>
  <c r="M10" i="3"/>
  <c r="S10" i="3"/>
  <c r="U10" i="3"/>
  <c r="T10" i="3" s="1"/>
  <c r="V10" i="3"/>
  <c r="W10" i="3"/>
  <c r="X10" i="3"/>
  <c r="AC10" i="3"/>
  <c r="M31" i="3"/>
  <c r="U31" i="3"/>
  <c r="T31" i="3" s="1"/>
  <c r="V31" i="3"/>
  <c r="W31" i="3"/>
  <c r="X31" i="3"/>
  <c r="AC31" i="3"/>
  <c r="M28" i="3"/>
  <c r="S28" i="3"/>
  <c r="U28" i="3"/>
  <c r="T28" i="3" s="1"/>
  <c r="V28" i="3"/>
  <c r="W28" i="3"/>
  <c r="X28" i="3"/>
  <c r="M27" i="3"/>
  <c r="U27" i="3"/>
  <c r="T27" i="3" s="1"/>
  <c r="V27" i="3"/>
  <c r="W27" i="3"/>
  <c r="X27" i="3"/>
  <c r="AC27" i="3"/>
  <c r="M20" i="3"/>
  <c r="U20" i="3"/>
  <c r="T20" i="3" s="1"/>
  <c r="V20" i="3"/>
  <c r="W20" i="3"/>
  <c r="X20" i="3"/>
  <c r="AC20" i="3"/>
  <c r="M21" i="3"/>
  <c r="R21" i="3"/>
  <c r="U21" i="3"/>
  <c r="T21" i="3" s="1"/>
  <c r="V21" i="3"/>
  <c r="W21" i="3"/>
  <c r="X21" i="3"/>
  <c r="AC21" i="3"/>
  <c r="M35" i="3"/>
  <c r="U35" i="3"/>
  <c r="T35" i="3" s="1"/>
  <c r="V35" i="3"/>
  <c r="W35" i="3"/>
  <c r="X35" i="3"/>
  <c r="AC35" i="3"/>
  <c r="M19" i="3"/>
  <c r="U19" i="3"/>
  <c r="T19" i="3" s="1"/>
  <c r="V19" i="3"/>
  <c r="W19" i="3"/>
  <c r="X19" i="3"/>
  <c r="AC19" i="3"/>
  <c r="M30" i="3"/>
  <c r="R30" i="3"/>
  <c r="U30" i="3"/>
  <c r="T30" i="3" s="1"/>
  <c r="V30" i="3"/>
  <c r="W30" i="3"/>
  <c r="X30" i="3"/>
  <c r="AC30" i="3"/>
  <c r="M38" i="3"/>
  <c r="R38" i="3"/>
  <c r="U38" i="3"/>
  <c r="T38" i="3" s="1"/>
  <c r="V38" i="3"/>
  <c r="W38" i="3"/>
  <c r="X38" i="3"/>
  <c r="AC38" i="3"/>
  <c r="M9" i="3"/>
  <c r="U9" i="3"/>
  <c r="T9" i="3" s="1"/>
  <c r="V9" i="3"/>
  <c r="W9" i="3"/>
  <c r="X9" i="3"/>
  <c r="M22" i="3"/>
  <c r="U22" i="3"/>
  <c r="T22" i="3" s="1"/>
  <c r="V22" i="3"/>
  <c r="W22" i="3"/>
  <c r="X22" i="3"/>
  <c r="AC22" i="3"/>
  <c r="M23" i="3"/>
  <c r="U23" i="3"/>
  <c r="T23" i="3" s="1"/>
  <c r="V23" i="3"/>
  <c r="W23" i="3"/>
  <c r="X23" i="3"/>
  <c r="AC23" i="3"/>
  <c r="M12" i="3"/>
  <c r="U12" i="3"/>
  <c r="T12" i="3" s="1"/>
  <c r="V12" i="3"/>
  <c r="W12" i="3"/>
  <c r="X12" i="3"/>
  <c r="AC12" i="3"/>
  <c r="M36" i="3"/>
  <c r="U36" i="3"/>
  <c r="T36" i="3" s="1"/>
  <c r="V36" i="3"/>
  <c r="W36" i="3"/>
  <c r="X36" i="3"/>
  <c r="AC36" i="3"/>
  <c r="M24" i="3"/>
  <c r="U24" i="3"/>
  <c r="T24" i="3" s="1"/>
  <c r="V24" i="3"/>
  <c r="W24" i="3"/>
  <c r="X24" i="3"/>
  <c r="AC24" i="3"/>
  <c r="M11" i="3"/>
  <c r="R11" i="3"/>
  <c r="U11" i="3"/>
  <c r="T11" i="3" s="1"/>
  <c r="V11" i="3"/>
  <c r="W11" i="3"/>
  <c r="X11" i="3"/>
  <c r="AC11" i="3"/>
  <c r="M8" i="3"/>
  <c r="U8" i="3"/>
  <c r="T8" i="3" s="1"/>
  <c r="V8" i="3"/>
  <c r="W8" i="3"/>
  <c r="X8" i="3"/>
  <c r="AC8" i="3"/>
  <c r="M33" i="3"/>
  <c r="U33" i="3"/>
  <c r="T33" i="3" s="1"/>
  <c r="V33" i="3"/>
  <c r="W33" i="3"/>
  <c r="X33" i="3"/>
  <c r="AC33" i="3"/>
  <c r="M39" i="3"/>
  <c r="U39" i="3"/>
  <c r="T39" i="3" s="1"/>
  <c r="V39" i="3"/>
  <c r="W39" i="3"/>
  <c r="X39" i="3"/>
  <c r="AC39" i="3"/>
  <c r="M25" i="3"/>
  <c r="R25" i="3"/>
  <c r="U25" i="3"/>
  <c r="T25" i="3" s="1"/>
  <c r="V25" i="3"/>
  <c r="W25" i="3"/>
  <c r="X25" i="3"/>
  <c r="AC25" i="3"/>
  <c r="M29" i="3"/>
  <c r="R29" i="3"/>
  <c r="U29" i="3"/>
  <c r="T29" i="3" s="1"/>
  <c r="V29" i="3"/>
  <c r="W29" i="3"/>
  <c r="X29" i="3"/>
  <c r="AC29" i="3"/>
  <c r="M41" i="3"/>
  <c r="R41" i="3"/>
  <c r="S41" i="3"/>
  <c r="U41" i="3"/>
  <c r="T41" i="3" s="1"/>
  <c r="V41" i="3"/>
  <c r="W41" i="3"/>
  <c r="X41" i="3"/>
  <c r="M37" i="3"/>
  <c r="U37" i="3"/>
  <c r="T37" i="3" s="1"/>
  <c r="V37" i="3"/>
  <c r="W37" i="3"/>
  <c r="X37" i="3"/>
  <c r="AC37" i="3"/>
  <c r="M16" i="3"/>
  <c r="S16" i="3"/>
  <c r="U16" i="3"/>
  <c r="T16" i="3" s="1"/>
  <c r="V16" i="3"/>
  <c r="W16" i="3"/>
  <c r="X16" i="3"/>
  <c r="AC16" i="3"/>
  <c r="M26" i="3"/>
  <c r="U26" i="3"/>
  <c r="T26" i="3" s="1"/>
  <c r="V26" i="3"/>
  <c r="W26" i="3"/>
  <c r="X26" i="3"/>
  <c r="AC26" i="3"/>
  <c r="M7" i="3"/>
  <c r="S7" i="3"/>
  <c r="U7" i="3"/>
  <c r="T7" i="3" s="1"/>
  <c r="V7" i="3"/>
  <c r="W7" i="3"/>
  <c r="X7" i="3"/>
  <c r="AC7" i="3"/>
  <c r="M13" i="3"/>
  <c r="U13" i="3"/>
  <c r="T13" i="3" s="1"/>
  <c r="V13" i="3"/>
  <c r="W13" i="3"/>
  <c r="X13" i="3"/>
  <c r="AC13" i="3"/>
  <c r="M28" i="5"/>
  <c r="M40" i="3"/>
  <c r="U40" i="3"/>
  <c r="T40" i="3" s="1"/>
  <c r="V40" i="3"/>
  <c r="W40" i="3"/>
  <c r="X40" i="3"/>
  <c r="Y31" i="3" l="1"/>
  <c r="Y38" i="3"/>
  <c r="C84" i="9"/>
  <c r="C86" i="9"/>
  <c r="C82" i="9"/>
  <c r="W199" i="1"/>
  <c r="AG199" i="1"/>
  <c r="Y19" i="3"/>
  <c r="AC41" i="3"/>
  <c r="Y24" i="3"/>
  <c r="AG197" i="1"/>
  <c r="X128" i="1"/>
  <c r="AG127" i="1"/>
  <c r="X127" i="1"/>
  <c r="R14" i="3"/>
  <c r="S38" i="3"/>
  <c r="Y34" i="3"/>
  <c r="Y18" i="3"/>
  <c r="R18" i="3"/>
  <c r="X159" i="1"/>
  <c r="X158" i="1"/>
  <c r="Y29" i="3"/>
  <c r="AA169" i="1"/>
  <c r="AA168" i="1"/>
  <c r="W70" i="1"/>
  <c r="Y21" i="3"/>
  <c r="Y27" i="3"/>
  <c r="AA80" i="1"/>
  <c r="W80" i="1" s="1"/>
  <c r="AA45" i="1"/>
  <c r="AA32" i="1"/>
  <c r="AA31" i="1"/>
  <c r="AA28" i="1"/>
  <c r="AA27" i="1"/>
  <c r="AA26" i="1"/>
  <c r="T22" i="1"/>
  <c r="X72" i="1"/>
  <c r="AC9" i="3"/>
  <c r="R9" i="3"/>
  <c r="AG190" i="1"/>
  <c r="AA138" i="1"/>
  <c r="X74" i="1"/>
  <c r="X70" i="1"/>
  <c r="Y12" i="3"/>
  <c r="S21" i="3"/>
  <c r="AA200" i="1"/>
  <c r="AI198" i="1"/>
  <c r="X182" i="1"/>
  <c r="AI181" i="1"/>
  <c r="AA213" i="1"/>
  <c r="W213" i="1" s="1"/>
  <c r="AA206" i="1"/>
  <c r="AI158" i="1"/>
  <c r="AA157" i="1"/>
  <c r="T152" i="1"/>
  <c r="U152" i="1" s="1"/>
  <c r="S152" i="1" s="1"/>
  <c r="AA125" i="1"/>
  <c r="AA119" i="1"/>
  <c r="P29" i="1"/>
  <c r="T26" i="1"/>
  <c r="U26" i="1" s="1"/>
  <c r="S26" i="1" s="1"/>
  <c r="X73" i="1"/>
  <c r="X69" i="1"/>
  <c r="W130" i="1"/>
  <c r="AA195" i="1"/>
  <c r="AA194" i="1"/>
  <c r="AA193" i="1"/>
  <c r="W193" i="1" s="1"/>
  <c r="X162" i="1"/>
  <c r="AA161" i="1"/>
  <c r="W161" i="1" s="1"/>
  <c r="AA160" i="1"/>
  <c r="AA224" i="1"/>
  <c r="AA223" i="1"/>
  <c r="W138" i="1"/>
  <c r="W125" i="1"/>
  <c r="T119" i="1"/>
  <c r="U119" i="1" s="1"/>
  <c r="S119" i="1" s="1"/>
  <c r="AA113" i="1"/>
  <c r="W113" i="1" s="1"/>
  <c r="AA92" i="1"/>
  <c r="W92" i="1" s="1"/>
  <c r="AI80" i="1"/>
  <c r="AA16" i="1"/>
  <c r="AA15" i="1"/>
  <c r="W15" i="1" s="1"/>
  <c r="X18" i="1"/>
  <c r="X17" i="1"/>
  <c r="AC28" i="3"/>
  <c r="X21" i="1"/>
  <c r="Y8" i="3"/>
  <c r="AG161" i="1"/>
  <c r="AA149" i="1"/>
  <c r="AA120" i="1"/>
  <c r="AG73" i="1"/>
  <c r="AI73" i="1" s="1"/>
  <c r="AA58" i="1"/>
  <c r="X16" i="1"/>
  <c r="Y39" i="3"/>
  <c r="Y22" i="3"/>
  <c r="T193" i="1"/>
  <c r="AA188" i="1"/>
  <c r="AA183" i="1"/>
  <c r="W183" i="1" s="1"/>
  <c r="AA182" i="1"/>
  <c r="W182" i="1" s="1"/>
  <c r="AG172" i="1"/>
  <c r="AG216" i="1"/>
  <c r="AI216" i="1" s="1"/>
  <c r="AA205" i="1"/>
  <c r="W205" i="1" s="1"/>
  <c r="AA154" i="1"/>
  <c r="W154" i="1" s="1"/>
  <c r="AA152" i="1"/>
  <c r="AG144" i="1"/>
  <c r="X137" i="1"/>
  <c r="AA134" i="1"/>
  <c r="W134" i="1" s="1"/>
  <c r="T112" i="1"/>
  <c r="AA103" i="1"/>
  <c r="AG84" i="1"/>
  <c r="U84" i="1" s="1"/>
  <c r="S84" i="1" s="1"/>
  <c r="AG58" i="1"/>
  <c r="AI58" i="1" s="1"/>
  <c r="T49" i="1"/>
  <c r="T15" i="1"/>
  <c r="U15" i="1" s="1"/>
  <c r="S15" i="1" s="1"/>
  <c r="X19" i="1"/>
  <c r="AA30" i="1"/>
  <c r="W30" i="1" s="1"/>
  <c r="Y17" i="3"/>
  <c r="S8" i="3"/>
  <c r="S22" i="3"/>
  <c r="AG220" i="1"/>
  <c r="AI220" i="1" s="1"/>
  <c r="AA218" i="1"/>
  <c r="AA167" i="1"/>
  <c r="AA163" i="1"/>
  <c r="AG214" i="1"/>
  <c r="AI214" i="1" s="1"/>
  <c r="X214" i="1"/>
  <c r="X213" i="1"/>
  <c r="AA212" i="1"/>
  <c r="AA156" i="1"/>
  <c r="W156" i="1" s="1"/>
  <c r="AG123" i="1"/>
  <c r="U123" i="1" s="1"/>
  <c r="S123" i="1" s="1"/>
  <c r="X104" i="1"/>
  <c r="X92" i="1"/>
  <c r="AA91" i="1"/>
  <c r="AG87" i="1"/>
  <c r="AA84" i="1"/>
  <c r="AA61" i="1"/>
  <c r="W61" i="1" s="1"/>
  <c r="AA36" i="1"/>
  <c r="AA35" i="1"/>
  <c r="AA34" i="1"/>
  <c r="W34" i="1" s="1"/>
  <c r="T30" i="1"/>
  <c r="U30" i="1" s="1"/>
  <c r="AA20" i="1"/>
  <c r="AA19" i="1"/>
  <c r="AA18" i="1"/>
  <c r="W18" i="1" s="1"/>
  <c r="T18" i="1"/>
  <c r="W50" i="1"/>
  <c r="Y13" i="3"/>
  <c r="Y26" i="3"/>
  <c r="Y37" i="3"/>
  <c r="Y15" i="3"/>
  <c r="AG202" i="1"/>
  <c r="AI202" i="1" s="1"/>
  <c r="AG200" i="1"/>
  <c r="AA179" i="1"/>
  <c r="AA178" i="1"/>
  <c r="W178" i="1" s="1"/>
  <c r="AA176" i="1"/>
  <c r="AA175" i="1"/>
  <c r="AA174" i="1"/>
  <c r="T213" i="1"/>
  <c r="AA210" i="1"/>
  <c r="AA209" i="1"/>
  <c r="AA158" i="1"/>
  <c r="W158" i="1" s="1"/>
  <c r="AG156" i="1"/>
  <c r="U156" i="1" s="1"/>
  <c r="S156" i="1" s="1"/>
  <c r="AA153" i="1"/>
  <c r="AA133" i="1"/>
  <c r="W133" i="1" s="1"/>
  <c r="X124" i="1"/>
  <c r="AG120" i="1"/>
  <c r="AI120" i="1" s="1"/>
  <c r="X120" i="1"/>
  <c r="T104" i="1"/>
  <c r="AA100" i="1"/>
  <c r="AA99" i="1"/>
  <c r="AA96" i="1"/>
  <c r="W96" i="1" s="1"/>
  <c r="AG91" i="1"/>
  <c r="U91" i="1" s="1"/>
  <c r="S91" i="1" s="1"/>
  <c r="AG79" i="1"/>
  <c r="AI79" i="1" s="1"/>
  <c r="AA76" i="1"/>
  <c r="AG62" i="1"/>
  <c r="T38" i="1"/>
  <c r="U38" i="1" s="1"/>
  <c r="S38" i="1" s="1"/>
  <c r="AI184" i="1"/>
  <c r="W121" i="1"/>
  <c r="T61" i="1"/>
  <c r="T56" i="1"/>
  <c r="U56" i="1" s="1"/>
  <c r="AA40" i="1"/>
  <c r="AA39" i="1"/>
  <c r="AA38" i="1"/>
  <c r="T34" i="1"/>
  <c r="U34" i="1" s="1"/>
  <c r="S34" i="1" s="1"/>
  <c r="AA24" i="1"/>
  <c r="AA23" i="1"/>
  <c r="AA22" i="1"/>
  <c r="U14" i="1"/>
  <c r="S14" i="1" s="1"/>
  <c r="X203" i="1"/>
  <c r="AG192" i="1"/>
  <c r="T181" i="1"/>
  <c r="AG163" i="1"/>
  <c r="X163" i="1"/>
  <c r="AG213" i="1"/>
  <c r="T159" i="1"/>
  <c r="X149" i="1"/>
  <c r="AG145" i="1"/>
  <c r="AI145" i="1" s="1"/>
  <c r="AG140" i="1"/>
  <c r="AG136" i="1"/>
  <c r="AG129" i="1"/>
  <c r="AI129" i="1" s="1"/>
  <c r="AA124" i="1"/>
  <c r="T116" i="1"/>
  <c r="AG109" i="1"/>
  <c r="AI109" i="1" s="1"/>
  <c r="AA101" i="1"/>
  <c r="AA89" i="1"/>
  <c r="AA88" i="1"/>
  <c r="AG83" i="1"/>
  <c r="X83" i="1"/>
  <c r="X80" i="1"/>
  <c r="AG75" i="1"/>
  <c r="X75" i="1"/>
  <c r="AA74" i="1"/>
  <c r="W74" i="1" s="1"/>
  <c r="T74" i="1"/>
  <c r="U74" i="1" s="1"/>
  <c r="S74" i="1" s="1"/>
  <c r="T68" i="1"/>
  <c r="AG60" i="1"/>
  <c r="U60" i="1" s="1"/>
  <c r="S60" i="1" s="1"/>
  <c r="AA56" i="1"/>
  <c r="W56" i="1" s="1"/>
  <c r="AA55" i="1"/>
  <c r="AA54" i="1"/>
  <c r="AA53" i="1"/>
  <c r="W53" i="1" s="1"/>
  <c r="T53" i="1"/>
  <c r="U53" i="1" s="1"/>
  <c r="S53" i="1" s="1"/>
  <c r="AA49" i="1"/>
  <c r="W49" i="1" s="1"/>
  <c r="AA47" i="1"/>
  <c r="AA46" i="1"/>
  <c r="W46" i="1" s="1"/>
  <c r="AG44" i="1"/>
  <c r="U44" i="1" s="1"/>
  <c r="S44" i="1" s="1"/>
  <c r="X44" i="1"/>
  <c r="AA43" i="1"/>
  <c r="AG41" i="1"/>
  <c r="AG37" i="1"/>
  <c r="U37" i="1" s="1"/>
  <c r="S37" i="1" s="1"/>
  <c r="AG33" i="1"/>
  <c r="U33" i="1" s="1"/>
  <c r="S33" i="1" s="1"/>
  <c r="AG29" i="1"/>
  <c r="U29" i="1" s="1"/>
  <c r="AG25" i="1"/>
  <c r="U25" i="1" s="1"/>
  <c r="S25" i="1" s="1"/>
  <c r="AG21" i="1"/>
  <c r="U21" i="1" s="1"/>
  <c r="S21" i="1" s="1"/>
  <c r="AG17" i="1"/>
  <c r="U17" i="1" s="1"/>
  <c r="S17" i="1" s="1"/>
  <c r="AA220" i="1"/>
  <c r="AA217" i="1"/>
  <c r="AA204" i="1"/>
  <c r="AA203" i="1"/>
  <c r="W203" i="1" s="1"/>
  <c r="T203" i="1"/>
  <c r="T196" i="1"/>
  <c r="U196" i="1" s="1"/>
  <c r="S196" i="1" s="1"/>
  <c r="X193" i="1"/>
  <c r="AA190" i="1"/>
  <c r="W190" i="1" s="1"/>
  <c r="AA187" i="1"/>
  <c r="AA186" i="1"/>
  <c r="AA185" i="1"/>
  <c r="W185" i="1" s="1"/>
  <c r="T185" i="1"/>
  <c r="U185" i="1" s="1"/>
  <c r="S185" i="1" s="1"/>
  <c r="AG178" i="1"/>
  <c r="X178" i="1"/>
  <c r="AG176" i="1"/>
  <c r="U176" i="1" s="1"/>
  <c r="S176" i="1" s="1"/>
  <c r="AG169" i="1"/>
  <c r="AI169" i="1" s="1"/>
  <c r="X223" i="1"/>
  <c r="AA214" i="1"/>
  <c r="X145" i="1"/>
  <c r="AA144" i="1"/>
  <c r="AA141" i="1"/>
  <c r="AG137" i="1"/>
  <c r="AI137" i="1" s="1"/>
  <c r="X133" i="1"/>
  <c r="AA128" i="1"/>
  <c r="AG124" i="1"/>
  <c r="AI124" i="1" s="1"/>
  <c r="AA116" i="1"/>
  <c r="AA111" i="1"/>
  <c r="T105" i="1"/>
  <c r="AA87" i="1"/>
  <c r="AA79" i="1"/>
  <c r="W79" i="1" s="1"/>
  <c r="X61" i="1"/>
  <c r="X45" i="1"/>
  <c r="X38" i="1"/>
  <c r="X34" i="1"/>
  <c r="X30" i="1"/>
  <c r="X26" i="1"/>
  <c r="X22" i="1"/>
  <c r="AA109" i="1"/>
  <c r="W109" i="1" s="1"/>
  <c r="W100" i="1"/>
  <c r="X95" i="1"/>
  <c r="AA94" i="1"/>
  <c r="W94" i="1" s="1"/>
  <c r="X84" i="1"/>
  <c r="AA83" i="1"/>
  <c r="AG76" i="1"/>
  <c r="X76" i="1"/>
  <c r="AA75" i="1"/>
  <c r="W75" i="1" s="1"/>
  <c r="AG71" i="1"/>
  <c r="AA68" i="1"/>
  <c r="AA66" i="1"/>
  <c r="AA65" i="1"/>
  <c r="AA64" i="1"/>
  <c r="X53" i="1"/>
  <c r="X46" i="1"/>
  <c r="AG45" i="1"/>
  <c r="AI45" i="1" s="1"/>
  <c r="AA44" i="1"/>
  <c r="AA196" i="1"/>
  <c r="X185" i="1"/>
  <c r="AG177" i="1"/>
  <c r="AI177" i="1" s="1"/>
  <c r="X177" i="1"/>
  <c r="AG170" i="1"/>
  <c r="U170" i="1" s="1"/>
  <c r="S170" i="1" s="1"/>
  <c r="X170" i="1"/>
  <c r="AG165" i="1"/>
  <c r="AG153" i="1"/>
  <c r="AI153" i="1" s="1"/>
  <c r="X153" i="1"/>
  <c r="AG148" i="1"/>
  <c r="AI148" i="1" s="1"/>
  <c r="AG132" i="1"/>
  <c r="W119" i="1"/>
  <c r="AI196" i="1"/>
  <c r="U192" i="1"/>
  <c r="S192" i="1" s="1"/>
  <c r="T174" i="1"/>
  <c r="T167" i="1"/>
  <c r="T224" i="1"/>
  <c r="AG209" i="1"/>
  <c r="AA159" i="1"/>
  <c r="W159" i="1" s="1"/>
  <c r="T157" i="1"/>
  <c r="AA155" i="1"/>
  <c r="T149" i="1"/>
  <c r="AA147" i="1"/>
  <c r="T141" i="1"/>
  <c r="AA139" i="1"/>
  <c r="T133" i="1"/>
  <c r="U133" i="1" s="1"/>
  <c r="S133" i="1" s="1"/>
  <c r="AA131" i="1"/>
  <c r="T124" i="1"/>
  <c r="AA122" i="1"/>
  <c r="AA114" i="1"/>
  <c r="T113" i="1"/>
  <c r="U113" i="1" s="1"/>
  <c r="S113" i="1" s="1"/>
  <c r="AA110" i="1"/>
  <c r="W110" i="1" s="1"/>
  <c r="T103" i="1"/>
  <c r="AG103" i="1"/>
  <c r="AI103" i="1" s="1"/>
  <c r="T90" i="1"/>
  <c r="X91" i="1"/>
  <c r="AG90" i="1"/>
  <c r="AI90" i="1" s="1"/>
  <c r="X88" i="1"/>
  <c r="AG88" i="1"/>
  <c r="AG222" i="1"/>
  <c r="AI222" i="1" s="1"/>
  <c r="X219" i="1"/>
  <c r="AG218" i="1"/>
  <c r="AG204" i="1"/>
  <c r="U204" i="1" s="1"/>
  <c r="S204" i="1" s="1"/>
  <c r="AA202" i="1"/>
  <c r="AA201" i="1"/>
  <c r="AA198" i="1"/>
  <c r="W198" i="1" s="1"/>
  <c r="T198" i="1"/>
  <c r="U198" i="1" s="1"/>
  <c r="S198" i="1" s="1"/>
  <c r="X189" i="1"/>
  <c r="AG188" i="1"/>
  <c r="AG186" i="1"/>
  <c r="U186" i="1" s="1"/>
  <c r="S186" i="1" s="1"/>
  <c r="AA184" i="1"/>
  <c r="W184" i="1" s="1"/>
  <c r="AI192" i="1"/>
  <c r="AA177" i="1"/>
  <c r="AG174" i="1"/>
  <c r="AG173" i="1"/>
  <c r="X173" i="1"/>
  <c r="AA170" i="1"/>
  <c r="AG167" i="1"/>
  <c r="AG166" i="1"/>
  <c r="U166" i="1" s="1"/>
  <c r="S166" i="1" s="1"/>
  <c r="X166" i="1"/>
  <c r="AA162" i="1"/>
  <c r="W162" i="1" s="1"/>
  <c r="AG224" i="1"/>
  <c r="AG223" i="1"/>
  <c r="U223" i="1" s="1"/>
  <c r="S223" i="1" s="1"/>
  <c r="X209" i="1"/>
  <c r="AG208" i="1"/>
  <c r="U208" i="1" s="1"/>
  <c r="S208" i="1" s="1"/>
  <c r="T205" i="1"/>
  <c r="U205" i="1" s="1"/>
  <c r="S205" i="1" s="1"/>
  <c r="AG157" i="1"/>
  <c r="W152" i="1"/>
  <c r="AG149" i="1"/>
  <c r="AG141" i="1"/>
  <c r="W136" i="1"/>
  <c r="W128" i="1"/>
  <c r="AG115" i="1"/>
  <c r="U115" i="1" s="1"/>
  <c r="S115" i="1" s="1"/>
  <c r="U202" i="1"/>
  <c r="S202" i="1" s="1"/>
  <c r="W196" i="1"/>
  <c r="T182" i="1"/>
  <c r="U182" i="1" s="1"/>
  <c r="S182" i="1" s="1"/>
  <c r="AA172" i="1"/>
  <c r="W172" i="1" s="1"/>
  <c r="AA171" i="1"/>
  <c r="AA165" i="1"/>
  <c r="W165" i="1" s="1"/>
  <c r="AA164" i="1"/>
  <c r="AA216" i="1"/>
  <c r="AA215" i="1"/>
  <c r="AG212" i="1"/>
  <c r="U212" i="1" s="1"/>
  <c r="S212" i="1" s="1"/>
  <c r="X212" i="1"/>
  <c r="AA211" i="1"/>
  <c r="W211" i="1" s="1"/>
  <c r="AA151" i="1"/>
  <c r="AA143" i="1"/>
  <c r="AA135" i="1"/>
  <c r="AA126" i="1"/>
  <c r="AA118" i="1"/>
  <c r="AG116" i="1"/>
  <c r="AA112" i="1"/>
  <c r="W112" i="1" s="1"/>
  <c r="X109" i="1"/>
  <c r="T99" i="1"/>
  <c r="AG99" i="1"/>
  <c r="X100" i="1"/>
  <c r="T88" i="1"/>
  <c r="U68" i="1"/>
  <c r="S68" i="1" s="1"/>
  <c r="AA222" i="1"/>
  <c r="AA221" i="1"/>
  <c r="AA219" i="1"/>
  <c r="W219" i="1" s="1"/>
  <c r="T219" i="1"/>
  <c r="U219" i="1" s="1"/>
  <c r="S219" i="1" s="1"/>
  <c r="AG194" i="1"/>
  <c r="U194" i="1" s="1"/>
  <c r="S194" i="1" s="1"/>
  <c r="AA192" i="1"/>
  <c r="W192" i="1" s="1"/>
  <c r="AA191" i="1"/>
  <c r="AA189" i="1"/>
  <c r="W189" i="1" s="1"/>
  <c r="T189" i="1"/>
  <c r="U189" i="1" s="1"/>
  <c r="S189" i="1" s="1"/>
  <c r="U178" i="1"/>
  <c r="S178" i="1" s="1"/>
  <c r="AA173" i="1"/>
  <c r="AA166" i="1"/>
  <c r="U162" i="1"/>
  <c r="S162" i="1" s="1"/>
  <c r="W224" i="1"/>
  <c r="X205" i="1"/>
  <c r="U153" i="1"/>
  <c r="S153" i="1" s="1"/>
  <c r="AA148" i="1"/>
  <c r="AA140" i="1"/>
  <c r="W140" i="1" s="1"/>
  <c r="AA132" i="1"/>
  <c r="W132" i="1" s="1"/>
  <c r="AA123" i="1"/>
  <c r="W123" i="1" s="1"/>
  <c r="AA117" i="1"/>
  <c r="U109" i="1"/>
  <c r="S109" i="1" s="1"/>
  <c r="W88" i="1"/>
  <c r="T86" i="1"/>
  <c r="X87" i="1"/>
  <c r="AG86" i="1"/>
  <c r="U86" i="1" s="1"/>
  <c r="S86" i="1" s="1"/>
  <c r="T78" i="1"/>
  <c r="X79" i="1"/>
  <c r="AG78" i="1"/>
  <c r="AA98" i="1"/>
  <c r="T96" i="1"/>
  <c r="U96" i="1" s="1"/>
  <c r="S96" i="1" s="1"/>
  <c r="T95" i="1"/>
  <c r="AA93" i="1"/>
  <c r="T92" i="1"/>
  <c r="U92" i="1" s="1"/>
  <c r="S92" i="1" s="1"/>
  <c r="AA81" i="1"/>
  <c r="T80" i="1"/>
  <c r="U80" i="1" s="1"/>
  <c r="S80" i="1" s="1"/>
  <c r="AA73" i="1"/>
  <c r="AA72" i="1"/>
  <c r="W72" i="1" s="1"/>
  <c r="AA71" i="1"/>
  <c r="AA69" i="1"/>
  <c r="W69" i="1" s="1"/>
  <c r="T69" i="1"/>
  <c r="AG66" i="1"/>
  <c r="AI66" i="1" s="1"/>
  <c r="AG64" i="1"/>
  <c r="AA63" i="1"/>
  <c r="AA62" i="1"/>
  <c r="AA60" i="1"/>
  <c r="AA59" i="1"/>
  <c r="AA57" i="1"/>
  <c r="T57" i="1"/>
  <c r="U57" i="1" s="1"/>
  <c r="T50" i="1"/>
  <c r="U50" i="1" s="1"/>
  <c r="S50" i="1" s="1"/>
  <c r="AI46" i="1"/>
  <c r="T45" i="1"/>
  <c r="AG43" i="1"/>
  <c r="W43" i="1" s="1"/>
  <c r="X42" i="1"/>
  <c r="AA41" i="1"/>
  <c r="AG35" i="1"/>
  <c r="AA33" i="1"/>
  <c r="AG27" i="1"/>
  <c r="AA25" i="1"/>
  <c r="AG19" i="1"/>
  <c r="AA17" i="1"/>
  <c r="AA105" i="1"/>
  <c r="AG104" i="1"/>
  <c r="W104" i="1" s="1"/>
  <c r="X103" i="1"/>
  <c r="W68" i="1"/>
  <c r="AA115" i="1"/>
  <c r="AA108" i="1"/>
  <c r="W108" i="1" s="1"/>
  <c r="AG105" i="1"/>
  <c r="AI105" i="1" s="1"/>
  <c r="AG102" i="1"/>
  <c r="AI102" i="1" s="1"/>
  <c r="X102" i="1"/>
  <c r="T100" i="1"/>
  <c r="U100" i="1" s="1"/>
  <c r="S100" i="1" s="1"/>
  <c r="X96" i="1"/>
  <c r="AG95" i="1"/>
  <c r="U95" i="1" s="1"/>
  <c r="S95" i="1" s="1"/>
  <c r="AA86" i="1"/>
  <c r="AA85" i="1"/>
  <c r="AG82" i="1"/>
  <c r="U82" i="1" s="1"/>
  <c r="S82" i="1" s="1"/>
  <c r="AA78" i="1"/>
  <c r="AA77" i="1"/>
  <c r="AA67" i="1"/>
  <c r="X63" i="1"/>
  <c r="X57" i="1"/>
  <c r="AG54" i="1"/>
  <c r="AI54" i="1" s="1"/>
  <c r="AA52" i="1"/>
  <c r="W52" i="1" s="1"/>
  <c r="AA51" i="1"/>
  <c r="X50" i="1"/>
  <c r="T42" i="1"/>
  <c r="AG39" i="1"/>
  <c r="W39" i="1" s="1"/>
  <c r="AA37" i="1"/>
  <c r="AG31" i="1"/>
  <c r="AA29" i="1"/>
  <c r="W29" i="1" s="1"/>
  <c r="AG23" i="1"/>
  <c r="W23" i="1" s="1"/>
  <c r="AA21" i="1"/>
  <c r="AG16" i="1"/>
  <c r="X15" i="1"/>
  <c r="U203" i="1"/>
  <c r="S203" i="1" s="1"/>
  <c r="AI213" i="1"/>
  <c r="U193" i="1"/>
  <c r="S193" i="1" s="1"/>
  <c r="U190" i="1"/>
  <c r="S190" i="1" s="1"/>
  <c r="AI205" i="1"/>
  <c r="X222" i="1"/>
  <c r="AG221" i="1"/>
  <c r="AI221" i="1" s="1"/>
  <c r="X218" i="1"/>
  <c r="AG217" i="1"/>
  <c r="AI217" i="1" s="1"/>
  <c r="X202" i="1"/>
  <c r="AG201" i="1"/>
  <c r="AI201" i="1" s="1"/>
  <c r="AG195" i="1"/>
  <c r="AI195" i="1" s="1"/>
  <c r="X192" i="1"/>
  <c r="AG191" i="1"/>
  <c r="AI191" i="1" s="1"/>
  <c r="X188" i="1"/>
  <c r="AG187" i="1"/>
  <c r="AI187" i="1" s="1"/>
  <c r="X181" i="1"/>
  <c r="AI224" i="1"/>
  <c r="X221" i="1"/>
  <c r="X217" i="1"/>
  <c r="AI212" i="1"/>
  <c r="X195" i="1"/>
  <c r="X191" i="1"/>
  <c r="AI204" i="1"/>
  <c r="X187" i="1"/>
  <c r="T183" i="1"/>
  <c r="U183" i="1" s="1"/>
  <c r="S183" i="1" s="1"/>
  <c r="U161" i="1"/>
  <c r="S161" i="1" s="1"/>
  <c r="X220" i="1"/>
  <c r="X204" i="1"/>
  <c r="X194" i="1"/>
  <c r="X190" i="1"/>
  <c r="X186" i="1"/>
  <c r="T184" i="1"/>
  <c r="U184" i="1" s="1"/>
  <c r="S184" i="1" s="1"/>
  <c r="X184" i="1"/>
  <c r="X183" i="1"/>
  <c r="AA181" i="1"/>
  <c r="W181" i="1" s="1"/>
  <c r="U181" i="1"/>
  <c r="S181" i="1" s="1"/>
  <c r="AA180" i="1"/>
  <c r="W180" i="1" s="1"/>
  <c r="T179" i="1"/>
  <c r="X179" i="1"/>
  <c r="AG179" i="1"/>
  <c r="AI179" i="1" s="1"/>
  <c r="T180" i="1"/>
  <c r="U180" i="1" s="1"/>
  <c r="S180" i="1" s="1"/>
  <c r="X180" i="1"/>
  <c r="U165" i="1"/>
  <c r="S165" i="1" s="1"/>
  <c r="U216" i="1"/>
  <c r="S216" i="1" s="1"/>
  <c r="U172" i="1"/>
  <c r="S172" i="1" s="1"/>
  <c r="X169" i="1"/>
  <c r="AG168" i="1"/>
  <c r="AI180" i="1"/>
  <c r="X165" i="1"/>
  <c r="AG164" i="1"/>
  <c r="AG160" i="1"/>
  <c r="AI160" i="1" s="1"/>
  <c r="AI172" i="1"/>
  <c r="X216" i="1"/>
  <c r="AG215" i="1"/>
  <c r="AI159" i="1"/>
  <c r="W106" i="1"/>
  <c r="X176" i="1"/>
  <c r="AG175" i="1"/>
  <c r="X172" i="1"/>
  <c r="AG171" i="1"/>
  <c r="AI171" i="1" s="1"/>
  <c r="AI183" i="1"/>
  <c r="X168" i="1"/>
  <c r="X164" i="1"/>
  <c r="X215" i="1"/>
  <c r="AA208" i="1"/>
  <c r="W208" i="1" s="1"/>
  <c r="AA207" i="1"/>
  <c r="AG206" i="1"/>
  <c r="AI206" i="1" s="1"/>
  <c r="T206" i="1"/>
  <c r="X206" i="1"/>
  <c r="U159" i="1"/>
  <c r="S159" i="1" s="1"/>
  <c r="AI154" i="1"/>
  <c r="AI146" i="1"/>
  <c r="AI138" i="1"/>
  <c r="AI130" i="1"/>
  <c r="AI121" i="1"/>
  <c r="AI106" i="1"/>
  <c r="AI190" i="1"/>
  <c r="X175" i="1"/>
  <c r="X171" i="1"/>
  <c r="AG210" i="1"/>
  <c r="AI210" i="1" s="1"/>
  <c r="T210" i="1"/>
  <c r="X210" i="1"/>
  <c r="T207" i="1"/>
  <c r="X207" i="1"/>
  <c r="W117" i="1"/>
  <c r="T211" i="1"/>
  <c r="U211" i="1" s="1"/>
  <c r="S211" i="1" s="1"/>
  <c r="X211" i="1"/>
  <c r="X208" i="1"/>
  <c r="AG207" i="1"/>
  <c r="AI150" i="1"/>
  <c r="AI142" i="1"/>
  <c r="AI134" i="1"/>
  <c r="AI125" i="1"/>
  <c r="AI117" i="1"/>
  <c r="AI110" i="1"/>
  <c r="T158" i="1"/>
  <c r="U158" i="1" s="1"/>
  <c r="X154" i="1"/>
  <c r="T154" i="1"/>
  <c r="U154" i="1" s="1"/>
  <c r="S154" i="1" s="1"/>
  <c r="X150" i="1"/>
  <c r="T150" i="1"/>
  <c r="U150" i="1" s="1"/>
  <c r="S150" i="1" s="1"/>
  <c r="X146" i="1"/>
  <c r="T146" i="1"/>
  <c r="U146" i="1" s="1"/>
  <c r="S146" i="1" s="1"/>
  <c r="X142" i="1"/>
  <c r="T142" i="1"/>
  <c r="U142" i="1" s="1"/>
  <c r="S142" i="1" s="1"/>
  <c r="X138" i="1"/>
  <c r="T138" i="1"/>
  <c r="U138" i="1" s="1"/>
  <c r="S138" i="1" s="1"/>
  <c r="X134" i="1"/>
  <c r="T134" i="1"/>
  <c r="U134" i="1" s="1"/>
  <c r="S134" i="1" s="1"/>
  <c r="T130" i="1"/>
  <c r="U130" i="1" s="1"/>
  <c r="S130" i="1" s="1"/>
  <c r="X125" i="1"/>
  <c r="T125" i="1"/>
  <c r="U125" i="1" s="1"/>
  <c r="S125" i="1" s="1"/>
  <c r="X121" i="1"/>
  <c r="T121" i="1"/>
  <c r="U121" i="1" s="1"/>
  <c r="S121" i="1" s="1"/>
  <c r="T117" i="1"/>
  <c r="U117" i="1" s="1"/>
  <c r="S117" i="1" s="1"/>
  <c r="X110" i="1"/>
  <c r="T110" i="1"/>
  <c r="U110" i="1" s="1"/>
  <c r="S110" i="1" s="1"/>
  <c r="X106" i="1"/>
  <c r="T106" i="1"/>
  <c r="U106" i="1" s="1"/>
  <c r="S106" i="1" s="1"/>
  <c r="T102" i="1"/>
  <c r="T94" i="1"/>
  <c r="U94" i="1" s="1"/>
  <c r="S94" i="1" s="1"/>
  <c r="X94" i="1"/>
  <c r="T89" i="1"/>
  <c r="X89" i="1"/>
  <c r="AG89" i="1"/>
  <c r="AA82" i="1"/>
  <c r="AG65" i="1"/>
  <c r="X65" i="1"/>
  <c r="T65" i="1"/>
  <c r="AI56" i="1"/>
  <c r="U140" i="1"/>
  <c r="S140" i="1" s="1"/>
  <c r="U136" i="1"/>
  <c r="S136" i="1" s="1"/>
  <c r="U132" i="1"/>
  <c r="S132" i="1" s="1"/>
  <c r="U128" i="1"/>
  <c r="S128" i="1" s="1"/>
  <c r="U112" i="1"/>
  <c r="S112" i="1" s="1"/>
  <c r="U108" i="1"/>
  <c r="S108" i="1" s="1"/>
  <c r="T97" i="1"/>
  <c r="X97" i="1"/>
  <c r="AG97" i="1"/>
  <c r="W97" i="1" s="1"/>
  <c r="AI94" i="1"/>
  <c r="AI86" i="1"/>
  <c r="T85" i="1"/>
  <c r="X85" i="1"/>
  <c r="AG85" i="1"/>
  <c r="AI62" i="1"/>
  <c r="U62" i="1"/>
  <c r="S62" i="1" s="1"/>
  <c r="AI49" i="1"/>
  <c r="U49" i="1"/>
  <c r="S49" i="1" s="1"/>
  <c r="AG155" i="1"/>
  <c r="X152" i="1"/>
  <c r="AG151" i="1"/>
  <c r="X148" i="1"/>
  <c r="AG147" i="1"/>
  <c r="X144" i="1"/>
  <c r="AG143" i="1"/>
  <c r="W143" i="1" s="1"/>
  <c r="X140" i="1"/>
  <c r="AG139" i="1"/>
  <c r="X136" i="1"/>
  <c r="AG135" i="1"/>
  <c r="X132" i="1"/>
  <c r="AG131" i="1"/>
  <c r="AG126" i="1"/>
  <c r="X123" i="1"/>
  <c r="AG122" i="1"/>
  <c r="AG118" i="1"/>
  <c r="AG114" i="1"/>
  <c r="AG111" i="1"/>
  <c r="X108" i="1"/>
  <c r="AG107" i="1"/>
  <c r="W107" i="1" s="1"/>
  <c r="T101" i="1"/>
  <c r="X101" i="1"/>
  <c r="T98" i="1"/>
  <c r="X98" i="1"/>
  <c r="AA90" i="1"/>
  <c r="W90" i="1" s="1"/>
  <c r="T81" i="1"/>
  <c r="X81" i="1"/>
  <c r="AG81" i="1"/>
  <c r="AI60" i="1"/>
  <c r="AI52" i="1"/>
  <c r="U52" i="1"/>
  <c r="S52" i="1" s="1"/>
  <c r="AI152" i="1"/>
  <c r="X151" i="1"/>
  <c r="X147" i="1"/>
  <c r="AI144" i="1"/>
  <c r="X143" i="1"/>
  <c r="AI140" i="1"/>
  <c r="X139" i="1"/>
  <c r="AI136" i="1"/>
  <c r="X135" i="1"/>
  <c r="AI132" i="1"/>
  <c r="X131" i="1"/>
  <c r="AI128" i="1"/>
  <c r="X122" i="1"/>
  <c r="AI119" i="1"/>
  <c r="AI112" i="1"/>
  <c r="X111" i="1"/>
  <c r="AI108" i="1"/>
  <c r="X107" i="1"/>
  <c r="AA102" i="1"/>
  <c r="W102" i="1" s="1"/>
  <c r="AG101" i="1"/>
  <c r="X99" i="1"/>
  <c r="AG98" i="1"/>
  <c r="AA95" i="1"/>
  <c r="W95" i="1" s="1"/>
  <c r="T93" i="1"/>
  <c r="X93" i="1"/>
  <c r="AG93" i="1"/>
  <c r="T77" i="1"/>
  <c r="X77" i="1"/>
  <c r="AG77" i="1"/>
  <c r="U87" i="1"/>
  <c r="S87" i="1" s="1"/>
  <c r="U79" i="1"/>
  <c r="S79" i="1" s="1"/>
  <c r="U75" i="1"/>
  <c r="S75" i="1" s="1"/>
  <c r="AG67" i="1"/>
  <c r="X68" i="1"/>
  <c r="U61" i="1"/>
  <c r="S61" i="1" s="1"/>
  <c r="AI61" i="1"/>
  <c r="AI57" i="1"/>
  <c r="AI53" i="1"/>
  <c r="T36" i="1"/>
  <c r="X36" i="1"/>
  <c r="AG36" i="1"/>
  <c r="X37" i="1"/>
  <c r="T28" i="1"/>
  <c r="X28" i="1"/>
  <c r="AG28" i="1"/>
  <c r="X29" i="1"/>
  <c r="T20" i="1"/>
  <c r="AG20" i="1"/>
  <c r="X90" i="1"/>
  <c r="AI87" i="1"/>
  <c r="X86" i="1"/>
  <c r="X82" i="1"/>
  <c r="X78" i="1"/>
  <c r="AI75" i="1"/>
  <c r="AI74" i="1"/>
  <c r="T72" i="1"/>
  <c r="U72" i="1" s="1"/>
  <c r="S72" i="1" s="1"/>
  <c r="U70" i="1"/>
  <c r="S70" i="1" s="1"/>
  <c r="U69" i="1"/>
  <c r="S69" i="1" s="1"/>
  <c r="AI69" i="1"/>
  <c r="AI68" i="1"/>
  <c r="T59" i="1"/>
  <c r="X59" i="1"/>
  <c r="AG59" i="1"/>
  <c r="X60" i="1"/>
  <c r="T55" i="1"/>
  <c r="X55" i="1"/>
  <c r="AG55" i="1"/>
  <c r="X56" i="1"/>
  <c r="U54" i="1"/>
  <c r="S54" i="1" s="1"/>
  <c r="T51" i="1"/>
  <c r="X51" i="1"/>
  <c r="AG51" i="1"/>
  <c r="X52" i="1"/>
  <c r="T47" i="1"/>
  <c r="X47" i="1"/>
  <c r="AG47" i="1"/>
  <c r="AA42" i="1"/>
  <c r="W42" i="1" s="1"/>
  <c r="AI42" i="1"/>
  <c r="T40" i="1"/>
  <c r="X40" i="1"/>
  <c r="AG40" i="1"/>
  <c r="X41" i="1"/>
  <c r="T32" i="1"/>
  <c r="X32" i="1"/>
  <c r="AG32" i="1"/>
  <c r="W32" i="1" s="1"/>
  <c r="X33" i="1"/>
  <c r="T24" i="1"/>
  <c r="X24" i="1"/>
  <c r="AG24" i="1"/>
  <c r="X25" i="1"/>
  <c r="AI72" i="1"/>
  <c r="T67" i="1"/>
  <c r="AG63" i="1"/>
  <c r="X64" i="1"/>
  <c r="W57" i="1"/>
  <c r="X49" i="1"/>
  <c r="AA48" i="1"/>
  <c r="U42" i="1"/>
  <c r="S42" i="1" s="1"/>
  <c r="W38" i="1"/>
  <c r="W26" i="1"/>
  <c r="W22" i="1"/>
  <c r="AA14" i="1"/>
  <c r="W14" i="1" s="1"/>
  <c r="T48" i="1"/>
  <c r="AI38" i="1"/>
  <c r="AI34" i="1"/>
  <c r="AI30" i="1"/>
  <c r="AI26" i="1"/>
  <c r="AI22" i="1"/>
  <c r="U22" i="1"/>
  <c r="S22" i="1" s="1"/>
  <c r="AI18" i="1"/>
  <c r="U18" i="1"/>
  <c r="S18" i="1" s="1"/>
  <c r="AI15" i="1"/>
  <c r="X66" i="1"/>
  <c r="X62" i="1"/>
  <c r="X58" i="1"/>
  <c r="X54" i="1"/>
  <c r="AG48" i="1"/>
  <c r="T46" i="1"/>
  <c r="U46" i="1" s="1"/>
  <c r="S46" i="1" s="1"/>
  <c r="T43" i="1"/>
  <c r="X43" i="1"/>
  <c r="AI29" i="1"/>
  <c r="W28" i="1"/>
  <c r="AI25" i="1"/>
  <c r="AI14" i="1"/>
  <c r="X39" i="1"/>
  <c r="X35" i="1"/>
  <c r="X31" i="1"/>
  <c r="X27" i="1"/>
  <c r="X23" i="1"/>
  <c r="AD18" i="3"/>
  <c r="AD17" i="3"/>
  <c r="AD15" i="3"/>
  <c r="AD14" i="3"/>
  <c r="AD13" i="3"/>
  <c r="AD26" i="3"/>
  <c r="AD37" i="3"/>
  <c r="AD29" i="3"/>
  <c r="AD39" i="3"/>
  <c r="AD8" i="3"/>
  <c r="AD24" i="3"/>
  <c r="AD12" i="3"/>
  <c r="AD22" i="3"/>
  <c r="AD38" i="3"/>
  <c r="AD19" i="3"/>
  <c r="AD21" i="3"/>
  <c r="AD27" i="3"/>
  <c r="AD31" i="3"/>
  <c r="AD34" i="3"/>
  <c r="Y41" i="3"/>
  <c r="Y33" i="3"/>
  <c r="Y9" i="3"/>
  <c r="Y30" i="3"/>
  <c r="Y35" i="3"/>
  <c r="Y20" i="3"/>
  <c r="Y28" i="3"/>
  <c r="Y10" i="3"/>
  <c r="Y32" i="3"/>
  <c r="Y14" i="3"/>
  <c r="Y7" i="3"/>
  <c r="Y16" i="3"/>
  <c r="Y25" i="3"/>
  <c r="Y11" i="3"/>
  <c r="Y36" i="3"/>
  <c r="Y23" i="3"/>
  <c r="AD7" i="3"/>
  <c r="AD16" i="3"/>
  <c r="AD41" i="3"/>
  <c r="AD25" i="3"/>
  <c r="AD33" i="3"/>
  <c r="AD11" i="3"/>
  <c r="AD36" i="3"/>
  <c r="AD23" i="3"/>
  <c r="AD9" i="3"/>
  <c r="AD30" i="3"/>
  <c r="AD35" i="3"/>
  <c r="AD20" i="3"/>
  <c r="AD28" i="3"/>
  <c r="AD10" i="3"/>
  <c r="AD32" i="3"/>
  <c r="AC18" i="3"/>
  <c r="AC17" i="3"/>
  <c r="AC15" i="3"/>
  <c r="AC14" i="3"/>
  <c r="Y40" i="3"/>
  <c r="AC40" i="3"/>
  <c r="AI199" i="1" l="1"/>
  <c r="U199" i="1"/>
  <c r="S199" i="1" s="1"/>
  <c r="AI197" i="1"/>
  <c r="U197" i="1"/>
  <c r="S197" i="1" s="1"/>
  <c r="W197" i="1"/>
  <c r="AI127" i="1"/>
  <c r="U127" i="1"/>
  <c r="S127" i="1" s="1"/>
  <c r="W127" i="1"/>
  <c r="U148" i="1"/>
  <c r="S148" i="1" s="1"/>
  <c r="U169" i="1"/>
  <c r="S169" i="1" s="1"/>
  <c r="U220" i="1"/>
  <c r="S220" i="1" s="1"/>
  <c r="U73" i="1"/>
  <c r="S73" i="1" s="1"/>
  <c r="W99" i="1"/>
  <c r="W212" i="1"/>
  <c r="W120" i="1"/>
  <c r="W157" i="1"/>
  <c r="W59" i="1"/>
  <c r="W36" i="1"/>
  <c r="AI156" i="1"/>
  <c r="AI95" i="1"/>
  <c r="W168" i="1"/>
  <c r="AI194" i="1"/>
  <c r="W173" i="1"/>
  <c r="W176" i="1"/>
  <c r="W200" i="1"/>
  <c r="W84" i="1"/>
  <c r="AI17" i="1"/>
  <c r="W131" i="1"/>
  <c r="W147" i="1"/>
  <c r="U120" i="1"/>
  <c r="S120" i="1" s="1"/>
  <c r="W148" i="1"/>
  <c r="W76" i="1"/>
  <c r="S29" i="1"/>
  <c r="W24" i="1"/>
  <c r="AI104" i="1"/>
  <c r="AI82" i="1"/>
  <c r="W65" i="1"/>
  <c r="U105" i="1"/>
  <c r="S105" i="1" s="1"/>
  <c r="W27" i="1"/>
  <c r="U167" i="1"/>
  <c r="S167" i="1" s="1"/>
  <c r="W163" i="1"/>
  <c r="AI33" i="1"/>
  <c r="U58" i="1"/>
  <c r="S58" i="1" s="1"/>
  <c r="AI123" i="1"/>
  <c r="W111" i="1"/>
  <c r="W126" i="1"/>
  <c r="W82" i="1"/>
  <c r="AI186" i="1"/>
  <c r="AI166" i="1"/>
  <c r="AI200" i="1"/>
  <c r="W86" i="1"/>
  <c r="W17" i="1"/>
  <c r="W33" i="1"/>
  <c r="W62" i="1"/>
  <c r="W73" i="1"/>
  <c r="U78" i="1"/>
  <c r="S78" i="1" s="1"/>
  <c r="W166" i="1"/>
  <c r="AI84" i="1"/>
  <c r="W87" i="1"/>
  <c r="W103" i="1"/>
  <c r="W144" i="1"/>
  <c r="U104" i="1"/>
  <c r="S104" i="1" s="1"/>
  <c r="W40" i="1"/>
  <c r="W89" i="1"/>
  <c r="AI167" i="1"/>
  <c r="AI208" i="1"/>
  <c r="U45" i="1"/>
  <c r="S45" i="1" s="1"/>
  <c r="W202" i="1"/>
  <c r="U43" i="1"/>
  <c r="S43" i="1" s="1"/>
  <c r="AI43" i="1"/>
  <c r="W67" i="1"/>
  <c r="W114" i="1"/>
  <c r="U144" i="1"/>
  <c r="S144" i="1" s="1"/>
  <c r="U102" i="1"/>
  <c r="S102" i="1" s="1"/>
  <c r="W216" i="1"/>
  <c r="W214" i="1"/>
  <c r="W83" i="1"/>
  <c r="S56" i="1"/>
  <c r="AI37" i="1"/>
  <c r="W171" i="1"/>
  <c r="U145" i="1"/>
  <c r="S145" i="1" s="1"/>
  <c r="W44" i="1"/>
  <c r="W71" i="1"/>
  <c r="W129" i="1"/>
  <c r="AI21" i="1"/>
  <c r="AI44" i="1"/>
  <c r="W101" i="1"/>
  <c r="W118" i="1"/>
  <c r="W151" i="1"/>
  <c r="AI176" i="1"/>
  <c r="W21" i="1"/>
  <c r="W37" i="1"/>
  <c r="U129" i="1"/>
  <c r="S129" i="1" s="1"/>
  <c r="W116" i="1"/>
  <c r="W149" i="1"/>
  <c r="U224" i="1"/>
  <c r="S224" i="1" s="1"/>
  <c r="U174" i="1"/>
  <c r="S174" i="1" s="1"/>
  <c r="W145" i="1"/>
  <c r="U213" i="1"/>
  <c r="S213" i="1" s="1"/>
  <c r="W58" i="1"/>
  <c r="AI83" i="1"/>
  <c r="AI91" i="1"/>
  <c r="W60" i="1"/>
  <c r="U83" i="1"/>
  <c r="S83" i="1" s="1"/>
  <c r="AI71" i="1"/>
  <c r="AI78" i="1"/>
  <c r="AI115" i="1"/>
  <c r="AI163" i="1"/>
  <c r="U200" i="1"/>
  <c r="S200" i="1" s="1"/>
  <c r="W223" i="1"/>
  <c r="W177" i="1"/>
  <c r="U103" i="1"/>
  <c r="S103" i="1" s="1"/>
  <c r="W169" i="1"/>
  <c r="W91" i="1"/>
  <c r="W93" i="1"/>
  <c r="AI99" i="1"/>
  <c r="W115" i="1"/>
  <c r="W25" i="1"/>
  <c r="W41" i="1"/>
  <c r="W64" i="1"/>
  <c r="AI76" i="1"/>
  <c r="U124" i="1"/>
  <c r="S124" i="1" s="1"/>
  <c r="W220" i="1"/>
  <c r="U71" i="1"/>
  <c r="S71" i="1" s="1"/>
  <c r="W122" i="1"/>
  <c r="W139" i="1"/>
  <c r="W155" i="1"/>
  <c r="W175" i="1"/>
  <c r="U222" i="1"/>
  <c r="S222" i="1" s="1"/>
  <c r="U137" i="1"/>
  <c r="S137" i="1" s="1"/>
  <c r="U214" i="1"/>
  <c r="S214" i="1" s="1"/>
  <c r="U163" i="1"/>
  <c r="S163" i="1" s="1"/>
  <c r="U177" i="1"/>
  <c r="S177" i="1" s="1"/>
  <c r="W222" i="1"/>
  <c r="U76" i="1"/>
  <c r="S76" i="1" s="1"/>
  <c r="W137" i="1"/>
  <c r="W207" i="1"/>
  <c r="W174" i="1"/>
  <c r="W124" i="1"/>
  <c r="U66" i="1"/>
  <c r="S66" i="1" s="1"/>
  <c r="W98" i="1"/>
  <c r="W135" i="1"/>
  <c r="W170" i="1"/>
  <c r="U90" i="1"/>
  <c r="S90" i="1" s="1"/>
  <c r="W153" i="1"/>
  <c r="U41" i="1"/>
  <c r="S41" i="1" s="1"/>
  <c r="AI41" i="1"/>
  <c r="W45" i="1"/>
  <c r="AI175" i="1"/>
  <c r="AI168" i="1"/>
  <c r="W160" i="1"/>
  <c r="U16" i="1"/>
  <c r="S16" i="1" s="1"/>
  <c r="AI16" i="1"/>
  <c r="U31" i="1"/>
  <c r="S31" i="1" s="1"/>
  <c r="AI31" i="1"/>
  <c r="U99" i="1"/>
  <c r="S99" i="1" s="1"/>
  <c r="U149" i="1"/>
  <c r="S149" i="1" s="1"/>
  <c r="AI149" i="1"/>
  <c r="U218" i="1"/>
  <c r="S218" i="1" s="1"/>
  <c r="AI218" i="1"/>
  <c r="U88" i="1"/>
  <c r="S88" i="1" s="1"/>
  <c r="AI88" i="1"/>
  <c r="W194" i="1"/>
  <c r="W186" i="1"/>
  <c r="W164" i="1"/>
  <c r="AI164" i="1"/>
  <c r="U19" i="1"/>
  <c r="S19" i="1" s="1"/>
  <c r="AI19" i="1"/>
  <c r="U35" i="1"/>
  <c r="S35" i="1" s="1"/>
  <c r="AI35" i="1"/>
  <c r="U188" i="1"/>
  <c r="S188" i="1" s="1"/>
  <c r="AI188" i="1"/>
  <c r="U209" i="1"/>
  <c r="S209" i="1" s="1"/>
  <c r="W188" i="1"/>
  <c r="W209" i="1"/>
  <c r="W206" i="1"/>
  <c r="W201" i="1"/>
  <c r="U23" i="1"/>
  <c r="S23" i="1" s="1"/>
  <c r="AI23" i="1"/>
  <c r="U39" i="1"/>
  <c r="S39" i="1" s="1"/>
  <c r="AI39" i="1"/>
  <c r="W78" i="1"/>
  <c r="U64" i="1"/>
  <c r="S64" i="1" s="1"/>
  <c r="AI64" i="1"/>
  <c r="W16" i="1"/>
  <c r="W31" i="1"/>
  <c r="W66" i="1"/>
  <c r="U116" i="1"/>
  <c r="S116" i="1" s="1"/>
  <c r="AI116" i="1"/>
  <c r="U141" i="1"/>
  <c r="S141" i="1" s="1"/>
  <c r="AI141" i="1"/>
  <c r="U157" i="1"/>
  <c r="S157" i="1" s="1"/>
  <c r="AI157" i="1"/>
  <c r="W141" i="1"/>
  <c r="W48" i="1"/>
  <c r="AI209" i="1"/>
  <c r="W105" i="1"/>
  <c r="U27" i="1"/>
  <c r="S27" i="1" s="1"/>
  <c r="AI27" i="1"/>
  <c r="W19" i="1"/>
  <c r="W35" i="1"/>
  <c r="U173" i="1"/>
  <c r="S173" i="1" s="1"/>
  <c r="AI173" i="1"/>
  <c r="W54" i="1"/>
  <c r="W218" i="1"/>
  <c r="W167" i="1"/>
  <c r="W204" i="1"/>
  <c r="U24" i="1"/>
  <c r="S24" i="1" s="1"/>
  <c r="AI24" i="1"/>
  <c r="U40" i="1"/>
  <c r="S40" i="1" s="1"/>
  <c r="AI40" i="1"/>
  <c r="AI48" i="1"/>
  <c r="U48" i="1"/>
  <c r="S48" i="1" s="1"/>
  <c r="AI63" i="1"/>
  <c r="U63" i="1"/>
  <c r="S63" i="1" s="1"/>
  <c r="AI47" i="1"/>
  <c r="U47" i="1"/>
  <c r="S47" i="1" s="1"/>
  <c r="AI51" i="1"/>
  <c r="U51" i="1"/>
  <c r="S51" i="1" s="1"/>
  <c r="AI55" i="1"/>
  <c r="U55" i="1"/>
  <c r="S55" i="1" s="1"/>
  <c r="W63" i="1"/>
  <c r="AI67" i="1"/>
  <c r="U67" i="1"/>
  <c r="S67" i="1" s="1"/>
  <c r="W55" i="1"/>
  <c r="U101" i="1"/>
  <c r="S101" i="1" s="1"/>
  <c r="AI101" i="1"/>
  <c r="U81" i="1"/>
  <c r="S81" i="1" s="1"/>
  <c r="AI81" i="1"/>
  <c r="U111" i="1"/>
  <c r="S111" i="1" s="1"/>
  <c r="AI111" i="1"/>
  <c r="U118" i="1"/>
  <c r="S118" i="1" s="1"/>
  <c r="AI118" i="1"/>
  <c r="U126" i="1"/>
  <c r="S126" i="1" s="1"/>
  <c r="AI126" i="1"/>
  <c r="U135" i="1"/>
  <c r="S135" i="1" s="1"/>
  <c r="AI135" i="1"/>
  <c r="U143" i="1"/>
  <c r="S143" i="1" s="1"/>
  <c r="AI143" i="1"/>
  <c r="U151" i="1"/>
  <c r="S151" i="1" s="1"/>
  <c r="AI151" i="1"/>
  <c r="W81" i="1"/>
  <c r="AI162" i="1"/>
  <c r="U207" i="1"/>
  <c r="S207" i="1" s="1"/>
  <c r="U210" i="1"/>
  <c r="S210" i="1" s="1"/>
  <c r="AI165" i="1"/>
  <c r="U206" i="1"/>
  <c r="S206" i="1" s="1"/>
  <c r="AI161" i="1"/>
  <c r="W210" i="1"/>
  <c r="U179" i="1"/>
  <c r="S179" i="1" s="1"/>
  <c r="AI193" i="1"/>
  <c r="W179" i="1"/>
  <c r="AI203" i="1"/>
  <c r="U187" i="1"/>
  <c r="S187" i="1" s="1"/>
  <c r="AI211" i="1"/>
  <c r="U195" i="1"/>
  <c r="S195" i="1" s="1"/>
  <c r="AI219" i="1"/>
  <c r="U217" i="1"/>
  <c r="S217" i="1" s="1"/>
  <c r="W217" i="1"/>
  <c r="W195" i="1"/>
  <c r="U93" i="1"/>
  <c r="S93" i="1" s="1"/>
  <c r="AI93" i="1"/>
  <c r="U85" i="1"/>
  <c r="S85" i="1" s="1"/>
  <c r="AI85" i="1"/>
  <c r="W85" i="1"/>
  <c r="AI59" i="1"/>
  <c r="U59" i="1"/>
  <c r="S59" i="1" s="1"/>
  <c r="U28" i="1"/>
  <c r="S28" i="1" s="1"/>
  <c r="AI28" i="1"/>
  <c r="U107" i="1"/>
  <c r="S107" i="1" s="1"/>
  <c r="AI107" i="1"/>
  <c r="U114" i="1"/>
  <c r="S114" i="1" s="1"/>
  <c r="AI114" i="1"/>
  <c r="U122" i="1"/>
  <c r="S122" i="1" s="1"/>
  <c r="AI122" i="1"/>
  <c r="U131" i="1"/>
  <c r="S131" i="1" s="1"/>
  <c r="AI131" i="1"/>
  <c r="U139" i="1"/>
  <c r="S139" i="1" s="1"/>
  <c r="AI139" i="1"/>
  <c r="U147" i="1"/>
  <c r="S147" i="1" s="1"/>
  <c r="AI147" i="1"/>
  <c r="U155" i="1"/>
  <c r="S155" i="1" s="1"/>
  <c r="AI155" i="1"/>
  <c r="U65" i="1"/>
  <c r="S65" i="1" s="1"/>
  <c r="AI65" i="1"/>
  <c r="U89" i="1"/>
  <c r="S89" i="1" s="1"/>
  <c r="AI89" i="1"/>
  <c r="AI170" i="1"/>
  <c r="U215" i="1"/>
  <c r="S215" i="1" s="1"/>
  <c r="AI174" i="1"/>
  <c r="U160" i="1"/>
  <c r="S160" i="1" s="1"/>
  <c r="AI178" i="1"/>
  <c r="U164" i="1"/>
  <c r="S164" i="1" s="1"/>
  <c r="AI182" i="1"/>
  <c r="U168" i="1"/>
  <c r="S168" i="1" s="1"/>
  <c r="W215" i="1"/>
  <c r="AI207" i="1"/>
  <c r="U191" i="1"/>
  <c r="S191" i="1" s="1"/>
  <c r="AI215" i="1"/>
  <c r="U201" i="1"/>
  <c r="S201" i="1" s="1"/>
  <c r="AI223" i="1"/>
  <c r="U221" i="1"/>
  <c r="S221" i="1" s="1"/>
  <c r="W187" i="1"/>
  <c r="W221" i="1"/>
  <c r="W191" i="1"/>
  <c r="U32" i="1"/>
  <c r="S32" i="1" s="1"/>
  <c r="AI32" i="1"/>
  <c r="U20" i="1"/>
  <c r="S20" i="1" s="1"/>
  <c r="AI20" i="1"/>
  <c r="U36" i="1"/>
  <c r="S36" i="1" s="1"/>
  <c r="AI36" i="1"/>
  <c r="U77" i="1"/>
  <c r="S77" i="1" s="1"/>
  <c r="AI77" i="1"/>
  <c r="W20" i="1"/>
  <c r="AI98" i="1"/>
  <c r="U98" i="1"/>
  <c r="S98" i="1" s="1"/>
  <c r="W77" i="1"/>
  <c r="W51" i="1"/>
  <c r="U97" i="1"/>
  <c r="S97" i="1" s="1"/>
  <c r="AI97" i="1"/>
  <c r="W47" i="1"/>
  <c r="AI185" i="1"/>
  <c r="U171" i="1"/>
  <c r="S171" i="1" s="1"/>
  <c r="AI189" i="1"/>
  <c r="U175" i="1"/>
  <c r="S175" i="1" s="1"/>
  <c r="AD40" i="3"/>
  <c r="B53" i="9" l="1"/>
  <c r="B54" i="9"/>
  <c r="B55" i="9"/>
  <c r="C55" i="9" s="1"/>
  <c r="B56" i="9"/>
  <c r="C56" i="9" s="1"/>
  <c r="B57" i="9"/>
  <c r="B58" i="9"/>
  <c r="C58" i="9" s="1"/>
  <c r="B59" i="9"/>
  <c r="C59" i="9" s="1"/>
  <c r="B60" i="9"/>
  <c r="C60" i="9" s="1"/>
  <c r="B61" i="9"/>
  <c r="B62" i="9"/>
  <c r="C62" i="9" s="1"/>
  <c r="B63" i="9"/>
  <c r="C63" i="9" s="1"/>
  <c r="B64" i="9"/>
  <c r="C64" i="9" s="1"/>
  <c r="B65" i="9"/>
  <c r="B66" i="9"/>
  <c r="C66" i="9" s="1"/>
  <c r="B67" i="9"/>
  <c r="C67" i="9" s="1"/>
  <c r="B68" i="9"/>
  <c r="C68" i="9" s="1"/>
  <c r="B69" i="9"/>
  <c r="B70" i="9"/>
  <c r="C70" i="9" s="1"/>
  <c r="B71" i="9"/>
  <c r="C71" i="9" s="1"/>
  <c r="B72" i="9"/>
  <c r="C72" i="9" s="1"/>
  <c r="B73" i="9"/>
  <c r="B74" i="9"/>
  <c r="C74" i="9" s="1"/>
  <c r="B75" i="9"/>
  <c r="C75" i="9" s="1"/>
  <c r="B76" i="9"/>
  <c r="C76" i="9" s="1"/>
  <c r="B77" i="9"/>
  <c r="B78" i="9"/>
  <c r="C78" i="9" s="1"/>
  <c r="B79" i="9"/>
  <c r="C79" i="9" s="1"/>
  <c r="B80" i="9"/>
  <c r="C80" i="9" s="1"/>
  <c r="C54" i="9" l="1"/>
  <c r="C77" i="9"/>
  <c r="C73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N41" i="3" s="1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2" i="4"/>
  <c r="N23" i="3" l="1"/>
  <c r="N37" i="3"/>
  <c r="N25" i="3"/>
  <c r="N24" i="3"/>
  <c r="N31" i="3"/>
  <c r="N16" i="3"/>
  <c r="N29" i="3"/>
  <c r="N39" i="3"/>
  <c r="N36" i="3"/>
  <c r="N9" i="3"/>
  <c r="N22" i="3"/>
  <c r="N19" i="3"/>
  <c r="N35" i="3"/>
  <c r="N27" i="3"/>
  <c r="N10" i="3"/>
  <c r="N33" i="3"/>
  <c r="N40" i="3"/>
  <c r="N7" i="3"/>
  <c r="N34" i="3"/>
  <c r="N17" i="3"/>
  <c r="N18" i="3"/>
  <c r="N13" i="3"/>
  <c r="N26" i="3"/>
  <c r="N8" i="3"/>
  <c r="N11" i="3"/>
  <c r="N12" i="3"/>
  <c r="N38" i="3"/>
  <c r="N30" i="3"/>
  <c r="N28" i="3"/>
  <c r="N21" i="3"/>
  <c r="N20" i="3"/>
  <c r="N32" i="3"/>
  <c r="N14" i="3"/>
  <c r="N15" i="3"/>
  <c r="L13" i="1"/>
  <c r="B3" i="6" l="1"/>
  <c r="H3" i="6" s="1"/>
  <c r="K3" i="6"/>
  <c r="B4" i="6"/>
  <c r="G4" i="6" s="1"/>
  <c r="K4" i="6"/>
  <c r="B5" i="6"/>
  <c r="H5" i="6" s="1"/>
  <c r="K5" i="6"/>
  <c r="B6" i="6"/>
  <c r="H6" i="6" s="1"/>
  <c r="K6" i="6"/>
  <c r="F4" i="6" l="1"/>
  <c r="J5" i="6"/>
  <c r="I3" i="6"/>
  <c r="G6" i="6"/>
  <c r="J6" i="6"/>
  <c r="F6" i="6"/>
  <c r="I5" i="6"/>
  <c r="G3" i="6"/>
  <c r="G5" i="6"/>
  <c r="J4" i="6"/>
  <c r="J3" i="6"/>
  <c r="F3" i="6"/>
  <c r="I6" i="6"/>
  <c r="F5" i="6"/>
  <c r="I4" i="6"/>
  <c r="H4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P13" i="1" s="1"/>
  <c r="V13" i="1"/>
  <c r="Y13" i="1"/>
  <c r="Z13" i="1"/>
  <c r="AB13" i="1"/>
  <c r="AC13" i="1"/>
  <c r="AD13" i="1"/>
  <c r="X14" i="1" s="1"/>
  <c r="AE13" i="1"/>
  <c r="AF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U13" i="1"/>
  <c r="S13" i="1" s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V5" i="1" l="1"/>
  <c r="V8" i="1" s="1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54" i="4" l="1"/>
  <c r="F255" i="4"/>
  <c r="F256" i="4"/>
  <c r="F257" i="4"/>
  <c r="F258" i="4"/>
  <c r="F259" i="4"/>
  <c r="F260" i="4"/>
  <c r="F261" i="4"/>
  <c r="F262" i="4"/>
  <c r="F263" i="4"/>
  <c r="F264" i="4"/>
  <c r="F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<sst xmlns="http://schemas.openxmlformats.org/spreadsheetml/2006/main" count="2605" uniqueCount="939">
  <si>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</si>
  <si>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</si>
  <si>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</si>
  <si>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</si>
  <si>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</si>
  <si>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</si>
  <si>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</si>
  <si>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</si>
  <si>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</si>
  <si>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</si>
  <si>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</si>
  <si>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</si>
  <si>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</si>
  <si>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</si>
  <si>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</si>
  <si>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</si>
  <si>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</si>
  <si>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</si>
  <si>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</si>
  <si>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</si>
  <si>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</si>
  <si>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</si>
  <si>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</si>
  <si>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</si>
  <si>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</si>
  <si>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</si>
  <si>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</si>
  <si>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</si>
  <si>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</si>
  <si>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</si>
  <si>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</si>
  <si>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</si>
  <si>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</si>
  <si>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</si>
  <si>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</si>
  <si>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</si>
  <si>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</si>
  <si>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</si>
  <si>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</si>
  <si>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</si>
  <si>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</si>
  <si>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</si>
  <si>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</si>
  <si>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</si>
  <si>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</si>
  <si>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</si>
  <si>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</si>
  <si>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</si>
  <si>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</si>
  <si>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</si>
  <si>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</si>
  <si>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</si>
  <si>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</si>
  <si>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</si>
  <si>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</si>
  <si>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</si>
  <si>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</si>
  <si>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</si>
  <si>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</si>
  <si>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</si>
  <si>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</si>
  <si>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</si>
  <si>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</si>
  <si>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</si>
  <si>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</si>
  <si>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</si>
  <si>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</si>
  <si>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</si>
  <si>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</si>
  <si>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</si>
  <si>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</si>
  <si>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</si>
  <si>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</si>
  <si>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</si>
  <si>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</si>
  <si>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</si>
  <si>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</si>
  <si>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</si>
  <si>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</si>
  <si>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</si>
  <si>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</si>
  <si>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</si>
  <si>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</si>
  <si>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</si>
  <si>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</si>
  <si>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</si>
  <si>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</si>
  <si>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</si>
  <si>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</si>
  <si>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</si>
  <si>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</si>
  <si>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</si>
  <si>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</si>
  <si>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</si>
  <si>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</si>
  <si>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</si>
  <si>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</si>
  <si>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</si>
  <si>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</si>
  <si>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</si>
  <si>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</si>
  <si>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</si>
  <si>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</si>
  <si>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</si>
  <si>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</si>
  <si>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</si>
  <si>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</si>
  <si>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</si>
  <si>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</si>
  <si>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</si>
  <si>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</si>
  <si>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</si>
  <si>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</si>
  <si>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</si>
  <si>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</si>
  <si>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</si>
  <si>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</si>
  <si>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</si>
  <si>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</si>
  <si>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</si>
  <si>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</si>
  <si>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</si>
  <si>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</si>
  <si>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</si>
  <si>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</si>
  <si>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</si>
  <si>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</si>
  <si>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</si>
  <si>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</si>
  <si>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</si>
  <si>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</si>
  <si>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</si>
  <si>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</si>
  <si>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</si>
  <si>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</si>
  <si>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</si>
  <si>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</si>
  <si>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</si>
  <si>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</si>
  <si>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</si>
  <si>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</si>
  <si>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</si>
  <si>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</si>
  <si>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</si>
  <si>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</si>
  <si>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</si>
  <si>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</si>
  <si>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</si>
  <si>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</si>
  <si>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</si>
  <si>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</si>
  <si>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</si>
  <si>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</si>
  <si>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</si>
  <si>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</si>
  <si>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</si>
  <si>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</si>
  <si>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</si>
  <si>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</si>
  <si>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</si>
  <si>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</si>
  <si>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</si>
  <si>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</si>
  <si>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</si>
  <si>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</si>
  <si>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</si>
  <si>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</si>
  <si>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</si>
  <si>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</si>
  <si>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</si>
  <si>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</si>
  <si>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</si>
  <si>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</si>
  <si>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</si>
  <si>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</si>
  <si>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</si>
  <si>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</si>
  <si>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</si>
  <si>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</si>
  <si>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</si>
  <si>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</si>
  <si>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</si>
  <si>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</si>
  <si>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</si>
  <si>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</si>
  <si>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</si>
  <si>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</si>
  <si>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</si>
  <si>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</si>
  <si>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</si>
  <si>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</si>
  <si>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</si>
  <si>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</si>
  <si>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</si>
  <si>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</si>
  <si>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</si>
  <si>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</si>
  <si>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</si>
  <si>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</si>
  <si>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</si>
  <si>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</si>
  <si>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</si>
  <si>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</si>
  <si>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</si>
  <si>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</si>
  <si>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204:156</t>
  </si>
  <si>
    <t>rtdc.l.rtdc.4011:itc</t>
  </si>
  <si>
    <t>DE.1.0.8.0</t>
  </si>
  <si>
    <t>rtdc.l.rtdc.4040:itc</t>
  </si>
  <si>
    <t>204:158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</si>
  <si>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</si>
  <si>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</si>
  <si>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</si>
  <si>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</si>
  <si>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</si>
  <si>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</si>
  <si>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</si>
  <si>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</si>
  <si>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</si>
  <si>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</si>
  <si>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</si>
  <si>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</si>
  <si>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</si>
  <si>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</si>
  <si>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</si>
  <si>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</si>
  <si>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</si>
  <si>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</si>
  <si>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204:466</t>
  </si>
  <si>
    <t>204:141</t>
  </si>
  <si>
    <t>rtdc.l.rtdc.4014:itc</t>
  </si>
  <si>
    <t>rtdc.l.rtdc.4013:itc</t>
  </si>
  <si>
    <t>CLI Grep2 (for slice disagreement)</t>
  </si>
  <si>
    <t>Y</t>
  </si>
  <si>
    <t>204:232993</t>
  </si>
  <si>
    <t>204:165</t>
  </si>
  <si>
    <t>204:455</t>
  </si>
  <si>
    <t>rtdc.l.rtdc.4031:itc</t>
  </si>
  <si>
    <t>204:442</t>
  </si>
  <si>
    <t>rtdc.l.rtdc.4046:itc</t>
  </si>
  <si>
    <t>204:161</t>
  </si>
  <si>
    <t>204:460</t>
  </si>
  <si>
    <t>204:457</t>
  </si>
  <si>
    <t>204:471</t>
  </si>
  <si>
    <t>rtdc.l.rtdc.4042:itc</t>
  </si>
  <si>
    <t>rtdc.l.rtdc.4041:itc</t>
  </si>
  <si>
    <t>DAVIDSON</t>
  </si>
  <si>
    <t>SAFIEF</t>
  </si>
  <si>
    <t>204:233307</t>
  </si>
  <si>
    <t>204:232989</t>
  </si>
  <si>
    <t>rtdc.l.rtdc.4010:itc</t>
  </si>
  <si>
    <t>204:145</t>
  </si>
  <si>
    <t>204:467</t>
  </si>
  <si>
    <t>204:233298</t>
  </si>
  <si>
    <t>rtdc.l.rtdc.4032:itc</t>
  </si>
  <si>
    <t>CHANDLER</t>
  </si>
  <si>
    <t>LALONDE</t>
  </si>
  <si>
    <t>81-25</t>
  </si>
  <si>
    <t>80-25</t>
  </si>
  <si>
    <t>309-25</t>
  </si>
  <si>
    <t>244-25</t>
  </si>
  <si>
    <t>311-25</t>
  </si>
  <si>
    <t>246-25</t>
  </si>
  <si>
    <t>313-25</t>
  </si>
  <si>
    <t>315-25</t>
  </si>
  <si>
    <t>partly-cloudy-night</t>
  </si>
  <si>
    <t>partly-cloudy-day</t>
  </si>
  <si>
    <t>204:160</t>
  </si>
  <si>
    <t>204:458</t>
  </si>
  <si>
    <t>rtdc.l.rtdc.4016:itc</t>
  </si>
  <si>
    <t>rtdc.l.rtdc.4001:itc</t>
  </si>
  <si>
    <t>LEVERE</t>
  </si>
  <si>
    <t>COOLAHAN</t>
  </si>
  <si>
    <t>204:163</t>
  </si>
  <si>
    <t>204:233297</t>
  </si>
  <si>
    <t>:.+((SYSTEM_STATE.+slice.+state.+changed )|(ment ac)|(multiple cpu faults)|(system.+state.+changed )|(\[timeout)|(PRM\|1\|D)|(kpr)|(kdp)|(\|lc)|(penalty))</t>
  </si>
  <si>
    <t>YANAI</t>
  </si>
  <si>
    <t>Partly Cloudy</t>
  </si>
  <si>
    <t>204:438</t>
  </si>
  <si>
    <t>204:971</t>
  </si>
  <si>
    <t>rtdc.l.rtdc.4030:itc</t>
  </si>
  <si>
    <t>GRADE CROSSING</t>
  </si>
  <si>
    <t>Bulletin (2)</t>
  </si>
  <si>
    <t>rtdc.l.rtdc.4029:itc</t>
  </si>
  <si>
    <t>rtdc.l.rtdc.4021:itc</t>
  </si>
  <si>
    <t>rtdc.l.rtdc.4043:itc</t>
  </si>
  <si>
    <t>204:233310</t>
  </si>
  <si>
    <t>204:233312</t>
  </si>
  <si>
    <t>204:169</t>
  </si>
  <si>
    <t>204:446</t>
  </si>
  <si>
    <t>JOHN</t>
  </si>
  <si>
    <t>IAN</t>
  </si>
  <si>
    <t>DAVID</t>
  </si>
  <si>
    <t>CRAIG</t>
  </si>
  <si>
    <t>SCOTT</t>
  </si>
  <si>
    <t>JAMES</t>
  </si>
  <si>
    <t>Last + First</t>
  </si>
  <si>
    <t>Employee First Name</t>
  </si>
  <si>
    <t>rtdc.l.rtdc.4017:itc</t>
  </si>
  <si>
    <t>rtdc.l.rtdc.4019:itc</t>
  </si>
  <si>
    <t>rtdc.l.rtdc.4020:itc</t>
  </si>
  <si>
    <t>rtdc.l.rtdc.4018:itc</t>
  </si>
  <si>
    <t>204:469</t>
  </si>
  <si>
    <t>204:232978</t>
  </si>
  <si>
    <t>KELVIN</t>
  </si>
  <si>
    <t>KILLION</t>
  </si>
  <si>
    <t>BARTLETT</t>
  </si>
  <si>
    <t>KIANDRA</t>
  </si>
  <si>
    <t>BRUDER</t>
  </si>
  <si>
    <t>RICHARD</t>
  </si>
  <si>
    <t>204:453</t>
  </si>
  <si>
    <t>204:444</t>
  </si>
  <si>
    <t>204:233315</t>
  </si>
  <si>
    <t>204:233291</t>
  </si>
  <si>
    <t>204:233293</t>
  </si>
  <si>
    <t>204:440</t>
  </si>
  <si>
    <t>204:233295</t>
  </si>
  <si>
    <t>STARKS</t>
  </si>
  <si>
    <t>ANGELINA</t>
  </si>
  <si>
    <t>204:152</t>
  </si>
  <si>
    <t>204:233304</t>
  </si>
  <si>
    <t>204:232983</t>
  </si>
  <si>
    <t>204:233278</t>
  </si>
  <si>
    <t>204:464</t>
  </si>
  <si>
    <t>204:233321</t>
  </si>
  <si>
    <t>204:233322</t>
  </si>
  <si>
    <t>204:232990</t>
  </si>
  <si>
    <t>204:473</t>
  </si>
  <si>
    <t>300:58943</t>
  </si>
  <si>
    <t>204:680</t>
  </si>
  <si>
    <t>204:232994</t>
  </si>
  <si>
    <t>204:232972</t>
  </si>
  <si>
    <t>204:233281</t>
  </si>
  <si>
    <t>rtdc.l.rtdc.4015:itc</t>
  </si>
  <si>
    <t>SWITCH UNKNOWN</t>
  </si>
  <si>
    <t>Track device (7)</t>
  </si>
  <si>
    <t>MAGEE</t>
  </si>
  <si>
    <t>KENYA</t>
  </si>
  <si>
    <t>BONDS</t>
  </si>
  <si>
    <t>REYNALDO</t>
  </si>
  <si>
    <t>HELVIE</t>
  </si>
  <si>
    <t>ADAM</t>
  </si>
  <si>
    <t>DELGADO</t>
  </si>
  <si>
    <t>DIANAH</t>
  </si>
  <si>
    <t>204:232974</t>
  </si>
  <si>
    <t>204:233309</t>
  </si>
  <si>
    <t>204:462</t>
  </si>
  <si>
    <t>204:233319</t>
  </si>
  <si>
    <t>204:232996</t>
  </si>
  <si>
    <t>204:233288</t>
  </si>
  <si>
    <t>204:233327</t>
  </si>
  <si>
    <t>204:123</t>
  </si>
  <si>
    <t>204:233306</t>
  </si>
  <si>
    <t>204:232966</t>
  </si>
  <si>
    <t>204:437</t>
  </si>
  <si>
    <t>204:232964</t>
  </si>
  <si>
    <t>300:23312</t>
  </si>
  <si>
    <t>204:978</t>
  </si>
  <si>
    <t>204:682</t>
  </si>
  <si>
    <t>204:964</t>
  </si>
  <si>
    <t>204:694</t>
  </si>
  <si>
    <t>204:678</t>
  </si>
  <si>
    <t>204:967</t>
  </si>
  <si>
    <t>204:677</t>
  </si>
  <si>
    <t>TEMPORARY SPEED RESTRICTION</t>
  </si>
  <si>
    <t>rtdc.l.rtdc.4045:itc</t>
  </si>
  <si>
    <t>844-06</t>
  </si>
  <si>
    <t>241-06</t>
  </si>
  <si>
    <t>240-06</t>
  </si>
  <si>
    <t>242-06</t>
  </si>
  <si>
    <t>GEBRETEKLE</t>
  </si>
  <si>
    <t>DAGNEW</t>
  </si>
  <si>
    <t>ROCHA</t>
  </si>
  <si>
    <t>YAOTL</t>
  </si>
  <si>
    <t>HAUSER</t>
  </si>
  <si>
    <t>FRANK</t>
  </si>
  <si>
    <t>STORY</t>
  </si>
  <si>
    <t>SAMANTHA</t>
  </si>
  <si>
    <t>MAHAN</t>
  </si>
  <si>
    <t>DUANE</t>
  </si>
  <si>
    <t>230-06</t>
  </si>
  <si>
    <t>847-06</t>
  </si>
  <si>
    <t>232-06</t>
  </si>
  <si>
    <t>235-06</t>
  </si>
  <si>
    <t>908-06</t>
  </si>
  <si>
    <t>234-06</t>
  </si>
  <si>
    <t>237-06</t>
  </si>
  <si>
    <t>236-06</t>
  </si>
  <si>
    <t>239-06</t>
  </si>
  <si>
    <t>238-06</t>
  </si>
  <si>
    <t>243-06</t>
  </si>
  <si>
    <t>309-06</t>
  </si>
  <si>
    <t>311-06</t>
  </si>
  <si>
    <t>244-06</t>
  </si>
  <si>
    <t>313-06</t>
  </si>
  <si>
    <t>precipAccumulation</t>
  </si>
  <si>
    <t>precipType</t>
  </si>
  <si>
    <t>snow</t>
  </si>
  <si>
    <t>Mostly Cloudy</t>
  </si>
  <si>
    <t>Light Snow</t>
  </si>
  <si>
    <t>Snow</t>
  </si>
  <si>
    <t>204:233305</t>
  </si>
  <si>
    <t>204:233002</t>
  </si>
  <si>
    <t>204:232965</t>
  </si>
  <si>
    <t>204:232979</t>
  </si>
  <si>
    <t>204:232998</t>
  </si>
  <si>
    <t>204:233000</t>
  </si>
  <si>
    <t>204:170</t>
  </si>
  <si>
    <t>204:429</t>
  </si>
  <si>
    <t>204:233006</t>
  </si>
  <si>
    <t>204:482</t>
  </si>
  <si>
    <t>204:233286</t>
  </si>
  <si>
    <t>204:172</t>
  </si>
  <si>
    <t>204:233351</t>
  </si>
  <si>
    <t>204:422</t>
  </si>
  <si>
    <t>204:233283</t>
  </si>
  <si>
    <t>204:233314</t>
  </si>
  <si>
    <t>204:232980</t>
  </si>
  <si>
    <t>204:233272</t>
  </si>
  <si>
    <t>204:88</t>
  </si>
  <si>
    <t>204:233274</t>
  </si>
  <si>
    <t>204:132</t>
  </si>
  <si>
    <t>204:435</t>
  </si>
  <si>
    <t>204:383</t>
  </si>
  <si>
    <t>300:22846</t>
  </si>
  <si>
    <t>300:23302</t>
  </si>
  <si>
    <t>300:58960</t>
  </si>
  <si>
    <t>204:713</t>
  </si>
  <si>
    <t>300:58651</t>
  </si>
  <si>
    <t>204:1002</t>
  </si>
  <si>
    <t>204:726</t>
  </si>
  <si>
    <t>204:1011</t>
  </si>
  <si>
    <t>204:715</t>
  </si>
  <si>
    <t>204:972</t>
  </si>
  <si>
    <t>204:981</t>
  </si>
  <si>
    <t>204:687</t>
  </si>
  <si>
    <t>300:58630</t>
  </si>
  <si>
    <t>204:1020</t>
  </si>
  <si>
    <t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t>
  </si>
  <si>
    <t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t>
  </si>
  <si>
    <t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t>
  </si>
  <si>
    <t>Onboard in-route failure</t>
  </si>
  <si>
    <t>Early arrival</t>
  </si>
  <si>
    <t>Went active too close to signal</t>
  </si>
  <si>
    <t>Early arrival (41st)</t>
  </si>
  <si>
    <t>Early arrival, banner without braking</t>
  </si>
  <si>
    <t>Banner without braking</t>
  </si>
  <si>
    <t>304-07</t>
  </si>
  <si>
    <t>105-07</t>
  </si>
  <si>
    <t>107-07</t>
  </si>
  <si>
    <t>800-07</t>
  </si>
  <si>
    <t>801-07</t>
  </si>
  <si>
    <t>119-07</t>
  </si>
  <si>
    <t>804-07</t>
  </si>
  <si>
    <t>805-07</t>
  </si>
  <si>
    <t>121-07</t>
  </si>
  <si>
    <t>116-07</t>
  </si>
  <si>
    <t>809-07</t>
  </si>
  <si>
    <t>146-07</t>
  </si>
  <si>
    <t>815-07</t>
  </si>
  <si>
    <t>150-07</t>
  </si>
  <si>
    <t>160-07</t>
  </si>
  <si>
    <t>168-07</t>
  </si>
  <si>
    <t>821-07</t>
  </si>
  <si>
    <t>180-07</t>
  </si>
  <si>
    <t>193-07</t>
  </si>
  <si>
    <t>826-07</t>
  </si>
  <si>
    <t>75-07</t>
  </si>
  <si>
    <t>202-07</t>
  </si>
  <si>
    <t>834-07</t>
  </si>
  <si>
    <t>76-07</t>
  </si>
  <si>
    <t>839-07</t>
  </si>
  <si>
    <t>221-07</t>
  </si>
  <si>
    <t>216-07</t>
  </si>
  <si>
    <t>234-07</t>
  </si>
  <si>
    <t>239-07</t>
  </si>
  <si>
    <t>302-07</t>
  </si>
  <si>
    <t>MAELZER</t>
  </si>
  <si>
    <t>KURT</t>
  </si>
  <si>
    <t>101-07</t>
  </si>
  <si>
    <t>103-07</t>
  </si>
  <si>
    <t>306-07</t>
  </si>
  <si>
    <t>BROWN</t>
  </si>
  <si>
    <t>JACOB</t>
  </si>
  <si>
    <t>308-07</t>
  </si>
  <si>
    <t>102-07</t>
  </si>
  <si>
    <t>310-07</t>
  </si>
  <si>
    <t>104-07</t>
  </si>
  <si>
    <t>109-07</t>
  </si>
  <si>
    <t>901-07</t>
  </si>
  <si>
    <t>113-07</t>
  </si>
  <si>
    <t>111-07</t>
  </si>
  <si>
    <t>106-07</t>
  </si>
  <si>
    <t>108-07</t>
  </si>
  <si>
    <t>115-07</t>
  </si>
  <si>
    <t>110-07</t>
  </si>
  <si>
    <t>117-07</t>
  </si>
  <si>
    <t>902-07</t>
  </si>
  <si>
    <t>112-07</t>
  </si>
  <si>
    <t>114-07</t>
  </si>
  <si>
    <t>802-07</t>
  </si>
  <si>
    <t>803-07</t>
  </si>
  <si>
    <t>123-07</t>
  </si>
  <si>
    <t>118-07</t>
  </si>
  <si>
    <t>120-07</t>
  </si>
  <si>
    <t>125-07</t>
  </si>
  <si>
    <t>CUSHING</t>
  </si>
  <si>
    <t>HARRY</t>
  </si>
  <si>
    <t>807-07</t>
  </si>
  <si>
    <t>127-07</t>
  </si>
  <si>
    <t>LOZA</t>
  </si>
  <si>
    <t>FIDEL</t>
  </si>
  <si>
    <t>122-07</t>
  </si>
  <si>
    <t>806-07</t>
  </si>
  <si>
    <t>129-07</t>
  </si>
  <si>
    <t>124-07</t>
  </si>
  <si>
    <t>131-07</t>
  </si>
  <si>
    <t>808-07</t>
  </si>
  <si>
    <t>126-07</t>
  </si>
  <si>
    <t>133-07</t>
  </si>
  <si>
    <t>128-07</t>
  </si>
  <si>
    <t>135-07</t>
  </si>
  <si>
    <t>811-07</t>
  </si>
  <si>
    <t>130-07</t>
  </si>
  <si>
    <t>810-07</t>
  </si>
  <si>
    <t>137-07</t>
  </si>
  <si>
    <t>132-07</t>
  </si>
  <si>
    <t>903-07</t>
  </si>
  <si>
    <t>139-07</t>
  </si>
  <si>
    <t>134-07</t>
  </si>
  <si>
    <t>812-07</t>
  </si>
  <si>
    <t>141-07</t>
  </si>
  <si>
    <t>136-07</t>
  </si>
  <si>
    <t>813-07</t>
  </si>
  <si>
    <t>143-07</t>
  </si>
  <si>
    <t>138-07</t>
  </si>
  <si>
    <t>145-07</t>
  </si>
  <si>
    <t>140-07</t>
  </si>
  <si>
    <t>147-07</t>
  </si>
  <si>
    <t>814-07</t>
  </si>
  <si>
    <t>142-07</t>
  </si>
  <si>
    <t>149-07</t>
  </si>
  <si>
    <t>144-07</t>
  </si>
  <si>
    <t>151-07</t>
  </si>
  <si>
    <t>148-07</t>
  </si>
  <si>
    <t>153-07</t>
  </si>
  <si>
    <t>155-07</t>
  </si>
  <si>
    <t>816-07</t>
  </si>
  <si>
    <t>152-07</t>
  </si>
  <si>
    <t>157-07</t>
  </si>
  <si>
    <t>159-07</t>
  </si>
  <si>
    <t>817-07</t>
  </si>
  <si>
    <t>161-07</t>
  </si>
  <si>
    <t>154-07</t>
  </si>
  <si>
    <t>156-07</t>
  </si>
  <si>
    <t>163-07</t>
  </si>
  <si>
    <t>818-07</t>
  </si>
  <si>
    <t>158-07</t>
  </si>
  <si>
    <t>165-07</t>
  </si>
  <si>
    <t>ADANE</t>
  </si>
  <si>
    <t>ELSHADAY</t>
  </si>
  <si>
    <t>167-07</t>
  </si>
  <si>
    <t>LOPES</t>
  </si>
  <si>
    <t>KIMBERLY</t>
  </si>
  <si>
    <t>162-07</t>
  </si>
  <si>
    <t>819-07</t>
  </si>
  <si>
    <t>169-07</t>
  </si>
  <si>
    <t>164-07</t>
  </si>
  <si>
    <t>171-07</t>
  </si>
  <si>
    <t>166-07</t>
  </si>
  <si>
    <t>820-07</t>
  </si>
  <si>
    <t>173-07</t>
  </si>
  <si>
    <t>175-07</t>
  </si>
  <si>
    <t>170-07</t>
  </si>
  <si>
    <t>177-07</t>
  </si>
  <si>
    <t>MOSES</t>
  </si>
  <si>
    <t>BRADLEY</t>
  </si>
  <si>
    <t>172-07</t>
  </si>
  <si>
    <t>179-07</t>
  </si>
  <si>
    <t>174-07</t>
  </si>
  <si>
    <t>822-07</t>
  </si>
  <si>
    <t>181-07</t>
  </si>
  <si>
    <t>176-07</t>
  </si>
  <si>
    <t>183-07</t>
  </si>
  <si>
    <t>178-07</t>
  </si>
  <si>
    <t>185-07</t>
  </si>
  <si>
    <t>823-07</t>
  </si>
  <si>
    <t>187-07</t>
  </si>
  <si>
    <t>182-07</t>
  </si>
  <si>
    <t>189-07</t>
  </si>
  <si>
    <t>824-07</t>
  </si>
  <si>
    <t>184-07</t>
  </si>
  <si>
    <t>191-07</t>
  </si>
  <si>
    <t>186-07</t>
  </si>
  <si>
    <t>188-07</t>
  </si>
  <si>
    <t>825-07</t>
  </si>
  <si>
    <t>904-07</t>
  </si>
  <si>
    <t>195-07</t>
  </si>
  <si>
    <t>190-07</t>
  </si>
  <si>
    <t>197-07</t>
  </si>
  <si>
    <t>827-07</t>
  </si>
  <si>
    <t>192-07</t>
  </si>
  <si>
    <t>199-07</t>
  </si>
  <si>
    <t>194-07</t>
  </si>
  <si>
    <t>828-07</t>
  </si>
  <si>
    <t>201-07</t>
  </si>
  <si>
    <t>829-07</t>
  </si>
  <si>
    <t>196-07</t>
  </si>
  <si>
    <t>203-07</t>
  </si>
  <si>
    <t>198-07</t>
  </si>
  <si>
    <t>831-07</t>
  </si>
  <si>
    <t>830-07</t>
  </si>
  <si>
    <t>205-07</t>
  </si>
  <si>
    <t>200-07</t>
  </si>
  <si>
    <t>207-07</t>
  </si>
  <si>
    <t>833-07</t>
  </si>
  <si>
    <t>74-07</t>
  </si>
  <si>
    <t>832-07</t>
  </si>
  <si>
    <t>209-07</t>
  </si>
  <si>
    <t>204-07</t>
  </si>
  <si>
    <t>211-07</t>
  </si>
  <si>
    <t>206-07</t>
  </si>
  <si>
    <t>208-07</t>
  </si>
  <si>
    <t>835-07</t>
  </si>
  <si>
    <t>215-07</t>
  </si>
  <si>
    <t>73-07</t>
  </si>
  <si>
    <t>210-07</t>
  </si>
  <si>
    <t>MACDONALD</t>
  </si>
  <si>
    <t>THOMAS</t>
  </si>
  <si>
    <t>836-07</t>
  </si>
  <si>
    <t>217-07</t>
  </si>
  <si>
    <t>212-07</t>
  </si>
  <si>
    <t>837-07</t>
  </si>
  <si>
    <t>219-07</t>
  </si>
  <si>
    <t>214-07</t>
  </si>
  <si>
    <t>303-07</t>
  </si>
  <si>
    <t>218-07</t>
  </si>
  <si>
    <t>305-07</t>
  </si>
  <si>
    <t>906-07</t>
  </si>
  <si>
    <t>220-07</t>
  </si>
  <si>
    <t>223-07</t>
  </si>
  <si>
    <t>307-07</t>
  </si>
  <si>
    <t>222-07</t>
  </si>
  <si>
    <t>225-07</t>
  </si>
  <si>
    <t>224-07</t>
  </si>
  <si>
    <t>843-07</t>
  </si>
  <si>
    <t>NELSON</t>
  </si>
  <si>
    <t>ARIANE</t>
  </si>
  <si>
    <t>227-07</t>
  </si>
  <si>
    <t>229-07</t>
  </si>
  <si>
    <t>226-07</t>
  </si>
  <si>
    <t>842-07</t>
  </si>
  <si>
    <t>231-07</t>
  </si>
  <si>
    <t>845-07</t>
  </si>
  <si>
    <t>228-07</t>
  </si>
  <si>
    <t>844-07</t>
  </si>
  <si>
    <t>230-07</t>
  </si>
  <si>
    <t>233-07</t>
  </si>
  <si>
    <t>232-07</t>
  </si>
  <si>
    <t>847-07</t>
  </si>
  <si>
    <t>235-07</t>
  </si>
  <si>
    <t>908-07</t>
  </si>
  <si>
    <t>237-07</t>
  </si>
  <si>
    <t>236-07</t>
  </si>
  <si>
    <t>238-07</t>
  </si>
  <si>
    <t>241-07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</si>
  <si>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</si>
  <si>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</si>
  <si>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</si>
  <si>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</si>
  <si>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</si>
  <si>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</si>
  <si>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</si>
  <si>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</si>
  <si>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Flurries</t>
  </si>
  <si>
    <t>204:785</t>
  </si>
  <si>
    <t>204:232760</t>
  </si>
  <si>
    <t>204:723</t>
  </si>
  <si>
    <t>204:233363</t>
  </si>
  <si>
    <t>204:232730</t>
  </si>
  <si>
    <t>204:138</t>
  </si>
  <si>
    <t>204:64795</t>
  </si>
  <si>
    <t>204:232675</t>
  </si>
  <si>
    <t>204:121</t>
  </si>
  <si>
    <t>204:232961</t>
  </si>
  <si>
    <t>204:478</t>
  </si>
  <si>
    <t>204:233285</t>
  </si>
  <si>
    <t>204:744</t>
  </si>
  <si>
    <t>204:232959</t>
  </si>
  <si>
    <t>204:147</t>
  </si>
  <si>
    <t>204:728</t>
  </si>
  <si>
    <t>204:233215</t>
  </si>
  <si>
    <t>204:232907</t>
  </si>
  <si>
    <t>204:128263</t>
  </si>
  <si>
    <t>204:233300</t>
  </si>
  <si>
    <t>204:102719</t>
  </si>
  <si>
    <t>204:232985</t>
  </si>
  <si>
    <t>204:134</t>
  </si>
  <si>
    <t>204:750</t>
  </si>
  <si>
    <t>204:233331</t>
  </si>
  <si>
    <t>204:233021</t>
  </si>
  <si>
    <t>204:232955</t>
  </si>
  <si>
    <t>204:232982</t>
  </si>
  <si>
    <t>204:232971</t>
  </si>
  <si>
    <t>204:130</t>
  </si>
  <si>
    <t>204:232987</t>
  </si>
  <si>
    <t>204:139</t>
  </si>
  <si>
    <t>204:232963</t>
  </si>
  <si>
    <t>204:1179</t>
  </si>
  <si>
    <t>204:82389</t>
  </si>
  <si>
    <t>204:86372</t>
  </si>
  <si>
    <t>204:233316</t>
  </si>
  <si>
    <t>204:232981</t>
  </si>
  <si>
    <t>204:233268</t>
  </si>
  <si>
    <t>204:167</t>
  </si>
  <si>
    <t>204:314</t>
  </si>
  <si>
    <t>204:232969</t>
  </si>
  <si>
    <t>204:232988</t>
  </si>
  <si>
    <t>204:433</t>
  </si>
  <si>
    <t>204:232977</t>
  </si>
  <si>
    <t>204:233301</t>
  </si>
  <si>
    <t>204:183</t>
  </si>
  <si>
    <t>204:233395</t>
  </si>
  <si>
    <t>204:233100</t>
  </si>
  <si>
    <t>204:233004</t>
  </si>
  <si>
    <t>204:232973</t>
  </si>
  <si>
    <t>204:504</t>
  </si>
  <si>
    <t>204:232975</t>
  </si>
  <si>
    <t>204:233403</t>
  </si>
  <si>
    <t>204:233082</t>
  </si>
  <si>
    <t>204:233343</t>
  </si>
  <si>
    <t>204:449</t>
  </si>
  <si>
    <t>204:233303</t>
  </si>
  <si>
    <t>204:233325</t>
  </si>
  <si>
    <t>204:187</t>
  </si>
  <si>
    <t>204:233376</t>
  </si>
  <si>
    <t>204:233049</t>
  </si>
  <si>
    <t>204:233346</t>
  </si>
  <si>
    <t>204:233017</t>
  </si>
  <si>
    <t>204:18014</t>
  </si>
  <si>
    <t>204:233332</t>
  </si>
  <si>
    <t>204:233032</t>
  </si>
  <si>
    <t>204:233030</t>
  </si>
  <si>
    <t>204:142</t>
  </si>
  <si>
    <t>204:480</t>
  </si>
  <si>
    <t>204:154416</t>
  </si>
  <si>
    <t>204:128266</t>
  </si>
  <si>
    <t>204:233043</t>
  </si>
  <si>
    <t>204:181</t>
  </si>
  <si>
    <t>300:20405</t>
  </si>
  <si>
    <t>300:22320</t>
  </si>
  <si>
    <t>300:23308</t>
  </si>
  <si>
    <t>300:23035</t>
  </si>
  <si>
    <t>204:112</t>
  </si>
  <si>
    <t>300:23293</t>
  </si>
  <si>
    <t>300:22586</t>
  </si>
  <si>
    <t>300:23230</t>
  </si>
  <si>
    <t>300:23299</t>
  </si>
  <si>
    <t>300:23284</t>
  </si>
  <si>
    <t>204:869</t>
  </si>
  <si>
    <t>204:1500</t>
  </si>
  <si>
    <t>204:1790</t>
  </si>
  <si>
    <t>300:58655</t>
  </si>
  <si>
    <t>300:58207</t>
  </si>
  <si>
    <t>204:932</t>
  </si>
  <si>
    <t>300:58636</t>
  </si>
  <si>
    <t>204:706</t>
  </si>
  <si>
    <t>204:976</t>
  </si>
  <si>
    <t>300:58996</t>
  </si>
  <si>
    <t>300:58670</t>
  </si>
  <si>
    <t>204:692</t>
  </si>
  <si>
    <t>300:58937</t>
  </si>
  <si>
    <t>300:59007</t>
  </si>
  <si>
    <t>300:58689</t>
  </si>
  <si>
    <t>300:58961</t>
  </si>
  <si>
    <t>300:58649</t>
  </si>
  <si>
    <t>204:990</t>
  </si>
  <si>
    <t>300:58693</t>
  </si>
  <si>
    <t>204:698</t>
  </si>
  <si>
    <t>300:59005</t>
  </si>
  <si>
    <t>300:58692</t>
  </si>
  <si>
    <t>300:59009</t>
  </si>
  <si>
    <t>300:58690</t>
  </si>
  <si>
    <t>300:59014</t>
  </si>
  <si>
    <t>204:979</t>
  </si>
  <si>
    <t>300:58950</t>
  </si>
  <si>
    <t>300:58634</t>
  </si>
  <si>
    <t>300:58628</t>
  </si>
  <si>
    <t>204:705</t>
  </si>
  <si>
    <t>204:992</t>
  </si>
  <si>
    <t>300:58971</t>
  </si>
  <si>
    <t>300:58645</t>
  </si>
  <si>
    <t>204:729</t>
  </si>
  <si>
    <t>204:969</t>
  </si>
  <si>
    <t>300:58969</t>
  </si>
  <si>
    <t>300:58946</t>
  </si>
  <si>
    <t>300:58621</t>
  </si>
  <si>
    <t>204:958</t>
  </si>
  <si>
    <t>300:58640</t>
  </si>
  <si>
    <t>204:684</t>
  </si>
  <si>
    <t>204:1013</t>
  </si>
  <si>
    <t>300:15694</t>
  </si>
  <si>
    <t>300:58948</t>
  </si>
  <si>
    <t>300:58641</t>
  </si>
  <si>
    <t>300:58956</t>
  </si>
  <si>
    <t>300:58653</t>
  </si>
  <si>
    <t>204:1037</t>
  </si>
  <si>
    <t>300:58973</t>
  </si>
  <si>
    <t>300:58638</t>
  </si>
  <si>
    <t>204:670</t>
  </si>
  <si>
    <t>204:974</t>
  </si>
  <si>
    <t>300:58963</t>
  </si>
  <si>
    <t>300:29836</t>
  </si>
  <si>
    <t>300:58965</t>
  </si>
  <si>
    <t>300:23466</t>
  </si>
  <si>
    <t>300:25145</t>
  </si>
  <si>
    <t>300:23258</t>
  </si>
  <si>
    <t>204:661</t>
  </si>
  <si>
    <t>300:58626</t>
  </si>
  <si>
    <t>300:28742</t>
  </si>
  <si>
    <t>300:58643</t>
  </si>
  <si>
    <t>300:21856</t>
  </si>
  <si>
    <t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t>
  </si>
  <si>
    <t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t>
  </si>
  <si>
    <t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t>
  </si>
  <si>
    <t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t>
  </si>
  <si>
    <t>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 &amp; aws s3 cp s3://rtdc.mdm.uploadarchive.raw/RTDC4009/ "%USERPROFILE%\AppData\Local\Temp\OnboardLogs"\RTDC4009\2016-12-09 --exclude "*" --recursive --include "*20161209*" &amp; "%USERPROFILE%\Documents\GitHub\mrs-test-scripts\Headless Mode &amp; Sideloading\WalkAndUnGZ.bat" "%USERPROFILE%\AppData\Local\Temp\OnboardLogs"\RTDC4009\2016-12-09</t>
  </si>
  <si>
    <t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t>
  </si>
  <si>
    <t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t>
  </si>
  <si>
    <t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t>
  </si>
  <si>
    <t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t>
  </si>
  <si>
    <t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t>
  </si>
  <si>
    <t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t>
  </si>
  <si>
    <t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t>
  </si>
  <si>
    <t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t>
  </si>
  <si>
    <t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t>
  </si>
  <si>
    <t>aws s3 cp s3://rtdc.mdm.uploadarchive.raw/RTDC4039/ "%USERPROFILE%\AppData\Local\Temp\OnboardLogs"\RTDC4039\1969-12-31 --exclude "*" --recursive --include "*19691231*" &amp; "%USERPROFILE%\Documents\GitHub\mrs-test-scripts\Headless Mode &amp; Sideloading\WalkAndUnGZ.bat" "%USERPROFILE%\AppData\Local\Temp\OnboardLogs"\RTDC4039\1969-12-31 &amp; aws s3 cp s3://rtdc.mdm.uploadarchive.raw/RTDC4039/ "%USERPROFILE%\AppData\Local\Temp\OnboardLogs"\RTDC4039\1970-01-01 --exclude "*" --recursive --include "*19700101*" &amp; "%USERPROFILE%\Documents\GitHub\mrs-test-scripts\Headless Mode &amp; Sideloading\WalkAndUnGZ.bat" "%USERPROFILE%\AppData\Local\Temp\OnboardLogs"\RTDC4039\1970-01-01</t>
  </si>
  <si>
    <t>Sable 2N stuck at STOP</t>
  </si>
  <si>
    <t>At 06:05:54.641, received a clear control from dispatch, but signal did not clear. Dispatch canceled the clear control around 06:09. Anything in logs that tells why the signal didn't clear? Was there a dependency on a crossing to the north?</t>
  </si>
  <si>
    <t>Delayed by doors not closing</t>
  </si>
  <si>
    <t>Operator overshot platform</t>
  </si>
  <si>
    <t>http://stevetu21.github.io/eaglep3/load_kml.html?kml=http://rtdc.gmaps-snips.s3.amazonaws.com/9b45191c-4b05-4a86-bcdb-248ea101a940.kml</t>
  </si>
  <si>
    <t>Wi-MAX data drop</t>
  </si>
  <si>
    <t>Wheel tach slip</t>
  </si>
  <si>
    <t>Cancelled</t>
  </si>
  <si>
    <t>213-07</t>
  </si>
  <si>
    <t>BPP stayed low, did not init due to depart test failure</t>
  </si>
  <si>
    <t>840-07</t>
  </si>
  <si>
    <t>Did not init</t>
  </si>
  <si>
    <t>Overspeed</t>
  </si>
  <si>
    <t>http://stevetu21.github.io/eaglep3/load_kml.html?kml=http://rtdc.gmaps-snips.s3.amazonaws.com/b842699b-b29f-45f6-a855-010f99dc4bf3.kml</t>
  </si>
  <si>
    <t>http://stevetu21.github.io/eaglep3/load_kml.html?kml=http://rtdc.gmaps-snips.s3.amazonaws.com/9ea5c31d-fefe-4aae-ba0f-cebf0c8fbbf0.kml</t>
  </si>
  <si>
    <t>http://stevetu21.github.io/eaglep3/load_kml.html?kml=http://rtdc.gmaps-snips.s3.amazonaws.com/e0cb18b4-4e5e-4e0d-b9af-eb8851163b25.kml</t>
  </si>
  <si>
    <t>SYS :2016/12/07 10:34:25.832:ENFORCEMENT:Predictive Enforcement Action:  Target Number: 00001007  Target Speed:   0.0  Current Speed:   3.6</t>
  </si>
  <si>
    <t>SYS :2016/12/07 10:34:26.522:ENFORCEMENT:Predictive Enforcement Action:  Target Number: 0000106F  Target Speed:   0.0  Current Speed:   3.5</t>
  </si>
  <si>
    <t>SYS :2016/12/07 10:34:26.552:ENFORCEMENT:Predictive Enforcement Action:  Target Number: 0000106F  Target Speed:   0.0  Current Speed:   3.5</t>
  </si>
  <si>
    <t>SYS :2016/12/07 11:36:08.555:ENFORCEMENT:Reactive Enforcement Action:  Target Number: 00006151  Target Speed:  20.0  Current Speed:  26.1</t>
  </si>
  <si>
    <t>SYS :2016/12/07 11:36:08.820:ENFORCEMENT:Reactive Enforcement Action:  Target Number: 0000600C  Target Speed:  20.0  Current Speed:  26.1</t>
  </si>
  <si>
    <t>SYS :2016/12/07 11:36:09.579:ENFORCEMENT:Reactive Enforcement Action:  Target Number: 0000613A  Target Speed:  20.0  Current Speed:  26.1</t>
  </si>
  <si>
    <t>SYS :2016/12/07 11:37:03.563:ENFORCEMENT:Reactive Enforcement Action:  Target Number: 00006151  Target Speed:  20.0  Current Speed:  25.6</t>
  </si>
  <si>
    <t>SYS :2016/12/07 11:37:03.828:ENFORCEMENT:Reactive Enforcement Action:  Target Number: 0000600C  Target Speed:  20.0  Current Speed:  25.6</t>
  </si>
  <si>
    <t>SYS :2016/12/07 11:37:04.599:ENFORCEMENT:Reactive Enforcement Action:  Target Number: 0000613A  Target Speed:  20.0  Current Speed:  25.6</t>
  </si>
  <si>
    <t>SYS :2016/12/07 12:05:30.953:ENFORCEMENT:Predictive Enforcement Action:  Target Number: 0000622B  Target Speed:   0.0  Current Speed:  49.9</t>
  </si>
  <si>
    <t>SYS :2016/12/07 12:05:31.202:ENFORCEMENT:Predictive Enforcement Action:  Target Number: 00006035  Target Speed:   0.0  Current Speed:  49.9</t>
  </si>
  <si>
    <t>SYS :2016/12/07 12:05:32.054:ENFORCEMENT:Predictive Enforcement Action:  Target Number: 00006241  Target Speed:   0.0  Current Speed:  49.3</t>
  </si>
  <si>
    <t>SYS :2016/12/07 12:06:40.747:ENFORCEMENT:Predictive Enforcement Action:  Target Number: 0000622E  Target Speed:   0.0  Current Speed:  22.0</t>
  </si>
  <si>
    <t>SYS :2016/12/07 12:06:41.057:ENFORCEMENT:Predictive Enforcement Action:  Target Number: 00006243  Target Speed:   0.0  Current Speed:  23.0</t>
  </si>
  <si>
    <t>SYS :2016/12/07 12:06:42.217:ENFORCEMENT:Predictive Enforcement Action:  Target Number: 00006037  Target Speed:   0.0  Current Speed:  23.6</t>
  </si>
  <si>
    <t>SYS :2016/12/07 12:12:28.144:ENFORCEMENT:Reactive Enforcement Action:  Target Number: 0000601F  Target Speed:   0.0  Current Speed:   9.3</t>
  </si>
  <si>
    <t>SYS :2016/12/07 12:12:28.165:ENFORCEMENT:Reactive Enforcement Action:  Target Number: 0000630E  Target Speed:   0.0  Current Speed:   7.7</t>
  </si>
  <si>
    <t>SYS :2016/12/07 12:12:28.168:ENFORCEMENT:Reactive Enforcement Action:  Target Number: 0000400E  Target Speed:   0.0  Current Speed:   9.3</t>
  </si>
  <si>
    <t>SYS :2016/12/07 12:12:28.184:ENFORCEMENT:Reactive Enforcement Action:  Target Number: 00004118  Target Speed:   0.0  Current Speed:   7.7</t>
  </si>
  <si>
    <t>SYS :2016/12/07 13:05:14.849:ENFORCEMENT:Predictive Enforcement Action:  Target Number: 00001019  Target Speed:   0.0  Current Speed:   3.5</t>
  </si>
  <si>
    <t>SYS :2016/12/07 13:05:14.884:ENFORCEMENT:Predictive Enforcement Action:  Target Number: 00001016  Target Speed:   0.0  Current Speed:   3.5</t>
  </si>
  <si>
    <t>SYS :2016/12/07 13:05:15.032:ENFORCEMENT:Predictive Enforcement Action:  Target Number: 00001015  Target Speed:   0.0  Current Speed:   3.5</t>
  </si>
  <si>
    <t>SYS :2016/12/07 13:06:00.551:ENFORCEMENT:Reactive Enforcement Action:  Target Number: 000100F4  Target Speed:  30.0  Current Speed:  35.1</t>
  </si>
  <si>
    <t>SYS :2016/12/07 13:06:00.819:ENFORCEMENT:Reactive Enforcement Action:  Target Number: 0001002D  Target Speed:  30.0  Current Speed:  35.1</t>
  </si>
  <si>
    <t>SYS :2016/12/07 13:06:01.596:ENFORCEMENT:Reactive Enforcement Action:  Target Number: 000100EA  Target Speed:  30.0  Current Speed:  35.1</t>
  </si>
  <si>
    <t>SYS :2016/12/07 13:43:50.333:ENFORCEMENT:Reactive Enforcement Action:  Target Number: 000101A9  Target Speed:  15.0  Current Speed:  20.8</t>
  </si>
  <si>
    <t>SYS :2016/12/07 13:43:50.376:ENFORCEMENT:Reactive Enforcement Action:  Target Number: 000101A9  Target Speed:  15.0  Current Speed:  20.8</t>
  </si>
  <si>
    <t>SYS :2016/12/07 13:54:38.867:ENFORCEMENT:Predictive Enforcement Action:  Target Number: 000170D6  Target Speed:   9.0  Current Speed:  18.8</t>
  </si>
  <si>
    <t>SYS :2016/12/07 13:54:38.907:ENFORCEMENT:Predictive Enforcement Action:  Target Number: 000170AA  Target Speed:   9.0  Current Speed:  18.8</t>
  </si>
  <si>
    <t>SYS :2016/12/07 13:54:39.059:ENFORCEMENT:Predictive Enforcement Action:  Target Number: 00017096  Target Speed:   9.0  Current Speed:  18.8</t>
  </si>
  <si>
    <t>SYS :2016/12/07 13:55:52.942:ENFORCEMENT:Predictive Enforcement Action:  Target Number: 0000103E  Target Speed:   0.0  Current Speed:   4.3</t>
  </si>
  <si>
    <t>SYS :2016/12/07 13:55:53.048:ENFORCEMENT:Predictive Enforcement Action:  Target Number: 0000103E  Target Speed:   0.0  Current Speed:   4.3</t>
  </si>
  <si>
    <t>SYS :2016/12/07 13:55:53.190:ENFORCEMENT:Predictive Enforcement Action:  Target Number: 00001005  Target Speed:   0.0  Current Speed:   4.3</t>
  </si>
  <si>
    <t>SYS :2016/12/07 15:05:21.850:ENFORCEMENT:Predictive Enforcement Action:  Target Number: 0000101E  Target Speed:   0.0  Current Speed:   1.7</t>
  </si>
  <si>
    <t>SYS :2016/12/07 15:05:21.882:ENFORCEMENT:Predictive Enforcement Action:  Target Number: 0000101B  Target Speed:   0.0  Current Speed:   2.0</t>
  </si>
  <si>
    <t>SYS :2016/12/07 15:05:22.036:ENFORCEMENT:Predictive Enforcement Action:  Target Number: 0000101A  Target Speed:   0.0  Current Speed:   1.7</t>
  </si>
  <si>
    <t>SYS :2016/12/07 17:12:06.525:ENFORCEMENT:Reactive Enforcement Action:  Target Number: 00004427  Target Speed:   0.0  Current Speed:  14.4</t>
  </si>
  <si>
    <t>SYS :2016/12/07 17:12:06.535:ENFORCEMENT:Predictive Enforcement Action:  Target Number: 00004426  Target Speed:   0.0  Current Speed:  14.4</t>
  </si>
  <si>
    <t>SYS :2016/12/07 17:12:06.551:ENFORCEMENT:Reactive Enforcement Action:  Target Number: 00004428  Target Speed:   0.0  Current Speed:  14.4</t>
  </si>
  <si>
    <t>SYS :2016/12/07 17:12:06.561:ENFORCEMENT:Predictive Enforcement Action:  Target Number: 00004427  Target Speed:   0.0  Current Speed:  14.4</t>
  </si>
  <si>
    <t>SYS :2016/12/07 17:12:06.854:ENFORCEMENT:Reactive Enforcement Action:  Target Number: 000040AA  Target Speed:   0.0  Current Speed:  14.4</t>
  </si>
  <si>
    <t>SYS :2016/12/07 17:12:06.871:ENFORCEMENT:Predictive Enforcement Action:  Target Number: 000040A7  Target Speed:   0.0  Current Speed:  14.4</t>
  </si>
  <si>
    <t>SYS :2016/12/07 17:31:39.019:ENFORCEMENT:Predictive Enforcement Action:  Target Number: 0001024D  Target Speed:  15.0  Current Speed:  31.1</t>
  </si>
  <si>
    <t>SYS :2016/12/07 17:31:39.154:ENFORCEMENT:Predictive Enforcement Action:  Target Number: 00010248  Target Speed:  15.0  Current Speed:  31.1</t>
  </si>
  <si>
    <t>SYS :2016/12/07 17:34:53.015:ENFORCEMENT:Predictive Enforcement Action:  Target Number: 0000102F  Target Speed:   0.0  Current Speed:   0.6</t>
  </si>
  <si>
    <t>SYS :2016/12/07 17:34:53.148:ENFORCEMENT:Predictive Enforcement Action:  Target Number: 0000102F  Target Speed:   0.0  Current Speed:   0.6</t>
  </si>
  <si>
    <t>SYS :2016/12/07 18:18:03.583:ENFORCEMENT:Predictive Enforcement Action:  Target Number: 000102B0  Target Speed:  15.0  Current Speed:  20.7</t>
  </si>
  <si>
    <t>SYS :2016/12/07 18:18:04.214:ENFORCEMENT:Predictive Enforcement Action:  Target Number: 0001029E  Target Speed:  15.0  Current Speed:  20.7</t>
  </si>
  <si>
    <t>SYS :2016/12/07 18:20:54.211:ENFORCEMENT:Predictive Enforcement Action:  Target Number: 00001047  Target Speed:   0.0  Current Speed:   5.0</t>
  </si>
  <si>
    <t>SYS :2016/12/07 18:20:54.581:ENFORCEMENT:Predictive Enforcement Action:  Target Number: 00001047  Target Speed:   0.0  Current Speed:   5.0</t>
  </si>
  <si>
    <t>SYS :2016/12/07 19:35:01.551:ENFORCEMENT:Predictive Enforcement Action:  Target Number: 0000107C  Target Speed:   0.0  Current Speed:   4.8</t>
  </si>
  <si>
    <t>SYS :2016/12/07 19:35:01.828:ENFORCEMENT:Predictive Enforcement Action:  Target Number: 00001014  Target Speed:   0.0  Current Speed:   4.8</t>
  </si>
  <si>
    <t>SYS :2016/12/07 19:35:02.518:ENFORCEMENT:Predictive Enforcement Action:  Target Number: 0000107C  Target Speed:   0.0  Current Speed:   4.8</t>
  </si>
  <si>
    <t>SYS :2016/12/07 20:13:42.322:ENFORCEMENT:Predictive Enforcement Action:  Target Number: 0001014A  Target Speed:  40.0  Current Speed:  45.6</t>
  </si>
  <si>
    <t>SYS :2016/12/07 20:13:42.989:ENFORCEMENT:Predictive Enforcement Action:  Target Number: 0001014A  Target Speed:  40.0  Current Speed:  45.6</t>
  </si>
  <si>
    <t>SYS :2016/12/07 20:13:43.446:ENFORCEMENT:Predictive Enforcement Action:  Target Number: 0001014A  Target Speed:  40.0  Current Speed:  45.6</t>
  </si>
  <si>
    <t>SYS :2016/12/07 20:36:18.024:ENFORCEMENT:Predictive Enforcement Action:  Target Number: 00001039  Target Speed:   0.0  Current Speed:   2.3</t>
  </si>
  <si>
    <t>SYS :2016/12/07 20:36:18.147:ENFORCEMENT:Predictive Enforcement Action:  Target Number: 00001039  Target Speed:   0.0  Current Speed:   2.3</t>
  </si>
  <si>
    <t>SYS :2016/12/07 22:06:41.340:ENFORCEMENT:Predictive Enforcement Action:  Target Number: 00001059  Target Speed:   0.0  Current Speed:   6.6</t>
  </si>
  <si>
    <t>SYS :2016/12/07 22:06:41.485:ENFORCEMENT:Predictive Enforcement Action:  Target Number: 00001066  Target Speed:   0.0  Current Speed:   6.6</t>
  </si>
  <si>
    <t>SYS :2016/12/07 22:06:41.882:ENFORCEMENT:Predictive Enforcement Action:  Target Number: 00001066  Target Speed:   0.0  Current Speed:   6.6</t>
  </si>
  <si>
    <t>SYS :2016/12/07 22:14:23.324:ENFORCEMENT:Predictive Enforcement Action:  Target Number: 00010174  Target Speed:  30.0  Current Speed:  36.0</t>
  </si>
  <si>
    <t>SYS :2016/12/07 22:14:23.987:ENFORCEMENT:Predictive Enforcement Action:  Target Number: 00010174  Target Speed:  30.0  Current Speed:  36.0</t>
  </si>
  <si>
    <t>SYS :2016/12/07 22:22:16.920:ENFORCEMENT:Reactive Enforcement Action:  Target Number: 0001016D  Target Speed:  30.0  Current Speed:  35.3</t>
  </si>
  <si>
    <t>SYS :2016/12/07 22:22:17.120:ENFORCEMENT:Reactive Enforcement Action:  Target Number: 0001016A  Target Speed:  30.0  Current Speed:  35.3</t>
  </si>
  <si>
    <t>SYS :2016/12/07 22:25:47.111:ENFORCEMENT:Reactive Enforcement Action:  Target Number: 000170AC  Target Speed:  14.0  Current Speed:  20.4</t>
  </si>
  <si>
    <t>SYS :2016/12/07 22:56:36.305:ENFORCEMENT:Predictive Enforcement Action:  Target Number: 0000103A  Target Speed:   0.0  Current Speed:   4.2</t>
  </si>
  <si>
    <t>SYS :2016/12/08 00:51:55.518:ENFORCEMENT:Predictive Enforcement Action:  Target Number: 00001085  Target Speed:   0.0  Current Speed:   3.8</t>
  </si>
  <si>
    <t>SYS :2016/12/08 00:51:55.554:ENFORCEMENT:Predictive Enforcement Action:  Target Number: 00001085  Target Speed:   0.0  Current Speed:   3.8</t>
  </si>
  <si>
    <t>SYS :2016/12/08 00:51:55.829:ENFORCEMENT:Predictive Enforcement Action:  Target Number: 0000101D  Target Speed:   0.0  Current Speed:   3.8</t>
  </si>
  <si>
    <t>SYS :2016/12/08 00:57:51.317:ENFORCEMENT:Predictive Enforcement Action:  Target Number: 0001711F  Target Speed:  16.0  Current Speed:  40.7</t>
  </si>
  <si>
    <t>SYS :2016/12/08 00:57:51.362:ENFORCEMENT:Predictive Enforcement Action:  Target Number: 0001711F  Target Speed:  16.0  Current Speed:  40.7</t>
  </si>
  <si>
    <t>SYS :2016/12/08 02:10:29.403:ENFORCEMENT:Predictive Enforcement Action:  Target Number: 0000100C  Target Speed:   0.0  Current Speed:   3.7</t>
  </si>
  <si>
    <t>SYS :2016/12/08 02:10:29.855:ENFORCEMENT:Predictive Enforcement Action:  Target Number: 0000102B  Target Speed:   0.0  Current Speed:   3.4</t>
  </si>
  <si>
    <t>SYS :2016/12/08 02:10:30.045:ENFORCEMENT:Predictive Enforcement Action:  Target Number: 00001027  Target Speed:   0.0  Current Speed:   3.4</t>
  </si>
  <si>
    <t>SYS :2016/12/08 02:13:18.060:ENFORCEMENT:Predictive Enforcement Action:  Target Number: 00006178  Target Speed:   0.0  Current Speed:  49.8</t>
  </si>
  <si>
    <t>SYS :2016/12/08 02:13:18.701:ENFORCEMENT:Predictive Enforcement Action:  Target Number: 00006172  Target Speed:   0.0  Current Speed:  49.2</t>
  </si>
  <si>
    <t>SYS :2016/12/08 02:13:18.887:ENFORCEMENT:Predictive Enforcement Action:  Target Number: 00006173  Target Speed:   0.0  Current Speed:  49.8</t>
  </si>
  <si>
    <t>SYS :2016/12/08 02:35:38.054:ENFORCEMENT:Predictive Enforcement Action:  Target Number: 0000100C  Target Speed:   0.0  Current Speed:  13.5</t>
  </si>
  <si>
    <t>SYS :2016/12/08 02:35:38.689:ENFORCEMENT:Predictive Enforcement Action:  Target Number: 0000100C  Target Speed:   0.0  Current Speed:  13.5</t>
  </si>
  <si>
    <t>SYS :2016/12/08 02:39:47.827:ENFORCEMENT:Predictive Enforcement Action:  Target Number: 0000101E  Target Speed:   0.0  Current Speed:   5.7</t>
  </si>
  <si>
    <t>SYS :2016/12/08 06:26:41.470:ENFORCEMENT:Reactive Enforcement Action:  Target Number: 00017248  Target Speed:   0.0  Current Speed:  16.8</t>
  </si>
  <si>
    <t>SYS :2016/12/08 06:26:41.950:ENFORCEMENT:Predictive Enforcement Action:  Target Number: 00017157  Target Speed:   0.0  Current Speed:  16.8</t>
  </si>
  <si>
    <t>SYS :2016/12/08 06:26:42.534:ENFORCEMENT:Reactive Enforcement Action:  Target Number: 000170CF  Target Speed:   0.0  Current Speed:  16.4</t>
  </si>
  <si>
    <t>SYS :2016/12/08 07:02:05.907:ENFORCEMENT:Predictive Enforcement Action:  Target Number: 00010074  Target Speed:  55.0  Current Speed:  67.8</t>
  </si>
  <si>
    <t>SYS :2016/12/08 07:02:06.715:ENFORCEMENT:Predictive Enforcement Action:  Target Number: 00010073  Target Speed:  55.0  Current Speed:  67.8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</si>
</sst>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stevetu21.github.io/eaglep3/load_kml.html?kml=http://rtdc.gmaps-snips.s3.amazonaws.com/9b45191c-4b05-4a86-bcdb-248ea101a940.kml" TargetMode="External"/><Relationship Id="rId6" Type="http://schemas.openxmlformats.org/officeDocument/2006/relationships/queryTable" Target="../queryTables/query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b842699b-b29f-45f6-a855-010f99dc4bf3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41"/>
  <sheetViews>
    <sheetView tabSelected="1" zoomScaleNormal="100" workbookViewId="0">
      <selection activeCell="R13" sqref="R13:R20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9.5703125" style="40" customWidth="1"/>
    <col min="14" max="14" width="2.85546875" style="41" customWidth="1"/>
    <col min="15" max="15" width="3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42711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42711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144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45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COUNTIFS($N$13:$N$9365,"&gt;0",$AG$13:$AG$9365,I1)</f>
        <v>137</v>
      </c>
      <c r="K5" s="44"/>
      <c r="L5" s="44"/>
      <c r="M5" s="45">
        <f>AVERAGEIFS($N$13:$N$9365,$AG$13:$AG$9365,I1)</f>
        <v>38.757907542830033</v>
      </c>
      <c r="N5" s="43">
        <f t="array" ref="N5">MIN(IF($AG$13:$AG$9365=I1,IF(ISNUMBER($N$13:$N$9365),IF($N$13:$N$9365&gt;0,$N$13:$N$9365))))</f>
        <v>33.933333334280178</v>
      </c>
      <c r="O5" s="3">
        <f t="array" ref="O5">MAX(IF($AG$13:$AG$9365=I1,IF(ISNUMBER($N$13:$N$9365),IF($N$13:$N$9365&gt;0,$N$13:$N$9365))))</f>
        <v>52.783333329716697</v>
      </c>
      <c r="P5" s="2"/>
      <c r="R5" s="80" t="s">
        <v>17</v>
      </c>
      <c r="S5" s="55">
        <f>COUNTIFS($N$13:$N$9365,"&gt;0",$AG$13:$AG$9365,R1)</f>
        <v>41</v>
      </c>
      <c r="T5" s="44"/>
      <c r="U5" s="169"/>
      <c r="V5" s="45">
        <f>AVERAGEIFS($N$13:$N$9365,$AG$13:$AG$9365,R1)</f>
        <v>15.436585365777562</v>
      </c>
      <c r="W5" s="43">
        <f t="array" ref="W5">MIN(IF($AG$13:$AG$9365=R1,IF(ISNUMBER($N$13:$N$9365),IF($N$13:$N$9365&gt;0,$N$13:$N$9365))))</f>
        <v>12.416666666977108</v>
      </c>
      <c r="X5" s="173">
        <f t="array" ref="X5">MAX(IF($AG$13:$AG$9365=R1,IF(ISNUMBER($N$13:$N$9365),IF($N$13:$N$9365&gt;0,$N$13:$N$9365))))</f>
        <v>22.699999994365498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COUNT($O$13:$O$150)</f>
        <v>0</v>
      </c>
      <c r="K6" s="44"/>
      <c r="L6" s="44"/>
      <c r="M6" s="45">
        <f>IFERROR(AVERAGE($O$13:$O$150),0)</f>
        <v>0</v>
      </c>
      <c r="N6" s="43">
        <f>MIN($O$13:$O$150)</f>
        <v>0</v>
      </c>
      <c r="O6" s="3">
        <f>MAX($O$13:$O$150)</f>
        <v>0</v>
      </c>
      <c r="P6" s="2"/>
      <c r="R6" s="81" t="s">
        <v>43</v>
      </c>
      <c r="S6" s="55">
        <f>COUNT($O$13:$O$150)</f>
        <v>0</v>
      </c>
      <c r="T6" s="44"/>
      <c r="U6" s="169"/>
      <c r="V6" s="45">
        <f>IFERROR(AVERAGE($O$13:$O$150),0)</f>
        <v>0</v>
      </c>
      <c r="W6" s="43">
        <f>MIN($O$13:$O$150)</f>
        <v>0</v>
      </c>
      <c r="X6" s="173">
        <f>MAX($O$13:$O$150)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COUNTIFS($P$13:$P$9365,"&gt;0",$AG$13:$AG$9365,I1)</f>
        <v>7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COUNTIFS($P$13:$P$9365,"&gt;0",$AG$13:$AG$9365,R1)</f>
        <v>4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137</v>
      </c>
      <c r="K8" s="44"/>
      <c r="L8" s="44"/>
      <c r="M8" s="45">
        <f>M5</f>
        <v>38.757907542830033</v>
      </c>
      <c r="N8" s="43">
        <f>N5</f>
        <v>33.933333334280178</v>
      </c>
      <c r="O8" s="3">
        <f>O5</f>
        <v>52.783333329716697</v>
      </c>
      <c r="P8" s="2"/>
      <c r="R8" s="80" t="s">
        <v>16</v>
      </c>
      <c r="S8" s="55">
        <f>S5</f>
        <v>41</v>
      </c>
      <c r="T8" s="44"/>
      <c r="U8" s="169"/>
      <c r="V8" s="45">
        <f>V5</f>
        <v>15.436585365777562</v>
      </c>
      <c r="W8" s="43">
        <f>W5</f>
        <v>12.416666666977108</v>
      </c>
      <c r="X8" s="173">
        <f>X5</f>
        <v>22.699999994365498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0.95138888888888884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0.91111111111111109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4" t="str">
        <f>"Eagle P3 System Performance - "&amp;TEXT(Variables!A2,"yyyy-mm-dd")</f>
        <v>Eagle P3 System Performance - 2016-12-07</v>
      </c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S11" s="69">
        <f>AVERAGE(S13:S101)</f>
        <v>0.98946360153256696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479</v>
      </c>
      <c r="B13" s="7">
        <v>4022</v>
      </c>
      <c r="C13" s="22" t="s">
        <v>207</v>
      </c>
      <c r="D13" s="22" t="s">
        <v>675</v>
      </c>
      <c r="E13" s="13">
        <v>42711.129907407405</v>
      </c>
      <c r="F13" s="13">
        <v>42711.209374999999</v>
      </c>
      <c r="G13" s="7">
        <v>2</v>
      </c>
      <c r="H13" s="22" t="s">
        <v>420</v>
      </c>
      <c r="I13" s="13">
        <v>42711.233298611114</v>
      </c>
      <c r="J13" s="7">
        <v>0</v>
      </c>
      <c r="K13" s="109" t="str">
        <f t="shared" ref="K13:K76" si="0">IF(ISEVEN(B13),(B13-1)&amp;"/"&amp;B13,B13&amp;"/"&amp;(B13+1))</f>
        <v>4021/4022</v>
      </c>
      <c r="L13" s="22" t="str">
        <f>VLOOKUP(A13,'Trips&amp;Operators'!$C$1:$G$99999,5,FALSE)</f>
        <v>MAELZER KURT</v>
      </c>
      <c r="M13" s="6">
        <f t="shared" ref="M13:M76" si="1">I13-F13</f>
        <v>2.3923611115606036E-2</v>
      </c>
      <c r="N13" s="7"/>
      <c r="O13" s="7"/>
      <c r="P13" s="7">
        <f>24*60*SUM($M13:$M13)</f>
        <v>34.450000006472692</v>
      </c>
      <c r="Q13" s="23"/>
      <c r="R13" s="23" t="s">
        <v>441</v>
      </c>
      <c r="S13" s="35">
        <f t="shared" ref="S13:S28" si="2">SUM(U13:U13)/IF(AG13="EC",12,1)</f>
        <v>1</v>
      </c>
      <c r="T13" s="50" t="str">
        <f t="shared" ref="T13:T76" si="3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4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https://search-rtdc-monitor-bjffxe2xuh6vdkpspy63sjmuny.us-east-1.es.amazonaws.com/_plugin/kibana/#/discover/Steve-Slow-Train-Analysis-(2080s-and-2083s)?_g=(refreshInterval:(display:Off,section:0,value:0),time:(from:'2016-12-07 02:07:04-700',mode:absolute,to:'2016-12-07 06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13" s="52" t="str">
        <f t="shared" ref="W13:W76" si="5">IF(AA13&lt;IF(AG13="EC",23,5.65),"Y","N")</f>
        <v>N</v>
      </c>
      <c r="X13" s="177" t="e">
        <f>VALUE(LEFT(AD13,4))-VALUE(LEFT(AD12,4))</f>
        <v>#VALUE!</v>
      </c>
      <c r="Y13" s="67">
        <f t="shared" ref="Y13:Y76" si="6">RIGHT(D13,LEN(D13)-4)/10000</f>
        <v>7.85E-2</v>
      </c>
      <c r="Z13" s="67">
        <f t="shared" ref="Z13:Z76" si="7">RIGHT(H13,LEN(H13)-4)/10000</f>
        <v>23.327400000000001</v>
      </c>
      <c r="AA13" s="67">
        <f t="shared" ref="AA13:AA76" si="8">ABS(Z13-Y13)</f>
        <v>23.248900000000003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6" si="9">IF(LEN(A13)=6,"0"&amp;A13,A13)</f>
        <v>0101-07</v>
      </c>
      <c r="AE13" s="91" t="str">
        <f t="shared" ref="AE13:AE76" si="10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 &amp; aws s3 cp s3://rtdc.mdm.uploadarchive.raw/RTDC4022/ "%USERPROFILE%\AppData\Local\Temp\OnboardLogs"\RTDC4022\2016-12-08 --exclude "*" --recursive --include "*20161208*" &amp; "%USERPROFILE%\Documents\GitHub\mrs-test-scripts\Headless Mode &amp; Sideloading\WalkAndUnGZ.bat" "%USERPROFILE%\AppData\Local\Temp\OnboardLogs"\RTDC4022\2016-12-08</v>
      </c>
      <c r="AF13" s="88" t="str">
        <f t="shared" ref="AF13:AF76" si="11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/stypes="app*4022*20161207*" /stext=" 12:.+((SYSTEM_STATE.+slice.+state.+changed )|(ment ac)|(multiple cpu faults)|(system.+state.+changed )|(\[timeout)|(PRM\|1\|D)|(kpr)|(kdp)|(\|lc)|(penalty))" /e /r /s</v>
      </c>
      <c r="AG13" s="1" t="str">
        <f t="shared" ref="AG13:AG76" si="12">IFERROR(IF(VALUE(LEFT(AD13,2))&lt;=2,"EC",IF(OR(VALUE(LEFT(AD13,2))=8,VALUE(LEFT(AD13,2))=18),"NW","Other")),"Other")</f>
        <v>EC</v>
      </c>
      <c r="AH13" s="92" t="str">
        <f t="shared" ref="AH13" si="13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4022 --swversion DE.1.0.8.0 --startMP 204:785 --initTime 2016-12-07T03:07:04 --startdatetime 2016-12-07T05:01:30 --delay 2 --endMP 204:233274 --enddatetime 2016-12-07T05:35:57 --enforcementcount 0 &gt;&gt;C:\Users\stu\Documents\GitHub\eaglep3-reporting\EC\2016-12-07-refined-times.txt</v>
      </c>
      <c r="AI13" s="119" t="str">
        <f t="shared" ref="AI13" si="14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failure","project_id":79,"tracker_id":40,"status_id":1,"priority_id":2,"assigned_to_id":23,"start_date":"2016-12-07","description":"","custom_fields":[{"id":1,"name":"Subdivision","value":"EC"},{"id":4,"name":"Milepost","value":"23.3274"},{"id":17,"name":"Train ID","value":"101-07"},{"id":16,"name":"Locomotive ID","value":"4022"},{"id":130,"name":"Impact","value":""},{"id":150,"name":"Time of Event (Mountain Time)","value":"05:35:57"},{"id":151,"name":"Denver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485</v>
      </c>
      <c r="B14" s="7">
        <v>4001</v>
      </c>
      <c r="C14" s="22" t="s">
        <v>207</v>
      </c>
      <c r="D14" s="22" t="s">
        <v>676</v>
      </c>
      <c r="E14" s="13">
        <v>42711.170335648145</v>
      </c>
      <c r="F14" s="13">
        <v>42711.174502314818</v>
      </c>
      <c r="G14" s="7">
        <v>1</v>
      </c>
      <c r="H14" s="22" t="s">
        <v>214</v>
      </c>
      <c r="I14" s="13">
        <v>42711.202106481483</v>
      </c>
      <c r="J14" s="7">
        <v>0</v>
      </c>
      <c r="K14" s="109" t="str">
        <f t="shared" si="0"/>
        <v>4001/4002</v>
      </c>
      <c r="L14" s="22" t="str">
        <f>VLOOKUP(A14,'Trips&amp;Operators'!$C$1:$G$99999,5,FALSE)</f>
        <v>MAELZER KURT</v>
      </c>
      <c r="M14" s="6">
        <f t="shared" si="1"/>
        <v>2.7604166665696539E-2</v>
      </c>
      <c r="N14" s="7">
        <f>24*60*SUM($M14:$M14)</f>
        <v>39.749999998603016</v>
      </c>
      <c r="O14" s="7"/>
      <c r="P14" s="7"/>
      <c r="Q14" s="23"/>
      <c r="R14" s="23"/>
      <c r="S14" s="35">
        <f t="shared" si="2"/>
        <v>1</v>
      </c>
      <c r="T14" s="50" t="str">
        <f t="shared" si="3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03:05:17-700',mode:absolute,to:'2016-12-07 05:51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4" s="52" t="str">
        <f t="shared" si="5"/>
        <v>N</v>
      </c>
      <c r="X14" s="177">
        <f>VALUE(LEFT(AD14,4))-VALUE(LEFT(AD13,4))</f>
        <v>1</v>
      </c>
      <c r="Y14" s="67">
        <f t="shared" si="6"/>
        <v>23.276</v>
      </c>
      <c r="Z14" s="67">
        <f t="shared" si="7"/>
        <v>1.4999999999999999E-2</v>
      </c>
      <c r="AA14" s="67">
        <f t="shared" si="8"/>
        <v>23.260999999999999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9"/>
        <v>0102-07</v>
      </c>
      <c r="AE14" s="91" t="str">
        <f t="shared" si="10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14" s="88" t="str">
        <f t="shared" si="11"/>
        <v>"C:\Program Files (x86)\AstroGrep\AstroGrep.exe" /spath="%USERPROFILE%\AppData\Local\Temp\OnboardLogs" /stypes="app*4001*20161207*" /stext=" 11:.+((SYSTEM_STATE.+slice.+state.+changed )|(ment ac)|(multiple cpu faults)|(system.+state.+changed )|(\[timeout)|(PRM\|1\|D)|(kpr)|(kdp)|(\|lc)|(penalty))" /e /r /s</v>
      </c>
      <c r="AG14" s="1" t="str">
        <f t="shared" si="12"/>
        <v>EC</v>
      </c>
      <c r="AH14" s="92" t="str">
        <f t="shared" ref="AH14:AH75" si="15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4001 --swversion DE.1.0.8.0 --startMP 204:232760 --initTime 2016-12-07T04:05:17 --startdatetime 2016-12-07T04:11:17 --delay 1 --endMP 204:150 --enddatetime 2016-12-07T04:51:02 --enforcementcount 0 &gt;&gt;C:\Users\stu\Documents\GitHub\eaglep3-reporting\EC\2016-12-07-refined-times.txt</v>
      </c>
      <c r="AI14" s="119" t="str">
        <f t="shared" ref="AI14:AI75" si="16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ID","value":"102-07"},{"id":16,"name":"Locomotive ID","value":"4001"},{"id":130,"name":"Impact","value":""},{"id":150,"name":"Time of Event (Mountain Time)","value":"04:51:02"},{"id":151,"name":"Denver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480</v>
      </c>
      <c r="B15" s="7">
        <v>4016</v>
      </c>
      <c r="C15" s="22" t="s">
        <v>207</v>
      </c>
      <c r="D15" s="22" t="s">
        <v>677</v>
      </c>
      <c r="E15" s="13">
        <v>42711.151805555557</v>
      </c>
      <c r="F15" s="13">
        <v>42711.156458333331</v>
      </c>
      <c r="G15" s="7">
        <v>2</v>
      </c>
      <c r="H15" s="22" t="s">
        <v>678</v>
      </c>
      <c r="I15" s="13">
        <v>42711.181562500002</v>
      </c>
      <c r="J15" s="7">
        <v>0</v>
      </c>
      <c r="K15" s="109" t="str">
        <f t="shared" si="0"/>
        <v>4015/4016</v>
      </c>
      <c r="L15" s="22" t="str">
        <f>VLOOKUP(A15,'Trips&amp;Operators'!$C$1:$G$99999,5,FALSE)</f>
        <v>MAGEE KENYA</v>
      </c>
      <c r="M15" s="6">
        <f t="shared" si="1"/>
        <v>2.510416667064419E-2</v>
      </c>
      <c r="N15" s="7">
        <f>24*60*SUM($M15:$M15)</f>
        <v>36.150000005727634</v>
      </c>
      <c r="O15" s="7"/>
      <c r="P15" s="7"/>
      <c r="Q15" s="23"/>
      <c r="R15" s="23"/>
      <c r="S15" s="35">
        <f t="shared" si="2"/>
        <v>1</v>
      </c>
      <c r="T15" s="50" t="str">
        <f t="shared" si="3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02:38:36-700',mode:absolute,to:'2016-12-07 05:21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" s="52" t="str">
        <f t="shared" si="5"/>
        <v>N</v>
      </c>
      <c r="X15" s="177">
        <f>VALUE(LEFT(AD15,4))-VALUE(LEFT(AD14,4))</f>
        <v>1</v>
      </c>
      <c r="Y15" s="67">
        <f t="shared" si="6"/>
        <v>7.2300000000000003E-2</v>
      </c>
      <c r="Z15" s="67">
        <f t="shared" si="7"/>
        <v>23.336300000000001</v>
      </c>
      <c r="AA15" s="67">
        <f t="shared" si="8"/>
        <v>23.264000000000003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9"/>
        <v>0103-07</v>
      </c>
      <c r="AE15" s="91" t="str">
        <f t="shared" si="10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15" s="88" t="str">
        <f t="shared" si="11"/>
        <v>"C:\Program Files (x86)\AstroGrep\AstroGrep.exe" /spath="%USERPROFILE%\AppData\Local\Temp\OnboardLogs" /stypes="app*4016*20161207*" /stext=" 11:.+((SYSTEM_STATE.+slice.+state.+changed )|(ment ac)|(multiple cpu faults)|(system.+state.+changed )|(\[timeout)|(PRM\|1\|D)|(kpr)|(kdp)|(\|lc)|(penalty))" /e /r /s</v>
      </c>
      <c r="AG15" s="1" t="str">
        <f t="shared" si="12"/>
        <v>EC</v>
      </c>
      <c r="AH15" s="92" t="str">
        <f t="shared" si="15"/>
        <v>"%USERPROFILE%\Documents\GitHub\eaglep3\Utilities\RefineRTDCRunTimes.py" --tripid 103-07 --locoid 4016 --swversion DE.1.0.8.0 --startMP 204:723 --initTime 2016-12-07T03:38:36 --startdatetime 2016-12-07T03:45:18 --delay 2 --endMP 204:233363 --enddatetime 2016-12-07T04:21:27 --enforcementcount 0 &gt;&gt;C:\Users\stu\Documents\GitHub\eaglep3-reporting\EC\2016-12-07-refined-times.txt</v>
      </c>
      <c r="AI15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{"issue":{"subject":"","project_id":79,"tracker_id":40,"status_id":1,"priority_id":2,"assigned_to_id":23,"start_date":"2016-12-07","description":"","custom_fields":[{"id":1,"name":"Subdivision","value":"EC"},{"id":4,"name":"Milepost","value":"23.3363"},{"id":17,"name":"Train ID","value":"103-07"},{"id":16,"name":"Locomotive ID","value":"4016"},{"id":130,"name":"Impact","value":""},{"id":150,"name":"Time of Event (Mountain Time)","value":"04:21:27"},{"id":151,"name":"Denver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487</v>
      </c>
      <c r="B16" s="7">
        <v>4013</v>
      </c>
      <c r="C16" s="22" t="s">
        <v>207</v>
      </c>
      <c r="D16" s="22" t="s">
        <v>679</v>
      </c>
      <c r="E16" s="13">
        <v>42711.190868055557</v>
      </c>
      <c r="F16" s="13">
        <v>42711.1953587963</v>
      </c>
      <c r="G16" s="7">
        <v>2</v>
      </c>
      <c r="H16" s="22" t="s">
        <v>680</v>
      </c>
      <c r="I16" s="13">
        <v>42711.224293981482</v>
      </c>
      <c r="J16" s="7">
        <v>0</v>
      </c>
      <c r="K16" s="109" t="str">
        <f t="shared" si="0"/>
        <v>4013/4014</v>
      </c>
      <c r="L16" s="22" t="str">
        <f>VLOOKUP(A16,'Trips&amp;Operators'!$C$1:$G$99999,5,FALSE)</f>
        <v>MAGEE KENYA</v>
      </c>
      <c r="M16" s="6">
        <f t="shared" si="1"/>
        <v>2.8935185182490386E-2</v>
      </c>
      <c r="N16" s="7">
        <f>24*60*SUM($M16:$M16)</f>
        <v>41.666666662786156</v>
      </c>
      <c r="O16" s="7"/>
      <c r="P16" s="7"/>
      <c r="Q16" s="23"/>
      <c r="R16" s="23"/>
      <c r="S16" s="35">
        <f t="shared" si="2"/>
        <v>1</v>
      </c>
      <c r="T16" s="50" t="str">
        <f t="shared" si="3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03:34:51-700',mode:absolute,to:'2016-12-07 06:22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6" s="52" t="str">
        <f t="shared" si="5"/>
        <v>N</v>
      </c>
      <c r="X16" s="177">
        <f t="shared" ref="X16:X21" si="17">VALUE(LEFT(AD16,4))-VALUE(LEFT(AD15,4))</f>
        <v>1</v>
      </c>
      <c r="Y16" s="67">
        <f t="shared" si="6"/>
        <v>23.273</v>
      </c>
      <c r="Z16" s="67">
        <f t="shared" si="7"/>
        <v>1.38E-2</v>
      </c>
      <c r="AA16" s="67">
        <f t="shared" si="8"/>
        <v>23.2592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9"/>
        <v>0104-07</v>
      </c>
      <c r="AE16" s="91" t="str">
        <f t="shared" si="10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16" s="88" t="str">
        <f t="shared" si="11"/>
        <v>"C:\Program Files (x86)\AstroGrep\AstroGrep.exe" /spath="%USERPROFILE%\AppData\Local\Temp\OnboardLogs" /stypes="app*4013*20161207*" /stext=" 12:.+((SYSTEM_STATE.+slice.+state.+changed )|(ment ac)|(multiple cpu faults)|(system.+state.+changed )|(\[timeout)|(PRM\|1\|D)|(kpr)|(kdp)|(\|lc)|(penalty))" /e /r /s</v>
      </c>
      <c r="AG16" s="1" t="str">
        <f t="shared" si="12"/>
        <v>EC</v>
      </c>
      <c r="AH16" s="92" t="str">
        <f t="shared" si="15"/>
        <v>"%USERPROFILE%\Documents\GitHub\eaglep3\Utilities\RefineRTDCRunTimes.py" --tripid 104-07 --locoid 4013 --swversion DE.1.0.8.0 --startMP 204:232730 --initTime 2016-12-07T04:34:51 --startdatetime 2016-12-07T04:41:19 --delay 2 --endMP 204:138 --enddatetime 2016-12-07T05:22:59 --enforcementcount 0 &gt;&gt;C:\Users\stu\Documents\GitHub\eaglep3-reporting\EC\2016-12-07-refined-times.txt</v>
      </c>
      <c r="AI16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{"issue":{"subject":"","project_id":79,"tracker_id":40,"status_id":1,"priority_id":2,"assigned_to_id":23,"start_date":"2016-12-07","description":"","custom_fields":[{"id":1,"name":"Subdivision","value":"EC"},{"id":4,"name":"Milepost","value":"0.0138"},{"id":17,"name":"Train ID","value":"104-07"},{"id":16,"name":"Locomotive ID","value":"4013"},{"id":130,"name":"Impact","value":""},{"id":150,"name":"Time of Event (Mountain Time)","value":"05:22:59"},{"id":151,"name":"Denver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448</v>
      </c>
      <c r="B17" s="7">
        <v>4031</v>
      </c>
      <c r="C17" s="22" t="s">
        <v>207</v>
      </c>
      <c r="D17" s="22" t="s">
        <v>681</v>
      </c>
      <c r="E17" s="13">
        <v>42711.190532407411</v>
      </c>
      <c r="F17" s="13">
        <v>42711.191724537035</v>
      </c>
      <c r="G17" s="7">
        <v>1</v>
      </c>
      <c r="H17" s="22" t="s">
        <v>352</v>
      </c>
      <c r="I17" s="13">
        <v>42711.208877314813</v>
      </c>
      <c r="J17" s="7">
        <v>0</v>
      </c>
      <c r="K17" s="109" t="str">
        <f t="shared" si="0"/>
        <v>4031/4032</v>
      </c>
      <c r="L17" s="22" t="str">
        <f>VLOOKUP(A17,'Trips&amp;Operators'!$C$1:$G$99999,5,FALSE)</f>
        <v>BROWN JACOB</v>
      </c>
      <c r="M17" s="6">
        <f t="shared" si="1"/>
        <v>1.7152777778392192E-2</v>
      </c>
      <c r="N17" s="7"/>
      <c r="O17" s="7"/>
      <c r="P17" s="7">
        <f>24*60*SUM($M17:$M17)</f>
        <v>24.700000000884756</v>
      </c>
      <c r="Q17" s="23"/>
      <c r="R17" s="23" t="s">
        <v>441</v>
      </c>
      <c r="S17" s="35">
        <f t="shared" si="2"/>
        <v>0.25</v>
      </c>
      <c r="T17" s="50" t="str">
        <f t="shared" si="3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3</v>
      </c>
      <c r="V1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03:34:22-700',mode:absolute,to:'2016-12-07 06:00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7" s="52" t="str">
        <f t="shared" si="5"/>
        <v>Y</v>
      </c>
      <c r="X17" s="177">
        <f t="shared" si="17"/>
        <v>1</v>
      </c>
      <c r="Y17" s="67">
        <f t="shared" si="6"/>
        <v>6.4794999999999998</v>
      </c>
      <c r="Z17" s="67">
        <f t="shared" si="7"/>
        <v>23.3306</v>
      </c>
      <c r="AA17" s="67">
        <f t="shared" si="8"/>
        <v>16.851100000000002</v>
      </c>
      <c r="AB17" s="64" t="str">
        <f>VLOOKUP(A17,Enforcements!$C$7:$K$20,8,0)</f>
        <v>Signal based authority (5)</v>
      </c>
      <c r="AC17" s="60" t="str">
        <f>VLOOKUP(A17,Enforcements!$C$7:$E$20,3,0)</f>
        <v>SIGNAL</v>
      </c>
      <c r="AD17" s="61" t="str">
        <f t="shared" si="9"/>
        <v>0105-07</v>
      </c>
      <c r="AE17" s="91" t="str">
        <f t="shared" si="10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17" s="88" t="str">
        <f t="shared" si="11"/>
        <v>"C:\Program Files (x86)\AstroGrep\AstroGrep.exe" /spath="%USERPROFILE%\AppData\Local\Temp\OnboardLogs" /stypes="app*4031*20161207*" /stext=" 12:.+((SYSTEM_STATE.+slice.+state.+changed )|(ment ac)|(multiple cpu faults)|(system.+state.+changed )|(\[timeout)|(PRM\|1\|D)|(kpr)|(kdp)|(\|lc)|(penalty))" /e /r /s</v>
      </c>
      <c r="AG17" s="1" t="str">
        <f t="shared" si="12"/>
        <v>EC</v>
      </c>
      <c r="AH17" s="92" t="str">
        <f t="shared" si="15"/>
        <v>"%USERPROFILE%\Documents\GitHub\eaglep3\Utilities\RefineRTDCRunTimes.py" --tripid 105-07 --locoid 4031 --swversion DE.1.0.8.0 --startMP 204:64795 --initTime 2016-12-07T04:34:22 --startdatetime 2016-12-07T04:36:05 --delay 1 --endMP 204:233306 --enddatetime 2016-12-07T05:00:47 --enforcementcount 0 &gt;&gt;C:\Users\stu\Documents\GitHub\eaglep3-reporting\EC\2016-12-07-refined-times.txt</v>
      </c>
      <c r="AI17" s="119" t="str">
        <f t="shared" si="16"/>
        <v>echo {"issue":{"subject":"Onboard in-route failure","project_id":79,"tracker_id":40,"status_id":1,"priority_id":2,"assigned_to_id":23,"start_date":"2016-12-07","description":"","custom_fields":[{"id":1,"name":"Subdivision","value":"EC"},{"id":4,"name":"Milepost","value":"23.3306"},{"id":17,"name":"Train ID","value":"105-07"},{"id":16,"name":"Locomotive ID","value":"4031"},{"id":130,"name":"Impact","value":""},{"id":150,"name":"Time of Event (Mountain Time)","value":"05:00:47"},{"id":151,"name":"Denver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492</v>
      </c>
      <c r="B18" s="7">
        <v>4043</v>
      </c>
      <c r="C18" s="22" t="s">
        <v>207</v>
      </c>
      <c r="D18" s="22" t="s">
        <v>682</v>
      </c>
      <c r="E18" s="13">
        <v>42711.21361111111</v>
      </c>
      <c r="F18" s="13">
        <v>42711.216122685182</v>
      </c>
      <c r="G18" s="7">
        <v>3</v>
      </c>
      <c r="H18" s="22" t="s">
        <v>683</v>
      </c>
      <c r="I18" s="13">
        <v>42711.244687500002</v>
      </c>
      <c r="J18" s="7">
        <v>0</v>
      </c>
      <c r="K18" s="109" t="str">
        <f t="shared" si="0"/>
        <v>4043/4044</v>
      </c>
      <c r="L18" s="22" t="str">
        <f>VLOOKUP(A18,'Trips&amp;Operators'!$C$1:$G$99999,5,FALSE)</f>
        <v>BROWN JACOB</v>
      </c>
      <c r="M18" s="6">
        <f t="shared" si="1"/>
        <v>2.8564814820128959E-2</v>
      </c>
      <c r="N18" s="7">
        <f t="shared" ref="N18:N28" si="18">24*60*SUM($M18:$M18)</f>
        <v>41.1333333409857</v>
      </c>
      <c r="O18" s="7"/>
      <c r="P18" s="7"/>
      <c r="Q18" s="23"/>
      <c r="R18" s="23"/>
      <c r="S18" s="35">
        <f t="shared" si="2"/>
        <v>1</v>
      </c>
      <c r="T18" s="50" t="str">
        <f t="shared" si="3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04:07:36-700',mode:absolute,to:'2016-12-07 06:52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8" s="52" t="str">
        <f t="shared" si="5"/>
        <v>N</v>
      </c>
      <c r="X18" s="177">
        <f t="shared" si="17"/>
        <v>1</v>
      </c>
      <c r="Y18" s="67">
        <f t="shared" si="6"/>
        <v>23.267499999999998</v>
      </c>
      <c r="Z18" s="67">
        <f t="shared" si="7"/>
        <v>1.21E-2</v>
      </c>
      <c r="AA18" s="67">
        <f t="shared" si="8"/>
        <v>23.255399999999998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9"/>
        <v>0106-07</v>
      </c>
      <c r="AE18" s="91" t="str">
        <f t="shared" si="10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18" s="88" t="str">
        <f t="shared" si="11"/>
        <v>"C:\Program Files (x86)\AstroGrep\AstroGrep.exe" /spath="%USERPROFILE%\AppData\Local\Temp\OnboardLogs" /stypes="app*4043*20161207*" /stext=" 12:.+((SYSTEM_STATE.+slice.+state.+changed )|(ment ac)|(multiple cpu faults)|(system.+state.+changed )|(\[timeout)|(PRM\|1\|D)|(kpr)|(kdp)|(\|lc)|(penalty))" /e /r /s</v>
      </c>
      <c r="AG18" s="1" t="str">
        <f t="shared" si="12"/>
        <v>EC</v>
      </c>
      <c r="AH18" s="92" t="str">
        <f t="shared" si="15"/>
        <v>"%USERPROFILE%\Documents\GitHub\eaglep3\Utilities\RefineRTDCRunTimes.py" --tripid 106-07 --locoid 4043 --swversion DE.1.0.8.0 --startMP 204:232675 --initTime 2016-12-07T05:07:36 --startdatetime 2016-12-07T05:11:13 --delay 3 --endMP 204:121 --enddatetime 2016-12-07T05:52:21 --enforcementcount 0 &gt;&gt;C:\Users\stu\Documents\GitHub\eaglep3-reporting\EC\2016-12-07-refined-times.txt</v>
      </c>
      <c r="AI18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{"issue":{"subject":"","project_id":79,"tracker_id":40,"status_id":1,"priority_id":2,"assigned_to_id":23,"start_date":"2016-12-07","description":"","custom_fields":[{"id":1,"name":"Subdivision","value":"EC"},{"id":4,"name":"Milepost","value":"0.0121"},{"id":17,"name":"Train ID","value":"106-07"},{"id":16,"name":"Locomotive ID","value":"4043"},{"id":130,"name":"Impact","value":""},{"id":150,"name":"Time of Event (Mountain Time)","value":"05:52:21"},{"id":151,"name":"Denver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449</v>
      </c>
      <c r="B19" s="7">
        <v>4009</v>
      </c>
      <c r="C19" s="22" t="s">
        <v>207</v>
      </c>
      <c r="D19" s="22" t="s">
        <v>310</v>
      </c>
      <c r="E19" s="13">
        <v>42711.185787037037</v>
      </c>
      <c r="F19" s="13">
        <v>42711.188148148147</v>
      </c>
      <c r="G19" s="7">
        <v>2</v>
      </c>
      <c r="H19" s="22" t="s">
        <v>322</v>
      </c>
      <c r="I19" s="13">
        <v>42711.216550925928</v>
      </c>
      <c r="J19" s="7">
        <v>0</v>
      </c>
      <c r="K19" s="109" t="str">
        <f t="shared" si="0"/>
        <v>4009/4010</v>
      </c>
      <c r="L19" s="22" t="str">
        <f>VLOOKUP(A19,'Trips&amp;Operators'!$C$1:$G$99999,5,FALSE)</f>
        <v>MAHAN DUANE</v>
      </c>
      <c r="M19" s="6">
        <f t="shared" si="1"/>
        <v>2.8402777781593613E-2</v>
      </c>
      <c r="N19" s="7">
        <f t="shared" si="18"/>
        <v>40.900000005494803</v>
      </c>
      <c r="O19" s="7"/>
      <c r="P19" s="7"/>
      <c r="Q19" s="23"/>
      <c r="R19" s="23"/>
      <c r="S19" s="35">
        <f t="shared" si="2"/>
        <v>1</v>
      </c>
      <c r="T19" s="50" t="str">
        <f t="shared" si="3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03:27:32-700',mode:absolute,to:'2016-12-07 06:11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" s="52" t="str">
        <f t="shared" si="5"/>
        <v>N</v>
      </c>
      <c r="X19" s="177">
        <f t="shared" si="17"/>
        <v>1</v>
      </c>
      <c r="Y19" s="67">
        <f t="shared" si="6"/>
        <v>4.53E-2</v>
      </c>
      <c r="Z19" s="67">
        <f t="shared" si="7"/>
        <v>23.3278</v>
      </c>
      <c r="AA19" s="67">
        <f t="shared" si="8"/>
        <v>23.282499999999999</v>
      </c>
      <c r="AB19" s="64" t="str">
        <f>VLOOKUP(A19,Enforcements!$C$7:$K$20,8,0)</f>
        <v>Signal based authority (5)</v>
      </c>
      <c r="AC19" s="60" t="str">
        <f>VLOOKUP(A19,Enforcements!$C$7:$E$20,3,0)</f>
        <v>SIGNAL</v>
      </c>
      <c r="AD19" s="61" t="str">
        <f t="shared" si="9"/>
        <v>0107-07</v>
      </c>
      <c r="AE19" s="91" t="str">
        <f t="shared" si="10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19" s="88" t="str">
        <f t="shared" si="11"/>
        <v>"C:\Program Files (x86)\AstroGrep\AstroGrep.exe" /spath="%USERPROFILE%\AppData\Local\Temp\OnboardLogs" /stypes="app*4009*20161207*" /stext=" 12:.+((SYSTEM_STATE.+slice.+state.+changed )|(ment ac)|(multiple cpu faults)|(system.+state.+changed )|(\[timeout)|(PRM\|1\|D)|(kpr)|(kdp)|(\|lc)|(penalty))" /e /r /s</v>
      </c>
      <c r="AG19" s="1" t="str">
        <f t="shared" si="12"/>
        <v>EC</v>
      </c>
      <c r="AH19" s="92" t="str">
        <f t="shared" si="15"/>
        <v>"%USERPROFILE%\Documents\GitHub\eaglep3\Utilities\RefineRTDCRunTimes.py" --tripid 107-07 --locoid 4009 --swversion DE.1.0.8.0 --startMP 204:453 --initTime 2016-12-07T04:27:32 --startdatetime 2016-12-07T04:30:56 --delay 2 --endMP 204:233278 --enddatetime 2016-12-07T05:11:50 --enforcementcount 0 &gt;&gt;C:\Users\stu\Documents\GitHub\eaglep3-reporting\EC\2016-12-07-refined-times.txt</v>
      </c>
      <c r="AI19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{"issue":{"subject":"","project_id":79,"tracker_id":40,"status_id":1,"priority_id":2,"assigned_to_id":23,"start_date":"2016-12-07","description":"","custom_fields":[{"id":1,"name":"Subdivision","value":"EC"},{"id":4,"name":"Milepost","value":"23.3278"},{"id":17,"name":"Train ID","value":"107-07"},{"id":16,"name":"Locomotive ID","value":"4009"},{"id":130,"name":"Impact","value":""},{"id":150,"name":"Time of Event (Mountain Time)","value":"05:11:50"},{"id":151,"name":"Denver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493</v>
      </c>
      <c r="B20" s="7">
        <v>4010</v>
      </c>
      <c r="C20" s="22" t="s">
        <v>207</v>
      </c>
      <c r="D20" s="22" t="s">
        <v>684</v>
      </c>
      <c r="E20" s="13">
        <v>42711.221539351849</v>
      </c>
      <c r="F20" s="13">
        <v>42711.226631944446</v>
      </c>
      <c r="G20" s="7">
        <v>1</v>
      </c>
      <c r="H20" s="22" t="s">
        <v>319</v>
      </c>
      <c r="I20" s="13">
        <v>42711.254733796297</v>
      </c>
      <c r="J20" s="7">
        <v>0</v>
      </c>
      <c r="K20" s="109" t="str">
        <f t="shared" si="0"/>
        <v>4009/4010</v>
      </c>
      <c r="L20" s="22" t="str">
        <f>VLOOKUP(A20,'Trips&amp;Operators'!$C$1:$G$99999,5,FALSE)</f>
        <v>MAHAN DUANE</v>
      </c>
      <c r="M20" s="6">
        <f t="shared" si="1"/>
        <v>2.810185185080627E-2</v>
      </c>
      <c r="N20" s="7">
        <f t="shared" si="18"/>
        <v>40.466666665161029</v>
      </c>
      <c r="O20" s="7"/>
      <c r="P20" s="7"/>
      <c r="Q20" s="23"/>
      <c r="R20" s="23"/>
      <c r="S20" s="35">
        <f t="shared" si="2"/>
        <v>1</v>
      </c>
      <c r="T20" s="50" t="str">
        <f t="shared" si="3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04:19:01-700',mode:absolute,to:'2016-12-07 07:06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0" s="52" t="str">
        <f t="shared" si="5"/>
        <v>N</v>
      </c>
      <c r="X20" s="177">
        <f t="shared" si="17"/>
        <v>1</v>
      </c>
      <c r="Y20" s="67">
        <f t="shared" si="6"/>
        <v>23.296099999999999</v>
      </c>
      <c r="Z20" s="67">
        <f t="shared" si="7"/>
        <v>1.52E-2</v>
      </c>
      <c r="AA20" s="67">
        <f t="shared" si="8"/>
        <v>23.280899999999999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9"/>
        <v>0108-07</v>
      </c>
      <c r="AE20" s="91" t="str">
        <f t="shared" si="10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20" s="88" t="str">
        <f t="shared" si="11"/>
        <v>"C:\Program Files (x86)\AstroGrep\AstroGrep.exe" /spath="%USERPROFILE%\AppData\Local\Temp\OnboardLogs" /stypes="app*4010*20161207*" /stext=" 13:.+((SYSTEM_STATE.+slice.+state.+changed )|(ment ac)|(multiple cpu faults)|(system.+state.+changed )|(\[timeout)|(PRM\|1\|D)|(kpr)|(kdp)|(\|lc)|(penalty))" /e /r /s</v>
      </c>
      <c r="AG20" s="1" t="str">
        <f t="shared" si="12"/>
        <v>EC</v>
      </c>
      <c r="AH20" s="92" t="str">
        <f t="shared" si="15"/>
        <v>"%USERPROFILE%\Documents\GitHub\eaglep3\Utilities\RefineRTDCRunTimes.py" --tripid 108-07 --locoid 4010 --swversion DE.1.0.8.0 --startMP 204:232961 --initTime 2016-12-07T05:19:01 --startdatetime 2016-12-07T05:26:21 --delay 1 --endMP 204:152 --enddatetime 2016-12-07T06:06:49 --enforcementcount 0 &gt;&gt;C:\Users\stu\Documents\GitHub\eaglep3-reporting\EC\2016-12-07-refined-times.txt</v>
      </c>
      <c r="AI20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{"issue":{"subject":"","project_id":79,"tracker_id":40,"status_id":1,"priority_id":2,"assigned_to_id":23,"start_date":"2016-12-07","description":"","custom_fields":[{"id":1,"name":"Subdivision","value":"EC"},{"id":4,"name":"Milepost","value":"0.0152"},{"id":17,"name":"Train ID","value":"108-07"},{"id":16,"name":"Locomotive ID","value":"4010"},{"id":130,"name":"Impact","value":""},{"id":150,"name":"Time of Event (Mountain Time)","value":"06:06:49"},{"id":151,"name":"Denver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488</v>
      </c>
      <c r="B21" s="7">
        <v>4020</v>
      </c>
      <c r="C21" s="22" t="s">
        <v>207</v>
      </c>
      <c r="D21" s="22" t="s">
        <v>685</v>
      </c>
      <c r="E21" s="13">
        <v>42711.193784722222</v>
      </c>
      <c r="F21" s="13">
        <v>42711.198101851849</v>
      </c>
      <c r="G21" s="7">
        <v>1</v>
      </c>
      <c r="H21" s="22" t="s">
        <v>686</v>
      </c>
      <c r="I21" s="13">
        <v>42711.224560185183</v>
      </c>
      <c r="J21" s="7">
        <v>0</v>
      </c>
      <c r="K21" s="109" t="str">
        <f t="shared" si="0"/>
        <v>4019/4020</v>
      </c>
      <c r="L21" s="22" t="str">
        <f>VLOOKUP(A21,'Trips&amp;Operators'!$C$1:$G$99999,5,FALSE)</f>
        <v>KILLION DAVID</v>
      </c>
      <c r="M21" s="6">
        <f t="shared" si="1"/>
        <v>2.6458333333721384E-2</v>
      </c>
      <c r="N21" s="7">
        <f t="shared" si="18"/>
        <v>38.100000000558794</v>
      </c>
      <c r="O21" s="7"/>
      <c r="P21" s="7"/>
      <c r="Q21" s="23"/>
      <c r="R21" s="23"/>
      <c r="S21" s="35">
        <f t="shared" si="2"/>
        <v>1</v>
      </c>
      <c r="T21" s="50" t="str">
        <f t="shared" si="3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03:39:03-700',mode:absolute,to:'2016-12-07 06:23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1" s="52" t="str">
        <f t="shared" si="5"/>
        <v>N</v>
      </c>
      <c r="X21" s="177">
        <f t="shared" si="17"/>
        <v>1</v>
      </c>
      <c r="Y21" s="67">
        <f t="shared" si="6"/>
        <v>4.7800000000000002E-2</v>
      </c>
      <c r="Z21" s="67">
        <f t="shared" si="7"/>
        <v>23.328499999999998</v>
      </c>
      <c r="AA21" s="67">
        <f t="shared" si="8"/>
        <v>23.2807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9"/>
        <v>0109-07</v>
      </c>
      <c r="AE21" s="91" t="str">
        <f t="shared" si="10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21" s="88" t="str">
        <f t="shared" si="11"/>
        <v>"C:\Program Files (x86)\AstroGrep\AstroGrep.exe" /spath="%USERPROFILE%\AppData\Local\Temp\OnboardLogs" /stypes="app*4020*20161207*" /stext=" 12:.+((SYSTEM_STATE.+slice.+state.+changed )|(ment ac)|(multiple cpu faults)|(system.+state.+changed )|(\[timeout)|(PRM\|1\|D)|(kpr)|(kdp)|(\|lc)|(penalty))" /e /r /s</v>
      </c>
      <c r="AG21" s="1" t="str">
        <f t="shared" si="12"/>
        <v>EC</v>
      </c>
      <c r="AH21" s="92" t="str">
        <f t="shared" si="15"/>
        <v>"%USERPROFILE%\Documents\GitHub\eaglep3\Utilities\RefineRTDCRunTimes.py" --tripid 109-07 --locoid 4020 --swversion DE.1.0.8.0 --startMP 204:478 --initTime 2016-12-07T04:39:03 --startdatetime 2016-12-07T04:45:16 --delay 1 --endMP 204:233285 --enddatetime 2016-12-07T05:23:22 --enforcementcount 0 &gt;&gt;C:\Users\stu\Documents\GitHub\eaglep3-reporting\EC\2016-12-07-refined-times.txt</v>
      </c>
      <c r="AI21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{"issue":{"subject":"","project_id":79,"tracker_id":40,"status_id":1,"priority_id":2,"assigned_to_id":23,"start_date":"2016-12-07","description":"","custom_fields":[{"id":1,"name":"Subdivision","value":"EC"},{"id":4,"name":"Milepost","value":"23.3285"},{"id":17,"name":"Train ID","value":"109-07"},{"id":16,"name":"Locomotive ID","value":"4020"},{"id":130,"name":"Impact","value":""},{"id":150,"name":"Time of Event (Mountain Time)","value":"05:23:22"},{"id":151,"name":"Denver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495</v>
      </c>
      <c r="B22" s="7">
        <v>4019</v>
      </c>
      <c r="C22" s="22" t="s">
        <v>207</v>
      </c>
      <c r="D22" s="22" t="s">
        <v>344</v>
      </c>
      <c r="E22" s="13">
        <v>42711.23232638889</v>
      </c>
      <c r="F22" s="13">
        <v>42711.236979166664</v>
      </c>
      <c r="G22" s="7">
        <v>1</v>
      </c>
      <c r="H22" s="22" t="s">
        <v>227</v>
      </c>
      <c r="I22" s="13">
        <v>42711.269074074073</v>
      </c>
      <c r="J22" s="7">
        <v>0</v>
      </c>
      <c r="K22" s="109" t="str">
        <f t="shared" si="0"/>
        <v>4019/4020</v>
      </c>
      <c r="L22" s="22" t="str">
        <f>VLOOKUP(A22,'Trips&amp;Operators'!$C$1:$G$99999,5,FALSE)</f>
        <v>KILLION DAVID</v>
      </c>
      <c r="M22" s="6">
        <f t="shared" si="1"/>
        <v>3.2094907408463769E-2</v>
      </c>
      <c r="N22" s="7">
        <f t="shared" si="18"/>
        <v>46.216666668187827</v>
      </c>
      <c r="O22" s="7"/>
      <c r="P22" s="7"/>
      <c r="Q22" s="23"/>
      <c r="R22" s="23"/>
      <c r="S22" s="35">
        <f t="shared" si="2"/>
        <v>1</v>
      </c>
      <c r="T22" s="50" t="str">
        <f t="shared" si="3"/>
        <v>Southbound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04:34:33-700',mode:absolute,to:'2016-12-07 07:27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2" s="52" t="str">
        <f t="shared" si="5"/>
        <v>N</v>
      </c>
      <c r="X22" s="177">
        <f t="shared" ref="X22:X68" si="19">VALUE(LEFT(AD22,4))-VALUE(LEFT(AD21,4))</f>
        <v>1</v>
      </c>
      <c r="Y22" s="67">
        <f t="shared" si="6"/>
        <v>23.2974</v>
      </c>
      <c r="Z22" s="67">
        <f t="shared" si="7"/>
        <v>1.54E-2</v>
      </c>
      <c r="AA22" s="67">
        <f t="shared" si="8"/>
        <v>23.282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9"/>
        <v>0110-07</v>
      </c>
      <c r="AE22" s="91" t="str">
        <f t="shared" si="10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22" s="88" t="str">
        <f t="shared" si="11"/>
        <v>"C:\Program Files (x86)\AstroGrep\AstroGrep.exe" /spath="%USERPROFILE%\AppData\Local\Temp\OnboardLogs" /stypes="app*4019*20161207*" /stext=" 13:.+((SYSTEM_STATE.+slice.+state.+changed )|(ment ac)|(multiple cpu faults)|(system.+state.+changed )|(\[timeout)|(PRM\|1\|D)|(kpr)|(kdp)|(\|lc)|(penalty))" /e /r /s</v>
      </c>
      <c r="AG22" s="1" t="str">
        <f t="shared" si="12"/>
        <v>EC</v>
      </c>
      <c r="AH22" s="92" t="str">
        <f t="shared" si="15"/>
        <v>"%USERPROFILE%\Documents\GitHub\eaglep3\Utilities\RefineRTDCRunTimes.py" --tripid 110-07 --locoid 4019 --swversion DE.1.0.8.0 --startMP 204:232974 --initTime 2016-12-07T05:34:33 --startdatetime 2016-12-07T05:41:15 --delay 1 --endMP 204:154 --enddatetime 2016-12-07T06:27:28 --enforcementcount 0 &gt;&gt;C:\Users\stu\Documents\GitHub\eaglep3-reporting\EC\2016-12-07-refined-times.txt</v>
      </c>
      <c r="AI22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{"issue":{"subject":"","project_id":79,"tracker_id":40,"status_id":1,"priority_id":2,"assigned_to_id":23,"start_date":"2016-12-07","description":"","custom_fields":[{"id":1,"name":"Subdivision","value":"EC"},{"id":4,"name":"Milepost","value":"0.0154"},{"id":17,"name":"Train ID","value":"110-07"},{"id":16,"name":"Locomotive ID","value":"4019"},{"id":130,"name":"Impact","value":""},{"id":150,"name":"Time of Event (Mountain Time)","value":"06:27:28"},{"id":151,"name":"Denver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491</v>
      </c>
      <c r="B23" s="7">
        <v>4022</v>
      </c>
      <c r="C23" s="22" t="s">
        <v>207</v>
      </c>
      <c r="D23" s="22" t="s">
        <v>687</v>
      </c>
      <c r="E23" s="13">
        <v>42711.208194444444</v>
      </c>
      <c r="F23" s="13">
        <v>42711.209374999999</v>
      </c>
      <c r="G23" s="7">
        <v>1</v>
      </c>
      <c r="H23" s="22" t="s">
        <v>420</v>
      </c>
      <c r="I23" s="13">
        <v>42711.233298611114</v>
      </c>
      <c r="J23" s="7">
        <v>0</v>
      </c>
      <c r="K23" s="109" t="str">
        <f t="shared" si="0"/>
        <v>4021/4022</v>
      </c>
      <c r="L23" s="22" t="str">
        <f>VLOOKUP(A23,'Trips&amp;Operators'!$C$1:$G$99999,5,FALSE)</f>
        <v>ROCHA YAOTL</v>
      </c>
      <c r="M23" s="6">
        <f t="shared" si="1"/>
        <v>2.3923611115606036E-2</v>
      </c>
      <c r="N23" s="7">
        <f t="shared" si="18"/>
        <v>34.450000006472692</v>
      </c>
      <c r="O23" s="7"/>
      <c r="P23" s="7"/>
      <c r="Q23" s="23"/>
      <c r="R23" s="23"/>
      <c r="S23" s="35">
        <f t="shared" si="2"/>
        <v>1</v>
      </c>
      <c r="T23" s="50" t="str">
        <f t="shared" si="3"/>
        <v>NorthBound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03:59:48-700',mode:absolute,to:'2016-12-07 06:35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3" s="52" t="str">
        <f t="shared" si="5"/>
        <v>N</v>
      </c>
      <c r="X23" s="177">
        <f t="shared" si="19"/>
        <v>1</v>
      </c>
      <c r="Y23" s="67">
        <f t="shared" si="6"/>
        <v>7.4399999999999994E-2</v>
      </c>
      <c r="Z23" s="67">
        <f t="shared" si="7"/>
        <v>23.327400000000001</v>
      </c>
      <c r="AA23" s="67">
        <f t="shared" si="8"/>
        <v>23.253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9"/>
        <v>0111-07</v>
      </c>
      <c r="AE23" s="91" t="str">
        <f t="shared" si="10"/>
        <v>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 &amp; aws s3 cp s3://rtdc.mdm.uploadarchive.raw/RTDC4022/ "%USERPROFILE%\AppData\Local\Temp\OnboardLogs"\RTDC4022\2016-12-08 --exclude "*" --recursive --include "*20161208*" &amp; "%USERPROFILE%\Documents\GitHub\mrs-test-scripts\Headless Mode &amp; Sideloading\WalkAndUnGZ.bat" "%USERPROFILE%\AppData\Local\Temp\OnboardLogs"\RTDC4022\2016-12-08</v>
      </c>
      <c r="AF23" s="88" t="str">
        <f t="shared" si="11"/>
        <v>"C:\Program Files (x86)\AstroGrep\AstroGrep.exe" /spath="%USERPROFILE%\AppData\Local\Temp\OnboardLogs" /stypes="app*4022*20161207*" /stext=" 12:.+((SYSTEM_STATE.+slice.+state.+changed )|(ment ac)|(multiple cpu faults)|(system.+state.+changed )|(\[timeout)|(PRM\|1\|D)|(kpr)|(kdp)|(\|lc)|(penalty))" /e /r /s</v>
      </c>
      <c r="AG23" s="1" t="str">
        <f t="shared" si="12"/>
        <v>EC</v>
      </c>
      <c r="AH23" s="92" t="str">
        <f t="shared" si="15"/>
        <v>"%USERPROFILE%\Documents\GitHub\eaglep3\Utilities\RefineRTDCRunTimes.py" --tripid 111-07 --locoid 4022 --swversion DE.1.0.8.0 --startMP 204:744 --initTime 2016-12-07T04:59:48 --startdatetime 2016-12-07T05:01:30 --delay 1 --endMP 204:233274 --enddatetime 2016-12-07T05:35:57 --enforcementcount 0 &gt;&gt;C:\Users\stu\Documents\GitHub\eaglep3-reporting\EC\2016-12-07-refined-times.txt</v>
      </c>
      <c r="AI23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{"issue":{"subject":"","project_id":79,"tracker_id":40,"status_id":1,"priority_id":2,"assigned_to_id":23,"start_date":"2016-12-07","description":"","custom_fields":[{"id":1,"name":"Subdivision","value":"EC"},{"id":4,"name":"Milepost","value":"23.3274"},{"id":17,"name":"Train ID","value":"111-07"},{"id":16,"name":"Locomotive ID","value":"4022"},{"id":130,"name":"Impact","value":""},{"id":150,"name":"Time of Event (Mountain Time)","value":"05:35:57"},{"id":151,"name":"Denver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498</v>
      </c>
      <c r="B24" s="7">
        <v>4021</v>
      </c>
      <c r="C24" s="22" t="s">
        <v>207</v>
      </c>
      <c r="D24" s="22" t="s">
        <v>688</v>
      </c>
      <c r="E24" s="13">
        <v>42711.246886574074</v>
      </c>
      <c r="F24" s="13">
        <v>42711.248078703706</v>
      </c>
      <c r="G24" s="7">
        <v>1</v>
      </c>
      <c r="H24" s="22" t="s">
        <v>205</v>
      </c>
      <c r="I24" s="13">
        <v>42711.284733796296</v>
      </c>
      <c r="J24" s="7">
        <v>0</v>
      </c>
      <c r="K24" s="109" t="str">
        <f t="shared" si="0"/>
        <v>4021/4022</v>
      </c>
      <c r="L24" s="22" t="str">
        <f>VLOOKUP(A24,'Trips&amp;Operators'!$C$1:$G$99999,5,FALSE)</f>
        <v>ROCHA YAOTL</v>
      </c>
      <c r="M24" s="6">
        <f t="shared" si="1"/>
        <v>3.665509259008104E-2</v>
      </c>
      <c r="N24" s="7">
        <f t="shared" si="18"/>
        <v>52.783333329716697</v>
      </c>
      <c r="O24" s="7"/>
      <c r="P24" s="7"/>
      <c r="Q24" s="23"/>
      <c r="R24" s="23" t="s">
        <v>839</v>
      </c>
      <c r="S24" s="35">
        <f t="shared" si="2"/>
        <v>1</v>
      </c>
      <c r="T24" s="50" t="str">
        <f t="shared" si="3"/>
        <v>Southbound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04:55:31-700',mode:absolute,to:'2016-12-07 07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24" s="52" t="str">
        <f t="shared" si="5"/>
        <v>N</v>
      </c>
      <c r="X24" s="177">
        <f t="shared" si="19"/>
        <v>1</v>
      </c>
      <c r="Y24" s="67">
        <f t="shared" si="6"/>
        <v>23.2959</v>
      </c>
      <c r="Z24" s="67">
        <f t="shared" si="7"/>
        <v>1.5599999999999999E-2</v>
      </c>
      <c r="AA24" s="67">
        <f t="shared" si="8"/>
        <v>23.2803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9"/>
        <v>0112-07</v>
      </c>
      <c r="AE24" s="91" t="str">
        <f t="shared" si="10"/>
        <v>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 &amp; aws s3 cp s3://rtdc.mdm.uploadarchive.raw/RTDC4021/ "%USERPROFILE%\AppData\Local\Temp\OnboardLogs"\RTDC4021\2016-12-08 --exclude "*" --recursive --include "*20161208*" &amp; "%USERPROFILE%\Documents\GitHub\mrs-test-scripts\Headless Mode &amp; Sideloading\WalkAndUnGZ.bat" "%USERPROFILE%\AppData\Local\Temp\OnboardLogs"\RTDC4021\2016-12-08</v>
      </c>
      <c r="AF24" s="88" t="str">
        <f t="shared" si="11"/>
        <v>"C:\Program Files (x86)\AstroGrep\AstroGrep.exe" /spath="%USERPROFILE%\AppData\Local\Temp\OnboardLogs" /stypes="app*4021*20161207*" /stext=" 13:.+((SYSTEM_STATE.+slice.+state.+changed )|(ment ac)|(multiple cpu faults)|(system.+state.+changed )|(\[timeout)|(PRM\|1\|D)|(kpr)|(kdp)|(\|lc)|(penalty))" /e /r /s</v>
      </c>
      <c r="AG24" s="1" t="str">
        <f t="shared" si="12"/>
        <v>EC</v>
      </c>
      <c r="AH24" s="92" t="str">
        <f t="shared" si="15"/>
        <v>"%USERPROFILE%\Documents\GitHub\eaglep3\Utilities\RefineRTDCRunTimes.py" --tripid 112-07 --locoid 4021 --swversion DE.1.0.8.0 --startMP 204:232959 --initTime 2016-12-07T05:55:31 --startdatetime 2016-12-07T05:57:14 --delay 1 --endMP 204:156 --enddatetime 2016-12-07T06:50:01 --enforcementcount 0 &gt;&gt;C:\Users\stu\Documents\GitHub\eaglep3-reporting\EC\2016-12-07-refined-times.txt</v>
      </c>
      <c r="AI24" s="119" t="str">
        <f t="shared" si="16"/>
        <v>echo {"issue":{"subject":"Delayed by doors not closing","project_id":79,"tracker_id":40,"status_id":1,"priority_id":2,"assigned_to_id":23,"start_date":"2016-12-07","description":"","custom_fields":[{"id":1,"name":"Subdivision","value":"EC"},{"id":4,"name":"Milepost","value":"0.0156"},{"id":17,"name":"Train ID","value":"112-07"},{"id":16,"name":"Locomotive ID","value":"4021"},{"id":130,"name":"Impact","value":""},{"id":150,"name":"Time of Event (Mountain Time)","value":"06:50:01"},{"id":151,"name":"Denver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490</v>
      </c>
      <c r="B25" s="7">
        <v>4002</v>
      </c>
      <c r="C25" s="22" t="s">
        <v>207</v>
      </c>
      <c r="D25" s="22" t="s">
        <v>327</v>
      </c>
      <c r="E25" s="13">
        <v>42711.2106712963</v>
      </c>
      <c r="F25" s="13">
        <v>42711.219444444447</v>
      </c>
      <c r="G25" s="7">
        <v>1</v>
      </c>
      <c r="H25" s="22" t="s">
        <v>286</v>
      </c>
      <c r="I25" s="13">
        <v>42711.245358796295</v>
      </c>
      <c r="J25" s="7">
        <v>0</v>
      </c>
      <c r="K25" s="109" t="str">
        <f t="shared" si="0"/>
        <v>4001/4002</v>
      </c>
      <c r="L25" s="22" t="str">
        <f>VLOOKUP(A25,'Trips&amp;Operators'!$C$1:$G$99999,5,FALSE)</f>
        <v>MAELZER KURT</v>
      </c>
      <c r="M25" s="6">
        <f t="shared" si="1"/>
        <v>2.5914351848769002E-2</v>
      </c>
      <c r="N25" s="7">
        <f t="shared" si="18"/>
        <v>37.316666662227362</v>
      </c>
      <c r="O25" s="7"/>
      <c r="P25" s="7"/>
      <c r="Q25" s="23"/>
      <c r="R25" s="23"/>
      <c r="S25" s="35">
        <f t="shared" si="2"/>
        <v>1</v>
      </c>
      <c r="T25" s="50" t="str">
        <f t="shared" si="3"/>
        <v>NorthBound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04:03:22-700',mode:absolute,to:'2016-12-07 06:53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5" s="52" t="str">
        <f t="shared" si="5"/>
        <v>N</v>
      </c>
      <c r="X25" s="177">
        <f t="shared" si="19"/>
        <v>1</v>
      </c>
      <c r="Y25" s="67">
        <f t="shared" si="6"/>
        <v>4.7300000000000002E-2</v>
      </c>
      <c r="Z25" s="67">
        <f t="shared" si="7"/>
        <v>23.331</v>
      </c>
      <c r="AA25" s="67">
        <f t="shared" si="8"/>
        <v>23.2837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9"/>
        <v>0113-07</v>
      </c>
      <c r="AE25" s="91" t="str">
        <f t="shared" si="10"/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25" s="88" t="str">
        <f t="shared" si="11"/>
        <v>"C:\Program Files (x86)\AstroGrep\AstroGrep.exe" /spath="%USERPROFILE%\AppData\Local\Temp\OnboardLogs" /stypes="app*4002*20161207*" /stext=" 12:.+((SYSTEM_STATE.+slice.+state.+changed )|(ment ac)|(multiple cpu faults)|(system.+state.+changed )|(\[timeout)|(PRM\|1\|D)|(kpr)|(kdp)|(\|lc)|(penalty))" /e /r /s</v>
      </c>
      <c r="AG25" s="1" t="str">
        <f t="shared" si="12"/>
        <v>EC</v>
      </c>
      <c r="AH25" s="92" t="str">
        <f t="shared" si="15"/>
        <v>"%USERPROFILE%\Documents\GitHub\eaglep3\Utilities\RefineRTDCRunTimes.py" --tripid 113-07 --locoid 4002 --swversion DE.1.0.8.0 --startMP 204:473 --initTime 2016-12-07T05:03:22 --startdatetime 2016-12-07T05:16:00 --delay 1 --endMP 204:233310 --enddatetime 2016-12-07T05:53:19 --enforcementcount 0 &gt;&gt;C:\Users\stu\Documents\GitHub\eaglep3-reporting\EC\2016-12-07-refined-times.txt</v>
      </c>
      <c r="AI25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{"issue":{"subject":"","project_id":79,"tracker_id":40,"status_id":1,"priority_id":2,"assigned_to_id":23,"start_date":"2016-12-07","description":"","custom_fields":[{"id":1,"name":"Subdivision","value":"EC"},{"id":4,"name":"Milepost","value":"23.331"},{"id":17,"name":"Train ID","value":"113-07"},{"id":16,"name":"Locomotive ID","value":"4002"},{"id":130,"name":"Impact","value":""},{"id":150,"name":"Time of Event (Mountain Time)","value":"05:53:19"},{"id":151,"name":"Denver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499</v>
      </c>
      <c r="B26" s="7">
        <v>4001</v>
      </c>
      <c r="C26" s="22" t="s">
        <v>207</v>
      </c>
      <c r="D26" s="22" t="s">
        <v>321</v>
      </c>
      <c r="E26" s="13">
        <v>42711.253946759258</v>
      </c>
      <c r="F26" s="13">
        <v>42711.258067129631</v>
      </c>
      <c r="G26" s="7">
        <v>1</v>
      </c>
      <c r="H26" s="22" t="s">
        <v>689</v>
      </c>
      <c r="I26" s="13">
        <v>42711.291134259256</v>
      </c>
      <c r="J26" s="7">
        <v>0</v>
      </c>
      <c r="K26" s="109" t="str">
        <f t="shared" si="0"/>
        <v>4001/4002</v>
      </c>
      <c r="L26" s="22" t="str">
        <f>VLOOKUP(A26,'Trips&amp;Operators'!$C$1:$G$99999,5,FALSE)</f>
        <v>MAELZER KURT</v>
      </c>
      <c r="M26" s="6">
        <f t="shared" si="1"/>
        <v>3.3067129625123926E-2</v>
      </c>
      <c r="N26" s="7">
        <f t="shared" si="18"/>
        <v>47.616666660178453</v>
      </c>
      <c r="O26" s="7"/>
      <c r="P26" s="7"/>
      <c r="Q26" s="23"/>
      <c r="R26" s="23"/>
      <c r="S26" s="35">
        <f t="shared" si="2"/>
        <v>1</v>
      </c>
      <c r="T26" s="50" t="str">
        <f t="shared" si="3"/>
        <v>Southbound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05:05:41-700',mode:absolute,to:'2016-12-07 07:59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6" s="52" t="str">
        <f t="shared" si="5"/>
        <v>N</v>
      </c>
      <c r="X26" s="177">
        <f t="shared" si="19"/>
        <v>1</v>
      </c>
      <c r="Y26" s="67">
        <f t="shared" si="6"/>
        <v>23.298300000000001</v>
      </c>
      <c r="Z26" s="67">
        <f t="shared" si="7"/>
        <v>1.47E-2</v>
      </c>
      <c r="AA26" s="67">
        <f t="shared" si="8"/>
        <v>23.2836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9"/>
        <v>0114-07</v>
      </c>
      <c r="AE26" s="91" t="str">
        <f t="shared" si="10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26" s="88" t="str">
        <f t="shared" si="11"/>
        <v>"C:\Program Files (x86)\AstroGrep\AstroGrep.exe" /spath="%USERPROFILE%\AppData\Local\Temp\OnboardLogs" /stypes="app*4001*20161207*" /stext=" 13:.+((SYSTEM_STATE.+slice.+state.+changed )|(ment ac)|(multiple cpu faults)|(system.+state.+changed )|(\[timeout)|(PRM\|1\|D)|(kpr)|(kdp)|(\|lc)|(penalty))" /e /r /s</v>
      </c>
      <c r="AG26" s="1" t="str">
        <f t="shared" si="12"/>
        <v>EC</v>
      </c>
      <c r="AH26" s="92" t="str">
        <f t="shared" si="15"/>
        <v>"%USERPROFILE%\Documents\GitHub\eaglep3\Utilities\RefineRTDCRunTimes.py" --tripid 114-07 --locoid 4001 --swversion DE.1.0.8.0 --startMP 204:232983 --initTime 2016-12-07T06:05:41 --startdatetime 2016-12-07T06:11:37 --delay 1 --endMP 204:147 --enddatetime 2016-12-07T06:59:14 --enforcementcount 0 &gt;&gt;C:\Users\stu\Documents\GitHub\eaglep3-reporting\EC\2016-12-07-refined-times.txt</v>
      </c>
      <c r="AI26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{"issue":{"subject":"","project_id":79,"tracker_id":40,"status_id":1,"priority_id":2,"assigned_to_id":23,"start_date":"2016-12-07","description":"","custom_fields":[{"id":1,"name":"Subdivision","value":"EC"},{"id":4,"name":"Milepost","value":"0.0147"},{"id":17,"name":"Train ID","value":"114-07"},{"id":16,"name":"Locomotive ID","value":"4001"},{"id":130,"name":"Impact","value":""},{"id":150,"name":"Time of Event (Mountain Time)","value":"06:59:14"},{"id":151,"name":"Denver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494</v>
      </c>
      <c r="B27" s="7">
        <v>4016</v>
      </c>
      <c r="C27" s="22" t="s">
        <v>207</v>
      </c>
      <c r="D27" s="22" t="s">
        <v>690</v>
      </c>
      <c r="E27" s="13">
        <v>42711.22997685185</v>
      </c>
      <c r="F27" s="13">
        <v>42711.232534722221</v>
      </c>
      <c r="G27" s="7">
        <v>2</v>
      </c>
      <c r="H27" s="22" t="s">
        <v>691</v>
      </c>
      <c r="I27" s="13">
        <v>42711.262916666667</v>
      </c>
      <c r="J27" s="7">
        <v>0</v>
      </c>
      <c r="K27" s="109" t="str">
        <f t="shared" si="0"/>
        <v>4015/4016</v>
      </c>
      <c r="L27" s="22" t="str">
        <f>VLOOKUP(A27,'Trips&amp;Operators'!$C$1:$G$99999,5,FALSE)</f>
        <v>DAVIDSON DAVID</v>
      </c>
      <c r="M27" s="6">
        <f t="shared" si="1"/>
        <v>3.0381944445252884E-2</v>
      </c>
      <c r="N27" s="7">
        <f t="shared" si="18"/>
        <v>43.750000001164153</v>
      </c>
      <c r="O27" s="7"/>
      <c r="P27" s="7"/>
      <c r="Q27" s="23"/>
      <c r="R27" s="23"/>
      <c r="S27" s="35">
        <f t="shared" si="2"/>
        <v>1</v>
      </c>
      <c r="T27" s="50" t="str">
        <f t="shared" si="3"/>
        <v>NorthBound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04:31:10-700',mode:absolute,to:'2016-12-07 07:18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7" s="52" t="str">
        <f t="shared" si="5"/>
        <v>N</v>
      </c>
      <c r="X27" s="177">
        <f t="shared" si="19"/>
        <v>1</v>
      </c>
      <c r="Y27" s="67">
        <f t="shared" si="6"/>
        <v>7.2800000000000004E-2</v>
      </c>
      <c r="Z27" s="67">
        <f t="shared" si="7"/>
        <v>23.3215</v>
      </c>
      <c r="AA27" s="67">
        <f t="shared" si="8"/>
        <v>23.248699999999999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9"/>
        <v>0115-07</v>
      </c>
      <c r="AE27" s="91" t="str">
        <f t="shared" si="10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27" s="88" t="str">
        <f t="shared" si="11"/>
        <v>"C:\Program Files (x86)\AstroGrep\AstroGrep.exe" /spath="%USERPROFILE%\AppData\Local\Temp\OnboardLogs" /stypes="app*4016*20161207*" /stext=" 13:.+((SYSTEM_STATE.+slice.+state.+changed )|(ment ac)|(multiple cpu faults)|(system.+state.+changed )|(\[timeout)|(PRM\|1\|D)|(kpr)|(kdp)|(\|lc)|(penalty))" /e /r /s</v>
      </c>
      <c r="AG27" s="1" t="str">
        <f t="shared" si="12"/>
        <v>EC</v>
      </c>
      <c r="AH27" s="92" t="str">
        <f t="shared" si="15"/>
        <v>"%USERPROFILE%\Documents\GitHub\eaglep3\Utilities\RefineRTDCRunTimes.py" --tripid 115-07 --locoid 4016 --swversion DE.1.0.8.0 --startMP 204:728 --initTime 2016-12-07T05:31:10 --startdatetime 2016-12-07T05:34:51 --delay 2 --endMP 204:233215 --enddatetime 2016-12-07T06:18:36 --enforcementcount 0 &gt;&gt;C:\Users\stu\Documents\GitHub\eaglep3-reporting\EC\2016-12-07-refined-times.txt</v>
      </c>
      <c r="AI27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{"issue":{"subject":"","project_id":79,"tracker_id":40,"status_id":1,"priority_id":2,"assigned_to_id":23,"start_date":"2016-12-07","description":"","custom_fields":[{"id":1,"name":"Subdivision","value":"EC"},{"id":4,"name":"Milepost","value":"23.3215"},{"id":17,"name":"Train ID","value":"115-07"},{"id":16,"name":"Locomotive ID","value":"4016"},{"id":130,"name":"Impact","value":""},{"id":150,"name":"Time of Event (Mountain Time)","value":"06:18:36"},{"id":151,"name":"Denver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456</v>
      </c>
      <c r="B28" s="7">
        <v>4015</v>
      </c>
      <c r="C28" s="22" t="s">
        <v>207</v>
      </c>
      <c r="D28" s="22" t="s">
        <v>692</v>
      </c>
      <c r="E28" s="13">
        <v>42711.265138888892</v>
      </c>
      <c r="F28" s="13">
        <v>42711.26834490741</v>
      </c>
      <c r="G28" s="7">
        <v>1</v>
      </c>
      <c r="H28" s="22" t="s">
        <v>421</v>
      </c>
      <c r="I28" s="13">
        <v>42711.298900462964</v>
      </c>
      <c r="J28" s="7">
        <v>0</v>
      </c>
      <c r="K28" s="109" t="str">
        <f t="shared" si="0"/>
        <v>4015/4016</v>
      </c>
      <c r="L28" s="22" t="str">
        <f>VLOOKUP(A28,'Trips&amp;Operators'!$C$1:$G$99999,5,FALSE)</f>
        <v>DAVIDSON DAVID</v>
      </c>
      <c r="M28" s="6">
        <f t="shared" si="1"/>
        <v>3.0555555553291924E-2</v>
      </c>
      <c r="N28" s="7">
        <f t="shared" si="18"/>
        <v>43.999999996740371</v>
      </c>
      <c r="O28" s="7"/>
      <c r="P28" s="7"/>
      <c r="Q28" s="23"/>
      <c r="R28" s="23"/>
      <c r="S28" s="35">
        <f t="shared" si="2"/>
        <v>1</v>
      </c>
      <c r="T28" s="50" t="str">
        <f t="shared" si="3"/>
        <v>Southbound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05:21:48-700',mode:absolute,to:'2016-12-07 08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8" s="52" t="str">
        <f t="shared" si="5"/>
        <v>N</v>
      </c>
      <c r="X28" s="177">
        <f t="shared" si="19"/>
        <v>1</v>
      </c>
      <c r="Y28" s="67">
        <f t="shared" si="6"/>
        <v>23.290700000000001</v>
      </c>
      <c r="Z28" s="67">
        <f t="shared" si="7"/>
        <v>1.32E-2</v>
      </c>
      <c r="AA28" s="67">
        <f t="shared" si="8"/>
        <v>23.2775</v>
      </c>
      <c r="AB28" s="64" t="str">
        <f>VLOOKUP(A28,Enforcements!$C$7:$K$20,8,0)</f>
        <v>Bulletin (2)</v>
      </c>
      <c r="AC28" s="60" t="str">
        <f>VLOOKUP(A28,Enforcements!$C$7:$E$20,3,0)</f>
        <v>TEMPORARY SPEED RESTRICTION</v>
      </c>
      <c r="AD28" s="61" t="str">
        <f t="shared" si="9"/>
        <v>0116-07</v>
      </c>
      <c r="AE28" s="91" t="str">
        <f t="shared" si="10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28" s="88" t="str">
        <f t="shared" si="11"/>
        <v>"C:\Program Files (x86)\AstroGrep\AstroGrep.exe" /spath="%USERPROFILE%\AppData\Local\Temp\OnboardLogs" /stypes="app*4015*20161207*" /stext=" 14:.+((SYSTEM_STATE.+slice.+state.+changed )|(ment ac)|(multiple cpu faults)|(system.+state.+changed )|(\[timeout)|(PRM\|1\|D)|(kpr)|(kdp)|(\|lc)|(penalty))" /e /r /s</v>
      </c>
      <c r="AG28" s="1" t="str">
        <f t="shared" si="12"/>
        <v>EC</v>
      </c>
      <c r="AH28" s="92" t="str">
        <f t="shared" si="15"/>
        <v>"%USERPROFILE%\Documents\GitHub\eaglep3\Utilities\RefineRTDCRunTimes.py" --tripid 116-07 --locoid 4015 --swversion DE.1.0.8.0 --startMP 204:232907 --initTime 2016-12-07T06:21:48 --startdatetime 2016-12-07T06:26:25 --delay 1 --endMP 204:132 --enddatetime 2016-12-07T07:10:25 --enforcementcount 0 &gt;&gt;C:\Users\stu\Documents\GitHub\eaglep3-reporting\EC\2016-12-07-refined-times.txt</v>
      </c>
      <c r="AI28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{"issue":{"subject":"","project_id":79,"tracker_id":40,"status_id":1,"priority_id":2,"assigned_to_id":23,"start_date":"2016-12-07","description":"","custom_fields":[{"id":1,"name":"Subdivision","value":"EC"},{"id":4,"name":"Milepost","value":"0.0132"},{"id":17,"name":"Train ID","value":"116-07"},{"id":16,"name":"Locomotive ID","value":"4015"},{"id":130,"name":"Impact","value":""},{"id":150,"name":"Time of Event (Mountain Time)","value":"07:10:25"},{"id":151,"name":"Denver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496</v>
      </c>
      <c r="B29" s="7">
        <v>4014</v>
      </c>
      <c r="C29" s="22" t="s">
        <v>207</v>
      </c>
      <c r="D29" s="22" t="s">
        <v>693</v>
      </c>
      <c r="E29" s="13">
        <v>42711.263564814813</v>
      </c>
      <c r="F29" s="13">
        <v>42711.264328703706</v>
      </c>
      <c r="G29" s="7">
        <v>1</v>
      </c>
      <c r="H29" s="22" t="s">
        <v>694</v>
      </c>
      <c r="I29" s="13">
        <v>42711.274780092594</v>
      </c>
      <c r="J29" s="7">
        <v>0</v>
      </c>
      <c r="K29" s="109" t="str">
        <f t="shared" si="0"/>
        <v>4013/4014</v>
      </c>
      <c r="L29" s="22" t="str">
        <f>VLOOKUP(A29,'Trips&amp;Operators'!$C$1:$G$99999,5,FALSE)</f>
        <v>MAGEE KENYA</v>
      </c>
      <c r="M29" s="6">
        <f t="shared" si="1"/>
        <v>1.0451388887304347E-2</v>
      </c>
      <c r="N29" s="7"/>
      <c r="O29" s="7"/>
      <c r="P29" s="7">
        <f>24*60*SUM($M29:$M30)</f>
        <v>47.200000000884756</v>
      </c>
      <c r="Q29" s="23"/>
      <c r="R29" s="23" t="s">
        <v>837</v>
      </c>
      <c r="S29" s="35">
        <f>SUM(U29:U30)/IF(AG29="EC",12,1)</f>
        <v>0.83333333333333337</v>
      </c>
      <c r="T29" s="50" t="str">
        <f t="shared" si="3"/>
        <v>NorthBound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0</v>
      </c>
      <c r="V2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05:19:32-700',mode:absolute,to:'2016-12-07 07:35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9" s="52" t="str">
        <f t="shared" si="5"/>
        <v>Y</v>
      </c>
      <c r="X29" s="177">
        <f t="shared" si="19"/>
        <v>1</v>
      </c>
      <c r="Y29" s="67">
        <f t="shared" si="6"/>
        <v>12.8263</v>
      </c>
      <c r="Z29" s="67">
        <f t="shared" si="7"/>
        <v>23.33</v>
      </c>
      <c r="AA29" s="67">
        <f t="shared" si="8"/>
        <v>10.503699999999998</v>
      </c>
      <c r="AB29" s="64" t="e">
        <f>VLOOKUP(A29,Enforcements!$C$7:$K$20,8,0)</f>
        <v>#N/A</v>
      </c>
      <c r="AC29" s="60" t="e">
        <f>VLOOKUP(A29,Enforcements!$C$7:$E$20,3,0)</f>
        <v>#N/A</v>
      </c>
      <c r="AD29" s="61" t="str">
        <f t="shared" si="9"/>
        <v>0117-07</v>
      </c>
      <c r="AE29" s="91" t="str">
        <f t="shared" si="10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29" s="88" t="str">
        <f t="shared" si="11"/>
        <v>"C:\Program Files (x86)\AstroGrep\AstroGrep.exe" /spath="%USERPROFILE%\AppData\Local\Temp\OnboardLogs" /stypes="app*4014*20161207*" /stext=" 13:.+((SYSTEM_STATE.+slice.+state.+changed )|(ment ac)|(multiple cpu faults)|(system.+state.+changed )|(\[timeout)|(PRM\|1\|D)|(kpr)|(kdp)|(\|lc)|(penalty))" /e /r /s</v>
      </c>
      <c r="AG29" s="1" t="str">
        <f t="shared" si="12"/>
        <v>EC</v>
      </c>
      <c r="AH29" s="92" t="str">
        <f t="shared" si="15"/>
        <v>"%USERPROFILE%\Documents\GitHub\eaglep3\Utilities\RefineRTDCRunTimes.py" --tripid 117-07 --locoid 4014 --swversion DE.1.0.8.0 --startMP 204:128263 --initTime 2016-12-07T06:19:32 --startdatetime 2016-12-07T06:20:38 --delay 1 --endMP 204:233300 --enddatetime 2016-12-07T06:35:41 --enforcementcount 0 &gt;&gt;C:\Users\stu\Documents\GitHub\eaglep3-reporting\EC\2016-12-07-refined-times.txt</v>
      </c>
      <c r="AI29" s="119" t="str">
        <f t="shared" si="16"/>
        <v>echo {"issue":{"subject":"Sable 2N stuck at STOP","project_id":79,"tracker_id":40,"status_id":1,"priority_id":2,"assigned_to_id":23,"start_date":"2016-12-07","description":"At 06:05:54.641, received a clear control from dispatch, but signal did not clear. Dispatch canceled the clear control around 06:09. Anything in logs that tells why the signal didn't clear? Was there a dependency on a crossing to the north?","custom_fields":[{"id":1,"name":"Subdivision","value":"EC"},{"id":4,"name":"Milepost","value":"23.33"},{"id":17,"name":"Train ID","value":"117-07"},{"id":16,"name":"Locomotive ID","value":"4014"},{"id":130,"name":"Impact","value":"Unexpected Cut-Out or Disengaged"},{"id":150,"name":"Time of Event (Mountain Time)","value":"06:35:41"},{"id":151,"name":"Denver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29" s="53" t="s">
        <v>838</v>
      </c>
      <c r="AK29" s="53" t="s">
        <v>131</v>
      </c>
      <c r="AL29" s="53" t="s">
        <v>130</v>
      </c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496</v>
      </c>
      <c r="B30" s="7">
        <v>4014</v>
      </c>
      <c r="C30" s="22" t="s">
        <v>207</v>
      </c>
      <c r="D30" s="22" t="s">
        <v>243</v>
      </c>
      <c r="E30" s="13">
        <v>42711.233796296299</v>
      </c>
      <c r="F30" s="13">
        <v>42711.234907407408</v>
      </c>
      <c r="G30" s="7">
        <v>1</v>
      </c>
      <c r="H30" s="22" t="s">
        <v>695</v>
      </c>
      <c r="I30" s="13">
        <v>42711.257233796299</v>
      </c>
      <c r="J30" s="7">
        <v>0</v>
      </c>
      <c r="K30" s="109" t="str">
        <f t="shared" si="0"/>
        <v>4013/4014</v>
      </c>
      <c r="L30" s="22" t="str">
        <f>VLOOKUP(A30,'Trips&amp;Operators'!$C$1:$G$99999,5,FALSE)</f>
        <v>MAGEE KENYA</v>
      </c>
      <c r="M30" s="6">
        <f t="shared" si="1"/>
        <v>2.2326388891087845E-2</v>
      </c>
      <c r="N30" s="7"/>
      <c r="O30" s="7"/>
      <c r="P30" s="7"/>
      <c r="Q30" s="23"/>
      <c r="R30" s="23"/>
      <c r="S30" s="35"/>
      <c r="T30" s="50" t="str">
        <f t="shared" si="3"/>
        <v>NorthBound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10</v>
      </c>
      <c r="V3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04:36:40-700',mode:absolute,to:'2016-12-07 07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30" s="52" t="str">
        <f t="shared" si="5"/>
        <v>Y</v>
      </c>
      <c r="X30" s="177">
        <f t="shared" si="19"/>
        <v>0</v>
      </c>
      <c r="Y30" s="67">
        <f t="shared" si="6"/>
        <v>4.7100000000000003E-2</v>
      </c>
      <c r="Z30" s="67">
        <f t="shared" si="7"/>
        <v>10.2719</v>
      </c>
      <c r="AA30" s="67">
        <f t="shared" si="8"/>
        <v>10.2248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9"/>
        <v>0117-07</v>
      </c>
      <c r="AE30" s="91" t="str">
        <f t="shared" si="10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30" s="88" t="str">
        <f t="shared" si="11"/>
        <v>"C:\Program Files (x86)\AstroGrep\AstroGrep.exe" /spath="%USERPROFILE%\AppData\Local\Temp\OnboardLogs" /stypes="app*4014*20161207*" /stext=" 13:.+((SYSTEM_STATE.+slice.+state.+changed )|(ment ac)|(multiple cpu faults)|(system.+state.+changed )|(\[timeout)|(PRM\|1\|D)|(kpr)|(kdp)|(\|lc)|(penalty))" /e /r /s</v>
      </c>
      <c r="AG30" s="1" t="str">
        <f t="shared" si="12"/>
        <v>EC</v>
      </c>
      <c r="AH30" s="92" t="str">
        <f t="shared" si="15"/>
        <v>"%USERPROFILE%\Documents\GitHub\eaglep3\Utilities\RefineRTDCRunTimes.py" --tripid 117-07 --locoid 4014 --swversion DE.1.0.8.0 --startMP 204:471 --initTime 2016-12-07T05:36:40 --startdatetime 2016-12-07T05:38:16 --delay 1 --endMP 204:102719 --enddatetime 2016-12-07T06:10:25 --enforcementcount 0 &gt;&gt;C:\Users\stu\Documents\GitHub\eaglep3-reporting\EC\2016-12-07-refined-times.txt</v>
      </c>
      <c r="AI30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{"issue":{"subject":"","project_id":79,"tracker_id":40,"status_id":1,"priority_id":2,"assigned_to_id":23,"start_date":"2016-12-07","description":"","custom_fields":[{"id":1,"name":"Subdivision","value":"EC"},{"id":4,"name":"Milepost","value":"10.2719"},{"id":17,"name":"Train ID","value":"117-07"},{"id":16,"name":"Locomotive ID","value":"4014"},{"id":130,"name":"Impact","value":""},{"id":150,"name":"Time of Event (Mountain Time)","value":"06:10:25"},{"id":151,"name":"Denver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503</v>
      </c>
      <c r="B31" s="7">
        <v>4013</v>
      </c>
      <c r="C31" s="22" t="s">
        <v>207</v>
      </c>
      <c r="D31" s="22" t="s">
        <v>696</v>
      </c>
      <c r="E31" s="13">
        <v>42711.276192129626</v>
      </c>
      <c r="F31" s="13">
        <v>42711.278680555559</v>
      </c>
      <c r="G31" s="7">
        <v>1</v>
      </c>
      <c r="H31" s="22" t="s">
        <v>697</v>
      </c>
      <c r="I31" s="13">
        <v>42711.309155092589</v>
      </c>
      <c r="J31" s="7">
        <v>0</v>
      </c>
      <c r="K31" s="109" t="str">
        <f t="shared" si="0"/>
        <v>4013/4014</v>
      </c>
      <c r="L31" s="22" t="str">
        <f>VLOOKUP(A31,'Trips&amp;Operators'!$C$1:$G$99999,5,FALSE)</f>
        <v>MAGEE KENYA</v>
      </c>
      <c r="M31" s="6">
        <f t="shared" si="1"/>
        <v>3.0474537030386273E-2</v>
      </c>
      <c r="N31" s="7">
        <f t="shared" ref="N31:N55" si="20">24*60*SUM($M31:$M31)</f>
        <v>43.883333323756233</v>
      </c>
      <c r="O31" s="7"/>
      <c r="P31" s="7"/>
      <c r="Q31" s="23"/>
      <c r="R31" s="23"/>
      <c r="S31" s="35">
        <f t="shared" ref="S31:S55" si="21">SUM(U31:U31)/IF(AG31="EC",12,1)</f>
        <v>1</v>
      </c>
      <c r="T31" s="50" t="str">
        <f t="shared" si="3"/>
        <v>Southbound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05:37:43-700',mode:absolute,to:'2016-12-07 08:25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31" s="52" t="str">
        <f t="shared" si="5"/>
        <v>N</v>
      </c>
      <c r="X31" s="177">
        <f t="shared" si="19"/>
        <v>1</v>
      </c>
      <c r="Y31" s="67">
        <f t="shared" si="6"/>
        <v>23.298500000000001</v>
      </c>
      <c r="Z31" s="67">
        <f t="shared" si="7"/>
        <v>1.34E-2</v>
      </c>
      <c r="AA31" s="67">
        <f t="shared" si="8"/>
        <v>23.2851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9"/>
        <v>0118-07</v>
      </c>
      <c r="AE31" s="91" t="str">
        <f t="shared" si="10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31" s="88" t="str">
        <f t="shared" si="11"/>
        <v>"C:\Program Files (x86)\AstroGrep\AstroGrep.exe" /spath="%USERPROFILE%\AppData\Local\Temp\OnboardLogs" /stypes="app*4013*20161207*" /stext=" 14:.+((SYSTEM_STATE.+slice.+state.+changed )|(ment ac)|(multiple cpu faults)|(system.+state.+changed )|(\[timeout)|(PRM\|1\|D)|(kpr)|(kdp)|(\|lc)|(penalty))" /e /r /s</v>
      </c>
      <c r="AG31" s="1" t="str">
        <f t="shared" si="12"/>
        <v>EC</v>
      </c>
      <c r="AH31" s="92" t="str">
        <f t="shared" si="15"/>
        <v>"%USERPROFILE%\Documents\GitHub\eaglep3\Utilities\RefineRTDCRunTimes.py" --tripid 118-07 --locoid 4013 --swversion DE.1.0.8.0 --startMP 204:232985 --initTime 2016-12-07T06:37:43 --startdatetime 2016-12-07T06:41:18 --delay 1 --endMP 204:134 --enddatetime 2016-12-07T07:25:11 --enforcementcount 0 &gt;&gt;C:\Users\stu\Documents\GitHub\eaglep3-reporting\EC\2016-12-07-refined-times.txt</v>
      </c>
      <c r="AI31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{"issue":{"subject":"","project_id":79,"tracker_id":40,"status_id":1,"priority_id":2,"assigned_to_id":23,"start_date":"2016-12-07","description":"","custom_fields":[{"id":1,"name":"Subdivision","value":"EC"},{"id":4,"name":"Milepost","value":"0.0134"},{"id":17,"name":"Train ID","value":"118-07"},{"id":16,"name":"Locomotive ID","value":"4013"},{"id":130,"name":"Impact","value":""},{"id":150,"name":"Time of Event (Mountain Time)","value":"07:25:11"},{"id":151,"name":"Denver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452</v>
      </c>
      <c r="B32" s="7">
        <v>4031</v>
      </c>
      <c r="C32" s="22" t="s">
        <v>207</v>
      </c>
      <c r="D32" s="22" t="s">
        <v>698</v>
      </c>
      <c r="E32" s="13">
        <v>42711.249027777776</v>
      </c>
      <c r="F32" s="13">
        <v>42711.25068287037</v>
      </c>
      <c r="G32" s="7">
        <v>1</v>
      </c>
      <c r="H32" s="22" t="s">
        <v>325</v>
      </c>
      <c r="I32" s="13">
        <v>42711.28324074074</v>
      </c>
      <c r="J32" s="7">
        <v>0</v>
      </c>
      <c r="K32" s="109" t="str">
        <f t="shared" si="0"/>
        <v>4031/4032</v>
      </c>
      <c r="L32" s="22" t="str">
        <f>VLOOKUP(A32,'Trips&amp;Operators'!$C$1:$G$99999,5,FALSE)</f>
        <v>BROWN JACOB</v>
      </c>
      <c r="M32" s="6">
        <f t="shared" si="1"/>
        <v>3.25578703705105E-2</v>
      </c>
      <c r="N32" s="7">
        <f t="shared" si="20"/>
        <v>46.88333333353512</v>
      </c>
      <c r="O32" s="7"/>
      <c r="P32" s="7"/>
      <c r="Q32" s="23"/>
      <c r="R32" s="23"/>
      <c r="S32" s="35">
        <f t="shared" si="21"/>
        <v>1</v>
      </c>
      <c r="T32" s="50" t="str">
        <f t="shared" si="3"/>
        <v>NorthBound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04:58:36-700',mode:absolute,to:'2016-12-07 07:47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2" s="52" t="str">
        <f t="shared" si="5"/>
        <v>N</v>
      </c>
      <c r="X32" s="177">
        <f t="shared" si="19"/>
        <v>1</v>
      </c>
      <c r="Y32" s="67">
        <f t="shared" si="6"/>
        <v>7.4999999999999997E-2</v>
      </c>
      <c r="Z32" s="67">
        <f t="shared" si="7"/>
        <v>23.3322</v>
      </c>
      <c r="AA32" s="67">
        <f t="shared" si="8"/>
        <v>23.257200000000001</v>
      </c>
      <c r="AB32" s="64" t="str">
        <f>VLOOKUP(A32,Enforcements!$C$7:$K$20,8,0)</f>
        <v>Speed (6)</v>
      </c>
      <c r="AC32" s="60" t="str">
        <f>VLOOKUP(A32,Enforcements!$C$7:$E$20,3,0)</f>
        <v>PERMANENT SPEED RESTRICTION</v>
      </c>
      <c r="AD32" s="61" t="str">
        <f t="shared" si="9"/>
        <v>0119-07</v>
      </c>
      <c r="AE32" s="91" t="str">
        <f t="shared" si="10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32" s="88" t="str">
        <f t="shared" si="11"/>
        <v>"C:\Program Files (x86)\AstroGrep\AstroGrep.exe" /spath="%USERPROFILE%\AppData\Local\Temp\OnboardLogs" /stypes="app*4031*20161207*" /stext=" 13:.+((SYSTEM_STATE.+slice.+state.+changed )|(ment ac)|(multiple cpu faults)|(system.+state.+changed )|(\[timeout)|(PRM\|1\|D)|(kpr)|(kdp)|(\|lc)|(penalty))" /e /r /s</v>
      </c>
      <c r="AG32" s="1" t="str">
        <f t="shared" si="12"/>
        <v>EC</v>
      </c>
      <c r="AH32" s="92" t="str">
        <f t="shared" si="15"/>
        <v>"%USERPROFILE%\Documents\GitHub\eaglep3\Utilities\RefineRTDCRunTimes.py" --tripid 119-07 --locoid 4031 --swversion DE.1.0.8.0 --startMP 204:750 --initTime 2016-12-07T05:58:36 --startdatetime 2016-12-07T06:00:59 --delay 1 --endMP 204:233322 --enddatetime 2016-12-07T06:47:52 --enforcementcount 0 &gt;&gt;C:\Users\stu\Documents\GitHub\eaglep3-reporting\EC\2016-12-07-refined-times.txt</v>
      </c>
      <c r="AI32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{"issue":{"subject":"","project_id":79,"tracker_id":40,"status_id":1,"priority_id":2,"assigned_to_id":23,"start_date":"2016-12-07","description":"","custom_fields":[{"id":1,"name":"Subdivision","value":"EC"},{"id":4,"name":"Milepost","value":"23.3322"},{"id":17,"name":"Train ID","value":"119-07"},{"id":16,"name":"Locomotive ID","value":"4031"},{"id":130,"name":"Impact","value":""},{"id":150,"name":"Time of Event (Mountain Time)","value":"06:47:52"},{"id":151,"name":"Denver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504</v>
      </c>
      <c r="B33" s="7">
        <v>4032</v>
      </c>
      <c r="C33" s="22" t="s">
        <v>207</v>
      </c>
      <c r="D33" s="22" t="s">
        <v>348</v>
      </c>
      <c r="E33" s="13">
        <v>42711.285937499997</v>
      </c>
      <c r="F33" s="13">
        <v>42711.289074074077</v>
      </c>
      <c r="G33" s="7">
        <v>2</v>
      </c>
      <c r="H33" s="22" t="s">
        <v>421</v>
      </c>
      <c r="I33" s="13">
        <v>42711.318287037036</v>
      </c>
      <c r="J33" s="7">
        <v>0</v>
      </c>
      <c r="K33" s="109" t="str">
        <f t="shared" si="0"/>
        <v>4031/4032</v>
      </c>
      <c r="L33" s="22" t="str">
        <f>VLOOKUP(A33,'Trips&amp;Operators'!$C$1:$G$99999,5,FALSE)</f>
        <v>BROWN JACOB</v>
      </c>
      <c r="M33" s="6">
        <f t="shared" si="1"/>
        <v>2.9212962959718425E-2</v>
      </c>
      <c r="N33" s="7">
        <f t="shared" si="20"/>
        <v>42.066666661994532</v>
      </c>
      <c r="O33" s="7"/>
      <c r="P33" s="7"/>
      <c r="Q33" s="23"/>
      <c r="R33" s="23"/>
      <c r="S33" s="35">
        <f t="shared" si="21"/>
        <v>1</v>
      </c>
      <c r="T33" s="50" t="str">
        <f t="shared" si="3"/>
        <v>Southbound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05:51:45-700',mode:absolute,to:'2016-12-07 08:38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3" s="52" t="str">
        <f t="shared" si="5"/>
        <v>N</v>
      </c>
      <c r="X33" s="177">
        <f t="shared" si="19"/>
        <v>1</v>
      </c>
      <c r="Y33" s="67">
        <f t="shared" si="6"/>
        <v>23.299600000000002</v>
      </c>
      <c r="Z33" s="67">
        <f t="shared" si="7"/>
        <v>1.32E-2</v>
      </c>
      <c r="AA33" s="67">
        <f t="shared" si="8"/>
        <v>23.2864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9"/>
        <v>0120-07</v>
      </c>
      <c r="AE33" s="91" t="str">
        <f t="shared" si="10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33" s="88" t="str">
        <f t="shared" si="11"/>
        <v>"C:\Program Files (x86)\AstroGrep\AstroGrep.exe" /spath="%USERPROFILE%\AppData\Local\Temp\OnboardLogs" /stypes="app*4032*20161207*" /stext=" 14:.+((SYSTEM_STATE.+slice.+state.+changed )|(ment ac)|(multiple cpu faults)|(system.+state.+changed )|(\[timeout)|(PRM\|1\|D)|(kpr)|(kdp)|(\|lc)|(penalty))" /e /r /s</v>
      </c>
      <c r="AG33" s="1" t="str">
        <f t="shared" si="12"/>
        <v>EC</v>
      </c>
      <c r="AH33" s="92" t="str">
        <f t="shared" si="15"/>
        <v>"%USERPROFILE%\Documents\GitHub\eaglep3\Utilities\RefineRTDCRunTimes.py" --tripid 120-07 --locoid 4032 --swversion DE.1.0.8.0 --startMP 204:232996 --initTime 2016-12-07T06:51:45 --startdatetime 2016-12-07T06:56:16 --delay 2 --endMP 204:132 --enddatetime 2016-12-07T07:38:20 --enforcementcount 0 &gt;&gt;C:\Users\stu\Documents\GitHub\eaglep3-reporting\EC\2016-12-07-refined-times.txt</v>
      </c>
      <c r="AI33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{"issue":{"subject":"","project_id":79,"tracker_id":40,"status_id":1,"priority_id":2,"assigned_to_id":23,"start_date":"2016-12-07","description":"","custom_fields":[{"id":1,"name":"Subdivision","value":"EC"},{"id":4,"name":"Milepost","value":"0.0132"},{"id":17,"name":"Train ID","value":"120-07"},{"id":16,"name":"Locomotive ID","value":"4032"},{"id":130,"name":"Impact","value":""},{"id":150,"name":"Time of Event (Mountain Time)","value":"07:38:20"},{"id":151,"name":"Denver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455</v>
      </c>
      <c r="B34" s="7">
        <v>4009</v>
      </c>
      <c r="C34" s="22" t="s">
        <v>207</v>
      </c>
      <c r="D34" s="22" t="s">
        <v>238</v>
      </c>
      <c r="E34" s="13">
        <v>42711.256435185183</v>
      </c>
      <c r="F34" s="13">
        <v>42711.260949074072</v>
      </c>
      <c r="G34" s="7">
        <v>1</v>
      </c>
      <c r="H34" s="22" t="s">
        <v>699</v>
      </c>
      <c r="I34" s="13">
        <v>42711.288865740738</v>
      </c>
      <c r="J34" s="7">
        <v>0</v>
      </c>
      <c r="K34" s="109" t="str">
        <f t="shared" si="0"/>
        <v>4009/4010</v>
      </c>
      <c r="L34" s="22" t="str">
        <f>VLOOKUP(A34,'Trips&amp;Operators'!$C$1:$G$99999,5,FALSE)</f>
        <v>MAHAN DUANE</v>
      </c>
      <c r="M34" s="6">
        <f t="shared" si="1"/>
        <v>2.7916666665987577E-2</v>
      </c>
      <c r="N34" s="7">
        <f t="shared" si="20"/>
        <v>40.199999999022111</v>
      </c>
      <c r="O34" s="7"/>
      <c r="P34" s="7"/>
      <c r="Q34" s="23"/>
      <c r="R34" s="23"/>
      <c r="S34" s="35">
        <f t="shared" si="21"/>
        <v>1</v>
      </c>
      <c r="T34" s="50" t="str">
        <f t="shared" si="3"/>
        <v>NorthBound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05:09:16-700',mode:absolute,to:'2016-12-07 07:55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4" s="52" t="str">
        <f t="shared" si="5"/>
        <v>N</v>
      </c>
      <c r="X34" s="177">
        <f t="shared" si="19"/>
        <v>1</v>
      </c>
      <c r="Y34" s="67">
        <f t="shared" si="6"/>
        <v>4.4200000000000003E-2</v>
      </c>
      <c r="Z34" s="67">
        <f t="shared" si="7"/>
        <v>23.333100000000002</v>
      </c>
      <c r="AA34" s="67">
        <f t="shared" si="8"/>
        <v>23.288900000000002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9"/>
        <v>0121-07</v>
      </c>
      <c r="AE34" s="91" t="str">
        <f t="shared" si="10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34" s="88" t="str">
        <f t="shared" si="11"/>
        <v>"C:\Program Files (x86)\AstroGrep\AstroGrep.exe" /spath="%USERPROFILE%\AppData\Local\Temp\OnboardLogs" /stypes="app*4009*20161207*" /stext=" 13:.+((SYSTEM_STATE.+slice.+state.+changed )|(ment ac)|(multiple cpu faults)|(system.+state.+changed )|(\[timeout)|(PRM\|1\|D)|(kpr)|(kdp)|(\|lc)|(penalty))" /e /r /s</v>
      </c>
      <c r="AG34" s="1" t="str">
        <f t="shared" si="12"/>
        <v>EC</v>
      </c>
      <c r="AH34" s="92" t="str">
        <f t="shared" si="15"/>
        <v>"%USERPROFILE%\Documents\GitHub\eaglep3\Utilities\RefineRTDCRunTimes.py" --tripid 121-07 --locoid 4009 --swversion DE.1.0.8.0 --startMP 204:442 --initTime 2016-12-07T06:09:16 --startdatetime 2016-12-07T06:15:46 --delay 1 --endMP 204:233331 --enddatetime 2016-12-07T06:55:58 --enforcementcount 0 &gt;&gt;C:\Users\stu\Documents\GitHub\eaglep3-reporting\EC\2016-12-07-refined-times.txt</v>
      </c>
      <c r="AI34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{"issue":{"subject":"","project_id":79,"tracker_id":40,"status_id":1,"priority_id":2,"assigned_to_id":23,"start_date":"2016-12-07","description":"","custom_fields":[{"id":1,"name":"Subdivision","value":"EC"},{"id":4,"name":"Milepost","value":"23.3331"},{"id":17,"name":"Train ID","value":"121-07"},{"id":16,"name":"Locomotive ID","value":"4009"},{"id":130,"name":"Impact","value":""},{"id":150,"name":"Time of Event (Mountain Time)","value":"06:55:58"},{"id":151,"name":"Denver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512</v>
      </c>
      <c r="B35" s="7">
        <v>4010</v>
      </c>
      <c r="C35" s="22" t="s">
        <v>207</v>
      </c>
      <c r="D35" s="22" t="s">
        <v>700</v>
      </c>
      <c r="E35" s="13">
        <v>42711.293668981481</v>
      </c>
      <c r="F35" s="13">
        <v>42711.299826388888</v>
      </c>
      <c r="G35" s="7">
        <v>1</v>
      </c>
      <c r="H35" s="22" t="s">
        <v>689</v>
      </c>
      <c r="I35" s="13">
        <v>42711.327118055553</v>
      </c>
      <c r="J35" s="7">
        <v>0</v>
      </c>
      <c r="K35" s="109" t="str">
        <f t="shared" si="0"/>
        <v>4009/4010</v>
      </c>
      <c r="L35" s="22" t="str">
        <f>VLOOKUP(A35,'Trips&amp;Operators'!$C$1:$G$99999,5,FALSE)</f>
        <v>MAHAN DUANE</v>
      </c>
      <c r="M35" s="6">
        <f t="shared" si="1"/>
        <v>2.7291666665405501E-2</v>
      </c>
      <c r="N35" s="7">
        <f t="shared" si="20"/>
        <v>39.299999998183921</v>
      </c>
      <c r="O35" s="7"/>
      <c r="P35" s="7"/>
      <c r="Q35" s="23"/>
      <c r="R35" s="23"/>
      <c r="S35" s="35">
        <f t="shared" si="21"/>
        <v>1</v>
      </c>
      <c r="T35" s="50" t="str">
        <f t="shared" si="3"/>
        <v>Southbound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06:02:53-700',mode:absolute,to:'2016-12-07 08:51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5" s="52" t="str">
        <f t="shared" si="5"/>
        <v>N</v>
      </c>
      <c r="X35" s="177">
        <f t="shared" si="19"/>
        <v>1</v>
      </c>
      <c r="Y35" s="67">
        <f t="shared" si="6"/>
        <v>23.302099999999999</v>
      </c>
      <c r="Z35" s="67">
        <f t="shared" si="7"/>
        <v>1.47E-2</v>
      </c>
      <c r="AA35" s="67">
        <f t="shared" si="8"/>
        <v>23.287399999999998</v>
      </c>
      <c r="AB35" s="64" t="e">
        <f>VLOOKUP(A35,Enforcements!$C$7:$K$20,8,0)</f>
        <v>#N/A</v>
      </c>
      <c r="AC35" s="60" t="e">
        <f>VLOOKUP(A35,Enforcements!$C$7:$E$20,3,0)</f>
        <v>#N/A</v>
      </c>
      <c r="AD35" s="61" t="str">
        <f t="shared" si="9"/>
        <v>0122-07</v>
      </c>
      <c r="AE35" s="91" t="str">
        <f t="shared" si="10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35" s="88" t="str">
        <f t="shared" si="11"/>
        <v>"C:\Program Files (x86)\AstroGrep\AstroGrep.exe" /spath="%USERPROFILE%\AppData\Local\Temp\OnboardLogs" /stypes="app*4010*20161207*" /stext=" 14:.+((SYSTEM_STATE.+slice.+state.+changed )|(ment ac)|(multiple cpu faults)|(system.+state.+changed )|(\[timeout)|(PRM\|1\|D)|(kpr)|(kdp)|(\|lc)|(penalty))" /e /r /s</v>
      </c>
      <c r="AG35" s="1" t="str">
        <f t="shared" si="12"/>
        <v>EC</v>
      </c>
      <c r="AH35" s="92" t="str">
        <f t="shared" si="15"/>
        <v>"%USERPROFILE%\Documents\GitHub\eaglep3\Utilities\RefineRTDCRunTimes.py" --tripid 122-07 --locoid 4010 --swversion DE.1.0.8.0 --startMP 204:233021 --initTime 2016-12-07T07:02:53 --startdatetime 2016-12-07T07:11:45 --delay 1 --endMP 204:147 --enddatetime 2016-12-07T07:51:03 --enforcementcount 0 &gt;&gt;C:\Users\stu\Documents\GitHub\eaglep3-reporting\EC\2016-12-07-refined-times.txt</v>
      </c>
      <c r="AI35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{"issue":{"subject":"","project_id":79,"tracker_id":40,"status_id":1,"priority_id":2,"assigned_to_id":23,"start_date":"2016-12-07","description":"","custom_fields":[{"id":1,"name":"Subdivision","value":"EC"},{"id":4,"name":"Milepost","value":"0.0147"},{"id":17,"name":"Train ID","value":"122-07"},{"id":16,"name":"Locomotive ID","value":"4010"},{"id":130,"name":"Impact","value":""},{"id":150,"name":"Time of Event (Mountain Time)","value":"07:51:03"},{"id":151,"name":"Denver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502</v>
      </c>
      <c r="B36" s="7">
        <v>4020</v>
      </c>
      <c r="C36" s="22" t="s">
        <v>207</v>
      </c>
      <c r="D36" s="22" t="s">
        <v>242</v>
      </c>
      <c r="E36" s="13">
        <v>42711.270381944443</v>
      </c>
      <c r="F36" s="13">
        <v>42711.271770833337</v>
      </c>
      <c r="G36" s="7">
        <v>1</v>
      </c>
      <c r="H36" s="22" t="s">
        <v>401</v>
      </c>
      <c r="I36" s="13">
        <v>42711.297256944446</v>
      </c>
      <c r="J36" s="7">
        <v>0</v>
      </c>
      <c r="K36" s="109" t="str">
        <f t="shared" si="0"/>
        <v>4019/4020</v>
      </c>
      <c r="L36" s="22" t="str">
        <f>VLOOKUP(A36,'Trips&amp;Operators'!$C$1:$G$99999,5,FALSE)</f>
        <v>KILLION DAVID</v>
      </c>
      <c r="M36" s="6">
        <f t="shared" si="1"/>
        <v>2.548611110978527E-2</v>
      </c>
      <c r="N36" s="7">
        <f t="shared" si="20"/>
        <v>36.699999998090789</v>
      </c>
      <c r="O36" s="7"/>
      <c r="P36" s="7"/>
      <c r="Q36" s="23"/>
      <c r="R36" s="23"/>
      <c r="S36" s="35">
        <f t="shared" si="21"/>
        <v>1</v>
      </c>
      <c r="T36" s="50" t="str">
        <f t="shared" si="3"/>
        <v>NorthBound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05:29:21-700',mode:absolute,to:'2016-12-07 08:08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36" s="52" t="str">
        <f t="shared" si="5"/>
        <v>N</v>
      </c>
      <c r="X36" s="177">
        <f t="shared" si="19"/>
        <v>1</v>
      </c>
      <c r="Y36" s="67">
        <f t="shared" si="6"/>
        <v>4.5699999999999998E-2</v>
      </c>
      <c r="Z36" s="67">
        <f t="shared" si="7"/>
        <v>23.330500000000001</v>
      </c>
      <c r="AA36" s="67">
        <f t="shared" si="8"/>
        <v>23.284800000000001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9"/>
        <v>0123-07</v>
      </c>
      <c r="AE36" s="91" t="str">
        <f t="shared" si="10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36" s="88" t="str">
        <f t="shared" si="11"/>
        <v>"C:\Program Files (x86)\AstroGrep\AstroGrep.exe" /spath="%USERPROFILE%\AppData\Local\Temp\OnboardLogs" /stypes="app*4020*20161207*" /stext=" 14:.+((SYSTEM_STATE.+slice.+state.+changed )|(ment ac)|(multiple cpu faults)|(system.+state.+changed )|(\[timeout)|(PRM\|1\|D)|(kpr)|(kdp)|(\|lc)|(penalty))" /e /r /s</v>
      </c>
      <c r="AG36" s="1" t="str">
        <f t="shared" si="12"/>
        <v>EC</v>
      </c>
      <c r="AH36" s="92" t="str">
        <f t="shared" si="15"/>
        <v>"%USERPROFILE%\Documents\GitHub\eaglep3\Utilities\RefineRTDCRunTimes.py" --tripid 123-07 --locoid 4020 --swversion DE.1.0.8.0 --startMP 204:457 --initTime 2016-12-07T06:29:21 --startdatetime 2016-12-07T06:31:21 --delay 1 --endMP 204:233305 --enddatetime 2016-12-07T07:08:03 --enforcementcount 0 &gt;&gt;C:\Users\stu\Documents\GitHub\eaglep3-reporting\EC\2016-12-07-refined-times.txt</v>
      </c>
      <c r="AI36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{"issue":{"subject":"","project_id":79,"tracker_id":40,"status_id":1,"priority_id":2,"assigned_to_id":23,"start_date":"2016-12-07","description":"","custom_fields":[{"id":1,"name":"Subdivision","value":"EC"},{"id":4,"name":"Milepost","value":"23.3305"},{"id":17,"name":"Train ID","value":"123-07"},{"id":16,"name":"Locomotive ID","value":"4020"},{"id":130,"name":"Impact","value":""},{"id":150,"name":"Time of Event (Mountain Time)","value":"07:08:03"},{"id":151,"name":"Denver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515</v>
      </c>
      <c r="B37" s="7">
        <v>4019</v>
      </c>
      <c r="C37" s="22" t="s">
        <v>207</v>
      </c>
      <c r="D37" s="22" t="s">
        <v>326</v>
      </c>
      <c r="E37" s="13">
        <v>42711.305868055555</v>
      </c>
      <c r="F37" s="13">
        <v>42711.309918981482</v>
      </c>
      <c r="G37" s="7">
        <v>1</v>
      </c>
      <c r="H37" s="22" t="s">
        <v>209</v>
      </c>
      <c r="I37" s="13">
        <v>42711.340081018519</v>
      </c>
      <c r="J37" s="7">
        <v>0</v>
      </c>
      <c r="K37" s="109" t="str">
        <f t="shared" si="0"/>
        <v>4019/4020</v>
      </c>
      <c r="L37" s="22" t="str">
        <f>VLOOKUP(A37,'Trips&amp;Operators'!$C$1:$G$99999,5,FALSE)</f>
        <v>KILLION DAVID</v>
      </c>
      <c r="M37" s="6">
        <f t="shared" si="1"/>
        <v>3.0162037037371192E-2</v>
      </c>
      <c r="N37" s="7">
        <f t="shared" si="20"/>
        <v>43.433333333814517</v>
      </c>
      <c r="O37" s="7"/>
      <c r="P37" s="7"/>
      <c r="Q37" s="23"/>
      <c r="R37" s="23"/>
      <c r="S37" s="35">
        <f t="shared" si="21"/>
        <v>1</v>
      </c>
      <c r="T37" s="50" t="str">
        <f t="shared" si="3"/>
        <v>Southbound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06:20:27-700',mode:absolute,to:'2016-12-07 09:09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37" s="52" t="str">
        <f t="shared" si="5"/>
        <v>N</v>
      </c>
      <c r="X37" s="177">
        <f t="shared" si="19"/>
        <v>1</v>
      </c>
      <c r="Y37" s="67">
        <f t="shared" si="6"/>
        <v>23.298999999999999</v>
      </c>
      <c r="Z37" s="67">
        <f t="shared" si="7"/>
        <v>1.5800000000000002E-2</v>
      </c>
      <c r="AA37" s="67">
        <f t="shared" si="8"/>
        <v>23.283200000000001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9"/>
        <v>0124-07</v>
      </c>
      <c r="AE37" s="91" t="str">
        <f t="shared" si="10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37" s="88" t="str">
        <f t="shared" si="11"/>
        <v>"C:\Program Files (x86)\AstroGrep\AstroGrep.exe" /spath="%USERPROFILE%\AppData\Local\Temp\OnboardLogs" /stypes="app*4019*20161207*" /stext=" 15:.+((SYSTEM_STATE.+slice.+state.+changed )|(ment ac)|(multiple cpu faults)|(system.+state.+changed )|(\[timeout)|(PRM\|1\|D)|(kpr)|(kdp)|(\|lc)|(penalty))" /e /r /s</v>
      </c>
      <c r="AG37" s="1" t="str">
        <f t="shared" si="12"/>
        <v>EC</v>
      </c>
      <c r="AH37" s="92" t="str">
        <f t="shared" si="15"/>
        <v>"%USERPROFILE%\Documents\GitHub\eaglep3\Utilities\RefineRTDCRunTimes.py" --tripid 124-07 --locoid 4019 --swversion DE.1.0.8.0 --startMP 204:232990 --initTime 2016-12-07T07:20:27 --startdatetime 2016-12-07T07:26:17 --delay 1 --endMP 204:158 --enddatetime 2016-12-07T08:09:43 --enforcementcount 0 &gt;&gt;C:\Users\stu\Documents\GitHub\eaglep3-reporting\EC\2016-12-07-refined-times.txt</v>
      </c>
      <c r="AI37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{"issue":{"subject":"","project_id":79,"tracker_id":40,"status_id":1,"priority_id":2,"assigned_to_id":23,"start_date":"2016-12-07","description":"","custom_fields":[{"id":1,"name":"Subdivision","value":"EC"},{"id":4,"name":"Milepost","value":"0.0158"},{"id":17,"name":"Train ID","value":"124-07"},{"id":16,"name":"Locomotive ID","value":"4019"},{"id":130,"name":"Impact","value":""},{"id":150,"name":"Time of Event (Mountain Time)","value":"08:09:43"},{"id":151,"name":"Denver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505</v>
      </c>
      <c r="B38" s="7">
        <v>4022</v>
      </c>
      <c r="C38" s="22" t="s">
        <v>207</v>
      </c>
      <c r="D38" s="22" t="s">
        <v>323</v>
      </c>
      <c r="E38" s="13">
        <v>42711.287187499998</v>
      </c>
      <c r="F38" s="13">
        <v>42711.288715277777</v>
      </c>
      <c r="G38" s="7">
        <v>2</v>
      </c>
      <c r="H38" s="22" t="s">
        <v>332</v>
      </c>
      <c r="I38" s="13">
        <v>42711.314930555556</v>
      </c>
      <c r="J38" s="7">
        <v>0</v>
      </c>
      <c r="K38" s="109" t="str">
        <f t="shared" si="0"/>
        <v>4021/4022</v>
      </c>
      <c r="L38" s="22" t="str">
        <f>VLOOKUP(A38,'Trips&amp;Operators'!$C$1:$G$99999,5,FALSE)</f>
        <v>CUSHING HARRY</v>
      </c>
      <c r="M38" s="6">
        <f t="shared" si="1"/>
        <v>2.6215277779556345E-2</v>
      </c>
      <c r="N38" s="7">
        <f t="shared" si="20"/>
        <v>37.750000002561137</v>
      </c>
      <c r="O38" s="7"/>
      <c r="P38" s="7"/>
      <c r="Q38" s="23"/>
      <c r="R38" s="23"/>
      <c r="S38" s="35">
        <f t="shared" si="21"/>
        <v>1</v>
      </c>
      <c r="T38" s="50" t="str">
        <f t="shared" si="3"/>
        <v>NorthBound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05:53:33-700',mode:absolute,to:'2016-12-07 08:33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38" s="52" t="str">
        <f t="shared" si="5"/>
        <v>N</v>
      </c>
      <c r="X38" s="177">
        <f t="shared" si="19"/>
        <v>1</v>
      </c>
      <c r="Y38" s="67">
        <f t="shared" si="6"/>
        <v>4.6399999999999997E-2</v>
      </c>
      <c r="Z38" s="67">
        <f t="shared" si="7"/>
        <v>23.328099999999999</v>
      </c>
      <c r="AA38" s="67">
        <f t="shared" si="8"/>
        <v>23.281700000000001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9"/>
        <v>0125-07</v>
      </c>
      <c r="AE38" s="91" t="str">
        <f t="shared" si="10"/>
        <v>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 &amp; aws s3 cp s3://rtdc.mdm.uploadarchive.raw/RTDC4022/ "%USERPROFILE%\AppData\Local\Temp\OnboardLogs"\RTDC4022\2016-12-08 --exclude "*" --recursive --include "*20161208*" &amp; "%USERPROFILE%\Documents\GitHub\mrs-test-scripts\Headless Mode &amp; Sideloading\WalkAndUnGZ.bat" "%USERPROFILE%\AppData\Local\Temp\OnboardLogs"\RTDC4022\2016-12-08</v>
      </c>
      <c r="AF38" s="88" t="str">
        <f t="shared" si="11"/>
        <v>"C:\Program Files (x86)\AstroGrep\AstroGrep.exe" /spath="%USERPROFILE%\AppData\Local\Temp\OnboardLogs" /stypes="app*4022*20161207*" /stext=" 14:.+((SYSTEM_STATE.+slice.+state.+changed )|(ment ac)|(multiple cpu faults)|(system.+state.+changed )|(\[timeout)|(PRM\|1\|D)|(kpr)|(kdp)|(\|lc)|(penalty))" /e /r /s</v>
      </c>
      <c r="AG38" s="1" t="str">
        <f t="shared" si="12"/>
        <v>EC</v>
      </c>
      <c r="AH38" s="92" t="str">
        <f t="shared" si="15"/>
        <v>"%USERPROFILE%\Documents\GitHub\eaglep3\Utilities\RefineRTDCRunTimes.py" --tripid 125-07 --locoid 4022 --swversion DE.1.0.8.0 --startMP 204:464 --initTime 2016-12-07T06:53:33 --startdatetime 2016-12-07T06:55:45 --delay 2 --endMP 204:233281 --enddatetime 2016-12-07T07:33:30 --enforcementcount 0 &gt;&gt;C:\Users\stu\Documents\GitHub\eaglep3-reporting\EC\2016-12-07-refined-times.txt</v>
      </c>
      <c r="AI38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{"issue":{"subject":"","project_id":79,"tracker_id":40,"status_id":1,"priority_id":2,"assigned_to_id":23,"start_date":"2016-12-07","description":"","custom_fields":[{"id":1,"name":"Subdivision","value":"EC"},{"id":4,"name":"Milepost","value":"23.3281"},{"id":17,"name":"Train ID","value":"125-07"},{"id":16,"name":"Locomotive ID","value":"4022"},{"id":130,"name":"Impact","value":""},{"id":150,"name":"Time of Event (Mountain Time)","value":"07:33:30"},{"id":151,"name":"Denver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518</v>
      </c>
      <c r="B39" s="7">
        <v>4021</v>
      </c>
      <c r="C39" s="22" t="s">
        <v>207</v>
      </c>
      <c r="D39" s="22" t="s">
        <v>701</v>
      </c>
      <c r="E39" s="13">
        <v>42711.318055555559</v>
      </c>
      <c r="F39" s="13">
        <v>42711.320347222223</v>
      </c>
      <c r="G39" s="7">
        <v>1</v>
      </c>
      <c r="H39" s="22" t="s">
        <v>319</v>
      </c>
      <c r="I39" s="13">
        <v>42711.355104166665</v>
      </c>
      <c r="J39" s="7">
        <v>0</v>
      </c>
      <c r="K39" s="109" t="str">
        <f t="shared" si="0"/>
        <v>4021/4022</v>
      </c>
      <c r="L39" s="22" t="str">
        <f>VLOOKUP(A39,'Trips&amp;Operators'!$C$1:$G$99999,5,FALSE)</f>
        <v>HAUSER FRANK</v>
      </c>
      <c r="M39" s="6">
        <f t="shared" si="1"/>
        <v>3.4756944442051463E-2</v>
      </c>
      <c r="N39" s="7">
        <f t="shared" si="20"/>
        <v>50.049999996554106</v>
      </c>
      <c r="O39" s="7"/>
      <c r="P39" s="7"/>
      <c r="Q39" s="23"/>
      <c r="R39" s="23" t="s">
        <v>839</v>
      </c>
      <c r="S39" s="35">
        <f t="shared" si="21"/>
        <v>1</v>
      </c>
      <c r="T39" s="50" t="str">
        <f t="shared" si="3"/>
        <v>Southbound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06:38:00-700',mode:absolute,to:'2016-12-07 09:31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39" s="52" t="str">
        <f t="shared" si="5"/>
        <v>N</v>
      </c>
      <c r="X39" s="177">
        <f t="shared" si="19"/>
        <v>1</v>
      </c>
      <c r="Y39" s="67">
        <f t="shared" si="6"/>
        <v>23.295500000000001</v>
      </c>
      <c r="Z39" s="67">
        <f t="shared" si="7"/>
        <v>1.52E-2</v>
      </c>
      <c r="AA39" s="67">
        <f t="shared" si="8"/>
        <v>23.2803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9"/>
        <v>0126-07</v>
      </c>
      <c r="AE39" s="91" t="str">
        <f t="shared" si="10"/>
        <v>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 &amp; aws s3 cp s3://rtdc.mdm.uploadarchive.raw/RTDC4021/ "%USERPROFILE%\AppData\Local\Temp\OnboardLogs"\RTDC4021\2016-12-08 --exclude "*" --recursive --include "*20161208*" &amp; "%USERPROFILE%\Documents\GitHub\mrs-test-scripts\Headless Mode &amp; Sideloading\WalkAndUnGZ.bat" "%USERPROFILE%\AppData\Local\Temp\OnboardLogs"\RTDC4021\2016-12-08</v>
      </c>
      <c r="AF39" s="88" t="str">
        <f t="shared" si="11"/>
        <v>"C:\Program Files (x86)\AstroGrep\AstroGrep.exe" /spath="%USERPROFILE%\AppData\Local\Temp\OnboardLogs" /stypes="app*4021*20161207*" /stext=" 15:.+((SYSTEM_STATE.+slice.+state.+changed )|(ment ac)|(multiple cpu faults)|(system.+state.+changed )|(\[timeout)|(PRM\|1\|D)|(kpr)|(kdp)|(\|lc)|(penalty))" /e /r /s</v>
      </c>
      <c r="AG39" s="1" t="str">
        <f t="shared" si="12"/>
        <v>EC</v>
      </c>
      <c r="AH39" s="92" t="str">
        <f t="shared" si="15"/>
        <v>"%USERPROFILE%\Documents\GitHub\eaglep3\Utilities\RefineRTDCRunTimes.py" --tripid 126-07 --locoid 4021 --swversion DE.1.0.8.0 --startMP 204:232955 --initTime 2016-12-07T07:38:00 --startdatetime 2016-12-07T07:41:18 --delay 1 --endMP 204:152 --enddatetime 2016-12-07T08:31:21 --enforcementcount 0 &gt;&gt;C:\Users\stu\Documents\GitHub\eaglep3-reporting\EC\2016-12-07-refined-times.txt</v>
      </c>
      <c r="AI39" s="119" t="str">
        <f t="shared" si="16"/>
        <v>echo {"issue":{"subject":"Delayed by doors not closing","project_id":79,"tracker_id":40,"status_id":1,"priority_id":2,"assigned_to_id":23,"start_date":"2016-12-07","description":"","custom_fields":[{"id":1,"name":"Subdivision","value":"EC"},{"id":4,"name":"Milepost","value":"0.0152"},{"id":17,"name":"Train ID","value":"126-07"},{"id":16,"name":"Locomotive ID","value":"4021"},{"id":130,"name":"Impact","value":""},{"id":150,"name":"Time of Event (Mountain Time)","value":"08:31:21"},{"id":151,"name":"Denver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509</v>
      </c>
      <c r="B40" s="7">
        <v>4002</v>
      </c>
      <c r="C40" s="22" t="s">
        <v>207</v>
      </c>
      <c r="D40" s="22" t="s">
        <v>327</v>
      </c>
      <c r="E40" s="13">
        <v>42711.292951388888</v>
      </c>
      <c r="F40" s="13">
        <v>42711.296053240738</v>
      </c>
      <c r="G40" s="7">
        <v>2</v>
      </c>
      <c r="H40" s="22" t="s">
        <v>345</v>
      </c>
      <c r="I40" s="13">
        <v>42711.324293981481</v>
      </c>
      <c r="J40" s="7">
        <v>0</v>
      </c>
      <c r="K40" s="109" t="str">
        <f t="shared" si="0"/>
        <v>4001/4002</v>
      </c>
      <c r="L40" s="22" t="str">
        <f>VLOOKUP(A40,'Trips&amp;Operators'!$C$1:$G$99999,5,FALSE)</f>
        <v>LOZA FIDEL</v>
      </c>
      <c r="M40" s="6">
        <f t="shared" si="1"/>
        <v>2.8240740743058268E-2</v>
      </c>
      <c r="N40" s="7">
        <f t="shared" si="20"/>
        <v>40.666666670003906</v>
      </c>
      <c r="O40" s="7"/>
      <c r="P40" s="7"/>
      <c r="Q40" s="23"/>
      <c r="R40" s="23"/>
      <c r="S40" s="35">
        <f t="shared" si="21"/>
        <v>1</v>
      </c>
      <c r="T40" s="50" t="str">
        <f t="shared" si="3"/>
        <v>NorthBound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06:01:51-700',mode:absolute,to:'2016-12-07 08:46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40" s="52" t="str">
        <f t="shared" si="5"/>
        <v>N</v>
      </c>
      <c r="X40" s="177">
        <f t="shared" si="19"/>
        <v>1</v>
      </c>
      <c r="Y40" s="67">
        <f t="shared" si="6"/>
        <v>4.7300000000000002E-2</v>
      </c>
      <c r="Z40" s="67">
        <f t="shared" si="7"/>
        <v>23.3309</v>
      </c>
      <c r="AA40" s="67">
        <f t="shared" si="8"/>
        <v>23.2836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9"/>
        <v>0127-07</v>
      </c>
      <c r="AE40" s="91" t="str">
        <f t="shared" si="10"/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40" s="88" t="str">
        <f t="shared" si="11"/>
        <v>"C:\Program Files (x86)\AstroGrep\AstroGrep.exe" /spath="%USERPROFILE%\AppData\Local\Temp\OnboardLogs" /stypes="app*4002*20161207*" /stext=" 14:.+((SYSTEM_STATE.+slice.+state.+changed )|(ment ac)|(multiple cpu faults)|(system.+state.+changed )|(\[timeout)|(PRM\|1\|D)|(kpr)|(kdp)|(\|lc)|(penalty))" /e /r /s</v>
      </c>
      <c r="AG40" s="1" t="str">
        <f t="shared" si="12"/>
        <v>EC</v>
      </c>
      <c r="AH40" s="92" t="str">
        <f t="shared" si="15"/>
        <v>"%USERPROFILE%\Documents\GitHub\eaglep3\Utilities\RefineRTDCRunTimes.py" --tripid 127-07 --locoid 4002 --swversion DE.1.0.8.0 --startMP 204:473 --initTime 2016-12-07T07:01:51 --startdatetime 2016-12-07T07:06:19 --delay 2 --endMP 204:233309 --enddatetime 2016-12-07T07:46:59 --enforcementcount 0 &gt;&gt;C:\Users\stu\Documents\GitHub\eaglep3-reporting\EC\2016-12-07-refined-times.txt</v>
      </c>
      <c r="AI40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{"issue":{"subject":"","project_id":79,"tracker_id":40,"status_id":1,"priority_id":2,"assigned_to_id":23,"start_date":"2016-12-07","description":"","custom_fields":[{"id":1,"name":"Subdivision","value":"EC"},{"id":4,"name":"Milepost","value":"23.3309"},{"id":17,"name":"Train ID","value":"127-07"},{"id":16,"name":"Locomotive ID","value":"4002"},{"id":130,"name":"Impact","value":""},{"id":150,"name":"Time of Event (Mountain Time)","value":"07:46:59"},{"id":151,"name":"Denver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520</v>
      </c>
      <c r="B41" s="7">
        <v>4001</v>
      </c>
      <c r="C41" s="22" t="s">
        <v>207</v>
      </c>
      <c r="D41" s="22" t="s">
        <v>702</v>
      </c>
      <c r="E41" s="13">
        <v>42711.327314814815</v>
      </c>
      <c r="F41" s="13">
        <v>42711.331504629627</v>
      </c>
      <c r="G41" s="7">
        <v>2</v>
      </c>
      <c r="H41" s="22" t="s">
        <v>251</v>
      </c>
      <c r="I41" s="13">
        <v>42711.359733796293</v>
      </c>
      <c r="J41" s="7">
        <v>0</v>
      </c>
      <c r="K41" s="109" t="str">
        <f t="shared" si="0"/>
        <v>4001/4002</v>
      </c>
      <c r="L41" s="22" t="str">
        <f>VLOOKUP(A41,'Trips&amp;Operators'!$C$1:$G$99999,5,FALSE)</f>
        <v>LOZA FIDEL</v>
      </c>
      <c r="M41" s="6">
        <f t="shared" si="1"/>
        <v>2.8229166666278616E-2</v>
      </c>
      <c r="N41" s="7">
        <f t="shared" si="20"/>
        <v>40.649999999441206</v>
      </c>
      <c r="O41" s="7"/>
      <c r="P41" s="7"/>
      <c r="Q41" s="23"/>
      <c r="R41" s="23"/>
      <c r="S41" s="35">
        <f t="shared" si="21"/>
        <v>1</v>
      </c>
      <c r="T41" s="50" t="str">
        <f t="shared" si="3"/>
        <v>Southbound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06:51:20-700',mode:absolute,to:'2016-12-07 09:38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41" s="52" t="str">
        <f t="shared" si="5"/>
        <v>N</v>
      </c>
      <c r="X41" s="177">
        <f t="shared" si="19"/>
        <v>1</v>
      </c>
      <c r="Y41" s="67">
        <f t="shared" si="6"/>
        <v>23.298200000000001</v>
      </c>
      <c r="Z41" s="67">
        <f t="shared" si="7"/>
        <v>1.4500000000000001E-2</v>
      </c>
      <c r="AA41" s="67">
        <f t="shared" si="8"/>
        <v>23.2837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9"/>
        <v>0128-07</v>
      </c>
      <c r="AE41" s="91" t="str">
        <f t="shared" si="10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41" s="88" t="str">
        <f t="shared" si="11"/>
        <v>"C:\Program Files (x86)\AstroGrep\AstroGrep.exe" /spath="%USERPROFILE%\AppData\Local\Temp\OnboardLogs" /stypes="app*4001*20161207*" /stext=" 15:.+((SYSTEM_STATE.+slice.+state.+changed )|(ment ac)|(multiple cpu faults)|(system.+state.+changed )|(\[timeout)|(PRM\|1\|D)|(kpr)|(kdp)|(\|lc)|(penalty))" /e /r /s</v>
      </c>
      <c r="AG41" s="1" t="str">
        <f t="shared" si="12"/>
        <v>EC</v>
      </c>
      <c r="AH41" s="92" t="str">
        <f t="shared" si="15"/>
        <v>"%USERPROFILE%\Documents\GitHub\eaglep3\Utilities\RefineRTDCRunTimes.py" --tripid 128-07 --locoid 4001 --swversion DE.1.0.8.0 --startMP 204:232982 --initTime 2016-12-07T07:51:20 --startdatetime 2016-12-07T07:57:22 --delay 2 --endMP 204:145 --enddatetime 2016-12-07T08:38:01 --enforcementcount 0 &gt;&gt;C:\Users\stu\Documents\GitHub\eaglep3-reporting\EC\2016-12-07-refined-times.txt</v>
      </c>
      <c r="AI41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{"issue":{"subject":"","project_id":79,"tracker_id":40,"status_id":1,"priority_id":2,"assigned_to_id":23,"start_date":"2016-12-07","description":"","custom_fields":[{"id":1,"name":"Subdivision","value":"EC"},{"id":4,"name":"Milepost","value":"0.0145"},{"id":17,"name":"Train ID","value":"128-07"},{"id":16,"name":"Locomotive ID","value":"4001"},{"id":130,"name":"Impact","value":""},{"id":150,"name":"Time of Event (Mountain Time)","value":"08:38:01"},{"id":151,"name":"Denver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514</v>
      </c>
      <c r="B42" s="7">
        <v>4016</v>
      </c>
      <c r="C42" s="22" t="s">
        <v>207</v>
      </c>
      <c r="D42" s="22" t="s">
        <v>236</v>
      </c>
      <c r="E42" s="13">
        <v>42711.301157407404</v>
      </c>
      <c r="F42" s="13">
        <v>42711.302916666667</v>
      </c>
      <c r="G42" s="7">
        <v>1</v>
      </c>
      <c r="H42" s="22" t="s">
        <v>313</v>
      </c>
      <c r="I42" s="13">
        <v>42711.330833333333</v>
      </c>
      <c r="J42" s="7">
        <v>0</v>
      </c>
      <c r="K42" s="109" t="str">
        <f t="shared" si="0"/>
        <v>4015/4016</v>
      </c>
      <c r="L42" s="22" t="str">
        <f>VLOOKUP(A42,'Trips&amp;Operators'!$C$1:$G$99999,5,FALSE)</f>
        <v>DAVIDSON DAVID</v>
      </c>
      <c r="M42" s="6">
        <f t="shared" si="1"/>
        <v>2.7916666665987577E-2</v>
      </c>
      <c r="N42" s="7">
        <f t="shared" si="20"/>
        <v>40.199999999022111</v>
      </c>
      <c r="O42" s="7"/>
      <c r="P42" s="7"/>
      <c r="Q42" s="23"/>
      <c r="R42" s="23"/>
      <c r="S42" s="35">
        <f t="shared" si="21"/>
        <v>1</v>
      </c>
      <c r="T42" s="50" t="str">
        <f t="shared" si="3"/>
        <v>NorthBound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06:13:40-700',mode:absolute,to:'2016-12-07 08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42" s="52" t="str">
        <f t="shared" si="5"/>
        <v>N</v>
      </c>
      <c r="X42" s="177">
        <f t="shared" si="19"/>
        <v>1</v>
      </c>
      <c r="Y42" s="67">
        <f t="shared" si="6"/>
        <v>4.5499999999999999E-2</v>
      </c>
      <c r="Z42" s="67">
        <f t="shared" si="7"/>
        <v>23.3291</v>
      </c>
      <c r="AA42" s="67">
        <f t="shared" si="8"/>
        <v>23.2836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9"/>
        <v>0129-07</v>
      </c>
      <c r="AE42" s="91" t="str">
        <f t="shared" si="10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42" s="88" t="str">
        <f t="shared" si="11"/>
        <v>"C:\Program Files (x86)\AstroGrep\AstroGrep.exe" /spath="%USERPROFILE%\AppData\Local\Temp\OnboardLogs" /stypes="app*4016*20161207*" /stext=" 14:.+((SYSTEM_STATE.+slice.+state.+changed )|(ment ac)|(multiple cpu faults)|(system.+state.+changed )|(\[timeout)|(PRM\|1\|D)|(kpr)|(kdp)|(\|lc)|(penalty))" /e /r /s</v>
      </c>
      <c r="AG42" s="1" t="str">
        <f t="shared" si="12"/>
        <v>EC</v>
      </c>
      <c r="AH42" s="92" t="str">
        <f t="shared" si="15"/>
        <v>"%USERPROFILE%\Documents\GitHub\eaglep3\Utilities\RefineRTDCRunTimes.py" --tripid 129-07 --locoid 4016 --swversion DE.1.0.8.0 --startMP 204:455 --initTime 2016-12-07T07:13:40 --startdatetime 2016-12-07T07:16:12 --delay 1 --endMP 204:233291 --enddatetime 2016-12-07T07:56:24 --enforcementcount 0 &gt;&gt;C:\Users\stu\Documents\GitHub\eaglep3-reporting\EC\2016-12-07-refined-times.txt</v>
      </c>
      <c r="AI42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{"issue":{"subject":"","project_id":79,"tracker_id":40,"status_id":1,"priority_id":2,"assigned_to_id":23,"start_date":"2016-12-07","description":"","custom_fields":[{"id":1,"name":"Subdivision","value":"EC"},{"id":4,"name":"Milepost","value":"23.3291"},{"id":17,"name":"Train ID","value":"129-07"},{"id":16,"name":"Locomotive ID","value":"4016"},{"id":130,"name":"Impact","value":""},{"id":150,"name":"Time of Event (Mountain Time)","value":"07:56:24"},{"id":151,"name":"Denver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523</v>
      </c>
      <c r="B43" s="7">
        <v>4015</v>
      </c>
      <c r="C43" s="22" t="s">
        <v>207</v>
      </c>
      <c r="D43" s="22" t="s">
        <v>404</v>
      </c>
      <c r="E43" s="13">
        <v>42711.333541666667</v>
      </c>
      <c r="F43" s="13">
        <v>42711.341145833336</v>
      </c>
      <c r="G43" s="7">
        <v>1</v>
      </c>
      <c r="H43" s="22" t="s">
        <v>209</v>
      </c>
      <c r="I43" s="13">
        <v>42711.372499999998</v>
      </c>
      <c r="J43" s="7">
        <v>0</v>
      </c>
      <c r="K43" s="109" t="str">
        <f t="shared" si="0"/>
        <v>4015/4016</v>
      </c>
      <c r="L43" s="22" t="str">
        <f>VLOOKUP(A43,'Trips&amp;Operators'!$C$1:$G$99999,5,FALSE)</f>
        <v>DAVIDSON DAVID</v>
      </c>
      <c r="M43" s="6">
        <f t="shared" si="1"/>
        <v>3.1354166661913041E-2</v>
      </c>
      <c r="N43" s="7">
        <f t="shared" si="20"/>
        <v>45.149999993154779</v>
      </c>
      <c r="O43" s="7"/>
      <c r="P43" s="7"/>
      <c r="Q43" s="23"/>
      <c r="R43" s="23"/>
      <c r="S43" s="35">
        <f t="shared" si="21"/>
        <v>1</v>
      </c>
      <c r="T43" s="50" t="str">
        <f t="shared" si="3"/>
        <v>Southbound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07:00:18-700',mode:absolute,to:'2016-12-07 09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43" s="52" t="str">
        <f t="shared" si="5"/>
        <v>N</v>
      </c>
      <c r="X43" s="177">
        <f t="shared" si="19"/>
        <v>1</v>
      </c>
      <c r="Y43" s="67">
        <f t="shared" si="6"/>
        <v>23.297899999999998</v>
      </c>
      <c r="Z43" s="67">
        <f t="shared" si="7"/>
        <v>1.5800000000000002E-2</v>
      </c>
      <c r="AA43" s="67">
        <f t="shared" si="8"/>
        <v>23.2821</v>
      </c>
      <c r="AB43" s="64" t="e">
        <f>VLOOKUP(A43,Enforcements!$C$7:$K$20,8,0)</f>
        <v>#N/A</v>
      </c>
      <c r="AC43" s="60" t="e">
        <f>VLOOKUP(A43,Enforcements!$C$7:$E$20,3,0)</f>
        <v>#N/A</v>
      </c>
      <c r="AD43" s="61" t="str">
        <f t="shared" si="9"/>
        <v>0130-07</v>
      </c>
      <c r="AE43" s="91" t="str">
        <f t="shared" si="10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43" s="88" t="str">
        <f t="shared" si="11"/>
        <v>"C:\Program Files (x86)\AstroGrep\AstroGrep.exe" /spath="%USERPROFILE%\AppData\Local\Temp\OnboardLogs" /stypes="app*4015*20161207*" /stext=" 15:.+((SYSTEM_STATE.+slice.+state.+changed )|(ment ac)|(multiple cpu faults)|(system.+state.+changed )|(\[timeout)|(PRM\|1\|D)|(kpr)|(kdp)|(\|lc)|(penalty))" /e /r /s</v>
      </c>
      <c r="AG43" s="1" t="str">
        <f t="shared" si="12"/>
        <v>EC</v>
      </c>
      <c r="AH43" s="92" t="str">
        <f t="shared" si="15"/>
        <v>"%USERPROFILE%\Documents\GitHub\eaglep3\Utilities\RefineRTDCRunTimes.py" --tripid 130-07 --locoid 4015 --swversion DE.1.0.8.0 --startMP 204:232979 --initTime 2016-12-07T08:00:18 --startdatetime 2016-12-07T08:11:15 --delay 1 --endMP 204:158 --enddatetime 2016-12-07T08:56:24 --enforcementcount 0 &gt;&gt;C:\Users\stu\Documents\GitHub\eaglep3-reporting\EC\2016-12-07-refined-times.txt</v>
      </c>
      <c r="AI43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{"issue":{"subject":"","project_id":79,"tracker_id":40,"status_id":1,"priority_id":2,"assigned_to_id":23,"start_date":"2016-12-07","description":"","custom_fields":[{"id":1,"name":"Subdivision","value":"EC"},{"id":4,"name":"Milepost","value":"0.0158"},{"id":17,"name":"Train ID","value":"130-07"},{"id":16,"name":"Locomotive ID","value":"4015"},{"id":130,"name":"Impact","value":""},{"id":150,"name":"Time of Event (Mountain Time)","value":"08:56:24"},{"id":151,"name":"Denver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516</v>
      </c>
      <c r="B44" s="7">
        <v>4014</v>
      </c>
      <c r="C44" s="22" t="s">
        <v>207</v>
      </c>
      <c r="D44" s="22" t="s">
        <v>238</v>
      </c>
      <c r="E44" s="13">
        <v>42711.309942129628</v>
      </c>
      <c r="F44" s="13">
        <v>42711.312824074077</v>
      </c>
      <c r="G44" s="7">
        <v>1</v>
      </c>
      <c r="H44" s="22" t="s">
        <v>316</v>
      </c>
      <c r="I44" s="13">
        <v>42711.338136574072</v>
      </c>
      <c r="J44" s="7">
        <v>0</v>
      </c>
      <c r="K44" s="109" t="str">
        <f t="shared" si="0"/>
        <v>4013/4014</v>
      </c>
      <c r="L44" s="22" t="str">
        <f>VLOOKUP(A44,'Trips&amp;Operators'!$C$1:$G$99999,5,FALSE)</f>
        <v>MAGEE KENYA</v>
      </c>
      <c r="M44" s="6">
        <f t="shared" si="1"/>
        <v>2.5312499994470272E-2</v>
      </c>
      <c r="N44" s="7">
        <f t="shared" si="20"/>
        <v>36.449999992037192</v>
      </c>
      <c r="O44" s="7"/>
      <c r="P44" s="7"/>
      <c r="Q44" s="23"/>
      <c r="R44" s="23"/>
      <c r="S44" s="35">
        <f t="shared" si="21"/>
        <v>1</v>
      </c>
      <c r="T44" s="50" t="str">
        <f t="shared" si="3"/>
        <v>NorthBound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06:26:19-700',mode:absolute,to:'2016-12-07 09:06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44" s="52" t="str">
        <f t="shared" si="5"/>
        <v>N</v>
      </c>
      <c r="X44" s="177">
        <f t="shared" si="19"/>
        <v>1</v>
      </c>
      <c r="Y44" s="67">
        <f t="shared" si="6"/>
        <v>4.4200000000000003E-2</v>
      </c>
      <c r="Z44" s="67">
        <f t="shared" si="7"/>
        <v>23.329499999999999</v>
      </c>
      <c r="AA44" s="67">
        <f t="shared" si="8"/>
        <v>23.285299999999999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9"/>
        <v>0131-07</v>
      </c>
      <c r="AE44" s="91" t="str">
        <f t="shared" si="10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44" s="88" t="str">
        <f t="shared" si="11"/>
        <v>"C:\Program Files (x86)\AstroGrep\AstroGrep.exe" /spath="%USERPROFILE%\AppData\Local\Temp\OnboardLogs" /stypes="app*4014*20161207*" /stext=" 15:.+((SYSTEM_STATE.+slice.+state.+changed )|(ment ac)|(multiple cpu faults)|(system.+state.+changed )|(\[timeout)|(PRM\|1\|D)|(kpr)|(kdp)|(\|lc)|(penalty))" /e /r /s</v>
      </c>
      <c r="AG44" s="1" t="str">
        <f t="shared" si="12"/>
        <v>EC</v>
      </c>
      <c r="AH44" s="92" t="str">
        <f t="shared" si="15"/>
        <v>"%USERPROFILE%\Documents\GitHub\eaglep3\Utilities\RefineRTDCRunTimes.py" --tripid 131-07 --locoid 4014 --swversion DE.1.0.8.0 --startMP 204:442 --initTime 2016-12-07T07:26:19 --startdatetime 2016-12-07T07:30:28 --delay 1 --endMP 204:233295 --enddatetime 2016-12-07T08:06:55 --enforcementcount 0 &gt;&gt;C:\Users\stu\Documents\GitHub\eaglep3-reporting\EC\2016-12-07-refined-times.txt</v>
      </c>
      <c r="AI44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{"issue":{"subject":"","project_id":79,"tracker_id":40,"status_id":1,"priority_id":2,"assigned_to_id":23,"start_date":"2016-12-07","description":"","custom_fields":[{"id":1,"name":"Subdivision","value":"EC"},{"id":4,"name":"Milepost","value":"23.3295"},{"id":17,"name":"Train ID","value":"131-07"},{"id":16,"name":"Locomotive ID","value":"4014"},{"id":130,"name":"Impact","value":""},{"id":150,"name":"Time of Event (Mountain Time)","value":"08:06:55"},{"id":151,"name":"Denver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526</v>
      </c>
      <c r="B45" s="7">
        <v>4013</v>
      </c>
      <c r="C45" s="22" t="s">
        <v>207</v>
      </c>
      <c r="D45" s="22" t="s">
        <v>703</v>
      </c>
      <c r="E45" s="13">
        <v>42711.343888888892</v>
      </c>
      <c r="F45" s="13">
        <v>42711.352106481485</v>
      </c>
      <c r="G45" s="7">
        <v>1</v>
      </c>
      <c r="H45" s="22" t="s">
        <v>240</v>
      </c>
      <c r="I45" s="13">
        <v>42711.379594907405</v>
      </c>
      <c r="J45" s="7">
        <v>0</v>
      </c>
      <c r="K45" s="109" t="str">
        <f t="shared" si="0"/>
        <v>4013/4014</v>
      </c>
      <c r="L45" s="22" t="str">
        <f>VLOOKUP(A45,'Trips&amp;Operators'!$C$1:$G$99999,5,FALSE)</f>
        <v>MAGEE KENYA</v>
      </c>
      <c r="M45" s="6">
        <f t="shared" si="1"/>
        <v>2.7488425919727888E-2</v>
      </c>
      <c r="N45" s="7">
        <f t="shared" si="20"/>
        <v>39.583333324408159</v>
      </c>
      <c r="O45" s="7"/>
      <c r="P45" s="7"/>
      <c r="Q45" s="23"/>
      <c r="R45" s="23"/>
      <c r="S45" s="35">
        <f t="shared" si="21"/>
        <v>1</v>
      </c>
      <c r="T45" s="50" t="str">
        <f t="shared" si="3"/>
        <v>Southbound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07:15:12-700',mode:absolute,to:'2016-12-07 10:06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45" s="52" t="str">
        <f t="shared" si="5"/>
        <v>N</v>
      </c>
      <c r="X45" s="177">
        <f t="shared" si="19"/>
        <v>1</v>
      </c>
      <c r="Y45" s="67">
        <f t="shared" si="6"/>
        <v>23.2971</v>
      </c>
      <c r="Z45" s="67">
        <f t="shared" si="7"/>
        <v>1.61E-2</v>
      </c>
      <c r="AA45" s="67">
        <f t="shared" si="8"/>
        <v>23.280999999999999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9"/>
        <v>0132-07</v>
      </c>
      <c r="AE45" s="91" t="str">
        <f t="shared" si="10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45" s="88" t="str">
        <f t="shared" si="11"/>
        <v>"C:\Program Files (x86)\AstroGrep\AstroGrep.exe" /spath="%USERPROFILE%\AppData\Local\Temp\OnboardLogs" /stypes="app*4013*20161207*" /stext=" 16:.+((SYSTEM_STATE.+slice.+state.+changed )|(ment ac)|(multiple cpu faults)|(system.+state.+changed )|(\[timeout)|(PRM\|1\|D)|(kpr)|(kdp)|(\|lc)|(penalty))" /e /r /s</v>
      </c>
      <c r="AG45" s="1" t="str">
        <f t="shared" si="12"/>
        <v>EC</v>
      </c>
      <c r="AH45" s="92" t="str">
        <f t="shared" si="15"/>
        <v>"%USERPROFILE%\Documents\GitHub\eaglep3\Utilities\RefineRTDCRunTimes.py" --tripid 132-07 --locoid 4013 --swversion DE.1.0.8.0 --startMP 204:232971 --initTime 2016-12-07T08:15:12 --startdatetime 2016-12-07T08:27:02 --delay 1 --endMP 204:161 --enddatetime 2016-12-07T09:06:37 --enforcementcount 0 &gt;&gt;C:\Users\stu\Documents\GitHub\eaglep3-reporting\EC\2016-12-07-refined-times.txt</v>
      </c>
      <c r="AI45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{"issue":{"subject":"","project_id":79,"tracker_id":40,"status_id":1,"priority_id":2,"assigned_to_id":23,"start_date":"2016-12-07","description":"","custom_fields":[{"id":1,"name":"Subdivision","value":"EC"},{"id":4,"name":"Milepost","value":"0.0161"},{"id":17,"name":"Train ID","value":"132-07"},{"id":16,"name":"Locomotive ID","value":"4013"},{"id":130,"name":"Impact","value":""},{"id":150,"name":"Time of Event (Mountain Time)","value":"09:06:37"},{"id":151,"name":"Denver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519</v>
      </c>
      <c r="B46" s="7">
        <v>4031</v>
      </c>
      <c r="C46" s="22" t="s">
        <v>207</v>
      </c>
      <c r="D46" s="22" t="s">
        <v>408</v>
      </c>
      <c r="E46" s="13">
        <v>42711.321319444447</v>
      </c>
      <c r="F46" s="13">
        <v>42711.323344907411</v>
      </c>
      <c r="G46" s="7">
        <v>1</v>
      </c>
      <c r="H46" s="22" t="s">
        <v>316</v>
      </c>
      <c r="I46" s="13">
        <v>42711.35229166667</v>
      </c>
      <c r="J46" s="7">
        <v>0</v>
      </c>
      <c r="K46" s="109" t="str">
        <f t="shared" si="0"/>
        <v>4031/4032</v>
      </c>
      <c r="L46" s="22" t="str">
        <f>VLOOKUP(A46,'Trips&amp;Operators'!$C$1:$G$99999,5,FALSE)</f>
        <v>BROWN JACOB</v>
      </c>
      <c r="M46" s="6">
        <f t="shared" si="1"/>
        <v>2.8946759259270038E-2</v>
      </c>
      <c r="N46" s="7">
        <f t="shared" si="20"/>
        <v>41.683333333348855</v>
      </c>
      <c r="O46" s="7"/>
      <c r="P46" s="7"/>
      <c r="Q46" s="23"/>
      <c r="R46" s="23"/>
      <c r="S46" s="35">
        <f t="shared" si="21"/>
        <v>1</v>
      </c>
      <c r="T46" s="50" t="str">
        <f t="shared" si="3"/>
        <v>NorthBound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06:42:42-700',mode:absolute,to:'2016-12-07 09:27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6" s="52" t="str">
        <f t="shared" si="5"/>
        <v>N</v>
      </c>
      <c r="X46" s="177">
        <f t="shared" si="19"/>
        <v>1</v>
      </c>
      <c r="Y46" s="67">
        <f t="shared" si="6"/>
        <v>4.2900000000000001E-2</v>
      </c>
      <c r="Z46" s="67">
        <f t="shared" si="7"/>
        <v>23.329499999999999</v>
      </c>
      <c r="AA46" s="67">
        <f t="shared" si="8"/>
        <v>23.2866</v>
      </c>
      <c r="AB46" s="64" t="e">
        <f>VLOOKUP(A46,Enforcements!$C$7:$K$20,8,0)</f>
        <v>#N/A</v>
      </c>
      <c r="AC46" s="60" t="e">
        <f>VLOOKUP(A46,Enforcements!$C$7:$E$20,3,0)</f>
        <v>#N/A</v>
      </c>
      <c r="AD46" s="61" t="str">
        <f t="shared" si="9"/>
        <v>0133-07</v>
      </c>
      <c r="AE46" s="91" t="str">
        <f t="shared" si="10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46" s="88" t="str">
        <f t="shared" si="11"/>
        <v>"C:\Program Files (x86)\AstroGrep\AstroGrep.exe" /spath="%USERPROFILE%\AppData\Local\Temp\OnboardLogs" /stypes="app*4031*20161207*" /stext=" 15:.+((SYSTEM_STATE.+slice.+state.+changed )|(ment ac)|(multiple cpu faults)|(system.+state.+changed )|(\[timeout)|(PRM\|1\|D)|(kpr)|(kdp)|(\|lc)|(penalty))" /e /r /s</v>
      </c>
      <c r="AG46" s="1" t="str">
        <f t="shared" si="12"/>
        <v>EC</v>
      </c>
      <c r="AH46" s="92" t="str">
        <f t="shared" si="15"/>
        <v>"%USERPROFILE%\Documents\GitHub\eaglep3\Utilities\RefineRTDCRunTimes.py" --tripid 133-07 --locoid 4031 --swversion DE.1.0.8.0 --startMP 204:429 --initTime 2016-12-07T07:42:42 --startdatetime 2016-12-07T07:45:37 --delay 1 --endMP 204:233295 --enddatetime 2016-12-07T08:27:18 --enforcementcount 0 &gt;&gt;C:\Users\stu\Documents\GitHub\eaglep3-reporting\EC\2016-12-07-refined-times.txt</v>
      </c>
      <c r="AI46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{"issue":{"subject":"","project_id":79,"tracker_id":40,"status_id":1,"priority_id":2,"assigned_to_id":23,"start_date":"2016-12-07","description":"","custom_fields":[{"id":1,"name":"Subdivision","value":"EC"},{"id":4,"name":"Milepost","value":"23.3295"},{"id":17,"name":"Train ID","value":"133-07"},{"id":16,"name":"Locomotive ID","value":"4031"},{"id":130,"name":"Impact","value":""},{"id":150,"name":"Time of Event (Mountain Time)","value":"08:27:18"},{"id":151,"name":"Denver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529</v>
      </c>
      <c r="B47" s="7">
        <v>4032</v>
      </c>
      <c r="C47" s="22" t="s">
        <v>207</v>
      </c>
      <c r="D47" s="22" t="s">
        <v>404</v>
      </c>
      <c r="E47" s="13">
        <v>42711.356921296298</v>
      </c>
      <c r="F47" s="13">
        <v>42711.361932870372</v>
      </c>
      <c r="G47" s="7">
        <v>1</v>
      </c>
      <c r="H47" s="22" t="s">
        <v>704</v>
      </c>
      <c r="I47" s="13">
        <v>42711.390104166669</v>
      </c>
      <c r="J47" s="7">
        <v>0</v>
      </c>
      <c r="K47" s="109" t="str">
        <f t="shared" si="0"/>
        <v>4031/4032</v>
      </c>
      <c r="L47" s="22" t="str">
        <f>VLOOKUP(A47,'Trips&amp;Operators'!$C$1:$G$99999,5,FALSE)</f>
        <v>BROWN JACOB</v>
      </c>
      <c r="M47" s="6">
        <f t="shared" si="1"/>
        <v>2.8171296296932269E-2</v>
      </c>
      <c r="N47" s="7">
        <f t="shared" si="20"/>
        <v>40.566666667582467</v>
      </c>
      <c r="O47" s="7"/>
      <c r="P47" s="7"/>
      <c r="Q47" s="23"/>
      <c r="R47" s="23"/>
      <c r="S47" s="35">
        <f t="shared" si="21"/>
        <v>1</v>
      </c>
      <c r="T47" s="50" t="str">
        <f t="shared" si="3"/>
        <v>Southbound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07:33:58-700',mode:absolute,to:'2016-12-07 10:21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7" s="52" t="str">
        <f t="shared" si="5"/>
        <v>N</v>
      </c>
      <c r="X47" s="177">
        <f t="shared" si="19"/>
        <v>1</v>
      </c>
      <c r="Y47" s="67">
        <f t="shared" si="6"/>
        <v>23.297899999999998</v>
      </c>
      <c r="Z47" s="67">
        <f t="shared" si="7"/>
        <v>1.2999999999999999E-2</v>
      </c>
      <c r="AA47" s="67">
        <f t="shared" si="8"/>
        <v>23.284899999999997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9"/>
        <v>0134-07</v>
      </c>
      <c r="AE47" s="91" t="str">
        <f t="shared" si="10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47" s="88" t="str">
        <f t="shared" si="11"/>
        <v>"C:\Program Files (x86)\AstroGrep\AstroGrep.exe" /spath="%USERPROFILE%\AppData\Local\Temp\OnboardLogs" /stypes="app*4032*20161207*" /stext=" 16:.+((SYSTEM_STATE.+slice.+state.+changed )|(ment ac)|(multiple cpu faults)|(system.+state.+changed )|(\[timeout)|(PRM\|1\|D)|(kpr)|(kdp)|(\|lc)|(penalty))" /e /r /s</v>
      </c>
      <c r="AG47" s="1" t="str">
        <f t="shared" si="12"/>
        <v>EC</v>
      </c>
      <c r="AH47" s="92" t="str">
        <f t="shared" si="15"/>
        <v>"%USERPROFILE%\Documents\GitHub\eaglep3\Utilities\RefineRTDCRunTimes.py" --tripid 134-07 --locoid 4032 --swversion DE.1.0.8.0 --startMP 204:232979 --initTime 2016-12-07T08:33:58 --startdatetime 2016-12-07T08:41:11 --delay 1 --endMP 204:130 --enddatetime 2016-12-07T09:21:45 --enforcementcount 0 &gt;&gt;C:\Users\stu\Documents\GitHub\eaglep3-reporting\EC\2016-12-07-refined-times.txt</v>
      </c>
      <c r="AI47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{"issue":{"subject":"","project_id":79,"tracker_id":40,"status_id":1,"priority_id":2,"assigned_to_id":23,"start_date":"2016-12-07","description":"","custom_fields":[{"id":1,"name":"Subdivision","value":"EC"},{"id":4,"name":"Milepost","value":"0.013"},{"id":17,"name":"Train ID","value":"134-07"},{"id":16,"name":"Locomotive ID","value":"4032"},{"id":130,"name":"Impact","value":""},{"id":150,"name":"Time of Event (Mountain Time)","value":"09:21:45"},{"id":151,"name":"Denver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521</v>
      </c>
      <c r="B48" s="7">
        <v>4009</v>
      </c>
      <c r="C48" s="22" t="s">
        <v>207</v>
      </c>
      <c r="D48" s="22" t="s">
        <v>315</v>
      </c>
      <c r="E48" s="13">
        <v>42711.329375000001</v>
      </c>
      <c r="F48" s="13">
        <v>42711.334201388891</v>
      </c>
      <c r="G48" s="7">
        <v>1</v>
      </c>
      <c r="H48" s="22" t="s">
        <v>420</v>
      </c>
      <c r="I48" s="13">
        <v>42711.359386574077</v>
      </c>
      <c r="J48" s="7">
        <v>0</v>
      </c>
      <c r="K48" s="109" t="str">
        <f t="shared" si="0"/>
        <v>4009/4010</v>
      </c>
      <c r="L48" s="22" t="str">
        <f>VLOOKUP(A48,'Trips&amp;Operators'!$C$1:$G$99999,5,FALSE)</f>
        <v>MAHAN DUANE</v>
      </c>
      <c r="M48" s="6">
        <f t="shared" si="1"/>
        <v>2.5185185186273884E-2</v>
      </c>
      <c r="N48" s="7">
        <f t="shared" si="20"/>
        <v>36.266666668234393</v>
      </c>
      <c r="O48" s="7"/>
      <c r="P48" s="7"/>
      <c r="Q48" s="23"/>
      <c r="R48" s="23"/>
      <c r="S48" s="35">
        <f t="shared" si="21"/>
        <v>1</v>
      </c>
      <c r="T48" s="50" t="str">
        <f t="shared" si="3"/>
        <v>NorthBound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06:54:18-700',mode:absolute,to:'2016-12-07 09:37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8" s="52" t="str">
        <f t="shared" si="5"/>
        <v>N</v>
      </c>
      <c r="X48" s="177">
        <f t="shared" si="19"/>
        <v>1</v>
      </c>
      <c r="Y48" s="67">
        <f t="shared" si="6"/>
        <v>4.3999999999999997E-2</v>
      </c>
      <c r="Z48" s="67">
        <f t="shared" si="7"/>
        <v>23.327400000000001</v>
      </c>
      <c r="AA48" s="67">
        <f t="shared" si="8"/>
        <v>23.2834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9"/>
        <v>0135-07</v>
      </c>
      <c r="AE48" s="91" t="str">
        <f t="shared" si="10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48" s="88" t="str">
        <f t="shared" si="11"/>
        <v>"C:\Program Files (x86)\AstroGrep\AstroGrep.exe" /spath="%USERPROFILE%\AppData\Local\Temp\OnboardLogs" /stypes="app*4009*20161207*" /stext=" 15:.+((SYSTEM_STATE.+slice.+state.+changed )|(ment ac)|(multiple cpu faults)|(system.+state.+changed )|(\[timeout)|(PRM\|1\|D)|(kpr)|(kdp)|(\|lc)|(penalty))" /e /r /s</v>
      </c>
      <c r="AG48" s="1" t="str">
        <f t="shared" si="12"/>
        <v>EC</v>
      </c>
      <c r="AH48" s="92" t="str">
        <f t="shared" si="15"/>
        <v>"%USERPROFILE%\Documents\GitHub\eaglep3\Utilities\RefineRTDCRunTimes.py" --tripid 135-07 --locoid 4009 --swversion DE.1.0.8.0 --startMP 204:440 --initTime 2016-12-07T07:54:18 --startdatetime 2016-12-07T08:01:15 --delay 1 --endMP 204:233274 --enddatetime 2016-12-07T08:37:31 --enforcementcount 0 &gt;&gt;C:\Users\stu\Documents\GitHub\eaglep3-reporting\EC\2016-12-07-refined-times.txt</v>
      </c>
      <c r="AI48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{"issue":{"subject":"","project_id":79,"tracker_id":40,"status_id":1,"priority_id":2,"assigned_to_id":23,"start_date":"2016-12-07","description":"","custom_fields":[{"id":1,"name":"Subdivision","value":"EC"},{"id":4,"name":"Milepost","value":"23.3274"},{"id":17,"name":"Train ID","value":"135-07"},{"id":16,"name":"Locomotive ID","value":"4009"},{"id":130,"name":"Impact","value":""},{"id":150,"name":"Time of Event (Mountain Time)","value":"08:37:31"},{"id":151,"name":"Denver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532</v>
      </c>
      <c r="B49" s="7">
        <v>4010</v>
      </c>
      <c r="C49" s="22" t="s">
        <v>207</v>
      </c>
      <c r="D49" s="22" t="s">
        <v>403</v>
      </c>
      <c r="E49" s="13">
        <v>42711.36509259259</v>
      </c>
      <c r="F49" s="13">
        <v>42711.372546296298</v>
      </c>
      <c r="G49" s="7">
        <v>2</v>
      </c>
      <c r="H49" s="22" t="s">
        <v>689</v>
      </c>
      <c r="I49" s="13">
        <v>42711.402002314811</v>
      </c>
      <c r="J49" s="7">
        <v>0</v>
      </c>
      <c r="K49" s="109" t="str">
        <f t="shared" si="0"/>
        <v>4009/4010</v>
      </c>
      <c r="L49" s="22" t="str">
        <f>VLOOKUP(A49,'Trips&amp;Operators'!$C$1:$G$99999,5,FALSE)</f>
        <v>MAHAN DUANE</v>
      </c>
      <c r="M49" s="6">
        <f t="shared" si="1"/>
        <v>2.9456018513883464E-2</v>
      </c>
      <c r="N49" s="7">
        <f t="shared" si="20"/>
        <v>42.416666659992188</v>
      </c>
      <c r="O49" s="7"/>
      <c r="P49" s="7"/>
      <c r="Q49" s="23"/>
      <c r="R49" s="23"/>
      <c r="S49" s="35">
        <f t="shared" si="21"/>
        <v>1</v>
      </c>
      <c r="T49" s="50" t="str">
        <f t="shared" si="3"/>
        <v>Southbound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07:45:44-700',mode:absolute,to:'2016-12-07 10:38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9" s="52" t="str">
        <f t="shared" si="5"/>
        <v>N</v>
      </c>
      <c r="X49" s="177">
        <f t="shared" si="19"/>
        <v>1</v>
      </c>
      <c r="Y49" s="67">
        <f t="shared" si="6"/>
        <v>23.296500000000002</v>
      </c>
      <c r="Z49" s="67">
        <f t="shared" si="7"/>
        <v>1.47E-2</v>
      </c>
      <c r="AA49" s="67">
        <f t="shared" si="8"/>
        <v>23.2818</v>
      </c>
      <c r="AB49" s="64" t="e">
        <f>VLOOKUP(A49,Enforcements!$C$7:$K$20,8,0)</f>
        <v>#N/A</v>
      </c>
      <c r="AC49" s="60" t="e">
        <f>VLOOKUP(A49,Enforcements!$C$7:$E$20,3,0)</f>
        <v>#N/A</v>
      </c>
      <c r="AD49" s="61" t="str">
        <f t="shared" si="9"/>
        <v>0136-07</v>
      </c>
      <c r="AE49" s="91" t="str">
        <f t="shared" si="10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49" s="88" t="str">
        <f t="shared" si="11"/>
        <v>"C:\Program Files (x86)\AstroGrep\AstroGrep.exe" /spath="%USERPROFILE%\AppData\Local\Temp\OnboardLogs" /stypes="app*4010*20161207*" /stext=" 16:.+((SYSTEM_STATE.+slice.+state.+changed )|(ment ac)|(multiple cpu faults)|(system.+state.+changed )|(\[timeout)|(PRM\|1\|D)|(kpr)|(kdp)|(\|lc)|(penalty))" /e /r /s</v>
      </c>
      <c r="AG49" s="1" t="str">
        <f t="shared" si="12"/>
        <v>EC</v>
      </c>
      <c r="AH49" s="92" t="str">
        <f t="shared" si="15"/>
        <v>"%USERPROFILE%\Documents\GitHub\eaglep3\Utilities\RefineRTDCRunTimes.py" --tripid 136-07 --locoid 4010 --swversion DE.1.0.8.0 --startMP 204:232965 --initTime 2016-12-07T08:45:44 --startdatetime 2016-12-07T08:56:28 --delay 2 --endMP 204:147 --enddatetime 2016-12-07T09:38:53 --enforcementcount 0 &gt;&gt;C:\Users\stu\Documents\GitHub\eaglep3-reporting\EC\2016-12-07-refined-times.txt</v>
      </c>
      <c r="AI49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{"issue":{"subject":"","project_id":79,"tracker_id":40,"status_id":1,"priority_id":2,"assigned_to_id":23,"start_date":"2016-12-07","description":"","custom_fields":[{"id":1,"name":"Subdivision","value":"EC"},{"id":4,"name":"Milepost","value":"0.0147"},{"id":17,"name":"Train ID","value":"136-07"},{"id":16,"name":"Locomotive ID","value":"4010"},{"id":130,"name":"Impact","value":""},{"id":150,"name":"Time of Event (Mountain Time)","value":"09:38:53"},{"id":151,"name":"Denver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525</v>
      </c>
      <c r="B50" s="7">
        <v>4020</v>
      </c>
      <c r="C50" s="22" t="s">
        <v>207</v>
      </c>
      <c r="D50" s="22" t="s">
        <v>310</v>
      </c>
      <c r="E50" s="13">
        <v>42711.341550925928</v>
      </c>
      <c r="F50" s="13">
        <v>42711.344178240739</v>
      </c>
      <c r="G50" s="7">
        <v>1</v>
      </c>
      <c r="H50" s="22" t="s">
        <v>415</v>
      </c>
      <c r="I50" s="13">
        <v>42711.371192129627</v>
      </c>
      <c r="J50" s="7">
        <v>0</v>
      </c>
      <c r="K50" s="109" t="str">
        <f t="shared" si="0"/>
        <v>4019/4020</v>
      </c>
      <c r="L50" s="22" t="str">
        <f>VLOOKUP(A50,'Trips&amp;Operators'!$C$1:$G$99999,5,FALSE)</f>
        <v>KILLION DAVID</v>
      </c>
      <c r="M50" s="6">
        <f t="shared" si="1"/>
        <v>2.7013888888177462E-2</v>
      </c>
      <c r="N50" s="7">
        <f t="shared" si="20"/>
        <v>38.899999998975545</v>
      </c>
      <c r="O50" s="7"/>
      <c r="P50" s="7"/>
      <c r="Q50" s="23"/>
      <c r="R50" s="23"/>
      <c r="S50" s="35">
        <f t="shared" si="21"/>
        <v>1</v>
      </c>
      <c r="T50" s="50" t="str">
        <f t="shared" si="3"/>
        <v>NorthBound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07:11:50-700',mode:absolute,to:'2016-12-07 09:54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50" s="52" t="str">
        <f t="shared" si="5"/>
        <v>N</v>
      </c>
      <c r="X50" s="177">
        <f t="shared" si="19"/>
        <v>1</v>
      </c>
      <c r="Y50" s="67">
        <f t="shared" si="6"/>
        <v>4.53E-2</v>
      </c>
      <c r="Z50" s="67">
        <f t="shared" si="7"/>
        <v>23.328299999999999</v>
      </c>
      <c r="AA50" s="67">
        <f t="shared" si="8"/>
        <v>23.282999999999998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9"/>
        <v>0137-07</v>
      </c>
      <c r="AE50" s="91" t="str">
        <f t="shared" si="10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50" s="88" t="str">
        <f t="shared" si="11"/>
        <v>"C:\Program Files (x86)\AstroGrep\AstroGrep.exe" /spath="%USERPROFILE%\AppData\Local\Temp\OnboardLogs" /stypes="app*4020*20161207*" /stext=" 15:.+((SYSTEM_STATE.+slice.+state.+changed )|(ment ac)|(multiple cpu faults)|(system.+state.+changed )|(\[timeout)|(PRM\|1\|D)|(kpr)|(kdp)|(\|lc)|(penalty))" /e /r /s</v>
      </c>
      <c r="AG50" s="1" t="str">
        <f t="shared" si="12"/>
        <v>EC</v>
      </c>
      <c r="AH50" s="92" t="str">
        <f t="shared" si="15"/>
        <v>"%USERPROFILE%\Documents\GitHub\eaglep3\Utilities\RefineRTDCRunTimes.py" --tripid 137-07 --locoid 4020 --swversion DE.1.0.8.0 --startMP 204:453 --initTime 2016-12-07T08:11:50 --startdatetime 2016-12-07T08:15:37 --delay 1 --endMP 204:233283 --enddatetime 2016-12-07T08:54:31 --enforcementcount 0 &gt;&gt;C:\Users\stu\Documents\GitHub\eaglep3-reporting\EC\2016-12-07-refined-times.txt</v>
      </c>
      <c r="AI50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{"issue":{"subject":"","project_id":79,"tracker_id":40,"status_id":1,"priority_id":2,"assigned_to_id":23,"start_date":"2016-12-07","description":"","custom_fields":[{"id":1,"name":"Subdivision","value":"EC"},{"id":4,"name":"Milepost","value":"23.3283"},{"id":17,"name":"Train ID","value":"137-07"},{"id":16,"name":"Locomotive ID","value":"4020"},{"id":130,"name":"Impact","value":""},{"id":150,"name":"Time of Event (Mountain Time)","value":"08:54:31"},{"id":151,"name":"Denver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535</v>
      </c>
      <c r="B51" s="7">
        <v>4019</v>
      </c>
      <c r="C51" s="22" t="s">
        <v>207</v>
      </c>
      <c r="D51" s="22" t="s">
        <v>705</v>
      </c>
      <c r="E51" s="13">
        <v>42711.37771990741</v>
      </c>
      <c r="F51" s="13">
        <v>42711.383148148147</v>
      </c>
      <c r="G51" s="7">
        <v>1</v>
      </c>
      <c r="H51" s="22" t="s">
        <v>706</v>
      </c>
      <c r="I51" s="13">
        <v>42711.411319444444</v>
      </c>
      <c r="J51" s="7">
        <v>0</v>
      </c>
      <c r="K51" s="109" t="str">
        <f t="shared" si="0"/>
        <v>4019/4020</v>
      </c>
      <c r="L51" s="22" t="str">
        <f>VLOOKUP(A51,'Trips&amp;Operators'!$C$1:$G$99999,5,FALSE)</f>
        <v>KILLION DAVID</v>
      </c>
      <c r="M51" s="6">
        <f t="shared" si="1"/>
        <v>2.8171296296932269E-2</v>
      </c>
      <c r="N51" s="7">
        <f t="shared" si="20"/>
        <v>40.566666667582467</v>
      </c>
      <c r="O51" s="7"/>
      <c r="P51" s="7"/>
      <c r="Q51" s="23"/>
      <c r="R51" s="23"/>
      <c r="S51" s="35">
        <f t="shared" si="21"/>
        <v>1</v>
      </c>
      <c r="T51" s="50" t="str">
        <f t="shared" si="3"/>
        <v>Southbound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08:03:55-700',mode:absolute,to:'2016-12-07 10:52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51" s="52" t="str">
        <f t="shared" si="5"/>
        <v>N</v>
      </c>
      <c r="X51" s="177">
        <f t="shared" si="19"/>
        <v>1</v>
      </c>
      <c r="Y51" s="67">
        <f t="shared" si="6"/>
        <v>23.2987</v>
      </c>
      <c r="Z51" s="67">
        <f t="shared" si="7"/>
        <v>1.3899999999999999E-2</v>
      </c>
      <c r="AA51" s="67">
        <f t="shared" si="8"/>
        <v>23.284800000000001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9"/>
        <v>0138-07</v>
      </c>
      <c r="AE51" s="91" t="str">
        <f t="shared" si="10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51" s="88" t="str">
        <f t="shared" si="11"/>
        <v>"C:\Program Files (x86)\AstroGrep\AstroGrep.exe" /spath="%USERPROFILE%\AppData\Local\Temp\OnboardLogs" /stypes="app*4019*20161207*" /stext=" 16:.+((SYSTEM_STATE.+slice.+state.+changed )|(ment ac)|(multiple cpu faults)|(system.+state.+changed )|(\[timeout)|(PRM\|1\|D)|(kpr)|(kdp)|(\|lc)|(penalty))" /e /r /s</v>
      </c>
      <c r="AG51" s="1" t="str">
        <f t="shared" si="12"/>
        <v>EC</v>
      </c>
      <c r="AH51" s="92" t="str">
        <f t="shared" si="15"/>
        <v>"%USERPROFILE%\Documents\GitHub\eaglep3\Utilities\RefineRTDCRunTimes.py" --tripid 138-07 --locoid 4019 --swversion DE.1.0.8.0 --startMP 204:232987 --initTime 2016-12-07T09:03:55 --startdatetime 2016-12-07T09:11:44 --delay 1 --endMP 204:139 --enddatetime 2016-12-07T09:52:18 --enforcementcount 0 &gt;&gt;C:\Users\stu\Documents\GitHub\eaglep3-reporting\EC\2016-12-07-refined-times.txt</v>
      </c>
      <c r="AI51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{"issue":{"subject":"","project_id":79,"tracker_id":40,"status_id":1,"priority_id":2,"assigned_to_id":23,"start_date":"2016-12-07","description":"","custom_fields":[{"id":1,"name":"Subdivision","value":"EC"},{"id":4,"name":"Milepost","value":"0.0139"},{"id":17,"name":"Train ID","value":"138-07"},{"id":16,"name":"Locomotive ID","value":"4019"},{"id":130,"name":"Impact","value":""},{"id":150,"name":"Time of Event (Mountain Time)","value":"09:52:18"},{"id":151,"name":"Denver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528</v>
      </c>
      <c r="B52" s="7">
        <v>4022</v>
      </c>
      <c r="C52" s="22" t="s">
        <v>207</v>
      </c>
      <c r="D52" s="22" t="s">
        <v>252</v>
      </c>
      <c r="E52" s="13">
        <v>42711.355914351851</v>
      </c>
      <c r="F52" s="13">
        <v>42711.357187499998</v>
      </c>
      <c r="G52" s="7">
        <v>1</v>
      </c>
      <c r="H52" s="22" t="s">
        <v>418</v>
      </c>
      <c r="I52" s="13">
        <v>42711.381226851852</v>
      </c>
      <c r="J52" s="7">
        <v>0</v>
      </c>
      <c r="K52" s="109" t="str">
        <f t="shared" si="0"/>
        <v>4021/4022</v>
      </c>
      <c r="L52" s="22" t="str">
        <f>VLOOKUP(A52,'Trips&amp;Operators'!$C$1:$G$99999,5,FALSE)</f>
        <v>ROCHA YAOTL</v>
      </c>
      <c r="M52" s="6">
        <f t="shared" si="1"/>
        <v>2.4039351854298729E-2</v>
      </c>
      <c r="N52" s="7">
        <f t="shared" si="20"/>
        <v>34.61666667019017</v>
      </c>
      <c r="O52" s="7"/>
      <c r="P52" s="7"/>
      <c r="Q52" s="23"/>
      <c r="R52" s="23"/>
      <c r="S52" s="35">
        <f t="shared" si="21"/>
        <v>1</v>
      </c>
      <c r="T52" s="50" t="str">
        <f t="shared" si="3"/>
        <v>NorthBound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07:32:31-700',mode:absolute,to:'2016-12-07 10:08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52" s="52" t="str">
        <f t="shared" si="5"/>
        <v>N</v>
      </c>
      <c r="X52" s="177">
        <f t="shared" si="19"/>
        <v>1</v>
      </c>
      <c r="Y52" s="67">
        <f t="shared" si="6"/>
        <v>4.6699999999999998E-2</v>
      </c>
      <c r="Z52" s="67">
        <f t="shared" si="7"/>
        <v>23.327200000000001</v>
      </c>
      <c r="AA52" s="67">
        <f t="shared" si="8"/>
        <v>23.2805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9"/>
        <v>0139-07</v>
      </c>
      <c r="AE52" s="91" t="str">
        <f t="shared" si="10"/>
        <v>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 &amp; aws s3 cp s3://rtdc.mdm.uploadarchive.raw/RTDC4022/ "%USERPROFILE%\AppData\Local\Temp\OnboardLogs"\RTDC4022\2016-12-08 --exclude "*" --recursive --include "*20161208*" &amp; "%USERPROFILE%\Documents\GitHub\mrs-test-scripts\Headless Mode &amp; Sideloading\WalkAndUnGZ.bat" "%USERPROFILE%\AppData\Local\Temp\OnboardLogs"\RTDC4022\2016-12-08</v>
      </c>
      <c r="AF52" s="88" t="str">
        <f t="shared" si="11"/>
        <v>"C:\Program Files (x86)\AstroGrep\AstroGrep.exe" /spath="%USERPROFILE%\AppData\Local\Temp\OnboardLogs" /stypes="app*4022*20161207*" /stext=" 16:.+((SYSTEM_STATE.+slice.+state.+changed )|(ment ac)|(multiple cpu faults)|(system.+state.+changed )|(\[timeout)|(PRM\|1\|D)|(kpr)|(kdp)|(\|lc)|(penalty))" /e /r /s</v>
      </c>
      <c r="AG52" s="1" t="str">
        <f t="shared" si="12"/>
        <v>EC</v>
      </c>
      <c r="AH52" s="92" t="str">
        <f t="shared" si="15"/>
        <v>"%USERPROFILE%\Documents\GitHub\eaglep3\Utilities\RefineRTDCRunTimes.py" --tripid 139-07 --locoid 4022 --swversion DE.1.0.8.0 --startMP 204:467 --initTime 2016-12-07T08:32:31 --startdatetime 2016-12-07T08:34:21 --delay 1 --endMP 204:233272 --enddatetime 2016-12-07T09:08:58 --enforcementcount 0 &gt;&gt;C:\Users\stu\Documents\GitHub\eaglep3-reporting\EC\2016-12-07-refined-times.txt</v>
      </c>
      <c r="AI52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{"issue":{"subject":"","project_id":79,"tracker_id":40,"status_id":1,"priority_id":2,"assigned_to_id":23,"start_date":"2016-12-07","description":"","custom_fields":[{"id":1,"name":"Subdivision","value":"EC"},{"id":4,"name":"Milepost","value":"23.3272"},{"id":17,"name":"Train ID","value":"139-07"},{"id":16,"name":"Locomotive ID","value":"4022"},{"id":130,"name":"Impact","value":""},{"id":150,"name":"Time of Event (Mountain Time)","value":"09:08:58"},{"id":151,"name":"Denver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537</v>
      </c>
      <c r="B53" s="7">
        <v>4021</v>
      </c>
      <c r="C53" s="22" t="s">
        <v>207</v>
      </c>
      <c r="D53" s="22" t="s">
        <v>707</v>
      </c>
      <c r="E53" s="13">
        <v>42711.392766203702</v>
      </c>
      <c r="F53" s="13">
        <v>42711.393877314818</v>
      </c>
      <c r="G53" s="7">
        <v>1</v>
      </c>
      <c r="H53" s="22" t="s">
        <v>708</v>
      </c>
      <c r="I53" s="13">
        <v>42711.421932870369</v>
      </c>
      <c r="J53" s="7">
        <v>0</v>
      </c>
      <c r="K53" s="109" t="str">
        <f t="shared" si="0"/>
        <v>4021/4022</v>
      </c>
      <c r="L53" s="22" t="str">
        <f>VLOOKUP(A53,'Trips&amp;Operators'!$C$1:$G$99999,5,FALSE)</f>
        <v>ROCHA YAOTL</v>
      </c>
      <c r="M53" s="6">
        <f t="shared" si="1"/>
        <v>2.8055555550963618E-2</v>
      </c>
      <c r="N53" s="7">
        <f t="shared" si="20"/>
        <v>40.39999999338761</v>
      </c>
      <c r="O53" s="7"/>
      <c r="P53" s="7"/>
      <c r="Q53" s="23"/>
      <c r="R53" s="23"/>
      <c r="S53" s="35">
        <f t="shared" si="21"/>
        <v>1</v>
      </c>
      <c r="T53" s="50" t="str">
        <f t="shared" si="3"/>
        <v>Southbound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08:25:35-700',mode:absolute,to:'2016-12-07 11:07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53" s="52" t="str">
        <f t="shared" si="5"/>
        <v>N</v>
      </c>
      <c r="X53" s="177">
        <f t="shared" si="19"/>
        <v>1</v>
      </c>
      <c r="Y53" s="67">
        <f t="shared" si="6"/>
        <v>23.296299999999999</v>
      </c>
      <c r="Z53" s="67">
        <f t="shared" si="7"/>
        <v>0.1179</v>
      </c>
      <c r="AA53" s="67">
        <f t="shared" si="8"/>
        <v>23.1784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9"/>
        <v>0140-07</v>
      </c>
      <c r="AE53" s="91" t="str">
        <f t="shared" si="10"/>
        <v>aws s3 cp s3://rtdc.mdm.uploadarchive.raw/RTDC4021/ "%USERPROFILE%\AppData\Local\Temp\OnboardLogs"\RTDC4021\2016-12-07 --exclude "*" --recursive --include "*20161207*" &amp; "%USERPROFILE%\Documents\GitHub\mrs-test-scripts\Headless Mode &amp; Sideloading\WalkAndUnGZ.bat" "%USERPROFILE%\AppData\Local\Temp\OnboardLogs"\RTDC4021\2016-12-07 &amp; aws s3 cp s3://rtdc.mdm.uploadarchive.raw/RTDC4021/ "%USERPROFILE%\AppData\Local\Temp\OnboardLogs"\RTDC4021\2016-12-08 --exclude "*" --recursive --include "*20161208*" &amp; "%USERPROFILE%\Documents\GitHub\mrs-test-scripts\Headless Mode &amp; Sideloading\WalkAndUnGZ.bat" "%USERPROFILE%\AppData\Local\Temp\OnboardLogs"\RTDC4021\2016-12-08</v>
      </c>
      <c r="AF53" s="88" t="str">
        <f t="shared" si="11"/>
        <v>"C:\Program Files (x86)\AstroGrep\AstroGrep.exe" /spath="%USERPROFILE%\AppData\Local\Temp\OnboardLogs" /stypes="app*4021*20161207*" /stext=" 17:.+((SYSTEM_STATE.+slice.+state.+changed )|(ment ac)|(multiple cpu faults)|(system.+state.+changed )|(\[timeout)|(PRM\|1\|D)|(kpr)|(kdp)|(\|lc)|(penalty))" /e /r /s</v>
      </c>
      <c r="AG53" s="1" t="str">
        <f t="shared" si="12"/>
        <v>EC</v>
      </c>
      <c r="AH53" s="92" t="str">
        <f t="shared" si="15"/>
        <v>"%USERPROFILE%\Documents\GitHub\eaglep3\Utilities\RefineRTDCRunTimes.py" --tripid 140-07 --locoid 4021 --swversion DE.1.0.8.0 --startMP 204:232963 --initTime 2016-12-07T09:25:35 --startdatetime 2016-12-07T09:27:11 --delay 1 --endMP 204:1179 --enddatetime 2016-12-07T10:07:35 --enforcementcount 0 &gt;&gt;C:\Users\stu\Documents\GitHub\eaglep3-reporting\EC\2016-12-07-refined-times.txt</v>
      </c>
      <c r="AI53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{"issue":{"subject":"","project_id":79,"tracker_id":40,"status_id":1,"priority_id":2,"assigned_to_id":23,"start_date":"2016-12-07","description":"","custom_fields":[{"id":1,"name":"Subdivision","value":"EC"},{"id":4,"name":"Milepost","value":"0.1179"},{"id":17,"name":"Train ID","value":"140-07"},{"id":16,"name":"Locomotive ID","value":"4021"},{"id":130,"name":"Impact","value":""},{"id":150,"name":"Time of Event (Mountain Time)","value":"10:07:35"},{"id":151,"name":"Denver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531</v>
      </c>
      <c r="B54" s="7">
        <v>4002</v>
      </c>
      <c r="C54" s="22" t="s">
        <v>207</v>
      </c>
      <c r="D54" s="22" t="s">
        <v>236</v>
      </c>
      <c r="E54" s="13">
        <v>42711.362210648149</v>
      </c>
      <c r="F54" s="13">
        <v>42711.364907407406</v>
      </c>
      <c r="G54" s="7">
        <v>1</v>
      </c>
      <c r="H54" s="22" t="s">
        <v>320</v>
      </c>
      <c r="I54" s="13">
        <v>42711.389421296299</v>
      </c>
      <c r="J54" s="7">
        <v>0</v>
      </c>
      <c r="K54" s="109" t="str">
        <f t="shared" si="0"/>
        <v>4001/4002</v>
      </c>
      <c r="L54" s="22" t="str">
        <f>VLOOKUP(A54,'Trips&amp;Operators'!$C$1:$G$99999,5,FALSE)</f>
        <v>LOZA FIDEL</v>
      </c>
      <c r="M54" s="6">
        <f t="shared" si="1"/>
        <v>2.4513888893125113E-2</v>
      </c>
      <c r="N54" s="7">
        <f t="shared" si="20"/>
        <v>35.300000006100163</v>
      </c>
      <c r="O54" s="7"/>
      <c r="P54" s="7"/>
      <c r="Q54" s="23"/>
      <c r="R54" s="23"/>
      <c r="S54" s="35">
        <f t="shared" si="21"/>
        <v>1</v>
      </c>
      <c r="T54" s="50" t="str">
        <f t="shared" si="3"/>
        <v>NorthBound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07:41:35-700',mode:absolute,to:'2016-12-07 10:20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54" s="52" t="str">
        <f t="shared" si="5"/>
        <v>N</v>
      </c>
      <c r="X54" s="177">
        <f t="shared" si="19"/>
        <v>1</v>
      </c>
      <c r="Y54" s="67">
        <f t="shared" si="6"/>
        <v>4.5499999999999999E-2</v>
      </c>
      <c r="Z54" s="67">
        <f t="shared" si="7"/>
        <v>23.330400000000001</v>
      </c>
      <c r="AA54" s="67">
        <f t="shared" si="8"/>
        <v>23.2849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9"/>
        <v>0141-07</v>
      </c>
      <c r="AE54" s="91" t="str">
        <f t="shared" si="10"/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54" s="88" t="str">
        <f t="shared" si="11"/>
        <v>"C:\Program Files (x86)\AstroGrep\AstroGrep.exe" /spath="%USERPROFILE%\AppData\Local\Temp\OnboardLogs" /stypes="app*4002*20161207*" /stext=" 16:.+((SYSTEM_STATE.+slice.+state.+changed )|(ment ac)|(multiple cpu faults)|(system.+state.+changed )|(\[timeout)|(PRM\|1\|D)|(kpr)|(kdp)|(\|lc)|(penalty))" /e /r /s</v>
      </c>
      <c r="AG54" s="1" t="str">
        <f t="shared" si="12"/>
        <v>EC</v>
      </c>
      <c r="AH54" s="92" t="str">
        <f t="shared" si="15"/>
        <v>"%USERPROFILE%\Documents\GitHub\eaglep3\Utilities\RefineRTDCRunTimes.py" --tripid 141-07 --locoid 4002 --swversion DE.1.0.8.0 --startMP 204:455 --initTime 2016-12-07T08:41:35 --startdatetime 2016-12-07T08:45:28 --delay 1 --endMP 204:233304 --enddatetime 2016-12-07T09:20:46 --enforcementcount 0 &gt;&gt;C:\Users\stu\Documents\GitHub\eaglep3-reporting\EC\2016-12-07-refined-times.txt</v>
      </c>
      <c r="AI54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{"issue":{"subject":"","project_id":79,"tracker_id":40,"status_id":1,"priority_id":2,"assigned_to_id":23,"start_date":"2016-12-07","description":"","custom_fields":[{"id":1,"name":"Subdivision","value":"EC"},{"id":4,"name":"Milepost","value":"23.3304"},{"id":17,"name":"Train ID","value":"141-07"},{"id":16,"name":"Locomotive ID","value":"4002"},{"id":130,"name":"Impact","value":""},{"id":150,"name":"Time of Event (Mountain Time)","value":"09:20:46"},{"id":151,"name":"Denver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540</v>
      </c>
      <c r="B55" s="7">
        <v>4001</v>
      </c>
      <c r="C55" s="22" t="s">
        <v>207</v>
      </c>
      <c r="D55" s="22" t="s">
        <v>331</v>
      </c>
      <c r="E55" s="13">
        <v>42711.402326388888</v>
      </c>
      <c r="F55" s="13">
        <v>42711.404236111113</v>
      </c>
      <c r="G55" s="7">
        <v>1</v>
      </c>
      <c r="H55" s="22" t="s">
        <v>214</v>
      </c>
      <c r="I55" s="13">
        <v>42711.434745370374</v>
      </c>
      <c r="J55" s="7">
        <v>0</v>
      </c>
      <c r="K55" s="109" t="str">
        <f t="shared" si="0"/>
        <v>4001/4002</v>
      </c>
      <c r="L55" s="22" t="str">
        <f>VLOOKUP(A55,'Trips&amp;Operators'!$C$1:$G$99999,5,FALSE)</f>
        <v>LOZA FIDEL</v>
      </c>
      <c r="M55" s="6">
        <f t="shared" si="1"/>
        <v>3.050925926072523E-2</v>
      </c>
      <c r="N55" s="7">
        <f t="shared" si="20"/>
        <v>43.933333335444331</v>
      </c>
      <c r="O55" s="7"/>
      <c r="P55" s="7"/>
      <c r="Q55" s="23"/>
      <c r="R55" s="23"/>
      <c r="S55" s="35">
        <f t="shared" si="21"/>
        <v>1</v>
      </c>
      <c r="T55" s="50" t="str">
        <f t="shared" si="3"/>
        <v>Southbound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08:39:21-700',mode:absolute,to:'2016-12-07 11:26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55" s="52" t="str">
        <f t="shared" si="5"/>
        <v>N</v>
      </c>
      <c r="X55" s="177">
        <f t="shared" si="19"/>
        <v>1</v>
      </c>
      <c r="Y55" s="67">
        <f t="shared" si="6"/>
        <v>23.2972</v>
      </c>
      <c r="Z55" s="67">
        <f t="shared" si="7"/>
        <v>1.4999999999999999E-2</v>
      </c>
      <c r="AA55" s="67">
        <f t="shared" si="8"/>
        <v>23.2822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9"/>
        <v>0142-07</v>
      </c>
      <c r="AE55" s="91" t="str">
        <f t="shared" si="10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55" s="88" t="str">
        <f t="shared" si="11"/>
        <v>"C:\Program Files (x86)\AstroGrep\AstroGrep.exe" /spath="%USERPROFILE%\AppData\Local\Temp\OnboardLogs" /stypes="app*4001*20161207*" /stext=" 17:.+((SYSTEM_STATE.+slice.+state.+changed )|(ment ac)|(multiple cpu faults)|(system.+state.+changed )|(\[timeout)|(PRM\|1\|D)|(kpr)|(kdp)|(\|lc)|(penalty))" /e /r /s</v>
      </c>
      <c r="AG55" s="1" t="str">
        <f t="shared" si="12"/>
        <v>EC</v>
      </c>
      <c r="AH55" s="92" t="str">
        <f t="shared" si="15"/>
        <v>"%USERPROFILE%\Documents\GitHub\eaglep3\Utilities\RefineRTDCRunTimes.py" --tripid 142-07 --locoid 4001 --swversion DE.1.0.8.0 --startMP 204:232972 --initTime 2016-12-07T09:39:21 --startdatetime 2016-12-07T09:42:06 --delay 1 --endMP 204:150 --enddatetime 2016-12-07T10:26:02 --enforcementcount 0 &gt;&gt;C:\Users\stu\Documents\GitHub\eaglep3-reporting\EC\2016-12-07-refined-times.txt</v>
      </c>
      <c r="AI55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ID","value":"142-07"},{"id":16,"name":"Locomotive ID","value":"4001"},{"id":130,"name":"Impact","value":""},{"id":150,"name":"Time of Event (Mountain Time)","value":"10:26:02"},{"id":151,"name":"Denver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7" t="s">
        <v>534</v>
      </c>
      <c r="B56" s="7">
        <v>4016</v>
      </c>
      <c r="C56" s="22" t="s">
        <v>207</v>
      </c>
      <c r="D56" s="22" t="s">
        <v>238</v>
      </c>
      <c r="E56" s="13">
        <v>42711.374293981484</v>
      </c>
      <c r="F56" s="13">
        <v>42711.375277777777</v>
      </c>
      <c r="G56" s="7">
        <v>1</v>
      </c>
      <c r="H56" s="22" t="s">
        <v>709</v>
      </c>
      <c r="I56" s="13">
        <v>42711.387719907405</v>
      </c>
      <c r="J56" s="7">
        <v>0</v>
      </c>
      <c r="K56" s="109" t="str">
        <f t="shared" si="0"/>
        <v>4015/4016</v>
      </c>
      <c r="L56" s="22" t="str">
        <f>VLOOKUP(A56,'Trips&amp;Operators'!$C$1:$G$99999,5,FALSE)</f>
        <v>DAVIDSON DAVID</v>
      </c>
      <c r="M56" s="6">
        <f t="shared" si="1"/>
        <v>1.244212962774327E-2</v>
      </c>
      <c r="N56" s="7"/>
      <c r="O56" s="7"/>
      <c r="P56" s="7">
        <f>24*60*SUM($M56:$M57)</f>
        <v>38.383333326783031</v>
      </c>
      <c r="Q56" s="23"/>
      <c r="R56" s="23" t="s">
        <v>840</v>
      </c>
      <c r="S56" s="35">
        <f>SUM(U56:U57)/IF(AG56="EC",12,1)</f>
        <v>1</v>
      </c>
      <c r="T56" s="50" t="str">
        <f t="shared" si="3"/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10</v>
      </c>
      <c r="V5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07:58:59-700',mode:absolute,to:'2016-12-07 10:18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6" s="52" t="str">
        <f t="shared" si="5"/>
        <v>Y</v>
      </c>
      <c r="X56" s="177">
        <f t="shared" si="19"/>
        <v>1</v>
      </c>
      <c r="Y56" s="67">
        <f t="shared" si="6"/>
        <v>4.4200000000000003E-2</v>
      </c>
      <c r="Z56" s="67">
        <f t="shared" si="7"/>
        <v>8.2388999999999992</v>
      </c>
      <c r="AA56" s="67">
        <f t="shared" si="8"/>
        <v>8.1946999999999992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9"/>
        <v>0143-07</v>
      </c>
      <c r="AE56" s="91" t="str">
        <f t="shared" si="10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56" s="88" t="str">
        <f t="shared" si="11"/>
        <v>"C:\Program Files (x86)\AstroGrep\AstroGrep.exe" /spath="%USERPROFILE%\AppData\Local\Temp\OnboardLogs" /stypes="app*4016*20161207*" /stext=" 16:.+((SYSTEM_STATE.+slice.+state.+changed )|(ment ac)|(multiple cpu faults)|(system.+state.+changed )|(\[timeout)|(PRM\|1\|D)|(kpr)|(kdp)|(\|lc)|(penalty))" /e /r /s</v>
      </c>
      <c r="AG56" s="1" t="str">
        <f t="shared" si="12"/>
        <v>EC</v>
      </c>
      <c r="AH56" s="92" t="str">
        <f t="shared" si="15"/>
        <v>"%USERPROFILE%\Documents\GitHub\eaglep3\Utilities\RefineRTDCRunTimes.py" --tripid 143-07 --locoid 4016 --swversion DE.1.0.8.0 --startMP 204:442 --initTime 2016-12-07T08:58:59 --startdatetime 2016-12-07T09:00:24 --delay 1 --endMP 204:82389 --enddatetime 2016-12-07T09:18:19 --enforcementcount 0 &gt;&gt;C:\Users\stu\Documents\GitHub\eaglep3-reporting\EC\2016-12-07-refined-times.txt</v>
      </c>
      <c r="AI56" s="119" t="str">
        <f t="shared" si="16"/>
        <v>echo {"issue":{"subject":"Operator overshot platform","project_id":79,"tracker_id":40,"status_id":1,"priority_id":2,"assigned_to_id":23,"start_date":"2016-12-07","description":"","custom_fields":[{"id":1,"name":"Subdivision","value":"EC"},{"id":4,"name":"Milepost","value":"8.2389"},{"id":17,"name":"Train ID","value":"143-07"},{"id":16,"name":"Locomotive ID","value":"4016"},{"id":130,"name":"Impact","value":""},{"id":150,"name":"Time of Event (Mountain Time)","value":"09:18:19"},{"id":151,"name":"Denver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534</v>
      </c>
      <c r="B57" s="7">
        <v>4016</v>
      </c>
      <c r="C57" s="22" t="s">
        <v>207</v>
      </c>
      <c r="D57" s="22" t="s">
        <v>710</v>
      </c>
      <c r="E57" s="13">
        <v>42711.394699074073</v>
      </c>
      <c r="F57" s="13">
        <v>42711.395694444444</v>
      </c>
      <c r="G57" s="7">
        <v>1</v>
      </c>
      <c r="H57" s="22" t="s">
        <v>314</v>
      </c>
      <c r="I57" s="13">
        <v>42711.409907407404</v>
      </c>
      <c r="J57" s="7">
        <v>0</v>
      </c>
      <c r="K57" s="109" t="str">
        <f t="shared" si="0"/>
        <v>4015/4016</v>
      </c>
      <c r="L57" s="22" t="str">
        <f>VLOOKUP(A57,'Trips&amp;Operators'!$C$1:$G$99999,5,FALSE)</f>
        <v>DAVIDSON DAVID</v>
      </c>
      <c r="M57" s="6">
        <f t="shared" si="1"/>
        <v>1.4212962960300501E-2</v>
      </c>
      <c r="N57" s="7"/>
      <c r="O57" s="7"/>
      <c r="P57" s="7"/>
      <c r="Q57" s="23"/>
      <c r="R57" s="23"/>
      <c r="S57" s="35"/>
      <c r="T57" s="50" t="str">
        <f t="shared" si="3"/>
        <v>NorthBound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2</v>
      </c>
      <c r="V5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08:28:22-700',mode:absolute,to:'2016-12-07 10:50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57" s="52" t="str">
        <f t="shared" si="5"/>
        <v>Y</v>
      </c>
      <c r="X57" s="177">
        <f t="shared" si="19"/>
        <v>0</v>
      </c>
      <c r="Y57" s="67">
        <f t="shared" si="6"/>
        <v>8.6372</v>
      </c>
      <c r="Z57" s="67">
        <f t="shared" si="7"/>
        <v>23.3293</v>
      </c>
      <c r="AA57" s="67">
        <f t="shared" si="8"/>
        <v>14.6921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9"/>
        <v>0143-07</v>
      </c>
      <c r="AE57" s="91" t="str">
        <f t="shared" si="10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57" s="88" t="str">
        <f t="shared" si="11"/>
        <v>"C:\Program Files (x86)\AstroGrep\AstroGrep.exe" /spath="%USERPROFILE%\AppData\Local\Temp\OnboardLogs" /stypes="app*4016*20161207*" /stext=" 16:.+((SYSTEM_STATE.+slice.+state.+changed )|(ment ac)|(multiple cpu faults)|(system.+state.+changed )|(\[timeout)|(PRM\|1\|D)|(kpr)|(kdp)|(\|lc)|(penalty))" /e /r /s</v>
      </c>
      <c r="AG57" s="1" t="str">
        <f t="shared" si="12"/>
        <v>EC</v>
      </c>
      <c r="AH57" s="92" t="str">
        <f t="shared" si="15"/>
        <v>"%USERPROFILE%\Documents\GitHub\eaglep3\Utilities\RefineRTDCRunTimes.py" --tripid 143-07 --locoid 4016 --swversion DE.1.0.8.0 --startMP 204:86372 --initTime 2016-12-07T09:28:22 --startdatetime 2016-12-07T09:29:48 --delay 1 --endMP 204:233293 --enddatetime 2016-12-07T09:50:16 --enforcementcount 0 &gt;&gt;C:\Users\stu\Documents\GitHub\eaglep3-reporting\EC\2016-12-07-refined-times.txt</v>
      </c>
      <c r="AI57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{"issue":{"subject":"","project_id":79,"tracker_id":40,"status_id":1,"priority_id":2,"assigned_to_id":23,"start_date":"2016-12-07","description":"","custom_fields":[{"id":1,"name":"Subdivision","value":"EC"},{"id":4,"name":"Milepost","value":"23.3293"},{"id":17,"name":"Train ID","value":"143-07"},{"id":16,"name":"Locomotive ID","value":"4016"},{"id":130,"name":"Impact","value":""},{"id":150,"name":"Time of Event (Mountain Time)","value":"09:50:16"},{"id":151,"name":"Denver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29" customFormat="1" x14ac:dyDescent="0.25">
      <c r="A58" s="37" t="s">
        <v>542</v>
      </c>
      <c r="B58" s="7">
        <v>4015</v>
      </c>
      <c r="C58" s="22" t="s">
        <v>207</v>
      </c>
      <c r="D58" s="22" t="s">
        <v>703</v>
      </c>
      <c r="E58" s="13">
        <v>42711.411180555559</v>
      </c>
      <c r="F58" s="13">
        <v>42711.414525462962</v>
      </c>
      <c r="G58" s="7">
        <v>1</v>
      </c>
      <c r="H58" s="22" t="s">
        <v>227</v>
      </c>
      <c r="I58" s="13">
        <v>42711.446631944447</v>
      </c>
      <c r="J58" s="7">
        <v>0</v>
      </c>
      <c r="K58" s="109" t="str">
        <f t="shared" si="0"/>
        <v>4015/4016</v>
      </c>
      <c r="L58" s="22" t="str">
        <f>VLOOKUP(A58,'Trips&amp;Operators'!$C$1:$G$99999,5,FALSE)</f>
        <v>DAVIDSON DAVID</v>
      </c>
      <c r="M58" s="6">
        <f t="shared" si="1"/>
        <v>3.2106481485243421E-2</v>
      </c>
      <c r="N58" s="7">
        <f t="shared" ref="N58:N89" si="22">24*60*SUM($M58:$M58)</f>
        <v>46.233333338750526</v>
      </c>
      <c r="O58" s="7"/>
      <c r="P58" s="7"/>
      <c r="Q58" s="23"/>
      <c r="R58" s="23"/>
      <c r="S58" s="35">
        <f t="shared" ref="S58:S89" si="23">SUM(U58:U58)/IF(AG58="EC",12,1)</f>
        <v>1</v>
      </c>
      <c r="T58" s="50" t="str">
        <f t="shared" si="3"/>
        <v>Southbound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08:52:06-700',mode:absolute,to:'2016-12-07 11:43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58" s="52" t="str">
        <f t="shared" si="5"/>
        <v>N</v>
      </c>
      <c r="X58" s="177">
        <f t="shared" si="19"/>
        <v>1</v>
      </c>
      <c r="Y58" s="67">
        <f t="shared" si="6"/>
        <v>23.2971</v>
      </c>
      <c r="Z58" s="67">
        <f t="shared" si="7"/>
        <v>1.54E-2</v>
      </c>
      <c r="AA58" s="67">
        <f t="shared" si="8"/>
        <v>23.281700000000001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9"/>
        <v>0144-07</v>
      </c>
      <c r="AE58" s="91" t="str">
        <f t="shared" si="10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58" s="88" t="str">
        <f t="shared" si="11"/>
        <v>"C:\Program Files (x86)\AstroGrep\AstroGrep.exe" /spath="%USERPROFILE%\AppData\Local\Temp\OnboardLogs" /stypes="app*4015*20161207*" /stext=" 17:.+((SYSTEM_STATE.+slice.+state.+changed )|(ment ac)|(multiple cpu faults)|(system.+state.+changed )|(\[timeout)|(PRM\|1\|D)|(kpr)|(kdp)|(\|lc)|(penalty))" /e /r /s</v>
      </c>
      <c r="AG58" s="1" t="str">
        <f t="shared" si="12"/>
        <v>EC</v>
      </c>
      <c r="AH58" s="92" t="str">
        <f t="shared" si="15"/>
        <v>"%USERPROFILE%\Documents\GitHub\eaglep3\Utilities\RefineRTDCRunTimes.py" --tripid 144-07 --locoid 4015 --swversion DE.1.0.8.0 --startMP 204:232971 --initTime 2016-12-07T09:52:06 --startdatetime 2016-12-07T09:56:55 --delay 1 --endMP 204:154 --enddatetime 2016-12-07T10:43:09 --enforcementcount 0 &gt;&gt;C:\Users\stu\Documents\GitHub\eaglep3-reporting\EC\2016-12-07-refined-times.txt</v>
      </c>
      <c r="AI58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{"issue":{"subject":"","project_id":79,"tracker_id":40,"status_id":1,"priority_id":2,"assigned_to_id":23,"start_date":"2016-12-07","description":"","custom_fields":[{"id":1,"name":"Subdivision","value":"EC"},{"id":4,"name":"Milepost","value":"0.0154"},{"id":17,"name":"Train ID","value":"144-07"},{"id":16,"name":"Locomotive ID","value":"4015"},{"id":130,"name":"Impact","value":""},{"id":150,"name":"Time of Event (Mountain Time)","value":"10:43:09"},{"id":151,"name":"Denver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536</v>
      </c>
      <c r="B59" s="7">
        <v>4014</v>
      </c>
      <c r="C59" s="22" t="s">
        <v>207</v>
      </c>
      <c r="D59" s="22" t="s">
        <v>238</v>
      </c>
      <c r="E59" s="13">
        <v>42711.381342592591</v>
      </c>
      <c r="F59" s="13">
        <v>42711.385625000003</v>
      </c>
      <c r="G59" s="7">
        <v>2</v>
      </c>
      <c r="H59" s="22" t="s">
        <v>274</v>
      </c>
      <c r="I59" s="13">
        <v>42711.414166666669</v>
      </c>
      <c r="J59" s="7">
        <v>0</v>
      </c>
      <c r="K59" s="109" t="str">
        <f t="shared" si="0"/>
        <v>4013/4014</v>
      </c>
      <c r="L59" s="22" t="str">
        <f>VLOOKUP(A59,'Trips&amp;Operators'!$C$1:$G$99999,5,FALSE)</f>
        <v>MAGEE KENYA</v>
      </c>
      <c r="M59" s="6">
        <f t="shared" si="1"/>
        <v>2.8541666666569654E-2</v>
      </c>
      <c r="N59" s="7">
        <f t="shared" si="22"/>
        <v>41.099999999860302</v>
      </c>
      <c r="O59" s="7"/>
      <c r="P59" s="7"/>
      <c r="Q59" s="23"/>
      <c r="R59" s="23"/>
      <c r="S59" s="35">
        <f t="shared" si="23"/>
        <v>1</v>
      </c>
      <c r="T59" s="50" t="str">
        <f t="shared" si="3"/>
        <v>NorthBound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08:09:08-700',mode:absolute,to:'2016-12-07 10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59" s="52" t="str">
        <f t="shared" si="5"/>
        <v>N</v>
      </c>
      <c r="X59" s="177">
        <f t="shared" si="19"/>
        <v>1</v>
      </c>
      <c r="Y59" s="67">
        <f t="shared" si="6"/>
        <v>4.4200000000000003E-2</v>
      </c>
      <c r="Z59" s="67">
        <f t="shared" si="7"/>
        <v>23.329699999999999</v>
      </c>
      <c r="AA59" s="67">
        <f t="shared" si="8"/>
        <v>23.285499999999999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9"/>
        <v>0145-07</v>
      </c>
      <c r="AE59" s="91" t="str">
        <f t="shared" si="10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59" s="88" t="str">
        <f t="shared" si="11"/>
        <v>"C:\Program Files (x86)\AstroGrep\AstroGrep.exe" /spath="%USERPROFILE%\AppData\Local\Temp\OnboardLogs" /stypes="app*4014*20161207*" /stext=" 16:.+((SYSTEM_STATE.+slice.+state.+changed )|(ment ac)|(multiple cpu faults)|(system.+state.+changed )|(\[timeout)|(PRM\|1\|D)|(kpr)|(kdp)|(\|lc)|(penalty))" /e /r /s</v>
      </c>
      <c r="AG59" s="1" t="str">
        <f t="shared" si="12"/>
        <v>EC</v>
      </c>
      <c r="AH59" s="92" t="str">
        <f t="shared" si="15"/>
        <v>"%USERPROFILE%\Documents\GitHub\eaglep3\Utilities\RefineRTDCRunTimes.py" --tripid 145-07 --locoid 4014 --swversion DE.1.0.8.0 --startMP 204:442 --initTime 2016-12-07T09:09:08 --startdatetime 2016-12-07T09:15:18 --delay 2 --endMP 204:233297 --enddatetime 2016-12-07T09:56:24 --enforcementcount 0 &gt;&gt;C:\Users\stu\Documents\GitHub\eaglep3-reporting\EC\2016-12-07-refined-times.txt</v>
      </c>
      <c r="AI59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{"issue":{"subject":"","project_id":79,"tracker_id":40,"status_id":1,"priority_id":2,"assigned_to_id":23,"start_date":"2016-12-07","description":"","custom_fields":[{"id":1,"name":"Subdivision","value":"EC"},{"id":4,"name":"Milepost","value":"23.3297"},{"id":17,"name":"Train ID","value":"145-07"},{"id":16,"name":"Locomotive ID","value":"4014"},{"id":130,"name":"Impact","value":""},{"id":150,"name":"Time of Event (Mountain Time)","value":"09:56:24"},{"id":151,"name":"Denver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458</v>
      </c>
      <c r="B60" s="7">
        <v>4013</v>
      </c>
      <c r="C60" s="22" t="s">
        <v>207</v>
      </c>
      <c r="D60" s="22" t="s">
        <v>705</v>
      </c>
      <c r="E60" s="13">
        <v>42711.416134259256</v>
      </c>
      <c r="F60" s="13">
        <v>42711.424687500003</v>
      </c>
      <c r="G60" s="7">
        <v>1</v>
      </c>
      <c r="H60" s="22" t="s">
        <v>214</v>
      </c>
      <c r="I60" s="13">
        <v>42711.45140046296</v>
      </c>
      <c r="J60" s="7">
        <v>0</v>
      </c>
      <c r="K60" s="109" t="str">
        <f t="shared" si="0"/>
        <v>4013/4014</v>
      </c>
      <c r="L60" s="22" t="str">
        <f>VLOOKUP(A60,'Trips&amp;Operators'!$C$1:$G$99999,5,FALSE)</f>
        <v>MAGEE KENYA</v>
      </c>
      <c r="M60" s="6">
        <f t="shared" si="1"/>
        <v>2.6712962957390118E-2</v>
      </c>
      <c r="N60" s="7">
        <f t="shared" si="22"/>
        <v>38.46666665864177</v>
      </c>
      <c r="O60" s="7"/>
      <c r="P60" s="7"/>
      <c r="Q60" s="23"/>
      <c r="R60" s="23"/>
      <c r="S60" s="35">
        <f t="shared" si="23"/>
        <v>1</v>
      </c>
      <c r="T60" s="50" t="str">
        <f t="shared" si="3"/>
        <v>Southbound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08:59:14-700',mode:absolute,to:'2016-12-07 11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60" s="52" t="str">
        <f t="shared" si="5"/>
        <v>N</v>
      </c>
      <c r="X60" s="177">
        <f t="shared" si="19"/>
        <v>1</v>
      </c>
      <c r="Y60" s="67">
        <f t="shared" si="6"/>
        <v>23.2987</v>
      </c>
      <c r="Z60" s="67">
        <f t="shared" si="7"/>
        <v>1.4999999999999999E-2</v>
      </c>
      <c r="AA60" s="67">
        <f t="shared" si="8"/>
        <v>23.2837</v>
      </c>
      <c r="AB60" s="64" t="str">
        <f>VLOOKUP(A60,Enforcements!$C$7:$K$20,8,0)</f>
        <v>Track device (7)</v>
      </c>
      <c r="AC60" s="60" t="str">
        <f>VLOOKUP(A60,Enforcements!$C$7:$E$20,3,0)</f>
        <v>SWITCH UNKNOWN</v>
      </c>
      <c r="AD60" s="61" t="str">
        <f t="shared" si="9"/>
        <v>0146-07</v>
      </c>
      <c r="AE60" s="91" t="str">
        <f t="shared" si="10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60" s="88" t="str">
        <f t="shared" si="11"/>
        <v>"C:\Program Files (x86)\AstroGrep\AstroGrep.exe" /spath="%USERPROFILE%\AppData\Local\Temp\OnboardLogs" /stypes="app*4013*20161207*" /stext=" 17:.+((SYSTEM_STATE.+slice.+state.+changed )|(ment ac)|(multiple cpu faults)|(system.+state.+changed )|(\[timeout)|(PRM\|1\|D)|(kpr)|(kdp)|(\|lc)|(penalty))" /e /r /s</v>
      </c>
      <c r="AG60" s="1" t="str">
        <f t="shared" si="12"/>
        <v>EC</v>
      </c>
      <c r="AH60" s="92" t="str">
        <f t="shared" si="15"/>
        <v>"%USERPROFILE%\Documents\GitHub\eaglep3\Utilities\RefineRTDCRunTimes.py" --tripid 146-07 --locoid 4013 --swversion DE.1.0.8.0 --startMP 204:232987 --initTime 2016-12-07T09:59:14 --startdatetime 2016-12-07T10:11:33 --delay 1 --endMP 204:150 --enddatetime 2016-12-07T10:50:01 --enforcementcount 0 &gt;&gt;C:\Users\stu\Documents\GitHub\eaglep3-reporting\EC\2016-12-07-refined-times.txt</v>
      </c>
      <c r="AI60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ID","value":"146-07"},{"id":16,"name":"Locomotive ID","value":"4013"},{"id":130,"name":"Impact","value":""},{"id":150,"name":"Time of Event (Mountain Time)","value":"10:50:01"},{"id":151,"name":"Denver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538</v>
      </c>
      <c r="B61" s="7">
        <v>4031</v>
      </c>
      <c r="C61" s="22" t="s">
        <v>207</v>
      </c>
      <c r="D61" s="22" t="s">
        <v>315</v>
      </c>
      <c r="E61" s="13">
        <v>42711.393888888888</v>
      </c>
      <c r="F61" s="13">
        <v>42711.396319444444</v>
      </c>
      <c r="G61" s="7">
        <v>1</v>
      </c>
      <c r="H61" s="22" t="s">
        <v>711</v>
      </c>
      <c r="I61" s="13">
        <v>42711.422893518517</v>
      </c>
      <c r="J61" s="7">
        <v>0</v>
      </c>
      <c r="K61" s="109" t="str">
        <f t="shared" si="0"/>
        <v>4031/4032</v>
      </c>
      <c r="L61" s="22" t="str">
        <f>VLOOKUP(A61,'Trips&amp;Operators'!$C$1:$G$99999,5,FALSE)</f>
        <v>BROWN JACOB</v>
      </c>
      <c r="M61" s="6">
        <f t="shared" si="1"/>
        <v>2.6574074072414078E-2</v>
      </c>
      <c r="N61" s="7">
        <f t="shared" si="22"/>
        <v>38.266666664276272</v>
      </c>
      <c r="O61" s="7"/>
      <c r="P61" s="7"/>
      <c r="Q61" s="23"/>
      <c r="R61" s="23"/>
      <c r="S61" s="35">
        <f t="shared" si="23"/>
        <v>1</v>
      </c>
      <c r="T61" s="50" t="str">
        <f t="shared" si="3"/>
        <v>NorthBound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08:27:12-700',mode:absolute,to:'2016-12-07 11:08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1" s="52" t="str">
        <f t="shared" si="5"/>
        <v>N</v>
      </c>
      <c r="X61" s="177">
        <f t="shared" si="19"/>
        <v>1</v>
      </c>
      <c r="Y61" s="67">
        <f t="shared" si="6"/>
        <v>4.3999999999999997E-2</v>
      </c>
      <c r="Z61" s="67">
        <f t="shared" si="7"/>
        <v>23.331600000000002</v>
      </c>
      <c r="AA61" s="67">
        <f t="shared" si="8"/>
        <v>23.287600000000001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9"/>
        <v>0147-07</v>
      </c>
      <c r="AE61" s="91" t="str">
        <f t="shared" si="10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61" s="88" t="str">
        <f t="shared" si="11"/>
        <v>"C:\Program Files (x86)\AstroGrep\AstroGrep.exe" /spath="%USERPROFILE%\AppData\Local\Temp\OnboardLogs" /stypes="app*4031*20161207*" /stext=" 17:.+((SYSTEM_STATE.+slice.+state.+changed )|(ment ac)|(multiple cpu faults)|(system.+state.+changed )|(\[timeout)|(PRM\|1\|D)|(kpr)|(kdp)|(\|lc)|(penalty))" /e /r /s</v>
      </c>
      <c r="AG61" s="1" t="str">
        <f t="shared" si="12"/>
        <v>EC</v>
      </c>
      <c r="AH61" s="92" t="str">
        <f t="shared" si="15"/>
        <v>"%USERPROFILE%\Documents\GitHub\eaglep3\Utilities\RefineRTDCRunTimes.py" --tripid 147-07 --locoid 4031 --swversion DE.1.0.8.0 --startMP 204:440 --initTime 2016-12-07T09:27:12 --startdatetime 2016-12-07T09:30:42 --delay 1 --endMP 204:233316 --enddatetime 2016-12-07T10:08:58 --enforcementcount 0 &gt;&gt;C:\Users\stu\Documents\GitHub\eaglep3-reporting\EC\2016-12-07-refined-times.txt</v>
      </c>
      <c r="AI61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{"issue":{"subject":"","project_id":79,"tracker_id":40,"status_id":1,"priority_id":2,"assigned_to_id":23,"start_date":"2016-12-07","description":"","custom_fields":[{"id":1,"name":"Subdivision","value":"EC"},{"id":4,"name":"Milepost","value":"23.3316"},{"id":17,"name":"Train ID","value":"147-07"},{"id":16,"name":"Locomotive ID","value":"4031"},{"id":130,"name":"Impact","value":""},{"id":150,"name":"Time of Event (Mountain Time)","value":"10:08:58"},{"id":151,"name":"Denver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544</v>
      </c>
      <c r="B62" s="7">
        <v>4032</v>
      </c>
      <c r="C62" s="22" t="s">
        <v>207</v>
      </c>
      <c r="D62" s="22" t="s">
        <v>406</v>
      </c>
      <c r="E62" s="13">
        <v>42711.426689814813</v>
      </c>
      <c r="F62" s="13">
        <v>42711.434872685182</v>
      </c>
      <c r="G62" s="7">
        <v>1</v>
      </c>
      <c r="H62" s="22" t="s">
        <v>689</v>
      </c>
      <c r="I62" s="13">
        <v>42711.461724537039</v>
      </c>
      <c r="J62" s="7">
        <v>0</v>
      </c>
      <c r="K62" s="109" t="str">
        <f t="shared" si="0"/>
        <v>4031/4032</v>
      </c>
      <c r="L62" s="22" t="str">
        <f>VLOOKUP(A62,'Trips&amp;Operators'!$C$1:$G$99999,5,FALSE)</f>
        <v>BROWN JACOB</v>
      </c>
      <c r="M62" s="6">
        <f t="shared" si="1"/>
        <v>2.6851851856918074E-2</v>
      </c>
      <c r="N62" s="7">
        <f t="shared" si="22"/>
        <v>38.666666673962027</v>
      </c>
      <c r="O62" s="7"/>
      <c r="P62" s="7"/>
      <c r="Q62" s="23"/>
      <c r="R62" s="23"/>
      <c r="S62" s="35">
        <f t="shared" si="23"/>
        <v>1</v>
      </c>
      <c r="T62" s="50" t="str">
        <f t="shared" si="3"/>
        <v>Southbound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09:14:26-700',mode:absolute,to:'2016-12-07 12:04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2" s="52" t="str">
        <f t="shared" si="5"/>
        <v>N</v>
      </c>
      <c r="X62" s="177">
        <f t="shared" si="19"/>
        <v>1</v>
      </c>
      <c r="Y62" s="67">
        <f t="shared" si="6"/>
        <v>23.3</v>
      </c>
      <c r="Z62" s="67">
        <f t="shared" si="7"/>
        <v>1.47E-2</v>
      </c>
      <c r="AA62" s="67">
        <f t="shared" si="8"/>
        <v>23.285299999999999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9"/>
        <v>0148-07</v>
      </c>
      <c r="AE62" s="91" t="str">
        <f t="shared" si="10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62" s="88" t="str">
        <f t="shared" si="11"/>
        <v>"C:\Program Files (x86)\AstroGrep\AstroGrep.exe" /spath="%USERPROFILE%\AppData\Local\Temp\OnboardLogs" /stypes="app*4032*20161207*" /stext=" 18:.+((SYSTEM_STATE.+slice.+state.+changed )|(ment ac)|(multiple cpu faults)|(system.+state.+changed )|(\[timeout)|(PRM\|1\|D)|(kpr)|(kdp)|(\|lc)|(penalty))" /e /r /s</v>
      </c>
      <c r="AG62" s="1" t="str">
        <f t="shared" si="12"/>
        <v>EC</v>
      </c>
      <c r="AH62" s="92" t="str">
        <f t="shared" si="15"/>
        <v>"%USERPROFILE%\Documents\GitHub\eaglep3\Utilities\RefineRTDCRunTimes.py" --tripid 148-07 --locoid 4032 --swversion DE.1.0.8.0 --startMP 204:233000 --initTime 2016-12-07T10:14:26 --startdatetime 2016-12-07T10:26:13 --delay 1 --endMP 204:147 --enddatetime 2016-12-07T11:04:53 --enforcementcount 0 &gt;&gt;C:\Users\stu\Documents\GitHub\eaglep3-reporting\EC\2016-12-07-refined-times.txt</v>
      </c>
      <c r="AI62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{"issue":{"subject":"","project_id":79,"tracker_id":40,"status_id":1,"priority_id":2,"assigned_to_id":23,"start_date":"2016-12-07","description":"","custom_fields":[{"id":1,"name":"Subdivision","value":"EC"},{"id":4,"name":"Milepost","value":"0.0147"},{"id":17,"name":"Train ID","value":"148-07"},{"id":16,"name":"Locomotive ID","value":"4032"},{"id":130,"name":"Impact","value":""},{"id":150,"name":"Time of Event (Mountain Time)","value":"11:04:53"},{"id":151,"name":"Denver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541</v>
      </c>
      <c r="B63" s="7">
        <v>4009</v>
      </c>
      <c r="C63" s="22" t="s">
        <v>207</v>
      </c>
      <c r="D63" s="22" t="s">
        <v>327</v>
      </c>
      <c r="E63" s="13">
        <v>42711.404409722221</v>
      </c>
      <c r="F63" s="13">
        <v>42711.406458333331</v>
      </c>
      <c r="G63" s="7">
        <v>2</v>
      </c>
      <c r="H63" s="22" t="s">
        <v>316</v>
      </c>
      <c r="I63" s="13">
        <v>42711.431967592594</v>
      </c>
      <c r="J63" s="7">
        <v>0</v>
      </c>
      <c r="K63" s="109" t="str">
        <f t="shared" si="0"/>
        <v>4009/4010</v>
      </c>
      <c r="L63" s="22" t="str">
        <f>VLOOKUP(A63,'Trips&amp;Operators'!$C$1:$G$99999,5,FALSE)</f>
        <v>MAHAN DUANE</v>
      </c>
      <c r="M63" s="6">
        <f t="shared" si="1"/>
        <v>2.5509259263344575E-2</v>
      </c>
      <c r="N63" s="7">
        <f t="shared" si="22"/>
        <v>36.733333339216188</v>
      </c>
      <c r="O63" s="7"/>
      <c r="P63" s="7"/>
      <c r="Q63" s="23"/>
      <c r="R63" s="23"/>
      <c r="S63" s="35">
        <f t="shared" si="23"/>
        <v>1</v>
      </c>
      <c r="T63" s="50" t="str">
        <f t="shared" si="3"/>
        <v>NorthBound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08:42:21-700',mode:absolute,to:'2016-12-07 11:22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63" s="52" t="str">
        <f t="shared" si="5"/>
        <v>N</v>
      </c>
      <c r="X63" s="177">
        <f t="shared" si="19"/>
        <v>1</v>
      </c>
      <c r="Y63" s="67">
        <f t="shared" si="6"/>
        <v>4.7300000000000002E-2</v>
      </c>
      <c r="Z63" s="67">
        <f t="shared" si="7"/>
        <v>23.329499999999999</v>
      </c>
      <c r="AA63" s="67">
        <f t="shared" si="8"/>
        <v>23.2822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9"/>
        <v>0149-07</v>
      </c>
      <c r="AE63" s="91" t="str">
        <f t="shared" si="10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63" s="88" t="str">
        <f t="shared" si="11"/>
        <v>"C:\Program Files (x86)\AstroGrep\AstroGrep.exe" /spath="%USERPROFILE%\AppData\Local\Temp\OnboardLogs" /stypes="app*4009*20161207*" /stext=" 17:.+((SYSTEM_STATE.+slice.+state.+changed )|(ment ac)|(multiple cpu faults)|(system.+state.+changed )|(\[timeout)|(PRM\|1\|D)|(kpr)|(kdp)|(\|lc)|(penalty))" /e /r /s</v>
      </c>
      <c r="AG63" s="1" t="str">
        <f t="shared" si="12"/>
        <v>EC</v>
      </c>
      <c r="AH63" s="92" t="str">
        <f t="shared" si="15"/>
        <v>"%USERPROFILE%\Documents\GitHub\eaglep3\Utilities\RefineRTDCRunTimes.py" --tripid 149-07 --locoid 4009 --swversion DE.1.0.8.0 --startMP 204:473 --initTime 2016-12-07T09:42:21 --startdatetime 2016-12-07T09:45:18 --delay 2 --endMP 204:233295 --enddatetime 2016-12-07T10:22:02 --enforcementcount 0 &gt;&gt;C:\Users\stu\Documents\GitHub\eaglep3-reporting\EC\2016-12-07-refined-times.txt</v>
      </c>
      <c r="AI63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{"issue":{"subject":"","project_id":79,"tracker_id":40,"status_id":1,"priority_id":2,"assigned_to_id":23,"start_date":"2016-12-07","description":"","custom_fields":[{"id":1,"name":"Subdivision","value":"EC"},{"id":4,"name":"Milepost","value":"23.3295"},{"id":17,"name":"Train ID","value":"149-07"},{"id":16,"name":"Locomotive ID","value":"4009"},{"id":130,"name":"Impact","value":""},{"id":150,"name":"Time of Event (Mountain Time)","value":"10:22:02"},{"id":151,"name":"Denver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460</v>
      </c>
      <c r="B64" s="7">
        <v>4010</v>
      </c>
      <c r="C64" s="22" t="s">
        <v>207</v>
      </c>
      <c r="D64" s="22" t="s">
        <v>712</v>
      </c>
      <c r="E64" s="13">
        <v>42711.439351851855</v>
      </c>
      <c r="F64" s="13">
        <v>42711.445335648146</v>
      </c>
      <c r="G64" s="7">
        <v>1</v>
      </c>
      <c r="H64" s="22" t="s">
        <v>412</v>
      </c>
      <c r="I64" s="13">
        <v>42711.472916666666</v>
      </c>
      <c r="J64" s="7">
        <v>0</v>
      </c>
      <c r="K64" s="109" t="str">
        <f t="shared" si="0"/>
        <v>4009/4010</v>
      </c>
      <c r="L64" s="22" t="str">
        <f>VLOOKUP(A64,'Trips&amp;Operators'!$C$1:$G$99999,5,FALSE)</f>
        <v>MAHAN DUANE</v>
      </c>
      <c r="M64" s="6">
        <f t="shared" si="1"/>
        <v>2.7581018519413192E-2</v>
      </c>
      <c r="N64" s="7">
        <f t="shared" si="22"/>
        <v>39.716666667954996</v>
      </c>
      <c r="O64" s="7"/>
      <c r="P64" s="7"/>
      <c r="Q64" s="23"/>
      <c r="R64" s="23"/>
      <c r="S64" s="35">
        <f t="shared" si="23"/>
        <v>1</v>
      </c>
      <c r="T64" s="50" t="str">
        <f t="shared" si="3"/>
        <v>Southbound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09:32:40-700',mode:absolute,to:'2016-12-07 12:21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64" s="52" t="str">
        <f t="shared" si="5"/>
        <v>N</v>
      </c>
      <c r="X64" s="177">
        <f t="shared" si="19"/>
        <v>1</v>
      </c>
      <c r="Y64" s="67">
        <f t="shared" si="6"/>
        <v>23.298100000000002</v>
      </c>
      <c r="Z64" s="67">
        <f t="shared" si="7"/>
        <v>1.72E-2</v>
      </c>
      <c r="AA64" s="67">
        <f t="shared" si="8"/>
        <v>23.280900000000003</v>
      </c>
      <c r="AB64" s="64" t="str">
        <f>VLOOKUP(A64,Enforcements!$C$7:$K$20,8,0)</f>
        <v>Speed (6)</v>
      </c>
      <c r="AC64" s="60" t="str">
        <f>VLOOKUP(A64,Enforcements!$C$7:$E$20,3,0)</f>
        <v>PERMANENT SPEED RESTRICTION</v>
      </c>
      <c r="AD64" s="61" t="str">
        <f t="shared" si="9"/>
        <v>0150-07</v>
      </c>
      <c r="AE64" s="91" t="str">
        <f t="shared" si="10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64" s="88" t="str">
        <f t="shared" si="11"/>
        <v>"C:\Program Files (x86)\AstroGrep\AstroGrep.exe" /spath="%USERPROFILE%\AppData\Local\Temp\OnboardLogs" /stypes="app*4010*20161207*" /stext=" 18:.+((SYSTEM_STATE.+slice.+state.+changed )|(ment ac)|(multiple cpu faults)|(system.+state.+changed )|(\[timeout)|(PRM\|1\|D)|(kpr)|(kdp)|(\|lc)|(penalty))" /e /r /s</v>
      </c>
      <c r="AG64" s="1" t="str">
        <f t="shared" si="12"/>
        <v>EC</v>
      </c>
      <c r="AH64" s="92" t="str">
        <f t="shared" si="15"/>
        <v>"%USERPROFILE%\Documents\GitHub\eaglep3\Utilities\RefineRTDCRunTimes.py" --tripid 150-07 --locoid 4010 --swversion DE.1.0.8.0 --startMP 204:232981 --initTime 2016-12-07T10:32:40 --startdatetime 2016-12-07T10:41:17 --delay 1 --endMP 204:172 --enddatetime 2016-12-07T11:21:00 --enforcementcount 0 &gt;&gt;C:\Users\stu\Documents\GitHub\eaglep3-reporting\EC\2016-12-07-refined-times.txt</v>
      </c>
      <c r="AI64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{"issue":{"subject":"","project_id":79,"tracker_id":40,"status_id":1,"priority_id":2,"assigned_to_id":23,"start_date":"2016-12-07","description":"","custom_fields":[{"id":1,"name":"Subdivision","value":"EC"},{"id":4,"name":"Milepost","value":"0.0172"},{"id":17,"name":"Train ID","value":"150-07"},{"id":16,"name":"Locomotive ID","value":"4010"},{"id":130,"name":"Impact","value":""},{"id":150,"name":"Time of Event (Mountain Time)","value":"11:21:00"},{"id":151,"name":"Denver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543</v>
      </c>
      <c r="B65" s="7">
        <v>4020</v>
      </c>
      <c r="C65" s="22" t="s">
        <v>207</v>
      </c>
      <c r="D65" s="22" t="s">
        <v>194</v>
      </c>
      <c r="E65" s="13">
        <v>42711.412997685184</v>
      </c>
      <c r="F65" s="13">
        <v>42711.416863425926</v>
      </c>
      <c r="G65" s="7">
        <v>1</v>
      </c>
      <c r="H65" s="22" t="s">
        <v>713</v>
      </c>
      <c r="I65" s="13">
        <v>42711.442916666667</v>
      </c>
      <c r="J65" s="7">
        <v>0</v>
      </c>
      <c r="K65" s="109" t="str">
        <f t="shared" si="0"/>
        <v>4019/4020</v>
      </c>
      <c r="L65" s="22" t="str">
        <f>VLOOKUP(A65,'Trips&amp;Operators'!$C$1:$G$99999,5,FALSE)</f>
        <v>KILLION DAVID</v>
      </c>
      <c r="M65" s="6">
        <f t="shared" si="1"/>
        <v>2.6053240741021E-2</v>
      </c>
      <c r="N65" s="7">
        <f t="shared" si="22"/>
        <v>37.51666666707024</v>
      </c>
      <c r="O65" s="7"/>
      <c r="P65" s="7"/>
      <c r="Q65" s="23"/>
      <c r="R65" s="23"/>
      <c r="S65" s="35">
        <f t="shared" si="23"/>
        <v>1</v>
      </c>
      <c r="T65" s="50" t="str">
        <f t="shared" si="3"/>
        <v>NorthBound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08:54:43-700',mode:absolute,to:'2016-12-07 11:37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65" s="52" t="str">
        <f t="shared" si="5"/>
        <v>N</v>
      </c>
      <c r="X65" s="177">
        <f t="shared" si="19"/>
        <v>1</v>
      </c>
      <c r="Y65" s="67">
        <f t="shared" si="6"/>
        <v>4.4699999999999997E-2</v>
      </c>
      <c r="Z65" s="67">
        <f t="shared" si="7"/>
        <v>23.326799999999999</v>
      </c>
      <c r="AA65" s="67">
        <f t="shared" si="8"/>
        <v>23.2821</v>
      </c>
      <c r="AB65" s="64" t="e">
        <f>VLOOKUP(A65,Enforcements!$C$7:$K$20,8,0)</f>
        <v>#N/A</v>
      </c>
      <c r="AC65" s="60" t="e">
        <f>VLOOKUP(A65,Enforcements!$C$7:$E$20,3,0)</f>
        <v>#N/A</v>
      </c>
      <c r="AD65" s="61" t="str">
        <f t="shared" si="9"/>
        <v>0151-07</v>
      </c>
      <c r="AE65" s="91" t="str">
        <f t="shared" si="10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65" s="88" t="str">
        <f t="shared" si="11"/>
        <v>"C:\Program Files (x86)\AstroGrep\AstroGrep.exe" /spath="%USERPROFILE%\AppData\Local\Temp\OnboardLogs" /stypes="app*4020*20161207*" /stext=" 17:.+((SYSTEM_STATE.+slice.+state.+changed )|(ment ac)|(multiple cpu faults)|(system.+state.+changed )|(\[timeout)|(PRM\|1\|D)|(kpr)|(kdp)|(\|lc)|(penalty))" /e /r /s</v>
      </c>
      <c r="AG65" s="1" t="str">
        <f t="shared" si="12"/>
        <v>EC</v>
      </c>
      <c r="AH65" s="92" t="str">
        <f t="shared" si="15"/>
        <v>"%USERPROFILE%\Documents\GitHub\eaglep3\Utilities\RefineRTDCRunTimes.py" --tripid 151-07 --locoid 4020 --swversion DE.1.0.8.0 --startMP 204:447 --initTime 2016-12-07T09:54:43 --startdatetime 2016-12-07T10:00:17 --delay 1 --endMP 204:233268 --enddatetime 2016-12-07T10:37:48 --enforcementcount 0 &gt;&gt;C:\Users\stu\Documents\GitHub\eaglep3-reporting\EC\2016-12-07-refined-times.txt</v>
      </c>
      <c r="AI65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{"issue":{"subject":"","project_id":79,"tracker_id":40,"status_id":1,"priority_id":2,"assigned_to_id":23,"start_date":"2016-12-07","description":"","custom_fields":[{"id":1,"name":"Subdivision","value":"EC"},{"id":4,"name":"Milepost","value":"23.3268"},{"id":17,"name":"Train ID","value":"151-07"},{"id":16,"name":"Locomotive ID","value":"4020"},{"id":130,"name":"Impact","value":""},{"id":150,"name":"Time of Event (Mountain Time)","value":"10:37:48"},{"id":151,"name":"Denver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548</v>
      </c>
      <c r="B66" s="7">
        <v>4019</v>
      </c>
      <c r="C66" s="22" t="s">
        <v>207</v>
      </c>
      <c r="D66" s="22" t="s">
        <v>684</v>
      </c>
      <c r="E66" s="13">
        <v>42711.449074074073</v>
      </c>
      <c r="F66" s="13">
        <v>42711.455752314818</v>
      </c>
      <c r="G66" s="7">
        <v>1</v>
      </c>
      <c r="H66" s="22" t="s">
        <v>714</v>
      </c>
      <c r="I66" s="13">
        <v>42711.484236111108</v>
      </c>
      <c r="J66" s="7">
        <v>0</v>
      </c>
      <c r="K66" s="109" t="str">
        <f t="shared" si="0"/>
        <v>4019/4020</v>
      </c>
      <c r="L66" s="22" t="str">
        <f>VLOOKUP(A66,'Trips&amp;Operators'!$C$1:$G$99999,5,FALSE)</f>
        <v>KILLION DAVID</v>
      </c>
      <c r="M66" s="6">
        <f t="shared" si="1"/>
        <v>2.848379628994735E-2</v>
      </c>
      <c r="N66" s="7">
        <f t="shared" si="22"/>
        <v>41.016666657524183</v>
      </c>
      <c r="O66" s="7"/>
      <c r="P66" s="7"/>
      <c r="Q66" s="23"/>
      <c r="R66" s="23"/>
      <c r="S66" s="35">
        <f t="shared" si="23"/>
        <v>1</v>
      </c>
      <c r="T66" s="50" t="str">
        <f t="shared" si="3"/>
        <v>Southbound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09:46:40-700',mode:absolute,to:'2016-12-07 12:37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66" s="52" t="str">
        <f t="shared" si="5"/>
        <v>N</v>
      </c>
      <c r="X66" s="177">
        <f t="shared" si="19"/>
        <v>1</v>
      </c>
      <c r="Y66" s="67">
        <f t="shared" si="6"/>
        <v>23.296099999999999</v>
      </c>
      <c r="Z66" s="67">
        <f t="shared" si="7"/>
        <v>1.67E-2</v>
      </c>
      <c r="AA66" s="67">
        <f t="shared" si="8"/>
        <v>23.279399999999999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9"/>
        <v>0152-07</v>
      </c>
      <c r="AE66" s="91" t="str">
        <f t="shared" si="10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66" s="88" t="str">
        <f t="shared" si="11"/>
        <v>"C:\Program Files (x86)\AstroGrep\AstroGrep.exe" /spath="%USERPROFILE%\AppData\Local\Temp\OnboardLogs" /stypes="app*4019*20161207*" /stext=" 18:.+((SYSTEM_STATE.+slice.+state.+changed )|(ment ac)|(multiple cpu faults)|(system.+state.+changed )|(\[timeout)|(PRM\|1\|D)|(kpr)|(kdp)|(\|lc)|(penalty))" /e /r /s</v>
      </c>
      <c r="AG66" s="1" t="str">
        <f t="shared" si="12"/>
        <v>EC</v>
      </c>
      <c r="AH66" s="92" t="str">
        <f t="shared" si="15"/>
        <v>"%USERPROFILE%\Documents\GitHub\eaglep3\Utilities\RefineRTDCRunTimes.py" --tripid 152-07 --locoid 4019 --swversion DE.1.0.8.0 --startMP 204:232961 --initTime 2016-12-07T10:46:40 --startdatetime 2016-12-07T10:56:17 --delay 1 --endMP 204:167 --enddatetime 2016-12-07T11:37:18 --enforcementcount 0 &gt;&gt;C:\Users\stu\Documents\GitHub\eaglep3-reporting\EC\2016-12-07-refined-times.txt</v>
      </c>
      <c r="AI66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{"issue":{"subject":"","project_id":79,"tracker_id":40,"status_id":1,"priority_id":2,"assigned_to_id":23,"start_date":"2016-12-07","description":"","custom_fields":[{"id":1,"name":"Subdivision","value":"EC"},{"id":4,"name":"Milepost","value":"0.0167"},{"id":17,"name":"Train ID","value":"152-07"},{"id":16,"name":"Locomotive ID","value":"4019"},{"id":130,"name":"Impact","value":""},{"id":150,"name":"Time of Event (Mountain Time)","value":"11:37:18"},{"id":151,"name":"Denver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545</v>
      </c>
      <c r="B67" s="7">
        <v>4044</v>
      </c>
      <c r="C67" s="22" t="s">
        <v>207</v>
      </c>
      <c r="D67" s="22" t="s">
        <v>715</v>
      </c>
      <c r="E67" s="13">
        <v>42711.426724537036</v>
      </c>
      <c r="F67" s="13">
        <v>42711.428067129629</v>
      </c>
      <c r="G67" s="7">
        <v>1</v>
      </c>
      <c r="H67" s="22" t="s">
        <v>287</v>
      </c>
      <c r="I67" s="13">
        <v>42711.452175925922</v>
      </c>
      <c r="J67" s="7">
        <v>0</v>
      </c>
      <c r="K67" s="109" t="str">
        <f t="shared" si="0"/>
        <v>4043/4044</v>
      </c>
      <c r="L67" s="22" t="str">
        <f>VLOOKUP(A67,'Trips&amp;Operators'!$C$1:$G$99999,5,FALSE)</f>
        <v>ROCHA YAOTL</v>
      </c>
      <c r="M67" s="6">
        <f t="shared" si="1"/>
        <v>2.4108796293148771E-2</v>
      </c>
      <c r="N67" s="7">
        <f t="shared" si="22"/>
        <v>34.71666666213423</v>
      </c>
      <c r="O67" s="7"/>
      <c r="P67" s="7"/>
      <c r="Q67" s="23"/>
      <c r="R67" s="23"/>
      <c r="S67" s="35">
        <f t="shared" si="23"/>
        <v>1</v>
      </c>
      <c r="T67" s="50" t="str">
        <f t="shared" si="3"/>
        <v>NorthBound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09:14:29-700',mode:absolute,to:'2016-12-07 11:51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7" s="52" t="str">
        <f t="shared" si="5"/>
        <v>N</v>
      </c>
      <c r="X67" s="177">
        <f t="shared" si="19"/>
        <v>1</v>
      </c>
      <c r="Y67" s="67">
        <f t="shared" si="6"/>
        <v>3.1399999999999997E-2</v>
      </c>
      <c r="Z67" s="67">
        <f t="shared" si="7"/>
        <v>23.331199999999999</v>
      </c>
      <c r="AA67" s="67">
        <f t="shared" si="8"/>
        <v>23.299799999999998</v>
      </c>
      <c r="AB67" s="64" t="e">
        <f>VLOOKUP(A67,Enforcements!$C$7:$K$20,8,0)</f>
        <v>#N/A</v>
      </c>
      <c r="AC67" s="60" t="e">
        <f>VLOOKUP(A67,Enforcements!$C$7:$E$20,3,0)</f>
        <v>#N/A</v>
      </c>
      <c r="AD67" s="61" t="str">
        <f t="shared" si="9"/>
        <v>0153-07</v>
      </c>
      <c r="AE67" s="91" t="str">
        <f t="shared" si="10"/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67" s="88" t="str">
        <f t="shared" si="11"/>
        <v>"C:\Program Files (x86)\AstroGrep\AstroGrep.exe" /spath="%USERPROFILE%\AppData\Local\Temp\OnboardLogs" /stypes="app*4044*20161207*" /stext=" 17:.+((SYSTEM_STATE.+slice.+state.+changed )|(ment ac)|(multiple cpu faults)|(system.+state.+changed )|(\[timeout)|(PRM\|1\|D)|(kpr)|(kdp)|(\|lc)|(penalty))" /e /r /s</v>
      </c>
      <c r="AG67" s="1" t="str">
        <f t="shared" si="12"/>
        <v>EC</v>
      </c>
      <c r="AH67" s="92" t="str">
        <f t="shared" si="15"/>
        <v>"%USERPROFILE%\Documents\GitHub\eaglep3\Utilities\RefineRTDCRunTimes.py" --tripid 153-07 --locoid 4044 --swversion DE.1.0.8.0 --startMP 204:314 --initTime 2016-12-07T10:14:29 --startdatetime 2016-12-07T10:16:25 --delay 1 --endMP 204:233312 --enddatetime 2016-12-07T10:51:08 --enforcementcount 0 &gt;&gt;C:\Users\stu\Documents\GitHub\eaglep3-reporting\EC\2016-12-07-refined-times.txt</v>
      </c>
      <c r="AI67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{"issue":{"subject":"","project_id":79,"tracker_id":40,"status_id":1,"priority_id":2,"assigned_to_id":23,"start_date":"2016-12-07","description":"","custom_fields":[{"id":1,"name":"Subdivision","value":"EC"},{"id":4,"name":"Milepost","value":"23.3312"},{"id":17,"name":"Train ID","value":"153-07"},{"id":16,"name":"Locomotive ID","value":"4044"},{"id":130,"name":"Impact","value":""},{"id":150,"name":"Time of Event (Mountain Time)","value":"10:51:08"},{"id":151,"name":"Denver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553</v>
      </c>
      <c r="B68" s="7">
        <v>4043</v>
      </c>
      <c r="C68" s="22" t="s">
        <v>207</v>
      </c>
      <c r="D68" s="22" t="s">
        <v>696</v>
      </c>
      <c r="E68" s="13">
        <v>42711.465532407405</v>
      </c>
      <c r="F68" s="13">
        <v>42711.466886574075</v>
      </c>
      <c r="G68" s="7">
        <v>1</v>
      </c>
      <c r="H68" s="22" t="s">
        <v>192</v>
      </c>
      <c r="I68" s="13">
        <v>42711.492708333331</v>
      </c>
      <c r="J68" s="7">
        <v>0</v>
      </c>
      <c r="K68" s="109" t="str">
        <f t="shared" si="0"/>
        <v>4043/4044</v>
      </c>
      <c r="L68" s="22" t="str">
        <f>VLOOKUP(A68,'Trips&amp;Operators'!$C$1:$G$99999,5,FALSE)</f>
        <v>ROCHA YAOTL</v>
      </c>
      <c r="M68" s="6">
        <f t="shared" si="1"/>
        <v>2.5821759256359655E-2</v>
      </c>
      <c r="N68" s="7">
        <f t="shared" si="22"/>
        <v>37.183333329157904</v>
      </c>
      <c r="O68" s="7"/>
      <c r="P68" s="7"/>
      <c r="Q68" s="23"/>
      <c r="R68" s="23"/>
      <c r="S68" s="35">
        <f t="shared" si="23"/>
        <v>1</v>
      </c>
      <c r="T68" s="50" t="str">
        <f t="shared" si="3"/>
        <v>Southbound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10:10:22-700',mode:absolute,to:'2016-12-07 12:49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8" s="52" t="str">
        <f t="shared" si="5"/>
        <v>N</v>
      </c>
      <c r="X68" s="177">
        <f t="shared" si="19"/>
        <v>1</v>
      </c>
      <c r="Y68" s="67">
        <f t="shared" si="6"/>
        <v>23.298500000000001</v>
      </c>
      <c r="Z68" s="67">
        <f t="shared" si="7"/>
        <v>1.49E-2</v>
      </c>
      <c r="AA68" s="67">
        <f t="shared" si="8"/>
        <v>23.2836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9"/>
        <v>0154-07</v>
      </c>
      <c r="AE68" s="91" t="str">
        <f t="shared" si="10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68" s="88" t="str">
        <f t="shared" si="11"/>
        <v>"C:\Program Files (x86)\AstroGrep\AstroGrep.exe" /spath="%USERPROFILE%\AppData\Local\Temp\OnboardLogs" /stypes="app*4043*20161207*" /stext=" 18:.+((SYSTEM_STATE.+slice.+state.+changed )|(ment ac)|(multiple cpu faults)|(system.+state.+changed )|(\[timeout)|(PRM\|1\|D)|(kpr)|(kdp)|(\|lc)|(penalty))" /e /r /s</v>
      </c>
      <c r="AG68" s="1" t="str">
        <f t="shared" si="12"/>
        <v>EC</v>
      </c>
      <c r="AH68" s="92" t="str">
        <f t="shared" si="15"/>
        <v>"%USERPROFILE%\Documents\GitHub\eaglep3\Utilities\RefineRTDCRunTimes.py" --tripid 154-07 --locoid 4043 --swversion DE.1.0.8.0 --startMP 204:232985 --initTime 2016-12-07T11:10:22 --startdatetime 2016-12-07T11:12:19 --delay 1 --endMP 204:149 --enddatetime 2016-12-07T11:49:30 --enforcementcount 0 &gt;&gt;C:\Users\stu\Documents\GitHub\eaglep3-reporting\EC\2016-12-07-refined-times.txt</v>
      </c>
      <c r="AI68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{"issue":{"subject":"","project_id":79,"tracker_id":40,"status_id":1,"priority_id":2,"assigned_to_id":23,"start_date":"2016-12-07","description":"","custom_fields":[{"id":1,"name":"Subdivision","value":"EC"},{"id":4,"name":"Milepost","value":"0.0149"},{"id":17,"name":"Train ID","value":"154-07"},{"id":16,"name":"Locomotive ID","value":"4043"},{"id":130,"name":"Impact","value":""},{"id":150,"name":"Time of Event (Mountain Time)","value":"11:49:30"},{"id":151,"name":"Denver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546</v>
      </c>
      <c r="B69" s="7">
        <v>4002</v>
      </c>
      <c r="C69" s="22" t="s">
        <v>207</v>
      </c>
      <c r="D69" s="22" t="s">
        <v>327</v>
      </c>
      <c r="E69" s="13">
        <v>42711.436898148146</v>
      </c>
      <c r="F69" s="13">
        <v>42711.438657407409</v>
      </c>
      <c r="G69" s="7">
        <v>1</v>
      </c>
      <c r="H69" s="22" t="s">
        <v>274</v>
      </c>
      <c r="I69" s="13">
        <v>42711.464050925926</v>
      </c>
      <c r="J69" s="7">
        <v>0</v>
      </c>
      <c r="K69" s="109" t="str">
        <f t="shared" si="0"/>
        <v>4001/4002</v>
      </c>
      <c r="L69" s="22" t="str">
        <f>VLOOKUP(A69,'Trips&amp;Operators'!$C$1:$G$99999,5,FALSE)</f>
        <v>STARKS ANGELINA</v>
      </c>
      <c r="M69" s="6">
        <f t="shared" si="1"/>
        <v>2.5393518517375924E-2</v>
      </c>
      <c r="N69" s="7">
        <f t="shared" si="22"/>
        <v>36.56666666502133</v>
      </c>
      <c r="O69" s="7"/>
      <c r="P69" s="7"/>
      <c r="Q69" s="23"/>
      <c r="R69" s="23"/>
      <c r="S69" s="35">
        <f t="shared" si="23"/>
        <v>1</v>
      </c>
      <c r="T69" s="50" t="str">
        <f t="shared" si="3"/>
        <v>NorthBound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09:29:08-700',mode:absolute,to:'2016-12-07 12:08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69" s="52" t="str">
        <f t="shared" si="5"/>
        <v>N</v>
      </c>
      <c r="X69" s="177">
        <f t="shared" ref="X69:X74" si="24">VALUE(LEFT(AD69,4))-VALUE(LEFT(AD68,4))</f>
        <v>1</v>
      </c>
      <c r="Y69" s="67">
        <f t="shared" si="6"/>
        <v>4.7300000000000002E-2</v>
      </c>
      <c r="Z69" s="67">
        <f t="shared" si="7"/>
        <v>23.329699999999999</v>
      </c>
      <c r="AA69" s="67">
        <f t="shared" si="8"/>
        <v>23.282399999999999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9"/>
        <v>0155-07</v>
      </c>
      <c r="AE69" s="91" t="str">
        <f t="shared" si="10"/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69" s="88" t="str">
        <f t="shared" si="11"/>
        <v>"C:\Program Files (x86)\AstroGrep\AstroGrep.exe" /spath="%USERPROFILE%\AppData\Local\Temp\OnboardLogs" /stypes="app*4002*20161207*" /stext=" 18:.+((SYSTEM_STATE.+slice.+state.+changed )|(ment ac)|(multiple cpu faults)|(system.+state.+changed )|(\[timeout)|(PRM\|1\|D)|(kpr)|(kdp)|(\|lc)|(penalty))" /e /r /s</v>
      </c>
      <c r="AG69" s="1" t="str">
        <f t="shared" si="12"/>
        <v>EC</v>
      </c>
      <c r="AH69" s="92" t="str">
        <f t="shared" si="15"/>
        <v>"%USERPROFILE%\Documents\GitHub\eaglep3\Utilities\RefineRTDCRunTimes.py" --tripid 155-07 --locoid 4002 --swversion DE.1.0.8.0 --startMP 204:473 --initTime 2016-12-07T10:29:08 --startdatetime 2016-12-07T10:31:40 --delay 1 --endMP 204:233297 --enddatetime 2016-12-07T11:08:14 --enforcementcount 0 &gt;&gt;C:\Users\stu\Documents\GitHub\eaglep3-reporting\EC\2016-12-07-refined-times.txt</v>
      </c>
      <c r="AI69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{"issue":{"subject":"","project_id":79,"tracker_id":40,"status_id":1,"priority_id":2,"assigned_to_id":23,"start_date":"2016-12-07","description":"","custom_fields":[{"id":1,"name":"Subdivision","value":"EC"},{"id":4,"name":"Milepost","value":"23.3297"},{"id":17,"name":"Train ID","value":"155-07"},{"id":16,"name":"Locomotive ID","value":"4002"},{"id":130,"name":"Impact","value":""},{"id":150,"name":"Time of Event (Mountain Time)","value":"11:08:14"},{"id":151,"name":"Denver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554</v>
      </c>
      <c r="B70" s="7">
        <v>4001</v>
      </c>
      <c r="C70" s="22" t="s">
        <v>207</v>
      </c>
      <c r="D70" s="22" t="s">
        <v>702</v>
      </c>
      <c r="E70" s="13">
        <v>42711.474699074075</v>
      </c>
      <c r="F70" s="13">
        <v>42711.476770833331</v>
      </c>
      <c r="G70" s="7">
        <v>1</v>
      </c>
      <c r="H70" s="22" t="s">
        <v>689</v>
      </c>
      <c r="I70" s="13">
        <v>42711.505555555559</v>
      </c>
      <c r="J70" s="7">
        <v>0</v>
      </c>
      <c r="K70" s="109" t="str">
        <f t="shared" si="0"/>
        <v>4001/4002</v>
      </c>
      <c r="L70" s="22" t="str">
        <f>VLOOKUP(A70,'Trips&amp;Operators'!$C$1:$G$99999,5,FALSE)</f>
        <v>STARKS ANGELINA</v>
      </c>
      <c r="M70" s="6">
        <f t="shared" si="1"/>
        <v>2.8784722228010651E-2</v>
      </c>
      <c r="N70" s="7">
        <f t="shared" si="22"/>
        <v>41.450000008335337</v>
      </c>
      <c r="O70" s="7"/>
      <c r="P70" s="7"/>
      <c r="Q70" s="23"/>
      <c r="R70" s="23"/>
      <c r="S70" s="35">
        <f t="shared" si="23"/>
        <v>1</v>
      </c>
      <c r="T70" s="50" t="str">
        <f t="shared" si="3"/>
        <v>Southbound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10:23:34-700',mode:absolute,to:'2016-12-07 13:08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70" s="52" t="str">
        <f t="shared" si="5"/>
        <v>N</v>
      </c>
      <c r="X70" s="177">
        <f t="shared" si="24"/>
        <v>1</v>
      </c>
      <c r="Y70" s="67">
        <f t="shared" si="6"/>
        <v>23.298200000000001</v>
      </c>
      <c r="Z70" s="67">
        <f t="shared" si="7"/>
        <v>1.47E-2</v>
      </c>
      <c r="AA70" s="67">
        <f t="shared" si="8"/>
        <v>23.2835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9"/>
        <v>0156-07</v>
      </c>
      <c r="AE70" s="91" t="str">
        <f t="shared" si="10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70" s="88" t="str">
        <f t="shared" si="11"/>
        <v>"C:\Program Files (x86)\AstroGrep\AstroGrep.exe" /spath="%USERPROFILE%\AppData\Local\Temp\OnboardLogs" /stypes="app*4001*20161207*" /stext=" 19:.+((SYSTEM_STATE.+slice.+state.+changed )|(ment ac)|(multiple cpu faults)|(system.+state.+changed )|(\[timeout)|(PRM\|1\|D)|(kpr)|(kdp)|(\|lc)|(penalty))" /e /r /s</v>
      </c>
      <c r="AG70" s="1" t="str">
        <f t="shared" si="12"/>
        <v>EC</v>
      </c>
      <c r="AH70" s="92" t="str">
        <f t="shared" si="15"/>
        <v>"%USERPROFILE%\Documents\GitHub\eaglep3\Utilities\RefineRTDCRunTimes.py" --tripid 156-07 --locoid 4001 --swversion DE.1.0.8.0 --startMP 204:232982 --initTime 2016-12-07T11:23:34 --startdatetime 2016-12-07T11:26:33 --delay 1 --endMP 204:147 --enddatetime 2016-12-07T12:08:00 --enforcementcount 0 &gt;&gt;C:\Users\stu\Documents\GitHub\eaglep3-reporting\EC\2016-12-07-refined-times.txt</v>
      </c>
      <c r="AI70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{"issue":{"subject":"","project_id":79,"tracker_id":40,"status_id":1,"priority_id":2,"assigned_to_id":23,"start_date":"2016-12-07","description":"","custom_fields":[{"id":1,"name":"Subdivision","value":"EC"},{"id":4,"name":"Milepost","value":"0.0147"},{"id":17,"name":"Train ID","value":"156-07"},{"id":16,"name":"Locomotive ID","value":"4001"},{"id":130,"name":"Impact","value":""},{"id":150,"name":"Time of Event (Mountain Time)","value":"12:08:00"},{"id":151,"name":"Denver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549</v>
      </c>
      <c r="B71" s="7">
        <v>4016</v>
      </c>
      <c r="C71" s="22" t="s">
        <v>207</v>
      </c>
      <c r="D71" s="22" t="s">
        <v>410</v>
      </c>
      <c r="E71" s="13">
        <v>42711.452569444446</v>
      </c>
      <c r="F71" s="13">
        <v>42711.454375000001</v>
      </c>
      <c r="G71" s="7">
        <v>1</v>
      </c>
      <c r="H71" s="22" t="s">
        <v>320</v>
      </c>
      <c r="I71" s="13">
        <v>42711.482511574075</v>
      </c>
      <c r="J71" s="7">
        <v>0</v>
      </c>
      <c r="K71" s="109" t="str">
        <f t="shared" si="0"/>
        <v>4015/4016</v>
      </c>
      <c r="L71" s="22" t="str">
        <f>VLOOKUP(A71,'Trips&amp;Operators'!$C$1:$G$99999,5,FALSE)</f>
        <v>DAVIDSON DAVID</v>
      </c>
      <c r="M71" s="6">
        <f t="shared" si="1"/>
        <v>2.8136574073869269E-2</v>
      </c>
      <c r="N71" s="7">
        <f t="shared" si="22"/>
        <v>40.516666666371748</v>
      </c>
      <c r="O71" s="7"/>
      <c r="P71" s="7"/>
      <c r="Q71" s="23"/>
      <c r="R71" s="23"/>
      <c r="S71" s="35">
        <f t="shared" si="23"/>
        <v>1</v>
      </c>
      <c r="T71" s="50" t="str">
        <f t="shared" si="3"/>
        <v>NorthBound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09:51:42-700',mode:absolute,to:'2016-12-07 12:34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71" s="52" t="str">
        <f t="shared" si="5"/>
        <v>N</v>
      </c>
      <c r="X71" s="177">
        <f t="shared" si="24"/>
        <v>1</v>
      </c>
      <c r="Y71" s="67">
        <f t="shared" si="6"/>
        <v>4.82E-2</v>
      </c>
      <c r="Z71" s="67">
        <f t="shared" si="7"/>
        <v>23.330400000000001</v>
      </c>
      <c r="AA71" s="67">
        <f t="shared" si="8"/>
        <v>23.2822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9"/>
        <v>0157-07</v>
      </c>
      <c r="AE71" s="91" t="str">
        <f t="shared" si="10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71" s="88" t="str">
        <f t="shared" si="11"/>
        <v>"C:\Program Files (x86)\AstroGrep\AstroGrep.exe" /spath="%USERPROFILE%\AppData\Local\Temp\OnboardLogs" /stypes="app*4016*20161207*" /stext=" 18:.+((SYSTEM_STATE.+slice.+state.+changed )|(ment ac)|(multiple cpu faults)|(system.+state.+changed )|(\[timeout)|(PRM\|1\|D)|(kpr)|(kdp)|(\|lc)|(penalty))" /e /r /s</v>
      </c>
      <c r="AG71" s="1" t="str">
        <f t="shared" si="12"/>
        <v>EC</v>
      </c>
      <c r="AH71" s="92" t="str">
        <f t="shared" si="15"/>
        <v>"%USERPROFILE%\Documents\GitHub\eaglep3\Utilities\RefineRTDCRunTimes.py" --tripid 157-07 --locoid 4016 --swversion DE.1.0.8.0 --startMP 204:482 --initTime 2016-12-07T10:51:42 --startdatetime 2016-12-07T10:54:18 --delay 1 --endMP 204:233304 --enddatetime 2016-12-07T11:34:49 --enforcementcount 0 &gt;&gt;C:\Users\stu\Documents\GitHub\eaglep3-reporting\EC\2016-12-07-refined-times.txt</v>
      </c>
      <c r="AI71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{"issue":{"subject":"","project_id":79,"tracker_id":40,"status_id":1,"priority_id":2,"assigned_to_id":23,"start_date":"2016-12-07","description":"","custom_fields":[{"id":1,"name":"Subdivision","value":"EC"},{"id":4,"name":"Milepost","value":"23.3304"},{"id":17,"name":"Train ID","value":"157-07"},{"id":16,"name":"Locomotive ID","value":"4016"},{"id":130,"name":"Impact","value":""},{"id":150,"name":"Time of Event (Mountain Time)","value":"11:34:49"},{"id":151,"name":"Denver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557</v>
      </c>
      <c r="B72" s="7">
        <v>4015</v>
      </c>
      <c r="C72" s="22" t="s">
        <v>207</v>
      </c>
      <c r="D72" s="22" t="s">
        <v>696</v>
      </c>
      <c r="E72" s="13">
        <v>42711.485196759262</v>
      </c>
      <c r="F72" s="13">
        <v>42711.48715277778</v>
      </c>
      <c r="G72" s="7">
        <v>1</v>
      </c>
      <c r="H72" s="22" t="s">
        <v>704</v>
      </c>
      <c r="I72" s="13">
        <v>42711.514907407407</v>
      </c>
      <c r="J72" s="7">
        <v>0</v>
      </c>
      <c r="K72" s="109" t="str">
        <f t="shared" si="0"/>
        <v>4015/4016</v>
      </c>
      <c r="L72" s="22" t="str">
        <f>VLOOKUP(A72,'Trips&amp;Operators'!$C$1:$G$99999,5,FALSE)</f>
        <v>DAVIDSON DAVID</v>
      </c>
      <c r="M72" s="6">
        <f t="shared" si="1"/>
        <v>2.7754629627452232E-2</v>
      </c>
      <c r="N72" s="7">
        <f t="shared" si="22"/>
        <v>39.966666663531214</v>
      </c>
      <c r="O72" s="7"/>
      <c r="P72" s="7"/>
      <c r="Q72" s="23"/>
      <c r="R72" s="23"/>
      <c r="S72" s="35">
        <f t="shared" si="23"/>
        <v>1</v>
      </c>
      <c r="T72" s="50" t="str">
        <f t="shared" si="3"/>
        <v>Southbound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10:38:41-700',mode:absolute,to:'2016-12-07 13:21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72" s="52" t="str">
        <f t="shared" si="5"/>
        <v>N</v>
      </c>
      <c r="X72" s="177">
        <f t="shared" si="24"/>
        <v>1</v>
      </c>
      <c r="Y72" s="67">
        <f t="shared" si="6"/>
        <v>23.298500000000001</v>
      </c>
      <c r="Z72" s="67">
        <f t="shared" si="7"/>
        <v>1.2999999999999999E-2</v>
      </c>
      <c r="AA72" s="67">
        <f t="shared" si="8"/>
        <v>23.285499999999999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9"/>
        <v>0158-07</v>
      </c>
      <c r="AE72" s="91" t="str">
        <f t="shared" si="10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72" s="88" t="str">
        <f t="shared" si="11"/>
        <v>"C:\Program Files (x86)\AstroGrep\AstroGrep.exe" /spath="%USERPROFILE%\AppData\Local\Temp\OnboardLogs" /stypes="app*4015*20161207*" /stext=" 19:.+((SYSTEM_STATE.+slice.+state.+changed )|(ment ac)|(multiple cpu faults)|(system.+state.+changed )|(\[timeout)|(PRM\|1\|D)|(kpr)|(kdp)|(\|lc)|(penalty))" /e /r /s</v>
      </c>
      <c r="AG72" s="1" t="str">
        <f t="shared" si="12"/>
        <v>EC</v>
      </c>
      <c r="AH72" s="92" t="str">
        <f t="shared" si="15"/>
        <v>"%USERPROFILE%\Documents\GitHub\eaglep3\Utilities\RefineRTDCRunTimes.py" --tripid 158-07 --locoid 4015 --swversion DE.1.0.8.0 --startMP 204:232985 --initTime 2016-12-07T11:38:41 --startdatetime 2016-12-07T11:41:30 --delay 1 --endMP 204:130 --enddatetime 2016-12-07T12:21:28 --enforcementcount 0 &gt;&gt;C:\Users\stu\Documents\GitHub\eaglep3-reporting\EC\2016-12-07-refined-times.txt</v>
      </c>
      <c r="AI72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{"issue":{"subject":"","project_id":79,"tracker_id":40,"status_id":1,"priority_id":2,"assigned_to_id":23,"start_date":"2016-12-07","description":"","custom_fields":[{"id":1,"name":"Subdivision","value":"EC"},{"id":4,"name":"Milepost","value":"0.013"},{"id":17,"name":"Train ID","value":"158-07"},{"id":16,"name":"Locomotive ID","value":"4015"},{"id":130,"name":"Impact","value":""},{"id":150,"name":"Time of Event (Mountain Time)","value":"12:21:28"},{"id":151,"name":"Denver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550</v>
      </c>
      <c r="B73" s="7">
        <v>4014</v>
      </c>
      <c r="C73" s="22" t="s">
        <v>207</v>
      </c>
      <c r="D73" s="22" t="s">
        <v>311</v>
      </c>
      <c r="E73" s="13">
        <v>42711.4531712963</v>
      </c>
      <c r="F73" s="13">
        <v>42711.459166666667</v>
      </c>
      <c r="G73" s="7">
        <v>1</v>
      </c>
      <c r="H73" s="22" t="s">
        <v>248</v>
      </c>
      <c r="I73" s="13">
        <v>42711.486805555556</v>
      </c>
      <c r="J73" s="7">
        <v>0</v>
      </c>
      <c r="K73" s="109" t="str">
        <f t="shared" si="0"/>
        <v>4013/4014</v>
      </c>
      <c r="L73" s="22" t="str">
        <f>VLOOKUP(A73,'Trips&amp;Operators'!$C$1:$G$99999,5,FALSE)</f>
        <v>BONDS REYNALDO</v>
      </c>
      <c r="M73" s="6">
        <f t="shared" si="1"/>
        <v>2.7638888888759539E-2</v>
      </c>
      <c r="N73" s="7">
        <f t="shared" si="22"/>
        <v>39.799999999813735</v>
      </c>
      <c r="O73" s="7"/>
      <c r="P73" s="7"/>
      <c r="Q73" s="23"/>
      <c r="R73" s="23"/>
      <c r="S73" s="35">
        <f t="shared" si="23"/>
        <v>1</v>
      </c>
      <c r="T73" s="50" t="str">
        <f t="shared" si="3"/>
        <v>NorthBound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09:52:34-700',mode:absolute,to:'2016-12-07 12:41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73" s="52" t="str">
        <f t="shared" si="5"/>
        <v>N</v>
      </c>
      <c r="X73" s="177">
        <f t="shared" si="24"/>
        <v>1</v>
      </c>
      <c r="Y73" s="67">
        <f t="shared" si="6"/>
        <v>4.4400000000000002E-2</v>
      </c>
      <c r="Z73" s="67">
        <f t="shared" si="7"/>
        <v>23.3307</v>
      </c>
      <c r="AA73" s="67">
        <f t="shared" si="8"/>
        <v>23.286300000000001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9"/>
        <v>0159-07</v>
      </c>
      <c r="AE73" s="91" t="str">
        <f t="shared" si="10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73" s="88" t="str">
        <f t="shared" si="11"/>
        <v>"C:\Program Files (x86)\AstroGrep\AstroGrep.exe" /spath="%USERPROFILE%\AppData\Local\Temp\OnboardLogs" /stypes="app*4014*20161207*" /stext=" 18:.+((SYSTEM_STATE.+slice.+state.+changed )|(ment ac)|(multiple cpu faults)|(system.+state.+changed )|(\[timeout)|(PRM\|1\|D)|(kpr)|(kdp)|(\|lc)|(penalty))" /e /r /s</v>
      </c>
      <c r="AG73" s="1" t="str">
        <f t="shared" si="12"/>
        <v>EC</v>
      </c>
      <c r="AH73" s="92" t="str">
        <f t="shared" si="15"/>
        <v>"%USERPROFILE%\Documents\GitHub\eaglep3\Utilities\RefineRTDCRunTimes.py" --tripid 159-07 --locoid 4014 --swversion DE.1.0.8.0 --startMP 204:444 --initTime 2016-12-07T10:52:34 --startdatetime 2016-12-07T11:01:12 --delay 1 --endMP 204:233307 --enddatetime 2016-12-07T11:41:00 --enforcementcount 0 &gt;&gt;C:\Users\stu\Documents\GitHub\eaglep3-reporting\EC\2016-12-07-refined-times.txt</v>
      </c>
      <c r="AI73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{"issue":{"subject":"","project_id":79,"tracker_id":40,"status_id":1,"priority_id":2,"assigned_to_id":23,"start_date":"2016-12-07","description":"","custom_fields":[{"id":1,"name":"Subdivision","value":"EC"},{"id":4,"name":"Milepost","value":"23.3307"},{"id":17,"name":"Train ID","value":"159-07"},{"id":16,"name":"Locomotive ID","value":"4014"},{"id":130,"name":"Impact","value":""},{"id":150,"name":"Time of Event (Mountain Time)","value":"11:41:00"},{"id":151,"name":"Denver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461</v>
      </c>
      <c r="B74" s="7">
        <v>4013</v>
      </c>
      <c r="C74" s="22" t="s">
        <v>207</v>
      </c>
      <c r="D74" s="22" t="s">
        <v>716</v>
      </c>
      <c r="E74" s="13">
        <v>42711.489293981482</v>
      </c>
      <c r="F74" s="13">
        <v>42711.497465277775</v>
      </c>
      <c r="G74" s="7">
        <v>1</v>
      </c>
      <c r="H74" s="22" t="s">
        <v>288</v>
      </c>
      <c r="I74" s="13">
        <v>42711.524398148147</v>
      </c>
      <c r="J74" s="7">
        <v>0</v>
      </c>
      <c r="K74" s="109" t="str">
        <f t="shared" si="0"/>
        <v>4013/4014</v>
      </c>
      <c r="L74" s="22" t="str">
        <f>VLOOKUP(A74,'Trips&amp;Operators'!$C$1:$G$99999,5,FALSE)</f>
        <v>BONDS REYNALDO</v>
      </c>
      <c r="M74" s="6">
        <f t="shared" si="1"/>
        <v>2.6932870372547768E-2</v>
      </c>
      <c r="N74" s="7">
        <f t="shared" si="22"/>
        <v>38.783333336468786</v>
      </c>
      <c r="O74" s="7"/>
      <c r="P74" s="7"/>
      <c r="Q74" s="23"/>
      <c r="R74" s="23"/>
      <c r="S74" s="35">
        <f t="shared" si="23"/>
        <v>1</v>
      </c>
      <c r="T74" s="50" t="str">
        <f t="shared" si="3"/>
        <v>Southbound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10:44:35-700',mode:absolute,to:'2016-12-07 13:35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74" s="52" t="str">
        <f t="shared" si="5"/>
        <v>N</v>
      </c>
      <c r="X74" s="177">
        <f t="shared" si="24"/>
        <v>1</v>
      </c>
      <c r="Y74" s="67">
        <f t="shared" si="6"/>
        <v>23.296900000000001</v>
      </c>
      <c r="Z74" s="67">
        <f t="shared" si="7"/>
        <v>1.6899999999999998E-2</v>
      </c>
      <c r="AA74" s="67">
        <f t="shared" si="8"/>
        <v>23.28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9"/>
        <v>0160-07</v>
      </c>
      <c r="AE74" s="91" t="str">
        <f t="shared" si="10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74" s="88" t="str">
        <f t="shared" si="11"/>
        <v>"C:\Program Files (x86)\AstroGrep\AstroGrep.exe" /spath="%USERPROFILE%\AppData\Local\Temp\OnboardLogs" /stypes="app*4013*20161207*" /stext=" 19:.+((SYSTEM_STATE.+slice.+state.+changed )|(ment ac)|(multiple cpu faults)|(system.+state.+changed )|(\[timeout)|(PRM\|1\|D)|(kpr)|(kdp)|(\|lc)|(penalty))" /e /r /s</v>
      </c>
      <c r="AG74" s="1" t="str">
        <f t="shared" si="12"/>
        <v>EC</v>
      </c>
      <c r="AH74" s="92" t="str">
        <f t="shared" si="15"/>
        <v>"%USERPROFILE%\Documents\GitHub\eaglep3\Utilities\RefineRTDCRunTimes.py" --tripid 160-07 --locoid 4013 --swversion DE.1.0.8.0 --startMP 204:232969 --initTime 2016-12-07T11:44:35 --startdatetime 2016-12-07T11:56:21 --delay 1 --endMP 204:169 --enddatetime 2016-12-07T12:35:08 --enforcementcount 0 &gt;&gt;C:\Users\stu\Documents\GitHub\eaglep3-reporting\EC\2016-12-07-refined-times.txt</v>
      </c>
      <c r="AI74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{"issue":{"subject":"","project_id":79,"tracker_id":40,"status_id":1,"priority_id":2,"assigned_to_id":23,"start_date":"2016-12-07","description":"","custom_fields":[{"id":1,"name":"Subdivision","value":"EC"},{"id":4,"name":"Milepost","value":"0.0169"},{"id":17,"name":"Train ID","value":"160-07"},{"id":16,"name":"Locomotive ID","value":"4013"},{"id":130,"name":"Impact","value":""},{"id":150,"name":"Time of Event (Mountain Time)","value":"12:35:08"},{"id":151,"name":"Denver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552</v>
      </c>
      <c r="B75" s="7">
        <v>4031</v>
      </c>
      <c r="C75" s="22" t="s">
        <v>207</v>
      </c>
      <c r="D75" s="22" t="s">
        <v>354</v>
      </c>
      <c r="E75" s="13">
        <v>42711.464768518519</v>
      </c>
      <c r="F75" s="13">
        <v>42711.469074074077</v>
      </c>
      <c r="G75" s="7">
        <v>2</v>
      </c>
      <c r="H75" s="22" t="s">
        <v>324</v>
      </c>
      <c r="I75" s="13">
        <v>42711.493877314817</v>
      </c>
      <c r="J75" s="7">
        <v>0</v>
      </c>
      <c r="K75" s="109" t="str">
        <f t="shared" si="0"/>
        <v>4031/4032</v>
      </c>
      <c r="L75" s="22" t="str">
        <f>VLOOKUP(A75,'Trips&amp;Operators'!$C$1:$G$99999,5,FALSE)</f>
        <v>BARTLETT KIANDRA</v>
      </c>
      <c r="M75" s="6">
        <f t="shared" si="1"/>
        <v>2.4803240739856847E-2</v>
      </c>
      <c r="N75" s="7">
        <f t="shared" si="22"/>
        <v>35.716666665393859</v>
      </c>
      <c r="O75" s="7"/>
      <c r="P75" s="7"/>
      <c r="Q75" s="23"/>
      <c r="R75" s="23"/>
      <c r="S75" s="35">
        <f t="shared" si="23"/>
        <v>1</v>
      </c>
      <c r="T75" s="50" t="str">
        <f t="shared" si="3"/>
        <v>NorthBound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10:09:16-700',mode:absolute,to:'2016-12-07 12:51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75" s="52" t="str">
        <f t="shared" si="5"/>
        <v>N</v>
      </c>
      <c r="X75" s="177">
        <f t="shared" ref="X75:X111" si="25">VALUE(LEFT(AD75,4))-VALUE(LEFT(AD74,4))</f>
        <v>1</v>
      </c>
      <c r="Y75" s="67">
        <f t="shared" si="6"/>
        <v>4.3700000000000003E-2</v>
      </c>
      <c r="Z75" s="67">
        <f t="shared" si="7"/>
        <v>23.332100000000001</v>
      </c>
      <c r="AA75" s="67">
        <f t="shared" si="8"/>
        <v>23.288399999999999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9"/>
        <v>0161-07</v>
      </c>
      <c r="AE75" s="91" t="str">
        <f t="shared" si="10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75" s="88" t="str">
        <f t="shared" si="11"/>
        <v>"C:\Program Files (x86)\AstroGrep\AstroGrep.exe" /spath="%USERPROFILE%\AppData\Local\Temp\OnboardLogs" /stypes="app*4031*20161207*" /stext=" 18:.+((SYSTEM_STATE.+slice.+state.+changed )|(ment ac)|(multiple cpu faults)|(system.+state.+changed )|(\[timeout)|(PRM\|1\|D)|(kpr)|(kdp)|(\|lc)|(penalty))" /e /r /s</v>
      </c>
      <c r="AG75" s="1" t="str">
        <f t="shared" si="12"/>
        <v>EC</v>
      </c>
      <c r="AH75" s="92" t="str">
        <f t="shared" si="15"/>
        <v>"%USERPROFILE%\Documents\GitHub\eaglep3\Utilities\RefineRTDCRunTimes.py" --tripid 161-07 --locoid 4031 --swversion DE.1.0.8.0 --startMP 204:437 --initTime 2016-12-07T11:09:16 --startdatetime 2016-12-07T11:15:28 --delay 2 --endMP 204:233321 --enddatetime 2016-12-07T11:51:11 --enforcementcount 0 &gt;&gt;C:\Users\stu\Documents\GitHub\eaglep3-reporting\EC\2016-12-07-refined-times.txt</v>
      </c>
      <c r="AI75" s="119" t="str">
        <f t="shared" si="16"/>
        <v>echo {"issue":{"subject":"","project_id":79,"tracker_id":40,"status_id":1,"priority_id":2,"assigned_to_id":23,"start_date":"2016-12-07","description":"","custom_fields":[{"id":1,"name":"Subdivision","value":"EC"},{"id":4,"name":"Milepost","value":"23.3321"},{"id":17,"name":"Train ID","value":"161-07"},{"id":16,"name":"Locomotive ID","value":"4031"},{"id":130,"name":"Impact","value":""},{"id":150,"name":"Time of Event (Mountain Time)","value":"11:51:11"},{"id":151,"name":"Denver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564</v>
      </c>
      <c r="B76" s="7">
        <v>4032</v>
      </c>
      <c r="C76" s="22" t="s">
        <v>207</v>
      </c>
      <c r="D76" s="22" t="s">
        <v>402</v>
      </c>
      <c r="E76" s="13">
        <v>42711.497685185182</v>
      </c>
      <c r="F76" s="13">
        <v>42711.507986111108</v>
      </c>
      <c r="G76" s="7">
        <v>1</v>
      </c>
      <c r="H76" s="22" t="s">
        <v>214</v>
      </c>
      <c r="I76" s="13">
        <v>42711.534282407411</v>
      </c>
      <c r="J76" s="7">
        <v>0</v>
      </c>
      <c r="K76" s="109" t="str">
        <f t="shared" si="0"/>
        <v>4031/4032</v>
      </c>
      <c r="L76" s="22" t="str">
        <f>VLOOKUP(A76,'Trips&amp;Operators'!$C$1:$G$99999,5,FALSE)</f>
        <v>BARTLETT KIANDRA</v>
      </c>
      <c r="M76" s="6">
        <f t="shared" si="1"/>
        <v>2.6296296302461997E-2</v>
      </c>
      <c r="N76" s="7">
        <f t="shared" si="22"/>
        <v>37.866666675545275</v>
      </c>
      <c r="O76" s="7"/>
      <c r="P76" s="7"/>
      <c r="Q76" s="23"/>
      <c r="R76" s="23"/>
      <c r="S76" s="35">
        <f t="shared" si="23"/>
        <v>1</v>
      </c>
      <c r="T76" s="50" t="str">
        <f t="shared" si="3"/>
        <v>Southbound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4"/>
        <v>https://search-rtdc-monitor-bjffxe2xuh6vdkpspy63sjmuny.us-east-1.es.amazonaws.com/_plugin/kibana/#/discover/Steve-Slow-Train-Analysis-(2080s-and-2083s)?_g=(refreshInterval:(display:Off,section:0,value:0),time:(from:'2016-12-07 10:56:40-700',mode:absolute,to:'2016-12-07 13:49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76" s="52" t="str">
        <f t="shared" si="5"/>
        <v>N</v>
      </c>
      <c r="X76" s="177">
        <f t="shared" si="25"/>
        <v>1</v>
      </c>
      <c r="Y76" s="67">
        <f t="shared" si="6"/>
        <v>23.3002</v>
      </c>
      <c r="Z76" s="67">
        <f t="shared" si="7"/>
        <v>1.4999999999999999E-2</v>
      </c>
      <c r="AA76" s="67">
        <f t="shared" si="8"/>
        <v>23.2852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9"/>
        <v>0162-07</v>
      </c>
      <c r="AE76" s="91" t="str">
        <f t="shared" si="10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76" s="88" t="str">
        <f t="shared" si="11"/>
        <v>"C:\Program Files (x86)\AstroGrep\AstroGrep.exe" /spath="%USERPROFILE%\AppData\Local\Temp\OnboardLogs" /stypes="app*4032*20161207*" /stext=" 19:.+((SYSTEM_STATE.+slice.+state.+changed )|(ment ac)|(multiple cpu faults)|(system.+state.+changed )|(\[timeout)|(PRM\|1\|D)|(kpr)|(kdp)|(\|lc)|(penalty))" /e /r /s</v>
      </c>
      <c r="AG76" s="1" t="str">
        <f t="shared" si="12"/>
        <v>EC</v>
      </c>
      <c r="AH76" s="92" t="str">
        <f t="shared" ref="AH76:AH139" si="26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162-07 --locoid 4032 --swversion DE.1.0.8.0 --startMP 204:233002 --initTime 2016-12-07T11:56:40 --startdatetime 2016-12-07T12:11:30 --delay 1 --endMP 204:150 --enddatetime 2016-12-07T12:49:22 --enforcementcount 0 &gt;&gt;C:\Users\stu\Documents\GitHub\eaglep3-reporting\EC\2016-12-07-refined-times.txt</v>
      </c>
      <c r="AI76" s="119" t="str">
        <f t="shared" ref="AI76:AI139" si="27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ID","value":"162-07"},{"id":16,"name":"Locomotive ID","value":"4032"},{"id":130,"name":"Impact","value":""},{"id":150,"name":"Time of Event (Mountain Time)","value":"12:49:22"},{"id":151,"name":"Denver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555</v>
      </c>
      <c r="B77" s="7">
        <v>4009</v>
      </c>
      <c r="C77" s="22" t="s">
        <v>207</v>
      </c>
      <c r="D77" s="22" t="s">
        <v>241</v>
      </c>
      <c r="E77" s="13">
        <v>42711.476481481484</v>
      </c>
      <c r="F77" s="13">
        <v>42711.480775462966</v>
      </c>
      <c r="G77" s="7">
        <v>2</v>
      </c>
      <c r="H77" s="22" t="s">
        <v>314</v>
      </c>
      <c r="I77" s="13">
        <v>42711.504606481481</v>
      </c>
      <c r="J77" s="7">
        <v>0</v>
      </c>
      <c r="K77" s="109" t="str">
        <f t="shared" ref="K77:K140" si="28">IF(ISEVEN(B77),(B77-1)&amp;"/"&amp;B77,B77&amp;"/"&amp;(B77+1))</f>
        <v>4009/4010</v>
      </c>
      <c r="L77" s="22" t="str">
        <f>VLOOKUP(A77,'Trips&amp;Operators'!$C$1:$G$99999,5,FALSE)</f>
        <v>HELVIE ADAM</v>
      </c>
      <c r="M77" s="6">
        <f t="shared" ref="M77:M140" si="29">I77-F77</f>
        <v>2.3831018515920732E-2</v>
      </c>
      <c r="N77" s="7">
        <f t="shared" si="22"/>
        <v>34.316666662925854</v>
      </c>
      <c r="O77" s="7"/>
      <c r="P77" s="7"/>
      <c r="Q77" s="23"/>
      <c r="R77" s="23"/>
      <c r="S77" s="35">
        <f t="shared" si="23"/>
        <v>1</v>
      </c>
      <c r="T77" s="50" t="str">
        <f t="shared" ref="T77:T140" si="30">IF(ISEVEN(LEFT(AD77,4)),"Southbound","NorthBound")</f>
        <v>NorthBound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31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https://search-rtdc-monitor-bjffxe2xuh6vdkpspy63sjmuny.us-east-1.es.amazonaws.com/_plugin/kibana/#/discover/Steve-Slow-Train-Analysis-(2080s-and-2083s)?_g=(refreshInterval:(display:Off,section:0,value:0),time:(from:'2016-12-07 10:26:08-700',mode:absolute,to:'2016-12-07 13:06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7" s="52" t="str">
        <f t="shared" ref="W77:W140" si="32">IF(AA77&lt;IF(AG77="EC",23,5.65),"Y","N")</f>
        <v>N</v>
      </c>
      <c r="X77" s="177">
        <f t="shared" si="25"/>
        <v>1</v>
      </c>
      <c r="Y77" s="67">
        <f t="shared" ref="Y77:Y140" si="33">RIGHT(D77,LEN(D77)-4)/10000</f>
        <v>4.5999999999999999E-2</v>
      </c>
      <c r="Z77" s="67">
        <f t="shared" ref="Z77:Z140" si="34">RIGHT(H77,LEN(H77)-4)/10000</f>
        <v>23.3293</v>
      </c>
      <c r="AA77" s="67">
        <f t="shared" ref="AA77:AA140" si="35">ABS(Z77-Y77)</f>
        <v>23.283300000000001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ref="AD77:AD140" si="36">IF(LEN(A77)=6,"0"&amp;A77,A77)</f>
        <v>0163-07</v>
      </c>
      <c r="AE77" s="91" t="str">
        <f t="shared" ref="AE77:AE140" si="37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77" s="88" t="str">
        <f t="shared" ref="AF77:AF140" si="38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/stypes="app*4009*20161207*" /stext=" 19:.+((SYSTEM_STATE.+slice.+state.+changed )|(ment ac)|(multiple cpu faults)|(system.+state.+changed )|(\[timeout)|(PRM\|1\|D)|(kpr)|(kdp)|(\|lc)|(penalty))" /e /r /s</v>
      </c>
      <c r="AG77" s="1" t="str">
        <f t="shared" ref="AG77:AG140" si="39">IFERROR(IF(VALUE(LEFT(AD77,2))&lt;=2,"EC",IF(OR(VALUE(LEFT(AD77,2))=8,VALUE(LEFT(AD77,2))=18),"NW","Other")),"Other")</f>
        <v>EC</v>
      </c>
      <c r="AH77" s="92" t="str">
        <f t="shared" si="26"/>
        <v>"%USERPROFILE%\Documents\GitHub\eaglep3\Utilities\RefineRTDCRunTimes.py" --tripid 163-07 --locoid 4009 --swversion DE.1.0.8.0 --startMP 204:460 --initTime 2016-12-07T11:26:08 --startdatetime 2016-12-07T11:32:19 --delay 2 --endMP 204:233293 --enddatetime 2016-12-07T12:06:38 --enforcementcount 0 &gt;&gt;C:\Users\stu\Documents\GitHub\eaglep3-reporting\EC\2016-12-07-refined-times.txt</v>
      </c>
      <c r="AI77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{"issue":{"subject":"","project_id":79,"tracker_id":40,"status_id":1,"priority_id":2,"assigned_to_id":23,"start_date":"2016-12-07","description":"","custom_fields":[{"id":1,"name":"Subdivision","value":"EC"},{"id":4,"name":"Milepost","value":"23.3293"},{"id":17,"name":"Train ID","value":"163-07"},{"id":16,"name":"Locomotive ID","value":"4009"},{"id":130,"name":"Impact","value":""},{"id":150,"name":"Time of Event (Mountain Time)","value":"12:06:38"},{"id":151,"name":"Denver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567</v>
      </c>
      <c r="B78" s="7">
        <v>4010</v>
      </c>
      <c r="C78" s="22" t="s">
        <v>207</v>
      </c>
      <c r="D78" s="22" t="s">
        <v>403</v>
      </c>
      <c r="E78" s="13">
        <v>42711.513726851852</v>
      </c>
      <c r="F78" s="13">
        <v>42711.518229166664</v>
      </c>
      <c r="G78" s="7">
        <v>1</v>
      </c>
      <c r="H78" s="22" t="s">
        <v>209</v>
      </c>
      <c r="I78" s="13">
        <v>42711.544687499998</v>
      </c>
      <c r="J78" s="7">
        <v>0</v>
      </c>
      <c r="K78" s="109" t="str">
        <f t="shared" si="28"/>
        <v>4009/4010</v>
      </c>
      <c r="L78" s="22" t="str">
        <f>VLOOKUP(A78,'Trips&amp;Operators'!$C$1:$G$99999,5,FALSE)</f>
        <v>HELVIE ADAM</v>
      </c>
      <c r="M78" s="6">
        <f t="shared" si="29"/>
        <v>2.6458333333721384E-2</v>
      </c>
      <c r="N78" s="7">
        <f t="shared" si="22"/>
        <v>38.100000000558794</v>
      </c>
      <c r="O78" s="7"/>
      <c r="P78" s="7"/>
      <c r="Q78" s="23"/>
      <c r="R78" s="23"/>
      <c r="S78" s="35">
        <f t="shared" si="23"/>
        <v>1</v>
      </c>
      <c r="T78" s="50" t="str">
        <f t="shared" si="30"/>
        <v>Southbound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11:19:46-700',mode:absolute,to:'2016-12-07 14:04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8" s="52" t="str">
        <f t="shared" si="32"/>
        <v>N</v>
      </c>
      <c r="X78" s="177">
        <f t="shared" si="25"/>
        <v>1</v>
      </c>
      <c r="Y78" s="67">
        <f t="shared" si="33"/>
        <v>23.296500000000002</v>
      </c>
      <c r="Z78" s="67">
        <f t="shared" si="34"/>
        <v>1.5800000000000002E-2</v>
      </c>
      <c r="AA78" s="67">
        <f t="shared" si="35"/>
        <v>23.280700000000003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36"/>
        <v>0164-07</v>
      </c>
      <c r="AE78" s="91" t="str">
        <f t="shared" si="37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78" s="88" t="str">
        <f t="shared" si="38"/>
        <v>"C:\Program Files (x86)\AstroGrep\AstroGrep.exe" /spath="%USERPROFILE%\AppData\Local\Temp\OnboardLogs" /stypes="app*4010*20161207*" /stext=" 20:.+((SYSTEM_STATE.+slice.+state.+changed )|(ment ac)|(multiple cpu faults)|(system.+state.+changed )|(\[timeout)|(PRM\|1\|D)|(kpr)|(kdp)|(\|lc)|(penalty))" /e /r /s</v>
      </c>
      <c r="AG78" s="1" t="str">
        <f t="shared" si="39"/>
        <v>EC</v>
      </c>
      <c r="AH78" s="92" t="str">
        <f t="shared" si="26"/>
        <v>"%USERPROFILE%\Documents\GitHub\eaglep3\Utilities\RefineRTDCRunTimes.py" --tripid 164-07 --locoid 4010 --swversion DE.1.0.8.0 --startMP 204:232965 --initTime 2016-12-07T12:19:46 --startdatetime 2016-12-07T12:26:15 --delay 1 --endMP 204:158 --enddatetime 2016-12-07T13:04:21 --enforcementcount 0 &gt;&gt;C:\Users\stu\Documents\GitHub\eaglep3-reporting\EC\2016-12-07-refined-times.txt</v>
      </c>
      <c r="AI78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{"issue":{"subject":"","project_id":79,"tracker_id":40,"status_id":1,"priority_id":2,"assigned_to_id":23,"start_date":"2016-12-07","description":"","custom_fields":[{"id":1,"name":"Subdivision","value":"EC"},{"id":4,"name":"Milepost","value":"0.0158"},{"id":17,"name":"Train ID","value":"164-07"},{"id":16,"name":"Locomotive ID","value":"4010"},{"id":130,"name":"Impact","value":""},{"id":150,"name":"Time of Event (Mountain Time)","value":"13:04:21"},{"id":151,"name":"Denver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558</v>
      </c>
      <c r="B79" s="7">
        <v>4020</v>
      </c>
      <c r="C79" s="22" t="s">
        <v>207</v>
      </c>
      <c r="D79" s="22" t="s">
        <v>238</v>
      </c>
      <c r="E79" s="13">
        <v>42711.488900462966</v>
      </c>
      <c r="F79" s="13">
        <v>42711.491180555553</v>
      </c>
      <c r="G79" s="7">
        <v>1</v>
      </c>
      <c r="H79" s="22" t="s">
        <v>287</v>
      </c>
      <c r="I79" s="13">
        <v>42711.515393518515</v>
      </c>
      <c r="J79" s="7">
        <v>0</v>
      </c>
      <c r="K79" s="109" t="str">
        <f t="shared" si="28"/>
        <v>4019/4020</v>
      </c>
      <c r="L79" s="22" t="str">
        <f>VLOOKUP(A79,'Trips&amp;Operators'!$C$1:$G$99999,5,FALSE)</f>
        <v>ADANE ELSHADAY</v>
      </c>
      <c r="M79" s="6">
        <f t="shared" si="29"/>
        <v>2.421296296233777E-2</v>
      </c>
      <c r="N79" s="7">
        <f t="shared" si="22"/>
        <v>34.866666665766388</v>
      </c>
      <c r="O79" s="7"/>
      <c r="P79" s="7"/>
      <c r="Q79" s="23"/>
      <c r="R79" s="23"/>
      <c r="S79" s="35">
        <f t="shared" si="23"/>
        <v>1</v>
      </c>
      <c r="T79" s="50" t="str">
        <f t="shared" si="30"/>
        <v>NorthBound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10:44:01-700',mode:absolute,to:'2016-12-07 13:22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79" s="52" t="str">
        <f t="shared" si="32"/>
        <v>N</v>
      </c>
      <c r="X79" s="177">
        <f t="shared" si="25"/>
        <v>1</v>
      </c>
      <c r="Y79" s="67">
        <f t="shared" si="33"/>
        <v>4.4200000000000003E-2</v>
      </c>
      <c r="Z79" s="67">
        <f t="shared" si="34"/>
        <v>23.331199999999999</v>
      </c>
      <c r="AA79" s="67">
        <f t="shared" si="35"/>
        <v>23.286999999999999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36"/>
        <v>0165-07</v>
      </c>
      <c r="AE79" s="91" t="str">
        <f t="shared" si="37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79" s="88" t="str">
        <f t="shared" si="38"/>
        <v>"C:\Program Files (x86)\AstroGrep\AstroGrep.exe" /spath="%USERPROFILE%\AppData\Local\Temp\OnboardLogs" /stypes="app*4020*20161207*" /stext=" 19:.+((SYSTEM_STATE.+slice.+state.+changed )|(ment ac)|(multiple cpu faults)|(system.+state.+changed )|(\[timeout)|(PRM\|1\|D)|(kpr)|(kdp)|(\|lc)|(penalty))" /e /r /s</v>
      </c>
      <c r="AG79" s="1" t="str">
        <f t="shared" si="39"/>
        <v>EC</v>
      </c>
      <c r="AH79" s="92" t="str">
        <f t="shared" si="26"/>
        <v>"%USERPROFILE%\Documents\GitHub\eaglep3\Utilities\RefineRTDCRunTimes.py" --tripid 165-07 --locoid 4020 --swversion DE.1.0.8.0 --startMP 204:442 --initTime 2016-12-07T11:44:01 --startdatetime 2016-12-07T11:47:18 --delay 1 --endMP 204:233312 --enddatetime 2016-12-07T12:22:10 --enforcementcount 0 &gt;&gt;C:\Users\stu\Documents\GitHub\eaglep3-reporting\EC\2016-12-07-refined-times.txt</v>
      </c>
      <c r="AI79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{"issue":{"subject":"","project_id":79,"tracker_id":40,"status_id":1,"priority_id":2,"assigned_to_id":23,"start_date":"2016-12-07","description":"","custom_fields":[{"id":1,"name":"Subdivision","value":"EC"},{"id":4,"name":"Milepost","value":"23.3312"},{"id":17,"name":"Train ID","value":"165-07"},{"id":16,"name":"Locomotive ID","value":"4020"},{"id":130,"name":"Impact","value":""},{"id":150,"name":"Time of Event (Mountain Time)","value":"12:22:10"},{"id":151,"name":"Denver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569</v>
      </c>
      <c r="B80" s="7">
        <v>4019</v>
      </c>
      <c r="C80" s="22" t="s">
        <v>207</v>
      </c>
      <c r="D80" s="22" t="s">
        <v>330</v>
      </c>
      <c r="E80" s="13">
        <v>42711.522048611114</v>
      </c>
      <c r="F80" s="13">
        <v>42711.528935185182</v>
      </c>
      <c r="G80" s="7">
        <v>1</v>
      </c>
      <c r="H80" s="22" t="s">
        <v>193</v>
      </c>
      <c r="I80" s="13">
        <v>42711.554872685185</v>
      </c>
      <c r="J80" s="7">
        <v>0</v>
      </c>
      <c r="K80" s="109" t="str">
        <f t="shared" si="28"/>
        <v>4019/4020</v>
      </c>
      <c r="L80" s="22" t="str">
        <f>VLOOKUP(A80,'Trips&amp;Operators'!$C$1:$G$99999,5,FALSE)</f>
        <v>ADANE ELSHADAY</v>
      </c>
      <c r="M80" s="6">
        <f t="shared" si="29"/>
        <v>2.5937500002328306E-2</v>
      </c>
      <c r="N80" s="7">
        <f t="shared" si="22"/>
        <v>37.350000003352761</v>
      </c>
      <c r="O80" s="7"/>
      <c r="P80" s="7"/>
      <c r="Q80" s="23"/>
      <c r="R80" s="23"/>
      <c r="S80" s="35">
        <f t="shared" si="23"/>
        <v>1</v>
      </c>
      <c r="T80" s="50" t="str">
        <f t="shared" si="30"/>
        <v>Southbound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11:31:45-700',mode:absolute,to:'2016-12-07 14:19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80" s="52" t="str">
        <f t="shared" si="32"/>
        <v>N</v>
      </c>
      <c r="X80" s="177">
        <f t="shared" si="25"/>
        <v>1</v>
      </c>
      <c r="Y80" s="67">
        <f t="shared" si="33"/>
        <v>23.299399999999999</v>
      </c>
      <c r="Z80" s="67">
        <f t="shared" si="34"/>
        <v>1.43E-2</v>
      </c>
      <c r="AA80" s="67">
        <f t="shared" si="35"/>
        <v>23.2851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36"/>
        <v>0166-07</v>
      </c>
      <c r="AE80" s="91" t="str">
        <f t="shared" si="37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80" s="88" t="str">
        <f t="shared" si="38"/>
        <v>"C:\Program Files (x86)\AstroGrep\AstroGrep.exe" /spath="%USERPROFILE%\AppData\Local\Temp\OnboardLogs" /stypes="app*4019*20161207*" /stext=" 20:.+((SYSTEM_STATE.+slice.+state.+changed )|(ment ac)|(multiple cpu faults)|(system.+state.+changed )|(\[timeout)|(PRM\|1\|D)|(kpr)|(kdp)|(\|lc)|(penalty))" /e /r /s</v>
      </c>
      <c r="AG80" s="1" t="str">
        <f t="shared" si="39"/>
        <v>EC</v>
      </c>
      <c r="AH80" s="92" t="str">
        <f t="shared" si="26"/>
        <v>"%USERPROFILE%\Documents\GitHub\eaglep3\Utilities\RefineRTDCRunTimes.py" --tripid 166-07 --locoid 4019 --swversion DE.1.0.8.0 --startMP 204:232994 --initTime 2016-12-07T12:31:45 --startdatetime 2016-12-07T12:41:40 --delay 1 --endMP 204:143 --enddatetime 2016-12-07T13:19:01 --enforcementcount 0 &gt;&gt;C:\Users\stu\Documents\GitHub\eaglep3-reporting\EC\2016-12-07-refined-times.txt</v>
      </c>
      <c r="AI80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{"issue":{"subject":"","project_id":79,"tracker_id":40,"status_id":1,"priority_id":2,"assigned_to_id":23,"start_date":"2016-12-07","description":"","custom_fields":[{"id":1,"name":"Subdivision","value":"EC"},{"id":4,"name":"Milepost","value":"0.0143"},{"id":17,"name":"Train ID","value":"166-07"},{"id":16,"name":"Locomotive ID","value":"4019"},{"id":130,"name":"Impact","value":""},{"id":150,"name":"Time of Event (Mountain Time)","value":"13:19:01"},{"id":151,"name":"Denver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561</v>
      </c>
      <c r="B81" s="7">
        <v>4044</v>
      </c>
      <c r="C81" s="22" t="s">
        <v>207</v>
      </c>
      <c r="D81" s="22" t="s">
        <v>252</v>
      </c>
      <c r="E81" s="13">
        <v>42711.496365740742</v>
      </c>
      <c r="F81" s="13">
        <v>42711.500358796293</v>
      </c>
      <c r="G81" s="7">
        <v>1</v>
      </c>
      <c r="H81" s="22" t="s">
        <v>401</v>
      </c>
      <c r="I81" s="13">
        <v>42711.525775462964</v>
      </c>
      <c r="J81" s="7">
        <v>0</v>
      </c>
      <c r="K81" s="109" t="str">
        <f t="shared" si="28"/>
        <v>4043/4044</v>
      </c>
      <c r="L81" s="22" t="str">
        <f>VLOOKUP(A81,'Trips&amp;Operators'!$C$1:$G$99999,5,FALSE)</f>
        <v>LOPES KIMBERLY</v>
      </c>
      <c r="M81" s="6">
        <f t="shared" si="29"/>
        <v>2.5416666670935228E-2</v>
      </c>
      <c r="N81" s="7">
        <f t="shared" si="22"/>
        <v>36.600000006146729</v>
      </c>
      <c r="O81" s="7"/>
      <c r="P81" s="7"/>
      <c r="Q81" s="23"/>
      <c r="R81" s="23"/>
      <c r="S81" s="35">
        <f t="shared" si="23"/>
        <v>1</v>
      </c>
      <c r="T81" s="50" t="str">
        <f t="shared" si="30"/>
        <v>NorthBound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10:54:46-700',mode:absolute,to:'2016-12-07 13:37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1" s="52" t="str">
        <f t="shared" si="32"/>
        <v>N</v>
      </c>
      <c r="X81" s="177">
        <f t="shared" si="25"/>
        <v>1</v>
      </c>
      <c r="Y81" s="67">
        <f t="shared" si="33"/>
        <v>4.6699999999999998E-2</v>
      </c>
      <c r="Z81" s="67">
        <f t="shared" si="34"/>
        <v>23.330500000000001</v>
      </c>
      <c r="AA81" s="67">
        <f t="shared" si="35"/>
        <v>23.283799999999999</v>
      </c>
      <c r="AB81" s="64" t="e">
        <f>VLOOKUP(A81,Enforcements!$C$7:$K$20,8,0)</f>
        <v>#N/A</v>
      </c>
      <c r="AC81" s="60" t="e">
        <f>VLOOKUP(A81,Enforcements!$C$7:$E$20,3,0)</f>
        <v>#N/A</v>
      </c>
      <c r="AD81" s="61" t="str">
        <f t="shared" si="36"/>
        <v>0167-07</v>
      </c>
      <c r="AE81" s="91" t="str">
        <f t="shared" si="37"/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81" s="88" t="str">
        <f t="shared" si="38"/>
        <v>"C:\Program Files (x86)\AstroGrep\AstroGrep.exe" /spath="%USERPROFILE%\AppData\Local\Temp\OnboardLogs" /stypes="app*4044*20161207*" /stext=" 19:.+((SYSTEM_STATE.+slice.+state.+changed )|(ment ac)|(multiple cpu faults)|(system.+state.+changed )|(\[timeout)|(PRM\|1\|D)|(kpr)|(kdp)|(\|lc)|(penalty))" /e /r /s</v>
      </c>
      <c r="AG81" s="1" t="str">
        <f t="shared" si="39"/>
        <v>EC</v>
      </c>
      <c r="AH81" s="92" t="str">
        <f t="shared" si="26"/>
        <v>"%USERPROFILE%\Documents\GitHub\eaglep3\Utilities\RefineRTDCRunTimes.py" --tripid 167-07 --locoid 4044 --swversion DE.1.0.8.0 --startMP 204:467 --initTime 2016-12-07T11:54:46 --startdatetime 2016-12-07T12:00:31 --delay 1 --endMP 204:233305 --enddatetime 2016-12-07T12:37:07 --enforcementcount 0 &gt;&gt;C:\Users\stu\Documents\GitHub\eaglep3-reporting\EC\2016-12-07-refined-times.txt</v>
      </c>
      <c r="AI81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{"issue":{"subject":"","project_id":79,"tracker_id":40,"status_id":1,"priority_id":2,"assigned_to_id":23,"start_date":"2016-12-07","description":"","custom_fields":[{"id":1,"name":"Subdivision","value":"EC"},{"id":4,"name":"Milepost","value":"23.3305"},{"id":17,"name":"Train ID","value":"167-07"},{"id":16,"name":"Locomotive ID","value":"4044"},{"id":130,"name":"Impact","value":""},{"id":150,"name":"Time of Event (Mountain Time)","value":"12:37:07"},{"id":151,"name":"Denver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462</v>
      </c>
      <c r="B82" s="7">
        <v>4043</v>
      </c>
      <c r="C82" s="22" t="s">
        <v>207</v>
      </c>
      <c r="D82" s="22" t="s">
        <v>717</v>
      </c>
      <c r="E82" s="13">
        <v>42711.530624999999</v>
      </c>
      <c r="F82" s="13">
        <v>42711.539201388892</v>
      </c>
      <c r="G82" s="7">
        <v>1</v>
      </c>
      <c r="H82" s="22" t="s">
        <v>240</v>
      </c>
      <c r="I82" s="13">
        <v>42711.569525462961</v>
      </c>
      <c r="J82" s="7">
        <v>0</v>
      </c>
      <c r="K82" s="109" t="str">
        <f t="shared" si="28"/>
        <v>4043/4044</v>
      </c>
      <c r="L82" s="22" t="str">
        <f>VLOOKUP(A82,'Trips&amp;Operators'!$C$1:$G$99999,5,FALSE)</f>
        <v>LOPES KIMBERLY</v>
      </c>
      <c r="M82" s="6">
        <f t="shared" si="29"/>
        <v>3.032407406863058E-2</v>
      </c>
      <c r="N82" s="7">
        <f t="shared" si="22"/>
        <v>43.666666658828035</v>
      </c>
      <c r="O82" s="7"/>
      <c r="P82" s="7"/>
      <c r="Q82" s="23"/>
      <c r="R82" s="23"/>
      <c r="S82" s="35">
        <f t="shared" si="23"/>
        <v>1</v>
      </c>
      <c r="T82" s="50" t="str">
        <f t="shared" si="30"/>
        <v>Southbound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11:44:06-700',mode:absolute,to:'2016-12-07 14:40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2" s="52" t="str">
        <f t="shared" si="32"/>
        <v>N</v>
      </c>
      <c r="X82" s="177">
        <f t="shared" si="25"/>
        <v>1</v>
      </c>
      <c r="Y82" s="67">
        <f t="shared" si="33"/>
        <v>23.2988</v>
      </c>
      <c r="Z82" s="67">
        <f t="shared" si="34"/>
        <v>1.61E-2</v>
      </c>
      <c r="AA82" s="67">
        <f t="shared" si="35"/>
        <v>23.282699999999998</v>
      </c>
      <c r="AB82" s="64" t="str">
        <f>VLOOKUP(A82,Enforcements!$C$7:$K$20,8,0)</f>
        <v>Speed (6)</v>
      </c>
      <c r="AC82" s="60" t="str">
        <f>VLOOKUP(A82,Enforcements!$C$7:$E$20,3,0)</f>
        <v>PERMANENT SPEED RESTRICTION</v>
      </c>
      <c r="AD82" s="61" t="str">
        <f t="shared" si="36"/>
        <v>0168-07</v>
      </c>
      <c r="AE82" s="91" t="str">
        <f t="shared" si="37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82" s="88" t="str">
        <f t="shared" si="38"/>
        <v>"C:\Program Files (x86)\AstroGrep\AstroGrep.exe" /spath="%USERPROFILE%\AppData\Local\Temp\OnboardLogs" /stypes="app*4043*20161207*" /stext=" 20:.+((SYSTEM_STATE.+slice.+state.+changed )|(ment ac)|(multiple cpu faults)|(system.+state.+changed )|(\[timeout)|(PRM\|1\|D)|(kpr)|(kdp)|(\|lc)|(penalty))" /e /r /s</v>
      </c>
      <c r="AG82" s="1" t="str">
        <f t="shared" si="39"/>
        <v>EC</v>
      </c>
      <c r="AH82" s="92" t="str">
        <f t="shared" si="26"/>
        <v>"%USERPROFILE%\Documents\GitHub\eaglep3\Utilities\RefineRTDCRunTimes.py" --tripid 168-07 --locoid 4043 --swversion DE.1.0.8.0 --startMP 204:232988 --initTime 2016-12-07T12:44:06 --startdatetime 2016-12-07T12:56:27 --delay 1 --endMP 204:161 --enddatetime 2016-12-07T13:40:07 --enforcementcount 0 &gt;&gt;C:\Users\stu\Documents\GitHub\eaglep3-reporting\EC\2016-12-07-refined-times.txt</v>
      </c>
      <c r="AI82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{"issue":{"subject":"","project_id":79,"tracker_id":40,"status_id":1,"priority_id":2,"assigned_to_id":23,"start_date":"2016-12-07","description":"","custom_fields":[{"id":1,"name":"Subdivision","value":"EC"},{"id":4,"name":"Milepost","value":"0.0161"},{"id":17,"name":"Train ID","value":"168-07"},{"id":16,"name":"Locomotive ID","value":"4043"},{"id":130,"name":"Impact","value":""},{"id":150,"name":"Time of Event (Mountain Time)","value":"13:40:07"},{"id":151,"name":"Denver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566</v>
      </c>
      <c r="B83" s="7">
        <v>4002</v>
      </c>
      <c r="C83" s="22" t="s">
        <v>207</v>
      </c>
      <c r="D83" s="22" t="s">
        <v>268</v>
      </c>
      <c r="E83" s="13">
        <v>42711.508935185186</v>
      </c>
      <c r="F83" s="13">
        <v>42711.511354166665</v>
      </c>
      <c r="G83" s="7">
        <v>2</v>
      </c>
      <c r="H83" s="22" t="s">
        <v>286</v>
      </c>
      <c r="I83" s="13">
        <v>42711.536134259259</v>
      </c>
      <c r="J83" s="7">
        <v>0</v>
      </c>
      <c r="K83" s="109" t="str">
        <f t="shared" si="28"/>
        <v>4001/4002</v>
      </c>
      <c r="L83" s="22" t="str">
        <f>VLOOKUP(A83,'Trips&amp;Operators'!$C$1:$G$99999,5,FALSE)</f>
        <v>BRUDER RICHARD</v>
      </c>
      <c r="M83" s="6">
        <f t="shared" si="29"/>
        <v>2.4780092593573499E-2</v>
      </c>
      <c r="N83" s="7">
        <f t="shared" si="22"/>
        <v>35.683333334745839</v>
      </c>
      <c r="O83" s="7"/>
      <c r="P83" s="7"/>
      <c r="Q83" s="23"/>
      <c r="R83" s="23"/>
      <c r="S83" s="35">
        <f t="shared" si="23"/>
        <v>1</v>
      </c>
      <c r="T83" s="50" t="str">
        <f t="shared" si="30"/>
        <v>NorthBound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11:12:52-700',mode:absolute,to:'2016-12-07 13:52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83" s="52" t="str">
        <f t="shared" si="32"/>
        <v>N</v>
      </c>
      <c r="X83" s="177">
        <f t="shared" si="25"/>
        <v>1</v>
      </c>
      <c r="Y83" s="67">
        <f t="shared" si="33"/>
        <v>4.58E-2</v>
      </c>
      <c r="Z83" s="67">
        <f t="shared" si="34"/>
        <v>23.331</v>
      </c>
      <c r="AA83" s="67">
        <f t="shared" si="35"/>
        <v>23.2852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36"/>
        <v>0169-07</v>
      </c>
      <c r="AE83" s="91" t="str">
        <f t="shared" si="37"/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83" s="88" t="str">
        <f t="shared" si="38"/>
        <v>"C:\Program Files (x86)\AstroGrep\AstroGrep.exe" /spath="%USERPROFILE%\AppData\Local\Temp\OnboardLogs" /stypes="app*4002*20161207*" /stext=" 19:.+((SYSTEM_STATE.+slice.+state.+changed )|(ment ac)|(multiple cpu faults)|(system.+state.+changed )|(\[timeout)|(PRM\|1\|D)|(kpr)|(kdp)|(\|lc)|(penalty))" /e /r /s</v>
      </c>
      <c r="AG83" s="1" t="str">
        <f t="shared" si="39"/>
        <v>EC</v>
      </c>
      <c r="AH83" s="92" t="str">
        <f t="shared" si="26"/>
        <v>"%USERPROFILE%\Documents\GitHub\eaglep3\Utilities\RefineRTDCRunTimes.py" --tripid 169-07 --locoid 4002 --swversion DE.1.0.8.0 --startMP 204:458 --initTime 2016-12-07T12:12:52 --startdatetime 2016-12-07T12:16:21 --delay 2 --endMP 204:233310 --enddatetime 2016-12-07T12:52:02 --enforcementcount 0 &gt;&gt;C:\Users\stu\Documents\GitHub\eaglep3-reporting\EC\2016-12-07-refined-times.txt</v>
      </c>
      <c r="AI83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{"issue":{"subject":"","project_id":79,"tracker_id":40,"status_id":1,"priority_id":2,"assigned_to_id":23,"start_date":"2016-12-07","description":"","custom_fields":[{"id":1,"name":"Subdivision","value":"EC"},{"id":4,"name":"Milepost","value":"23.331"},{"id":17,"name":"Train ID","value":"169-07"},{"id":16,"name":"Locomotive ID","value":"4002"},{"id":130,"name":"Impact","value":""},{"id":150,"name":"Time of Event (Mountain Time)","value":"12:52:02"},{"id":151,"name":"Denver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573</v>
      </c>
      <c r="B84" s="7">
        <v>4001</v>
      </c>
      <c r="C84" s="22" t="s">
        <v>207</v>
      </c>
      <c r="D84" s="22" t="s">
        <v>330</v>
      </c>
      <c r="E84" s="13">
        <v>42711.545810185184</v>
      </c>
      <c r="F84" s="13">
        <v>42711.549537037034</v>
      </c>
      <c r="G84" s="7">
        <v>1</v>
      </c>
      <c r="H84" s="22" t="s">
        <v>319</v>
      </c>
      <c r="I84" s="13">
        <v>42711.578229166669</v>
      </c>
      <c r="J84" s="7">
        <v>0</v>
      </c>
      <c r="K84" s="109" t="str">
        <f t="shared" si="28"/>
        <v>4001/4002</v>
      </c>
      <c r="L84" s="22" t="str">
        <f>VLOOKUP(A84,'Trips&amp;Operators'!$C$1:$G$99999,5,FALSE)</f>
        <v>BRUDER RICHARD</v>
      </c>
      <c r="M84" s="6">
        <f t="shared" si="29"/>
        <v>2.8692129635601304E-2</v>
      </c>
      <c r="N84" s="7">
        <f t="shared" si="22"/>
        <v>41.316666675265878</v>
      </c>
      <c r="O84" s="7"/>
      <c r="P84" s="7"/>
      <c r="Q84" s="23"/>
      <c r="R84" s="23"/>
      <c r="S84" s="35">
        <f t="shared" si="23"/>
        <v>1</v>
      </c>
      <c r="T84" s="50" t="str">
        <f t="shared" si="30"/>
        <v>Southbound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12:05:58-700',mode:absolute,to:'2016-12-07 14:52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84" s="52" t="str">
        <f t="shared" si="32"/>
        <v>N</v>
      </c>
      <c r="X84" s="177">
        <f t="shared" si="25"/>
        <v>1</v>
      </c>
      <c r="Y84" s="67">
        <f t="shared" si="33"/>
        <v>23.299399999999999</v>
      </c>
      <c r="Z84" s="67">
        <f t="shared" si="34"/>
        <v>1.52E-2</v>
      </c>
      <c r="AA84" s="67">
        <f t="shared" si="35"/>
        <v>23.284199999999998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36"/>
        <v>0170-07</v>
      </c>
      <c r="AE84" s="91" t="str">
        <f t="shared" si="37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84" s="88" t="str">
        <f t="shared" si="38"/>
        <v>"C:\Program Files (x86)\AstroGrep\AstroGrep.exe" /spath="%USERPROFILE%\AppData\Local\Temp\OnboardLogs" /stypes="app*4001*20161207*" /stext=" 20:.+((SYSTEM_STATE.+slice.+state.+changed )|(ment ac)|(multiple cpu faults)|(system.+state.+changed )|(\[timeout)|(PRM\|1\|D)|(kpr)|(kdp)|(\|lc)|(penalty))" /e /r /s</v>
      </c>
      <c r="AG84" s="1" t="str">
        <f t="shared" si="39"/>
        <v>EC</v>
      </c>
      <c r="AH84" s="92" t="str">
        <f t="shared" si="26"/>
        <v>"%USERPROFILE%\Documents\GitHub\eaglep3\Utilities\RefineRTDCRunTimes.py" --tripid 170-07 --locoid 4001 --swversion DE.1.0.8.0 --startMP 204:232994 --initTime 2016-12-07T13:05:58 --startdatetime 2016-12-07T13:11:20 --delay 1 --endMP 204:152 --enddatetime 2016-12-07T13:52:39 --enforcementcount 0 &gt;&gt;C:\Users\stu\Documents\GitHub\eaglep3-reporting\EC\2016-12-07-refined-times.txt</v>
      </c>
      <c r="AI84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{"issue":{"subject":"","project_id":79,"tracker_id":40,"status_id":1,"priority_id":2,"assigned_to_id":23,"start_date":"2016-12-07","description":"","custom_fields":[{"id":1,"name":"Subdivision","value":"EC"},{"id":4,"name":"Milepost","value":"0.0152"},{"id":17,"name":"Train ID","value":"170-07"},{"id":16,"name":"Locomotive ID","value":"4001"},{"id":130,"name":"Impact","value":""},{"id":150,"name":"Time of Event (Mountain Time)","value":"13:52:39"},{"id":151,"name":"Denver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568</v>
      </c>
      <c r="B85" s="7">
        <v>4016</v>
      </c>
      <c r="C85" s="22" t="s">
        <v>207</v>
      </c>
      <c r="D85" s="22" t="s">
        <v>718</v>
      </c>
      <c r="E85" s="13">
        <v>42711.519074074073</v>
      </c>
      <c r="F85" s="13">
        <v>42711.521481481483</v>
      </c>
      <c r="G85" s="7">
        <v>1</v>
      </c>
      <c r="H85" s="22" t="s">
        <v>248</v>
      </c>
      <c r="I85" s="13">
        <v>42711.547152777777</v>
      </c>
      <c r="J85" s="7">
        <v>0</v>
      </c>
      <c r="K85" s="109" t="str">
        <f t="shared" si="28"/>
        <v>4015/4016</v>
      </c>
      <c r="L85" s="22" t="str">
        <f>VLOOKUP(A85,'Trips&amp;Operators'!$C$1:$G$99999,5,FALSE)</f>
        <v>STORY SAMANTHA</v>
      </c>
      <c r="M85" s="6">
        <f t="shared" si="29"/>
        <v>2.5671296294603962E-2</v>
      </c>
      <c r="N85" s="7">
        <f t="shared" si="22"/>
        <v>36.966666664229706</v>
      </c>
      <c r="O85" s="7"/>
      <c r="P85" s="7"/>
      <c r="Q85" s="23"/>
      <c r="R85" s="23"/>
      <c r="S85" s="35">
        <f t="shared" si="23"/>
        <v>1</v>
      </c>
      <c r="T85" s="50" t="str">
        <f t="shared" si="30"/>
        <v>NorthBound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11:27:28-700',mode:absolute,to:'2016-12-07 14:07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85" s="52" t="str">
        <f t="shared" si="32"/>
        <v>N</v>
      </c>
      <c r="X85" s="177">
        <f t="shared" si="25"/>
        <v>1</v>
      </c>
      <c r="Y85" s="67">
        <f t="shared" si="33"/>
        <v>4.3299999999999998E-2</v>
      </c>
      <c r="Z85" s="67">
        <f t="shared" si="34"/>
        <v>23.3307</v>
      </c>
      <c r="AA85" s="67">
        <f t="shared" si="35"/>
        <v>23.287400000000002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36"/>
        <v>0171-07</v>
      </c>
      <c r="AE85" s="91" t="str">
        <f t="shared" si="37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85" s="88" t="str">
        <f t="shared" si="38"/>
        <v>"C:\Program Files (x86)\AstroGrep\AstroGrep.exe" /spath="%USERPROFILE%\AppData\Local\Temp\OnboardLogs" /stypes="app*4016*20161207*" /stext=" 20:.+((SYSTEM_STATE.+slice.+state.+changed )|(ment ac)|(multiple cpu faults)|(system.+state.+changed )|(\[timeout)|(PRM\|1\|D)|(kpr)|(kdp)|(\|lc)|(penalty))" /e /r /s</v>
      </c>
      <c r="AG85" s="1" t="str">
        <f t="shared" si="39"/>
        <v>EC</v>
      </c>
      <c r="AH85" s="92" t="str">
        <f t="shared" si="26"/>
        <v>"%USERPROFILE%\Documents\GitHub\eaglep3\Utilities\RefineRTDCRunTimes.py" --tripid 171-07 --locoid 4016 --swversion DE.1.0.8.0 --startMP 204:433 --initTime 2016-12-07T12:27:28 --startdatetime 2016-12-07T12:30:56 --delay 1 --endMP 204:233307 --enddatetime 2016-12-07T13:07:54 --enforcementcount 0 &gt;&gt;C:\Users\stu\Documents\GitHub\eaglep3-reporting\EC\2016-12-07-refined-times.txt</v>
      </c>
      <c r="AI85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{"issue":{"subject":"","project_id":79,"tracker_id":40,"status_id":1,"priority_id":2,"assigned_to_id":23,"start_date":"2016-12-07","description":"","custom_fields":[{"id":1,"name":"Subdivision","value":"EC"},{"id":4,"name":"Milepost","value":"23.3307"},{"id":17,"name":"Train ID","value":"171-07"},{"id":16,"name":"Locomotive ID","value":"4016"},{"id":130,"name":"Impact","value":""},{"id":150,"name":"Time of Event (Mountain Time)","value":"13:07:54"},{"id":151,"name":"Denver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577</v>
      </c>
      <c r="B86" s="7">
        <v>4015</v>
      </c>
      <c r="C86" s="22" t="s">
        <v>207</v>
      </c>
      <c r="D86" s="22" t="s">
        <v>702</v>
      </c>
      <c r="E86" s="13">
        <v>42711.556018518517</v>
      </c>
      <c r="F86" s="13">
        <v>42711.560069444444</v>
      </c>
      <c r="G86" s="7">
        <v>2</v>
      </c>
      <c r="H86" s="22" t="s">
        <v>351</v>
      </c>
      <c r="I86" s="13">
        <v>42711.58871527778</v>
      </c>
      <c r="J86" s="7">
        <v>0</v>
      </c>
      <c r="K86" s="109" t="str">
        <f t="shared" si="28"/>
        <v>4015/4016</v>
      </c>
      <c r="L86" s="22" t="str">
        <f>VLOOKUP(A86,'Trips&amp;Operators'!$C$1:$G$99999,5,FALSE)</f>
        <v>STORY SAMANTHA</v>
      </c>
      <c r="M86" s="6">
        <f t="shared" si="29"/>
        <v>2.8645833335758653E-2</v>
      </c>
      <c r="N86" s="7">
        <f t="shared" si="22"/>
        <v>41.25000000349246</v>
      </c>
      <c r="O86" s="7"/>
      <c r="P86" s="7"/>
      <c r="Q86" s="23"/>
      <c r="R86" s="23"/>
      <c r="S86" s="35">
        <f t="shared" si="23"/>
        <v>1</v>
      </c>
      <c r="T86" s="50" t="str">
        <f t="shared" si="30"/>
        <v>Southbound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12:20:40-700',mode:absolute,to:'2016-12-07 15:07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86" s="52" t="str">
        <f t="shared" si="32"/>
        <v>N</v>
      </c>
      <c r="X86" s="177">
        <f t="shared" si="25"/>
        <v>1</v>
      </c>
      <c r="Y86" s="67">
        <f t="shared" si="33"/>
        <v>23.298200000000001</v>
      </c>
      <c r="Z86" s="67">
        <f t="shared" si="34"/>
        <v>1.23E-2</v>
      </c>
      <c r="AA86" s="67">
        <f t="shared" si="35"/>
        <v>23.285900000000002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36"/>
        <v>0172-07</v>
      </c>
      <c r="AE86" s="91" t="str">
        <f t="shared" si="37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86" s="88" t="str">
        <f t="shared" si="38"/>
        <v>"C:\Program Files (x86)\AstroGrep\AstroGrep.exe" /spath="%USERPROFILE%\AppData\Local\Temp\OnboardLogs" /stypes="app*4015*20161207*" /stext=" 21:.+((SYSTEM_STATE.+slice.+state.+changed )|(ment ac)|(multiple cpu faults)|(system.+state.+changed )|(\[timeout)|(PRM\|1\|D)|(kpr)|(kdp)|(\|lc)|(penalty))" /e /r /s</v>
      </c>
      <c r="AG86" s="1" t="str">
        <f t="shared" si="39"/>
        <v>EC</v>
      </c>
      <c r="AH86" s="92" t="str">
        <f t="shared" si="26"/>
        <v>"%USERPROFILE%\Documents\GitHub\eaglep3\Utilities\RefineRTDCRunTimes.py" --tripid 172-07 --locoid 4015 --swversion DE.1.0.8.0 --startMP 204:232982 --initTime 2016-12-07T13:20:40 --startdatetime 2016-12-07T13:26:30 --delay 2 --endMP 204:123 --enddatetime 2016-12-07T14:07:45 --enforcementcount 0 &gt;&gt;C:\Users\stu\Documents\GitHub\eaglep3-reporting\EC\2016-12-07-refined-times.txt</v>
      </c>
      <c r="AI86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{"issue":{"subject":"","project_id":79,"tracker_id":40,"status_id":1,"priority_id":2,"assigned_to_id":23,"start_date":"2016-12-07","description":"","custom_fields":[{"id":1,"name":"Subdivision","value":"EC"},{"id":4,"name":"Milepost","value":"0.0123"},{"id":17,"name":"Train ID","value":"172-07"},{"id":16,"name":"Locomotive ID","value":"4015"},{"id":130,"name":"Impact","value":""},{"id":150,"name":"Time of Event (Mountain Time)","value":"14:07:45"},{"id":151,"name":"Denver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571</v>
      </c>
      <c r="B87" s="7">
        <v>4014</v>
      </c>
      <c r="C87" s="22" t="s">
        <v>207</v>
      </c>
      <c r="D87" s="22" t="s">
        <v>346</v>
      </c>
      <c r="E87" s="13">
        <v>42711.531284722223</v>
      </c>
      <c r="F87" s="13">
        <v>42711.533078703702</v>
      </c>
      <c r="G87" s="7">
        <v>1</v>
      </c>
      <c r="H87" s="22" t="s">
        <v>287</v>
      </c>
      <c r="I87" s="13">
        <v>42711.558611111112</v>
      </c>
      <c r="J87" s="7">
        <v>0</v>
      </c>
      <c r="K87" s="109" t="str">
        <f t="shared" si="28"/>
        <v>4013/4014</v>
      </c>
      <c r="L87" s="22" t="str">
        <f>VLOOKUP(A87,'Trips&amp;Operators'!$C$1:$G$99999,5,FALSE)</f>
        <v>BONDS REYNALDO</v>
      </c>
      <c r="M87" s="6">
        <f t="shared" si="29"/>
        <v>2.5532407409627922E-2</v>
      </c>
      <c r="N87" s="7">
        <f t="shared" si="22"/>
        <v>36.766666669864208</v>
      </c>
      <c r="O87" s="7"/>
      <c r="P87" s="7"/>
      <c r="Q87" s="23"/>
      <c r="R87" s="23"/>
      <c r="S87" s="35">
        <f t="shared" si="23"/>
        <v>1</v>
      </c>
      <c r="T87" s="50" t="str">
        <f t="shared" si="30"/>
        <v>NorthBound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11:45:03-700',mode:absolute,to:'2016-12-07 14:24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87" s="52" t="str">
        <f t="shared" si="32"/>
        <v>N</v>
      </c>
      <c r="X87" s="177">
        <f t="shared" si="25"/>
        <v>1</v>
      </c>
      <c r="Y87" s="67">
        <f t="shared" si="33"/>
        <v>4.6199999999999998E-2</v>
      </c>
      <c r="Z87" s="67">
        <f t="shared" si="34"/>
        <v>23.331199999999999</v>
      </c>
      <c r="AA87" s="67">
        <f t="shared" si="35"/>
        <v>23.285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36"/>
        <v>0173-07</v>
      </c>
      <c r="AE87" s="91" t="str">
        <f t="shared" si="37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87" s="88" t="str">
        <f t="shared" si="38"/>
        <v>"C:\Program Files (x86)\AstroGrep\AstroGrep.exe" /spath="%USERPROFILE%\AppData\Local\Temp\OnboardLogs" /stypes="app*4014*20161207*" /stext=" 20:.+((SYSTEM_STATE.+slice.+state.+changed )|(ment ac)|(multiple cpu faults)|(system.+state.+changed )|(\[timeout)|(PRM\|1\|D)|(kpr)|(kdp)|(\|lc)|(penalty))" /e /r /s</v>
      </c>
      <c r="AG87" s="1" t="str">
        <f t="shared" si="39"/>
        <v>EC</v>
      </c>
      <c r="AH87" s="92" t="str">
        <f t="shared" si="26"/>
        <v>"%USERPROFILE%\Documents\GitHub\eaglep3\Utilities\RefineRTDCRunTimes.py" --tripid 173-07 --locoid 4014 --swversion DE.1.0.8.0 --startMP 204:462 --initTime 2016-12-07T12:45:03 --startdatetime 2016-12-07T12:47:38 --delay 1 --endMP 204:233312 --enddatetime 2016-12-07T13:24:24 --enforcementcount 0 &gt;&gt;C:\Users\stu\Documents\GitHub\eaglep3-reporting\EC\2016-12-07-refined-times.txt</v>
      </c>
      <c r="AI87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{"issue":{"subject":"","project_id":79,"tracker_id":40,"status_id":1,"priority_id":2,"assigned_to_id":23,"start_date":"2016-12-07","description":"","custom_fields":[{"id":1,"name":"Subdivision","value":"EC"},{"id":4,"name":"Milepost","value":"23.3312"},{"id":17,"name":"Train ID","value":"173-07"},{"id":16,"name":"Locomotive ID","value":"4014"},{"id":130,"name":"Impact","value":""},{"id":150,"name":"Time of Event (Mountain Time)","value":"13:24:24"},{"id":151,"name":"Denver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579</v>
      </c>
      <c r="B88" s="7">
        <v>4013</v>
      </c>
      <c r="C88" s="22" t="s">
        <v>207</v>
      </c>
      <c r="D88" s="22" t="s">
        <v>705</v>
      </c>
      <c r="E88" s="13">
        <v>42711.565243055556</v>
      </c>
      <c r="F88" s="13">
        <v>42711.570393518516</v>
      </c>
      <c r="G88" s="7">
        <v>1</v>
      </c>
      <c r="H88" s="22" t="s">
        <v>714</v>
      </c>
      <c r="I88" s="13">
        <v>42711.597245370373</v>
      </c>
      <c r="J88" s="7">
        <v>0</v>
      </c>
      <c r="K88" s="109" t="str">
        <f t="shared" si="28"/>
        <v>4013/4014</v>
      </c>
      <c r="L88" s="22" t="str">
        <f>VLOOKUP(A88,'Trips&amp;Operators'!$C$1:$G$99999,5,FALSE)</f>
        <v>BONDS REYNALDO</v>
      </c>
      <c r="M88" s="6">
        <f t="shared" si="29"/>
        <v>2.6851851856918074E-2</v>
      </c>
      <c r="N88" s="7">
        <f t="shared" si="22"/>
        <v>38.666666673962027</v>
      </c>
      <c r="O88" s="7"/>
      <c r="P88" s="7"/>
      <c r="Q88" s="23"/>
      <c r="R88" s="23"/>
      <c r="S88" s="35">
        <f t="shared" si="23"/>
        <v>1</v>
      </c>
      <c r="T88" s="50" t="str">
        <f t="shared" si="30"/>
        <v>Southbound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12:33:57-700',mode:absolute,to:'2016-12-07 15:20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88" s="52" t="str">
        <f t="shared" si="32"/>
        <v>N</v>
      </c>
      <c r="X88" s="177">
        <f t="shared" si="25"/>
        <v>1</v>
      </c>
      <c r="Y88" s="67">
        <f t="shared" si="33"/>
        <v>23.2987</v>
      </c>
      <c r="Z88" s="67">
        <f t="shared" si="34"/>
        <v>1.67E-2</v>
      </c>
      <c r="AA88" s="67">
        <f t="shared" si="35"/>
        <v>23.282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36"/>
        <v>0174-07</v>
      </c>
      <c r="AE88" s="91" t="str">
        <f t="shared" si="37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88" s="88" t="str">
        <f t="shared" si="38"/>
        <v>"C:\Program Files (x86)\AstroGrep\AstroGrep.exe" /spath="%USERPROFILE%\AppData\Local\Temp\OnboardLogs" /stypes="app*4013*20161207*" /stext=" 21:.+((SYSTEM_STATE.+slice.+state.+changed )|(ment ac)|(multiple cpu faults)|(system.+state.+changed )|(\[timeout)|(PRM\|1\|D)|(kpr)|(kdp)|(\|lc)|(penalty))" /e /r /s</v>
      </c>
      <c r="AG88" s="1" t="str">
        <f t="shared" si="39"/>
        <v>EC</v>
      </c>
      <c r="AH88" s="92" t="str">
        <f t="shared" si="26"/>
        <v>"%USERPROFILE%\Documents\GitHub\eaglep3\Utilities\RefineRTDCRunTimes.py" --tripid 174-07 --locoid 4013 --swversion DE.1.0.8.0 --startMP 204:232987 --initTime 2016-12-07T13:33:57 --startdatetime 2016-12-07T13:41:22 --delay 1 --endMP 204:167 --enddatetime 2016-12-07T14:20:02 --enforcementcount 0 &gt;&gt;C:\Users\stu\Documents\GitHub\eaglep3-reporting\EC\2016-12-07-refined-times.txt</v>
      </c>
      <c r="AI88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{"issue":{"subject":"","project_id":79,"tracker_id":40,"status_id":1,"priority_id":2,"assigned_to_id":23,"start_date":"2016-12-07","description":"","custom_fields":[{"id":1,"name":"Subdivision","value":"EC"},{"id":4,"name":"Milepost","value":"0.0167"},{"id":17,"name":"Train ID","value":"174-07"},{"id":16,"name":"Locomotive ID","value":"4013"},{"id":130,"name":"Impact","value":""},{"id":150,"name":"Time of Event (Mountain Time)","value":"14:20:02"},{"id":151,"name":"Denver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572</v>
      </c>
      <c r="B89" s="7">
        <v>4031</v>
      </c>
      <c r="C89" s="22" t="s">
        <v>207</v>
      </c>
      <c r="D89" s="22" t="s">
        <v>242</v>
      </c>
      <c r="E89" s="13">
        <v>42711.535729166666</v>
      </c>
      <c r="F89" s="13">
        <v>42711.542060185187</v>
      </c>
      <c r="G89" s="7">
        <v>1</v>
      </c>
      <c r="H89" s="22" t="s">
        <v>274</v>
      </c>
      <c r="I89" s="13">
        <v>42711.569074074076</v>
      </c>
      <c r="J89" s="7">
        <v>0</v>
      </c>
      <c r="K89" s="109" t="str">
        <f t="shared" si="28"/>
        <v>4031/4032</v>
      </c>
      <c r="L89" s="22" t="str">
        <f>VLOOKUP(A89,'Trips&amp;Operators'!$C$1:$G$99999,5,FALSE)</f>
        <v>BARTLETT KIANDRA</v>
      </c>
      <c r="M89" s="6">
        <f t="shared" si="29"/>
        <v>2.7013888888177462E-2</v>
      </c>
      <c r="N89" s="7">
        <f t="shared" si="22"/>
        <v>38.899999998975545</v>
      </c>
      <c r="O89" s="7"/>
      <c r="P89" s="7"/>
      <c r="Q89" s="23"/>
      <c r="R89" s="23"/>
      <c r="S89" s="35">
        <f t="shared" si="23"/>
        <v>1</v>
      </c>
      <c r="T89" s="50" t="str">
        <f t="shared" si="30"/>
        <v>NorthBound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11:51:27-700',mode:absolute,to:'2016-12-07 14:39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9" s="52" t="str">
        <f t="shared" si="32"/>
        <v>N</v>
      </c>
      <c r="X89" s="177">
        <f t="shared" si="25"/>
        <v>1</v>
      </c>
      <c r="Y89" s="67">
        <f t="shared" si="33"/>
        <v>4.5699999999999998E-2</v>
      </c>
      <c r="Z89" s="67">
        <f t="shared" si="34"/>
        <v>23.329699999999999</v>
      </c>
      <c r="AA89" s="67">
        <f t="shared" si="35"/>
        <v>23.283999999999999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36"/>
        <v>0175-07</v>
      </c>
      <c r="AE89" s="91" t="str">
        <f t="shared" si="37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89" s="88" t="str">
        <f t="shared" si="38"/>
        <v>"C:\Program Files (x86)\AstroGrep\AstroGrep.exe" /spath="%USERPROFILE%\AppData\Local\Temp\OnboardLogs" /stypes="app*4031*20161207*" /stext=" 20:.+((SYSTEM_STATE.+slice.+state.+changed )|(ment ac)|(multiple cpu faults)|(system.+state.+changed )|(\[timeout)|(PRM\|1\|D)|(kpr)|(kdp)|(\|lc)|(penalty))" /e /r /s</v>
      </c>
      <c r="AG89" s="1" t="str">
        <f t="shared" si="39"/>
        <v>EC</v>
      </c>
      <c r="AH89" s="92" t="str">
        <f t="shared" si="26"/>
        <v>"%USERPROFILE%\Documents\GitHub\eaglep3\Utilities\RefineRTDCRunTimes.py" --tripid 175-07 --locoid 4031 --swversion DE.1.0.8.0 --startMP 204:457 --initTime 2016-12-07T12:51:27 --startdatetime 2016-12-07T13:00:34 --delay 1 --endMP 204:233297 --enddatetime 2016-12-07T13:39:28 --enforcementcount 0 &gt;&gt;C:\Users\stu\Documents\GitHub\eaglep3-reporting\EC\2016-12-07-refined-times.txt</v>
      </c>
      <c r="AI89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{"issue":{"subject":"","project_id":79,"tracker_id":40,"status_id":1,"priority_id":2,"assigned_to_id":23,"start_date":"2016-12-07","description":"","custom_fields":[{"id":1,"name":"Subdivision","value":"EC"},{"id":4,"name":"Milepost","value":"23.3297"},{"id":17,"name":"Train ID","value":"175-07"},{"id":16,"name":"Locomotive ID","value":"4031"},{"id":130,"name":"Impact","value":""},{"id":150,"name":"Time of Event (Mountain Time)","value":"13:39:28"},{"id":151,"name":"Denver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7" t="s">
        <v>582</v>
      </c>
      <c r="B90" s="7">
        <v>4032</v>
      </c>
      <c r="C90" s="22" t="s">
        <v>207</v>
      </c>
      <c r="D90" s="22" t="s">
        <v>719</v>
      </c>
      <c r="E90" s="13">
        <v>42711.576956018522</v>
      </c>
      <c r="F90" s="13">
        <v>42711.580729166664</v>
      </c>
      <c r="G90" s="7">
        <v>1</v>
      </c>
      <c r="H90" s="22" t="s">
        <v>205</v>
      </c>
      <c r="I90" s="13">
        <v>42711.607303240744</v>
      </c>
      <c r="J90" s="7">
        <v>0</v>
      </c>
      <c r="K90" s="109" t="str">
        <f t="shared" si="28"/>
        <v>4031/4032</v>
      </c>
      <c r="L90" s="22" t="str">
        <f>VLOOKUP(A90,'Trips&amp;Operators'!$C$1:$G$99999,5,FALSE)</f>
        <v>BARTLETT KIANDRA</v>
      </c>
      <c r="M90" s="6">
        <f t="shared" si="29"/>
        <v>2.6574074079690035E-2</v>
      </c>
      <c r="N90" s="7">
        <f t="shared" ref="N90:N126" si="40">24*60*SUM($M90:$M90)</f>
        <v>38.266666674753651</v>
      </c>
      <c r="O90" s="7"/>
      <c r="P90" s="7"/>
      <c r="Q90" s="23"/>
      <c r="R90" s="23"/>
      <c r="S90" s="35">
        <f t="shared" ref="S90:S121" si="41">SUM(U90:U90)/IF(AG90="EC",12,1)</f>
        <v>1</v>
      </c>
      <c r="T90" s="50" t="str">
        <f t="shared" si="30"/>
        <v>Southbound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12:50:49-700',mode:absolute,to:'2016-12-07 15:34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90" s="52" t="str">
        <f t="shared" si="32"/>
        <v>N</v>
      </c>
      <c r="X90" s="177">
        <f t="shared" si="25"/>
        <v>1</v>
      </c>
      <c r="Y90" s="67">
        <f t="shared" si="33"/>
        <v>23.297699999999999</v>
      </c>
      <c r="Z90" s="67">
        <f t="shared" si="34"/>
        <v>1.5599999999999999E-2</v>
      </c>
      <c r="AA90" s="67">
        <f t="shared" si="35"/>
        <v>23.2821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36"/>
        <v>0176-07</v>
      </c>
      <c r="AE90" s="91" t="str">
        <f t="shared" si="37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90" s="88" t="str">
        <f t="shared" si="38"/>
        <v>"C:\Program Files (x86)\AstroGrep\AstroGrep.exe" /spath="%USERPROFILE%\AppData\Local\Temp\OnboardLogs" /stypes="app*4032*20161207*" /stext=" 21:.+((SYSTEM_STATE.+slice.+state.+changed )|(ment ac)|(multiple cpu faults)|(system.+state.+changed )|(\[timeout)|(PRM\|1\|D)|(kpr)|(kdp)|(\|lc)|(penalty))" /e /r /s</v>
      </c>
      <c r="AG90" s="1" t="str">
        <f t="shared" si="39"/>
        <v>EC</v>
      </c>
      <c r="AH90" s="92" t="str">
        <f t="shared" si="26"/>
        <v>"%USERPROFILE%\Documents\GitHub\eaglep3\Utilities\RefineRTDCRunTimes.py" --tripid 176-07 --locoid 4032 --swversion DE.1.0.8.0 --startMP 204:232977 --initTime 2016-12-07T13:50:49 --startdatetime 2016-12-07T13:56:15 --delay 1 --endMP 204:156 --enddatetime 2016-12-07T14:34:31 --enforcementcount 0 &gt;&gt;C:\Users\stu\Documents\GitHub\eaglep3-reporting\EC\2016-12-07-refined-times.txt</v>
      </c>
      <c r="AI90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{"issue":{"subject":"","project_id":79,"tracker_id":40,"status_id":1,"priority_id":2,"assigned_to_id":23,"start_date":"2016-12-07","description":"","custom_fields":[{"id":1,"name":"Subdivision","value":"EC"},{"id":4,"name":"Milepost","value":"0.0156"},{"id":17,"name":"Train ID","value":"176-07"},{"id":16,"name":"Locomotive ID","value":"4032"},{"id":130,"name":"Impact","value":""},{"id":150,"name":"Time of Event (Mountain Time)","value":"14:34:31"},{"id":151,"name":"Denver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7" t="s">
        <v>574</v>
      </c>
      <c r="B91" s="7">
        <v>4009</v>
      </c>
      <c r="C91" s="22" t="s">
        <v>207</v>
      </c>
      <c r="D91" s="22" t="s">
        <v>268</v>
      </c>
      <c r="E91" s="13">
        <v>42711.548750000002</v>
      </c>
      <c r="F91" s="13">
        <v>42711.552916666667</v>
      </c>
      <c r="G91" s="7">
        <v>1</v>
      </c>
      <c r="H91" s="22" t="s">
        <v>314</v>
      </c>
      <c r="I91" s="13">
        <v>42711.576956018522</v>
      </c>
      <c r="J91" s="7">
        <v>0</v>
      </c>
      <c r="K91" s="109" t="str">
        <f t="shared" si="28"/>
        <v>4009/4010</v>
      </c>
      <c r="L91" s="22" t="str">
        <f>VLOOKUP(A91,'Trips&amp;Operators'!$C$1:$G$99999,5,FALSE)</f>
        <v>HELVIE ADAM</v>
      </c>
      <c r="M91" s="6">
        <f t="shared" si="29"/>
        <v>2.4039351854298729E-2</v>
      </c>
      <c r="N91" s="7">
        <f t="shared" si="40"/>
        <v>34.61666667019017</v>
      </c>
      <c r="O91" s="7"/>
      <c r="P91" s="7"/>
      <c r="Q91" s="23"/>
      <c r="R91" s="23"/>
      <c r="S91" s="35">
        <f t="shared" si="41"/>
        <v>1</v>
      </c>
      <c r="T91" s="50" t="str">
        <f t="shared" si="30"/>
        <v>NorthBound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12:10:12-700',mode:absolute,to:'2016-12-07 14:50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1" s="52" t="str">
        <f t="shared" si="32"/>
        <v>N</v>
      </c>
      <c r="X91" s="177">
        <f t="shared" si="25"/>
        <v>1</v>
      </c>
      <c r="Y91" s="67">
        <f t="shared" si="33"/>
        <v>4.58E-2</v>
      </c>
      <c r="Z91" s="67">
        <f t="shared" si="34"/>
        <v>23.3293</v>
      </c>
      <c r="AA91" s="67">
        <f t="shared" si="35"/>
        <v>23.2835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36"/>
        <v>0177-07</v>
      </c>
      <c r="AE91" s="91" t="str">
        <f t="shared" si="37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91" s="88" t="str">
        <f t="shared" si="38"/>
        <v>"C:\Program Files (x86)\AstroGrep\AstroGrep.exe" /spath="%USERPROFILE%\AppData\Local\Temp\OnboardLogs" /stypes="app*4009*20161207*" /stext=" 20:.+((SYSTEM_STATE.+slice.+state.+changed )|(ment ac)|(multiple cpu faults)|(system.+state.+changed )|(\[timeout)|(PRM\|1\|D)|(kpr)|(kdp)|(\|lc)|(penalty))" /e /r /s</v>
      </c>
      <c r="AG91" s="1" t="str">
        <f t="shared" si="39"/>
        <v>EC</v>
      </c>
      <c r="AH91" s="92" t="str">
        <f t="shared" si="26"/>
        <v>"%USERPROFILE%\Documents\GitHub\eaglep3\Utilities\RefineRTDCRunTimes.py" --tripid 177-07 --locoid 4009 --swversion DE.1.0.8.0 --startMP 204:458 --initTime 2016-12-07T13:10:12 --startdatetime 2016-12-07T13:16:12 --delay 1 --endMP 204:233293 --enddatetime 2016-12-07T13:50:49 --enforcementcount 0 &gt;&gt;C:\Users\stu\Documents\GitHub\eaglep3-reporting\EC\2016-12-07-refined-times.txt</v>
      </c>
      <c r="AI91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{"issue":{"subject":"","project_id":79,"tracker_id":40,"status_id":1,"priority_id":2,"assigned_to_id":23,"start_date":"2016-12-07","description":"","custom_fields":[{"id":1,"name":"Subdivision","value":"EC"},{"id":4,"name":"Milepost","value":"23.3293"},{"id":17,"name":"Train ID","value":"177-07"},{"id":16,"name":"Locomotive ID","value":"4009"},{"id":130,"name":"Impact","value":""},{"id":150,"name":"Time of Event (Mountain Time)","value":"13:50:49"},{"id":151,"name":"Denver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7" t="s">
        <v>584</v>
      </c>
      <c r="B92" s="7">
        <v>4010</v>
      </c>
      <c r="C92" s="22" t="s">
        <v>207</v>
      </c>
      <c r="D92" s="22" t="s">
        <v>331</v>
      </c>
      <c r="E92" s="13">
        <v>42711.586817129632</v>
      </c>
      <c r="F92" s="13">
        <v>42711.59138888889</v>
      </c>
      <c r="G92" s="7">
        <v>2</v>
      </c>
      <c r="H92" s="22" t="s">
        <v>267</v>
      </c>
      <c r="I92" s="13">
        <v>42711.618020833332</v>
      </c>
      <c r="J92" s="7">
        <v>0</v>
      </c>
      <c r="K92" s="109" t="str">
        <f t="shared" si="28"/>
        <v>4009/4010</v>
      </c>
      <c r="L92" s="22" t="str">
        <f>VLOOKUP(A92,'Trips&amp;Operators'!$C$1:$G$99999,5,FALSE)</f>
        <v>HELVIE ADAM</v>
      </c>
      <c r="M92" s="6">
        <f t="shared" si="29"/>
        <v>2.6631944441760425E-2</v>
      </c>
      <c r="N92" s="7">
        <f t="shared" si="40"/>
        <v>38.349999996135011</v>
      </c>
      <c r="O92" s="7"/>
      <c r="P92" s="7"/>
      <c r="Q92" s="23"/>
      <c r="R92" s="23"/>
      <c r="S92" s="35">
        <f t="shared" si="41"/>
        <v>1</v>
      </c>
      <c r="T92" s="50" t="str">
        <f t="shared" si="30"/>
        <v>Southbound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13:05:01-700',mode:absolute,to:'2016-12-07 15:49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2" s="52" t="str">
        <f t="shared" si="32"/>
        <v>N</v>
      </c>
      <c r="X92" s="177">
        <f t="shared" si="25"/>
        <v>1</v>
      </c>
      <c r="Y92" s="67">
        <f t="shared" si="33"/>
        <v>23.2972</v>
      </c>
      <c r="Z92" s="67">
        <f t="shared" si="34"/>
        <v>1.6E-2</v>
      </c>
      <c r="AA92" s="67">
        <f t="shared" si="35"/>
        <v>23.281200000000002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36"/>
        <v>0178-07</v>
      </c>
      <c r="AE92" s="91" t="str">
        <f t="shared" si="37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92" s="88" t="str">
        <f t="shared" si="38"/>
        <v>"C:\Program Files (x86)\AstroGrep\AstroGrep.exe" /spath="%USERPROFILE%\AppData\Local\Temp\OnboardLogs" /stypes="app*4010*20161207*" /stext=" 21:.+((SYSTEM_STATE.+slice.+state.+changed )|(ment ac)|(multiple cpu faults)|(system.+state.+changed )|(\[timeout)|(PRM\|1\|D)|(kpr)|(kdp)|(\|lc)|(penalty))" /e /r /s</v>
      </c>
      <c r="AG92" s="1" t="str">
        <f t="shared" si="39"/>
        <v>EC</v>
      </c>
      <c r="AH92" s="92" t="str">
        <f t="shared" si="26"/>
        <v>"%USERPROFILE%\Documents\GitHub\eaglep3\Utilities\RefineRTDCRunTimes.py" --tripid 178-07 --locoid 4010 --swversion DE.1.0.8.0 --startMP 204:232972 --initTime 2016-12-07T14:05:01 --startdatetime 2016-12-07T14:11:36 --delay 2 --endMP 204:160 --enddatetime 2016-12-07T14:49:57 --enforcementcount 0 &gt;&gt;C:\Users\stu\Documents\GitHub\eaglep3-reporting\EC\2016-12-07-refined-times.txt</v>
      </c>
      <c r="AI92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{"issue":{"subject":"","project_id":79,"tracker_id":40,"status_id":1,"priority_id":2,"assigned_to_id":23,"start_date":"2016-12-07","description":"","custom_fields":[{"id":1,"name":"Subdivision","value":"EC"},{"id":4,"name":"Milepost","value":"0.016"},{"id":17,"name":"Train ID","value":"178-07"},{"id":16,"name":"Locomotive ID","value":"4010"},{"id":130,"name":"Impact","value":""},{"id":150,"name":"Time of Event (Mountain Time)","value":"14:49:57"},{"id":151,"name":"Denver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7" t="s">
        <v>578</v>
      </c>
      <c r="B93" s="7">
        <v>4020</v>
      </c>
      <c r="C93" s="22" t="s">
        <v>207</v>
      </c>
      <c r="D93" s="22" t="s">
        <v>243</v>
      </c>
      <c r="E93" s="13">
        <v>42711.55804398148</v>
      </c>
      <c r="F93" s="13">
        <v>42711.5628125</v>
      </c>
      <c r="G93" s="7">
        <v>1</v>
      </c>
      <c r="H93" s="22" t="s">
        <v>720</v>
      </c>
      <c r="I93" s="13">
        <v>42711.587754629632</v>
      </c>
      <c r="J93" s="7">
        <v>0</v>
      </c>
      <c r="K93" s="109" t="str">
        <f t="shared" si="28"/>
        <v>4019/4020</v>
      </c>
      <c r="L93" s="22" t="str">
        <f>VLOOKUP(A93,'Trips&amp;Operators'!$C$1:$G$99999,5,FALSE)</f>
        <v>ADANE ELSHADAY</v>
      </c>
      <c r="M93" s="6">
        <f t="shared" si="29"/>
        <v>2.4942129632108845E-2</v>
      </c>
      <c r="N93" s="7">
        <f t="shared" si="40"/>
        <v>35.916666670236737</v>
      </c>
      <c r="O93" s="7"/>
      <c r="P93" s="7"/>
      <c r="Q93" s="23"/>
      <c r="R93" s="23"/>
      <c r="S93" s="35">
        <f t="shared" si="41"/>
        <v>1</v>
      </c>
      <c r="T93" s="50" t="str">
        <f t="shared" si="30"/>
        <v>NorthBound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12:23:35-700',mode:absolute,to:'2016-12-07 15:06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93" s="52" t="str">
        <f t="shared" si="32"/>
        <v>N</v>
      </c>
      <c r="X93" s="177">
        <f t="shared" si="25"/>
        <v>1</v>
      </c>
      <c r="Y93" s="67">
        <f t="shared" si="33"/>
        <v>4.7100000000000003E-2</v>
      </c>
      <c r="Z93" s="67">
        <f t="shared" si="34"/>
        <v>23.330100000000002</v>
      </c>
      <c r="AA93" s="67">
        <f t="shared" si="35"/>
        <v>23.283000000000001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36"/>
        <v>0179-07</v>
      </c>
      <c r="AE93" s="91" t="str">
        <f t="shared" si="37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93" s="88" t="str">
        <f t="shared" si="38"/>
        <v>"C:\Program Files (x86)\AstroGrep\AstroGrep.exe" /spath="%USERPROFILE%\AppData\Local\Temp\OnboardLogs" /stypes="app*4020*20161207*" /stext=" 21:.+((SYSTEM_STATE.+slice.+state.+changed )|(ment ac)|(multiple cpu faults)|(system.+state.+changed )|(\[timeout)|(PRM\|1\|D)|(kpr)|(kdp)|(\|lc)|(penalty))" /e /r /s</v>
      </c>
      <c r="AG93" s="1" t="str">
        <f t="shared" si="39"/>
        <v>EC</v>
      </c>
      <c r="AH93" s="92" t="str">
        <f t="shared" si="26"/>
        <v>"%USERPROFILE%\Documents\GitHub\eaglep3\Utilities\RefineRTDCRunTimes.py" --tripid 179-07 --locoid 4020 --swversion DE.1.0.8.0 --startMP 204:471 --initTime 2016-12-07T13:23:35 --startdatetime 2016-12-07T13:30:27 --delay 1 --endMP 204:233301 --enddatetime 2016-12-07T14:06:22 --enforcementcount 0 &gt;&gt;C:\Users\stu\Documents\GitHub\eaglep3-reporting\EC\2016-12-07-refined-times.txt</v>
      </c>
      <c r="AI93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{"issue":{"subject":"","project_id":79,"tracker_id":40,"status_id":1,"priority_id":2,"assigned_to_id":23,"start_date":"2016-12-07","description":"","custom_fields":[{"id":1,"name":"Subdivision","value":"EC"},{"id":4,"name":"Milepost","value":"23.3301"},{"id":17,"name":"Train ID","value":"179-07"},{"id":16,"name":"Locomotive ID","value":"4020"},{"id":130,"name":"Impact","value":""},{"id":150,"name":"Time of Event (Mountain Time)","value":"14:06:22"},{"id":151,"name":"Denver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1" customFormat="1" x14ac:dyDescent="0.25">
      <c r="A94" s="37" t="s">
        <v>464</v>
      </c>
      <c r="B94" s="7">
        <v>4019</v>
      </c>
      <c r="C94" s="22" t="s">
        <v>207</v>
      </c>
      <c r="D94" s="22" t="s">
        <v>417</v>
      </c>
      <c r="E94" s="13">
        <v>42711.589432870373</v>
      </c>
      <c r="F94" s="13">
        <v>42711.601863425924</v>
      </c>
      <c r="G94" s="7">
        <v>1</v>
      </c>
      <c r="H94" s="22" t="s">
        <v>721</v>
      </c>
      <c r="I94" s="13">
        <v>42711.629710648151</v>
      </c>
      <c r="J94" s="7">
        <v>0</v>
      </c>
      <c r="K94" s="109" t="str">
        <f t="shared" si="28"/>
        <v>4019/4020</v>
      </c>
      <c r="L94" s="22" t="str">
        <f>VLOOKUP(A94,'Trips&amp;Operators'!$C$1:$G$99999,5,FALSE)</f>
        <v>ADANE ELSHADAY</v>
      </c>
      <c r="M94" s="6">
        <f t="shared" si="29"/>
        <v>2.7847222227137536E-2</v>
      </c>
      <c r="N94" s="7">
        <f t="shared" si="40"/>
        <v>40.100000007078052</v>
      </c>
      <c r="O94" s="7"/>
      <c r="P94" s="7"/>
      <c r="Q94" s="23"/>
      <c r="R94" s="23"/>
      <c r="S94" s="35">
        <f t="shared" si="41"/>
        <v>1</v>
      </c>
      <c r="T94" s="50" t="str">
        <f t="shared" si="30"/>
        <v>Southbound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13:08:47-700',mode:absolute,to:'2016-12-07 16:06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94" s="52" t="str">
        <f t="shared" si="32"/>
        <v>N</v>
      </c>
      <c r="X94" s="177">
        <f t="shared" si="25"/>
        <v>1</v>
      </c>
      <c r="Y94" s="67">
        <f t="shared" si="33"/>
        <v>23.297999999999998</v>
      </c>
      <c r="Z94" s="67">
        <f t="shared" si="34"/>
        <v>1.83E-2</v>
      </c>
      <c r="AA94" s="67">
        <f t="shared" si="35"/>
        <v>23.279699999999998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36"/>
        <v>0180-07</v>
      </c>
      <c r="AE94" s="91" t="str">
        <f t="shared" si="37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94" s="88" t="str">
        <f t="shared" si="38"/>
        <v>"C:\Program Files (x86)\AstroGrep\AstroGrep.exe" /spath="%USERPROFILE%\AppData\Local\Temp\OnboardLogs" /stypes="app*4019*20161207*" /stext=" 22:.+((SYSTEM_STATE.+slice.+state.+changed )|(ment ac)|(multiple cpu faults)|(system.+state.+changed )|(\[timeout)|(PRM\|1\|D)|(kpr)|(kdp)|(\|lc)|(penalty))" /e /r /s</v>
      </c>
      <c r="AG94" s="1" t="str">
        <f t="shared" si="39"/>
        <v>EC</v>
      </c>
      <c r="AH94" s="92" t="str">
        <f t="shared" si="26"/>
        <v>"%USERPROFILE%\Documents\GitHub\eaglep3\Utilities\RefineRTDCRunTimes.py" --tripid 180-07 --locoid 4019 --swversion DE.1.0.8.0 --startMP 204:232980 --initTime 2016-12-07T14:08:47 --startdatetime 2016-12-07T14:26:41 --delay 1 --endMP 204:183 --enddatetime 2016-12-07T15:06:47 --enforcementcount 0 &gt;&gt;C:\Users\stu\Documents\GitHub\eaglep3-reporting\EC\2016-12-07-refined-times.txt</v>
      </c>
      <c r="AI94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{"issue":{"subject":"","project_id":79,"tracker_id":40,"status_id":1,"priority_id":2,"assigned_to_id":23,"start_date":"2016-12-07","description":"","custom_fields":[{"id":1,"name":"Subdivision","value":"EC"},{"id":4,"name":"Milepost","value":"0.0183"},{"id":17,"name":"Train ID","value":"180-07"},{"id":16,"name":"Locomotive ID","value":"4019"},{"id":130,"name":"Impact","value":""},{"id":150,"name":"Time of Event (Mountain Time)","value":"15:06:47"},{"id":151,"name":"Denver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1" customFormat="1" x14ac:dyDescent="0.25">
      <c r="A95" s="37" t="s">
        <v>581</v>
      </c>
      <c r="B95" s="7">
        <v>4044</v>
      </c>
      <c r="C95" s="22" t="s">
        <v>207</v>
      </c>
      <c r="D95" s="22" t="s">
        <v>241</v>
      </c>
      <c r="E95" s="13">
        <v>42711.570451388892</v>
      </c>
      <c r="F95" s="13">
        <v>42711.573240740741</v>
      </c>
      <c r="G95" s="7">
        <v>1</v>
      </c>
      <c r="H95" s="22" t="s">
        <v>320</v>
      </c>
      <c r="I95" s="13">
        <v>42711.597893518519</v>
      </c>
      <c r="J95" s="7">
        <v>0</v>
      </c>
      <c r="K95" s="109" t="str">
        <f t="shared" si="28"/>
        <v>4043/4044</v>
      </c>
      <c r="L95" s="22" t="str">
        <f>VLOOKUP(A95,'Trips&amp;Operators'!$C$1:$G$99999,5,FALSE)</f>
        <v>LOPES KIMBERLY</v>
      </c>
      <c r="M95" s="6">
        <f t="shared" si="29"/>
        <v>2.4652777778101154E-2</v>
      </c>
      <c r="N95" s="7">
        <f t="shared" si="40"/>
        <v>35.500000000465661</v>
      </c>
      <c r="O95" s="7"/>
      <c r="P95" s="7"/>
      <c r="Q95" s="23"/>
      <c r="R95" s="23"/>
      <c r="S95" s="35">
        <f t="shared" si="41"/>
        <v>1</v>
      </c>
      <c r="T95" s="50" t="str">
        <f t="shared" si="30"/>
        <v>NorthBound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12:41:27-700',mode:absolute,to:'2016-12-07 15:20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5" s="52" t="str">
        <f t="shared" si="32"/>
        <v>N</v>
      </c>
      <c r="X95" s="177">
        <f t="shared" si="25"/>
        <v>1</v>
      </c>
      <c r="Y95" s="67">
        <f t="shared" si="33"/>
        <v>4.5999999999999999E-2</v>
      </c>
      <c r="Z95" s="67">
        <f t="shared" si="34"/>
        <v>23.330400000000001</v>
      </c>
      <c r="AA95" s="67">
        <f t="shared" si="35"/>
        <v>23.284400000000002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36"/>
        <v>0181-07</v>
      </c>
      <c r="AE95" s="91" t="str">
        <f t="shared" si="37"/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95" s="88" t="str">
        <f t="shared" si="38"/>
        <v>"C:\Program Files (x86)\AstroGrep\AstroGrep.exe" /spath="%USERPROFILE%\AppData\Local\Temp\OnboardLogs" /stypes="app*4044*20161207*" /stext=" 21:.+((SYSTEM_STATE.+slice.+state.+changed )|(ment ac)|(multiple cpu faults)|(system.+state.+changed )|(\[timeout)|(PRM\|1\|D)|(kpr)|(kdp)|(\|lc)|(penalty))" /e /r /s</v>
      </c>
      <c r="AG95" s="1" t="str">
        <f t="shared" si="39"/>
        <v>EC</v>
      </c>
      <c r="AH95" s="92" t="str">
        <f t="shared" si="26"/>
        <v>"%USERPROFILE%\Documents\GitHub\eaglep3\Utilities\RefineRTDCRunTimes.py" --tripid 181-07 --locoid 4044 --swversion DE.1.0.8.0 --startMP 204:460 --initTime 2016-12-07T13:41:27 --startdatetime 2016-12-07T13:45:28 --delay 1 --endMP 204:233304 --enddatetime 2016-12-07T14:20:58 --enforcementcount 0 &gt;&gt;C:\Users\stu\Documents\GitHub\eaglep3-reporting\EC\2016-12-07-refined-times.txt</v>
      </c>
      <c r="AI95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{"issue":{"subject":"","project_id":79,"tracker_id":40,"status_id":1,"priority_id":2,"assigned_to_id":23,"start_date":"2016-12-07","description":"","custom_fields":[{"id":1,"name":"Subdivision","value":"EC"},{"id":4,"name":"Milepost","value":"23.3304"},{"id":17,"name":"Train ID","value":"181-07"},{"id":16,"name":"Locomotive ID","value":"4044"},{"id":130,"name":"Impact","value":""},{"id":150,"name":"Time of Event (Mountain Time)","value":"14:20:58"},{"id":151,"name":"Denver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7" t="s">
        <v>588</v>
      </c>
      <c r="B96" s="7">
        <v>4043</v>
      </c>
      <c r="C96" s="22" t="s">
        <v>207</v>
      </c>
      <c r="D96" s="22" t="s">
        <v>712</v>
      </c>
      <c r="E96" s="13">
        <v>42711.60193287037</v>
      </c>
      <c r="F96" s="13">
        <v>42711.61209490741</v>
      </c>
      <c r="G96" s="7">
        <v>1</v>
      </c>
      <c r="H96" s="22" t="s">
        <v>319</v>
      </c>
      <c r="I96" s="13">
        <v>42711.640266203707</v>
      </c>
      <c r="J96" s="7">
        <v>0</v>
      </c>
      <c r="K96" s="109" t="str">
        <f t="shared" si="28"/>
        <v>4043/4044</v>
      </c>
      <c r="L96" s="22" t="str">
        <f>VLOOKUP(A96,'Trips&amp;Operators'!$C$1:$G$99999,5,FALSE)</f>
        <v>LOPES KIMBERLY</v>
      </c>
      <c r="M96" s="6">
        <f t="shared" si="29"/>
        <v>2.8171296296932269E-2</v>
      </c>
      <c r="N96" s="7">
        <f t="shared" si="40"/>
        <v>40.566666667582467</v>
      </c>
      <c r="O96" s="7"/>
      <c r="P96" s="7"/>
      <c r="Q96" s="23"/>
      <c r="R96" s="23"/>
      <c r="S96" s="35">
        <f t="shared" si="41"/>
        <v>1</v>
      </c>
      <c r="T96" s="50" t="str">
        <f t="shared" si="30"/>
        <v>Southbound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13:26:47-700',mode:absolute,to:'2016-12-07 16:21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6" s="52" t="str">
        <f t="shared" si="32"/>
        <v>N</v>
      </c>
      <c r="X96" s="177">
        <f t="shared" si="25"/>
        <v>1</v>
      </c>
      <c r="Y96" s="67">
        <f t="shared" si="33"/>
        <v>23.298100000000002</v>
      </c>
      <c r="Z96" s="67">
        <f t="shared" si="34"/>
        <v>1.52E-2</v>
      </c>
      <c r="AA96" s="67">
        <f t="shared" si="35"/>
        <v>23.282900000000001</v>
      </c>
      <c r="AB96" s="64" t="e">
        <f>VLOOKUP(A96,Enforcements!$C$7:$K$20,8,0)</f>
        <v>#N/A</v>
      </c>
      <c r="AC96" s="60" t="e">
        <f>VLOOKUP(A96,Enforcements!$C$7:$E$20,3,0)</f>
        <v>#N/A</v>
      </c>
      <c r="AD96" s="61" t="str">
        <f t="shared" si="36"/>
        <v>0182-07</v>
      </c>
      <c r="AE96" s="91" t="str">
        <f t="shared" si="37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96" s="88" t="str">
        <f t="shared" si="38"/>
        <v>"C:\Program Files (x86)\AstroGrep\AstroGrep.exe" /spath="%USERPROFILE%\AppData\Local\Temp\OnboardLogs" /stypes="app*4043*20161207*" /stext=" 22:.+((SYSTEM_STATE.+slice.+state.+changed )|(ment ac)|(multiple cpu faults)|(system.+state.+changed )|(\[timeout)|(PRM\|1\|D)|(kpr)|(kdp)|(\|lc)|(penalty))" /e /r /s</v>
      </c>
      <c r="AG96" s="1" t="str">
        <f t="shared" si="39"/>
        <v>EC</v>
      </c>
      <c r="AH96" s="92" t="str">
        <f t="shared" si="26"/>
        <v>"%USERPROFILE%\Documents\GitHub\eaglep3\Utilities\RefineRTDCRunTimes.py" --tripid 182-07 --locoid 4043 --swversion DE.1.0.8.0 --startMP 204:232981 --initTime 2016-12-07T14:26:47 --startdatetime 2016-12-07T14:41:25 --delay 1 --endMP 204:152 --enddatetime 2016-12-07T15:21:59 --enforcementcount 0 &gt;&gt;C:\Users\stu\Documents\GitHub\eaglep3-reporting\EC\2016-12-07-refined-times.txt</v>
      </c>
      <c r="AI96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{"issue":{"subject":"","project_id":79,"tracker_id":40,"status_id":1,"priority_id":2,"assigned_to_id":23,"start_date":"2016-12-07","description":"","custom_fields":[{"id":1,"name":"Subdivision","value":"EC"},{"id":4,"name":"Milepost","value":"0.0152"},{"id":17,"name":"Train ID","value":"182-07"},{"id":16,"name":"Locomotive ID","value":"4043"},{"id":130,"name":"Impact","value":""},{"id":150,"name":"Time of Event (Mountain Time)","value":"15:21:59"},{"id":151,"name":"Denver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</row>
    <row r="97" spans="1:91" x14ac:dyDescent="0.25">
      <c r="A97" s="37" t="s">
        <v>583</v>
      </c>
      <c r="B97" s="7">
        <v>4002</v>
      </c>
      <c r="C97" s="22" t="s">
        <v>207</v>
      </c>
      <c r="D97" s="22" t="s">
        <v>310</v>
      </c>
      <c r="E97" s="13">
        <v>42711.579942129632</v>
      </c>
      <c r="F97" s="13">
        <v>42711.583645833336</v>
      </c>
      <c r="G97" s="7">
        <v>1</v>
      </c>
      <c r="H97" s="22" t="s">
        <v>720</v>
      </c>
      <c r="I97" s="13">
        <v>42711.61010416667</v>
      </c>
      <c r="J97" s="7">
        <v>0</v>
      </c>
      <c r="K97" s="109" t="str">
        <f t="shared" si="28"/>
        <v>4001/4002</v>
      </c>
      <c r="L97" s="22" t="str">
        <f>VLOOKUP(A97,'Trips&amp;Operators'!$C$1:$G$99999,5,FALSE)</f>
        <v>BRUDER RICHARD</v>
      </c>
      <c r="M97" s="6">
        <f t="shared" si="29"/>
        <v>2.6458333333721384E-2</v>
      </c>
      <c r="N97" s="7">
        <f t="shared" si="40"/>
        <v>38.100000000558794</v>
      </c>
      <c r="O97" s="7"/>
      <c r="P97" s="7"/>
      <c r="Q97" s="23"/>
      <c r="R97" s="23"/>
      <c r="S97" s="35">
        <f t="shared" si="41"/>
        <v>1</v>
      </c>
      <c r="T97" s="50" t="str">
        <f t="shared" si="30"/>
        <v>NorthBound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12:55:07-700',mode:absolute,to:'2016-12-07 15:38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97" s="52" t="str">
        <f t="shared" si="32"/>
        <v>N</v>
      </c>
      <c r="X97" s="177">
        <f t="shared" si="25"/>
        <v>1</v>
      </c>
      <c r="Y97" s="67">
        <f t="shared" si="33"/>
        <v>4.53E-2</v>
      </c>
      <c r="Z97" s="67">
        <f t="shared" si="34"/>
        <v>23.330100000000002</v>
      </c>
      <c r="AA97" s="67">
        <f t="shared" si="35"/>
        <v>23.284800000000001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36"/>
        <v>0183-07</v>
      </c>
      <c r="AE97" s="91" t="str">
        <f t="shared" si="37"/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97" s="88" t="str">
        <f t="shared" si="38"/>
        <v>"C:\Program Files (x86)\AstroGrep\AstroGrep.exe" /spath="%USERPROFILE%\AppData\Local\Temp\OnboardLogs" /stypes="app*4002*20161207*" /stext=" 21:.+((SYSTEM_STATE.+slice.+state.+changed )|(ment ac)|(multiple cpu faults)|(system.+state.+changed )|(\[timeout)|(PRM\|1\|D)|(kpr)|(kdp)|(\|lc)|(penalty))" /e /r /s</v>
      </c>
      <c r="AG97" s="1" t="str">
        <f t="shared" si="39"/>
        <v>EC</v>
      </c>
      <c r="AH97" s="92" t="str">
        <f t="shared" si="26"/>
        <v>"%USERPROFILE%\Documents\GitHub\eaglep3\Utilities\RefineRTDCRunTimes.py" --tripid 183-07 --locoid 4002 --swversion DE.1.0.8.0 --startMP 204:453 --initTime 2016-12-07T13:55:07 --startdatetime 2016-12-07T14:00:27 --delay 1 --endMP 204:233301 --enddatetime 2016-12-07T14:38:33 --enforcementcount 0 &gt;&gt;C:\Users\stu\Documents\GitHub\eaglep3-reporting\EC\2016-12-07-refined-times.txt</v>
      </c>
      <c r="AI97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{"issue":{"subject":"","project_id":79,"tracker_id":40,"status_id":1,"priority_id":2,"assigned_to_id":23,"start_date":"2016-12-07","description":"","custom_fields":[{"id":1,"name":"Subdivision","value":"EC"},{"id":4,"name":"Milepost","value":"23.3301"},{"id":17,"name":"Train ID","value":"183-07"},{"id":16,"name":"Locomotive ID","value":"4002"},{"id":130,"name":"Impact","value":""},{"id":150,"name":"Time of Event (Mountain Time)","value":"14:38:33"},{"id":151,"name":"Denver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</row>
    <row r="98" spans="1:91" x14ac:dyDescent="0.25">
      <c r="A98" s="37" t="s">
        <v>591</v>
      </c>
      <c r="B98" s="7">
        <v>4001</v>
      </c>
      <c r="C98" s="22" t="s">
        <v>207</v>
      </c>
      <c r="D98" s="22" t="s">
        <v>303</v>
      </c>
      <c r="E98" s="13">
        <v>42711.61681712963</v>
      </c>
      <c r="F98" s="13">
        <v>42711.622430555559</v>
      </c>
      <c r="G98" s="7">
        <v>1</v>
      </c>
      <c r="H98" s="22" t="s">
        <v>319</v>
      </c>
      <c r="I98" s="13">
        <v>42711.649108796293</v>
      </c>
      <c r="J98" s="7">
        <v>0</v>
      </c>
      <c r="K98" s="109" t="str">
        <f t="shared" si="28"/>
        <v>4001/4002</v>
      </c>
      <c r="L98" s="22" t="str">
        <f>VLOOKUP(A98,'Trips&amp;Operators'!$C$1:$G$99999,5,FALSE)</f>
        <v>BRUDER RICHARD</v>
      </c>
      <c r="M98" s="6">
        <f t="shared" si="29"/>
        <v>2.6678240734327119E-2</v>
      </c>
      <c r="N98" s="7">
        <f t="shared" si="40"/>
        <v>38.416666657431051</v>
      </c>
      <c r="O98" s="7"/>
      <c r="P98" s="7"/>
      <c r="Q98" s="23"/>
      <c r="R98" s="23"/>
      <c r="S98" s="35">
        <f t="shared" si="41"/>
        <v>1</v>
      </c>
      <c r="T98" s="50" t="str">
        <f t="shared" si="30"/>
        <v>Southbound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13:48:13-700',mode:absolute,to:'2016-12-07 16:34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98" s="52" t="str">
        <f t="shared" si="32"/>
        <v>N</v>
      </c>
      <c r="X98" s="177">
        <f t="shared" si="25"/>
        <v>1</v>
      </c>
      <c r="Y98" s="67">
        <f t="shared" si="33"/>
        <v>23.297799999999999</v>
      </c>
      <c r="Z98" s="67">
        <f t="shared" si="34"/>
        <v>1.52E-2</v>
      </c>
      <c r="AA98" s="67">
        <f t="shared" si="35"/>
        <v>23.282599999999999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36"/>
        <v>0184-07</v>
      </c>
      <c r="AE98" s="91" t="str">
        <f t="shared" si="37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98" s="88" t="str">
        <f t="shared" si="38"/>
        <v>"C:\Program Files (x86)\AstroGrep\AstroGrep.exe" /spath="%USERPROFILE%\AppData\Local\Temp\OnboardLogs" /stypes="app*4001*20161207*" /stext=" 22:.+((SYSTEM_STATE.+slice.+state.+changed )|(ment ac)|(multiple cpu faults)|(system.+state.+changed )|(\[timeout)|(PRM\|1\|D)|(kpr)|(kdp)|(\|lc)|(penalty))" /e /r /s</v>
      </c>
      <c r="AG98" s="1" t="str">
        <f t="shared" si="39"/>
        <v>EC</v>
      </c>
      <c r="AH98" s="92" t="str">
        <f t="shared" si="26"/>
        <v>"%USERPROFILE%\Documents\GitHub\eaglep3\Utilities\RefineRTDCRunTimes.py" --tripid 184-07 --locoid 4001 --swversion DE.1.0.8.0 --startMP 204:232978 --initTime 2016-12-07T14:48:13 --startdatetime 2016-12-07T14:56:18 --delay 1 --endMP 204:152 --enddatetime 2016-12-07T15:34:43 --enforcementcount 0 &gt;&gt;C:\Users\stu\Documents\GitHub\eaglep3-reporting\EC\2016-12-07-refined-times.txt</v>
      </c>
      <c r="AI98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{"issue":{"subject":"","project_id":79,"tracker_id":40,"status_id":1,"priority_id":2,"assigned_to_id":23,"start_date":"2016-12-07","description":"","custom_fields":[{"id":1,"name":"Subdivision","value":"EC"},{"id":4,"name":"Milepost","value":"0.0152"},{"id":17,"name":"Train ID","value":"184-07"},{"id":16,"name":"Locomotive ID","value":"4001"},{"id":130,"name":"Impact","value":""},{"id":150,"name":"Time of Event (Mountain Time)","value":"15:34:43"},{"id":151,"name":"Denver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</row>
    <row r="99" spans="1:91" s="21" customFormat="1" x14ac:dyDescent="0.25">
      <c r="A99" s="37" t="s">
        <v>585</v>
      </c>
      <c r="B99" s="7">
        <v>4016</v>
      </c>
      <c r="C99" s="22" t="s">
        <v>207</v>
      </c>
      <c r="D99" s="22" t="s">
        <v>327</v>
      </c>
      <c r="E99" s="13">
        <v>42711.590983796297</v>
      </c>
      <c r="F99" s="13">
        <v>42711.594085648147</v>
      </c>
      <c r="G99" s="7">
        <v>4</v>
      </c>
      <c r="H99" s="22" t="s">
        <v>722</v>
      </c>
      <c r="I99" s="13">
        <v>42711.619664351849</v>
      </c>
      <c r="J99" s="7">
        <v>0</v>
      </c>
      <c r="K99" s="109" t="str">
        <f t="shared" si="28"/>
        <v>4015/4016</v>
      </c>
      <c r="L99" s="22" t="str">
        <f>VLOOKUP(A99,'Trips&amp;Operators'!$C$1:$G$99999,5,FALSE)</f>
        <v>STORY SAMANTHA</v>
      </c>
      <c r="M99" s="6">
        <f t="shared" si="29"/>
        <v>2.5578703702194616E-2</v>
      </c>
      <c r="N99" s="7">
        <f t="shared" si="40"/>
        <v>36.833333331160247</v>
      </c>
      <c r="O99" s="7"/>
      <c r="P99" s="7"/>
      <c r="Q99" s="23"/>
      <c r="R99" s="23"/>
      <c r="S99" s="35">
        <f t="shared" si="41"/>
        <v>1</v>
      </c>
      <c r="T99" s="50" t="str">
        <f t="shared" si="30"/>
        <v>NorthBound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13:11:01-700',mode:absolute,to:'2016-12-07 15:52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99" s="52" t="str">
        <f t="shared" si="32"/>
        <v>N</v>
      </c>
      <c r="X99" s="177">
        <f t="shared" si="25"/>
        <v>1</v>
      </c>
      <c r="Y99" s="67">
        <f t="shared" si="33"/>
        <v>4.7300000000000002E-2</v>
      </c>
      <c r="Z99" s="67">
        <f t="shared" si="34"/>
        <v>23.339500000000001</v>
      </c>
      <c r="AA99" s="67">
        <f t="shared" si="35"/>
        <v>23.292200000000001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36"/>
        <v>0185-07</v>
      </c>
      <c r="AE99" s="91" t="str">
        <f t="shared" si="37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99" s="88" t="str">
        <f t="shared" si="38"/>
        <v>"C:\Program Files (x86)\AstroGrep\AstroGrep.exe" /spath="%USERPROFILE%\AppData\Local\Temp\OnboardLogs" /stypes="app*4016*20161207*" /stext=" 21:.+((SYSTEM_STATE.+slice.+state.+changed )|(ment ac)|(multiple cpu faults)|(system.+state.+changed )|(\[timeout)|(PRM\|1\|D)|(kpr)|(kdp)|(\|lc)|(penalty))" /e /r /s</v>
      </c>
      <c r="AG99" s="1" t="str">
        <f t="shared" si="39"/>
        <v>EC</v>
      </c>
      <c r="AH99" s="92" t="str">
        <f t="shared" si="26"/>
        <v>"%USERPROFILE%\Documents\GitHub\eaglep3\Utilities\RefineRTDCRunTimes.py" --tripid 185-07 --locoid 4016 --swversion DE.1.0.8.0 --startMP 204:473 --initTime 2016-12-07T14:11:01 --startdatetime 2016-12-07T14:15:29 --delay 4 --endMP 204:233395 --enddatetime 2016-12-07T14:52:19 --enforcementcount 0 &gt;&gt;C:\Users\stu\Documents\GitHub\eaglep3-reporting\EC\2016-12-07-refined-times.txt</v>
      </c>
      <c r="AI99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{"issue":{"subject":"","project_id":79,"tracker_id":40,"status_id":1,"priority_id":2,"assigned_to_id":23,"start_date":"2016-12-07","description":"","custom_fields":[{"id":1,"name":"Subdivision","value":"EC"},{"id":4,"name":"Milepost","value":"23.3395"},{"id":17,"name":"Train ID","value":"185-07"},{"id":16,"name":"Locomotive ID","value":"4016"},{"id":130,"name":"Impact","value":""},{"id":150,"name":"Time of Event (Mountain Time)","value":"14:52:19"},{"id":151,"name":"Denver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593</v>
      </c>
      <c r="B100" s="7">
        <v>4015</v>
      </c>
      <c r="C100" s="22" t="s">
        <v>207</v>
      </c>
      <c r="D100" s="22" t="s">
        <v>723</v>
      </c>
      <c r="E100" s="13">
        <v>42711.628622685188</v>
      </c>
      <c r="F100" s="13">
        <v>42711.633125</v>
      </c>
      <c r="G100" s="7">
        <v>2</v>
      </c>
      <c r="H100" s="22" t="s">
        <v>193</v>
      </c>
      <c r="I100" s="13">
        <v>42711.661053240743</v>
      </c>
      <c r="J100" s="7">
        <v>0</v>
      </c>
      <c r="K100" s="109" t="str">
        <f t="shared" si="28"/>
        <v>4015/4016</v>
      </c>
      <c r="L100" s="22" t="str">
        <f>VLOOKUP(A100,'Trips&amp;Operators'!$C$1:$G$99999,5,FALSE)</f>
        <v>STORY SAMANTHA</v>
      </c>
      <c r="M100" s="6">
        <f t="shared" si="29"/>
        <v>2.792824074276723E-2</v>
      </c>
      <c r="N100" s="7">
        <f t="shared" si="40"/>
        <v>40.216666669584811</v>
      </c>
      <c r="O100" s="7"/>
      <c r="P100" s="7"/>
      <c r="Q100" s="23"/>
      <c r="R100" s="23"/>
      <c r="S100" s="35">
        <f t="shared" si="41"/>
        <v>1</v>
      </c>
      <c r="T100" s="50" t="str">
        <f t="shared" si="30"/>
        <v>Southbound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14:05:13-700',mode:absolute,to:'2016-12-07 16:51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00" s="52" t="str">
        <f t="shared" si="32"/>
        <v>N</v>
      </c>
      <c r="X100" s="177">
        <f t="shared" si="25"/>
        <v>1</v>
      </c>
      <c r="Y100" s="67">
        <f t="shared" si="33"/>
        <v>23.31</v>
      </c>
      <c r="Z100" s="67">
        <f t="shared" si="34"/>
        <v>1.43E-2</v>
      </c>
      <c r="AA100" s="67">
        <f t="shared" si="35"/>
        <v>23.2957</v>
      </c>
      <c r="AB100" s="64" t="e">
        <f>VLOOKUP(A100,Enforcements!$C$7:$K$20,8,0)</f>
        <v>#N/A</v>
      </c>
      <c r="AC100" s="60" t="e">
        <f>VLOOKUP(A100,Enforcements!$C$7:$E$20,3,0)</f>
        <v>#N/A</v>
      </c>
      <c r="AD100" s="61" t="str">
        <f t="shared" si="36"/>
        <v>0186-07</v>
      </c>
      <c r="AE100" s="91" t="str">
        <f t="shared" si="37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100" s="88" t="str">
        <f t="shared" si="38"/>
        <v>"C:\Program Files (x86)\AstroGrep\AstroGrep.exe" /spath="%USERPROFILE%\AppData\Local\Temp\OnboardLogs" /stypes="app*4015*20161207*" /stext=" 22:.+((SYSTEM_STATE.+slice.+state.+changed )|(ment ac)|(multiple cpu faults)|(system.+state.+changed )|(\[timeout)|(PRM\|1\|D)|(kpr)|(kdp)|(\|lc)|(penalty))" /e /r /s</v>
      </c>
      <c r="AG100" s="1" t="str">
        <f t="shared" si="39"/>
        <v>EC</v>
      </c>
      <c r="AH100" s="92" t="str">
        <f t="shared" si="26"/>
        <v>"%USERPROFILE%\Documents\GitHub\eaglep3\Utilities\RefineRTDCRunTimes.py" --tripid 186-07 --locoid 4015 --swversion DE.1.0.8.0 --startMP 204:233100 --initTime 2016-12-07T15:05:13 --startdatetime 2016-12-07T15:11:42 --delay 2 --endMP 204:143 --enddatetime 2016-12-07T15:51:55 --enforcementcount 0 &gt;&gt;C:\Users\stu\Documents\GitHub\eaglep3-reporting\EC\2016-12-07-refined-times.txt</v>
      </c>
      <c r="AI100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{"issue":{"subject":"","project_id":79,"tracker_id":40,"status_id":1,"priority_id":2,"assigned_to_id":23,"start_date":"2016-12-07","description":"","custom_fields":[{"id":1,"name":"Subdivision","value":"EC"},{"id":4,"name":"Milepost","value":"0.0143"},{"id":17,"name":"Train ID","value":"186-07"},{"id":16,"name":"Locomotive ID","value":"4015"},{"id":130,"name":"Impact","value":""},{"id":150,"name":"Time of Event (Mountain Time)","value":"15:51:55"},{"id":151,"name":"Denver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587</v>
      </c>
      <c r="B101" s="7">
        <v>4014</v>
      </c>
      <c r="C101" s="22" t="s">
        <v>207</v>
      </c>
      <c r="D101" s="22" t="s">
        <v>268</v>
      </c>
      <c r="E101" s="13">
        <v>42711.599189814813</v>
      </c>
      <c r="F101" s="13">
        <v>42711.604351851849</v>
      </c>
      <c r="G101" s="7">
        <v>1</v>
      </c>
      <c r="H101" s="22" t="s">
        <v>349</v>
      </c>
      <c r="I101" s="13">
        <v>42711.629629629628</v>
      </c>
      <c r="J101" s="7">
        <v>0</v>
      </c>
      <c r="K101" s="109" t="str">
        <f t="shared" si="28"/>
        <v>4013/4014</v>
      </c>
      <c r="L101" s="22" t="str">
        <f>VLOOKUP(A101,'Trips&amp;Operators'!$C$1:$G$99999,5,FALSE)</f>
        <v>BONDS REYNALDO</v>
      </c>
      <c r="M101" s="6">
        <f t="shared" si="29"/>
        <v>2.527777777868323E-2</v>
      </c>
      <c r="N101" s="7">
        <f t="shared" si="40"/>
        <v>36.400000001303852</v>
      </c>
      <c r="O101" s="7"/>
      <c r="P101" s="7"/>
      <c r="Q101" s="23"/>
      <c r="R101" s="23"/>
      <c r="S101" s="35">
        <f t="shared" si="41"/>
        <v>1</v>
      </c>
      <c r="T101" s="50" t="str">
        <f t="shared" si="30"/>
        <v>NorthBound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13:22:50-700',mode:absolute,to:'2016-12-07 16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01" s="52" t="str">
        <f t="shared" si="32"/>
        <v>N</v>
      </c>
      <c r="X101" s="177">
        <f t="shared" si="25"/>
        <v>1</v>
      </c>
      <c r="Y101" s="67">
        <f t="shared" si="33"/>
        <v>4.58E-2</v>
      </c>
      <c r="Z101" s="67">
        <f t="shared" si="34"/>
        <v>23.328800000000001</v>
      </c>
      <c r="AA101" s="67">
        <f t="shared" si="35"/>
        <v>23.283000000000001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36"/>
        <v>0187-07</v>
      </c>
      <c r="AE101" s="91" t="str">
        <f t="shared" si="37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101" s="88" t="str">
        <f t="shared" si="38"/>
        <v>"C:\Program Files (x86)\AstroGrep\AstroGrep.exe" /spath="%USERPROFILE%\AppData\Local\Temp\OnboardLogs" /stypes="app*4014*20161207*" /stext=" 22:.+((SYSTEM_STATE.+slice.+state.+changed )|(ment ac)|(multiple cpu faults)|(system.+state.+changed )|(\[timeout)|(PRM\|1\|D)|(kpr)|(kdp)|(\|lc)|(penalty))" /e /r /s</v>
      </c>
      <c r="AG101" s="1" t="str">
        <f t="shared" si="39"/>
        <v>EC</v>
      </c>
      <c r="AH101" s="92" t="str">
        <f t="shared" si="26"/>
        <v>"%USERPROFILE%\Documents\GitHub\eaglep3\Utilities\RefineRTDCRunTimes.py" --tripid 187-07 --locoid 4014 --swversion DE.1.0.8.0 --startMP 204:458 --initTime 2016-12-07T14:22:50 --startdatetime 2016-12-07T14:30:16 --delay 1 --endMP 204:233288 --enddatetime 2016-12-07T15:06:40 --enforcementcount 0 &gt;&gt;C:\Users\stu\Documents\GitHub\eaglep3-reporting\EC\2016-12-07-refined-times.txt</v>
      </c>
      <c r="AI101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{"issue":{"subject":"","project_id":79,"tracker_id":40,"status_id":1,"priority_id":2,"assigned_to_id":23,"start_date":"2016-12-07","description":"","custom_fields":[{"id":1,"name":"Subdivision","value":"EC"},{"id":4,"name":"Milepost","value":"23.3288"},{"id":17,"name":"Train ID","value":"187-07"},{"id":16,"name":"Locomotive ID","value":"4014"},{"id":130,"name":"Impact","value":""},{"id":150,"name":"Time of Event (Mountain Time)","value":"15:06:40"},{"id":151,"name":"Denver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594</v>
      </c>
      <c r="B102" s="7">
        <v>4013</v>
      </c>
      <c r="C102" s="22" t="s">
        <v>207</v>
      </c>
      <c r="D102" s="22" t="s">
        <v>417</v>
      </c>
      <c r="E102" s="13">
        <v>42711.632708333331</v>
      </c>
      <c r="F102" s="13">
        <v>42711.643263888887</v>
      </c>
      <c r="G102" s="7">
        <v>1</v>
      </c>
      <c r="H102" s="22" t="s">
        <v>421</v>
      </c>
      <c r="I102" s="13">
        <v>42711.6716087963</v>
      </c>
      <c r="J102" s="7">
        <v>0</v>
      </c>
      <c r="K102" s="109" t="str">
        <f t="shared" si="28"/>
        <v>4013/4014</v>
      </c>
      <c r="L102" s="22" t="str">
        <f>VLOOKUP(A102,'Trips&amp;Operators'!$C$1:$G$99999,5,FALSE)</f>
        <v>BONDS REYNALDO</v>
      </c>
      <c r="M102" s="6">
        <f t="shared" si="29"/>
        <v>2.8344907412247267E-2</v>
      </c>
      <c r="N102" s="7">
        <f t="shared" si="40"/>
        <v>40.816666673636064</v>
      </c>
      <c r="O102" s="7"/>
      <c r="P102" s="7"/>
      <c r="Q102" s="23"/>
      <c r="R102" s="23"/>
      <c r="S102" s="35">
        <f t="shared" si="41"/>
        <v>1</v>
      </c>
      <c r="T102" s="50" t="str">
        <f t="shared" si="30"/>
        <v>Southbound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14:11:06-700',mode:absolute,to:'2016-12-07 17:07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02" s="52" t="str">
        <f t="shared" si="32"/>
        <v>N</v>
      </c>
      <c r="X102" s="177">
        <f t="shared" si="25"/>
        <v>1</v>
      </c>
      <c r="Y102" s="67">
        <f t="shared" si="33"/>
        <v>23.297999999999998</v>
      </c>
      <c r="Z102" s="67">
        <f t="shared" si="34"/>
        <v>1.32E-2</v>
      </c>
      <c r="AA102" s="67">
        <f t="shared" si="35"/>
        <v>23.284799999999997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36"/>
        <v>0188-07</v>
      </c>
      <c r="AE102" s="91" t="str">
        <f t="shared" si="37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102" s="88" t="str">
        <f t="shared" si="38"/>
        <v>"C:\Program Files (x86)\AstroGrep\AstroGrep.exe" /spath="%USERPROFILE%\AppData\Local\Temp\OnboardLogs" /stypes="app*4013*20161207*" /stext=" 23:.+((SYSTEM_STATE.+slice.+state.+changed )|(ment ac)|(multiple cpu faults)|(system.+state.+changed )|(\[timeout)|(PRM\|1\|D)|(kpr)|(kdp)|(\|lc)|(penalty))" /e /r /s</v>
      </c>
      <c r="AG102" s="1" t="str">
        <f t="shared" si="39"/>
        <v>EC</v>
      </c>
      <c r="AH102" s="92" t="str">
        <f t="shared" si="26"/>
        <v>"%USERPROFILE%\Documents\GitHub\eaglep3\Utilities\RefineRTDCRunTimes.py" --tripid 188-07 --locoid 4013 --swversion DE.1.0.8.0 --startMP 204:232980 --initTime 2016-12-07T15:11:06 --startdatetime 2016-12-07T15:26:18 --delay 1 --endMP 204:132 --enddatetime 2016-12-07T16:07:07 --enforcementcount 0 &gt;&gt;C:\Users\stu\Documents\GitHub\eaglep3-reporting\EC\2016-12-07-refined-times.txt</v>
      </c>
      <c r="AI102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{"issue":{"subject":"","project_id":79,"tracker_id":40,"status_id":1,"priority_id":2,"assigned_to_id":23,"start_date":"2016-12-07","description":"","custom_fields":[{"id":1,"name":"Subdivision","value":"EC"},{"id":4,"name":"Milepost","value":"0.0132"},{"id":17,"name":"Train ID","value":"188-07"},{"id":16,"name":"Locomotive ID","value":"4013"},{"id":130,"name":"Impact","value":""},{"id":150,"name":"Time of Event (Mountain Time)","value":"16:07:07"},{"id":151,"name":"Denver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589</v>
      </c>
      <c r="B103" s="7">
        <v>4031</v>
      </c>
      <c r="C103" s="22" t="s">
        <v>207</v>
      </c>
      <c r="D103" s="22" t="s">
        <v>268</v>
      </c>
      <c r="E103" s="13">
        <v>42711.608437499999</v>
      </c>
      <c r="F103" s="13">
        <v>42711.615162037036</v>
      </c>
      <c r="G103" s="7">
        <v>1</v>
      </c>
      <c r="H103" s="22" t="s">
        <v>324</v>
      </c>
      <c r="I103" s="13">
        <v>42711.640706018516</v>
      </c>
      <c r="J103" s="7">
        <v>0</v>
      </c>
      <c r="K103" s="109" t="str">
        <f t="shared" si="28"/>
        <v>4031/4032</v>
      </c>
      <c r="L103" s="22" t="str">
        <f>VLOOKUP(A103,'Trips&amp;Operators'!$C$1:$G$99999,5,FALSE)</f>
        <v>BARTLETT KIANDRA</v>
      </c>
      <c r="M103" s="6">
        <f t="shared" si="29"/>
        <v>2.5543981479131617E-2</v>
      </c>
      <c r="N103" s="7">
        <f t="shared" si="40"/>
        <v>36.783333329949528</v>
      </c>
      <c r="O103" s="7"/>
      <c r="P103" s="7"/>
      <c r="Q103" s="23"/>
      <c r="R103" s="23"/>
      <c r="S103" s="35">
        <f t="shared" si="41"/>
        <v>1</v>
      </c>
      <c r="T103" s="50" t="str">
        <f t="shared" si="30"/>
        <v>NorthBound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13:36:09-700',mode:absolute,to:'2016-12-07 16:22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3" s="52" t="str">
        <f t="shared" si="32"/>
        <v>N</v>
      </c>
      <c r="X103" s="177">
        <f t="shared" si="25"/>
        <v>1</v>
      </c>
      <c r="Y103" s="67">
        <f t="shared" si="33"/>
        <v>4.58E-2</v>
      </c>
      <c r="Z103" s="67">
        <f t="shared" si="34"/>
        <v>23.332100000000001</v>
      </c>
      <c r="AA103" s="67">
        <f t="shared" si="35"/>
        <v>23.286300000000001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36"/>
        <v>0189-07</v>
      </c>
      <c r="AE103" s="91" t="str">
        <f t="shared" si="37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103" s="88" t="str">
        <f t="shared" si="38"/>
        <v>"C:\Program Files (x86)\AstroGrep\AstroGrep.exe" /spath="%USERPROFILE%\AppData\Local\Temp\OnboardLogs" /stypes="app*4031*20161207*" /stext=" 22:.+((SYSTEM_STATE.+slice.+state.+changed )|(ment ac)|(multiple cpu faults)|(system.+state.+changed )|(\[timeout)|(PRM\|1\|D)|(kpr)|(kdp)|(\|lc)|(penalty))" /e /r /s</v>
      </c>
      <c r="AG103" s="1" t="str">
        <f t="shared" si="39"/>
        <v>EC</v>
      </c>
      <c r="AH103" s="92" t="str">
        <f t="shared" si="26"/>
        <v>"%USERPROFILE%\Documents\GitHub\eaglep3\Utilities\RefineRTDCRunTimes.py" --tripid 189-07 --locoid 4031 --swversion DE.1.0.8.0 --startMP 204:458 --initTime 2016-12-07T14:36:09 --startdatetime 2016-12-07T14:45:50 --delay 1 --endMP 204:233321 --enddatetime 2016-12-07T15:22:37 --enforcementcount 0 &gt;&gt;C:\Users\stu\Documents\GitHub\eaglep3-reporting\EC\2016-12-07-refined-times.txt</v>
      </c>
      <c r="AI103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{"issue":{"subject":"","project_id":79,"tracker_id":40,"status_id":1,"priority_id":2,"assigned_to_id":23,"start_date":"2016-12-07","description":"","custom_fields":[{"id":1,"name":"Subdivision","value":"EC"},{"id":4,"name":"Milepost","value":"23.3321"},{"id":17,"name":"Train ID","value":"189-07"},{"id":16,"name":"Locomotive ID","value":"4031"},{"id":130,"name":"Impact","value":""},{"id":150,"name":"Time of Event (Mountain Time)","value":"15:22:37"},{"id":151,"name":"Denver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1" customFormat="1" x14ac:dyDescent="0.25">
      <c r="A104" s="37" t="s">
        <v>598</v>
      </c>
      <c r="B104" s="7">
        <v>4032</v>
      </c>
      <c r="C104" s="22" t="s">
        <v>207</v>
      </c>
      <c r="D104" s="22" t="s">
        <v>724</v>
      </c>
      <c r="E104" s="13">
        <v>42711.643229166664</v>
      </c>
      <c r="F104" s="13">
        <v>42711.653796296298</v>
      </c>
      <c r="G104" s="7">
        <v>1</v>
      </c>
      <c r="H104" s="22" t="s">
        <v>319</v>
      </c>
      <c r="I104" s="13">
        <v>42711.682118055556</v>
      </c>
      <c r="J104" s="7">
        <v>0</v>
      </c>
      <c r="K104" s="109" t="str">
        <f t="shared" si="28"/>
        <v>4031/4032</v>
      </c>
      <c r="L104" s="22" t="str">
        <f>VLOOKUP(A104,'Trips&amp;Operators'!$C$1:$G$99999,5,FALSE)</f>
        <v>BARTLETT KIANDRA</v>
      </c>
      <c r="M104" s="6">
        <f t="shared" si="29"/>
        <v>2.8321759258687962E-2</v>
      </c>
      <c r="N104" s="7">
        <f t="shared" si="40"/>
        <v>40.783333332510665</v>
      </c>
      <c r="O104" s="7"/>
      <c r="P104" s="7"/>
      <c r="Q104" s="23"/>
      <c r="R104" s="23"/>
      <c r="S104" s="35">
        <f t="shared" si="41"/>
        <v>1</v>
      </c>
      <c r="T104" s="50" t="str">
        <f t="shared" si="30"/>
        <v>Southbound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14:26:15-700',mode:absolute,to:'2016-12-07 17:22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4" s="52" t="str">
        <f t="shared" si="32"/>
        <v>N</v>
      </c>
      <c r="X104" s="177">
        <f t="shared" si="25"/>
        <v>1</v>
      </c>
      <c r="Y104" s="67">
        <f t="shared" si="33"/>
        <v>23.3004</v>
      </c>
      <c r="Z104" s="67">
        <f t="shared" si="34"/>
        <v>1.52E-2</v>
      </c>
      <c r="AA104" s="67">
        <f t="shared" si="35"/>
        <v>23.2852</v>
      </c>
      <c r="AB104" s="64" t="e">
        <f>VLOOKUP(A104,Enforcements!$C$7:$K$20,8,0)</f>
        <v>#N/A</v>
      </c>
      <c r="AC104" s="60" t="e">
        <f>VLOOKUP(A104,Enforcements!$C$7:$E$20,3,0)</f>
        <v>#N/A</v>
      </c>
      <c r="AD104" s="61" t="str">
        <f t="shared" si="36"/>
        <v>0190-07</v>
      </c>
      <c r="AE104" s="91" t="str">
        <f t="shared" si="37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104" s="88" t="str">
        <f t="shared" si="38"/>
        <v>"C:\Program Files (x86)\AstroGrep\AstroGrep.exe" /spath="%USERPROFILE%\AppData\Local\Temp\OnboardLogs" /stypes="app*4032*20161207*" /stext=" 23:.+((SYSTEM_STATE.+slice.+state.+changed )|(ment ac)|(multiple cpu faults)|(system.+state.+changed )|(\[timeout)|(PRM\|1\|D)|(kpr)|(kdp)|(\|lc)|(penalty))" /e /r /s</v>
      </c>
      <c r="AG104" s="1" t="str">
        <f t="shared" si="39"/>
        <v>EC</v>
      </c>
      <c r="AH104" s="92" t="str">
        <f t="shared" si="26"/>
        <v>"%USERPROFILE%\Documents\GitHub\eaglep3\Utilities\RefineRTDCRunTimes.py" --tripid 190-07 --locoid 4032 --swversion DE.1.0.8.0 --startMP 204:233004 --initTime 2016-12-07T15:26:15 --startdatetime 2016-12-07T15:41:28 --delay 1 --endMP 204:152 --enddatetime 2016-12-07T16:22:15 --enforcementcount 0 &gt;&gt;C:\Users\stu\Documents\GitHub\eaglep3-reporting\EC\2016-12-07-refined-times.txt</v>
      </c>
      <c r="AI104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{"issue":{"subject":"","project_id":79,"tracker_id":40,"status_id":1,"priority_id":2,"assigned_to_id":23,"start_date":"2016-12-07","description":"","custom_fields":[{"id":1,"name":"Subdivision","value":"EC"},{"id":4,"name":"Milepost","value":"0.0152"},{"id":17,"name":"Train ID","value":"190-07"},{"id":16,"name":"Locomotive ID","value":"4032"},{"id":130,"name":"Impact","value":""},{"id":150,"name":"Time of Event (Mountain Time)","value":"16:22:15"},{"id":151,"name":"Denver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1" customFormat="1" x14ac:dyDescent="0.25">
      <c r="A105" s="37" t="s">
        <v>592</v>
      </c>
      <c r="B105" s="7">
        <v>4009</v>
      </c>
      <c r="C105" s="22" t="s">
        <v>207</v>
      </c>
      <c r="D105" s="22" t="s">
        <v>242</v>
      </c>
      <c r="E105" s="13">
        <v>42711.621817129628</v>
      </c>
      <c r="F105" s="13">
        <v>42711.625381944446</v>
      </c>
      <c r="G105" s="7">
        <v>1</v>
      </c>
      <c r="H105" s="22" t="s">
        <v>411</v>
      </c>
      <c r="I105" s="13">
        <v>42711.649745370371</v>
      </c>
      <c r="J105" s="7">
        <v>0</v>
      </c>
      <c r="K105" s="109" t="str">
        <f t="shared" si="28"/>
        <v>4009/4010</v>
      </c>
      <c r="L105" s="22" t="str">
        <f>VLOOKUP(A105,'Trips&amp;Operators'!$C$1:$G$99999,5,FALSE)</f>
        <v>HELVIE ADAM</v>
      </c>
      <c r="M105" s="6">
        <f t="shared" si="29"/>
        <v>2.4363425924093463E-2</v>
      </c>
      <c r="N105" s="7">
        <f t="shared" si="40"/>
        <v>35.083333330694586</v>
      </c>
      <c r="O105" s="7"/>
      <c r="P105" s="7"/>
      <c r="Q105" s="23"/>
      <c r="R105" s="23"/>
      <c r="S105" s="35">
        <f t="shared" si="41"/>
        <v>1</v>
      </c>
      <c r="T105" s="50" t="str">
        <f t="shared" si="30"/>
        <v>NorthBound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13:55:25-700',mode:absolute,to:'2016-12-07 16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05" s="52" t="str">
        <f t="shared" si="32"/>
        <v>N</v>
      </c>
      <c r="X105" s="177">
        <f t="shared" si="25"/>
        <v>1</v>
      </c>
      <c r="Y105" s="67">
        <f t="shared" si="33"/>
        <v>4.5699999999999998E-2</v>
      </c>
      <c r="Z105" s="67">
        <f t="shared" si="34"/>
        <v>23.328600000000002</v>
      </c>
      <c r="AA105" s="67">
        <f t="shared" si="35"/>
        <v>23.282900000000001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36"/>
        <v>0191-07</v>
      </c>
      <c r="AE105" s="91" t="str">
        <f t="shared" si="37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105" s="88" t="str">
        <f t="shared" si="38"/>
        <v>"C:\Program Files (x86)\AstroGrep\AstroGrep.exe" /spath="%USERPROFILE%\AppData\Local\Temp\OnboardLogs" /stypes="app*4009*20161207*" /stext=" 22:.+((SYSTEM_STATE.+slice.+state.+changed )|(ment ac)|(multiple cpu faults)|(system.+state.+changed )|(\[timeout)|(PRM\|1\|D)|(kpr)|(kdp)|(\|lc)|(penalty))" /e /r /s</v>
      </c>
      <c r="AG105" s="1" t="str">
        <f t="shared" si="39"/>
        <v>EC</v>
      </c>
      <c r="AH105" s="92" t="str">
        <f t="shared" si="26"/>
        <v>"%USERPROFILE%\Documents\GitHub\eaglep3\Utilities\RefineRTDCRunTimes.py" --tripid 191-07 --locoid 4009 --swversion DE.1.0.8.0 --startMP 204:457 --initTime 2016-12-07T14:55:25 --startdatetime 2016-12-07T15:00:33 --delay 1 --endMP 204:233286 --enddatetime 2016-12-07T15:35:38 --enforcementcount 0 &gt;&gt;C:\Users\stu\Documents\GitHub\eaglep3-reporting\EC\2016-12-07-refined-times.txt</v>
      </c>
      <c r="AI105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{"issue":{"subject":"","project_id":79,"tracker_id":40,"status_id":1,"priority_id":2,"assigned_to_id":23,"start_date":"2016-12-07","description":"","custom_fields":[{"id":1,"name":"Subdivision","value":"EC"},{"id":4,"name":"Milepost","value":"23.3286"},{"id":17,"name":"Train ID","value":"191-07"},{"id":16,"name":"Locomotive ID","value":"4009"},{"id":130,"name":"Impact","value":""},{"id":150,"name":"Time of Event (Mountain Time)","value":"15:35:38"},{"id":151,"name":"Denver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x14ac:dyDescent="0.25">
      <c r="A106" s="37" t="s">
        <v>601</v>
      </c>
      <c r="B106" s="7">
        <v>4010</v>
      </c>
      <c r="C106" s="22" t="s">
        <v>207</v>
      </c>
      <c r="D106" s="22" t="s">
        <v>725</v>
      </c>
      <c r="E106" s="13">
        <v>42711.660520833335</v>
      </c>
      <c r="F106" s="13">
        <v>42711.6640625</v>
      </c>
      <c r="G106" s="7">
        <v>1</v>
      </c>
      <c r="H106" s="22" t="s">
        <v>273</v>
      </c>
      <c r="I106" s="13">
        <v>42711.690659722219</v>
      </c>
      <c r="J106" s="7">
        <v>0</v>
      </c>
      <c r="K106" s="109" t="str">
        <f t="shared" si="28"/>
        <v>4009/4010</v>
      </c>
      <c r="L106" s="22" t="str">
        <f>VLOOKUP(A106,'Trips&amp;Operators'!$C$1:$G$99999,5,FALSE)</f>
        <v>HELVIE ADAM</v>
      </c>
      <c r="M106" s="6">
        <f t="shared" si="29"/>
        <v>2.6597222218697425E-2</v>
      </c>
      <c r="N106" s="7">
        <f t="shared" si="40"/>
        <v>38.299999994924292</v>
      </c>
      <c r="O106" s="7"/>
      <c r="P106" s="7"/>
      <c r="Q106" s="23"/>
      <c r="R106" s="23"/>
      <c r="S106" s="35">
        <f t="shared" si="41"/>
        <v>1</v>
      </c>
      <c r="T106" s="50" t="str">
        <f t="shared" si="30"/>
        <v>Southbound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14:51:09-700',mode:absolute,to:'2016-12-07 17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06" s="52" t="str">
        <f t="shared" si="32"/>
        <v>N</v>
      </c>
      <c r="X106" s="177">
        <f t="shared" si="25"/>
        <v>1</v>
      </c>
      <c r="Y106" s="67">
        <f t="shared" si="33"/>
        <v>23.2973</v>
      </c>
      <c r="Z106" s="67">
        <f t="shared" si="34"/>
        <v>1.6299999999999999E-2</v>
      </c>
      <c r="AA106" s="67">
        <f t="shared" si="35"/>
        <v>23.280999999999999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36"/>
        <v>0192-07</v>
      </c>
      <c r="AE106" s="91" t="str">
        <f t="shared" si="37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106" s="88" t="str">
        <f t="shared" si="38"/>
        <v>"C:\Program Files (x86)\AstroGrep\AstroGrep.exe" /spath="%USERPROFILE%\AppData\Local\Temp\OnboardLogs" /stypes="app*4010*20161207*" /stext=" 23:.+((SYSTEM_STATE.+slice.+state.+changed )|(ment ac)|(multiple cpu faults)|(system.+state.+changed )|(\[timeout)|(PRM\|1\|D)|(kpr)|(kdp)|(\|lc)|(penalty))" /e /r /s</v>
      </c>
      <c r="AG106" s="1" t="str">
        <f t="shared" si="39"/>
        <v>EC</v>
      </c>
      <c r="AH106" s="92" t="str">
        <f t="shared" si="26"/>
        <v>"%USERPROFILE%\Documents\GitHub\eaglep3\Utilities\RefineRTDCRunTimes.py" --tripid 192-07 --locoid 4010 --swversion DE.1.0.8.0 --startMP 204:232973 --initTime 2016-12-07T15:51:09 --startdatetime 2016-12-07T15:56:15 --delay 1 --endMP 204:163 --enddatetime 2016-12-07T16:34:33 --enforcementcount 0 &gt;&gt;C:\Users\stu\Documents\GitHub\eaglep3-reporting\EC\2016-12-07-refined-times.txt</v>
      </c>
      <c r="AI106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{"issue":{"subject":"","project_id":79,"tracker_id":40,"status_id":1,"priority_id":2,"assigned_to_id":23,"start_date":"2016-12-07","description":"","custom_fields":[{"id":1,"name":"Subdivision","value":"EC"},{"id":4,"name":"Milepost","value":"0.0163"},{"id":17,"name":"Train ID","value":"192-07"},{"id":16,"name":"Locomotive ID","value":"4010"},{"id":130,"name":"Impact","value":""},{"id":150,"name":"Time of Event (Mountain Time)","value":"16:34:33"},{"id":151,"name":"Denver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</row>
    <row r="107" spans="1:91" s="21" customFormat="1" x14ac:dyDescent="0.25">
      <c r="A107" s="37" t="s">
        <v>465</v>
      </c>
      <c r="B107" s="7">
        <v>4020</v>
      </c>
      <c r="C107" s="22" t="s">
        <v>207</v>
      </c>
      <c r="D107" s="22" t="s">
        <v>726</v>
      </c>
      <c r="E107" s="13">
        <v>42711.631296296298</v>
      </c>
      <c r="F107" s="13">
        <v>42711.635694444441</v>
      </c>
      <c r="G107" s="7">
        <v>1</v>
      </c>
      <c r="H107" s="22" t="s">
        <v>416</v>
      </c>
      <c r="I107" s="13">
        <v>42711.662893518522</v>
      </c>
      <c r="J107" s="7">
        <v>0</v>
      </c>
      <c r="K107" s="109" t="str">
        <f t="shared" si="28"/>
        <v>4019/4020</v>
      </c>
      <c r="L107" s="22" t="str">
        <f>VLOOKUP(A107,'Trips&amp;Operators'!$C$1:$G$99999,5,FALSE)</f>
        <v>ADANE ELSHADAY</v>
      </c>
      <c r="M107" s="6">
        <f t="shared" si="29"/>
        <v>2.7199074080272112E-2</v>
      </c>
      <c r="N107" s="7">
        <f t="shared" si="40"/>
        <v>39.166666675591841</v>
      </c>
      <c r="O107" s="7"/>
      <c r="P107" s="7"/>
      <c r="Q107" s="23"/>
      <c r="R107" s="23"/>
      <c r="S107" s="35">
        <f t="shared" si="41"/>
        <v>1</v>
      </c>
      <c r="T107" s="50" t="str">
        <f t="shared" si="30"/>
        <v>NorthBound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14:09:04-700',mode:absolute,to:'2016-12-07 16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07" s="52" t="str">
        <f t="shared" si="32"/>
        <v>N</v>
      </c>
      <c r="X107" s="177">
        <f t="shared" si="25"/>
        <v>1</v>
      </c>
      <c r="Y107" s="67">
        <f t="shared" si="33"/>
        <v>5.04E-2</v>
      </c>
      <c r="Z107" s="67">
        <f t="shared" si="34"/>
        <v>23.331399999999999</v>
      </c>
      <c r="AA107" s="67">
        <f t="shared" si="35"/>
        <v>23.280999999999999</v>
      </c>
      <c r="AB107" s="64" t="str">
        <f>VLOOKUP(A107,Enforcements!$C$7:$K$20,8,0)</f>
        <v>Bulletin (2)</v>
      </c>
      <c r="AC107" s="60" t="str">
        <f>VLOOKUP(A107,Enforcements!$C$7:$E$20,3,0)</f>
        <v>GRADE CROSSING</v>
      </c>
      <c r="AD107" s="61" t="str">
        <f t="shared" si="36"/>
        <v>0193-07</v>
      </c>
      <c r="AE107" s="91" t="str">
        <f t="shared" si="37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107" s="88" t="str">
        <f t="shared" si="38"/>
        <v>"C:\Program Files (x86)\AstroGrep\AstroGrep.exe" /spath="%USERPROFILE%\AppData\Local\Temp\OnboardLogs" /stypes="app*4020*20161207*" /stext=" 22:.+((SYSTEM_STATE.+slice.+state.+changed )|(ment ac)|(multiple cpu faults)|(system.+state.+changed )|(\[timeout)|(PRM\|1\|D)|(kpr)|(kdp)|(\|lc)|(penalty))" /e /r /s</v>
      </c>
      <c r="AG107" s="1" t="str">
        <f t="shared" si="39"/>
        <v>EC</v>
      </c>
      <c r="AH107" s="92" t="str">
        <f t="shared" si="26"/>
        <v>"%USERPROFILE%\Documents\GitHub\eaglep3\Utilities\RefineRTDCRunTimes.py" --tripid 193-07 --locoid 4020 --swversion DE.1.0.8.0 --startMP 204:504 --initTime 2016-12-07T15:09:04 --startdatetime 2016-12-07T15:15:24 --delay 1 --endMP 204:233314 --enddatetime 2016-12-07T15:54:34 --enforcementcount 0 &gt;&gt;C:\Users\stu\Documents\GitHub\eaglep3-reporting\EC\2016-12-07-refined-times.txt</v>
      </c>
      <c r="AI107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{"issue":{"subject":"","project_id":79,"tracker_id":40,"status_id":1,"priority_id":2,"assigned_to_id":23,"start_date":"2016-12-07","description":"","custom_fields":[{"id":1,"name":"Subdivision","value":"EC"},{"id":4,"name":"Milepost","value":"23.3314"},{"id":17,"name":"Train ID","value":"193-07"},{"id":16,"name":"Locomotive ID","value":"4020"},{"id":130,"name":"Impact","value":""},{"id":150,"name":"Time of Event (Mountain Time)","value":"15:54:34"},{"id":151,"name":"Denver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603</v>
      </c>
      <c r="B108" s="7">
        <v>4019</v>
      </c>
      <c r="C108" s="22" t="s">
        <v>207</v>
      </c>
      <c r="D108" s="22" t="s">
        <v>712</v>
      </c>
      <c r="E108" s="13">
        <v>42711.664490740739</v>
      </c>
      <c r="F108" s="13">
        <v>42711.674768518518</v>
      </c>
      <c r="G108" s="7">
        <v>1</v>
      </c>
      <c r="H108" s="22" t="s">
        <v>251</v>
      </c>
      <c r="I108" s="13">
        <v>42711.700243055559</v>
      </c>
      <c r="J108" s="7">
        <v>0</v>
      </c>
      <c r="K108" s="109" t="str">
        <f t="shared" si="28"/>
        <v>4019/4020</v>
      </c>
      <c r="L108" s="22" t="str">
        <f>VLOOKUP(A108,'Trips&amp;Operators'!$C$1:$G$99999,5,FALSE)</f>
        <v>ADANE ELSHADAY</v>
      </c>
      <c r="M108" s="6">
        <f t="shared" si="29"/>
        <v>2.5474537040281575E-2</v>
      </c>
      <c r="N108" s="7">
        <f t="shared" si="40"/>
        <v>36.683333338005468</v>
      </c>
      <c r="O108" s="7"/>
      <c r="P108" s="7"/>
      <c r="Q108" s="23"/>
      <c r="R108" s="23"/>
      <c r="S108" s="35">
        <f t="shared" si="41"/>
        <v>1</v>
      </c>
      <c r="T108" s="50" t="str">
        <f t="shared" si="30"/>
        <v>Southbound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14:56:52-700',mode:absolute,to:'2016-12-07 17:48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08" s="52" t="str">
        <f t="shared" si="32"/>
        <v>N</v>
      </c>
      <c r="X108" s="177">
        <f t="shared" si="25"/>
        <v>1</v>
      </c>
      <c r="Y108" s="67">
        <f t="shared" si="33"/>
        <v>23.298100000000002</v>
      </c>
      <c r="Z108" s="67">
        <f t="shared" si="34"/>
        <v>1.4500000000000001E-2</v>
      </c>
      <c r="AA108" s="67">
        <f t="shared" si="35"/>
        <v>23.2836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36"/>
        <v>0194-07</v>
      </c>
      <c r="AE108" s="91" t="str">
        <f t="shared" si="37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108" s="88" t="str">
        <f t="shared" si="38"/>
        <v>"C:\Program Files (x86)\AstroGrep\AstroGrep.exe" /spath="%USERPROFILE%\AppData\Local\Temp\OnboardLogs" /stypes="app*4019*20161207*" /stext=" 23:.+((SYSTEM_STATE.+slice.+state.+changed )|(ment ac)|(multiple cpu faults)|(system.+state.+changed )|(\[timeout)|(PRM\|1\|D)|(kpr)|(kdp)|(\|lc)|(penalty))" /e /r /s</v>
      </c>
      <c r="AG108" s="1" t="str">
        <f t="shared" si="39"/>
        <v>EC</v>
      </c>
      <c r="AH108" s="92" t="str">
        <f t="shared" si="26"/>
        <v>"%USERPROFILE%\Documents\GitHub\eaglep3\Utilities\RefineRTDCRunTimes.py" --tripid 194-07 --locoid 4019 --swversion DE.1.0.8.0 --startMP 204:232981 --initTime 2016-12-07T15:56:52 --startdatetime 2016-12-07T16:11:40 --delay 1 --endMP 204:145 --enddatetime 2016-12-07T16:48:21 --enforcementcount 0 &gt;&gt;C:\Users\stu\Documents\GitHub\eaglep3-reporting\EC\2016-12-07-refined-times.txt</v>
      </c>
      <c r="AI108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{"issue":{"subject":"","project_id":79,"tracker_id":40,"status_id":1,"priority_id":2,"assigned_to_id":23,"start_date":"2016-12-07","description":"","custom_fields":[{"id":1,"name":"Subdivision","value":"EC"},{"id":4,"name":"Milepost","value":"0.0145"},{"id":17,"name":"Train ID","value":"194-07"},{"id":16,"name":"Locomotive ID","value":"4019"},{"id":130,"name":"Impact","value":""},{"id":150,"name":"Time of Event (Mountain Time)","value":"16:48:21"},{"id":151,"name":"Denver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597</v>
      </c>
      <c r="B109" s="7">
        <v>4044</v>
      </c>
      <c r="C109" s="22" t="s">
        <v>207</v>
      </c>
      <c r="D109" s="22" t="s">
        <v>311</v>
      </c>
      <c r="E109" s="13">
        <v>42711.641469907408</v>
      </c>
      <c r="F109" s="13">
        <v>42711.646377314813</v>
      </c>
      <c r="G109" s="7">
        <v>1</v>
      </c>
      <c r="H109" s="22" t="s">
        <v>313</v>
      </c>
      <c r="I109" s="13">
        <v>42711.671979166669</v>
      </c>
      <c r="J109" s="7">
        <v>0</v>
      </c>
      <c r="K109" s="109" t="str">
        <f t="shared" si="28"/>
        <v>4043/4044</v>
      </c>
      <c r="L109" s="22" t="str">
        <f>VLOOKUP(A109,'Trips&amp;Operators'!$C$1:$G$99999,5,FALSE)</f>
        <v>LOPES KIMBERLY</v>
      </c>
      <c r="M109" s="6">
        <f t="shared" si="29"/>
        <v>2.5601851855753921E-2</v>
      </c>
      <c r="N109" s="7">
        <f t="shared" si="40"/>
        <v>36.866666672285646</v>
      </c>
      <c r="O109" s="7"/>
      <c r="P109" s="7"/>
      <c r="Q109" s="23"/>
      <c r="R109" s="23"/>
      <c r="S109" s="35">
        <f t="shared" si="41"/>
        <v>1</v>
      </c>
      <c r="T109" s="50" t="str">
        <f t="shared" si="30"/>
        <v>NorthBound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14:23:43-700',mode:absolute,to:'2016-12-07 17:07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09" s="52" t="str">
        <f t="shared" si="32"/>
        <v>N</v>
      </c>
      <c r="X109" s="177">
        <f t="shared" si="25"/>
        <v>1</v>
      </c>
      <c r="Y109" s="67">
        <f t="shared" si="33"/>
        <v>4.4400000000000002E-2</v>
      </c>
      <c r="Z109" s="67">
        <f t="shared" si="34"/>
        <v>23.3291</v>
      </c>
      <c r="AA109" s="67">
        <f t="shared" si="35"/>
        <v>23.284700000000001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36"/>
        <v>0195-07</v>
      </c>
      <c r="AE109" s="91" t="str">
        <f t="shared" si="37"/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109" s="88" t="str">
        <f t="shared" si="38"/>
        <v>"C:\Program Files (x86)\AstroGrep\AstroGrep.exe" /spath="%USERPROFILE%\AppData\Local\Temp\OnboardLogs" /stypes="app*4044*20161207*" /stext=" 23:.+((SYSTEM_STATE.+slice.+state.+changed )|(ment ac)|(multiple cpu faults)|(system.+state.+changed )|(\[timeout)|(PRM\|1\|D)|(kpr)|(kdp)|(\|lc)|(penalty))" /e /r /s</v>
      </c>
      <c r="AG109" s="1" t="str">
        <f t="shared" si="39"/>
        <v>EC</v>
      </c>
      <c r="AH109" s="92" t="str">
        <f t="shared" si="26"/>
        <v>"%USERPROFILE%\Documents\GitHub\eaglep3\Utilities\RefineRTDCRunTimes.py" --tripid 195-07 --locoid 4044 --swversion DE.1.0.8.0 --startMP 204:444 --initTime 2016-12-07T15:23:43 --startdatetime 2016-12-07T15:30:47 --delay 1 --endMP 204:233291 --enddatetime 2016-12-07T16:07:39 --enforcementcount 0 &gt;&gt;C:\Users\stu\Documents\GitHub\eaglep3-reporting\EC\2016-12-07-refined-times.txt</v>
      </c>
      <c r="AI109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{"issue":{"subject":"","project_id":79,"tracker_id":40,"status_id":1,"priority_id":2,"assigned_to_id":23,"start_date":"2016-12-07","description":"","custom_fields":[{"id":1,"name":"Subdivision","value":"EC"},{"id":4,"name":"Milepost","value":"23.3291"},{"id":17,"name":"Train ID","value":"195-07"},{"id":16,"name":"Locomotive ID","value":"4044"},{"id":130,"name":"Impact","value":""},{"id":150,"name":"Time of Event (Mountain Time)","value":"16:07:39"},{"id":151,"name":"Denver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607</v>
      </c>
      <c r="B110" s="7">
        <v>4043</v>
      </c>
      <c r="C110" s="22" t="s">
        <v>207</v>
      </c>
      <c r="D110" s="22" t="s">
        <v>727</v>
      </c>
      <c r="E110" s="13">
        <v>42711.675821759258</v>
      </c>
      <c r="F110" s="13">
        <v>42711.684930555559</v>
      </c>
      <c r="G110" s="7">
        <v>1</v>
      </c>
      <c r="H110" s="22" t="s">
        <v>205</v>
      </c>
      <c r="I110" s="13">
        <v>42711.712835648148</v>
      </c>
      <c r="J110" s="7">
        <v>0</v>
      </c>
      <c r="K110" s="109" t="str">
        <f t="shared" si="28"/>
        <v>4043/4044</v>
      </c>
      <c r="L110" s="22" t="str">
        <f>VLOOKUP(A110,'Trips&amp;Operators'!$C$1:$G$99999,5,FALSE)</f>
        <v>LOPES KIMBERLY</v>
      </c>
      <c r="M110" s="6">
        <f t="shared" si="29"/>
        <v>2.7905092589207925E-2</v>
      </c>
      <c r="N110" s="7">
        <f t="shared" si="40"/>
        <v>40.183333328459412</v>
      </c>
      <c r="O110" s="7"/>
      <c r="P110" s="7"/>
      <c r="Q110" s="23"/>
      <c r="R110" s="23"/>
      <c r="S110" s="35">
        <f t="shared" si="41"/>
        <v>1</v>
      </c>
      <c r="T110" s="50" t="str">
        <f t="shared" si="30"/>
        <v>Southbound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15:13:11-700',mode:absolute,to:'2016-12-07 18:06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0" s="52" t="str">
        <f t="shared" si="32"/>
        <v>N</v>
      </c>
      <c r="X110" s="177">
        <f t="shared" si="25"/>
        <v>1</v>
      </c>
      <c r="Y110" s="67">
        <f t="shared" si="33"/>
        <v>23.297499999999999</v>
      </c>
      <c r="Z110" s="67">
        <f t="shared" si="34"/>
        <v>1.5599999999999999E-2</v>
      </c>
      <c r="AA110" s="67">
        <f t="shared" si="35"/>
        <v>23.2819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36"/>
        <v>0196-07</v>
      </c>
      <c r="AE110" s="91" t="str">
        <f t="shared" si="37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110" s="88" t="str">
        <f t="shared" si="38"/>
        <v>"C:\Program Files (x86)\AstroGrep\AstroGrep.exe" /spath="%USERPROFILE%\AppData\Local\Temp\OnboardLogs" /stypes="app*4043*20161208*" /stext=" 00:.+((SYSTEM_STATE.+slice.+state.+changed )|(ment ac)|(multiple cpu faults)|(system.+state.+changed )|(\[timeout)|(PRM\|1\|D)|(kpr)|(kdp)|(\|lc)|(penalty))" /e /r /s</v>
      </c>
      <c r="AG110" s="1" t="str">
        <f t="shared" si="39"/>
        <v>EC</v>
      </c>
      <c r="AH110" s="92" t="str">
        <f t="shared" si="26"/>
        <v>"%USERPROFILE%\Documents\GitHub\eaglep3\Utilities\RefineRTDCRunTimes.py" --tripid 196-07 --locoid 4043 --swversion DE.1.0.8.0 --startMP 204:232975 --initTime 2016-12-07T16:13:11 --startdatetime 2016-12-07T16:26:18 --delay 1 --endMP 204:156 --enddatetime 2016-12-07T17:06:29 --enforcementcount 0 &gt;&gt;C:\Users\stu\Documents\GitHub\eaglep3-reporting\EC\2016-12-07-refined-times.txt</v>
      </c>
      <c r="AI110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{"issue":{"subject":"","project_id":79,"tracker_id":40,"status_id":1,"priority_id":2,"assigned_to_id":23,"start_date":"2016-12-07","description":"","custom_fields":[{"id":1,"name":"Subdivision","value":"EC"},{"id":4,"name":"Milepost","value":"0.0156"},{"id":17,"name":"Train ID","value":"196-07"},{"id":16,"name":"Locomotive ID","value":"4043"},{"id":130,"name":"Impact","value":""},{"id":150,"name":"Time of Event (Mountain Time)","value":"17:06:29"},{"id":151,"name":"Denver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599</v>
      </c>
      <c r="B111" s="7">
        <v>4002</v>
      </c>
      <c r="C111" s="22" t="s">
        <v>207</v>
      </c>
      <c r="D111" s="22" t="s">
        <v>323</v>
      </c>
      <c r="E111" s="13">
        <v>42711.651678240742</v>
      </c>
      <c r="F111" s="13">
        <v>42711.656585648147</v>
      </c>
      <c r="G111" s="7">
        <v>1</v>
      </c>
      <c r="H111" s="22" t="s">
        <v>324</v>
      </c>
      <c r="I111" s="13">
        <v>42711.681527777779</v>
      </c>
      <c r="J111" s="7">
        <v>0</v>
      </c>
      <c r="K111" s="109" t="str">
        <f t="shared" si="28"/>
        <v>4001/4002</v>
      </c>
      <c r="L111" s="22" t="str">
        <f>VLOOKUP(A111,'Trips&amp;Operators'!$C$1:$G$99999,5,FALSE)</f>
        <v>BRUDER RICHARD</v>
      </c>
      <c r="M111" s="6">
        <f t="shared" si="29"/>
        <v>2.4942129632108845E-2</v>
      </c>
      <c r="N111" s="7">
        <f t="shared" si="40"/>
        <v>35.916666670236737</v>
      </c>
      <c r="O111" s="7"/>
      <c r="P111" s="7"/>
      <c r="Q111" s="23"/>
      <c r="R111" s="23"/>
      <c r="S111" s="35">
        <f t="shared" si="41"/>
        <v>1</v>
      </c>
      <c r="T111" s="50" t="str">
        <f t="shared" si="30"/>
        <v>NorthBound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14:38:25-700',mode:absolute,to:'2016-12-07 17:21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11" s="52" t="str">
        <f t="shared" si="32"/>
        <v>N</v>
      </c>
      <c r="X111" s="177">
        <f t="shared" si="25"/>
        <v>1</v>
      </c>
      <c r="Y111" s="67">
        <f t="shared" si="33"/>
        <v>4.6399999999999997E-2</v>
      </c>
      <c r="Z111" s="67">
        <f t="shared" si="34"/>
        <v>23.332100000000001</v>
      </c>
      <c r="AA111" s="67">
        <f t="shared" si="35"/>
        <v>23.285700000000002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36"/>
        <v>0197-07</v>
      </c>
      <c r="AE111" s="91" t="str">
        <f t="shared" si="37"/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111" s="88" t="str">
        <f t="shared" si="38"/>
        <v>"C:\Program Files (x86)\AstroGrep\AstroGrep.exe" /spath="%USERPROFILE%\AppData\Local\Temp\OnboardLogs" /stypes="app*4002*20161207*" /stext=" 23:.+((SYSTEM_STATE.+slice.+state.+changed )|(ment ac)|(multiple cpu faults)|(system.+state.+changed )|(\[timeout)|(PRM\|1\|D)|(kpr)|(kdp)|(\|lc)|(penalty))" /e /r /s</v>
      </c>
      <c r="AG111" s="1" t="str">
        <f t="shared" si="39"/>
        <v>EC</v>
      </c>
      <c r="AH111" s="92" t="str">
        <f t="shared" si="26"/>
        <v>"%USERPROFILE%\Documents\GitHub\eaglep3\Utilities\RefineRTDCRunTimes.py" --tripid 197-07 --locoid 4002 --swversion DE.1.0.8.0 --startMP 204:464 --initTime 2016-12-07T15:38:25 --startdatetime 2016-12-07T15:45:29 --delay 1 --endMP 204:233321 --enddatetime 2016-12-07T16:21:24 --enforcementcount 0 &gt;&gt;C:\Users\stu\Documents\GitHub\eaglep3-reporting\EC\2016-12-07-refined-times.txt</v>
      </c>
      <c r="AI111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{"issue":{"subject":"","project_id":79,"tracker_id":40,"status_id":1,"priority_id":2,"assigned_to_id":23,"start_date":"2016-12-07","description":"","custom_fields":[{"id":1,"name":"Subdivision","value":"EC"},{"id":4,"name":"Milepost","value":"23.3321"},{"id":17,"name":"Train ID","value":"197-07"},{"id":16,"name":"Locomotive ID","value":"4002"},{"id":130,"name":"Impact","value":""},{"id":150,"name":"Time of Event (Mountain Time)","value":"16:21:24"},{"id":151,"name":"Denver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609</v>
      </c>
      <c r="B112" s="7">
        <v>4001</v>
      </c>
      <c r="C112" s="22" t="s">
        <v>207</v>
      </c>
      <c r="D112" s="22" t="s">
        <v>249</v>
      </c>
      <c r="E112" s="13">
        <v>42711.690081018518</v>
      </c>
      <c r="F112" s="13">
        <v>42711.695324074077</v>
      </c>
      <c r="G112" s="7">
        <v>1</v>
      </c>
      <c r="H112" s="22" t="s">
        <v>706</v>
      </c>
      <c r="I112" s="13">
        <v>42711.722662037035</v>
      </c>
      <c r="J112" s="7">
        <v>0</v>
      </c>
      <c r="K112" s="109" t="str">
        <f t="shared" si="28"/>
        <v>4001/4002</v>
      </c>
      <c r="L112" s="22" t="str">
        <f>VLOOKUP(A112,'Trips&amp;Operators'!$C$1:$G$99999,5,FALSE)</f>
        <v>BRUDER RICHARD</v>
      </c>
      <c r="M112" s="6">
        <f t="shared" si="29"/>
        <v>2.7337962957972195E-2</v>
      </c>
      <c r="N112" s="7">
        <f t="shared" si="40"/>
        <v>39.366666659479961</v>
      </c>
      <c r="O112" s="7"/>
      <c r="P112" s="7"/>
      <c r="Q112" s="23"/>
      <c r="R112" s="23"/>
      <c r="S112" s="35">
        <f t="shared" si="41"/>
        <v>1</v>
      </c>
      <c r="T112" s="50" t="str">
        <f t="shared" si="30"/>
        <v>Southbound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15:33:43-700',mode:absolute,to:'2016-12-07 18:20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12" s="52" t="str">
        <f t="shared" si="32"/>
        <v>N</v>
      </c>
      <c r="X112" s="177">
        <f t="shared" ref="X112:X119" si="42">VALUE(LEFT(AD112,4))-VALUE(LEFT(AD111,4))</f>
        <v>1</v>
      </c>
      <c r="Y112" s="67">
        <f t="shared" si="33"/>
        <v>23.2989</v>
      </c>
      <c r="Z112" s="67">
        <f t="shared" si="34"/>
        <v>1.3899999999999999E-2</v>
      </c>
      <c r="AA112" s="67">
        <f t="shared" si="35"/>
        <v>23.285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36"/>
        <v>0198-07</v>
      </c>
      <c r="AE112" s="91" t="str">
        <f t="shared" si="37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112" s="88" t="str">
        <f t="shared" si="38"/>
        <v>"C:\Program Files (x86)\AstroGrep\AstroGrep.exe" /spath="%USERPROFILE%\AppData\Local\Temp\OnboardLogs" /stypes="app*4001*20161208*" /stext=" 00:.+((SYSTEM_STATE.+slice.+state.+changed )|(ment ac)|(multiple cpu faults)|(system.+state.+changed )|(\[timeout)|(PRM\|1\|D)|(kpr)|(kdp)|(\|lc)|(penalty))" /e /r /s</v>
      </c>
      <c r="AG112" s="1" t="str">
        <f t="shared" si="39"/>
        <v>EC</v>
      </c>
      <c r="AH112" s="92" t="str">
        <f t="shared" si="26"/>
        <v>"%USERPROFILE%\Documents\GitHub\eaglep3\Utilities\RefineRTDCRunTimes.py" --tripid 198-07 --locoid 4001 --swversion DE.1.0.8.0 --startMP 204:232989 --initTime 2016-12-07T16:33:43 --startdatetime 2016-12-07T16:41:16 --delay 1 --endMP 204:139 --enddatetime 2016-12-07T17:20:38 --enforcementcount 0 &gt;&gt;C:\Users\stu\Documents\GitHub\eaglep3-reporting\EC\2016-12-07-refined-times.txt</v>
      </c>
      <c r="AI112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{"issue":{"subject":"","project_id":79,"tracker_id":40,"status_id":1,"priority_id":2,"assigned_to_id":23,"start_date":"2016-12-07","description":"","custom_fields":[{"id":1,"name":"Subdivision","value":"EC"},{"id":4,"name":"Milepost","value":"0.0139"},{"id":17,"name":"Train ID","value":"198-07"},{"id":16,"name":"Locomotive ID","value":"4001"},{"id":130,"name":"Impact","value":""},{"id":150,"name":"Time of Event (Mountain Time)","value":"17:20:38"},{"id":151,"name":"Denver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602</v>
      </c>
      <c r="B113" s="7">
        <v>4016</v>
      </c>
      <c r="C113" s="22" t="s">
        <v>207</v>
      </c>
      <c r="D113" s="22" t="s">
        <v>346</v>
      </c>
      <c r="E113" s="13">
        <v>42711.663217592592</v>
      </c>
      <c r="F113" s="13">
        <v>42711.667337962965</v>
      </c>
      <c r="G113" s="7">
        <v>1</v>
      </c>
      <c r="H113" s="22" t="s">
        <v>728</v>
      </c>
      <c r="I113" s="13">
        <v>42711.69327546296</v>
      </c>
      <c r="J113" s="7">
        <v>0</v>
      </c>
      <c r="K113" s="109" t="str">
        <f t="shared" si="28"/>
        <v>4015/4016</v>
      </c>
      <c r="L113" s="22" t="str">
        <f>VLOOKUP(A113,'Trips&amp;Operators'!$C$1:$G$99999,5,FALSE)</f>
        <v>STORY SAMANTHA</v>
      </c>
      <c r="M113" s="6">
        <f t="shared" si="29"/>
        <v>2.5937499995052349E-2</v>
      </c>
      <c r="N113" s="7">
        <f t="shared" si="40"/>
        <v>37.349999992875382</v>
      </c>
      <c r="O113" s="7"/>
      <c r="P113" s="7"/>
      <c r="Q113" s="23"/>
      <c r="R113" s="23"/>
      <c r="S113" s="35">
        <f t="shared" si="41"/>
        <v>1</v>
      </c>
      <c r="T113" s="50" t="str">
        <f t="shared" si="30"/>
        <v>NorthBound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14:55:02-700',mode:absolute,to:'2016-12-07 17:38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13" s="52" t="str">
        <f t="shared" si="32"/>
        <v>N</v>
      </c>
      <c r="X113" s="177">
        <f t="shared" si="42"/>
        <v>1</v>
      </c>
      <c r="Y113" s="67">
        <f t="shared" si="33"/>
        <v>4.6199999999999998E-2</v>
      </c>
      <c r="Z113" s="67">
        <f t="shared" si="34"/>
        <v>23.340299999999999</v>
      </c>
      <c r="AA113" s="67">
        <f t="shared" si="35"/>
        <v>23.2941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36"/>
        <v>0199-07</v>
      </c>
      <c r="AE113" s="91" t="str">
        <f t="shared" si="37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113" s="88" t="str">
        <f t="shared" si="38"/>
        <v>"C:\Program Files (x86)\AstroGrep\AstroGrep.exe" /spath="%USERPROFILE%\AppData\Local\Temp\OnboardLogs" /stypes="app*4016*20161207*" /stext=" 23:.+((SYSTEM_STATE.+slice.+state.+changed )|(ment ac)|(multiple cpu faults)|(system.+state.+changed )|(\[timeout)|(PRM\|1\|D)|(kpr)|(kdp)|(\|lc)|(penalty))" /e /r /s</v>
      </c>
      <c r="AG113" s="1" t="str">
        <f t="shared" si="39"/>
        <v>EC</v>
      </c>
      <c r="AH113" s="92" t="str">
        <f t="shared" si="26"/>
        <v>"%USERPROFILE%\Documents\GitHub\eaglep3\Utilities\RefineRTDCRunTimes.py" --tripid 199-07 --locoid 4016 --swversion DE.1.0.8.0 --startMP 204:462 --initTime 2016-12-07T15:55:02 --startdatetime 2016-12-07T16:00:58 --delay 1 --endMP 204:233403 --enddatetime 2016-12-07T16:38:19 --enforcementcount 0 &gt;&gt;C:\Users\stu\Documents\GitHub\eaglep3-reporting\EC\2016-12-07-refined-times.txt</v>
      </c>
      <c r="AI113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{"issue":{"subject":"","project_id":79,"tracker_id":40,"status_id":1,"priority_id":2,"assigned_to_id":23,"start_date":"2016-12-07","description":"","custom_fields":[{"id":1,"name":"Subdivision","value":"EC"},{"id":4,"name":"Milepost","value":"23.3403"},{"id":17,"name":"Train ID","value":"199-07"},{"id":16,"name":"Locomotive ID","value":"4016"},{"id":130,"name":"Impact","value":""},{"id":150,"name":"Time of Event (Mountain Time)","value":"16:38:19"},{"id":151,"name":"Denver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613</v>
      </c>
      <c r="B114" s="7">
        <v>4015</v>
      </c>
      <c r="C114" s="22" t="s">
        <v>207</v>
      </c>
      <c r="D114" s="22" t="s">
        <v>729</v>
      </c>
      <c r="E114" s="13">
        <v>42711.699780092589</v>
      </c>
      <c r="F114" s="13">
        <v>42711.70585648148</v>
      </c>
      <c r="G114" s="7">
        <v>1</v>
      </c>
      <c r="H114" s="22" t="s">
        <v>214</v>
      </c>
      <c r="I114" s="13">
        <v>42711.735138888886</v>
      </c>
      <c r="J114" s="7">
        <v>0</v>
      </c>
      <c r="K114" s="109" t="str">
        <f t="shared" si="28"/>
        <v>4015/4016</v>
      </c>
      <c r="L114" s="22" t="str">
        <f>VLOOKUP(A114,'Trips&amp;Operators'!$C$1:$G$99999,5,FALSE)</f>
        <v>STORY SAMANTHA</v>
      </c>
      <c r="M114" s="6">
        <f t="shared" si="29"/>
        <v>2.9282407405844424E-2</v>
      </c>
      <c r="N114" s="7">
        <f t="shared" si="40"/>
        <v>42.16666666441597</v>
      </c>
      <c r="O114" s="7"/>
      <c r="P114" s="7"/>
      <c r="Q114" s="23"/>
      <c r="R114" s="23"/>
      <c r="S114" s="35">
        <f t="shared" si="41"/>
        <v>1</v>
      </c>
      <c r="T114" s="50" t="str">
        <f t="shared" si="30"/>
        <v>Southbound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15:47:41-700',mode:absolute,to:'2016-12-07 18:38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14" s="52" t="str">
        <f t="shared" si="32"/>
        <v>N</v>
      </c>
      <c r="X114" s="177">
        <f t="shared" si="42"/>
        <v>1</v>
      </c>
      <c r="Y114" s="67">
        <f t="shared" si="33"/>
        <v>23.308199999999999</v>
      </c>
      <c r="Z114" s="67">
        <f t="shared" si="34"/>
        <v>1.4999999999999999E-2</v>
      </c>
      <c r="AA114" s="67">
        <f t="shared" si="35"/>
        <v>23.293199999999999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36"/>
        <v>0200-07</v>
      </c>
      <c r="AE114" s="91" t="str">
        <f t="shared" si="37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114" s="88" t="str">
        <f t="shared" si="38"/>
        <v>"C:\Program Files (x86)\AstroGrep\AstroGrep.exe" /spath="%USERPROFILE%\AppData\Local\Temp\OnboardLogs" /stypes="app*4015*20161208*" /stext=" 00:.+((SYSTEM_STATE.+slice.+state.+changed )|(ment ac)|(multiple cpu faults)|(system.+state.+changed )|(\[timeout)|(PRM\|1\|D)|(kpr)|(kdp)|(\|lc)|(penalty))" /e /r /s</v>
      </c>
      <c r="AG114" s="1" t="str">
        <f t="shared" si="39"/>
        <v>EC</v>
      </c>
      <c r="AH114" s="92" t="str">
        <f t="shared" si="26"/>
        <v>"%USERPROFILE%\Documents\GitHub\eaglep3\Utilities\RefineRTDCRunTimes.py" --tripid 200-07 --locoid 4015 --swversion DE.1.0.8.0 --startMP 204:233082 --initTime 2016-12-07T16:47:41 --startdatetime 2016-12-07T16:56:26 --delay 1 --endMP 204:150 --enddatetime 2016-12-07T17:38:36 --enforcementcount 0 &gt;&gt;C:\Users\stu\Documents\GitHub\eaglep3-reporting\EC\2016-12-07-refined-times.txt</v>
      </c>
      <c r="AI114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ID","value":"200-07"},{"id":16,"name":"Locomotive ID","value":"4015"},{"id":130,"name":"Impact","value":""},{"id":150,"name":"Time of Event (Mountain Time)","value":"17:38:36"},{"id":151,"name":"Denver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605</v>
      </c>
      <c r="B115" s="7">
        <v>4014</v>
      </c>
      <c r="C115" s="22" t="s">
        <v>207</v>
      </c>
      <c r="D115" s="22" t="s">
        <v>268</v>
      </c>
      <c r="E115" s="13">
        <v>42711.672997685186</v>
      </c>
      <c r="F115" s="13">
        <v>42711.677523148152</v>
      </c>
      <c r="G115" s="7">
        <v>1</v>
      </c>
      <c r="H115" s="22" t="s">
        <v>316</v>
      </c>
      <c r="I115" s="13">
        <v>42711.702800925923</v>
      </c>
      <c r="J115" s="7">
        <v>0</v>
      </c>
      <c r="K115" s="109" t="str">
        <f t="shared" si="28"/>
        <v>4013/4014</v>
      </c>
      <c r="L115" s="22" t="str">
        <f>VLOOKUP(A115,'Trips&amp;Operators'!$C$1:$G$99999,5,FALSE)</f>
        <v>BONDS REYNALDO</v>
      </c>
      <c r="M115" s="6">
        <f t="shared" si="29"/>
        <v>2.5277777771407273E-2</v>
      </c>
      <c r="N115" s="7">
        <f t="shared" si="40"/>
        <v>36.399999990826473</v>
      </c>
      <c r="O115" s="7"/>
      <c r="P115" s="7"/>
      <c r="Q115" s="23"/>
      <c r="R115" s="23"/>
      <c r="S115" s="35">
        <f t="shared" si="41"/>
        <v>1</v>
      </c>
      <c r="T115" s="50" t="str">
        <f t="shared" si="30"/>
        <v>NorthBound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15:09:07-700',mode:absolute,to:'2016-12-07 17:52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15" s="52" t="str">
        <f t="shared" si="32"/>
        <v>N</v>
      </c>
      <c r="X115" s="177">
        <f t="shared" si="42"/>
        <v>1</v>
      </c>
      <c r="Y115" s="67">
        <f t="shared" si="33"/>
        <v>4.58E-2</v>
      </c>
      <c r="Z115" s="67">
        <f t="shared" si="34"/>
        <v>23.329499999999999</v>
      </c>
      <c r="AA115" s="67">
        <f t="shared" si="35"/>
        <v>23.2837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36"/>
        <v>0201-07</v>
      </c>
      <c r="AE115" s="91" t="str">
        <f t="shared" si="37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115" s="88" t="str">
        <f t="shared" si="38"/>
        <v>"C:\Program Files (x86)\AstroGrep\AstroGrep.exe" /spath="%USERPROFILE%\AppData\Local\Temp\OnboardLogs" /stypes="app*4014*20161207*" /stext=" 23:.+((SYSTEM_STATE.+slice.+state.+changed )|(ment ac)|(multiple cpu faults)|(system.+state.+changed )|(\[timeout)|(PRM\|1\|D)|(kpr)|(kdp)|(\|lc)|(penalty))" /e /r /s</v>
      </c>
      <c r="AG115" s="1" t="str">
        <f t="shared" si="39"/>
        <v>EC</v>
      </c>
      <c r="AH115" s="92" t="str">
        <f t="shared" si="26"/>
        <v>"%USERPROFILE%\Documents\GitHub\eaglep3\Utilities\RefineRTDCRunTimes.py" --tripid 201-07 --locoid 4014 --swversion DE.1.0.8.0 --startMP 204:458 --initTime 2016-12-07T16:09:07 --startdatetime 2016-12-07T16:15:38 --delay 1 --endMP 204:233295 --enddatetime 2016-12-07T16:52:02 --enforcementcount 0 &gt;&gt;C:\Users\stu\Documents\GitHub\eaglep3-reporting\EC\2016-12-07-refined-times.txt</v>
      </c>
      <c r="AI115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{"issue":{"subject":"","project_id":79,"tracker_id":40,"status_id":1,"priority_id":2,"assigned_to_id":23,"start_date":"2016-12-07","description":"","custom_fields":[{"id":1,"name":"Subdivision","value":"EC"},{"id":4,"name":"Milepost","value":"23.3295"},{"id":17,"name":"Train ID","value":"201-07"},{"id":16,"name":"Locomotive ID","value":"4014"},{"id":130,"name":"Impact","value":""},{"id":150,"name":"Time of Event (Mountain Time)","value":"16:52:02"},{"id":151,"name":"Denver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468</v>
      </c>
      <c r="B116" s="7">
        <v>4013</v>
      </c>
      <c r="C116" s="22" t="s">
        <v>207</v>
      </c>
      <c r="D116" s="22" t="s">
        <v>353</v>
      </c>
      <c r="E116" s="13">
        <v>42711.705023148148</v>
      </c>
      <c r="F116" s="13">
        <v>42711.716516203705</v>
      </c>
      <c r="G116" s="7">
        <v>1</v>
      </c>
      <c r="H116" s="22" t="s">
        <v>697</v>
      </c>
      <c r="I116" s="13">
        <v>42711.744444444441</v>
      </c>
      <c r="J116" s="7">
        <v>0</v>
      </c>
      <c r="K116" s="109" t="str">
        <f t="shared" si="28"/>
        <v>4013/4014</v>
      </c>
      <c r="L116" s="22" t="str">
        <f>VLOOKUP(A116,'Trips&amp;Operators'!$C$1:$G$99999,5,FALSE)</f>
        <v>BONDS REYNALDO</v>
      </c>
      <c r="M116" s="6">
        <f t="shared" si="29"/>
        <v>2.7928240735491272E-2</v>
      </c>
      <c r="N116" s="7">
        <f t="shared" si="40"/>
        <v>40.216666659107432</v>
      </c>
      <c r="O116" s="7"/>
      <c r="P116" s="7"/>
      <c r="Q116" s="23"/>
      <c r="R116" s="23"/>
      <c r="S116" s="35">
        <f t="shared" si="41"/>
        <v>1</v>
      </c>
      <c r="T116" s="50" t="str">
        <f t="shared" si="30"/>
        <v>Southbound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15:55:14-700',mode:absolute,to:'2016-12-07 18:52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16" s="52" t="str">
        <f t="shared" si="32"/>
        <v>N</v>
      </c>
      <c r="X116" s="177">
        <f t="shared" si="42"/>
        <v>1</v>
      </c>
      <c r="Y116" s="67">
        <f t="shared" si="33"/>
        <v>23.296600000000002</v>
      </c>
      <c r="Z116" s="67">
        <f t="shared" si="34"/>
        <v>1.34E-2</v>
      </c>
      <c r="AA116" s="67">
        <f t="shared" si="35"/>
        <v>23.283200000000001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36"/>
        <v>0202-07</v>
      </c>
      <c r="AE116" s="91" t="str">
        <f t="shared" si="37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116" s="88" t="str">
        <f t="shared" si="38"/>
        <v>"C:\Program Files (x86)\AstroGrep\AstroGrep.exe" /spath="%USERPROFILE%\AppData\Local\Temp\OnboardLogs" /stypes="app*4013*20161208*" /stext=" 00:.+((SYSTEM_STATE.+slice.+state.+changed )|(ment ac)|(multiple cpu faults)|(system.+state.+changed )|(\[timeout)|(PRM\|1\|D)|(kpr)|(kdp)|(\|lc)|(penalty))" /e /r /s</v>
      </c>
      <c r="AG116" s="1" t="str">
        <f t="shared" si="39"/>
        <v>EC</v>
      </c>
      <c r="AH116" s="92" t="str">
        <f t="shared" si="26"/>
        <v>"%USERPROFILE%\Documents\GitHub\eaglep3\Utilities\RefineRTDCRunTimes.py" --tripid 202-07 --locoid 4013 --swversion DE.1.0.8.0 --startMP 204:232966 --initTime 2016-12-07T16:55:14 --startdatetime 2016-12-07T17:11:47 --delay 1 --endMP 204:134 --enddatetime 2016-12-07T17:52:00 --enforcementcount 0 &gt;&gt;C:\Users\stu\Documents\GitHub\eaglep3-reporting\EC\2016-12-07-refined-times.txt</v>
      </c>
      <c r="AI116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{"issue":{"subject":"","project_id":79,"tracker_id":40,"status_id":1,"priority_id":2,"assigned_to_id":23,"start_date":"2016-12-07","description":"","custom_fields":[{"id":1,"name":"Subdivision","value":"EC"},{"id":4,"name":"Milepost","value":"0.0134"},{"id":17,"name":"Train ID","value":"202-07"},{"id":16,"name":"Locomotive ID","value":"4013"},{"id":130,"name":"Impact","value":""},{"id":150,"name":"Time of Event (Mountain Time)","value":"17:52:00"},{"id":151,"name":"Denver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608</v>
      </c>
      <c r="B117" s="7">
        <v>4031</v>
      </c>
      <c r="C117" s="22" t="s">
        <v>207</v>
      </c>
      <c r="D117" s="22" t="s">
        <v>327</v>
      </c>
      <c r="E117" s="13">
        <v>42711.684247685182</v>
      </c>
      <c r="F117" s="13">
        <v>42711.687673611108</v>
      </c>
      <c r="G117" s="7">
        <v>1</v>
      </c>
      <c r="H117" s="22" t="s">
        <v>730</v>
      </c>
      <c r="I117" s="13">
        <v>42711.713796296295</v>
      </c>
      <c r="J117" s="7">
        <v>0</v>
      </c>
      <c r="K117" s="109" t="str">
        <f t="shared" si="28"/>
        <v>4031/4032</v>
      </c>
      <c r="L117" s="22" t="str">
        <f>VLOOKUP(A117,'Trips&amp;Operators'!$C$1:$G$99999,5,FALSE)</f>
        <v>BARTLETT KIANDRA</v>
      </c>
      <c r="M117" s="6">
        <f t="shared" si="29"/>
        <v>2.6122685187146999E-2</v>
      </c>
      <c r="N117" s="7">
        <f t="shared" si="40"/>
        <v>37.616666669491678</v>
      </c>
      <c r="O117" s="7"/>
      <c r="P117" s="7"/>
      <c r="Q117" s="23"/>
      <c r="R117" s="23"/>
      <c r="S117" s="35">
        <f t="shared" si="41"/>
        <v>1</v>
      </c>
      <c r="T117" s="50" t="str">
        <f t="shared" si="30"/>
        <v>NorthBound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15:25:19-700',mode:absolute,to:'2016-12-07 18:07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7" s="52" t="str">
        <f t="shared" si="32"/>
        <v>N</v>
      </c>
      <c r="X117" s="177">
        <f t="shared" si="42"/>
        <v>1</v>
      </c>
      <c r="Y117" s="67">
        <f t="shared" si="33"/>
        <v>4.7300000000000002E-2</v>
      </c>
      <c r="Z117" s="67">
        <f t="shared" si="34"/>
        <v>23.334299999999999</v>
      </c>
      <c r="AA117" s="67">
        <f t="shared" si="35"/>
        <v>23.286999999999999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36"/>
        <v>0203-07</v>
      </c>
      <c r="AE117" s="91" t="str">
        <f t="shared" si="37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117" s="88" t="str">
        <f t="shared" si="38"/>
        <v>"C:\Program Files (x86)\AstroGrep\AstroGrep.exe" /spath="%USERPROFILE%\AppData\Local\Temp\OnboardLogs" /stypes="app*4031*20161208*" /stext=" 00:.+((SYSTEM_STATE.+slice.+state.+changed )|(ment ac)|(multiple cpu faults)|(system.+state.+changed )|(\[timeout)|(PRM\|1\|D)|(kpr)|(kdp)|(\|lc)|(penalty))" /e /r /s</v>
      </c>
      <c r="AG117" s="1" t="str">
        <f t="shared" si="39"/>
        <v>EC</v>
      </c>
      <c r="AH117" s="92" t="str">
        <f t="shared" si="26"/>
        <v>"%USERPROFILE%\Documents\GitHub\eaglep3\Utilities\RefineRTDCRunTimes.py" --tripid 203-07 --locoid 4031 --swversion DE.1.0.8.0 --startMP 204:473 --initTime 2016-12-07T16:25:19 --startdatetime 2016-12-07T16:30:15 --delay 1 --endMP 204:233343 --enddatetime 2016-12-07T17:07:52 --enforcementcount 0 &gt;&gt;C:\Users\stu\Documents\GitHub\eaglep3-reporting\EC\2016-12-07-refined-times.txt</v>
      </c>
      <c r="AI117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{"issue":{"subject":"","project_id":79,"tracker_id":40,"status_id":1,"priority_id":2,"assigned_to_id":23,"start_date":"2016-12-07","description":"","custom_fields":[{"id":1,"name":"Subdivision","value":"EC"},{"id":4,"name":"Milepost","value":"23.3343"},{"id":17,"name":"Train ID","value":"203-07"},{"id":16,"name":"Locomotive ID","value":"4031"},{"id":130,"name":"Impact","value":""},{"id":150,"name":"Time of Event (Mountain Time)","value":"17:07:52"},{"id":151,"name":"Denver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1" customFormat="1" x14ac:dyDescent="0.25">
      <c r="A118" s="37" t="s">
        <v>619</v>
      </c>
      <c r="B118" s="7">
        <v>4032</v>
      </c>
      <c r="C118" s="22" t="s">
        <v>207</v>
      </c>
      <c r="D118" s="22" t="s">
        <v>700</v>
      </c>
      <c r="E118" s="13">
        <v>42711.716678240744</v>
      </c>
      <c r="F118" s="13">
        <v>42711.726597222223</v>
      </c>
      <c r="G118" s="7">
        <v>0</v>
      </c>
      <c r="H118" s="22" t="s">
        <v>214</v>
      </c>
      <c r="I118" s="13">
        <v>42711.754236111112</v>
      </c>
      <c r="J118" s="7">
        <v>0</v>
      </c>
      <c r="K118" s="109" t="str">
        <f t="shared" si="28"/>
        <v>4031/4032</v>
      </c>
      <c r="L118" s="22" t="str">
        <f>VLOOKUP(A118,'Trips&amp;Operators'!$C$1:$G$99999,5,FALSE)</f>
        <v>BARTLETT KIANDRA</v>
      </c>
      <c r="M118" s="6">
        <f t="shared" si="29"/>
        <v>2.7638888888759539E-2</v>
      </c>
      <c r="N118" s="7">
        <f t="shared" si="40"/>
        <v>39.799999999813735</v>
      </c>
      <c r="O118" s="7"/>
      <c r="P118" s="7"/>
      <c r="Q118" s="23"/>
      <c r="R118" s="23"/>
      <c r="S118" s="35">
        <f t="shared" si="41"/>
        <v>1</v>
      </c>
      <c r="T118" s="50" t="str">
        <f t="shared" si="30"/>
        <v>Southbound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16:12:01-700',mode:absolute,to:'2016-12-07 19:06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8" s="52" t="str">
        <f t="shared" si="32"/>
        <v>N</v>
      </c>
      <c r="X118" s="177">
        <f t="shared" si="42"/>
        <v>1</v>
      </c>
      <c r="Y118" s="67">
        <f t="shared" si="33"/>
        <v>23.302099999999999</v>
      </c>
      <c r="Z118" s="67">
        <f t="shared" si="34"/>
        <v>1.4999999999999999E-2</v>
      </c>
      <c r="AA118" s="67">
        <f t="shared" si="35"/>
        <v>23.287099999999999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36"/>
        <v>0204-07</v>
      </c>
      <c r="AE118" s="91" t="str">
        <f t="shared" si="37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118" s="88" t="str">
        <f t="shared" si="38"/>
        <v>"C:\Program Files (x86)\AstroGrep\AstroGrep.exe" /spath="%USERPROFILE%\AppData\Local\Temp\OnboardLogs" /stypes="app*4032*20161208*" /stext=" 01:.+((SYSTEM_STATE.+slice.+state.+changed )|(ment ac)|(multiple cpu faults)|(system.+state.+changed )|(\[timeout)|(PRM\|1\|D)|(kpr)|(kdp)|(\|lc)|(penalty))" /e /r /s</v>
      </c>
      <c r="AG118" s="1" t="str">
        <f t="shared" si="39"/>
        <v>EC</v>
      </c>
      <c r="AH118" s="92" t="str">
        <f t="shared" si="26"/>
        <v>"%USERPROFILE%\Documents\GitHub\eaglep3\Utilities\RefineRTDCRunTimes.py" --tripid 204-07 --locoid 4032 --swversion DE.1.0.8.0 --startMP 204:233021 --initTime 2016-12-07T17:12:01 --startdatetime 2016-12-07T17:26:18 --delay 0 --endMP 204:150 --enddatetime 2016-12-07T18:06:06 --enforcementcount 0 &gt;&gt;C:\Users\stu\Documents\GitHub\eaglep3-reporting\EC\2016-12-07-refined-times.txt</v>
      </c>
      <c r="AI118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ID","value":"204-07"},{"id":16,"name":"Locomotive ID","value":"4032"},{"id":130,"name":"Impact","value":""},{"id":150,"name":"Time of Event (Mountain Time)","value":"18:06:06"},{"id":151,"name":"Denver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1" customFormat="1" x14ac:dyDescent="0.25">
      <c r="A119" s="37" t="s">
        <v>612</v>
      </c>
      <c r="B119" s="7">
        <v>4009</v>
      </c>
      <c r="C119" s="22" t="s">
        <v>207</v>
      </c>
      <c r="D119" s="22" t="s">
        <v>346</v>
      </c>
      <c r="E119" s="13">
        <v>42711.694074074076</v>
      </c>
      <c r="F119" s="13">
        <v>42711.698229166665</v>
      </c>
      <c r="G119" s="7">
        <v>2</v>
      </c>
      <c r="H119" s="22" t="s">
        <v>332</v>
      </c>
      <c r="I119" s="13">
        <v>42711.722291666665</v>
      </c>
      <c r="J119" s="7">
        <v>0</v>
      </c>
      <c r="K119" s="109" t="str">
        <f t="shared" si="28"/>
        <v>4009/4010</v>
      </c>
      <c r="L119" s="22" t="str">
        <f>VLOOKUP(A119,'Trips&amp;Operators'!$C$1:$G$99999,5,FALSE)</f>
        <v>HELVIE ADAM</v>
      </c>
      <c r="M119" s="6">
        <f t="shared" si="29"/>
        <v>2.4062500000582077E-2</v>
      </c>
      <c r="N119" s="7">
        <f t="shared" si="40"/>
        <v>34.65000000083819</v>
      </c>
      <c r="O119" s="7"/>
      <c r="P119" s="7"/>
      <c r="Q119" s="23"/>
      <c r="R119" s="23"/>
      <c r="S119" s="35">
        <f t="shared" si="41"/>
        <v>1</v>
      </c>
      <c r="T119" s="50" t="str">
        <f t="shared" si="30"/>
        <v>NorthBound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15:39:28-700',mode:absolute,to:'2016-12-07 18:20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9" s="52" t="str">
        <f t="shared" si="32"/>
        <v>N</v>
      </c>
      <c r="X119" s="177">
        <f t="shared" si="42"/>
        <v>1</v>
      </c>
      <c r="Y119" s="67">
        <f t="shared" si="33"/>
        <v>4.6199999999999998E-2</v>
      </c>
      <c r="Z119" s="67">
        <f t="shared" si="34"/>
        <v>23.328099999999999</v>
      </c>
      <c r="AA119" s="67">
        <f t="shared" si="35"/>
        <v>23.2819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36"/>
        <v>0205-07</v>
      </c>
      <c r="AE119" s="91" t="str">
        <f t="shared" si="37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119" s="88" t="str">
        <f t="shared" si="38"/>
        <v>"C:\Program Files (x86)\AstroGrep\AstroGrep.exe" /spath="%USERPROFILE%\AppData\Local\Temp\OnboardLogs" /stypes="app*4009*20161208*" /stext=" 00:.+((SYSTEM_STATE.+slice.+state.+changed )|(ment ac)|(multiple cpu faults)|(system.+state.+changed )|(\[timeout)|(PRM\|1\|D)|(kpr)|(kdp)|(\|lc)|(penalty))" /e /r /s</v>
      </c>
      <c r="AG119" s="1" t="str">
        <f t="shared" si="39"/>
        <v>EC</v>
      </c>
      <c r="AH119" s="92" t="str">
        <f t="shared" si="26"/>
        <v>"%USERPROFILE%\Documents\GitHub\eaglep3\Utilities\RefineRTDCRunTimes.py" --tripid 205-07 --locoid 4009 --swversion DE.1.0.8.0 --startMP 204:462 --initTime 2016-12-07T16:39:28 --startdatetime 2016-12-07T16:45:27 --delay 2 --endMP 204:233281 --enddatetime 2016-12-07T17:20:06 --enforcementcount 0 &gt;&gt;C:\Users\stu\Documents\GitHub\eaglep3-reporting\EC\2016-12-07-refined-times.txt</v>
      </c>
      <c r="AI119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{"issue":{"subject":"","project_id":79,"tracker_id":40,"status_id":1,"priority_id":2,"assigned_to_id":23,"start_date":"2016-12-07","description":"","custom_fields":[{"id":1,"name":"Subdivision","value":"EC"},{"id":4,"name":"Milepost","value":"23.3281"},{"id":17,"name":"Train ID","value":"205-07"},{"id":16,"name":"Locomotive ID","value":"4009"},{"id":130,"name":"Impact","value":""},{"id":150,"name":"Time of Event (Mountain Time)","value":"17:20:06"},{"id":151,"name":"Denver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x14ac:dyDescent="0.25">
      <c r="A120" s="37" t="s">
        <v>621</v>
      </c>
      <c r="B120" s="7">
        <v>4010</v>
      </c>
      <c r="C120" s="22" t="s">
        <v>207</v>
      </c>
      <c r="D120" s="22" t="s">
        <v>353</v>
      </c>
      <c r="E120" s="13">
        <v>42711.732361111113</v>
      </c>
      <c r="F120" s="13">
        <v>42711.737326388888</v>
      </c>
      <c r="G120" s="7">
        <v>1</v>
      </c>
      <c r="H120" s="22" t="s">
        <v>205</v>
      </c>
      <c r="I120" s="13">
        <v>42711.763101851851</v>
      </c>
      <c r="J120" s="7">
        <v>0</v>
      </c>
      <c r="K120" s="109" t="str">
        <f t="shared" si="28"/>
        <v>4009/4010</v>
      </c>
      <c r="L120" s="22" t="str">
        <f>VLOOKUP(A120,'Trips&amp;Operators'!$C$1:$G$99999,5,FALSE)</f>
        <v>HELVIE ADAM</v>
      </c>
      <c r="M120" s="6">
        <f t="shared" si="29"/>
        <v>2.5775462963792961E-2</v>
      </c>
      <c r="N120" s="7">
        <f t="shared" si="40"/>
        <v>37.116666667861864</v>
      </c>
      <c r="O120" s="7"/>
      <c r="P120" s="7"/>
      <c r="Q120" s="23"/>
      <c r="R120" s="23"/>
      <c r="S120" s="35">
        <f t="shared" si="41"/>
        <v>1</v>
      </c>
      <c r="T120" s="50" t="str">
        <f t="shared" si="30"/>
        <v>Southbound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16:34:36-700',mode:absolute,to:'2016-12-07 19:18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0" s="52" t="str">
        <f t="shared" si="32"/>
        <v>N</v>
      </c>
      <c r="X120" s="177">
        <f t="shared" ref="X120:X125" si="43">VALUE(LEFT(AD120,4))-VALUE(LEFT(AD119,4))</f>
        <v>1</v>
      </c>
      <c r="Y120" s="67">
        <f t="shared" si="33"/>
        <v>23.296600000000002</v>
      </c>
      <c r="Z120" s="67">
        <f t="shared" si="34"/>
        <v>1.5599999999999999E-2</v>
      </c>
      <c r="AA120" s="67">
        <f t="shared" si="35"/>
        <v>23.281000000000002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36"/>
        <v>0206-07</v>
      </c>
      <c r="AE120" s="91" t="str">
        <f t="shared" si="37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120" s="88" t="str">
        <f t="shared" si="38"/>
        <v>"C:\Program Files (x86)\AstroGrep\AstroGrep.exe" /spath="%USERPROFILE%\AppData\Local\Temp\OnboardLogs" /stypes="app*4010*20161208*" /stext=" 01:.+((SYSTEM_STATE.+slice.+state.+changed )|(ment ac)|(multiple cpu faults)|(system.+state.+changed )|(\[timeout)|(PRM\|1\|D)|(kpr)|(kdp)|(\|lc)|(penalty))" /e /r /s</v>
      </c>
      <c r="AG120" s="1" t="str">
        <f t="shared" si="39"/>
        <v>EC</v>
      </c>
      <c r="AH120" s="92" t="str">
        <f t="shared" si="26"/>
        <v>"%USERPROFILE%\Documents\GitHub\eaglep3\Utilities\RefineRTDCRunTimes.py" --tripid 206-07 --locoid 4010 --swversion DE.1.0.8.0 --startMP 204:232966 --initTime 2016-12-07T17:34:36 --startdatetime 2016-12-07T17:41:45 --delay 1 --endMP 204:156 --enddatetime 2016-12-07T18:18:52 --enforcementcount 0 &gt;&gt;C:\Users\stu\Documents\GitHub\eaglep3-reporting\EC\2016-12-07-refined-times.txt</v>
      </c>
      <c r="AI120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{"issue":{"subject":"","project_id":79,"tracker_id":40,"status_id":1,"priority_id":2,"assigned_to_id":23,"start_date":"2016-12-07","description":"","custom_fields":[{"id":1,"name":"Subdivision","value":"EC"},{"id":4,"name":"Milepost","value":"0.0156"},{"id":17,"name":"Train ID","value":"206-07"},{"id":16,"name":"Locomotive ID","value":"4010"},{"id":130,"name":"Impact","value":""},{"id":150,"name":"Time of Event (Mountain Time)","value":"18:18:52"},{"id":151,"name":"Denver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</row>
    <row r="121" spans="1:91" s="21" customFormat="1" x14ac:dyDescent="0.25">
      <c r="A121" s="37" t="s">
        <v>614</v>
      </c>
      <c r="B121" s="7">
        <v>4020</v>
      </c>
      <c r="C121" s="22" t="s">
        <v>207</v>
      </c>
      <c r="D121" s="22" t="s">
        <v>731</v>
      </c>
      <c r="E121" s="13">
        <v>42711.705462962964</v>
      </c>
      <c r="F121" s="13">
        <v>42711.70890046296</v>
      </c>
      <c r="G121" s="7">
        <v>1</v>
      </c>
      <c r="H121" s="22" t="s">
        <v>248</v>
      </c>
      <c r="I121" s="13">
        <v>42711.733842592592</v>
      </c>
      <c r="J121" s="7">
        <v>0</v>
      </c>
      <c r="K121" s="109" t="str">
        <f t="shared" si="28"/>
        <v>4019/4020</v>
      </c>
      <c r="L121" s="22" t="str">
        <f>VLOOKUP(A121,'Trips&amp;Operators'!$C$1:$G$99999,5,FALSE)</f>
        <v>ADANE ELSHADAY</v>
      </c>
      <c r="M121" s="6">
        <f t="shared" si="29"/>
        <v>2.4942129632108845E-2</v>
      </c>
      <c r="N121" s="7">
        <f t="shared" si="40"/>
        <v>35.916666670236737</v>
      </c>
      <c r="O121" s="7"/>
      <c r="P121" s="7"/>
      <c r="Q121" s="23"/>
      <c r="R121" s="23"/>
      <c r="S121" s="35">
        <f t="shared" si="41"/>
        <v>1</v>
      </c>
      <c r="T121" s="50" t="str">
        <f t="shared" si="30"/>
        <v>NorthBound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15:55:52-700',mode:absolute,to:'2016-12-07 18:36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121" s="52" t="str">
        <f t="shared" si="32"/>
        <v>N</v>
      </c>
      <c r="X121" s="177">
        <f t="shared" si="43"/>
        <v>1</v>
      </c>
      <c r="Y121" s="67">
        <f t="shared" si="33"/>
        <v>4.4900000000000002E-2</v>
      </c>
      <c r="Z121" s="67">
        <f t="shared" si="34"/>
        <v>23.3307</v>
      </c>
      <c r="AA121" s="67">
        <f t="shared" si="35"/>
        <v>23.285800000000002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36"/>
        <v>0207-07</v>
      </c>
      <c r="AE121" s="91" t="str">
        <f t="shared" si="37"/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AF121" s="88" t="str">
        <f t="shared" si="38"/>
        <v>"C:\Program Files (x86)\AstroGrep\AstroGrep.exe" /spath="%USERPROFILE%\AppData\Local\Temp\OnboardLogs" /stypes="app*4020*20161208*" /stext=" 00:.+((SYSTEM_STATE.+slice.+state.+changed )|(ment ac)|(multiple cpu faults)|(system.+state.+changed )|(\[timeout)|(PRM\|1\|D)|(kpr)|(kdp)|(\|lc)|(penalty))" /e /r /s</v>
      </c>
      <c r="AG121" s="1" t="str">
        <f t="shared" si="39"/>
        <v>EC</v>
      </c>
      <c r="AH121" s="92" t="str">
        <f t="shared" si="26"/>
        <v>"%USERPROFILE%\Documents\GitHub\eaglep3\Utilities\RefineRTDCRunTimes.py" --tripid 207-07 --locoid 4020 --swversion DE.1.0.8.0 --startMP 204:449 --initTime 2016-12-07T16:55:52 --startdatetime 2016-12-07T17:00:49 --delay 1 --endMP 204:233307 --enddatetime 2016-12-07T17:36:44 --enforcementcount 0 &gt;&gt;C:\Users\stu\Documents\GitHub\eaglep3-reporting\EC\2016-12-07-refined-times.txt</v>
      </c>
      <c r="AI121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{"issue":{"subject":"","project_id":79,"tracker_id":40,"status_id":1,"priority_id":2,"assigned_to_id":23,"start_date":"2016-12-07","description":"","custom_fields":[{"id":1,"name":"Subdivision","value":"EC"},{"id":4,"name":"Milepost","value":"23.3307"},{"id":17,"name":"Train ID","value":"207-07"},{"id":16,"name":"Locomotive ID","value":"4020"},{"id":130,"name":"Impact","value":""},{"id":150,"name":"Time of Event (Mountain Time)","value":"17:36:44"},{"id":151,"name":"Denver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622</v>
      </c>
      <c r="B122" s="7">
        <v>4019</v>
      </c>
      <c r="C122" s="22" t="s">
        <v>207</v>
      </c>
      <c r="D122" s="22" t="s">
        <v>717</v>
      </c>
      <c r="E122" s="13">
        <v>42711.735798611109</v>
      </c>
      <c r="F122" s="13">
        <v>42711.747777777775</v>
      </c>
      <c r="G122" s="7">
        <v>1</v>
      </c>
      <c r="H122" s="22" t="s">
        <v>229</v>
      </c>
      <c r="I122" s="13">
        <v>42711.773530092592</v>
      </c>
      <c r="J122" s="7">
        <v>0</v>
      </c>
      <c r="K122" s="109" t="str">
        <f t="shared" si="28"/>
        <v>4019/4020</v>
      </c>
      <c r="L122" s="22" t="str">
        <f>VLOOKUP(A122,'Trips&amp;Operators'!$C$1:$G$99999,5,FALSE)</f>
        <v>ADANE ELSHADAY</v>
      </c>
      <c r="M122" s="6">
        <f t="shared" si="29"/>
        <v>2.5752314817509614E-2</v>
      </c>
      <c r="N122" s="7">
        <f t="shared" si="40"/>
        <v>37.083333337213844</v>
      </c>
      <c r="O122" s="7"/>
      <c r="P122" s="7"/>
      <c r="Q122" s="23"/>
      <c r="R122" s="23"/>
      <c r="S122" s="35">
        <f t="shared" ref="S122:S156" si="44">SUM(U122:U122)/IF(AG122="EC",12,1)</f>
        <v>1</v>
      </c>
      <c r="T122" s="50" t="str">
        <f t="shared" si="30"/>
        <v>Southbound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16:39:33-700',mode:absolute,to:'2016-12-07 19:33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122" s="52" t="str">
        <f t="shared" si="32"/>
        <v>N</v>
      </c>
      <c r="X122" s="177">
        <f t="shared" si="43"/>
        <v>1</v>
      </c>
      <c r="Y122" s="67">
        <f t="shared" si="33"/>
        <v>23.2988</v>
      </c>
      <c r="Z122" s="67">
        <f t="shared" si="34"/>
        <v>1.41E-2</v>
      </c>
      <c r="AA122" s="67">
        <f t="shared" si="35"/>
        <v>23.284700000000001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36"/>
        <v>0208-07</v>
      </c>
      <c r="AE122" s="91" t="str">
        <f t="shared" si="37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122" s="88" t="str">
        <f t="shared" si="38"/>
        <v>"C:\Program Files (x86)\AstroGrep\AstroGrep.exe" /spath="%USERPROFILE%\AppData\Local\Temp\OnboardLogs" /stypes="app*4019*20161208*" /stext=" 01:.+((SYSTEM_STATE.+slice.+state.+changed )|(ment ac)|(multiple cpu faults)|(system.+state.+changed )|(\[timeout)|(PRM\|1\|D)|(kpr)|(kdp)|(\|lc)|(penalty))" /e /r /s</v>
      </c>
      <c r="AG122" s="1" t="str">
        <f t="shared" si="39"/>
        <v>EC</v>
      </c>
      <c r="AH122" s="92" t="str">
        <f t="shared" si="26"/>
        <v>"%USERPROFILE%\Documents\GitHub\eaglep3\Utilities\RefineRTDCRunTimes.py" --tripid 208-07 --locoid 4019 --swversion DE.1.0.8.0 --startMP 204:232988 --initTime 2016-12-07T17:39:33 --startdatetime 2016-12-07T17:56:48 --delay 1 --endMP 204:141 --enddatetime 2016-12-07T18:33:53 --enforcementcount 0 &gt;&gt;C:\Users\stu\Documents\GitHub\eaglep3-reporting\EC\2016-12-07-refined-times.txt</v>
      </c>
      <c r="AI122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{"issue":{"subject":"","project_id":79,"tracker_id":40,"status_id":1,"priority_id":2,"assigned_to_id":23,"start_date":"2016-12-07","description":"","custom_fields":[{"id":1,"name":"Subdivision","value":"EC"},{"id":4,"name":"Milepost","value":"0.0141"},{"id":17,"name":"Train ID","value":"208-07"},{"id":16,"name":"Locomotive ID","value":"4019"},{"id":130,"name":"Impact","value":""},{"id":150,"name":"Time of Event (Mountain Time)","value":"18:33:53"},{"id":151,"name":"Denver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618</v>
      </c>
      <c r="B123" s="7">
        <v>4044</v>
      </c>
      <c r="C123" s="22" t="s">
        <v>207</v>
      </c>
      <c r="D123" s="22" t="s">
        <v>289</v>
      </c>
      <c r="E123" s="13">
        <v>42711.715740740743</v>
      </c>
      <c r="F123" s="13">
        <v>42711.719409722224</v>
      </c>
      <c r="G123" s="7">
        <v>1</v>
      </c>
      <c r="H123" s="22" t="s">
        <v>694</v>
      </c>
      <c r="I123" s="13">
        <v>42711.742974537039</v>
      </c>
      <c r="J123" s="7">
        <v>0</v>
      </c>
      <c r="K123" s="109" t="str">
        <f t="shared" si="28"/>
        <v>4043/4044</v>
      </c>
      <c r="L123" s="22" t="str">
        <f>VLOOKUP(A123,'Trips&amp;Operators'!$C$1:$G$99999,5,FALSE)</f>
        <v>STAMBAUGH JAMES</v>
      </c>
      <c r="M123" s="6">
        <f t="shared" si="29"/>
        <v>2.3564814815472346E-2</v>
      </c>
      <c r="N123" s="7">
        <f t="shared" si="40"/>
        <v>33.933333334280178</v>
      </c>
      <c r="O123" s="7"/>
      <c r="P123" s="7"/>
      <c r="Q123" s="23"/>
      <c r="R123" s="23"/>
      <c r="S123" s="35">
        <f t="shared" si="44"/>
        <v>1</v>
      </c>
      <c r="T123" s="50" t="str">
        <f t="shared" si="30"/>
        <v>NorthBound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16:10:40-700',mode:absolute,to:'2016-12-07 18:49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3" s="52" t="str">
        <f t="shared" si="32"/>
        <v>N</v>
      </c>
      <c r="X123" s="177">
        <f t="shared" si="43"/>
        <v>1</v>
      </c>
      <c r="Y123" s="67">
        <f t="shared" si="33"/>
        <v>4.4600000000000001E-2</v>
      </c>
      <c r="Z123" s="67">
        <f t="shared" si="34"/>
        <v>23.33</v>
      </c>
      <c r="AA123" s="67">
        <f t="shared" si="35"/>
        <v>23.285399999999999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36"/>
        <v>0209-07</v>
      </c>
      <c r="AE123" s="91" t="str">
        <f t="shared" si="37"/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123" s="88" t="str">
        <f t="shared" si="38"/>
        <v>"C:\Program Files (x86)\AstroGrep\AstroGrep.exe" /spath="%USERPROFILE%\AppData\Local\Temp\OnboardLogs" /stypes="app*4044*20161208*" /stext=" 00:.+((SYSTEM_STATE.+slice.+state.+changed )|(ment ac)|(multiple cpu faults)|(system.+state.+changed )|(\[timeout)|(PRM\|1\|D)|(kpr)|(kdp)|(\|lc)|(penalty))" /e /r /s</v>
      </c>
      <c r="AG123" s="1" t="str">
        <f t="shared" si="39"/>
        <v>EC</v>
      </c>
      <c r="AH123" s="92" t="str">
        <f t="shared" si="26"/>
        <v>"%USERPROFILE%\Documents\GitHub\eaglep3\Utilities\RefineRTDCRunTimes.py" --tripid 209-07 --locoid 4044 --swversion DE.1.0.8.0 --startMP 204:446 --initTime 2016-12-07T17:10:40 --startdatetime 2016-12-07T17:15:57 --delay 1 --endMP 204:233300 --enddatetime 2016-12-07T17:49:53 --enforcementcount 0 &gt;&gt;C:\Users\stu\Documents\GitHub\eaglep3-reporting\EC\2016-12-07-refined-times.txt</v>
      </c>
      <c r="AI123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{"issue":{"subject":"","project_id":79,"tracker_id":40,"status_id":1,"priority_id":2,"assigned_to_id":23,"start_date":"2016-12-07","description":"","custom_fields":[{"id":1,"name":"Subdivision","value":"EC"},{"id":4,"name":"Milepost","value":"23.33"},{"id":17,"name":"Train ID","value":"209-07"},{"id":16,"name":"Locomotive ID","value":"4044"},{"id":130,"name":"Impact","value":""},{"id":150,"name":"Time of Event (Mountain Time)","value":"17:49:53"},{"id":151,"name":"Denver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626</v>
      </c>
      <c r="B124" s="7">
        <v>4043</v>
      </c>
      <c r="C124" s="22" t="s">
        <v>207</v>
      </c>
      <c r="D124" s="22" t="s">
        <v>696</v>
      </c>
      <c r="E124" s="13">
        <v>42711.750277777777</v>
      </c>
      <c r="F124" s="13">
        <v>42711.758020833331</v>
      </c>
      <c r="G124" s="7">
        <v>1</v>
      </c>
      <c r="H124" s="22" t="s">
        <v>214</v>
      </c>
      <c r="I124" s="13">
        <v>42711.783495370371</v>
      </c>
      <c r="J124" s="7">
        <v>0</v>
      </c>
      <c r="K124" s="109" t="str">
        <f t="shared" si="28"/>
        <v>4043/4044</v>
      </c>
      <c r="L124" s="22" t="str">
        <f>VLOOKUP(A124,'Trips&amp;Operators'!$C$1:$G$99999,5,FALSE)</f>
        <v>STAMBAUGH JAMES</v>
      </c>
      <c r="M124" s="6">
        <f t="shared" si="29"/>
        <v>2.5474537040281575E-2</v>
      </c>
      <c r="N124" s="7">
        <f t="shared" si="40"/>
        <v>36.683333338005468</v>
      </c>
      <c r="O124" s="7"/>
      <c r="P124" s="7"/>
      <c r="Q124" s="23"/>
      <c r="R124" s="23"/>
      <c r="S124" s="35">
        <f t="shared" si="44"/>
        <v>1</v>
      </c>
      <c r="T124" s="50" t="str">
        <f t="shared" si="30"/>
        <v>Southbound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17:00:24-700',mode:absolute,to:'2016-12-07 19:48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4" s="52" t="str">
        <f t="shared" si="32"/>
        <v>N</v>
      </c>
      <c r="X124" s="177">
        <f t="shared" si="43"/>
        <v>1</v>
      </c>
      <c r="Y124" s="67">
        <f t="shared" si="33"/>
        <v>23.298500000000001</v>
      </c>
      <c r="Z124" s="67">
        <f t="shared" si="34"/>
        <v>1.4999999999999999E-2</v>
      </c>
      <c r="AA124" s="67">
        <f t="shared" si="35"/>
        <v>23.2835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36"/>
        <v>0210-07</v>
      </c>
      <c r="AE124" s="91" t="str">
        <f t="shared" si="37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124" s="88" t="str">
        <f t="shared" si="38"/>
        <v>"C:\Program Files (x86)\AstroGrep\AstroGrep.exe" /spath="%USERPROFILE%\AppData\Local\Temp\OnboardLogs" /stypes="app*4043*20161208*" /stext=" 01:.+((SYSTEM_STATE.+slice.+state.+changed )|(ment ac)|(multiple cpu faults)|(system.+state.+changed )|(\[timeout)|(PRM\|1\|D)|(kpr)|(kdp)|(\|lc)|(penalty))" /e /r /s</v>
      </c>
      <c r="AG124" s="1" t="str">
        <f t="shared" si="39"/>
        <v>EC</v>
      </c>
      <c r="AH124" s="92" t="str">
        <f t="shared" si="26"/>
        <v>"%USERPROFILE%\Documents\GitHub\eaglep3\Utilities\RefineRTDCRunTimes.py" --tripid 210-07 --locoid 4043 --swversion DE.1.0.8.0 --startMP 204:232985 --initTime 2016-12-07T18:00:24 --startdatetime 2016-12-07T18:11:33 --delay 1 --endMP 204:150 --enddatetime 2016-12-07T18:48:14 --enforcementcount 0 &gt;&gt;C:\Users\stu\Documents\GitHub\eaglep3-reporting\EC\2016-12-07-refined-times.txt</v>
      </c>
      <c r="AI124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{"issue":{"subject":"","project_id":79,"tracker_id":40,"status_id":1,"priority_id":2,"assigned_to_id":23,"start_date":"2016-12-07","description":"","custom_fields":[{"id":1,"name":"Subdivision","value":"EC"},{"id":4,"name":"Milepost","value":"0.015"},{"id":17,"name":"Train ID","value":"210-07"},{"id":16,"name":"Locomotive ID","value":"4043"},{"id":130,"name":"Impact","value":""},{"id":150,"name":"Time of Event (Mountain Time)","value":"18:48:14"},{"id":151,"name":"Denver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620</v>
      </c>
      <c r="B125" s="7">
        <v>4002</v>
      </c>
      <c r="C125" s="22" t="s">
        <v>207</v>
      </c>
      <c r="D125" s="22" t="s">
        <v>236</v>
      </c>
      <c r="E125" s="13">
        <v>42711.724675925929</v>
      </c>
      <c r="F125" s="13">
        <v>42711.729375000003</v>
      </c>
      <c r="G125" s="7">
        <v>3</v>
      </c>
      <c r="H125" s="22" t="s">
        <v>274</v>
      </c>
      <c r="I125" s="13">
        <v>42711.754884259259</v>
      </c>
      <c r="J125" s="7">
        <v>0</v>
      </c>
      <c r="K125" s="109" t="str">
        <f t="shared" si="28"/>
        <v>4001/4002</v>
      </c>
      <c r="L125" s="22" t="str">
        <f>VLOOKUP(A125,'Trips&amp;Operators'!$C$1:$G$99999,5,FALSE)</f>
        <v>LOPES KIMBERLY</v>
      </c>
      <c r="M125" s="6">
        <f t="shared" si="29"/>
        <v>2.5509259256068617E-2</v>
      </c>
      <c r="N125" s="7">
        <f t="shared" si="40"/>
        <v>36.733333328738809</v>
      </c>
      <c r="O125" s="7"/>
      <c r="P125" s="7"/>
      <c r="Q125" s="23"/>
      <c r="R125" s="23"/>
      <c r="S125" s="35">
        <f t="shared" si="44"/>
        <v>1</v>
      </c>
      <c r="T125" s="50" t="str">
        <f t="shared" si="30"/>
        <v>NorthBound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16:23:32-700',mode:absolute,to:'2016-12-07 19:07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125" s="52" t="str">
        <f t="shared" si="32"/>
        <v>N</v>
      </c>
      <c r="X125" s="177">
        <f t="shared" si="43"/>
        <v>1</v>
      </c>
      <c r="Y125" s="67">
        <f t="shared" si="33"/>
        <v>4.5499999999999999E-2</v>
      </c>
      <c r="Z125" s="67">
        <f t="shared" si="34"/>
        <v>23.329699999999999</v>
      </c>
      <c r="AA125" s="67">
        <f t="shared" si="35"/>
        <v>23.284199999999998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36"/>
        <v>0211-07</v>
      </c>
      <c r="AE125" s="91" t="str">
        <f t="shared" si="37"/>
        <v>aws s3 cp s3://rtdc.mdm.uploadarchive.raw/RTDC4002/ "%USERPROFILE%\AppData\Local\Temp\OnboardLogs"\RTDC4002\2016-12-07 --exclude "*" --recursive --include "*20161207*" &amp; "%USERPROFILE%\Documents\GitHub\mrs-test-scripts\Headless Mode &amp; Sideloading\WalkAndUnGZ.bat" "%USERPROFILE%\AppData\Local\Temp\OnboardLogs"\RTDC4002\2016-12-07 &amp; aws s3 cp s3://rtdc.mdm.uploadarchive.raw/RTDC4002/ "%USERPROFILE%\AppData\Local\Temp\OnboardLogs"\RTDC4002\2016-12-08 --exclude "*" --recursive --include "*20161208*" &amp; "%USERPROFILE%\Documents\GitHub\mrs-test-scripts\Headless Mode &amp; Sideloading\WalkAndUnGZ.bat" "%USERPROFILE%\AppData\Local\Temp\OnboardLogs"\RTDC4002\2016-12-08</v>
      </c>
      <c r="AF125" s="88" t="str">
        <f t="shared" si="38"/>
        <v>"C:\Program Files (x86)\AstroGrep\AstroGrep.exe" /spath="%USERPROFILE%\AppData\Local\Temp\OnboardLogs" /stypes="app*4002*20161208*" /stext=" 01:.+((SYSTEM_STATE.+slice.+state.+changed )|(ment ac)|(multiple cpu faults)|(system.+state.+changed )|(\[timeout)|(PRM\|1\|D)|(kpr)|(kdp)|(\|lc)|(penalty))" /e /r /s</v>
      </c>
      <c r="AG125" s="1" t="str">
        <f t="shared" si="39"/>
        <v>EC</v>
      </c>
      <c r="AH125" s="92" t="str">
        <f t="shared" si="26"/>
        <v>"%USERPROFILE%\Documents\GitHub\eaglep3\Utilities\RefineRTDCRunTimes.py" --tripid 211-07 --locoid 4002 --swversion DE.1.0.8.0 --startMP 204:455 --initTime 2016-12-07T17:23:32 --startdatetime 2016-12-07T17:30:18 --delay 3 --endMP 204:233297 --enddatetime 2016-12-07T18:07:02 --enforcementcount 0 &gt;&gt;C:\Users\stu\Documents\GitHub\eaglep3-reporting\EC\2016-12-07-refined-times.txt</v>
      </c>
      <c r="AI125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{"issue":{"subject":"","project_id":79,"tracker_id":40,"status_id":1,"priority_id":2,"assigned_to_id":23,"start_date":"2016-12-07","description":"","custom_fields":[{"id":1,"name":"Subdivision","value":"EC"},{"id":4,"name":"Milepost","value":"23.3297"},{"id":17,"name":"Train ID","value":"211-07"},{"id":16,"name":"Locomotive ID","value":"4002"},{"id":130,"name":"Impact","value":""},{"id":150,"name":"Time of Event (Mountain Time)","value":"18:07:02"},{"id":151,"name":"Denver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53"/>
      <c r="AK125" s="53"/>
      <c r="AL125" s="53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631</v>
      </c>
      <c r="B126" s="7">
        <v>4001</v>
      </c>
      <c r="C126" s="22" t="s">
        <v>207</v>
      </c>
      <c r="D126" s="22" t="s">
        <v>727</v>
      </c>
      <c r="E126" s="13">
        <v>42711.759386574071</v>
      </c>
      <c r="F126" s="13">
        <v>42711.768263888887</v>
      </c>
      <c r="G126" s="7">
        <v>1</v>
      </c>
      <c r="H126" s="22" t="s">
        <v>205</v>
      </c>
      <c r="I126" s="13">
        <v>42711.796400462961</v>
      </c>
      <c r="J126" s="7">
        <v>0</v>
      </c>
      <c r="K126" s="109" t="str">
        <f t="shared" si="28"/>
        <v>4001/4002</v>
      </c>
      <c r="L126" s="22" t="str">
        <f>VLOOKUP(A126,'Trips&amp;Operators'!$C$1:$G$99999,5,FALSE)</f>
        <v>LOPES KIMBERLY</v>
      </c>
      <c r="M126" s="6">
        <f t="shared" si="29"/>
        <v>2.8136574073869269E-2</v>
      </c>
      <c r="N126" s="7">
        <f t="shared" si="40"/>
        <v>40.516666666371748</v>
      </c>
      <c r="O126" s="7"/>
      <c r="P126" s="7"/>
      <c r="Q126" s="23"/>
      <c r="R126" s="23"/>
      <c r="S126" s="35">
        <f t="shared" si="44"/>
        <v>1</v>
      </c>
      <c r="T126" s="50" t="str">
        <f t="shared" si="30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17:13:31-700',mode:absolute,to:'2016-12-07 20:06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126" s="52" t="str">
        <f t="shared" si="32"/>
        <v>N</v>
      </c>
      <c r="X126" s="177">
        <f t="shared" ref="X126:X130" si="45">VALUE(LEFT(AD126,4))-VALUE(LEFT(AD125,4))</f>
        <v>1</v>
      </c>
      <c r="Y126" s="67">
        <f t="shared" si="33"/>
        <v>23.297499999999999</v>
      </c>
      <c r="Z126" s="67">
        <f t="shared" si="34"/>
        <v>1.5599999999999999E-2</v>
      </c>
      <c r="AA126" s="67">
        <f t="shared" si="35"/>
        <v>23.2819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36"/>
        <v>0212-07</v>
      </c>
      <c r="AE126" s="91" t="str">
        <f t="shared" si="37"/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126" s="88" t="str">
        <f t="shared" si="38"/>
        <v>"C:\Program Files (x86)\AstroGrep\AstroGrep.exe" /spath="%USERPROFILE%\AppData\Local\Temp\OnboardLogs" /stypes="app*4001*20161208*" /stext=" 02:.+((SYSTEM_STATE.+slice.+state.+changed )|(ment ac)|(multiple cpu faults)|(system.+state.+changed )|(\[timeout)|(PRM\|1\|D)|(kpr)|(kdp)|(\|lc)|(penalty))" /e /r /s</v>
      </c>
      <c r="AG126" s="1" t="str">
        <f t="shared" si="39"/>
        <v>EC</v>
      </c>
      <c r="AH126" s="92" t="str">
        <f t="shared" si="26"/>
        <v>"%USERPROFILE%\Documents\GitHub\eaglep3\Utilities\RefineRTDCRunTimes.py" --tripid 212-07 --locoid 4001 --swversion DE.1.0.8.0 --startMP 204:232975 --initTime 2016-12-07T18:13:31 --startdatetime 2016-12-07T18:26:18 --delay 1 --endMP 204:156 --enddatetime 2016-12-07T19:06:49 --enforcementcount 0 &gt;&gt;C:\Users\stu\Documents\GitHub\eaglep3-reporting\EC\2016-12-07-refined-times.txt</v>
      </c>
      <c r="AI126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{"issue":{"subject":"","project_id":79,"tracker_id":40,"status_id":1,"priority_id":2,"assigned_to_id":23,"start_date":"2016-12-07","description":"","custom_fields":[{"id":1,"name":"Subdivision","value":"EC"},{"id":4,"name":"Milepost","value":"0.0156"},{"id":17,"name":"Train ID","value":"212-07"},{"id":16,"name":"Locomotive ID","value":"4001"},{"id":130,"name":"Impact","value":""},{"id":150,"name":"Time of Event (Mountain Time)","value":"19:06:49"},{"id":151,"name":"Denver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845</v>
      </c>
      <c r="B127" s="7">
        <v>4016</v>
      </c>
      <c r="C127" s="22" t="s">
        <v>207</v>
      </c>
      <c r="D127" s="22" t="s">
        <v>727</v>
      </c>
      <c r="E127" s="13">
        <v>42711.759386574071</v>
      </c>
      <c r="F127" s="13">
        <v>42711.736805555556</v>
      </c>
      <c r="G127" s="7">
        <v>1</v>
      </c>
      <c r="H127" s="22" t="s">
        <v>205</v>
      </c>
      <c r="I127" s="13">
        <v>42711.737500000003</v>
      </c>
      <c r="J127" s="7">
        <v>0</v>
      </c>
      <c r="K127" s="109" t="str">
        <f t="shared" si="28"/>
        <v>4015/4016</v>
      </c>
      <c r="L127" s="22" t="e">
        <f>VLOOKUP(A127,'Trips&amp;Operators'!$C$1:$G$99999,5,FALSE)</f>
        <v>#N/A</v>
      </c>
      <c r="M127" s="6">
        <f t="shared" si="29"/>
        <v>6.944444467080757E-4</v>
      </c>
      <c r="N127" s="7"/>
      <c r="O127" s="7"/>
      <c r="P127" s="7">
        <f>24*60*SUM($M127:$M127)</f>
        <v>1.000000003259629</v>
      </c>
      <c r="Q127" s="23"/>
      <c r="R127" s="23" t="s">
        <v>441</v>
      </c>
      <c r="S127" s="35">
        <f t="shared" si="44"/>
        <v>0</v>
      </c>
      <c r="T127" s="50" t="str">
        <f t="shared" si="30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0</v>
      </c>
      <c r="V12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17:13:31-700',mode:absolute,to:'2016-12-07 18:42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27" s="52" t="str">
        <f t="shared" si="32"/>
        <v>N</v>
      </c>
      <c r="X127" s="177">
        <f t="shared" ref="X127" si="46">VALUE(LEFT(AD127,4))-VALUE(LEFT(AD126,4))</f>
        <v>1</v>
      </c>
      <c r="Y127" s="67">
        <f t="shared" si="33"/>
        <v>23.297499999999999</v>
      </c>
      <c r="Z127" s="67">
        <f t="shared" si="34"/>
        <v>1.5599999999999999E-2</v>
      </c>
      <c r="AA127" s="67">
        <f t="shared" si="35"/>
        <v>23.2819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36"/>
        <v>0213-07</v>
      </c>
      <c r="AE127" s="91" t="str">
        <f t="shared" si="37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127" s="88" t="str">
        <f t="shared" si="38"/>
        <v>"C:\Program Files (x86)\AstroGrep\AstroGrep.exe" /spath="%USERPROFILE%\AppData\Local\Temp\OnboardLogs" /stypes="app*4016*20161208*" /stext=" 00:.+((SYSTEM_STATE.+slice.+state.+changed )|(ment ac)|(multiple cpu faults)|(system.+state.+changed )|(\[timeout)|(PRM\|1\|D)|(kpr)|(kdp)|(\|lc)|(penalty))" /e /r /s</v>
      </c>
      <c r="AG127" s="1" t="str">
        <f t="shared" si="39"/>
        <v>EC</v>
      </c>
      <c r="AH127" s="92" t="str">
        <f t="shared" ref="AH127" si="47">refinertdcruntimes&amp;" --tripid "&amp;A127&amp;" --locoid "&amp;B127&amp;" --swversion "&amp;C127&amp;" --startMP "&amp;D127&amp;" --initTime "&amp;TEXT(E127,"yyyy-mm-ddTHH:MM:SS")&amp;" --startdatetime "&amp;TEXT(F127,"yyyy-mm-ddTHH:MM:SS")&amp;" --delay "&amp;G127&amp;" --endMP "&amp;H127&amp;" --enddatetime "&amp;TEXT(I127,"yyyy-mm-ddTHH:MM:SS")&amp;" --enforcementcount "&amp;J127&amp;IF(outputrefinedruntimes," &gt;&gt;"&amp;RefinedRTDCRunTimesOutputFile,"")</f>
        <v>"%USERPROFILE%\Documents\GitHub\eaglep3\Utilities\RefineRTDCRunTimes.py" --tripid 213-07 --locoid 4016 --swversion DE.1.0.8.0 --startMP 204:232975 --initTime 2016-12-07T18:13:31 --startdatetime 2016-12-07T17:41:00 --delay 1 --endMP 204:156 --enddatetime 2016-12-07T17:42:00 --enforcementcount 0 &gt;&gt;C:\Users\stu\Documents\GitHub\eaglep3-reporting\EC\2016-12-07-refined-times.txt</v>
      </c>
      <c r="AI127" s="119" t="str">
        <f t="shared" ref="AI127" si="48">"echo {""issue"":{""subject"":"""&amp;R127&amp;""",""project_id"":79,""tracker_id"":40,""status_id"":"&amp;redmine_status&amp;",""priority_id"":"&amp;redmine_priority&amp;",""assigned_to_id"":"&amp;redmine_assignee&amp;",""start_date"":"""&amp;TEXT(I127,"YYYY-mm-dd")&amp;""",""description"":"""&amp;AJ127&amp;""",""custom_fields"":[{""id"":1,""name"":""Subdivision"",""value"":"""&amp;AG127&amp;"""},{""id"":4,""name"":""Milepost"",""value"":"""&amp;Z127&amp;"""},{""id"":17,""name"":""Train ID"",""value"":"""&amp;A127&amp;"""},{""id"":16,""name"":""Locomotive ID"",""value"":"""&amp;B127&amp;"""},{""id"":130,""name"":""Impact"",""value"":"""&amp;AK127&amp;"""},{""id"":150,""name"":""Time of Event (Mountain Time)"",""value"":"""&amp;TEXT(I127,"hh:mm:ss")&amp;"""},{""id"":151,""name"":""Denver Issue ID"",""value"":"""&amp;"""},{""id"":178,""name"":""Operational Impact"",""value"":"""&amp;redmine_op_impact&amp;"""},{""id"":179,""name"":""Denver Segment Assigned"",""value"":"""&amp;AL127&amp;"""}]}}"&amp;"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failure","project_id":79,"tracker_id":40,"status_id":1,"priority_id":2,"assigned_to_id":23,"start_date":"2016-12-07","description":"","custom_fields":[{"id":1,"name":"Subdivision","value":"EC"},{"id":4,"name":"Milepost","value":"0.0156"},{"id":17,"name":"Train ID","value":"213-07"},{"id":16,"name":"Locomotive ID","value":"4016"},{"id":130,"name":"Impact","value":""},{"id":150,"name":"Time of Event (Mountain Time)","value":"17:42:00"},{"id":151,"name":"Denver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</row>
    <row r="128" spans="1:91" s="21" customFormat="1" x14ac:dyDescent="0.25">
      <c r="A128" s="37" t="s">
        <v>634</v>
      </c>
      <c r="B128" s="7">
        <v>4015</v>
      </c>
      <c r="C128" s="22" t="s">
        <v>207</v>
      </c>
      <c r="D128" s="22" t="s">
        <v>705</v>
      </c>
      <c r="E128" s="13">
        <v>42711.775219907409</v>
      </c>
      <c r="F128" s="13">
        <v>42711.778900462959</v>
      </c>
      <c r="G128" s="7">
        <v>1</v>
      </c>
      <c r="H128" s="22" t="s">
        <v>209</v>
      </c>
      <c r="I128" s="13">
        <v>42711.80568287037</v>
      </c>
      <c r="J128" s="7">
        <v>0</v>
      </c>
      <c r="K128" s="109" t="str">
        <f t="shared" si="28"/>
        <v>4015/4016</v>
      </c>
      <c r="L128" s="22" t="str">
        <f>VLOOKUP(A128,'Trips&amp;Operators'!$C$1:$G$99999,5,FALSE)</f>
        <v>YANAI IAN</v>
      </c>
      <c r="M128" s="6">
        <f t="shared" si="29"/>
        <v>2.6782407410792075E-2</v>
      </c>
      <c r="N128" s="7">
        <f t="shared" ref="N128:N143" si="49">24*60*SUM($M128:$M128)</f>
        <v>38.566666671540588</v>
      </c>
      <c r="O128" s="7"/>
      <c r="P128" s="7"/>
      <c r="Q128" s="23"/>
      <c r="R128" s="23"/>
      <c r="S128" s="35">
        <f t="shared" si="44"/>
        <v>1</v>
      </c>
      <c r="T128" s="50" t="str">
        <f t="shared" si="30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17:36:19-700',mode:absolute,to:'2016-12-07 20:20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28" s="52" t="str">
        <f t="shared" si="32"/>
        <v>N</v>
      </c>
      <c r="X128" s="177">
        <f t="shared" si="45"/>
        <v>1</v>
      </c>
      <c r="Y128" s="67">
        <f t="shared" si="33"/>
        <v>23.2987</v>
      </c>
      <c r="Z128" s="67">
        <f t="shared" si="34"/>
        <v>1.5800000000000002E-2</v>
      </c>
      <c r="AA128" s="67">
        <f t="shared" si="35"/>
        <v>23.282900000000001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36"/>
        <v>0214-07</v>
      </c>
      <c r="AE128" s="91" t="str">
        <f t="shared" si="37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128" s="88" t="str">
        <f t="shared" si="38"/>
        <v>"C:\Program Files (x86)\AstroGrep\AstroGrep.exe" /spath="%USERPROFILE%\AppData\Local\Temp\OnboardLogs" /stypes="app*4015*20161208*" /stext=" 02:.+((SYSTEM_STATE.+slice.+state.+changed )|(ment ac)|(multiple cpu faults)|(system.+state.+changed )|(\[timeout)|(PRM\|1\|D)|(kpr)|(kdp)|(\|lc)|(penalty))" /e /r /s</v>
      </c>
      <c r="AG128" s="1" t="str">
        <f t="shared" si="39"/>
        <v>EC</v>
      </c>
      <c r="AH128" s="92" t="str">
        <f t="shared" si="26"/>
        <v>"%USERPROFILE%\Documents\GitHub\eaglep3\Utilities\RefineRTDCRunTimes.py" --tripid 214-07 --locoid 4015 --swversion DE.1.0.8.0 --startMP 204:232987 --initTime 2016-12-07T18:36:19 --startdatetime 2016-12-07T18:41:37 --delay 1 --endMP 204:158 --enddatetime 2016-12-07T19:20:11 --enforcementcount 0 &gt;&gt;C:\Users\stu\Documents\GitHub\eaglep3-reporting\EC\2016-12-07-refined-times.txt</v>
      </c>
      <c r="AI128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{"issue":{"subject":"","project_id":79,"tracker_id":40,"status_id":1,"priority_id":2,"assigned_to_id":23,"start_date":"2016-12-07","description":"","custom_fields":[{"id":1,"name":"Subdivision","value":"EC"},{"id":4,"name":"Milepost","value":"0.0158"},{"id":17,"name":"Train ID","value":"214-07"},{"id":16,"name":"Locomotive ID","value":"4015"},{"id":130,"name":"Impact","value":""},{"id":150,"name":"Time of Event (Mountain Time)","value":"19:20:11"},{"id":151,"name":"Denver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1" customFormat="1" x14ac:dyDescent="0.25">
      <c r="A129" s="37" t="s">
        <v>624</v>
      </c>
      <c r="B129" s="7">
        <v>4014</v>
      </c>
      <c r="C129" s="22" t="s">
        <v>207</v>
      </c>
      <c r="D129" s="22" t="s">
        <v>310</v>
      </c>
      <c r="E129" s="13">
        <v>42711.746215277781</v>
      </c>
      <c r="F129" s="13">
        <v>42711.7503125</v>
      </c>
      <c r="G129" s="7">
        <v>1</v>
      </c>
      <c r="H129" s="22" t="s">
        <v>732</v>
      </c>
      <c r="I129" s="13">
        <v>42711.777395833335</v>
      </c>
      <c r="J129" s="7">
        <v>0</v>
      </c>
      <c r="K129" s="109" t="str">
        <f t="shared" si="28"/>
        <v>4013/4014</v>
      </c>
      <c r="L129" s="22" t="str">
        <f>VLOOKUP(A129,'Trips&amp;Operators'!$C$1:$G$99999,5,FALSE)</f>
        <v>STORY SAMANTHA</v>
      </c>
      <c r="M129" s="6">
        <f t="shared" si="29"/>
        <v>2.7083333334303461E-2</v>
      </c>
      <c r="N129" s="7">
        <f t="shared" si="49"/>
        <v>39.000000001396984</v>
      </c>
      <c r="O129" s="7"/>
      <c r="P129" s="7"/>
      <c r="Q129" s="23"/>
      <c r="R129" s="23"/>
      <c r="S129" s="35">
        <f t="shared" si="44"/>
        <v>1</v>
      </c>
      <c r="T129" s="50" t="str">
        <f t="shared" si="30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16:54:33-700',mode:absolute,to:'2016-12-07 19:39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129" s="52" t="str">
        <f t="shared" si="32"/>
        <v>N</v>
      </c>
      <c r="X129" s="177">
        <f t="shared" si="45"/>
        <v>1</v>
      </c>
      <c r="Y129" s="67">
        <f t="shared" si="33"/>
        <v>4.53E-2</v>
      </c>
      <c r="Z129" s="67">
        <f t="shared" si="34"/>
        <v>23.330300000000001</v>
      </c>
      <c r="AA129" s="67">
        <f t="shared" si="35"/>
        <v>23.285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36"/>
        <v>0215-07</v>
      </c>
      <c r="AE129" s="91" t="str">
        <f t="shared" si="37"/>
        <v>aws s3 cp s3://rtdc.mdm.uploadarchive.raw/RTDC4014/ "%USERPROFILE%\AppData\Local\Temp\OnboardLogs"\RTDC4014\2016-12-07 --exclude "*" --recursive --include "*20161207*" &amp; "%USERPROFILE%\Documents\GitHub\mrs-test-scripts\Headless Mode &amp; Sideloading\WalkAndUnGZ.bat" "%USERPROFILE%\AppData\Local\Temp\OnboardLogs"\RTDC4014\2016-12-07 &amp; aws s3 cp s3://rtdc.mdm.uploadarchive.raw/RTDC4014/ "%USERPROFILE%\AppData\Local\Temp\OnboardLogs"\RTDC4014\2016-12-08 --exclude "*" --recursive --include "*20161208*" &amp; "%USERPROFILE%\Documents\GitHub\mrs-test-scripts\Headless Mode &amp; Sideloading\WalkAndUnGZ.bat" "%USERPROFILE%\AppData\Local\Temp\OnboardLogs"\RTDC4014\2016-12-08</v>
      </c>
      <c r="AF129" s="88" t="str">
        <f t="shared" si="38"/>
        <v>"C:\Program Files (x86)\AstroGrep\AstroGrep.exe" /spath="%USERPROFILE%\AppData\Local\Temp\OnboardLogs" /stypes="app*4014*20161208*" /stext=" 01:.+((SYSTEM_STATE.+slice.+state.+changed )|(ment ac)|(multiple cpu faults)|(system.+state.+changed )|(\[timeout)|(PRM\|1\|D)|(kpr)|(kdp)|(\|lc)|(penalty))" /e /r /s</v>
      </c>
      <c r="AG129" s="1" t="str">
        <f t="shared" si="39"/>
        <v>EC</v>
      </c>
      <c r="AH129" s="92" t="str">
        <f t="shared" si="26"/>
        <v>"%USERPROFILE%\Documents\GitHub\eaglep3\Utilities\RefineRTDCRunTimes.py" --tripid 215-07 --locoid 4014 --swversion DE.1.0.8.0 --startMP 204:453 --initTime 2016-12-07T17:54:33 --startdatetime 2016-12-07T18:00:27 --delay 1 --endMP 204:233303 --enddatetime 2016-12-07T18:39:27 --enforcementcount 0 &gt;&gt;C:\Users\stu\Documents\GitHub\eaglep3-reporting\EC\2016-12-07-refined-times.txt</v>
      </c>
      <c r="AI129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{"issue":{"subject":"","project_id":79,"tracker_id":40,"status_id":1,"priority_id":2,"assigned_to_id":23,"start_date":"2016-12-07","description":"","custom_fields":[{"id":1,"name":"Subdivision","value":"EC"},{"id":4,"name":"Milepost","value":"23.3303"},{"id":17,"name":"Train ID","value":"215-07"},{"id":16,"name":"Locomotive ID","value":"4014"},{"id":130,"name":"Impact","value":""},{"id":150,"name":"Time of Event (Mountain Time)","value":"18:39:27"},{"id":151,"name":"Denver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1" customFormat="1" x14ac:dyDescent="0.25">
      <c r="A130" s="37" t="s">
        <v>473</v>
      </c>
      <c r="B130" s="7">
        <v>4013</v>
      </c>
      <c r="C130" s="22" t="s">
        <v>207</v>
      </c>
      <c r="D130" s="22" t="s">
        <v>684</v>
      </c>
      <c r="E130" s="13">
        <v>42711.786574074074</v>
      </c>
      <c r="F130" s="13">
        <v>42711.789120370369</v>
      </c>
      <c r="G130" s="7">
        <v>3</v>
      </c>
      <c r="H130" s="22" t="s">
        <v>288</v>
      </c>
      <c r="I130" s="13">
        <v>42711.819409722222</v>
      </c>
      <c r="J130" s="7">
        <v>0</v>
      </c>
      <c r="K130" s="109" t="str">
        <f t="shared" si="28"/>
        <v>4013/4014</v>
      </c>
      <c r="L130" s="22" t="str">
        <f>VLOOKUP(A130,'Trips&amp;Operators'!$C$1:$G$99999,5,FALSE)</f>
        <v>STORY SAMANTHA</v>
      </c>
      <c r="M130" s="6">
        <f t="shared" si="29"/>
        <v>3.0289351852843538E-2</v>
      </c>
      <c r="N130" s="7">
        <f t="shared" si="49"/>
        <v>43.616666668094695</v>
      </c>
      <c r="O130" s="7"/>
      <c r="P130" s="7"/>
      <c r="Q130" s="23"/>
      <c r="R130" s="23"/>
      <c r="S130" s="35">
        <f t="shared" si="44"/>
        <v>1</v>
      </c>
      <c r="T130" s="50" t="str">
        <f t="shared" si="30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17:52:40-700',mode:absolute,to:'2016-12-07 20:39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130" s="52" t="str">
        <f t="shared" si="32"/>
        <v>N</v>
      </c>
      <c r="X130" s="177">
        <f t="shared" si="45"/>
        <v>1</v>
      </c>
      <c r="Y130" s="67">
        <f t="shared" si="33"/>
        <v>23.296099999999999</v>
      </c>
      <c r="Z130" s="67">
        <f t="shared" si="34"/>
        <v>1.6899999999999998E-2</v>
      </c>
      <c r="AA130" s="67">
        <f t="shared" si="35"/>
        <v>23.279199999999999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36"/>
        <v>0216-07</v>
      </c>
      <c r="AE130" s="91" t="str">
        <f t="shared" si="37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130" s="88" t="str">
        <f t="shared" si="38"/>
        <v>"C:\Program Files (x86)\AstroGrep\AstroGrep.exe" /spath="%USERPROFILE%\AppData\Local\Temp\OnboardLogs" /stypes="app*4013*20161208*" /stext=" 02:.+((SYSTEM_STATE.+slice.+state.+changed )|(ment ac)|(multiple cpu faults)|(system.+state.+changed )|(\[timeout)|(PRM\|1\|D)|(kpr)|(kdp)|(\|lc)|(penalty))" /e /r /s</v>
      </c>
      <c r="AG130" s="1" t="str">
        <f t="shared" si="39"/>
        <v>EC</v>
      </c>
      <c r="AH130" s="92" t="str">
        <f t="shared" si="26"/>
        <v>"%USERPROFILE%\Documents\GitHub\eaglep3\Utilities\RefineRTDCRunTimes.py" --tripid 216-07 --locoid 4013 --swversion DE.1.0.8.0 --startMP 204:232961 --initTime 2016-12-07T18:52:40 --startdatetime 2016-12-07T18:56:20 --delay 3 --endMP 204:169 --enddatetime 2016-12-07T19:39:57 --enforcementcount 0 &gt;&gt;C:\Users\stu\Documents\GitHub\eaglep3-reporting\EC\2016-12-07-refined-times.txt</v>
      </c>
      <c r="AI130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{"issue":{"subject":"","project_id":79,"tracker_id":40,"status_id":1,"priority_id":2,"assigned_to_id":23,"start_date":"2016-12-07","description":"","custom_fields":[{"id":1,"name":"Subdivision","value":"EC"},{"id":4,"name":"Milepost","value":"0.0169"},{"id":17,"name":"Train ID","value":"216-07"},{"id":16,"name":"Locomotive ID","value":"4013"},{"id":130,"name":"Impact","value":""},{"id":150,"name":"Time of Event (Mountain Time)","value":"19:39:57"},{"id":151,"name":"Denver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x14ac:dyDescent="0.25">
      <c r="A131" s="37" t="s">
        <v>630</v>
      </c>
      <c r="B131" s="7">
        <v>4031</v>
      </c>
      <c r="C131" s="22" t="s">
        <v>207</v>
      </c>
      <c r="D131" s="22" t="s">
        <v>302</v>
      </c>
      <c r="E131" s="13">
        <v>42711.756712962961</v>
      </c>
      <c r="F131" s="13">
        <v>42711.760949074072</v>
      </c>
      <c r="G131" s="7">
        <v>2</v>
      </c>
      <c r="H131" s="22" t="s">
        <v>733</v>
      </c>
      <c r="I131" s="13">
        <v>42711.785983796297</v>
      </c>
      <c r="J131" s="7">
        <v>0</v>
      </c>
      <c r="K131" s="109" t="str">
        <f t="shared" si="28"/>
        <v>4031/4032</v>
      </c>
      <c r="L131" s="22" t="str">
        <f>VLOOKUP(A131,'Trips&amp;Operators'!$C$1:$G$99999,5,FALSE)</f>
        <v>LEVIN SCOTT</v>
      </c>
      <c r="M131" s="6">
        <f t="shared" si="29"/>
        <v>2.5034722224518191E-2</v>
      </c>
      <c r="N131" s="7">
        <f t="shared" si="49"/>
        <v>36.050000003306195</v>
      </c>
      <c r="O131" s="7"/>
      <c r="P131" s="7"/>
      <c r="Q131" s="23"/>
      <c r="R131" s="23"/>
      <c r="S131" s="35">
        <f t="shared" si="44"/>
        <v>1</v>
      </c>
      <c r="T131" s="50" t="str">
        <f t="shared" si="30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17:09:40-700',mode:absolute,to:'2016-12-07 19:51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1" s="52" t="str">
        <f t="shared" si="32"/>
        <v>N</v>
      </c>
      <c r="X131" s="177">
        <f t="shared" ref="X131:X154" si="50">VALUE(LEFT(AD131,4))-VALUE(LEFT(AD130,4))</f>
        <v>1</v>
      </c>
      <c r="Y131" s="67">
        <f t="shared" si="33"/>
        <v>4.6899999999999997E-2</v>
      </c>
      <c r="Z131" s="67">
        <f t="shared" si="34"/>
        <v>23.3325</v>
      </c>
      <c r="AA131" s="67">
        <f t="shared" si="35"/>
        <v>23.285599999999999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36"/>
        <v>0217-07</v>
      </c>
      <c r="AE131" s="91" t="str">
        <f t="shared" si="37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131" s="88" t="str">
        <f t="shared" si="38"/>
        <v>"C:\Program Files (x86)\AstroGrep\AstroGrep.exe" /spath="%USERPROFILE%\AppData\Local\Temp\OnboardLogs" /stypes="app*4031*20161208*" /stext=" 01:.+((SYSTEM_STATE.+slice.+state.+changed )|(ment ac)|(multiple cpu faults)|(system.+state.+changed )|(\[timeout)|(PRM\|1\|D)|(kpr)|(kdp)|(\|lc)|(penalty))" /e /r /s</v>
      </c>
      <c r="AG131" s="1" t="str">
        <f t="shared" si="39"/>
        <v>EC</v>
      </c>
      <c r="AH131" s="92" t="str">
        <f t="shared" si="26"/>
        <v>"%USERPROFILE%\Documents\GitHub\eaglep3\Utilities\RefineRTDCRunTimes.py" --tripid 217-07 --locoid 4031 --swversion DE.1.0.8.0 --startMP 204:469 --initTime 2016-12-07T18:09:40 --startdatetime 2016-12-07T18:15:46 --delay 2 --endMP 204:233325 --enddatetime 2016-12-07T18:51:49 --enforcementcount 0 &gt;&gt;C:\Users\stu\Documents\GitHub\eaglep3-reporting\EC\2016-12-07-refined-times.txt</v>
      </c>
      <c r="AI131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{"issue":{"subject":"","project_id":79,"tracker_id":40,"status_id":1,"priority_id":2,"assigned_to_id":23,"start_date":"2016-12-07","description":"","custom_fields":[{"id":1,"name":"Subdivision","value":"EC"},{"id":4,"name":"Milepost","value":"23.3325"},{"id":17,"name":"Train ID","value":"217-07"},{"id":16,"name":"Locomotive ID","value":"4031"},{"id":130,"name":"Impact","value":""},{"id":150,"name":"Time of Event (Mountain Time)","value":"18:51:49"},{"id":151,"name":"Denver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</row>
    <row r="132" spans="1:91" x14ac:dyDescent="0.25">
      <c r="A132" s="37" t="s">
        <v>636</v>
      </c>
      <c r="B132" s="7">
        <v>4032</v>
      </c>
      <c r="C132" s="22" t="s">
        <v>207</v>
      </c>
      <c r="D132" s="22" t="s">
        <v>700</v>
      </c>
      <c r="E132" s="13">
        <v>42711.79446759259</v>
      </c>
      <c r="F132" s="13">
        <v>42711.799537037034</v>
      </c>
      <c r="G132" s="7">
        <v>1</v>
      </c>
      <c r="H132" s="22" t="s">
        <v>240</v>
      </c>
      <c r="I132" s="13">
        <v>42711.825694444444</v>
      </c>
      <c r="J132" s="7">
        <v>0</v>
      </c>
      <c r="K132" s="109" t="str">
        <f t="shared" si="28"/>
        <v>4031/4032</v>
      </c>
      <c r="L132" s="22" t="str">
        <f>VLOOKUP(A132,'Trips&amp;Operators'!$C$1:$G$99999,5,FALSE)</f>
        <v>LEVIN SCOTT</v>
      </c>
      <c r="M132" s="6">
        <f t="shared" si="29"/>
        <v>2.6157407410209998E-2</v>
      </c>
      <c r="N132" s="7">
        <f t="shared" si="49"/>
        <v>37.666666670702398</v>
      </c>
      <c r="O132" s="7"/>
      <c r="P132" s="7"/>
      <c r="Q132" s="23"/>
      <c r="R132" s="23"/>
      <c r="S132" s="35">
        <f t="shared" si="44"/>
        <v>1</v>
      </c>
      <c r="T132" s="50" t="str">
        <f t="shared" si="30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18:04:02-700',mode:absolute,to:'2016-12-07 20:49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32" s="52" t="str">
        <f t="shared" si="32"/>
        <v>N</v>
      </c>
      <c r="X132" s="177">
        <f t="shared" si="50"/>
        <v>1</v>
      </c>
      <c r="Y132" s="67">
        <f t="shared" si="33"/>
        <v>23.302099999999999</v>
      </c>
      <c r="Z132" s="67">
        <f t="shared" si="34"/>
        <v>1.61E-2</v>
      </c>
      <c r="AA132" s="67">
        <f t="shared" si="35"/>
        <v>23.285999999999998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36"/>
        <v>0218-07</v>
      </c>
      <c r="AE132" s="91" t="str">
        <f t="shared" si="37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132" s="88" t="str">
        <f t="shared" si="38"/>
        <v>"C:\Program Files (x86)\AstroGrep\AstroGrep.exe" /spath="%USERPROFILE%\AppData\Local\Temp\OnboardLogs" /stypes="app*4032*20161208*" /stext=" 02:.+((SYSTEM_STATE.+slice.+state.+changed )|(ment ac)|(multiple cpu faults)|(system.+state.+changed )|(\[timeout)|(PRM\|1\|D)|(kpr)|(kdp)|(\|lc)|(penalty))" /e /r /s</v>
      </c>
      <c r="AG132" s="1" t="str">
        <f t="shared" si="39"/>
        <v>EC</v>
      </c>
      <c r="AH132" s="92" t="str">
        <f t="shared" si="26"/>
        <v>"%USERPROFILE%\Documents\GitHub\eaglep3\Utilities\RefineRTDCRunTimes.py" --tripid 218-07 --locoid 4032 --swversion DE.1.0.8.0 --startMP 204:233021 --initTime 2016-12-07T19:04:02 --startdatetime 2016-12-07T19:11:20 --delay 1 --endMP 204:161 --enddatetime 2016-12-07T19:49:00 --enforcementcount 0 &gt;&gt;C:\Users\stu\Documents\GitHub\eaglep3-reporting\EC\2016-12-07-refined-times.txt</v>
      </c>
      <c r="AI132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{"issue":{"subject":"","project_id":79,"tracker_id":40,"status_id":1,"priority_id":2,"assigned_to_id":23,"start_date":"2016-12-07","description":"","custom_fields":[{"id":1,"name":"Subdivision","value":"EC"},{"id":4,"name":"Milepost","value":"0.0161"},{"id":17,"name":"Train ID","value":"218-07"},{"id":16,"name":"Locomotive ID","value":"4032"},{"id":130,"name":"Impact","value":""},{"id":150,"name":"Time of Event (Mountain Time)","value":"19:49:00"},{"id":151,"name":"Denver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</row>
    <row r="133" spans="1:91" x14ac:dyDescent="0.25">
      <c r="A133" s="37" t="s">
        <v>633</v>
      </c>
      <c r="B133" s="7">
        <v>4009</v>
      </c>
      <c r="C133" s="22" t="s">
        <v>207</v>
      </c>
      <c r="D133" s="22" t="s">
        <v>228</v>
      </c>
      <c r="E133" s="13">
        <v>42711.765844907408</v>
      </c>
      <c r="F133" s="13">
        <v>42711.771064814813</v>
      </c>
      <c r="G133" s="7">
        <v>6</v>
      </c>
      <c r="H133" s="22" t="s">
        <v>316</v>
      </c>
      <c r="I133" s="13">
        <v>42711.795671296299</v>
      </c>
      <c r="J133" s="7">
        <v>0</v>
      </c>
      <c r="K133" s="109" t="str">
        <f t="shared" si="28"/>
        <v>4009/4010</v>
      </c>
      <c r="L133" s="22" t="str">
        <f>VLOOKUP(A133,'Trips&amp;Operators'!$C$1:$G$99999,5,FALSE)</f>
        <v>COOLAHAN JOHN</v>
      </c>
      <c r="M133" s="6">
        <f t="shared" si="29"/>
        <v>2.4606481485534459E-2</v>
      </c>
      <c r="N133" s="7">
        <f t="shared" si="49"/>
        <v>35.433333339169621</v>
      </c>
      <c r="O133" s="7"/>
      <c r="P133" s="7"/>
      <c r="Q133" s="23"/>
      <c r="R133" s="23"/>
      <c r="S133" s="35">
        <f t="shared" si="44"/>
        <v>1</v>
      </c>
      <c r="T133" s="50" t="str">
        <f t="shared" si="30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17:22:49-700',mode:absolute,to:'2016-12-07 20:05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33" s="52" t="str">
        <f t="shared" si="32"/>
        <v>N</v>
      </c>
      <c r="X133" s="177">
        <f t="shared" si="50"/>
        <v>1</v>
      </c>
      <c r="Y133" s="67">
        <f t="shared" si="33"/>
        <v>4.6600000000000003E-2</v>
      </c>
      <c r="Z133" s="67">
        <f t="shared" si="34"/>
        <v>23.329499999999999</v>
      </c>
      <c r="AA133" s="67">
        <f t="shared" si="35"/>
        <v>23.282899999999998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36"/>
        <v>0219-07</v>
      </c>
      <c r="AE133" s="91" t="str">
        <f t="shared" si="37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133" s="88" t="str">
        <f t="shared" si="38"/>
        <v>"C:\Program Files (x86)\AstroGrep\AstroGrep.exe" /spath="%USERPROFILE%\AppData\Local\Temp\OnboardLogs" /stypes="app*4009*20161208*" /stext=" 02:.+((SYSTEM_STATE.+slice.+state.+changed )|(ment ac)|(multiple cpu faults)|(system.+state.+changed )|(\[timeout)|(PRM\|1\|D)|(kpr)|(kdp)|(\|lc)|(penalty))" /e /r /s</v>
      </c>
      <c r="AG133" s="1" t="str">
        <f t="shared" si="39"/>
        <v>EC</v>
      </c>
      <c r="AH133" s="92" t="str">
        <f t="shared" si="26"/>
        <v>"%USERPROFILE%\Documents\GitHub\eaglep3\Utilities\RefineRTDCRunTimes.py" --tripid 219-07 --locoid 4009 --swversion DE.1.0.8.0 --startMP 204:466 --initTime 2016-12-07T18:22:49 --startdatetime 2016-12-07T18:30:20 --delay 6 --endMP 204:233295 --enddatetime 2016-12-07T19:05:46 --enforcementcount 0 &gt;&gt;C:\Users\stu\Documents\GitHub\eaglep3-reporting\EC\2016-12-07-refined-times.txt</v>
      </c>
      <c r="AI133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{"issue":{"subject":"","project_id":79,"tracker_id":40,"status_id":1,"priority_id":2,"assigned_to_id":23,"start_date":"2016-12-07","description":"","custom_fields":[{"id":1,"name":"Subdivision","value":"EC"},{"id":4,"name":"Milepost","value":"23.3295"},{"id":17,"name":"Train ID","value":"219-07"},{"id":16,"name":"Locomotive ID","value":"4009"},{"id":130,"name":"Impact","value":""},{"id":150,"name":"Time of Event (Mountain Time)","value":"19:05:46"},{"id":151,"name":"Denver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</row>
    <row r="134" spans="1:91" s="21" customFormat="1" x14ac:dyDescent="0.25">
      <c r="A134" s="37" t="s">
        <v>639</v>
      </c>
      <c r="B134" s="7">
        <v>4010</v>
      </c>
      <c r="C134" s="22" t="s">
        <v>207</v>
      </c>
      <c r="D134" s="22" t="s">
        <v>406</v>
      </c>
      <c r="E134" s="13">
        <v>42711.806527777779</v>
      </c>
      <c r="F134" s="13">
        <v>42711.810023148151</v>
      </c>
      <c r="G134" s="7">
        <v>3</v>
      </c>
      <c r="H134" s="22" t="s">
        <v>697</v>
      </c>
      <c r="I134" s="13">
        <v>42711.836076388892</v>
      </c>
      <c r="J134" s="7">
        <v>0</v>
      </c>
      <c r="K134" s="109" t="str">
        <f t="shared" si="28"/>
        <v>4009/4010</v>
      </c>
      <c r="L134" s="22" t="str">
        <f>VLOOKUP(A134,'Trips&amp;Operators'!$C$1:$G$99999,5,FALSE)</f>
        <v>COOLAHAN JOHN</v>
      </c>
      <c r="M134" s="6">
        <f t="shared" si="29"/>
        <v>2.6053240741021E-2</v>
      </c>
      <c r="N134" s="7">
        <f t="shared" si="49"/>
        <v>37.51666666707024</v>
      </c>
      <c r="O134" s="7"/>
      <c r="P134" s="7"/>
      <c r="Q134" s="23"/>
      <c r="R134" s="23"/>
      <c r="S134" s="35">
        <f t="shared" si="44"/>
        <v>1</v>
      </c>
      <c r="T134" s="50" t="str">
        <f t="shared" si="30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18:21:24-700',mode:absolute,to:'2016-12-07 21:03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34" s="52" t="str">
        <f t="shared" si="32"/>
        <v>N</v>
      </c>
      <c r="X134" s="177">
        <f t="shared" si="50"/>
        <v>1</v>
      </c>
      <c r="Y134" s="67">
        <f t="shared" si="33"/>
        <v>23.3</v>
      </c>
      <c r="Z134" s="67">
        <f t="shared" si="34"/>
        <v>1.34E-2</v>
      </c>
      <c r="AA134" s="67">
        <f t="shared" si="35"/>
        <v>23.2866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36"/>
        <v>0220-07</v>
      </c>
      <c r="AE134" s="91" t="str">
        <f t="shared" si="37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134" s="88" t="str">
        <f t="shared" si="38"/>
        <v>"C:\Program Files (x86)\AstroGrep\AstroGrep.exe" /spath="%USERPROFILE%\AppData\Local\Temp\OnboardLogs" /stypes="app*4010*20161208*" /stext=" 03:.+((SYSTEM_STATE.+slice.+state.+changed )|(ment ac)|(multiple cpu faults)|(system.+state.+changed )|(\[timeout)|(PRM\|1\|D)|(kpr)|(kdp)|(\|lc)|(penalty))" /e /r /s</v>
      </c>
      <c r="AG134" s="1" t="str">
        <f t="shared" si="39"/>
        <v>EC</v>
      </c>
      <c r="AH134" s="92" t="str">
        <f t="shared" si="26"/>
        <v>"%USERPROFILE%\Documents\GitHub\eaglep3\Utilities\RefineRTDCRunTimes.py" --tripid 220-07 --locoid 4010 --swversion DE.1.0.8.0 --startMP 204:233000 --initTime 2016-12-07T19:21:24 --startdatetime 2016-12-07T19:26:26 --delay 3 --endMP 204:134 --enddatetime 2016-12-07T20:03:57 --enforcementcount 0 &gt;&gt;C:\Users\stu\Documents\GitHub\eaglep3-reporting\EC\2016-12-07-refined-times.txt</v>
      </c>
      <c r="AI134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{"issue":{"subject":"","project_id":79,"tracker_id":40,"status_id":1,"priority_id":2,"assigned_to_id":23,"start_date":"2016-12-07","description":"","custom_fields":[{"id":1,"name":"Subdivision","value":"EC"},{"id":4,"name":"Milepost","value":"0.0134"},{"id":17,"name":"Train ID","value":"220-07"},{"id":16,"name":"Locomotive ID","value":"4010"},{"id":130,"name":"Impact","value":""},{"id":150,"name":"Time of Event (Mountain Time)","value":"20:03:57"},{"id":151,"name":"Denver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472</v>
      </c>
      <c r="B135" s="7">
        <v>4044</v>
      </c>
      <c r="C135" s="22" t="s">
        <v>207</v>
      </c>
      <c r="D135" s="22" t="s">
        <v>422</v>
      </c>
      <c r="E135" s="13">
        <v>42711.787048611113</v>
      </c>
      <c r="F135" s="13">
        <v>42711.792071759257</v>
      </c>
      <c r="G135" s="7">
        <v>1</v>
      </c>
      <c r="H135" s="22" t="s">
        <v>320</v>
      </c>
      <c r="I135" s="13">
        <v>42711.816516203704</v>
      </c>
      <c r="J135" s="7">
        <v>0</v>
      </c>
      <c r="K135" s="109" t="str">
        <f t="shared" si="28"/>
        <v>4043/4044</v>
      </c>
      <c r="L135" s="22" t="str">
        <f>VLOOKUP(A135,'Trips&amp;Operators'!$C$1:$G$99999,5,FALSE)</f>
        <v>STAMBAUGH JAMES</v>
      </c>
      <c r="M135" s="6">
        <f t="shared" si="29"/>
        <v>2.4444444446999114E-2</v>
      </c>
      <c r="N135" s="7">
        <f t="shared" si="49"/>
        <v>35.200000003678724</v>
      </c>
      <c r="O135" s="7"/>
      <c r="P135" s="7"/>
      <c r="Q135" s="23"/>
      <c r="R135" s="23"/>
      <c r="S135" s="35">
        <f t="shared" si="44"/>
        <v>1</v>
      </c>
      <c r="T135" s="50" t="str">
        <f t="shared" si="30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17:53:21-700',mode:absolute,to:'2016-12-07 20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5" s="52" t="str">
        <f t="shared" si="32"/>
        <v>N</v>
      </c>
      <c r="X135" s="177">
        <f t="shared" si="50"/>
        <v>1</v>
      </c>
      <c r="Y135" s="67">
        <f t="shared" si="33"/>
        <v>4.3499999999999997E-2</v>
      </c>
      <c r="Z135" s="67">
        <f t="shared" si="34"/>
        <v>23.330400000000001</v>
      </c>
      <c r="AA135" s="67">
        <f t="shared" si="35"/>
        <v>23.286899999999999</v>
      </c>
      <c r="AB135" s="64" t="str">
        <f>VLOOKUP(A135,Enforcements!$C$7:$K$20,8,0)</f>
        <v>Signal based authority (5)</v>
      </c>
      <c r="AC135" s="60" t="str">
        <f>VLOOKUP(A135,Enforcements!$C$7:$E$20,3,0)</f>
        <v>SIGNAL</v>
      </c>
      <c r="AD135" s="61" t="str">
        <f t="shared" si="36"/>
        <v>0221-07</v>
      </c>
      <c r="AE135" s="91" t="str">
        <f t="shared" si="37"/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135" s="88" t="str">
        <f t="shared" si="38"/>
        <v>"C:\Program Files (x86)\AstroGrep\AstroGrep.exe" /spath="%USERPROFILE%\AppData\Local\Temp\OnboardLogs" /stypes="app*4044*20161208*" /stext=" 02:.+((SYSTEM_STATE.+slice.+state.+changed )|(ment ac)|(multiple cpu faults)|(system.+state.+changed )|(\[timeout)|(PRM\|1\|D)|(kpr)|(kdp)|(\|lc)|(penalty))" /e /r /s</v>
      </c>
      <c r="AG135" s="1" t="str">
        <f t="shared" si="39"/>
        <v>EC</v>
      </c>
      <c r="AH135" s="92" t="str">
        <f t="shared" si="26"/>
        <v>"%USERPROFILE%\Documents\GitHub\eaglep3\Utilities\RefineRTDCRunTimes.py" --tripid 221-07 --locoid 4044 --swversion DE.1.0.8.0 --startMP 204:435 --initTime 2016-12-07T18:53:21 --startdatetime 2016-12-07T19:00:35 --delay 1 --endMP 204:233304 --enddatetime 2016-12-07T19:35:47 --enforcementcount 0 &gt;&gt;C:\Users\stu\Documents\GitHub\eaglep3-reporting\EC\2016-12-07-refined-times.txt</v>
      </c>
      <c r="AI135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{"issue":{"subject":"","project_id":79,"tracker_id":40,"status_id":1,"priority_id":2,"assigned_to_id":23,"start_date":"2016-12-07","description":"","custom_fields":[{"id":1,"name":"Subdivision","value":"EC"},{"id":4,"name":"Milepost","value":"23.3304"},{"id":17,"name":"Train ID","value":"221-07"},{"id":16,"name":"Locomotive ID","value":"4044"},{"id":130,"name":"Impact","value":""},{"id":150,"name":"Time of Event (Mountain Time)","value":"19:35:47"},{"id":151,"name":"Denver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642</v>
      </c>
      <c r="B136" s="7">
        <v>4043</v>
      </c>
      <c r="C136" s="22" t="s">
        <v>207</v>
      </c>
      <c r="D136" s="22" t="s">
        <v>712</v>
      </c>
      <c r="E136" s="13">
        <v>42711.826365740744</v>
      </c>
      <c r="F136" s="13">
        <v>42711.831018518518</v>
      </c>
      <c r="G136" s="7">
        <v>1</v>
      </c>
      <c r="H136" s="22" t="s">
        <v>734</v>
      </c>
      <c r="I136" s="13">
        <v>42711.85628472222</v>
      </c>
      <c r="J136" s="7">
        <v>0</v>
      </c>
      <c r="K136" s="109" t="str">
        <f t="shared" si="28"/>
        <v>4043/4044</v>
      </c>
      <c r="L136" s="22" t="str">
        <f>VLOOKUP(A136,'Trips&amp;Operators'!$C$1:$G$99999,5,FALSE)</f>
        <v>STAMBAUGH JAMES</v>
      </c>
      <c r="M136" s="6">
        <f t="shared" si="29"/>
        <v>2.5266203701903578E-2</v>
      </c>
      <c r="N136" s="7">
        <f t="shared" si="49"/>
        <v>36.383333330741152</v>
      </c>
      <c r="O136" s="7"/>
      <c r="P136" s="7"/>
      <c r="Q136" s="23"/>
      <c r="R136" s="23"/>
      <c r="S136" s="35">
        <f t="shared" si="44"/>
        <v>1</v>
      </c>
      <c r="T136" s="50" t="str">
        <f t="shared" si="30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18:49:58-700',mode:absolute,to:'2016-12-07 21:33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6" s="52" t="str">
        <f t="shared" si="32"/>
        <v>N</v>
      </c>
      <c r="X136" s="177">
        <f t="shared" si="50"/>
        <v>1</v>
      </c>
      <c r="Y136" s="67">
        <f t="shared" si="33"/>
        <v>23.298100000000002</v>
      </c>
      <c r="Z136" s="67">
        <f t="shared" si="34"/>
        <v>1.8700000000000001E-2</v>
      </c>
      <c r="AA136" s="67">
        <f t="shared" si="35"/>
        <v>23.279400000000003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36"/>
        <v>0222-07</v>
      </c>
      <c r="AE136" s="91" t="str">
        <f t="shared" si="37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136" s="88" t="str">
        <f t="shared" si="38"/>
        <v>"C:\Program Files (x86)\AstroGrep\AstroGrep.exe" /spath="%USERPROFILE%\AppData\Local\Temp\OnboardLogs" /stypes="app*4043*20161208*" /stext=" 03:.+((SYSTEM_STATE.+slice.+state.+changed )|(ment ac)|(multiple cpu faults)|(system.+state.+changed )|(\[timeout)|(PRM\|1\|D)|(kpr)|(kdp)|(\|lc)|(penalty))" /e /r /s</v>
      </c>
      <c r="AG136" s="1" t="str">
        <f t="shared" si="39"/>
        <v>EC</v>
      </c>
      <c r="AH136" s="92" t="str">
        <f t="shared" si="26"/>
        <v>"%USERPROFILE%\Documents\GitHub\eaglep3\Utilities\RefineRTDCRunTimes.py" --tripid 222-07 --locoid 4043 --swversion DE.1.0.8.0 --startMP 204:232981 --initTime 2016-12-07T19:49:58 --startdatetime 2016-12-07T19:56:40 --delay 1 --endMP 204:187 --enddatetime 2016-12-07T20:33:03 --enforcementcount 0 &gt;&gt;C:\Users\stu\Documents\GitHub\eaglep3-reporting\EC\2016-12-07-refined-times.txt</v>
      </c>
      <c r="AI136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{"issue":{"subject":"","project_id":79,"tracker_id":40,"status_id":1,"priority_id":2,"assigned_to_id":23,"start_date":"2016-12-07","description":"","custom_fields":[{"id":1,"name":"Subdivision","value":"EC"},{"id":4,"name":"Milepost","value":"0.0187"},{"id":17,"name":"Train ID","value":"222-07"},{"id":16,"name":"Locomotive ID","value":"4043"},{"id":130,"name":"Impact","value":""},{"id":150,"name":"Time of Event (Mountain Time)","value":"20:33:03"},{"id":151,"name":"Denver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640</v>
      </c>
      <c r="B137" s="7">
        <v>4016</v>
      </c>
      <c r="C137" s="22" t="s">
        <v>207</v>
      </c>
      <c r="D137" s="22" t="s">
        <v>323</v>
      </c>
      <c r="E137" s="13">
        <v>42711.809363425928</v>
      </c>
      <c r="F137" s="13">
        <v>42711.812743055554</v>
      </c>
      <c r="G137" s="7">
        <v>1</v>
      </c>
      <c r="H137" s="22" t="s">
        <v>312</v>
      </c>
      <c r="I137" s="13">
        <v>42711.837152777778</v>
      </c>
      <c r="J137" s="7">
        <v>0</v>
      </c>
      <c r="K137" s="109" t="str">
        <f t="shared" si="28"/>
        <v>4015/4016</v>
      </c>
      <c r="L137" s="22" t="str">
        <f>VLOOKUP(A137,'Trips&amp;Operators'!$C$1:$G$99999,5,FALSE)</f>
        <v>YANAI IAN</v>
      </c>
      <c r="M137" s="6">
        <f t="shared" si="29"/>
        <v>2.4409722223936114E-2</v>
      </c>
      <c r="N137" s="7">
        <f t="shared" si="49"/>
        <v>35.150000002468005</v>
      </c>
      <c r="O137" s="7"/>
      <c r="P137" s="7"/>
      <c r="Q137" s="23"/>
      <c r="R137" s="23"/>
      <c r="S137" s="35">
        <f t="shared" si="44"/>
        <v>1</v>
      </c>
      <c r="T137" s="50" t="str">
        <f t="shared" si="30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18:25:29-700',mode:absolute,to:'2016-12-07 21:05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37" s="52" t="str">
        <f t="shared" si="32"/>
        <v>N</v>
      </c>
      <c r="X137" s="177">
        <f t="shared" si="50"/>
        <v>1</v>
      </c>
      <c r="Y137" s="67">
        <f t="shared" si="33"/>
        <v>4.6399999999999997E-2</v>
      </c>
      <c r="Z137" s="67">
        <f t="shared" si="34"/>
        <v>23.331499999999998</v>
      </c>
      <c r="AA137" s="67">
        <f t="shared" si="35"/>
        <v>23.2851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36"/>
        <v>0223-07</v>
      </c>
      <c r="AE137" s="91" t="str">
        <f t="shared" si="37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137" s="88" t="str">
        <f t="shared" si="38"/>
        <v>"C:\Program Files (x86)\AstroGrep\AstroGrep.exe" /spath="%USERPROFILE%\AppData\Local\Temp\OnboardLogs" /stypes="app*4016*20161208*" /stext=" 03:.+((SYSTEM_STATE.+slice.+state.+changed )|(ment ac)|(multiple cpu faults)|(system.+state.+changed )|(\[timeout)|(PRM\|1\|D)|(kpr)|(kdp)|(\|lc)|(penalty))" /e /r /s</v>
      </c>
      <c r="AG137" s="1" t="str">
        <f t="shared" si="39"/>
        <v>EC</v>
      </c>
      <c r="AH137" s="92" t="str">
        <f t="shared" si="26"/>
        <v>"%USERPROFILE%\Documents\GitHub\eaglep3\Utilities\RefineRTDCRunTimes.py" --tripid 223-07 --locoid 4016 --swversion DE.1.0.8.0 --startMP 204:464 --initTime 2016-12-07T19:25:29 --startdatetime 2016-12-07T19:30:21 --delay 1 --endMP 204:233315 --enddatetime 2016-12-07T20:05:30 --enforcementcount 0 &gt;&gt;C:\Users\stu\Documents\GitHub\eaglep3-reporting\EC\2016-12-07-refined-times.txt</v>
      </c>
      <c r="AI137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{"issue":{"subject":"","project_id":79,"tracker_id":40,"status_id":1,"priority_id":2,"assigned_to_id":23,"start_date":"2016-12-07","description":"","custom_fields":[{"id":1,"name":"Subdivision","value":"EC"},{"id":4,"name":"Milepost","value":"23.3315"},{"id":17,"name":"Train ID","value":"223-07"},{"id":16,"name":"Locomotive ID","value":"4016"},{"id":130,"name":"Impact","value":""},{"id":150,"name":"Time of Event (Mountain Time)","value":"20:05:30"},{"id":151,"name":"Denver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644</v>
      </c>
      <c r="B138" s="7">
        <v>4015</v>
      </c>
      <c r="C138" s="22" t="s">
        <v>207</v>
      </c>
      <c r="D138" s="22" t="s">
        <v>405</v>
      </c>
      <c r="E138" s="13">
        <v>42711.838564814818</v>
      </c>
      <c r="F138" s="13">
        <v>42711.8515625</v>
      </c>
      <c r="G138" s="7">
        <v>1</v>
      </c>
      <c r="H138" s="22" t="s">
        <v>407</v>
      </c>
      <c r="I138" s="13">
        <v>42711.877349537041</v>
      </c>
      <c r="J138" s="7">
        <v>0</v>
      </c>
      <c r="K138" s="109" t="str">
        <f t="shared" si="28"/>
        <v>4015/4016</v>
      </c>
      <c r="L138" s="22" t="str">
        <f>VLOOKUP(A138,'Trips&amp;Operators'!$C$1:$G$99999,5,FALSE)</f>
        <v>YANAI IAN</v>
      </c>
      <c r="M138" s="6">
        <f t="shared" si="29"/>
        <v>2.5787037040572613E-2</v>
      </c>
      <c r="N138" s="7">
        <f t="shared" si="49"/>
        <v>37.133333338424563</v>
      </c>
      <c r="O138" s="7"/>
      <c r="P138" s="7"/>
      <c r="Q138" s="23"/>
      <c r="R138" s="23"/>
      <c r="S138" s="35">
        <f t="shared" si="44"/>
        <v>1</v>
      </c>
      <c r="T138" s="50" t="str">
        <f t="shared" si="30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19:07:32-700',mode:absolute,to:'2016-12-07 22:03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38" s="52" t="str">
        <f t="shared" si="32"/>
        <v>N</v>
      </c>
      <c r="X138" s="177">
        <f t="shared" si="50"/>
        <v>1</v>
      </c>
      <c r="Y138" s="67">
        <f t="shared" si="33"/>
        <v>23.299800000000001</v>
      </c>
      <c r="Z138" s="67">
        <f t="shared" si="34"/>
        <v>1.7000000000000001E-2</v>
      </c>
      <c r="AA138" s="67">
        <f t="shared" si="35"/>
        <v>23.282800000000002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36"/>
        <v>0224-07</v>
      </c>
      <c r="AE138" s="91" t="str">
        <f t="shared" si="37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138" s="88" t="str">
        <f t="shared" si="38"/>
        <v>"C:\Program Files (x86)\AstroGrep\AstroGrep.exe" /spath="%USERPROFILE%\AppData\Local\Temp\OnboardLogs" /stypes="app*4015*20161208*" /stext=" 04:.+((SYSTEM_STATE.+slice.+state.+changed )|(ment ac)|(multiple cpu faults)|(system.+state.+changed )|(\[timeout)|(PRM\|1\|D)|(kpr)|(kdp)|(\|lc)|(penalty))" /e /r /s</v>
      </c>
      <c r="AG138" s="1" t="str">
        <f t="shared" si="39"/>
        <v>EC</v>
      </c>
      <c r="AH138" s="92" t="str">
        <f t="shared" si="26"/>
        <v>"%USERPROFILE%\Documents\GitHub\eaglep3\Utilities\RefineRTDCRunTimes.py" --tripid 224-07 --locoid 4015 --swversion DE.1.0.8.0 --startMP 204:232998 --initTime 2016-12-07T20:07:32 --startdatetime 2016-12-07T20:26:15 --delay 1 --endMP 204:170 --enddatetime 2016-12-07T21:03:23 --enforcementcount 0 &gt;&gt;C:\Users\stu\Documents\GitHub\eaglep3-reporting\EC\2016-12-07-refined-times.txt</v>
      </c>
      <c r="AI138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{"issue":{"subject":"","project_id":79,"tracker_id":40,"status_id":1,"priority_id":2,"assigned_to_id":23,"start_date":"2016-12-07","description":"","custom_fields":[{"id":1,"name":"Subdivision","value":"EC"},{"id":4,"name":"Milepost","value":"0.017"},{"id":17,"name":"Train ID","value":"224-07"},{"id":16,"name":"Locomotive ID","value":"4015"},{"id":130,"name":"Impact","value":""},{"id":150,"name":"Time of Event (Mountain Time)","value":"21:03:23"},{"id":151,"name":"Denver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1" customFormat="1" x14ac:dyDescent="0.25">
      <c r="A139" s="37" t="s">
        <v>643</v>
      </c>
      <c r="B139" s="7">
        <v>4031</v>
      </c>
      <c r="C139" s="22" t="s">
        <v>207</v>
      </c>
      <c r="D139" s="22" t="s">
        <v>195</v>
      </c>
      <c r="E139" s="13">
        <v>42711.830706018518</v>
      </c>
      <c r="F139" s="13">
        <v>42711.833518518521</v>
      </c>
      <c r="G139" s="7">
        <v>1</v>
      </c>
      <c r="H139" s="22" t="s">
        <v>735</v>
      </c>
      <c r="I139" s="13">
        <v>42711.858425925922</v>
      </c>
      <c r="J139" s="7">
        <v>0</v>
      </c>
      <c r="K139" s="109" t="str">
        <f t="shared" si="28"/>
        <v>4031/4032</v>
      </c>
      <c r="L139" s="22" t="str">
        <f>VLOOKUP(A139,'Trips&amp;Operators'!$C$1:$G$99999,5,FALSE)</f>
        <v>LEVIN SCOTT</v>
      </c>
      <c r="M139" s="6">
        <f t="shared" si="29"/>
        <v>2.4907407401769888E-2</v>
      </c>
      <c r="N139" s="7">
        <f t="shared" si="49"/>
        <v>35.866666658548638</v>
      </c>
      <c r="O139" s="7"/>
      <c r="P139" s="7"/>
      <c r="Q139" s="23"/>
      <c r="R139" s="23"/>
      <c r="S139" s="35">
        <f t="shared" si="44"/>
        <v>1</v>
      </c>
      <c r="T139" s="50" t="str">
        <f t="shared" si="30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18:56:13-700',mode:absolute,to:'2016-12-07 21:36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39" s="52" t="str">
        <f t="shared" si="32"/>
        <v>N</v>
      </c>
      <c r="X139" s="177">
        <f t="shared" si="50"/>
        <v>1</v>
      </c>
      <c r="Y139" s="67">
        <f t="shared" si="33"/>
        <v>4.5100000000000001E-2</v>
      </c>
      <c r="Z139" s="67">
        <f t="shared" si="34"/>
        <v>23.337599999999998</v>
      </c>
      <c r="AA139" s="67">
        <f t="shared" si="35"/>
        <v>23.292499999999997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36"/>
        <v>0225-07</v>
      </c>
      <c r="AE139" s="91" t="str">
        <f t="shared" si="37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139" s="88" t="str">
        <f t="shared" si="38"/>
        <v>"C:\Program Files (x86)\AstroGrep\AstroGrep.exe" /spath="%USERPROFILE%\AppData\Local\Temp\OnboardLogs" /stypes="app*4031*20161208*" /stext=" 03:.+((SYSTEM_STATE.+slice.+state.+changed )|(ment ac)|(multiple cpu faults)|(system.+state.+changed )|(\[timeout)|(PRM\|1\|D)|(kpr)|(kdp)|(\|lc)|(penalty))" /e /r /s</v>
      </c>
      <c r="AG139" s="1" t="str">
        <f t="shared" si="39"/>
        <v>EC</v>
      </c>
      <c r="AH139" s="92" t="str">
        <f t="shared" si="26"/>
        <v>"%USERPROFILE%\Documents\GitHub\eaglep3\Utilities\RefineRTDCRunTimes.py" --tripid 225-07 --locoid 4031 --swversion DE.1.0.8.0 --startMP 204:451 --initTime 2016-12-07T19:56:13 --startdatetime 2016-12-07T20:00:16 --delay 1 --endMP 204:233376 --enddatetime 2016-12-07T20:36:08 --enforcementcount 0 &gt;&gt;C:\Users\stu\Documents\GitHub\eaglep3-reporting\EC\2016-12-07-refined-times.txt</v>
      </c>
      <c r="AI139" s="119" t="str">
        <f t="shared" si="27"/>
        <v>echo {"issue":{"subject":"","project_id":79,"tracker_id":40,"status_id":1,"priority_id":2,"assigned_to_id":23,"start_date":"2016-12-07","description":"","custom_fields":[{"id":1,"name":"Subdivision","value":"EC"},{"id":4,"name":"Milepost","value":"23.3376"},{"id":17,"name":"Train ID","value":"225-07"},{"id":16,"name":"Locomotive ID","value":"4031"},{"id":130,"name":"Impact","value":""},{"id":150,"name":"Time of Event (Mountain Time)","value":"20:36:08"},{"id":151,"name":"Denver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1" customFormat="1" x14ac:dyDescent="0.25">
      <c r="A140" s="37" t="s">
        <v>650</v>
      </c>
      <c r="B140" s="7">
        <v>4032</v>
      </c>
      <c r="C140" s="22" t="s">
        <v>207</v>
      </c>
      <c r="D140" s="22" t="s">
        <v>736</v>
      </c>
      <c r="E140" s="13">
        <v>42711.868425925924</v>
      </c>
      <c r="F140" s="13">
        <v>42711.872395833336</v>
      </c>
      <c r="G140" s="7">
        <v>1</v>
      </c>
      <c r="H140" s="22" t="s">
        <v>192</v>
      </c>
      <c r="I140" s="13">
        <v>42711.8984837963</v>
      </c>
      <c r="J140" s="7">
        <v>0</v>
      </c>
      <c r="K140" s="109" t="str">
        <f t="shared" si="28"/>
        <v>4031/4032</v>
      </c>
      <c r="L140" s="22" t="str">
        <f>VLOOKUP(A140,'Trips&amp;Operators'!$C$1:$G$99999,5,FALSE)</f>
        <v>LEVIN SCOTT</v>
      </c>
      <c r="M140" s="6">
        <f t="shared" si="29"/>
        <v>2.6087962964083999E-2</v>
      </c>
      <c r="N140" s="7">
        <f t="shared" si="49"/>
        <v>37.566666668280959</v>
      </c>
      <c r="O140" s="7"/>
      <c r="P140" s="7"/>
      <c r="Q140" s="23"/>
      <c r="R140" s="23"/>
      <c r="S140" s="35">
        <f t="shared" si="44"/>
        <v>1</v>
      </c>
      <c r="T140" s="50" t="str">
        <f t="shared" si="30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31"/>
        <v>https://search-rtdc-monitor-bjffxe2xuh6vdkpspy63sjmuny.us-east-1.es.amazonaws.com/_plugin/kibana/#/discover/Steve-Slow-Train-Analysis-(2080s-and-2083s)?_g=(refreshInterval:(display:Off,section:0,value:0),time:(from:'2016-12-07 19:50:32-700',mode:absolute,to:'2016-12-07 22:33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0" s="52" t="str">
        <f t="shared" si="32"/>
        <v>N</v>
      </c>
      <c r="X140" s="177">
        <f t="shared" si="50"/>
        <v>1</v>
      </c>
      <c r="Y140" s="67">
        <f t="shared" si="33"/>
        <v>23.3049</v>
      </c>
      <c r="Z140" s="67">
        <f t="shared" si="34"/>
        <v>1.49E-2</v>
      </c>
      <c r="AA140" s="67">
        <f t="shared" si="35"/>
        <v>23.29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36"/>
        <v>0226-07</v>
      </c>
      <c r="AE140" s="91" t="str">
        <f t="shared" si="37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140" s="88" t="str">
        <f t="shared" si="38"/>
        <v>"C:\Program Files (x86)\AstroGrep\AstroGrep.exe" /spath="%USERPROFILE%\AppData\Local\Temp\OnboardLogs" /stypes="app*4032*20161208*" /stext=" 04:.+((SYSTEM_STATE.+slice.+state.+changed )|(ment ac)|(multiple cpu faults)|(system.+state.+changed )|(\[timeout)|(PRM\|1\|D)|(kpr)|(kdp)|(\|lc)|(penalty))" /e /r /s</v>
      </c>
      <c r="AG140" s="1" t="str">
        <f t="shared" si="39"/>
        <v>EC</v>
      </c>
      <c r="AH140" s="92" t="str">
        <f t="shared" ref="AH140:AH204" si="51">refinertdcruntimes&amp;" --tripid "&amp;A140&amp;" --locoid "&amp;B140&amp;" --swversion "&amp;C140&amp;" --startMP "&amp;D140&amp;" --initTime "&amp;TEXT(E140,"yyyy-mm-ddTHH:MM:SS")&amp;" --startdatetime "&amp;TEXT(F140,"yyyy-mm-ddTHH:MM:SS")&amp;" --delay "&amp;G140&amp;" --endMP "&amp;H140&amp;" --enddatetime "&amp;TEXT(I140,"yyyy-mm-ddTHH:MM:SS")&amp;" --enforcementcount "&amp;J140&amp;IF(outputrefinedruntimes," &gt;&gt;"&amp;RefinedRTDCRunTimesOutputFile,"")</f>
        <v>"%USERPROFILE%\Documents\GitHub\eaglep3\Utilities\RefineRTDCRunTimes.py" --tripid 226-07 --locoid 4032 --swversion DE.1.0.8.0 --startMP 204:233049 --initTime 2016-12-07T20:50:32 --startdatetime 2016-12-07T20:56:15 --delay 1 --endMP 204:149 --enddatetime 2016-12-07T21:33:49 --enforcementcount 0 &gt;&gt;C:\Users\stu\Documents\GitHub\eaglep3-reporting\EC\2016-12-07-refined-times.txt</v>
      </c>
      <c r="AI140" s="119" t="str">
        <f t="shared" ref="AI140:AI204" si="52">"echo {""issue"":{""subject"":"""&amp;R140&amp;""",""project_id"":79,""tracker_id"":40,""status_id"":"&amp;redmine_status&amp;",""priority_id"":"&amp;redmine_priority&amp;",""assigned_to_id"":"&amp;redmine_assignee&amp;",""start_date"":"""&amp;TEXT(I140,"YYYY-mm-dd")&amp;""",""description"":"""&amp;AJ140&amp;""",""custom_fields"":[{""id"":1,""name"":""Subdivision"",""value"":"""&amp;AG140&amp;"""},{""id"":4,""name"":""Milepost"",""value"":"""&amp;Z140&amp;"""},{""id"":17,""name"":""Train ID"",""value"":"""&amp;A140&amp;"""},{""id"":16,""name"":""Locomotive ID"",""value"":"""&amp;B140&amp;"""},{""id"":130,""name"":""Impact"",""value"":"""&amp;AK140&amp;"""},{""id"":150,""name"":""Time of Event (Mountain Time)"",""value"":"""&amp;TEXT(I140,"hh:mm:ss")&amp;"""},{""id"":151,""name"":""Denver Issue ID"",""value"":"""&amp;"""},{""id"":178,""name"":""Operational Impact"",""value"":"""&amp;redmine_op_impact&amp;"""},{""id"":179,""name"":""Denver Segment Assigned"",""value"":"""&amp;AL140&amp;"""}]}}"&amp;"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{"issue":{"subject":"","project_id":79,"tracker_id":40,"status_id":1,"priority_id":2,"assigned_to_id":23,"start_date":"2016-12-07","description":"","custom_fields":[{"id":1,"name":"Subdivision","value":"EC"},{"id":4,"name":"Milepost","value":"0.0149"},{"id":17,"name":"Train ID","value":"226-07"},{"id":16,"name":"Locomotive ID","value":"4032"},{"id":130,"name":"Impact","value":""},{"id":150,"name":"Time of Event (Mountain Time)","value":"21:33:49"},{"id":151,"name":"Denver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1" customFormat="1" x14ac:dyDescent="0.25">
      <c r="A141" s="37" t="s">
        <v>648</v>
      </c>
      <c r="B141" s="7">
        <v>4009</v>
      </c>
      <c r="C141" s="22" t="s">
        <v>207</v>
      </c>
      <c r="D141" s="22" t="s">
        <v>408</v>
      </c>
      <c r="E141" s="13">
        <v>42711.851041666669</v>
      </c>
      <c r="F141" s="13">
        <v>42711.854502314818</v>
      </c>
      <c r="G141" s="7">
        <v>1</v>
      </c>
      <c r="H141" s="22" t="s">
        <v>737</v>
      </c>
      <c r="I141" s="13">
        <v>42711.879606481481</v>
      </c>
      <c r="J141" s="7">
        <v>0</v>
      </c>
      <c r="K141" s="109" t="str">
        <f t="shared" ref="K141:K204" si="53">IF(ISEVEN(B141),(B141-1)&amp;"/"&amp;B141,B141&amp;"/"&amp;(B141+1))</f>
        <v>4009/4010</v>
      </c>
      <c r="L141" s="22" t="str">
        <f>VLOOKUP(A141,'Trips&amp;Operators'!$C$1:$G$99999,5,FALSE)</f>
        <v>COOLAHAN JOHN</v>
      </c>
      <c r="M141" s="6">
        <f t="shared" ref="M141:M204" si="54">I141-F141</f>
        <v>2.5104166663368233E-2</v>
      </c>
      <c r="N141" s="7">
        <f t="shared" si="49"/>
        <v>36.149999995250255</v>
      </c>
      <c r="O141" s="7"/>
      <c r="P141" s="7"/>
      <c r="Q141" s="23"/>
      <c r="R141" s="23"/>
      <c r="S141" s="35">
        <f t="shared" si="44"/>
        <v>1</v>
      </c>
      <c r="T141" s="50" t="str">
        <f t="shared" ref="T141:T204" si="55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56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https://search-rtdc-monitor-bjffxe2xuh6vdkpspy63sjmuny.us-east-1.es.amazonaws.com/_plugin/kibana/#/discover/Steve-Slow-Train-Analysis-(2080s-and-2083s)?_g=(refreshInterval:(display:Off,section:0,value:0),time:(from:'2016-12-07 19:25:30-700',mode:absolute,to:'2016-12-07 22:06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1" s="52" t="str">
        <f t="shared" ref="W141:W204" si="57">IF(AA141&lt;IF(AG141="EC",23,5.65),"Y","N")</f>
        <v>N</v>
      </c>
      <c r="X141" s="177">
        <f t="shared" si="50"/>
        <v>1</v>
      </c>
      <c r="Y141" s="67">
        <f t="shared" ref="Y141:Y204" si="58">RIGHT(D141,LEN(D141)-4)/10000</f>
        <v>4.2900000000000001E-2</v>
      </c>
      <c r="Z141" s="67">
        <f t="shared" ref="Z141:Z204" si="59">RIGHT(H141,LEN(H141)-4)/10000</f>
        <v>23.334599999999998</v>
      </c>
      <c r="AA141" s="67">
        <f t="shared" ref="AA141:AA204" si="60">ABS(Z141-Y141)</f>
        <v>23.291699999999999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ref="AD141:AD204" si="61">IF(LEN(A141)=6,"0"&amp;A141,A141)</f>
        <v>0227-07</v>
      </c>
      <c r="AE141" s="91" t="str">
        <f t="shared" ref="AE141:AE204" si="62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141" s="88" t="str">
        <f t="shared" ref="AF141:AF204" si="63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/stypes="app*4009*20161208*" /stext=" 04:.+((SYSTEM_STATE.+slice.+state.+changed )|(ment ac)|(multiple cpu faults)|(system.+state.+changed )|(\[timeout)|(PRM\|1\|D)|(kpr)|(kdp)|(\|lc)|(penalty))" /e /r /s</v>
      </c>
      <c r="AG141" s="1" t="str">
        <f t="shared" ref="AG141:AG204" si="64">IFERROR(IF(VALUE(LEFT(AD141,2))&lt;=2,"EC",IF(OR(VALUE(LEFT(AD141,2))=8,VALUE(LEFT(AD141,2))=18),"NW","Other")),"Other")</f>
        <v>EC</v>
      </c>
      <c r="AH141" s="92" t="str">
        <f t="shared" si="51"/>
        <v>"%USERPROFILE%\Documents\GitHub\eaglep3\Utilities\RefineRTDCRunTimes.py" --tripid 227-07 --locoid 4009 --swversion DE.1.0.8.0 --startMP 204:429 --initTime 2016-12-07T20:25:30 --startdatetime 2016-12-07T20:30:29 --delay 1 --endMP 204:233346 --enddatetime 2016-12-07T21:06:38 --enforcementcount 0 &gt;&gt;C:\Users\stu\Documents\GitHub\eaglep3-reporting\EC\2016-12-07-refined-times.txt</v>
      </c>
      <c r="AI141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{"issue":{"subject":"","project_id":79,"tracker_id":40,"status_id":1,"priority_id":2,"assigned_to_id":23,"start_date":"2016-12-07","description":"","custom_fields":[{"id":1,"name":"Subdivision","value":"EC"},{"id":4,"name":"Milepost","value":"23.3346"},{"id":17,"name":"Train ID","value":"227-07"},{"id":16,"name":"Locomotive ID","value":"4009"},{"id":130,"name":"Impact","value":""},{"id":150,"name":"Time of Event (Mountain Time)","value":"21:06:38"},{"id":151,"name":"Denver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1" customFormat="1" x14ac:dyDescent="0.25">
      <c r="A142" s="37" t="s">
        <v>654</v>
      </c>
      <c r="B142" s="7">
        <v>4010</v>
      </c>
      <c r="C142" s="22" t="s">
        <v>207</v>
      </c>
      <c r="D142" s="22" t="s">
        <v>738</v>
      </c>
      <c r="E142" s="13">
        <v>42711.888611111113</v>
      </c>
      <c r="F142" s="13">
        <v>42711.89340277778</v>
      </c>
      <c r="G142" s="7">
        <v>1</v>
      </c>
      <c r="H142" s="22" t="s">
        <v>697</v>
      </c>
      <c r="I142" s="13">
        <v>42711.919270833336</v>
      </c>
      <c r="J142" s="7">
        <v>0</v>
      </c>
      <c r="K142" s="109" t="str">
        <f t="shared" si="53"/>
        <v>4009/4010</v>
      </c>
      <c r="L142" s="22" t="str">
        <f>VLOOKUP(A142,'Trips&amp;Operators'!$C$1:$G$99999,5,FALSE)</f>
        <v>COOLAHAN JOHN</v>
      </c>
      <c r="M142" s="6">
        <f t="shared" si="54"/>
        <v>2.5868055556202307E-2</v>
      </c>
      <c r="N142" s="7">
        <f t="shared" si="49"/>
        <v>37.250000000931323</v>
      </c>
      <c r="O142" s="7"/>
      <c r="P142" s="7"/>
      <c r="Q142" s="23"/>
      <c r="R142" s="23"/>
      <c r="S142" s="35">
        <f t="shared" si="44"/>
        <v>1</v>
      </c>
      <c r="T142" s="50" t="str">
        <f t="shared" si="55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20:19:36-700',mode:absolute,to:'2016-12-07 23:03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42" s="52" t="str">
        <f t="shared" si="57"/>
        <v>N</v>
      </c>
      <c r="X142" s="177">
        <f t="shared" si="50"/>
        <v>1</v>
      </c>
      <c r="Y142" s="67">
        <f t="shared" si="58"/>
        <v>23.3017</v>
      </c>
      <c r="Z142" s="67">
        <f t="shared" si="59"/>
        <v>1.34E-2</v>
      </c>
      <c r="AA142" s="67">
        <f t="shared" si="60"/>
        <v>23.2883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61"/>
        <v>0228-07</v>
      </c>
      <c r="AE142" s="91" t="str">
        <f t="shared" si="62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142" s="88" t="str">
        <f t="shared" si="63"/>
        <v>"C:\Program Files (x86)\AstroGrep\AstroGrep.exe" /spath="%USERPROFILE%\AppData\Local\Temp\OnboardLogs" /stypes="app*4010*20161208*" /stext=" 05:.+((SYSTEM_STATE.+slice.+state.+changed )|(ment ac)|(multiple cpu faults)|(system.+state.+changed )|(\[timeout)|(PRM\|1\|D)|(kpr)|(kdp)|(\|lc)|(penalty))" /e /r /s</v>
      </c>
      <c r="AG142" s="1" t="str">
        <f t="shared" si="64"/>
        <v>EC</v>
      </c>
      <c r="AH142" s="92" t="str">
        <f t="shared" si="51"/>
        <v>"%USERPROFILE%\Documents\GitHub\eaglep3\Utilities\RefineRTDCRunTimes.py" --tripid 228-07 --locoid 4010 --swversion DE.1.0.8.0 --startMP 204:233017 --initTime 2016-12-07T21:19:36 --startdatetime 2016-12-07T21:26:30 --delay 1 --endMP 204:134 --enddatetime 2016-12-07T22:03:45 --enforcementcount 0 &gt;&gt;C:\Users\stu\Documents\GitHub\eaglep3-reporting\EC\2016-12-07-refined-times.txt</v>
      </c>
      <c r="AI142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{"issue":{"subject":"","project_id":79,"tracker_id":40,"status_id":1,"priority_id":2,"assigned_to_id":23,"start_date":"2016-12-07","description":"","custom_fields":[{"id":1,"name":"Subdivision","value":"EC"},{"id":4,"name":"Milepost","value":"0.0134"},{"id":17,"name":"Train ID","value":"228-07"},{"id":16,"name":"Locomotive ID","value":"4010"},{"id":130,"name":"Impact","value":""},{"id":150,"name":"Time of Event (Mountain Time)","value":"22:03:45"},{"id":151,"name":"Denver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1" customFormat="1" x14ac:dyDescent="0.25">
      <c r="A143" s="37" t="s">
        <v>649</v>
      </c>
      <c r="B143" s="7">
        <v>4044</v>
      </c>
      <c r="C143" s="22" t="s">
        <v>207</v>
      </c>
      <c r="D143" s="22" t="s">
        <v>243</v>
      </c>
      <c r="E143" s="13">
        <v>42711.859664351854</v>
      </c>
      <c r="F143" s="13">
        <v>42711.8752662037</v>
      </c>
      <c r="G143" s="7">
        <v>1</v>
      </c>
      <c r="H143" s="22" t="s">
        <v>253</v>
      </c>
      <c r="I143" s="13">
        <v>42711.899884259263</v>
      </c>
      <c r="J143" s="7">
        <v>0</v>
      </c>
      <c r="K143" s="109" t="str">
        <f t="shared" si="53"/>
        <v>4043/4044</v>
      </c>
      <c r="L143" s="22" t="str">
        <f>VLOOKUP(A143,'Trips&amp;Operators'!$C$1:$G$99999,5,FALSE)</f>
        <v>STAMBAUGH JAMES</v>
      </c>
      <c r="M143" s="6">
        <f t="shared" si="54"/>
        <v>2.4618055562314112E-2</v>
      </c>
      <c r="N143" s="7">
        <f t="shared" si="49"/>
        <v>35.450000009732321</v>
      </c>
      <c r="O143" s="7"/>
      <c r="P143" s="7"/>
      <c r="Q143" s="23"/>
      <c r="R143" s="23"/>
      <c r="S143" s="35">
        <f t="shared" si="44"/>
        <v>1</v>
      </c>
      <c r="T143" s="50" t="str">
        <f t="shared" si="55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19:37:55-700',mode:absolute,to:'2016-12-07 22:35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3" s="52" t="str">
        <f t="shared" si="57"/>
        <v>N</v>
      </c>
      <c r="X143" s="177">
        <f t="shared" si="50"/>
        <v>1</v>
      </c>
      <c r="Y143" s="67">
        <f t="shared" si="58"/>
        <v>4.7100000000000003E-2</v>
      </c>
      <c r="Z143" s="67">
        <f t="shared" si="59"/>
        <v>23.329799999999999</v>
      </c>
      <c r="AA143" s="67">
        <f t="shared" si="60"/>
        <v>23.282699999999998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61"/>
        <v>0229-07</v>
      </c>
      <c r="AE143" s="91" t="str">
        <f t="shared" si="62"/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143" s="88" t="str">
        <f t="shared" si="63"/>
        <v>"C:\Program Files (x86)\AstroGrep\AstroGrep.exe" /spath="%USERPROFILE%\AppData\Local\Temp\OnboardLogs" /stypes="app*4044*20161208*" /stext=" 04:.+((SYSTEM_STATE.+slice.+state.+changed )|(ment ac)|(multiple cpu faults)|(system.+state.+changed )|(\[timeout)|(PRM\|1\|D)|(kpr)|(kdp)|(\|lc)|(penalty))" /e /r /s</v>
      </c>
      <c r="AG143" s="1" t="str">
        <f t="shared" si="64"/>
        <v>EC</v>
      </c>
      <c r="AH143" s="92" t="str">
        <f t="shared" si="51"/>
        <v>"%USERPROFILE%\Documents\GitHub\eaglep3\Utilities\RefineRTDCRunTimes.py" --tripid 229-07 --locoid 4044 --swversion DE.1.0.8.0 --startMP 204:471 --initTime 2016-12-07T20:37:55 --startdatetime 2016-12-07T21:00:23 --delay 1 --endMP 204:233298 --enddatetime 2016-12-07T21:35:50 --enforcementcount 0 &gt;&gt;C:\Users\stu\Documents\GitHub\eaglep3-reporting\EC\2016-12-07-refined-times.txt</v>
      </c>
      <c r="AI143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{"issue":{"subject":"","project_id":79,"tracker_id":40,"status_id":1,"priority_id":2,"assigned_to_id":23,"start_date":"2016-12-07","description":"","custom_fields":[{"id":1,"name":"Subdivision","value":"EC"},{"id":4,"name":"Milepost","value":"23.3298"},{"id":17,"name":"Train ID","value":"229-07"},{"id":16,"name":"Locomotive ID","value":"4044"},{"id":130,"name":"Impact","value":""},{"id":150,"name":"Time of Event (Mountain Time)","value":"21:35:50"},{"id":151,"name":"Denver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656</v>
      </c>
      <c r="B144" s="7">
        <v>4043</v>
      </c>
      <c r="C144" s="22" t="s">
        <v>207</v>
      </c>
      <c r="D144" s="22" t="s">
        <v>234</v>
      </c>
      <c r="E144" s="13">
        <v>42711.910416666666</v>
      </c>
      <c r="F144" s="13">
        <v>42711.914490740739</v>
      </c>
      <c r="G144" s="7">
        <v>1</v>
      </c>
      <c r="H144" s="22" t="s">
        <v>739</v>
      </c>
      <c r="I144" s="13">
        <v>42711.936365740738</v>
      </c>
      <c r="J144" s="7">
        <v>0</v>
      </c>
      <c r="K144" s="109" t="str">
        <f t="shared" si="53"/>
        <v>4043/4044</v>
      </c>
      <c r="L144" s="22" t="str">
        <f>VLOOKUP(A144,'Trips&amp;Operators'!$C$1:$G$99999,5,FALSE)</f>
        <v>STAMBAUGH JAMES</v>
      </c>
      <c r="M144" s="6">
        <f t="shared" si="54"/>
        <v>2.1874999998544808E-2</v>
      </c>
      <c r="N144" s="7"/>
      <c r="O144" s="7"/>
      <c r="P144" s="7">
        <f>24*60*SUM($M144:$M144)</f>
        <v>31.499999997904524</v>
      </c>
      <c r="Q144" s="23"/>
      <c r="R144" s="23" t="s">
        <v>842</v>
      </c>
      <c r="S144" s="35">
        <f t="shared" si="44"/>
        <v>1</v>
      </c>
      <c r="T144" s="50" t="str">
        <f t="shared" si="55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20:51:00-700',mode:absolute,to:'2016-12-07 23:28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4" s="52" t="str">
        <f t="shared" si="57"/>
        <v>Y</v>
      </c>
      <c r="X144" s="177">
        <f t="shared" si="50"/>
        <v>1</v>
      </c>
      <c r="Y144" s="67">
        <f t="shared" si="58"/>
        <v>23.299299999999999</v>
      </c>
      <c r="Z144" s="67">
        <f t="shared" si="59"/>
        <v>1.8013999999999999</v>
      </c>
      <c r="AA144" s="67">
        <f t="shared" si="60"/>
        <v>21.497899999999998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61"/>
        <v>0230-07</v>
      </c>
      <c r="AE144" s="91" t="str">
        <f t="shared" si="62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144" s="88" t="str">
        <f t="shared" si="63"/>
        <v>"C:\Program Files (x86)\AstroGrep\AstroGrep.exe" /spath="%USERPROFILE%\AppData\Local\Temp\OnboardLogs" /stypes="app*4043*20161208*" /stext=" 05:.+((SYSTEM_STATE.+slice.+state.+changed )|(ment ac)|(multiple cpu faults)|(system.+state.+changed )|(\[timeout)|(PRM\|1\|D)|(kpr)|(kdp)|(\|lc)|(penalty))" /e /r /s</v>
      </c>
      <c r="AG144" s="1" t="str">
        <f t="shared" si="64"/>
        <v>EC</v>
      </c>
      <c r="AH144" s="92" t="str">
        <f t="shared" si="51"/>
        <v>"%USERPROFILE%\Documents\GitHub\eaglep3\Utilities\RefineRTDCRunTimes.py" --tripid 230-07 --locoid 4043 --swversion DE.1.0.8.0 --startMP 204:232993 --initTime 2016-12-07T21:51:00 --startdatetime 2016-12-07T21:56:52 --delay 1 --endMP 204:18014 --enddatetime 2016-12-07T22:28:22 --enforcementcount 0 &gt;&gt;C:\Users\stu\Documents\GitHub\eaglep3-reporting\EC\2016-12-07-refined-times.txt</v>
      </c>
      <c r="AI144" s="119" t="str">
        <f t="shared" si="52"/>
        <v>echo {"issue":{"subject":"Wi-MAX data drop","project_id":79,"tracker_id":40,"status_id":1,"priority_id":2,"assigned_to_id":23,"start_date":"2016-12-07","description":"http://stevetu21.github.io/eaglep3/load_kml.html?kml=http://rtdc.gmaps-snips.s3.amazonaws.com/9b45191c-4b05-4a86-bcdb-248ea101a940.kml","custom_fields":[{"id":1,"name":"Subdivision","value":"EC"},{"id":4,"name":"Milepost","value":"1.8014"},{"id":17,"name":"Train ID","value":"230-07"},{"id":16,"name":"Locomotive ID","value":"4043"},{"id":130,"name":"Impact","value":"Unexpected Cut-Out or Disengaged"},{"id":150,"name":"Time of Event (Mountain Time)","value":"22:28:22"},{"id":151,"name":"Denver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AJ144" s="183" t="s">
        <v>841</v>
      </c>
      <c r="AK144" s="53" t="s">
        <v>131</v>
      </c>
      <c r="AL144" s="53" t="s">
        <v>138</v>
      </c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x14ac:dyDescent="0.25">
      <c r="A145" s="37" t="s">
        <v>652</v>
      </c>
      <c r="B145" s="7">
        <v>4016</v>
      </c>
      <c r="C145" s="22" t="s">
        <v>207</v>
      </c>
      <c r="D145" s="22" t="s">
        <v>243</v>
      </c>
      <c r="E145" s="13">
        <v>42711.87908564815</v>
      </c>
      <c r="F145" s="13">
        <v>42711.896064814813</v>
      </c>
      <c r="G145" s="7">
        <v>1</v>
      </c>
      <c r="H145" s="22" t="s">
        <v>733</v>
      </c>
      <c r="I145" s="13">
        <v>42711.919872685183</v>
      </c>
      <c r="J145" s="7">
        <v>0</v>
      </c>
      <c r="K145" s="109" t="str">
        <f t="shared" si="53"/>
        <v>4015/4016</v>
      </c>
      <c r="L145" s="22" t="str">
        <f>VLOOKUP(A145,'Trips&amp;Operators'!$C$1:$G$99999,5,FALSE)</f>
        <v>YANAI IAN</v>
      </c>
      <c r="M145" s="6">
        <f t="shared" si="54"/>
        <v>2.3807870369637385E-2</v>
      </c>
      <c r="N145" s="7">
        <f t="shared" ref="N145:N156" si="65">24*60*SUM($M145:$M145)</f>
        <v>34.283333332277834</v>
      </c>
      <c r="O145" s="7"/>
      <c r="P145" s="7"/>
      <c r="Q145" s="23"/>
      <c r="R145" s="23"/>
      <c r="S145" s="35">
        <f t="shared" si="44"/>
        <v>1</v>
      </c>
      <c r="T145" s="50" t="str">
        <f t="shared" si="55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20:05:53-700',mode:absolute,to:'2016-12-07 23:04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45" s="52" t="str">
        <f t="shared" si="57"/>
        <v>N</v>
      </c>
      <c r="X145" s="177">
        <f t="shared" si="50"/>
        <v>1</v>
      </c>
      <c r="Y145" s="67">
        <f t="shared" si="58"/>
        <v>4.7100000000000003E-2</v>
      </c>
      <c r="Z145" s="67">
        <f t="shared" si="59"/>
        <v>23.3325</v>
      </c>
      <c r="AA145" s="67">
        <f t="shared" si="60"/>
        <v>23.285399999999999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61"/>
        <v>0231-07</v>
      </c>
      <c r="AE145" s="91" t="str">
        <f t="shared" si="62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145" s="88" t="str">
        <f t="shared" si="63"/>
        <v>"C:\Program Files (x86)\AstroGrep\AstroGrep.exe" /spath="%USERPROFILE%\AppData\Local\Temp\OnboardLogs" /stypes="app*4016*20161208*" /stext=" 05:.+((SYSTEM_STATE.+slice.+state.+changed )|(ment ac)|(multiple cpu faults)|(system.+state.+changed )|(\[timeout)|(PRM\|1\|D)|(kpr)|(kdp)|(\|lc)|(penalty))" /e /r /s</v>
      </c>
      <c r="AG145" s="1" t="str">
        <f t="shared" si="64"/>
        <v>EC</v>
      </c>
      <c r="AH145" s="92" t="str">
        <f t="shared" si="51"/>
        <v>"%USERPROFILE%\Documents\GitHub\eaglep3\Utilities\RefineRTDCRunTimes.py" --tripid 231-07 --locoid 4016 --swversion DE.1.0.8.0 --startMP 204:471 --initTime 2016-12-07T21:05:53 --startdatetime 2016-12-07T21:30:20 --delay 1 --endMP 204:233325 --enddatetime 2016-12-07T22:04:37 --enforcementcount 0 &gt;&gt;C:\Users\stu\Documents\GitHub\eaglep3-reporting\EC\2016-12-07-refined-times.txt</v>
      </c>
      <c r="AI145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{"issue":{"subject":"","project_id":79,"tracker_id":40,"status_id":1,"priority_id":2,"assigned_to_id":23,"start_date":"2016-12-07","description":"","custom_fields":[{"id":1,"name":"Subdivision","value":"EC"},{"id":4,"name":"Milepost","value":"23.3325"},{"id":17,"name":"Train ID","value":"231-07"},{"id":16,"name":"Locomotive ID","value":"4016"},{"id":130,"name":"Impact","value":""},{"id":150,"name":"Time of Event (Mountain Time)","value":"22:04:37"},{"id":151,"name":"Denver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</row>
    <row r="146" spans="1:91" s="21" customFormat="1" x14ac:dyDescent="0.25">
      <c r="A146" s="37" t="s">
        <v>658</v>
      </c>
      <c r="B146" s="7">
        <v>4015</v>
      </c>
      <c r="C146" s="22" t="s">
        <v>207</v>
      </c>
      <c r="D146" s="22" t="s">
        <v>409</v>
      </c>
      <c r="E146" s="13">
        <v>42711.922129629631</v>
      </c>
      <c r="F146" s="13">
        <v>42711.934907407405</v>
      </c>
      <c r="G146" s="7">
        <v>1</v>
      </c>
      <c r="H146" s="22" t="s">
        <v>721</v>
      </c>
      <c r="I146" s="13">
        <v>42711.960775462961</v>
      </c>
      <c r="J146" s="7">
        <v>0</v>
      </c>
      <c r="K146" s="109" t="str">
        <f t="shared" si="53"/>
        <v>4015/4016</v>
      </c>
      <c r="L146" s="22" t="str">
        <f>VLOOKUP(A146,'Trips&amp;Operators'!$C$1:$G$99999,5,FALSE)</f>
        <v>YANAI IAN</v>
      </c>
      <c r="M146" s="6">
        <f t="shared" si="54"/>
        <v>2.5868055556202307E-2</v>
      </c>
      <c r="N146" s="7">
        <f t="shared" si="65"/>
        <v>37.250000000931323</v>
      </c>
      <c r="O146" s="7"/>
      <c r="P146" s="7"/>
      <c r="Q146" s="23"/>
      <c r="R146" s="23"/>
      <c r="S146" s="35">
        <f t="shared" si="44"/>
        <v>1</v>
      </c>
      <c r="T146" s="50" t="str">
        <f t="shared" si="55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21:07:52-700',mode:absolute,to:'2016-12-08 00:03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46" s="52" t="str">
        <f t="shared" si="57"/>
        <v>N</v>
      </c>
      <c r="X146" s="177">
        <f t="shared" si="50"/>
        <v>1</v>
      </c>
      <c r="Y146" s="67">
        <f t="shared" si="58"/>
        <v>23.300599999999999</v>
      </c>
      <c r="Z146" s="67">
        <f t="shared" si="59"/>
        <v>1.83E-2</v>
      </c>
      <c r="AA146" s="67">
        <f t="shared" si="60"/>
        <v>23.282299999999999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61"/>
        <v>0232-07</v>
      </c>
      <c r="AE146" s="91" t="str">
        <f t="shared" si="62"/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AF146" s="88" t="str">
        <f t="shared" si="63"/>
        <v>"C:\Program Files (x86)\AstroGrep\AstroGrep.exe" /spath="%USERPROFILE%\AppData\Local\Temp\OnboardLogs" /stypes="app*4015*20161208*" /stext=" 06:.+((SYSTEM_STATE.+slice.+state.+changed )|(ment ac)|(multiple cpu faults)|(system.+state.+changed )|(\[timeout)|(PRM\|1\|D)|(kpr)|(kdp)|(\|lc)|(penalty))" /e /r /s</v>
      </c>
      <c r="AG146" s="1" t="str">
        <f t="shared" si="64"/>
        <v>EC</v>
      </c>
      <c r="AH146" s="92" t="str">
        <f t="shared" si="51"/>
        <v>"%USERPROFILE%\Documents\GitHub\eaglep3\Utilities\RefineRTDCRunTimes.py" --tripid 232-07 --locoid 4015 --swversion DE.1.0.8.0 --startMP 204:233006 --initTime 2016-12-07T22:07:52 --startdatetime 2016-12-07T22:26:16 --delay 1 --endMP 204:183 --enddatetime 2016-12-07T23:03:31 --enforcementcount 0 &gt;&gt;C:\Users\stu\Documents\GitHub\eaglep3-reporting\EC\2016-12-07-refined-times.txt</v>
      </c>
      <c r="AI146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{"issue":{"subject":"","project_id":79,"tracker_id":40,"status_id":1,"priority_id":2,"assigned_to_id":23,"start_date":"2016-12-07","description":"","custom_fields":[{"id":1,"name":"Subdivision","value":"EC"},{"id":4,"name":"Milepost","value":"0.0183"},{"id":17,"name":"Train ID","value":"232-07"},{"id":16,"name":"Locomotive ID","value":"4015"},{"id":130,"name":"Impact","value":""},{"id":150,"name":"Time of Event (Mountain Time)","value":"23:03:31"},{"id":151,"name":"Denver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x14ac:dyDescent="0.25">
      <c r="A147" s="37" t="s">
        <v>657</v>
      </c>
      <c r="B147" s="7">
        <v>4031</v>
      </c>
      <c r="C147" s="22" t="s">
        <v>207</v>
      </c>
      <c r="D147" s="22" t="s">
        <v>311</v>
      </c>
      <c r="E147" s="13">
        <v>42711.911377314813</v>
      </c>
      <c r="F147" s="13">
        <v>42711.917037037034</v>
      </c>
      <c r="G147" s="7">
        <v>1</v>
      </c>
      <c r="H147" s="22" t="s">
        <v>740</v>
      </c>
      <c r="I147" s="13">
        <v>42711.941921296297</v>
      </c>
      <c r="J147" s="7">
        <v>0</v>
      </c>
      <c r="K147" s="109" t="str">
        <f t="shared" si="53"/>
        <v>4031/4032</v>
      </c>
      <c r="L147" s="22" t="str">
        <f>VLOOKUP(A147,'Trips&amp;Operators'!$C$1:$G$99999,5,FALSE)</f>
        <v>LEVIN SCOTT</v>
      </c>
      <c r="M147" s="6">
        <f t="shared" si="54"/>
        <v>2.4884259262762498E-2</v>
      </c>
      <c r="N147" s="7">
        <f t="shared" si="65"/>
        <v>35.833333338377997</v>
      </c>
      <c r="O147" s="7"/>
      <c r="P147" s="7"/>
      <c r="Q147" s="23"/>
      <c r="R147" s="23"/>
      <c r="S147" s="35">
        <f t="shared" si="44"/>
        <v>1</v>
      </c>
      <c r="T147" s="50" t="str">
        <f t="shared" si="55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20:52:23-700',mode:absolute,to:'2016-12-07 23:36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47" s="52" t="str">
        <f t="shared" si="57"/>
        <v>N</v>
      </c>
      <c r="X147" s="177">
        <f t="shared" si="50"/>
        <v>1</v>
      </c>
      <c r="Y147" s="67">
        <f t="shared" si="58"/>
        <v>4.4400000000000002E-2</v>
      </c>
      <c r="Z147" s="67">
        <f t="shared" si="59"/>
        <v>23.333200000000001</v>
      </c>
      <c r="AA147" s="67">
        <f t="shared" si="60"/>
        <v>23.288800000000002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61"/>
        <v>0233-07</v>
      </c>
      <c r="AE147" s="91" t="str">
        <f t="shared" si="62"/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AF147" s="88" t="str">
        <f t="shared" si="63"/>
        <v>"C:\Program Files (x86)\AstroGrep\AstroGrep.exe" /spath="%USERPROFILE%\AppData\Local\Temp\OnboardLogs" /stypes="app*4031*20161208*" /stext=" 05:.+((SYSTEM_STATE.+slice.+state.+changed )|(ment ac)|(multiple cpu faults)|(system.+state.+changed )|(\[timeout)|(PRM\|1\|D)|(kpr)|(kdp)|(\|lc)|(penalty))" /e /r /s</v>
      </c>
      <c r="AG147" s="1" t="str">
        <f t="shared" si="64"/>
        <v>EC</v>
      </c>
      <c r="AH147" s="92" t="str">
        <f t="shared" si="51"/>
        <v>"%USERPROFILE%\Documents\GitHub\eaglep3\Utilities\RefineRTDCRunTimes.py" --tripid 233-07 --locoid 4031 --swversion DE.1.0.8.0 --startMP 204:444 --initTime 2016-12-07T21:52:23 --startdatetime 2016-12-07T22:00:32 --delay 1 --endMP 204:233332 --enddatetime 2016-12-07T22:36:22 --enforcementcount 0 &gt;&gt;C:\Users\stu\Documents\GitHub\eaglep3-reporting\EC\2016-12-07-refined-times.txt</v>
      </c>
      <c r="AI147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{"issue":{"subject":"","project_id":79,"tracker_id":40,"status_id":1,"priority_id":2,"assigned_to_id":23,"start_date":"2016-12-07","description":"","custom_fields":[{"id":1,"name":"Subdivision","value":"EC"},{"id":4,"name":"Milepost","value":"23.3332"},{"id":17,"name":"Train ID","value":"233-07"},{"id":16,"name":"Locomotive ID","value":"4031"},{"id":130,"name":"Impact","value":""},{"id":150,"name":"Time of Event (Mountain Time)","value":"22:36:22"},{"id":151,"name":"Denver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</row>
    <row r="148" spans="1:91" x14ac:dyDescent="0.25">
      <c r="A148" s="37" t="s">
        <v>474</v>
      </c>
      <c r="B148" s="7">
        <v>4032</v>
      </c>
      <c r="C148" s="22" t="s">
        <v>207</v>
      </c>
      <c r="D148" s="22" t="s">
        <v>741</v>
      </c>
      <c r="E148" s="13">
        <v>42711.950092592589</v>
      </c>
      <c r="F148" s="13">
        <v>42711.955729166664</v>
      </c>
      <c r="G148" s="7">
        <v>1</v>
      </c>
      <c r="H148" s="22" t="s">
        <v>235</v>
      </c>
      <c r="I148" s="13">
        <v>42711.982268518521</v>
      </c>
      <c r="J148" s="7">
        <v>0</v>
      </c>
      <c r="K148" s="109" t="str">
        <f t="shared" si="53"/>
        <v>4031/4032</v>
      </c>
      <c r="L148" s="22" t="str">
        <f>VLOOKUP(A148,'Trips&amp;Operators'!$C$1:$G$99999,5,FALSE)</f>
        <v>LEVIN SCOTT</v>
      </c>
      <c r="M148" s="6">
        <f t="shared" si="54"/>
        <v>2.6539351856627036E-2</v>
      </c>
      <c r="N148" s="7">
        <f t="shared" si="65"/>
        <v>38.216666673542932</v>
      </c>
      <c r="O148" s="7"/>
      <c r="P148" s="7"/>
      <c r="Q148" s="23"/>
      <c r="R148" s="23"/>
      <c r="S148" s="35">
        <f t="shared" si="44"/>
        <v>1</v>
      </c>
      <c r="T148" s="50" t="str">
        <f t="shared" si="55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21:48:08-700',mode:absolute,to:'2016-12-08 00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48" s="52" t="str">
        <f t="shared" si="57"/>
        <v>N</v>
      </c>
      <c r="X148" s="177">
        <f t="shared" si="50"/>
        <v>1</v>
      </c>
      <c r="Y148" s="67">
        <f t="shared" si="58"/>
        <v>23.3032</v>
      </c>
      <c r="Z148" s="67">
        <f t="shared" si="59"/>
        <v>1.6500000000000001E-2</v>
      </c>
      <c r="AA148" s="67">
        <f t="shared" si="60"/>
        <v>23.2867</v>
      </c>
      <c r="AB148" s="64" t="str">
        <f>VLOOKUP(A148,Enforcements!$C$7:$K$20,8,0)</f>
        <v>Bulletin (2)</v>
      </c>
      <c r="AC148" s="60" t="str">
        <f>VLOOKUP(A148,Enforcements!$C$7:$E$20,3,0)</f>
        <v>GRADE CROSSING</v>
      </c>
      <c r="AD148" s="61" t="str">
        <f t="shared" si="61"/>
        <v>0234-07</v>
      </c>
      <c r="AE148" s="91" t="str">
        <f t="shared" si="62"/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AF148" s="88" t="str">
        <f t="shared" si="63"/>
        <v>"C:\Program Files (x86)\AstroGrep\AstroGrep.exe" /spath="%USERPROFILE%\AppData\Local\Temp\OnboardLogs" /stypes="app*4032*20161208*" /stext=" 06:.+((SYSTEM_STATE.+slice.+state.+changed )|(ment ac)|(multiple cpu faults)|(system.+state.+changed )|(\[timeout)|(PRM\|1\|D)|(kpr)|(kdp)|(\|lc)|(penalty))" /e /r /s</v>
      </c>
      <c r="AG148" s="1" t="str">
        <f t="shared" si="64"/>
        <v>EC</v>
      </c>
      <c r="AH148" s="92" t="str">
        <f t="shared" si="51"/>
        <v>"%USERPROFILE%\Documents\GitHub\eaglep3\Utilities\RefineRTDCRunTimes.py" --tripid 234-07 --locoid 4032 --swversion DE.1.0.8.0 --startMP 204:233032 --initTime 2016-12-07T22:48:08 --startdatetime 2016-12-07T22:56:15 --delay 1 --endMP 204:165 --enddatetime 2016-12-07T23:34:28 --enforcementcount 0 &gt;&gt;C:\Users\stu\Documents\GitHub\eaglep3-reporting\EC\2016-12-07-refined-times.txt</v>
      </c>
      <c r="AI148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{"issue":{"subject":"","project_id":79,"tracker_id":40,"status_id":1,"priority_id":2,"assigned_to_id":23,"start_date":"2016-12-07","description":"","custom_fields":[{"id":1,"name":"Subdivision","value":"EC"},{"id":4,"name":"Milepost","value":"0.0165"},{"id":17,"name":"Train ID","value":"234-07"},{"id":16,"name":"Locomotive ID","value":"4032"},{"id":130,"name":"Impact","value":""},{"id":150,"name":"Time of Event (Mountain Time)","value":"23:34:28"},{"id":151,"name":"Denver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</row>
    <row r="149" spans="1:91" s="21" customFormat="1" x14ac:dyDescent="0.25">
      <c r="A149" s="37" t="s">
        <v>660</v>
      </c>
      <c r="B149" s="7">
        <v>4009</v>
      </c>
      <c r="C149" s="22" t="s">
        <v>207</v>
      </c>
      <c r="D149" s="22" t="s">
        <v>414</v>
      </c>
      <c r="E149" s="13">
        <v>42711.934930555559</v>
      </c>
      <c r="F149" s="13">
        <v>42711.93787037037</v>
      </c>
      <c r="G149" s="7">
        <v>1</v>
      </c>
      <c r="H149" s="22" t="s">
        <v>347</v>
      </c>
      <c r="I149" s="13">
        <v>42711.962650462963</v>
      </c>
      <c r="J149" s="7">
        <v>0</v>
      </c>
      <c r="K149" s="109" t="str">
        <f t="shared" si="53"/>
        <v>4009/4010</v>
      </c>
      <c r="L149" s="22" t="str">
        <f>VLOOKUP(A149,'Trips&amp;Operators'!$C$1:$G$99999,5,FALSE)</f>
        <v>COOLAHAN JOHN</v>
      </c>
      <c r="M149" s="6">
        <f t="shared" si="54"/>
        <v>2.4780092593573499E-2</v>
      </c>
      <c r="N149" s="7">
        <f t="shared" si="65"/>
        <v>35.683333334745839</v>
      </c>
      <c r="O149" s="7"/>
      <c r="P149" s="7"/>
      <c r="Q149" s="23"/>
      <c r="R149" s="23"/>
      <c r="S149" s="35">
        <f t="shared" si="44"/>
        <v>1</v>
      </c>
      <c r="T149" s="50" t="str">
        <f t="shared" si="55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21:26:18-700',mode:absolute,to:'2016-12-08 00:06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49" s="52" t="str">
        <f t="shared" si="57"/>
        <v>N</v>
      </c>
      <c r="X149" s="177">
        <f t="shared" si="50"/>
        <v>1</v>
      </c>
      <c r="Y149" s="67">
        <f t="shared" si="58"/>
        <v>4.2200000000000001E-2</v>
      </c>
      <c r="Z149" s="67">
        <f t="shared" si="59"/>
        <v>23.331900000000001</v>
      </c>
      <c r="AA149" s="67">
        <f t="shared" si="60"/>
        <v>23.2897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61"/>
        <v>0235-07</v>
      </c>
      <c r="AE149" s="91" t="str">
        <f t="shared" si="62"/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AF149" s="88" t="str">
        <f t="shared" si="63"/>
        <v>"C:\Program Files (x86)\AstroGrep\AstroGrep.exe" /spath="%USERPROFILE%\AppData\Local\Temp\OnboardLogs" /stypes="app*4009*20161208*" /stext=" 06:.+((SYSTEM_STATE.+slice.+state.+changed )|(ment ac)|(multiple cpu faults)|(system.+state.+changed )|(\[timeout)|(PRM\|1\|D)|(kpr)|(kdp)|(\|lc)|(penalty))" /e /r /s</v>
      </c>
      <c r="AG149" s="1" t="str">
        <f t="shared" si="64"/>
        <v>EC</v>
      </c>
      <c r="AH149" s="92" t="str">
        <f t="shared" si="51"/>
        <v>"%USERPROFILE%\Documents\GitHub\eaglep3\Utilities\RefineRTDCRunTimes.py" --tripid 235-07 --locoid 4009 --swversion DE.1.0.8.0 --startMP 204:422 --initTime 2016-12-07T22:26:18 --startdatetime 2016-12-07T22:30:32 --delay 1 --endMP 204:233319 --enddatetime 2016-12-07T23:06:13 --enforcementcount 0 &gt;&gt;C:\Users\stu\Documents\GitHub\eaglep3-reporting\EC\2016-12-07-refined-times.txt</v>
      </c>
      <c r="AI149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{"issue":{"subject":"","project_id":79,"tracker_id":40,"status_id":1,"priority_id":2,"assigned_to_id":23,"start_date":"2016-12-07","description":"","custom_fields":[{"id":1,"name":"Subdivision","value":"EC"},{"id":4,"name":"Milepost","value":"23.3319"},{"id":17,"name":"Train ID","value":"235-07"},{"id":16,"name":"Locomotive ID","value":"4009"},{"id":130,"name":"Impact","value":""},{"id":150,"name":"Time of Event (Mountain Time)","value":"23:06:13"},{"id":151,"name":"Denver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663</v>
      </c>
      <c r="B150" s="7">
        <v>4010</v>
      </c>
      <c r="C150" s="22" t="s">
        <v>207</v>
      </c>
      <c r="D150" s="22" t="s">
        <v>742</v>
      </c>
      <c r="E150" s="13">
        <v>42711.971574074072</v>
      </c>
      <c r="F150" s="13">
        <v>42711.976655092592</v>
      </c>
      <c r="G150" s="7">
        <v>1</v>
      </c>
      <c r="H150" s="22" t="s">
        <v>689</v>
      </c>
      <c r="I150" s="13">
        <v>42712.003599537034</v>
      </c>
      <c r="J150" s="7">
        <v>0</v>
      </c>
      <c r="K150" s="109" t="str">
        <f t="shared" si="53"/>
        <v>4009/4010</v>
      </c>
      <c r="L150" s="22" t="str">
        <f>VLOOKUP(A150,'Trips&amp;Operators'!$C$1:$G$99999,5,FALSE)</f>
        <v>COOLAHAN JOHN</v>
      </c>
      <c r="M150" s="6">
        <f t="shared" si="54"/>
        <v>2.6944444442051463E-2</v>
      </c>
      <c r="N150" s="7">
        <f t="shared" si="65"/>
        <v>38.799999996554106</v>
      </c>
      <c r="O150" s="7"/>
      <c r="P150" s="7"/>
      <c r="Q150" s="23"/>
      <c r="R150" s="23"/>
      <c r="S150" s="35">
        <f t="shared" si="44"/>
        <v>1</v>
      </c>
      <c r="T150" s="50" t="str">
        <f t="shared" si="55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22:19:04-700',mode:absolute,to:'2016-12-08 01:05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0" s="52" t="str">
        <f t="shared" si="57"/>
        <v>N</v>
      </c>
      <c r="X150" s="177">
        <f t="shared" si="50"/>
        <v>1</v>
      </c>
      <c r="Y150" s="67">
        <f t="shared" si="58"/>
        <v>23.303000000000001</v>
      </c>
      <c r="Z150" s="67">
        <f t="shared" si="59"/>
        <v>1.47E-2</v>
      </c>
      <c r="AA150" s="67">
        <f t="shared" si="60"/>
        <v>23.2883</v>
      </c>
      <c r="AB150" s="64" t="e">
        <f>VLOOKUP(A150,Enforcements!$C$7:$K$20,8,0)</f>
        <v>#N/A</v>
      </c>
      <c r="AC150" s="60" t="e">
        <f>VLOOKUP(A150,Enforcements!$C$7:$E$20,3,0)</f>
        <v>#N/A</v>
      </c>
      <c r="AD150" s="61" t="str">
        <f t="shared" si="61"/>
        <v>0236-07</v>
      </c>
      <c r="AE150" s="91" t="str">
        <f t="shared" si="62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150" s="88" t="str">
        <f t="shared" si="63"/>
        <v>"C:\Program Files (x86)\AstroGrep\AstroGrep.exe" /spath="%USERPROFILE%\AppData\Local\Temp\OnboardLogs" /stypes="app*4010*20161208*" /stext=" 07:.+((SYSTEM_STATE.+slice.+state.+changed )|(ment ac)|(multiple cpu faults)|(system.+state.+changed )|(\[timeout)|(PRM\|1\|D)|(kpr)|(kdp)|(\|lc)|(penalty))" /e /r /s</v>
      </c>
      <c r="AG150" s="1" t="str">
        <f t="shared" si="64"/>
        <v>EC</v>
      </c>
      <c r="AH150" s="92" t="str">
        <f t="shared" si="51"/>
        <v>"%USERPROFILE%\Documents\GitHub\eaglep3\Utilities\RefineRTDCRunTimes.py" --tripid 236-07 --locoid 4010 --swversion DE.1.0.8.0 --startMP 204:233030 --initTime 2016-12-07T23:19:04 --startdatetime 2016-12-07T23:26:23 --delay 1 --endMP 204:147 --enddatetime 2016-12-08T00:05:11 --enforcementcount 0 &gt;&gt;C:\Users\stu\Documents\GitHub\eaglep3-reporting\EC\2016-12-07-refined-times.txt</v>
      </c>
      <c r="AI150" s="119" t="str">
        <f t="shared" si="52"/>
        <v>echo {"issue":{"subject":"","project_id":79,"tracker_id":40,"status_id":1,"priority_id":2,"assigned_to_id":23,"start_date":"2016-12-08","description":"","custom_fields":[{"id":1,"name":"Subdivision","value":"EC"},{"id":4,"name":"Milepost","value":"0.0147"},{"id":17,"name":"Train ID","value":"236-07"},{"id":16,"name":"Locomotive ID","value":"4010"},{"id":130,"name":"Impact","value":""},{"id":150,"name":"Time of Event (Mountain Time)","value":"00:05:11"},{"id":151,"name":"Denver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662</v>
      </c>
      <c r="B151" s="7">
        <v>4044</v>
      </c>
      <c r="C151" s="22" t="s">
        <v>207</v>
      </c>
      <c r="D151" s="22" t="s">
        <v>278</v>
      </c>
      <c r="E151" s="13">
        <v>42711.953888888886</v>
      </c>
      <c r="F151" s="13">
        <v>42711.958692129629</v>
      </c>
      <c r="G151" s="7">
        <v>2</v>
      </c>
      <c r="H151" s="22" t="s">
        <v>694</v>
      </c>
      <c r="I151" s="13">
        <v>42711.982858796298</v>
      </c>
      <c r="J151" s="7">
        <v>0</v>
      </c>
      <c r="K151" s="109" t="str">
        <f t="shared" si="53"/>
        <v>4043/4044</v>
      </c>
      <c r="L151" s="22" t="str">
        <f>VLOOKUP(A151,'Trips&amp;Operators'!$C$1:$G$99999,5,FALSE)</f>
        <v>STAMBAUGH JAMES</v>
      </c>
      <c r="M151" s="6">
        <f t="shared" si="54"/>
        <v>2.4166666669771075E-2</v>
      </c>
      <c r="N151" s="7">
        <f t="shared" si="65"/>
        <v>34.800000004470348</v>
      </c>
      <c r="O151" s="7"/>
      <c r="P151" s="7"/>
      <c r="Q151" s="23"/>
      <c r="R151" s="23"/>
      <c r="S151" s="35">
        <f t="shared" si="44"/>
        <v>1</v>
      </c>
      <c r="T151" s="50" t="str">
        <f t="shared" si="55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21:53:36-700',mode:absolute,to:'2016-12-08 00:35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1" s="52" t="str">
        <f t="shared" si="57"/>
        <v>N</v>
      </c>
      <c r="X151" s="177">
        <f t="shared" si="50"/>
        <v>1</v>
      </c>
      <c r="Y151" s="67">
        <f t="shared" si="58"/>
        <v>4.3799999999999999E-2</v>
      </c>
      <c r="Z151" s="67">
        <f t="shared" si="59"/>
        <v>23.33</v>
      </c>
      <c r="AA151" s="67">
        <f t="shared" si="60"/>
        <v>23.286199999999997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61"/>
        <v>0237-07</v>
      </c>
      <c r="AE151" s="91" t="str">
        <f t="shared" si="62"/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AF151" s="88" t="str">
        <f t="shared" si="63"/>
        <v>"C:\Program Files (x86)\AstroGrep\AstroGrep.exe" /spath="%USERPROFILE%\AppData\Local\Temp\OnboardLogs" /stypes="app*4044*20161208*" /stext=" 06:.+((SYSTEM_STATE.+slice.+state.+changed )|(ment ac)|(multiple cpu faults)|(system.+state.+changed )|(\[timeout)|(PRM\|1\|D)|(kpr)|(kdp)|(\|lc)|(penalty))" /e /r /s</v>
      </c>
      <c r="AG151" s="1" t="str">
        <f t="shared" si="64"/>
        <v>EC</v>
      </c>
      <c r="AH151" s="92" t="str">
        <f t="shared" si="51"/>
        <v>"%USERPROFILE%\Documents\GitHub\eaglep3\Utilities\RefineRTDCRunTimes.py" --tripid 237-07 --locoid 4044 --swversion DE.1.0.8.0 --startMP 204:438 --initTime 2016-12-07T22:53:36 --startdatetime 2016-12-07T23:00:31 --delay 2 --endMP 204:233300 --enddatetime 2016-12-07T23:35:19 --enforcementcount 0 &gt;&gt;C:\Users\stu\Documents\GitHub\eaglep3-reporting\EC\2016-12-07-refined-times.txt</v>
      </c>
      <c r="AI151" s="119" t="str">
        <f t="shared" si="52"/>
        <v>echo {"issue":{"subject":"","project_id":79,"tracker_id":40,"status_id":1,"priority_id":2,"assigned_to_id":23,"start_date":"2016-12-07","description":"","custom_fields":[{"id":1,"name":"Subdivision","value":"EC"},{"id":4,"name":"Milepost","value":"23.33"},{"id":17,"name":"Train ID","value":"237-07"},{"id":16,"name":"Locomotive ID","value":"4044"},{"id":130,"name":"Impact","value":""},{"id":150,"name":"Time of Event (Mountain Time)","value":"23:35:19"},{"id":151,"name":"Denver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664</v>
      </c>
      <c r="B152" s="7">
        <v>4043</v>
      </c>
      <c r="C152" s="22" t="s">
        <v>207</v>
      </c>
      <c r="D152" s="22" t="s">
        <v>696</v>
      </c>
      <c r="E152" s="13">
        <v>42711.993715277778</v>
      </c>
      <c r="F152" s="13">
        <v>42711.997488425928</v>
      </c>
      <c r="G152" s="7">
        <v>1</v>
      </c>
      <c r="H152" s="22" t="s">
        <v>743</v>
      </c>
      <c r="I152" s="13">
        <v>42712.023402777777</v>
      </c>
      <c r="J152" s="7">
        <v>0</v>
      </c>
      <c r="K152" s="109" t="str">
        <f t="shared" si="53"/>
        <v>4043/4044</v>
      </c>
      <c r="L152" s="22" t="str">
        <f>VLOOKUP(A152,'Trips&amp;Operators'!$C$1:$G$99999,5,FALSE)</f>
        <v>STAMBAUGH JAMES</v>
      </c>
      <c r="M152" s="6">
        <f t="shared" si="54"/>
        <v>2.5914351848769002E-2</v>
      </c>
      <c r="N152" s="7">
        <f t="shared" si="65"/>
        <v>37.316666662227362</v>
      </c>
      <c r="O152" s="7"/>
      <c r="P152" s="7"/>
      <c r="Q152" s="23"/>
      <c r="R152" s="23"/>
      <c r="S152" s="35">
        <f t="shared" si="44"/>
        <v>1</v>
      </c>
      <c r="T152" s="50" t="str">
        <f t="shared" si="55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22:50:57-700',mode:absolute,to:'2016-12-08 01:33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2" s="52" t="str">
        <f t="shared" si="57"/>
        <v>N</v>
      </c>
      <c r="X152" s="177">
        <f t="shared" si="50"/>
        <v>1</v>
      </c>
      <c r="Y152" s="67">
        <f t="shared" si="58"/>
        <v>23.298500000000001</v>
      </c>
      <c r="Z152" s="67">
        <f t="shared" si="59"/>
        <v>1.4200000000000001E-2</v>
      </c>
      <c r="AA152" s="67">
        <f t="shared" si="60"/>
        <v>23.284300000000002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61"/>
        <v>0238-07</v>
      </c>
      <c r="AE152" s="91" t="str">
        <f t="shared" si="62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152" s="88" t="str">
        <f t="shared" si="63"/>
        <v>"C:\Program Files (x86)\AstroGrep\AstroGrep.exe" /spath="%USERPROFILE%\AppData\Local\Temp\OnboardLogs" /stypes="app*4043*20161208*" /stext=" 07:.+((SYSTEM_STATE.+slice.+state.+changed )|(ment ac)|(multiple cpu faults)|(system.+state.+changed )|(\[timeout)|(PRM\|1\|D)|(kpr)|(kdp)|(\|lc)|(penalty))" /e /r /s</v>
      </c>
      <c r="AG152" s="1" t="str">
        <f t="shared" si="64"/>
        <v>EC</v>
      </c>
      <c r="AH152" s="92" t="str">
        <f t="shared" si="51"/>
        <v>"%USERPROFILE%\Documents\GitHub\eaglep3\Utilities\RefineRTDCRunTimes.py" --tripid 238-07 --locoid 4043 --swversion DE.1.0.8.0 --startMP 204:232985 --initTime 2016-12-07T23:50:57 --startdatetime 2016-12-07T23:56:23 --delay 1 --endMP 204:142 --enddatetime 2016-12-08T00:33:42 --enforcementcount 0 &gt;&gt;C:\Users\stu\Documents\GitHub\eaglep3-reporting\EC\2016-12-07-refined-times.txt</v>
      </c>
      <c r="AI152" s="119" t="str">
        <f t="shared" si="52"/>
        <v>echo {"issue":{"subject":"","project_id":79,"tracker_id":40,"status_id":1,"priority_id":2,"assigned_to_id":23,"start_date":"2016-12-08","description":"","custom_fields":[{"id":1,"name":"Subdivision","value":"EC"},{"id":4,"name":"Milepost","value":"0.0142"},{"id":17,"name":"Train ID","value":"238-07"},{"id":16,"name":"Locomotive ID","value":"4043"},{"id":130,"name":"Impact","value":""},{"id":150,"name":"Time of Event (Mountain Time)","value":"00:33:42"},{"id":151,"name":"Denver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475</v>
      </c>
      <c r="B153" s="7">
        <v>4016</v>
      </c>
      <c r="C153" s="22" t="s">
        <v>207</v>
      </c>
      <c r="D153" s="22" t="s">
        <v>744</v>
      </c>
      <c r="E153" s="13">
        <v>42711.962511574071</v>
      </c>
      <c r="F153" s="13">
        <v>42711.979328703703</v>
      </c>
      <c r="G153" s="7">
        <v>1</v>
      </c>
      <c r="H153" s="22" t="s">
        <v>314</v>
      </c>
      <c r="I153" s="13">
        <v>42712.00371527778</v>
      </c>
      <c r="J153" s="7">
        <v>0</v>
      </c>
      <c r="K153" s="109" t="str">
        <f t="shared" si="53"/>
        <v>4015/4016</v>
      </c>
      <c r="L153" s="22" t="str">
        <f>VLOOKUP(A153,'Trips&amp;Operators'!$C$1:$G$99999,5,FALSE)</f>
        <v>YANAI IAN</v>
      </c>
      <c r="M153" s="6">
        <f t="shared" si="54"/>
        <v>2.4386574077652767E-2</v>
      </c>
      <c r="N153" s="7">
        <f t="shared" si="65"/>
        <v>35.116666671819985</v>
      </c>
      <c r="O153" s="7"/>
      <c r="P153" s="7"/>
      <c r="Q153" s="23"/>
      <c r="R153" s="23"/>
      <c r="S153" s="35">
        <f t="shared" si="44"/>
        <v>1</v>
      </c>
      <c r="T153" s="50" t="str">
        <f t="shared" si="55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22:06:01-700',mode:absolute,to:'2016-12-08 01:05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153" s="52" t="str">
        <f t="shared" si="57"/>
        <v>N</v>
      </c>
      <c r="X153" s="177">
        <f t="shared" si="50"/>
        <v>1</v>
      </c>
      <c r="Y153" s="67">
        <f t="shared" si="58"/>
        <v>4.8000000000000001E-2</v>
      </c>
      <c r="Z153" s="67">
        <f t="shared" si="59"/>
        <v>23.3293</v>
      </c>
      <c r="AA153" s="67">
        <f t="shared" si="60"/>
        <v>23.281300000000002</v>
      </c>
      <c r="AB153" s="64" t="str">
        <f>VLOOKUP(A153,Enforcements!$C$7:$K$20,8,0)</f>
        <v>Speed (6)</v>
      </c>
      <c r="AC153" s="60" t="str">
        <f>VLOOKUP(A153,Enforcements!$C$7:$E$20,3,0)</f>
        <v>PERMANENT SPEED RESTRICTION</v>
      </c>
      <c r="AD153" s="61" t="str">
        <f t="shared" si="61"/>
        <v>0239-07</v>
      </c>
      <c r="AE153" s="91" t="str">
        <f t="shared" si="62"/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AF153" s="88" t="str">
        <f t="shared" si="63"/>
        <v>"C:\Program Files (x86)\AstroGrep\AstroGrep.exe" /spath="%USERPROFILE%\AppData\Local\Temp\OnboardLogs" /stypes="app*4016*20161208*" /stext=" 07:.+((SYSTEM_STATE.+slice.+state.+changed )|(ment ac)|(multiple cpu faults)|(system.+state.+changed )|(\[timeout)|(PRM\|1\|D)|(kpr)|(kdp)|(\|lc)|(penalty))" /e /r /s</v>
      </c>
      <c r="AG153" s="1" t="str">
        <f t="shared" si="64"/>
        <v>EC</v>
      </c>
      <c r="AH153" s="92" t="str">
        <f t="shared" si="51"/>
        <v>"%USERPROFILE%\Documents\GitHub\eaglep3\Utilities\RefineRTDCRunTimes.py" --tripid 239-07 --locoid 4016 --swversion DE.1.0.8.0 --startMP 204:480 --initTime 2016-12-07T23:06:01 --startdatetime 2016-12-07T23:30:14 --delay 1 --endMP 204:233293 --enddatetime 2016-12-08T00:05:21 --enforcementcount 0 &gt;&gt;C:\Users\stu\Documents\GitHub\eaglep3-reporting\EC\2016-12-07-refined-times.txt</v>
      </c>
      <c r="AI153" s="119" t="str">
        <f t="shared" si="52"/>
        <v>echo {"issue":{"subject":"","project_id":79,"tracker_id":40,"status_id":1,"priority_id":2,"assigned_to_id":23,"start_date":"2016-12-08","description":"","custom_fields":[{"id":1,"name":"Subdivision","value":"EC"},{"id":4,"name":"Milepost","value":"23.3293"},{"id":17,"name":"Train ID","value":"239-07"},{"id":16,"name":"Locomotive ID","value":"4016"},{"id":130,"name":"Impact","value":""},{"id":150,"name":"Time of Event (Mountain Time)","value":"00:05:21"},{"id":151,"name":"Denver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1" customFormat="1" x14ac:dyDescent="0.25">
      <c r="A154" s="37" t="s">
        <v>666</v>
      </c>
      <c r="B154" s="7">
        <v>4015</v>
      </c>
      <c r="C154" s="22" t="s">
        <v>207</v>
      </c>
      <c r="D154" s="22" t="s">
        <v>355</v>
      </c>
      <c r="E154" s="13">
        <v>42712.014930555553</v>
      </c>
      <c r="F154" s="13">
        <v>42712.018194444441</v>
      </c>
      <c r="G154" s="7">
        <v>2</v>
      </c>
      <c r="H154" s="22" t="s">
        <v>689</v>
      </c>
      <c r="I154" s="13">
        <v>42712.046122685184</v>
      </c>
      <c r="J154" s="7">
        <v>0</v>
      </c>
      <c r="K154" s="109" t="str">
        <f t="shared" si="53"/>
        <v>4015/4016</v>
      </c>
      <c r="L154" s="22" t="str">
        <f>VLOOKUP(A154,'Trips&amp;Operators'!$C$1:$G$99999,5,FALSE)</f>
        <v>YANAI IAN</v>
      </c>
      <c r="M154" s="6">
        <f t="shared" si="54"/>
        <v>2.792824074276723E-2</v>
      </c>
      <c r="N154" s="7">
        <f t="shared" si="65"/>
        <v>40.216666669584811</v>
      </c>
      <c r="O154" s="7"/>
      <c r="P154" s="7"/>
      <c r="Q154" s="23"/>
      <c r="R154" s="23"/>
      <c r="S154" s="35">
        <f t="shared" si="44"/>
        <v>1</v>
      </c>
      <c r="T154" s="50" t="str">
        <f t="shared" si="55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23:21:30-700',mode:absolute,to:'2016-12-08 02:06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154" s="52" t="str">
        <f t="shared" si="57"/>
        <v>N</v>
      </c>
      <c r="X154" s="177">
        <f t="shared" si="50"/>
        <v>1</v>
      </c>
      <c r="Y154" s="67">
        <f t="shared" si="58"/>
        <v>23.296399999999998</v>
      </c>
      <c r="Z154" s="67">
        <f t="shared" si="59"/>
        <v>1.47E-2</v>
      </c>
      <c r="AA154" s="67">
        <f t="shared" si="60"/>
        <v>23.281699999999997</v>
      </c>
      <c r="AB154" s="64" t="e">
        <f>VLOOKUP(A154,Enforcements!$C$7:$K$20,8,0)</f>
        <v>#N/A</v>
      </c>
      <c r="AC154" s="60" t="e">
        <f>VLOOKUP(A154,Enforcements!$C$7:$E$20,3,0)</f>
        <v>#N/A</v>
      </c>
      <c r="AD154" s="61" t="str">
        <f t="shared" si="61"/>
        <v>0240-07</v>
      </c>
      <c r="AE154" s="91" t="str">
        <f t="shared" si="62"/>
        <v>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 &amp; aws s3 cp s3://rtdc.mdm.uploadarchive.raw/RTDC4015/ "%USERPROFILE%\AppData\Local\Temp\OnboardLogs"\RTDC4015\2016-12-09 --exclude "*" --recursive --include "*20161209*" &amp; "%USERPROFILE%\Documents\GitHub\mrs-test-scripts\Headless Mode &amp; Sideloading\WalkAndUnGZ.bat" "%USERPROFILE%\AppData\Local\Temp\OnboardLogs"\RTDC4015\2016-12-09</v>
      </c>
      <c r="AF154" s="88" t="str">
        <f t="shared" si="63"/>
        <v>"C:\Program Files (x86)\AstroGrep\AstroGrep.exe" /spath="%USERPROFILE%\AppData\Local\Temp\OnboardLogs" /stypes="app*4015*20161208*" /stext=" 08:.+((SYSTEM_STATE.+slice.+state.+changed )|(ment ac)|(multiple cpu faults)|(system.+state.+changed )|(\[timeout)|(PRM\|1\|D)|(kpr)|(kdp)|(\|lc)|(penalty))" /e /r /s</v>
      </c>
      <c r="AG154" s="1" t="str">
        <f t="shared" si="64"/>
        <v>EC</v>
      </c>
      <c r="AH154" s="92" t="str">
        <f t="shared" si="51"/>
        <v>"%USERPROFILE%\Documents\GitHub\eaglep3\Utilities\RefineRTDCRunTimes.py" --tripid 240-07 --locoid 4015 --swversion DE.1.0.8.0 --startMP 204:232964 --initTime 2016-12-08T00:21:30 --startdatetime 2016-12-08T00:26:12 --delay 2 --endMP 204:147 --enddatetime 2016-12-08T01:06:25 --enforcementcount 0 &gt;&gt;C:\Users\stu\Documents\GitHub\eaglep3-reporting\EC\2016-12-07-refined-times.txt</v>
      </c>
      <c r="AI154" s="119" t="str">
        <f t="shared" si="52"/>
        <v>echo {"issue":{"subject":"","project_id":79,"tracker_id":40,"status_id":1,"priority_id":2,"assigned_to_id":23,"start_date":"2016-12-08","description":"","custom_fields":[{"id":1,"name":"Subdivision","value":"EC"},{"id":4,"name":"Milepost","value":"0.0147"},{"id":17,"name":"Train ID","value":"240-07"},{"id":16,"name":"Locomotive ID","value":"4015"},{"id":130,"name":"Impact","value":""},{"id":150,"name":"Time of Event (Mountain Time)","value":"01:06:25"},{"id":151,"name":"Denver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1" customFormat="1" x14ac:dyDescent="0.25">
      <c r="A155" s="37" t="s">
        <v>665</v>
      </c>
      <c r="B155" s="7">
        <v>4031</v>
      </c>
      <c r="C155" s="22" t="s">
        <v>207</v>
      </c>
      <c r="D155" s="22" t="s">
        <v>327</v>
      </c>
      <c r="E155" s="13">
        <v>42711.995844907404</v>
      </c>
      <c r="F155" s="13">
        <v>42712.0003125</v>
      </c>
      <c r="G155" s="7">
        <v>1</v>
      </c>
      <c r="H155" s="22" t="s">
        <v>350</v>
      </c>
      <c r="I155" s="13">
        <v>42712.024606481478</v>
      </c>
      <c r="J155" s="7">
        <v>0</v>
      </c>
      <c r="K155" s="109" t="str">
        <f t="shared" si="53"/>
        <v>4031/4032</v>
      </c>
      <c r="L155" s="22" t="str">
        <f>VLOOKUP(A155,'Trips&amp;Operators'!$C$1:$G$99999,5,FALSE)</f>
        <v>LEVIN SCOTT</v>
      </c>
      <c r="M155" s="6">
        <f t="shared" si="54"/>
        <v>2.4293981477967463E-2</v>
      </c>
      <c r="N155" s="7">
        <f t="shared" si="65"/>
        <v>34.983333328273147</v>
      </c>
      <c r="O155" s="7"/>
      <c r="P155" s="7"/>
      <c r="Q155" s="23"/>
      <c r="R155" s="23"/>
      <c r="S155" s="35">
        <f t="shared" si="44"/>
        <v>1</v>
      </c>
      <c r="T155" s="50" t="str">
        <f t="shared" si="55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22:54:01-700',mode:absolute,to:'2016-12-08 01:35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55" s="52" t="str">
        <f t="shared" si="57"/>
        <v>N</v>
      </c>
      <c r="X155" s="177">
        <f t="shared" ref="X155:X161" si="66">VALUE(LEFT(AD155,4))-VALUE(LEFT(AD154,4))</f>
        <v>1</v>
      </c>
      <c r="Y155" s="67">
        <f t="shared" si="58"/>
        <v>4.7300000000000002E-2</v>
      </c>
      <c r="Z155" s="67">
        <f t="shared" si="59"/>
        <v>23.332699999999999</v>
      </c>
      <c r="AA155" s="67">
        <f t="shared" si="60"/>
        <v>23.285399999999999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61"/>
        <v>0241-07</v>
      </c>
      <c r="AE155" s="91" t="str">
        <f t="shared" si="62"/>
        <v>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 &amp; aws s3 cp s3://rtdc.mdm.uploadarchive.raw/RTDC4031/ "%USERPROFILE%\AppData\Local\Temp\OnboardLogs"\RTDC4031\2016-12-09 --exclude "*" --recursive --include "*20161209*" &amp; "%USERPROFILE%\Documents\GitHub\mrs-test-scripts\Headless Mode &amp; Sideloading\WalkAndUnGZ.bat" "%USERPROFILE%\AppData\Local\Temp\OnboardLogs"\RTDC4031\2016-12-09</v>
      </c>
      <c r="AF155" s="88" t="str">
        <f t="shared" si="63"/>
        <v>"C:\Program Files (x86)\AstroGrep\AstroGrep.exe" /spath="%USERPROFILE%\AppData\Local\Temp\OnboardLogs" /stypes="app*4031*20161208*" /stext=" 07:.+((SYSTEM_STATE.+slice.+state.+changed )|(ment ac)|(multiple cpu faults)|(system.+state.+changed )|(\[timeout)|(PRM\|1\|D)|(kpr)|(kdp)|(\|lc)|(penalty))" /e /r /s</v>
      </c>
      <c r="AG155" s="1" t="str">
        <f t="shared" si="64"/>
        <v>EC</v>
      </c>
      <c r="AH155" s="92" t="str">
        <f t="shared" si="51"/>
        <v>"%USERPROFILE%\Documents\GitHub\eaglep3\Utilities\RefineRTDCRunTimes.py" --tripid 241-07 --locoid 4031 --swversion DE.1.0.8.0 --startMP 204:473 --initTime 2016-12-07T23:54:01 --startdatetime 2016-12-08T00:00:27 --delay 1 --endMP 204:233327 --enddatetime 2016-12-08T00:35:26 --enforcementcount 0 &gt;&gt;C:\Users\stu\Documents\GitHub\eaglep3-reporting\EC\2016-12-07-refined-times.txt</v>
      </c>
      <c r="AI155" s="119" t="str">
        <f t="shared" si="52"/>
        <v>echo {"issue":{"subject":"","project_id":79,"tracker_id":40,"status_id":1,"priority_id":2,"assigned_to_id":23,"start_date":"2016-12-08","description":"","custom_fields":[{"id":1,"name":"Subdivision","value":"EC"},{"id":4,"name":"Milepost","value":"23.3327"},{"id":17,"name":"Train ID","value":"241-07"},{"id":16,"name":"Locomotive ID","value":"4031"},{"id":130,"name":"Impact","value":""},{"id":150,"name":"Time of Event (Mountain Time)","value":"00:35:26"},{"id":151,"name":"Denver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1" customFormat="1" x14ac:dyDescent="0.25">
      <c r="A156" s="37" t="s">
        <v>669</v>
      </c>
      <c r="B156" s="7">
        <v>4032</v>
      </c>
      <c r="C156" s="22" t="s">
        <v>207</v>
      </c>
      <c r="D156" s="22" t="s">
        <v>738</v>
      </c>
      <c r="E156" s="13">
        <v>42712.030590277776</v>
      </c>
      <c r="F156" s="13">
        <v>42712.039085648146</v>
      </c>
      <c r="G156" s="7">
        <v>1</v>
      </c>
      <c r="H156" s="22" t="s">
        <v>697</v>
      </c>
      <c r="I156" s="13">
        <v>42712.066099537034</v>
      </c>
      <c r="J156" s="7">
        <v>0</v>
      </c>
      <c r="K156" s="109" t="str">
        <f t="shared" si="53"/>
        <v>4031/4032</v>
      </c>
      <c r="L156" s="22" t="str">
        <f>VLOOKUP(A156,'Trips&amp;Operators'!$C$1:$G$99999,5,FALSE)</f>
        <v>LEVIN SCOTT</v>
      </c>
      <c r="M156" s="6">
        <f t="shared" si="54"/>
        <v>2.7013888888177462E-2</v>
      </c>
      <c r="N156" s="7">
        <f t="shared" si="65"/>
        <v>38.899999998975545</v>
      </c>
      <c r="O156" s="7"/>
      <c r="P156" s="7"/>
      <c r="Q156" s="23"/>
      <c r="R156" s="23"/>
      <c r="S156" s="35">
        <f t="shared" si="44"/>
        <v>1</v>
      </c>
      <c r="T156" s="50" t="str">
        <f t="shared" si="55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23:44:03-700',mode:absolute,to:'2016-12-08 02:35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56" s="52" t="str">
        <f t="shared" si="57"/>
        <v>N</v>
      </c>
      <c r="X156" s="177">
        <f t="shared" si="66"/>
        <v>1</v>
      </c>
      <c r="Y156" s="67">
        <f t="shared" si="58"/>
        <v>23.3017</v>
      </c>
      <c r="Z156" s="67">
        <f t="shared" si="59"/>
        <v>1.34E-2</v>
      </c>
      <c r="AA156" s="67">
        <f t="shared" si="60"/>
        <v>23.2883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61"/>
        <v>0242-07</v>
      </c>
      <c r="AE156" s="91" t="str">
        <f t="shared" si="62"/>
        <v>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 &amp; aws s3 cp s3://rtdc.mdm.uploadarchive.raw/RTDC4032/ "%USERPROFILE%\AppData\Local\Temp\OnboardLogs"\RTDC4032\2016-12-09 --exclude "*" --recursive --include "*20161209*" &amp; "%USERPROFILE%\Documents\GitHub\mrs-test-scripts\Headless Mode &amp; Sideloading\WalkAndUnGZ.bat" "%USERPROFILE%\AppData\Local\Temp\OnboardLogs"\RTDC4032\2016-12-09</v>
      </c>
      <c r="AF156" s="88" t="str">
        <f t="shared" si="63"/>
        <v>"C:\Program Files (x86)\AstroGrep\AstroGrep.exe" /spath="%USERPROFILE%\AppData\Local\Temp\OnboardLogs" /stypes="app*4032*20161208*" /stext=" 08:.+((SYSTEM_STATE.+slice.+state.+changed )|(ment ac)|(multiple cpu faults)|(system.+state.+changed )|(\[timeout)|(PRM\|1\|D)|(kpr)|(kdp)|(\|lc)|(penalty))" /e /r /s</v>
      </c>
      <c r="AG156" s="1" t="str">
        <f t="shared" si="64"/>
        <v>EC</v>
      </c>
      <c r="AH156" s="92" t="str">
        <f t="shared" si="51"/>
        <v>"%USERPROFILE%\Documents\GitHub\eaglep3\Utilities\RefineRTDCRunTimes.py" --tripid 242-07 --locoid 4032 --swversion DE.1.0.8.0 --startMP 204:233017 --initTime 2016-12-08T00:44:03 --startdatetime 2016-12-08T00:56:17 --delay 1 --endMP 204:134 --enddatetime 2016-12-08T01:35:11 --enforcementcount 0 &gt;&gt;C:\Users\stu\Documents\GitHub\eaglep3-reporting\EC\2016-12-07-refined-times.txt</v>
      </c>
      <c r="AI156" s="119" t="str">
        <f t="shared" si="52"/>
        <v>echo {"issue":{"subject":"","project_id":79,"tracker_id":40,"status_id":1,"priority_id":2,"assigned_to_id":23,"start_date":"2016-12-08","description":"","custom_fields":[{"id":1,"name":"Subdivision","value":"EC"},{"id":4,"name":"Milepost","value":"0.0134"},{"id":17,"name":"Train ID","value":"242-07"},{"id":16,"name":"Locomotive ID","value":"4032"},{"id":130,"name":"Impact","value":""},{"id":150,"name":"Time of Event (Mountain Time)","value":"01:35:11"},{"id":151,"name":"Denver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1" customFormat="1" x14ac:dyDescent="0.25">
      <c r="A157" s="37" t="s">
        <v>667</v>
      </c>
      <c r="B157" s="7">
        <v>4009</v>
      </c>
      <c r="C157" s="22" t="s">
        <v>207</v>
      </c>
      <c r="D157" s="22" t="s">
        <v>745</v>
      </c>
      <c r="E157" s="13">
        <v>42712.039571759262</v>
      </c>
      <c r="F157" s="13">
        <v>42712.040266203701</v>
      </c>
      <c r="G157" s="7">
        <v>1</v>
      </c>
      <c r="H157" s="22" t="s">
        <v>413</v>
      </c>
      <c r="I157" s="13">
        <v>42712.048067129632</v>
      </c>
      <c r="J157" s="7">
        <v>0</v>
      </c>
      <c r="K157" s="109" t="str">
        <f t="shared" si="53"/>
        <v>4009/4010</v>
      </c>
      <c r="L157" s="22" t="str">
        <f>VLOOKUP(A157,'Trips&amp;Operators'!$C$1:$G$99999,5,FALSE)</f>
        <v>COOLAHAN JOHN</v>
      </c>
      <c r="M157" s="6">
        <f t="shared" si="54"/>
        <v>7.8009259304963052E-3</v>
      </c>
      <c r="N157" s="7"/>
      <c r="O157" s="7"/>
      <c r="P157" s="7">
        <f>24*60*SUM($M157:$M158)</f>
        <v>36.816666671074927</v>
      </c>
      <c r="Q157" s="23"/>
      <c r="R157" s="23" t="s">
        <v>843</v>
      </c>
      <c r="S157" s="35">
        <f>SUM(U157:U158)/IF(AG157="EC",12,1)</f>
        <v>1</v>
      </c>
      <c r="T157" s="50" t="str">
        <f t="shared" si="55"/>
        <v>NorthBound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0</v>
      </c>
      <c r="V15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23:56:59-700',mode:absolute,to:'2016-12-08 02:09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7" s="52" t="str">
        <f t="shared" si="57"/>
        <v>Y</v>
      </c>
      <c r="X157" s="177">
        <f t="shared" si="66"/>
        <v>1</v>
      </c>
      <c r="Y157" s="67">
        <f t="shared" si="58"/>
        <v>15.441599999999999</v>
      </c>
      <c r="Z157" s="67">
        <f t="shared" si="59"/>
        <v>23.335100000000001</v>
      </c>
      <c r="AA157" s="67">
        <f t="shared" si="60"/>
        <v>7.8935000000000013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61"/>
        <v>0243-07</v>
      </c>
      <c r="AE157" s="91" t="str">
        <f t="shared" si="62"/>
        <v>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 &amp; aws s3 cp s3://rtdc.mdm.uploadarchive.raw/RTDC4009/ "%USERPROFILE%\AppData\Local\Temp\OnboardLogs"\RTDC4009\2016-12-09 --exclude "*" --recursive --include "*20161209*" &amp; "%USERPROFILE%\Documents\GitHub\mrs-test-scripts\Headless Mode &amp; Sideloading\WalkAndUnGZ.bat" "%USERPROFILE%\AppData\Local\Temp\OnboardLogs"\RTDC4009\2016-12-09</v>
      </c>
      <c r="AF157" s="88" t="str">
        <f t="shared" si="63"/>
        <v>"C:\Program Files (x86)\AstroGrep\AstroGrep.exe" /spath="%USERPROFILE%\AppData\Local\Temp\OnboardLogs" /stypes="app*4009*20161208*" /stext=" 08:.+((SYSTEM_STATE.+slice.+state.+changed )|(ment ac)|(multiple cpu faults)|(system.+state.+changed )|(\[timeout)|(PRM\|1\|D)|(kpr)|(kdp)|(\|lc)|(penalty))" /e /r /s</v>
      </c>
      <c r="AG157" s="1" t="str">
        <f t="shared" si="64"/>
        <v>EC</v>
      </c>
      <c r="AH157" s="92" t="str">
        <f t="shared" si="51"/>
        <v>"%USERPROFILE%\Documents\GitHub\eaglep3\Utilities\RefineRTDCRunTimes.py" --tripid 243-07 --locoid 4009 --swversion DE.1.0.8.0 --startMP 204:154416 --initTime 2016-12-08T00:56:59 --startdatetime 2016-12-08T00:57:59 --delay 1 --endMP 204:233351 --enddatetime 2016-12-08T01:09:13 --enforcementcount 0 &gt;&gt;C:\Users\stu\Documents\GitHub\eaglep3-reporting\EC\2016-12-07-refined-times.txt</v>
      </c>
      <c r="AI157" s="119" t="str">
        <f t="shared" si="52"/>
        <v>echo {"issue":{"subject":"Wheel tach slip","project_id":79,"tracker_id":40,"status_id":1,"priority_id":2,"assigned_to_id":23,"start_date":"2016-12-08","description":"","custom_fields":[{"id":1,"name":"Subdivision","value":"EC"},{"id":4,"name":"Milepost","value":"23.3351"},{"id":17,"name":"Train ID","value":"243-07"},{"id":16,"name":"Locomotive ID","value":"4009"},{"id":130,"name":"Impact","value":""},{"id":150,"name":"Time of Event (Mountain Time)","value":"01:09:13"},{"id":151,"name":"Denver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667</v>
      </c>
      <c r="B158" s="7">
        <v>4009</v>
      </c>
      <c r="C158" s="22" t="s">
        <v>207</v>
      </c>
      <c r="D158" s="22" t="s">
        <v>236</v>
      </c>
      <c r="E158" s="13">
        <v>42712.017731481479</v>
      </c>
      <c r="F158" s="13">
        <v>42712.018900462965</v>
      </c>
      <c r="G158" s="7">
        <v>1</v>
      </c>
      <c r="H158" s="22" t="s">
        <v>746</v>
      </c>
      <c r="I158" s="13">
        <v>42712.036666666667</v>
      </c>
      <c r="J158" s="7">
        <v>0</v>
      </c>
      <c r="K158" s="109" t="str">
        <f t="shared" si="53"/>
        <v>4009/4010</v>
      </c>
      <c r="L158" s="22" t="str">
        <f>VLOOKUP(A158,'Trips&amp;Operators'!$C$1:$G$99999,5,FALSE)</f>
        <v>COOLAHAN JOHN</v>
      </c>
      <c r="M158" s="6">
        <f t="shared" si="54"/>
        <v>1.7766203702194616E-2</v>
      </c>
      <c r="N158" s="7"/>
      <c r="O158" s="7"/>
      <c r="P158" s="7"/>
      <c r="Q158" s="23"/>
      <c r="R158" s="23"/>
      <c r="S158" s="35"/>
      <c r="T158" s="50" t="str">
        <f t="shared" si="55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23:25:32-700',mode:absolute,to:'2016-12-08 01:52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58" s="52" t="str">
        <f t="shared" si="57"/>
        <v>Y</v>
      </c>
      <c r="X158" s="177">
        <f t="shared" si="66"/>
        <v>0</v>
      </c>
      <c r="Y158" s="67">
        <f t="shared" si="58"/>
        <v>4.5499999999999999E-2</v>
      </c>
      <c r="Z158" s="67">
        <f t="shared" si="59"/>
        <v>12.826599999999999</v>
      </c>
      <c r="AA158" s="67">
        <f t="shared" si="60"/>
        <v>12.781099999999999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61"/>
        <v>0243-07</v>
      </c>
      <c r="AE158" s="91" t="str">
        <f t="shared" si="62"/>
        <v>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 &amp; aws s3 cp s3://rtdc.mdm.uploadarchive.raw/RTDC4009/ "%USERPROFILE%\AppData\Local\Temp\OnboardLogs"\RTDC4009\2016-12-09 --exclude "*" --recursive --include "*20161209*" &amp; "%USERPROFILE%\Documents\GitHub\mrs-test-scripts\Headless Mode &amp; Sideloading\WalkAndUnGZ.bat" "%USERPROFILE%\AppData\Local\Temp\OnboardLogs"\RTDC4009\2016-12-09</v>
      </c>
      <c r="AF158" s="88" t="str">
        <f t="shared" si="63"/>
        <v>"C:\Program Files (x86)\AstroGrep\AstroGrep.exe" /spath="%USERPROFILE%\AppData\Local\Temp\OnboardLogs" /stypes="app*4009*20161208*" /stext=" 07:.+((SYSTEM_STATE.+slice.+state.+changed )|(ment ac)|(multiple cpu faults)|(system.+state.+changed )|(\[timeout)|(PRM\|1\|D)|(kpr)|(kdp)|(\|lc)|(penalty))" /e /r /s</v>
      </c>
      <c r="AG158" s="1" t="str">
        <f t="shared" si="64"/>
        <v>EC</v>
      </c>
      <c r="AH158" s="92" t="str">
        <f t="shared" si="51"/>
        <v>"%USERPROFILE%\Documents\GitHub\eaglep3\Utilities\RefineRTDCRunTimes.py" --tripid 243-07 --locoid 4009 --swversion DE.1.0.8.0 --startMP 204:455 --initTime 2016-12-08T00:25:32 --startdatetime 2016-12-08T00:27:13 --delay 1 --endMP 204:128266 --enddatetime 2016-12-08T00:52:48 --enforcementcount 0 &gt;&gt;C:\Users\stu\Documents\GitHub\eaglep3-reporting\EC\2016-12-07-refined-times.txt</v>
      </c>
      <c r="AI158" s="119" t="str">
        <f t="shared" si="52"/>
        <v>echo {"issue":{"subject":"","project_id":79,"tracker_id":40,"status_id":1,"priority_id":2,"assigned_to_id":23,"start_date":"2016-12-08","description":"","custom_fields":[{"id":1,"name":"Subdivision","value":"EC"},{"id":4,"name":"Milepost","value":"12.8266"},{"id":17,"name":"Train ID","value":"243-07"},{"id":16,"name":"Locomotive ID","value":"4009"},{"id":130,"name":"Impact","value":""},{"id":150,"name":"Time of Event (Mountain Time)","value":"00:52:48"},{"id":151,"name":"Denver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1" customFormat="1" x14ac:dyDescent="0.25">
      <c r="A159" s="37" t="s">
        <v>671</v>
      </c>
      <c r="B159" s="7">
        <v>4010</v>
      </c>
      <c r="C159" s="22" t="s">
        <v>207</v>
      </c>
      <c r="D159" s="22" t="s">
        <v>747</v>
      </c>
      <c r="E159" s="13">
        <v>42712.053842592592</v>
      </c>
      <c r="F159" s="13">
        <v>42712.06</v>
      </c>
      <c r="G159" s="7">
        <v>1</v>
      </c>
      <c r="H159" s="22" t="s">
        <v>748</v>
      </c>
      <c r="I159" s="13">
        <v>42712.086643518516</v>
      </c>
      <c r="J159" s="7">
        <v>0</v>
      </c>
      <c r="K159" s="109" t="str">
        <f t="shared" si="53"/>
        <v>4009/4010</v>
      </c>
      <c r="L159" s="22" t="str">
        <f>VLOOKUP(A159,'Trips&amp;Operators'!$C$1:$G$99999,5,FALSE)</f>
        <v>COOLAHAN JOHN</v>
      </c>
      <c r="M159" s="6">
        <f t="shared" si="54"/>
        <v>2.6643518518540077E-2</v>
      </c>
      <c r="N159" s="7">
        <f>24*60*SUM($M159:$M159)</f>
        <v>38.366666666697711</v>
      </c>
      <c r="O159" s="7"/>
      <c r="P159" s="7"/>
      <c r="Q159" s="23"/>
      <c r="R159" s="23"/>
      <c r="S159" s="35">
        <f t="shared" ref="S159:S190" si="67">SUM(U159:U159)/IF(AG159="EC",12,1)</f>
        <v>1</v>
      </c>
      <c r="T159" s="50" t="str">
        <f t="shared" si="55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https://search-rtdc-monitor-bjffxe2xuh6vdkpspy63sjmuny.us-east-1.es.amazonaws.com/_plugin/kibana/#/discover/Steve-Slow-Train-Analysis-(2080s-and-2083s)?_g=(refreshInterval:(display:Off,section:0,value:0),time:(from:'2016-12-08 00:17:32-700',mode:absolute,to:'2016-12-08 03:04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59" s="52" t="str">
        <f t="shared" si="57"/>
        <v>N</v>
      </c>
      <c r="X159" s="177">
        <f t="shared" si="66"/>
        <v>1</v>
      </c>
      <c r="Y159" s="67">
        <f t="shared" si="58"/>
        <v>23.304300000000001</v>
      </c>
      <c r="Z159" s="67">
        <f t="shared" si="59"/>
        <v>1.8100000000000002E-2</v>
      </c>
      <c r="AA159" s="67">
        <f t="shared" si="60"/>
        <v>23.286200000000001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61"/>
        <v>0244-07</v>
      </c>
      <c r="AE159" s="91" t="str">
        <f t="shared" si="62"/>
        <v>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 &amp; aws s3 cp s3://rtdc.mdm.uploadarchive.raw/RTDC4010/ "%USERPROFILE%\AppData\Local\Temp\OnboardLogs"\RTDC4010\2016-12-09 --exclude "*" --recursive --include "*20161209*" &amp; "%USERPROFILE%\Documents\GitHub\mrs-test-scripts\Headless Mode &amp; Sideloading\WalkAndUnGZ.bat" "%USERPROFILE%\AppData\Local\Temp\OnboardLogs"\RTDC4010\2016-12-09</v>
      </c>
      <c r="AF159" s="88" t="str">
        <f t="shared" si="63"/>
        <v>"C:\Program Files (x86)\AstroGrep\AstroGrep.exe" /spath="%USERPROFILE%\AppData\Local\Temp\OnboardLogs" /stypes="app*4010*20161208*" /stext=" 09:.+((SYSTEM_STATE.+slice.+state.+changed )|(ment ac)|(multiple cpu faults)|(system.+state.+changed )|(\[timeout)|(PRM\|1\|D)|(kpr)|(kdp)|(\|lc)|(penalty))" /e /r /s</v>
      </c>
      <c r="AG159" s="1" t="str">
        <f t="shared" si="64"/>
        <v>EC</v>
      </c>
      <c r="AH159" s="92" t="str">
        <f t="shared" si="51"/>
        <v>"%USERPROFILE%\Documents\GitHub\eaglep3\Utilities\RefineRTDCRunTimes.py" --tripid 244-07 --locoid 4010 --swversion DE.1.0.8.0 --startMP 204:233043 --initTime 2016-12-08T01:17:32 --startdatetime 2016-12-08T01:26:24 --delay 1 --endMP 204:181 --enddatetime 2016-12-08T02:04:46 --enforcementcount 0 &gt;&gt;C:\Users\stu\Documents\GitHub\eaglep3-reporting\EC\2016-12-07-refined-times.txt</v>
      </c>
      <c r="AI159" s="119" t="str">
        <f t="shared" si="52"/>
        <v>echo {"issue":{"subject":"","project_id":79,"tracker_id":40,"status_id":1,"priority_id":2,"assigned_to_id":23,"start_date":"2016-12-08","description":"","custom_fields":[{"id":1,"name":"Subdivision","value":"EC"},{"id":4,"name":"Milepost","value":"0.0181"},{"id":17,"name":"Train ID","value":"244-07"},{"id":16,"name":"Locomotive ID","value":"4010"},{"id":130,"name":"Impact","value":""},{"id":150,"name":"Time of Event (Mountain Time)","value":"02:04:46"},{"id":151,"name":"Denver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x14ac:dyDescent="0.25">
      <c r="A160" s="37" t="s">
        <v>450</v>
      </c>
      <c r="B160" s="7">
        <v>4012</v>
      </c>
      <c r="C160" s="22" t="s">
        <v>207</v>
      </c>
      <c r="D160" s="22" t="s">
        <v>762</v>
      </c>
      <c r="E160" s="13">
        <v>42711.214050925926</v>
      </c>
      <c r="F160" s="13">
        <v>42711.216932870368</v>
      </c>
      <c r="G160" s="7">
        <v>2</v>
      </c>
      <c r="H160" s="22" t="s">
        <v>763</v>
      </c>
      <c r="I160" s="13">
        <v>42711.217800925922</v>
      </c>
      <c r="J160" s="7">
        <v>0</v>
      </c>
      <c r="K160" s="109" t="str">
        <f t="shared" si="53"/>
        <v>4011/4012</v>
      </c>
      <c r="L160" s="22" t="str">
        <f>VLOOKUP(A160,'Trips&amp;Operators'!$C$1:$G$99999,5,FALSE)</f>
        <v>STARKS ANGELINA</v>
      </c>
      <c r="M160" s="6">
        <f t="shared" si="54"/>
        <v>8.6805555474711582E-4</v>
      </c>
      <c r="N160" s="7"/>
      <c r="O160" s="7"/>
      <c r="P160" s="7">
        <f>24*60*SUM($M160:$M160)</f>
        <v>1.2499999988358468</v>
      </c>
      <c r="Q160" s="23"/>
      <c r="R160" s="23" t="s">
        <v>443</v>
      </c>
      <c r="S160" s="35">
        <f t="shared" si="67"/>
        <v>0</v>
      </c>
      <c r="T160" s="50" t="str">
        <f t="shared" si="55"/>
        <v>Southbound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0</v>
      </c>
      <c r="V16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04:08:14-700',mode:absolute,to:'2016-12-07 06:13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0" s="52" t="str">
        <f t="shared" si="57"/>
        <v>Y</v>
      </c>
      <c r="X160" s="177">
        <f t="shared" si="66"/>
        <v>556</v>
      </c>
      <c r="Y160" s="67">
        <f t="shared" si="58"/>
        <v>5.8654999999999999</v>
      </c>
      <c r="Z160" s="67">
        <f t="shared" si="59"/>
        <v>5.8207000000000004</v>
      </c>
      <c r="AA160" s="67">
        <f t="shared" si="60"/>
        <v>4.4799999999999507E-2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61"/>
        <v>0800-07</v>
      </c>
      <c r="AE160" s="91" t="str">
        <f t="shared" si="62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60" s="88" t="str">
        <f t="shared" si="63"/>
        <v>"C:\Program Files (x86)\AstroGrep\AstroGrep.exe" /spath="%USERPROFILE%\AppData\Local\Temp\OnboardLogs" /stypes="app*4012*20161207*" /stext=" 12:.+((SYSTEM_STATE.+slice.+state.+changed )|(ment ac)|(multiple cpu faults)|(system.+state.+changed )|(\[timeout)|(PRM\|1\|D)|(kpr)|(kdp)|(\|lc)|(penalty))" /e /r /s</v>
      </c>
      <c r="AG160" s="1" t="str">
        <f t="shared" si="64"/>
        <v>NW</v>
      </c>
      <c r="AH160" s="92" t="str">
        <f t="shared" si="51"/>
        <v>"%USERPROFILE%\Documents\GitHub\eaglep3\Utilities\RefineRTDCRunTimes.py" --tripid 800-07 --locoid 4012 --swversion DE.1.0.8.0 --startMP 300:58655 --initTime 2016-12-07T05:08:14 --startdatetime 2016-12-07T05:12:23 --delay 2 --endMP 300:58207 --enddatetime 2016-12-07T05:13:38 --enforcementcount 0 &gt;&gt;C:\Users\stu\Documents\GitHub\eaglep3-reporting\EC\2016-12-07-refined-times.txt</v>
      </c>
      <c r="AI160" s="119" t="str">
        <f t="shared" si="52"/>
        <v>echo {"issue":{"subject":"Went active too close to signal","project_id":79,"tracker_id":40,"status_id":1,"priority_id":2,"assigned_to_id":23,"start_date":"2016-12-07","description":"","custom_fields":[{"id":1,"name":"Subdivision","value":"NW"},{"id":4,"name":"Milepost","value":"5.8207"},{"id":17,"name":"Train ID","value":"800-07"},{"id":16,"name":"Locomotive ID","value":"4012"},{"id":130,"name":"Impact","value":""},{"id":150,"name":"Time of Event (Mountain Time)","value":"05:13:38"},{"id":151,"name":"Denver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</row>
    <row r="161" spans="1:91" x14ac:dyDescent="0.25">
      <c r="A161" s="37" t="s">
        <v>451</v>
      </c>
      <c r="B161" s="7">
        <v>4011</v>
      </c>
      <c r="C161" s="22" t="s">
        <v>207</v>
      </c>
      <c r="D161" s="22" t="s">
        <v>764</v>
      </c>
      <c r="E161" s="13">
        <v>42711.241342592592</v>
      </c>
      <c r="F161" s="13">
        <v>42711.243923611109</v>
      </c>
      <c r="G161" s="7">
        <v>1</v>
      </c>
      <c r="H161" s="22" t="s">
        <v>328</v>
      </c>
      <c r="I161" s="13">
        <v>42711.253738425927</v>
      </c>
      <c r="J161" s="7">
        <v>0</v>
      </c>
      <c r="K161" s="109" t="str">
        <f t="shared" si="53"/>
        <v>4011/4012</v>
      </c>
      <c r="L161" s="22" t="str">
        <f>VLOOKUP(A161,'Trips&amp;Operators'!$C$1:$G$99999,5,FALSE)</f>
        <v>STARKS ANGELINA</v>
      </c>
      <c r="M161" s="6">
        <f t="shared" si="54"/>
        <v>9.8148148172185756E-3</v>
      </c>
      <c r="N161" s="7">
        <f t="shared" ref="N161:N193" si="68">24*60*SUM($M161:$M161)</f>
        <v>14.133333336794749</v>
      </c>
      <c r="O161" s="7"/>
      <c r="P161" s="7"/>
      <c r="Q161" s="23"/>
      <c r="R161" s="23"/>
      <c r="S161" s="35">
        <f t="shared" si="67"/>
        <v>1</v>
      </c>
      <c r="T161" s="50" t="str">
        <f t="shared" si="55"/>
        <v>NorthBound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04:47:32-700',mode:absolute,to:'2016-12-07 07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1" s="52" t="str">
        <f t="shared" si="57"/>
        <v>N</v>
      </c>
      <c r="X161" s="177">
        <f t="shared" si="66"/>
        <v>1</v>
      </c>
      <c r="Y161" s="67">
        <f t="shared" si="58"/>
        <v>9.3200000000000005E-2</v>
      </c>
      <c r="Z161" s="67">
        <f t="shared" si="59"/>
        <v>5.8943000000000003</v>
      </c>
      <c r="AA161" s="67">
        <f t="shared" si="60"/>
        <v>5.8010999999999999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61"/>
        <v>0801-07</v>
      </c>
      <c r="AE161" s="91" t="str">
        <f t="shared" si="62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61" s="88" t="str">
        <f t="shared" si="63"/>
        <v>"C:\Program Files (x86)\AstroGrep\AstroGrep.exe" /spath="%USERPROFILE%\AppData\Local\Temp\OnboardLogs" /stypes="app*4011*20161207*" /stext=" 13:.+((SYSTEM_STATE.+slice.+state.+changed )|(ment ac)|(multiple cpu faults)|(system.+state.+changed )|(\[timeout)|(PRM\|1\|D)|(kpr)|(kdp)|(\|lc)|(penalty))" /e /r /s</v>
      </c>
      <c r="AG161" s="1" t="str">
        <f t="shared" si="64"/>
        <v>NW</v>
      </c>
      <c r="AH161" s="92" t="str">
        <f t="shared" si="51"/>
        <v>"%USERPROFILE%\Documents\GitHub\eaglep3\Utilities\RefineRTDCRunTimes.py" --tripid 801-07 --locoid 4011 --swversion DE.1.0.8.0 --startMP 204:932 --initTime 2016-12-07T05:47:32 --startdatetime 2016-12-07T05:51:15 --delay 1 --endMP 300:58943 --enddatetime 2016-12-07T06:05:23 --enforcementcount 0 &gt;&gt;C:\Users\stu\Documents\GitHub\eaglep3-reporting\EC\2016-12-07-refined-times.txt</v>
      </c>
      <c r="AI161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{"issue":{"subject":"","project_id":79,"tracker_id":40,"status_id":1,"priority_id":2,"assigned_to_id":23,"start_date":"2016-12-07","description":"","custom_fields":[{"id":1,"name":"Subdivision","value":"NW"},{"id":4,"name":"Milepost","value":"5.8943"},{"id":17,"name":"Train ID","value":"801-07"},{"id":16,"name":"Locomotive ID","value":"4011"},{"id":130,"name":"Impact","value":""},{"id":150,"name":"Time of Event (Mountain Time)","value":"06:05:23"},{"id":151,"name":"Denver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</row>
    <row r="162" spans="1:91" s="21" customFormat="1" x14ac:dyDescent="0.25">
      <c r="A162" s="37" t="s">
        <v>500</v>
      </c>
      <c r="B162" s="7">
        <v>4012</v>
      </c>
      <c r="C162" s="22" t="s">
        <v>207</v>
      </c>
      <c r="D162" s="22" t="s">
        <v>765</v>
      </c>
      <c r="E162" s="13">
        <v>42711.254675925928</v>
      </c>
      <c r="F162" s="13">
        <v>42711.255833333336</v>
      </c>
      <c r="G162" s="7">
        <v>1</v>
      </c>
      <c r="H162" s="22" t="s">
        <v>766</v>
      </c>
      <c r="I162" s="13">
        <v>42711.268009259256</v>
      </c>
      <c r="J162" s="7">
        <v>0</v>
      </c>
      <c r="K162" s="109" t="str">
        <f t="shared" si="53"/>
        <v>4011/4012</v>
      </c>
      <c r="L162" s="22" t="str">
        <f>VLOOKUP(A162,'Trips&amp;Operators'!$C$1:$G$99999,5,FALSE)</f>
        <v>STARKS ANGELINA</v>
      </c>
      <c r="M162" s="6">
        <f t="shared" si="54"/>
        <v>1.2175925920018926E-2</v>
      </c>
      <c r="N162" s="7">
        <f t="shared" si="68"/>
        <v>17.533333324827254</v>
      </c>
      <c r="O162" s="7"/>
      <c r="P162" s="7"/>
      <c r="Q162" s="23"/>
      <c r="R162" s="23"/>
      <c r="S162" s="35">
        <f t="shared" si="67"/>
        <v>1</v>
      </c>
      <c r="T162" s="50" t="str">
        <f t="shared" si="55"/>
        <v>Southbound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05:06:44-700',mode:absolute,to:'2016-12-07 07:25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2" s="52" t="str">
        <f t="shared" si="57"/>
        <v>N</v>
      </c>
      <c r="X162" s="177">
        <f t="shared" ref="X162:X195" si="69">VALUE(LEFT(AD162,4))-VALUE(LEFT(AD161,4))</f>
        <v>1</v>
      </c>
      <c r="Y162" s="67">
        <f t="shared" si="58"/>
        <v>5.8635999999999999</v>
      </c>
      <c r="Z162" s="67">
        <f t="shared" si="59"/>
        <v>7.0599999999999996E-2</v>
      </c>
      <c r="AA162" s="67">
        <f t="shared" si="60"/>
        <v>5.7930000000000001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61"/>
        <v>0802-07</v>
      </c>
      <c r="AE162" s="91" t="str">
        <f t="shared" si="62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62" s="88" t="str">
        <f t="shared" si="63"/>
        <v>"C:\Program Files (x86)\AstroGrep\AstroGrep.exe" /spath="%USERPROFILE%\AppData\Local\Temp\OnboardLogs" /stypes="app*4012*20161207*" /stext=" 13:.+((SYSTEM_STATE.+slice.+state.+changed )|(ment ac)|(multiple cpu faults)|(system.+state.+changed )|(\[timeout)|(PRM\|1\|D)|(kpr)|(kdp)|(\|lc)|(penalty))" /e /r /s</v>
      </c>
      <c r="AG162" s="1" t="str">
        <f t="shared" si="64"/>
        <v>NW</v>
      </c>
      <c r="AH162" s="92" t="str">
        <f t="shared" si="51"/>
        <v>"%USERPROFILE%\Documents\GitHub\eaglep3\Utilities\RefineRTDCRunTimes.py" --tripid 802-07 --locoid 4012 --swversion DE.1.0.8.0 --startMP 300:58636 --initTime 2016-12-07T06:06:44 --startdatetime 2016-12-07T06:08:24 --delay 1 --endMP 204:706 --enddatetime 2016-12-07T06:25:56 --enforcementcount 0 &gt;&gt;C:\Users\stu\Documents\GitHub\eaglep3-reporting\EC\2016-12-07-refined-times.txt</v>
      </c>
      <c r="AI162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{"issue":{"subject":"","project_id":79,"tracker_id":40,"status_id":1,"priority_id":2,"assigned_to_id":23,"start_date":"2016-12-07","description":"","custom_fields":[{"id":1,"name":"Subdivision","value":"NW"},{"id":4,"name":"Milepost","value":"0.0706"},{"id":17,"name":"Train ID","value":"802-07"},{"id":16,"name":"Locomotive ID","value":"4012"},{"id":130,"name":"Impact","value":""},{"id":150,"name":"Time of Event (Mountain Time)","value":"06:25:56"},{"id":151,"name":"Denver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1" customFormat="1" x14ac:dyDescent="0.25">
      <c r="A163" s="37" t="s">
        <v>501</v>
      </c>
      <c r="B163" s="7">
        <v>4040</v>
      </c>
      <c r="C163" s="22" t="s">
        <v>207</v>
      </c>
      <c r="D163" s="22" t="s">
        <v>767</v>
      </c>
      <c r="E163" s="13">
        <v>42711.254780092589</v>
      </c>
      <c r="F163" s="13">
        <v>42711.264768518522</v>
      </c>
      <c r="G163" s="7">
        <v>2</v>
      </c>
      <c r="H163" s="22" t="s">
        <v>768</v>
      </c>
      <c r="I163" s="13">
        <v>42711.274085648147</v>
      </c>
      <c r="J163" s="7">
        <v>0</v>
      </c>
      <c r="K163" s="109" t="str">
        <f t="shared" si="53"/>
        <v>4039/4040</v>
      </c>
      <c r="L163" s="22" t="str">
        <f>VLOOKUP(A163,'Trips&amp;Operators'!$C$1:$G$99999,5,FALSE)</f>
        <v>GEBRETEKLE DAGNEW</v>
      </c>
      <c r="M163" s="6">
        <f t="shared" si="54"/>
        <v>9.3171296248328872E-3</v>
      </c>
      <c r="N163" s="7">
        <f t="shared" si="68"/>
        <v>13.416666659759358</v>
      </c>
      <c r="O163" s="7"/>
      <c r="P163" s="7"/>
      <c r="Q163" s="23"/>
      <c r="R163" s="23"/>
      <c r="S163" s="35">
        <f t="shared" si="67"/>
        <v>1</v>
      </c>
      <c r="T163" s="50" t="str">
        <f t="shared" si="55"/>
        <v>NorthBound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05:06:53-700',mode:absolute,to:'2016-12-07 07:34:41-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3" s="52" t="str">
        <f t="shared" si="57"/>
        <v>N</v>
      </c>
      <c r="X163" s="177">
        <f t="shared" si="69"/>
        <v>1</v>
      </c>
      <c r="Y163" s="67">
        <f t="shared" si="58"/>
        <v>9.7600000000000006E-2</v>
      </c>
      <c r="Z163" s="67">
        <f t="shared" si="59"/>
        <v>5.8996000000000004</v>
      </c>
      <c r="AA163" s="67">
        <f t="shared" si="60"/>
        <v>5.8020000000000005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61"/>
        <v>0803-07</v>
      </c>
      <c r="AE163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63" s="88" t="str">
        <f t="shared" si="63"/>
        <v>"C:\Program Files (x86)\AstroGrep\AstroGrep.exe" /spath="%USERPROFILE%\AppData\Local\Temp\OnboardLogs" /stypes="app*4040*20161207*" /stext=" 13:.+((SYSTEM_STATE.+slice.+state.+changed )|(ment ac)|(multiple cpu faults)|(system.+state.+changed )|(\[timeout)|(PRM\|1\|D)|(kpr)|(kdp)|(\|lc)|(penalty))" /e /r /s</v>
      </c>
      <c r="AG163" s="1" t="str">
        <f t="shared" si="64"/>
        <v>NW</v>
      </c>
      <c r="AH163" s="92" t="str">
        <f t="shared" si="51"/>
        <v>"%USERPROFILE%\Documents\GitHub\eaglep3\Utilities\RefineRTDCRunTimes.py" --tripid 803-07 --locoid 4040 --swversion DE.1.0.8.0 --startMP 204:976 --initTime 2016-12-07T06:06:53 --startdatetime 2016-12-07T06:21:16 --delay 2 --endMP 300:58996 --enddatetime 2016-12-07T06:34:41 --enforcementcount 0 &gt;&gt;C:\Users\stu\Documents\GitHub\eaglep3-reporting\EC\2016-12-07-refined-times.txt</v>
      </c>
      <c r="AI163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{"issue":{"subject":"","project_id":79,"tracker_id":40,"status_id":1,"priority_id":2,"assigned_to_id":23,"start_date":"2016-12-07","description":"","custom_fields":[{"id":1,"name":"Subdivision","value":"NW"},{"id":4,"name":"Milepost","value":"5.8996"},{"id":17,"name":"Train ID","value":"803-07"},{"id":16,"name":"Locomotive ID","value":"4040"},{"id":130,"name":"Impact","value":""},{"id":150,"name":"Time of Event (Mountain Time)","value":"06:34:41"},{"id":151,"name":"Denver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7" t="s">
        <v>453</v>
      </c>
      <c r="B164" s="7">
        <v>4039</v>
      </c>
      <c r="C164" s="22" t="s">
        <v>207</v>
      </c>
      <c r="D164" s="22" t="s">
        <v>769</v>
      </c>
      <c r="E164" s="13">
        <v>42711.275266203702</v>
      </c>
      <c r="F164" s="13">
        <v>42711.276585648149</v>
      </c>
      <c r="G164" s="7">
        <v>0</v>
      </c>
      <c r="H164" s="22" t="s">
        <v>770</v>
      </c>
      <c r="I164" s="13">
        <v>42711.289166666669</v>
      </c>
      <c r="J164" s="7">
        <v>0</v>
      </c>
      <c r="K164" s="109" t="str">
        <f t="shared" si="53"/>
        <v>4039/4040</v>
      </c>
      <c r="L164" s="22" t="str">
        <f>VLOOKUP(A164,'Trips&amp;Operators'!$C$1:$G$99999,5,FALSE)</f>
        <v>GEBRETEKLE DAGNEW</v>
      </c>
      <c r="M164" s="6">
        <f t="shared" si="54"/>
        <v>1.2581018519995268E-2</v>
      </c>
      <c r="N164" s="7">
        <f t="shared" si="68"/>
        <v>18.116666668793187</v>
      </c>
      <c r="O164" s="7"/>
      <c r="P164" s="7"/>
      <c r="Q164" s="23"/>
      <c r="R164" s="23"/>
      <c r="S164" s="35">
        <f t="shared" si="67"/>
        <v>1</v>
      </c>
      <c r="T164" s="50" t="str">
        <f t="shared" si="55"/>
        <v>Southbound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05:36:23-700',mode:absolute,to:'2016-12-07 07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4" s="52" t="str">
        <f t="shared" si="57"/>
        <v>N</v>
      </c>
      <c r="X164" s="177">
        <f t="shared" si="69"/>
        <v>1</v>
      </c>
      <c r="Y164" s="67">
        <f t="shared" si="58"/>
        <v>5.867</v>
      </c>
      <c r="Z164" s="67">
        <f t="shared" si="59"/>
        <v>6.9199999999999998E-2</v>
      </c>
      <c r="AA164" s="67">
        <f t="shared" si="60"/>
        <v>5.7977999999999996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61"/>
        <v>0804-07</v>
      </c>
      <c r="AE164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64" s="88" t="str">
        <f t="shared" si="63"/>
        <v>"C:\Program Files (x86)\AstroGrep\AstroGrep.exe" /spath="%USERPROFILE%\AppData\Local\Temp\OnboardLogs" /stypes="app*4039*20161207*" /stext=" 13:.+((SYSTEM_STATE.+slice.+state.+changed )|(ment ac)|(multiple cpu faults)|(system.+state.+changed )|(\[timeout)|(PRM\|1\|D)|(kpr)|(kdp)|(\|lc)|(penalty))" /e /r /s</v>
      </c>
      <c r="AG164" s="1" t="str">
        <f t="shared" si="64"/>
        <v>NW</v>
      </c>
      <c r="AH164" s="92" t="str">
        <f t="shared" si="51"/>
        <v>"%USERPROFILE%\Documents\GitHub\eaglep3\Utilities\RefineRTDCRunTimes.py" --tripid 804-07 --locoid 4039 --swversion DE.1.0.8.0 --startMP 300:58670 --initTime 2016-12-07T06:36:23 --startdatetime 2016-12-07T06:38:17 --delay 0 --endMP 204:692 --enddatetime 2016-12-07T06:56:24 --enforcementcount 0 &gt;&gt;C:\Users\stu\Documents\GitHub\eaglep3-reporting\EC\2016-12-07-refined-times.txt</v>
      </c>
      <c r="AI164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{"issue":{"subject":"","project_id":79,"tracker_id":40,"status_id":1,"priority_id":2,"assigned_to_id":23,"start_date":"2016-12-07","description":"","custom_fields":[{"id":1,"name":"Subdivision","value":"NW"},{"id":4,"name":"Milepost","value":"0.0692"},{"id":17,"name":"Train ID","value":"804-07"},{"id":16,"name":"Locomotive ID","value":"4039"},{"id":130,"name":"Impact","value":""},{"id":150,"name":"Time of Event (Mountain Time)","value":"06:56:24"},{"id":151,"name":"Denver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</row>
    <row r="165" spans="1:91" s="21" customFormat="1" x14ac:dyDescent="0.25">
      <c r="A165" s="37" t="s">
        <v>454</v>
      </c>
      <c r="B165" s="7">
        <v>4011</v>
      </c>
      <c r="C165" s="22" t="s">
        <v>207</v>
      </c>
      <c r="D165" s="22" t="s">
        <v>437</v>
      </c>
      <c r="E165" s="13">
        <v>42711.280648148146</v>
      </c>
      <c r="F165" s="13">
        <v>42711.285601851851</v>
      </c>
      <c r="G165" s="7">
        <v>1</v>
      </c>
      <c r="H165" s="22" t="s">
        <v>771</v>
      </c>
      <c r="I165" s="13">
        <v>42711.29619212963</v>
      </c>
      <c r="J165" s="7">
        <v>0</v>
      </c>
      <c r="K165" s="109" t="str">
        <f t="shared" si="53"/>
        <v>4011/4012</v>
      </c>
      <c r="L165" s="22" t="str">
        <f>VLOOKUP(A165,'Trips&amp;Operators'!$C$1:$G$99999,5,FALSE)</f>
        <v>STARKS ANGELINA</v>
      </c>
      <c r="M165" s="6">
        <f t="shared" si="54"/>
        <v>1.0590277779556345E-2</v>
      </c>
      <c r="N165" s="7">
        <f t="shared" si="68"/>
        <v>15.250000002561137</v>
      </c>
      <c r="O165" s="7"/>
      <c r="P165" s="7"/>
      <c r="Q165" s="23"/>
      <c r="R165" s="23"/>
      <c r="S165" s="35">
        <f t="shared" si="67"/>
        <v>1</v>
      </c>
      <c r="T165" s="50" t="str">
        <f t="shared" si="55"/>
        <v>NorthBound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05:44:08-700',mode:absolute,to:'2016-12-07 08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5" s="52" t="str">
        <f t="shared" si="57"/>
        <v>N</v>
      </c>
      <c r="X165" s="177">
        <f t="shared" si="69"/>
        <v>1</v>
      </c>
      <c r="Y165" s="67">
        <f t="shared" si="58"/>
        <v>0.10199999999999999</v>
      </c>
      <c r="Z165" s="67">
        <f t="shared" si="59"/>
        <v>5.8936999999999999</v>
      </c>
      <c r="AA165" s="67">
        <f t="shared" si="60"/>
        <v>5.7916999999999996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61"/>
        <v>0805-07</v>
      </c>
      <c r="AE165" s="91" t="str">
        <f t="shared" si="62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65" s="88" t="str">
        <f t="shared" si="63"/>
        <v>"C:\Program Files (x86)\AstroGrep\AstroGrep.exe" /spath="%USERPROFILE%\AppData\Local\Temp\OnboardLogs" /stypes="app*4011*20161207*" /stext=" 14:.+((SYSTEM_STATE.+slice.+state.+changed )|(ment ac)|(multiple cpu faults)|(system.+state.+changed )|(\[timeout)|(PRM\|1\|D)|(kpr)|(kdp)|(\|lc)|(penalty))" /e /r /s</v>
      </c>
      <c r="AG165" s="1" t="str">
        <f t="shared" si="64"/>
        <v>NW</v>
      </c>
      <c r="AH165" s="92" t="str">
        <f t="shared" si="51"/>
        <v>"%USERPROFILE%\Documents\GitHub\eaglep3\Utilities\RefineRTDCRunTimes.py" --tripid 805-07 --locoid 4011 --swversion DE.1.0.8.0 --startMP 204:1020 --initTime 2016-12-07T06:44:08 --startdatetime 2016-12-07T06:51:16 --delay 1 --endMP 300:58937 --enddatetime 2016-12-07T07:06:31 --enforcementcount 0 &gt;&gt;C:\Users\stu\Documents\GitHub\eaglep3-reporting\EC\2016-12-07-refined-times.txt</v>
      </c>
      <c r="AI165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{"issue":{"subject":"","project_id":79,"tracker_id":40,"status_id":1,"priority_id":2,"assigned_to_id":23,"start_date":"2016-12-07","description":"","custom_fields":[{"id":1,"name":"Subdivision","value":"NW"},{"id":4,"name":"Milepost","value":"5.8937"},{"id":17,"name":"Train ID","value":"805-07"},{"id":16,"name":"Locomotive ID","value":"4011"},{"id":130,"name":"Impact","value":""},{"id":150,"name":"Time of Event (Mountain Time)","value":"07:06:31"},{"id":151,"name":"Denver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513</v>
      </c>
      <c r="B166" s="7">
        <v>4012</v>
      </c>
      <c r="C166" s="22" t="s">
        <v>207</v>
      </c>
      <c r="D166" s="22" t="s">
        <v>436</v>
      </c>
      <c r="E166" s="13">
        <v>42711.297025462962</v>
      </c>
      <c r="F166" s="13">
        <v>42711.29891203704</v>
      </c>
      <c r="G166" s="7">
        <v>1</v>
      </c>
      <c r="H166" s="22" t="s">
        <v>432</v>
      </c>
      <c r="I166" s="13">
        <v>42711.310081018521</v>
      </c>
      <c r="J166" s="7">
        <v>0</v>
      </c>
      <c r="K166" s="109" t="str">
        <f t="shared" si="53"/>
        <v>4011/4012</v>
      </c>
      <c r="L166" s="22" t="str">
        <f>VLOOKUP(A166,'Trips&amp;Operators'!$C$1:$G$99999,5,FALSE)</f>
        <v>STARKS ANGELINA</v>
      </c>
      <c r="M166" s="6">
        <f t="shared" si="54"/>
        <v>1.116898148029577E-2</v>
      </c>
      <c r="N166" s="7">
        <f t="shared" si="68"/>
        <v>16.083333331625909</v>
      </c>
      <c r="O166" s="7"/>
      <c r="P166" s="7"/>
      <c r="Q166" s="23"/>
      <c r="R166" s="23"/>
      <c r="S166" s="35">
        <f t="shared" si="67"/>
        <v>1</v>
      </c>
      <c r="T166" s="50" t="str">
        <f t="shared" si="55"/>
        <v>Southbound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06:07:43-700',mode:absolute,to:'2016-12-07 08:26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66" s="52" t="str">
        <f t="shared" si="57"/>
        <v>N</v>
      </c>
      <c r="X166" s="177">
        <f t="shared" si="69"/>
        <v>1</v>
      </c>
      <c r="Y166" s="67">
        <f t="shared" si="58"/>
        <v>5.8630000000000004</v>
      </c>
      <c r="Z166" s="67">
        <f t="shared" si="59"/>
        <v>7.1499999999999994E-2</v>
      </c>
      <c r="AA166" s="67">
        <f t="shared" si="60"/>
        <v>5.7915000000000001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61"/>
        <v>0806-07</v>
      </c>
      <c r="AE166" s="91" t="str">
        <f t="shared" si="62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66" s="88" t="str">
        <f t="shared" si="63"/>
        <v>"C:\Program Files (x86)\AstroGrep\AstroGrep.exe" /spath="%USERPROFILE%\AppData\Local\Temp\OnboardLogs" /stypes="app*4012*20161207*" /stext=" 14:.+((SYSTEM_STATE.+slice.+state.+changed )|(ment ac)|(multiple cpu faults)|(system.+state.+changed )|(\[timeout)|(PRM\|1\|D)|(kpr)|(kdp)|(\|lc)|(penalty))" /e /r /s</v>
      </c>
      <c r="AG166" s="1" t="str">
        <f t="shared" si="64"/>
        <v>NW</v>
      </c>
      <c r="AH166" s="92" t="str">
        <f t="shared" si="51"/>
        <v>"%USERPROFILE%\Documents\GitHub\eaglep3\Utilities\RefineRTDCRunTimes.py" --tripid 806-07 --locoid 4012 --swversion DE.1.0.8.0 --startMP 300:58630 --initTime 2016-12-07T07:07:43 --startdatetime 2016-12-07T07:10:26 --delay 1 --endMP 204:715 --enddatetime 2016-12-07T07:26:31 --enforcementcount 0 &gt;&gt;C:\Users\stu\Documents\GitHub\eaglep3-reporting\EC\2016-12-07-refined-times.txt</v>
      </c>
      <c r="AI166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{"issue":{"subject":"","project_id":79,"tracker_id":40,"status_id":1,"priority_id":2,"assigned_to_id":23,"start_date":"2016-12-07","description":"","custom_fields":[{"id":1,"name":"Subdivision","value":"NW"},{"id":4,"name":"Milepost","value":"0.0715"},{"id":17,"name":"Train ID","value":"806-07"},{"id":16,"name":"Locomotive ID","value":"4012"},{"id":130,"name":"Impact","value":""},{"id":150,"name":"Time of Event (Mountain Time)","value":"07:26:31"},{"id":151,"name":"Denver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508</v>
      </c>
      <c r="B167" s="7">
        <v>4040</v>
      </c>
      <c r="C167" s="22" t="s">
        <v>207</v>
      </c>
      <c r="D167" s="22" t="s">
        <v>359</v>
      </c>
      <c r="E167" s="13">
        <v>42711.291481481479</v>
      </c>
      <c r="F167" s="13">
        <v>42711.306435185186</v>
      </c>
      <c r="G167" s="7">
        <v>1</v>
      </c>
      <c r="H167" s="22" t="s">
        <v>772</v>
      </c>
      <c r="I167" s="13">
        <v>42711.315081018518</v>
      </c>
      <c r="J167" s="7">
        <v>0</v>
      </c>
      <c r="K167" s="109" t="str">
        <f t="shared" si="53"/>
        <v>4039/4040</v>
      </c>
      <c r="L167" s="22" t="str">
        <f>VLOOKUP(A167,'Trips&amp;Operators'!$C$1:$G$99999,5,FALSE)</f>
        <v>GEBRETEKLE DAGNEW</v>
      </c>
      <c r="M167" s="6">
        <f t="shared" si="54"/>
        <v>8.6458333316841163E-3</v>
      </c>
      <c r="N167" s="7">
        <f t="shared" si="68"/>
        <v>12.449999997625127</v>
      </c>
      <c r="O167" s="7"/>
      <c r="P167" s="7"/>
      <c r="Q167" s="23"/>
      <c r="R167" s="23"/>
      <c r="S167" s="35">
        <f t="shared" si="67"/>
        <v>1</v>
      </c>
      <c r="T167" s="50" t="str">
        <f t="shared" si="55"/>
        <v>NorthBound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05:59:44-700',mode:absolute,to:'2016-12-07 08:33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67" s="52" t="str">
        <f t="shared" si="57"/>
        <v>N</v>
      </c>
      <c r="X167" s="177">
        <f t="shared" si="69"/>
        <v>1</v>
      </c>
      <c r="Y167" s="67">
        <f t="shared" si="58"/>
        <v>9.64E-2</v>
      </c>
      <c r="Z167" s="67">
        <f t="shared" si="59"/>
        <v>5.9006999999999996</v>
      </c>
      <c r="AA167" s="67">
        <f t="shared" si="60"/>
        <v>5.8042999999999996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61"/>
        <v>0807-07</v>
      </c>
      <c r="AE167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67" s="88" t="str">
        <f t="shared" si="63"/>
        <v>"C:\Program Files (x86)\AstroGrep\AstroGrep.exe" /spath="%USERPROFILE%\AppData\Local\Temp\OnboardLogs" /stypes="app*4040*20161207*" /stext=" 14:.+((SYSTEM_STATE.+slice.+state.+changed )|(ment ac)|(multiple cpu faults)|(system.+state.+changed )|(\[timeout)|(PRM\|1\|D)|(kpr)|(kdp)|(\|lc)|(penalty))" /e /r /s</v>
      </c>
      <c r="AG167" s="1" t="str">
        <f t="shared" si="64"/>
        <v>NW</v>
      </c>
      <c r="AH167" s="92" t="str">
        <f t="shared" si="51"/>
        <v>"%USERPROFILE%\Documents\GitHub\eaglep3\Utilities\RefineRTDCRunTimes.py" --tripid 807-07 --locoid 4040 --swversion DE.1.0.8.0 --startMP 204:964 --initTime 2016-12-07T06:59:44 --startdatetime 2016-12-07T07:21:16 --delay 1 --endMP 300:59007 --enddatetime 2016-12-07T07:33:43 --enforcementcount 0 &gt;&gt;C:\Users\stu\Documents\GitHub\eaglep3-reporting\EC\2016-12-07-refined-times.txt</v>
      </c>
      <c r="AI167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{"issue":{"subject":"","project_id":79,"tracker_id":40,"status_id":1,"priority_id":2,"assigned_to_id":23,"start_date":"2016-12-07","description":"","custom_fields":[{"id":1,"name":"Subdivision","value":"NW"},{"id":4,"name":"Milepost","value":"5.9007"},{"id":17,"name":"Train ID","value":"807-07"},{"id":16,"name":"Locomotive ID","value":"4040"},{"id":130,"name":"Impact","value":""},{"id":150,"name":"Time of Event (Mountain Time)","value":"07:33:43"},{"id":151,"name":"Denver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7" t="s">
        <v>517</v>
      </c>
      <c r="B168" s="7">
        <v>4039</v>
      </c>
      <c r="C168" s="22" t="s">
        <v>207</v>
      </c>
      <c r="D168" s="22" t="s">
        <v>773</v>
      </c>
      <c r="E168" s="13">
        <v>42711.316435185188</v>
      </c>
      <c r="F168" s="13">
        <v>42711.317743055559</v>
      </c>
      <c r="G168" s="7">
        <v>1</v>
      </c>
      <c r="H168" s="22" t="s">
        <v>360</v>
      </c>
      <c r="I168" s="13">
        <v>42711.330231481479</v>
      </c>
      <c r="J168" s="7">
        <v>0</v>
      </c>
      <c r="K168" s="109" t="str">
        <f t="shared" si="53"/>
        <v>4039/4040</v>
      </c>
      <c r="L168" s="22" t="str">
        <f>VLOOKUP(A168,'Trips&amp;Operators'!$C$1:$G$99999,5,FALSE)</f>
        <v>GEBRETEKLE DAGNEW</v>
      </c>
      <c r="M168" s="6">
        <f t="shared" si="54"/>
        <v>1.2488425920309965E-2</v>
      </c>
      <c r="N168" s="7">
        <f t="shared" si="68"/>
        <v>17.983333325246349</v>
      </c>
      <c r="O168" s="7"/>
      <c r="P168" s="7"/>
      <c r="Q168" s="23"/>
      <c r="R168" s="23"/>
      <c r="S168" s="35">
        <f t="shared" si="67"/>
        <v>1</v>
      </c>
      <c r="T168" s="50" t="str">
        <f t="shared" si="55"/>
        <v>Southbound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06:35:40-700',mode:absolute,to:'2016-12-07 08:55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68" s="52" t="str">
        <f t="shared" si="57"/>
        <v>N</v>
      </c>
      <c r="X168" s="177">
        <f t="shared" si="69"/>
        <v>1</v>
      </c>
      <c r="Y168" s="67">
        <f t="shared" si="58"/>
        <v>5.8689</v>
      </c>
      <c r="Z168" s="67">
        <f t="shared" si="59"/>
        <v>6.9400000000000003E-2</v>
      </c>
      <c r="AA168" s="67">
        <f t="shared" si="60"/>
        <v>5.7995000000000001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61"/>
        <v>0808-07</v>
      </c>
      <c r="AE168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68" s="88" t="str">
        <f t="shared" si="63"/>
        <v>"C:\Program Files (x86)\AstroGrep\AstroGrep.exe" /spath="%USERPROFILE%\AppData\Local\Temp\OnboardLogs" /stypes="app*4039*20161207*" /stext=" 14:.+((SYSTEM_STATE.+slice.+state.+changed )|(ment ac)|(multiple cpu faults)|(system.+state.+changed )|(\[timeout)|(PRM\|1\|D)|(kpr)|(kdp)|(\|lc)|(penalty))" /e /r /s</v>
      </c>
      <c r="AG168" s="1" t="str">
        <f t="shared" si="64"/>
        <v>NW</v>
      </c>
      <c r="AH168" s="92" t="str">
        <f t="shared" si="51"/>
        <v>"%USERPROFILE%\Documents\GitHub\eaglep3\Utilities\RefineRTDCRunTimes.py" --tripid 808-07 --locoid 4039 --swversion DE.1.0.8.0 --startMP 300:58689 --initTime 2016-12-07T07:35:40 --startdatetime 2016-12-07T07:37:33 --delay 1 --endMP 204:694 --enddatetime 2016-12-07T07:55:32 --enforcementcount 0 &gt;&gt;C:\Users\stu\Documents\GitHub\eaglep3-reporting\EC\2016-12-07-refined-times.txt</v>
      </c>
      <c r="AI168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{"issue":{"subject":"","project_id":79,"tracker_id":40,"status_id":1,"priority_id":2,"assigned_to_id":23,"start_date":"2016-12-07","description":"","custom_fields":[{"id":1,"name":"Subdivision","value":"NW"},{"id":4,"name":"Milepost","value":"0.0694"},{"id":17,"name":"Train ID","value":"808-07"},{"id":16,"name":"Locomotive ID","value":"4039"},{"id":130,"name":"Impact","value":""},{"id":150,"name":"Time of Event (Mountain Time)","value":"07:55:32"},{"id":151,"name":"Denver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</row>
    <row r="169" spans="1:91" s="21" customFormat="1" x14ac:dyDescent="0.25">
      <c r="A169" s="37" t="s">
        <v>457</v>
      </c>
      <c r="B169" s="7">
        <v>4011</v>
      </c>
      <c r="C169" s="22" t="s">
        <v>207</v>
      </c>
      <c r="D169" s="22" t="s">
        <v>429</v>
      </c>
      <c r="E169" s="13">
        <v>42711.321273148147</v>
      </c>
      <c r="F169" s="13">
        <v>42711.327326388891</v>
      </c>
      <c r="G169" s="7">
        <v>1</v>
      </c>
      <c r="H169" s="22" t="s">
        <v>774</v>
      </c>
      <c r="I169" s="13">
        <v>42711.337118055555</v>
      </c>
      <c r="J169" s="7">
        <v>0</v>
      </c>
      <c r="K169" s="109" t="str">
        <f t="shared" si="53"/>
        <v>4011/4012</v>
      </c>
      <c r="L169" s="22" t="str">
        <f>VLOOKUP(A169,'Trips&amp;Operators'!$C$1:$G$99999,5,FALSE)</f>
        <v>STARKS ANGELINA</v>
      </c>
      <c r="M169" s="6">
        <f t="shared" si="54"/>
        <v>9.7916666636592709E-3</v>
      </c>
      <c r="N169" s="7">
        <f t="shared" si="68"/>
        <v>14.09999999566935</v>
      </c>
      <c r="O169" s="7"/>
      <c r="P169" s="7"/>
      <c r="Q169" s="23"/>
      <c r="R169" s="23"/>
      <c r="S169" s="35">
        <f t="shared" si="67"/>
        <v>1</v>
      </c>
      <c r="T169" s="50" t="str">
        <f t="shared" si="55"/>
        <v>NorthBound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06:42:38-700',mode:absolute,to:'2016-12-07 09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69" s="52" t="str">
        <f t="shared" si="57"/>
        <v>N</v>
      </c>
      <c r="X169" s="177">
        <f t="shared" si="69"/>
        <v>1</v>
      </c>
      <c r="Y169" s="67">
        <f t="shared" si="58"/>
        <v>0.1002</v>
      </c>
      <c r="Z169" s="67">
        <f t="shared" si="59"/>
        <v>5.8960999999999997</v>
      </c>
      <c r="AA169" s="67">
        <f t="shared" si="60"/>
        <v>5.7958999999999996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61"/>
        <v>0809-07</v>
      </c>
      <c r="AE169" s="91" t="str">
        <f t="shared" si="62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69" s="88" t="str">
        <f t="shared" si="63"/>
        <v>"C:\Program Files (x86)\AstroGrep\AstroGrep.exe" /spath="%USERPROFILE%\AppData\Local\Temp\OnboardLogs" /stypes="app*4011*20161207*" /stext=" 15:.+((SYSTEM_STATE.+slice.+state.+changed )|(ment ac)|(multiple cpu faults)|(system.+state.+changed )|(\[timeout)|(PRM\|1\|D)|(kpr)|(kdp)|(\|lc)|(penalty))" /e /r /s</v>
      </c>
      <c r="AG169" s="1" t="str">
        <f t="shared" si="64"/>
        <v>NW</v>
      </c>
      <c r="AH169" s="92" t="str">
        <f t="shared" si="51"/>
        <v>"%USERPROFILE%\Documents\GitHub\eaglep3\Utilities\RefineRTDCRunTimes.py" --tripid 809-07 --locoid 4011 --swversion DE.1.0.8.0 --startMP 204:1002 --initTime 2016-12-07T07:42:38 --startdatetime 2016-12-07T07:51:21 --delay 1 --endMP 300:58961 --enddatetime 2016-12-07T08:05:27 --enforcementcount 0 &gt;&gt;C:\Users\stu\Documents\GitHub\eaglep3-reporting\EC\2016-12-07-refined-times.txt</v>
      </c>
      <c r="AI169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{"issue":{"subject":"","project_id":79,"tracker_id":40,"status_id":1,"priority_id":2,"assigned_to_id":23,"start_date":"2016-12-07","description":"","custom_fields":[{"id":1,"name":"Subdivision","value":"NW"},{"id":4,"name":"Milepost","value":"5.8961"},{"id":17,"name":"Train ID","value":"809-07"},{"id":16,"name":"Locomotive ID","value":"4011"},{"id":130,"name":"Impact","value":""},{"id":150,"name":"Time of Event (Mountain Time)","value":"08:05:27"},{"id":151,"name":"Denver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1" customFormat="1" x14ac:dyDescent="0.25">
      <c r="A170" s="37" t="s">
        <v>524</v>
      </c>
      <c r="B170" s="7">
        <v>4012</v>
      </c>
      <c r="C170" s="22" t="s">
        <v>207</v>
      </c>
      <c r="D170" s="22" t="s">
        <v>775</v>
      </c>
      <c r="E170" s="13">
        <v>42711.337777777779</v>
      </c>
      <c r="F170" s="13">
        <v>42711.338912037034</v>
      </c>
      <c r="G170" s="7">
        <v>1</v>
      </c>
      <c r="H170" s="22" t="s">
        <v>430</v>
      </c>
      <c r="I170" s="13">
        <v>42711.351365740738</v>
      </c>
      <c r="J170" s="7">
        <v>0</v>
      </c>
      <c r="K170" s="109" t="str">
        <f t="shared" si="53"/>
        <v>4011/4012</v>
      </c>
      <c r="L170" s="22" t="str">
        <f>VLOOKUP(A170,'Trips&amp;Operators'!$C$1:$G$99999,5,FALSE)</f>
        <v>STARKS ANGELINA</v>
      </c>
      <c r="M170" s="6">
        <f t="shared" si="54"/>
        <v>1.2453703704522923E-2</v>
      </c>
      <c r="N170" s="7">
        <f t="shared" si="68"/>
        <v>17.933333334513009</v>
      </c>
      <c r="O170" s="7"/>
      <c r="P170" s="7"/>
      <c r="Q170" s="23"/>
      <c r="R170" s="23"/>
      <c r="S170" s="35">
        <f t="shared" si="67"/>
        <v>1</v>
      </c>
      <c r="T170" s="50" t="str">
        <f t="shared" si="55"/>
        <v>Southbound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07:06:24-700',mode:absolute,to:'2016-12-07 09:25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70" s="52" t="str">
        <f t="shared" si="57"/>
        <v>N</v>
      </c>
      <c r="X170" s="177">
        <f t="shared" si="69"/>
        <v>1</v>
      </c>
      <c r="Y170" s="67">
        <f t="shared" si="58"/>
        <v>5.8648999999999996</v>
      </c>
      <c r="Z170" s="67">
        <f t="shared" si="59"/>
        <v>7.2599999999999998E-2</v>
      </c>
      <c r="AA170" s="67">
        <f t="shared" si="60"/>
        <v>5.7922999999999991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61"/>
        <v>0810-07</v>
      </c>
      <c r="AE170" s="91" t="str">
        <f t="shared" si="62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70" s="88" t="str">
        <f t="shared" si="63"/>
        <v>"C:\Program Files (x86)\AstroGrep\AstroGrep.exe" /spath="%USERPROFILE%\AppData\Local\Temp\OnboardLogs" /stypes="app*4012*20161207*" /stext=" 15:.+((SYSTEM_STATE.+slice.+state.+changed )|(ment ac)|(multiple cpu faults)|(system.+state.+changed )|(\[timeout)|(PRM\|1\|D)|(kpr)|(kdp)|(\|lc)|(penalty))" /e /r /s</v>
      </c>
      <c r="AG170" s="1" t="str">
        <f t="shared" si="64"/>
        <v>NW</v>
      </c>
      <c r="AH170" s="92" t="str">
        <f t="shared" si="51"/>
        <v>"%USERPROFILE%\Documents\GitHub\eaglep3\Utilities\RefineRTDCRunTimes.py" --tripid 810-07 --locoid 4012 --swversion DE.1.0.8.0 --startMP 300:58649 --initTime 2016-12-07T08:06:24 --startdatetime 2016-12-07T08:08:02 --delay 1 --endMP 204:726 --enddatetime 2016-12-07T08:25:58 --enforcementcount 0 &gt;&gt;C:\Users\stu\Documents\GitHub\eaglep3-reporting\EC\2016-12-07-refined-times.txt</v>
      </c>
      <c r="AI170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{"issue":{"subject":"","project_id":79,"tracker_id":40,"status_id":1,"priority_id":2,"assigned_to_id":23,"start_date":"2016-12-07","description":"","custom_fields":[{"id":1,"name":"Subdivision","value":"NW"},{"id":4,"name":"Milepost","value":"0.0726"},{"id":17,"name":"Train ID","value":"810-07"},{"id":16,"name":"Locomotive ID","value":"4012"},{"id":130,"name":"Impact","value":""},{"id":150,"name":"Time of Event (Mountain Time)","value":"08:25:58"},{"id":151,"name":"Denver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1" customFormat="1" x14ac:dyDescent="0.25">
      <c r="A171" s="37" t="s">
        <v>522</v>
      </c>
      <c r="B171" s="7">
        <v>4040</v>
      </c>
      <c r="C171" s="22" t="s">
        <v>207</v>
      </c>
      <c r="D171" s="22" t="s">
        <v>776</v>
      </c>
      <c r="E171" s="13">
        <v>42711.332025462965</v>
      </c>
      <c r="F171" s="13">
        <v>42711.348101851851</v>
      </c>
      <c r="G171" s="7">
        <v>1</v>
      </c>
      <c r="H171" s="22" t="s">
        <v>772</v>
      </c>
      <c r="I171" s="13">
        <v>42711.356886574074</v>
      </c>
      <c r="J171" s="7">
        <v>0</v>
      </c>
      <c r="K171" s="109" t="str">
        <f t="shared" si="53"/>
        <v>4039/4040</v>
      </c>
      <c r="L171" s="22" t="str">
        <f>VLOOKUP(A171,'Trips&amp;Operators'!$C$1:$G$99999,5,FALSE)</f>
        <v>GEBRETEKLE DAGNEW</v>
      </c>
      <c r="M171" s="6">
        <f t="shared" si="54"/>
        <v>8.7847222239361145E-3</v>
      </c>
      <c r="N171" s="7">
        <f t="shared" si="68"/>
        <v>12.650000002468005</v>
      </c>
      <c r="O171" s="7"/>
      <c r="P171" s="7"/>
      <c r="Q171" s="23"/>
      <c r="R171" s="23"/>
      <c r="S171" s="35">
        <f t="shared" si="67"/>
        <v>1</v>
      </c>
      <c r="T171" s="50" t="str">
        <f t="shared" si="55"/>
        <v>NorthBound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06:58:07-700',mode:absolute,to:'2016-12-07 09:33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1" s="52" t="str">
        <f t="shared" si="57"/>
        <v>N</v>
      </c>
      <c r="X171" s="177">
        <f t="shared" si="69"/>
        <v>1</v>
      </c>
      <c r="Y171" s="67">
        <f t="shared" si="58"/>
        <v>9.9000000000000005E-2</v>
      </c>
      <c r="Z171" s="67">
        <f t="shared" si="59"/>
        <v>5.9006999999999996</v>
      </c>
      <c r="AA171" s="67">
        <f t="shared" si="60"/>
        <v>5.8016999999999994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61"/>
        <v>0811-07</v>
      </c>
      <c r="AE171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71" s="88" t="str">
        <f t="shared" si="63"/>
        <v>"C:\Program Files (x86)\AstroGrep\AstroGrep.exe" /spath="%USERPROFILE%\AppData\Local\Temp\OnboardLogs" /stypes="app*4040*20161207*" /stext=" 15:.+((SYSTEM_STATE.+slice.+state.+changed )|(ment ac)|(multiple cpu faults)|(system.+state.+changed )|(\[timeout)|(PRM\|1\|D)|(kpr)|(kdp)|(\|lc)|(penalty))" /e /r /s</v>
      </c>
      <c r="AG171" s="1" t="str">
        <f t="shared" si="64"/>
        <v>NW</v>
      </c>
      <c r="AH171" s="92" t="str">
        <f t="shared" si="51"/>
        <v>"%USERPROFILE%\Documents\GitHub\eaglep3\Utilities\RefineRTDCRunTimes.py" --tripid 811-07 --locoid 4040 --swversion DE.1.0.8.0 --startMP 204:990 --initTime 2016-12-07T07:58:07 --startdatetime 2016-12-07T08:21:16 --delay 1 --endMP 300:59007 --enddatetime 2016-12-07T08:33:55 --enforcementcount 0 &gt;&gt;C:\Users\stu\Documents\GitHub\eaglep3-reporting\EC\2016-12-07-refined-times.txt</v>
      </c>
      <c r="AI171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{"issue":{"subject":"","project_id":79,"tracker_id":40,"status_id":1,"priority_id":2,"assigned_to_id":23,"start_date":"2016-12-07","description":"","custom_fields":[{"id":1,"name":"Subdivision","value":"NW"},{"id":4,"name":"Milepost","value":"5.9007"},{"id":17,"name":"Train ID","value":"811-07"},{"id":16,"name":"Locomotive ID","value":"4040"},{"id":130,"name":"Impact","value":""},{"id":150,"name":"Time of Event (Mountain Time)","value":"08:33:55"},{"id":151,"name":"Denver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1" customFormat="1" x14ac:dyDescent="0.25">
      <c r="A172" s="37" t="s">
        <v>530</v>
      </c>
      <c r="B172" s="7">
        <v>4039</v>
      </c>
      <c r="C172" s="22" t="s">
        <v>207</v>
      </c>
      <c r="D172" s="22" t="s">
        <v>777</v>
      </c>
      <c r="E172" s="13">
        <v>42711.358564814815</v>
      </c>
      <c r="F172" s="13">
        <v>42711.360196759262</v>
      </c>
      <c r="G172" s="7">
        <v>1</v>
      </c>
      <c r="H172" s="22" t="s">
        <v>778</v>
      </c>
      <c r="I172" s="13">
        <v>42711.372083333335</v>
      </c>
      <c r="J172" s="7">
        <v>0</v>
      </c>
      <c r="K172" s="109" t="str">
        <f t="shared" si="53"/>
        <v>4039/4040</v>
      </c>
      <c r="L172" s="22" t="str">
        <f>VLOOKUP(A172,'Trips&amp;Operators'!$C$1:$G$99999,5,FALSE)</f>
        <v>GEBRETEKLE DAGNEW</v>
      </c>
      <c r="M172" s="6">
        <f t="shared" si="54"/>
        <v>1.1886574073287193E-2</v>
      </c>
      <c r="N172" s="7">
        <f t="shared" si="68"/>
        <v>17.116666665533558</v>
      </c>
      <c r="O172" s="7"/>
      <c r="P172" s="7"/>
      <c r="Q172" s="23"/>
      <c r="R172" s="23"/>
      <c r="S172" s="35">
        <f t="shared" si="67"/>
        <v>1</v>
      </c>
      <c r="T172" s="50" t="str">
        <f t="shared" si="55"/>
        <v>Southbound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07:36:20-700',mode:absolute,to:'2016-12-07 09:55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2" s="52" t="str">
        <f t="shared" si="57"/>
        <v>N</v>
      </c>
      <c r="X172" s="177">
        <f t="shared" si="69"/>
        <v>1</v>
      </c>
      <c r="Y172" s="67">
        <f t="shared" si="58"/>
        <v>5.8693</v>
      </c>
      <c r="Z172" s="67">
        <f t="shared" si="59"/>
        <v>6.9800000000000001E-2</v>
      </c>
      <c r="AA172" s="67">
        <f t="shared" si="60"/>
        <v>5.7995000000000001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61"/>
        <v>0812-07</v>
      </c>
      <c r="AE172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72" s="88" t="str">
        <f t="shared" si="63"/>
        <v>"C:\Program Files (x86)\AstroGrep\AstroGrep.exe" /spath="%USERPROFILE%\AppData\Local\Temp\OnboardLogs" /stypes="app*4039*20161207*" /stext=" 15:.+((SYSTEM_STATE.+slice.+state.+changed )|(ment ac)|(multiple cpu faults)|(system.+state.+changed )|(\[timeout)|(PRM\|1\|D)|(kpr)|(kdp)|(\|lc)|(penalty))" /e /r /s</v>
      </c>
      <c r="AG172" s="1" t="str">
        <f t="shared" si="64"/>
        <v>NW</v>
      </c>
      <c r="AH172" s="92" t="str">
        <f t="shared" si="51"/>
        <v>"%USERPROFILE%\Documents\GitHub\eaglep3\Utilities\RefineRTDCRunTimes.py" --tripid 812-07 --locoid 4039 --swversion DE.1.0.8.0 --startMP 300:58693 --initTime 2016-12-07T08:36:20 --startdatetime 2016-12-07T08:38:41 --delay 1 --endMP 204:698 --enddatetime 2016-12-07T08:55:48 --enforcementcount 0 &gt;&gt;C:\Users\stu\Documents\GitHub\eaglep3-reporting\EC\2016-12-07-refined-times.txt</v>
      </c>
      <c r="AI172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{"issue":{"subject":"","project_id":79,"tracker_id":40,"status_id":1,"priority_id":2,"assigned_to_id":23,"start_date":"2016-12-07","description":"","custom_fields":[{"id":1,"name":"Subdivision","value":"NW"},{"id":4,"name":"Milepost","value":"0.0698"},{"id":17,"name":"Train ID","value":"812-07"},{"id":16,"name":"Locomotive ID","value":"4039"},{"id":130,"name":"Impact","value":""},{"id":150,"name":"Time of Event (Mountain Time)","value":"08:55:48"},{"id":151,"name":"Denver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1" customFormat="1" x14ac:dyDescent="0.25">
      <c r="A173" s="37" t="s">
        <v>533</v>
      </c>
      <c r="B173" s="7">
        <v>4040</v>
      </c>
      <c r="C173" s="22" t="s">
        <v>207</v>
      </c>
      <c r="D173" s="22" t="s">
        <v>357</v>
      </c>
      <c r="E173" s="13">
        <v>42711.374097222222</v>
      </c>
      <c r="F173" s="13">
        <v>42711.389780092592</v>
      </c>
      <c r="G173" s="7">
        <v>1</v>
      </c>
      <c r="H173" s="22" t="s">
        <v>779</v>
      </c>
      <c r="I173" s="13">
        <v>42711.398402777777</v>
      </c>
      <c r="J173" s="7">
        <v>0</v>
      </c>
      <c r="K173" s="109" t="str">
        <f t="shared" si="53"/>
        <v>4039/4040</v>
      </c>
      <c r="L173" s="22" t="str">
        <f>VLOOKUP(A173,'Trips&amp;Operators'!$C$1:$G$99999,5,FALSE)</f>
        <v>GEBRETEKLE DAGNEW</v>
      </c>
      <c r="M173" s="6">
        <f t="shared" si="54"/>
        <v>8.6226851854007691E-3</v>
      </c>
      <c r="N173" s="7">
        <f t="shared" si="68"/>
        <v>12.416666666977108</v>
      </c>
      <c r="O173" s="7"/>
      <c r="P173" s="7"/>
      <c r="Q173" s="23"/>
      <c r="R173" s="23"/>
      <c r="S173" s="35">
        <f t="shared" si="67"/>
        <v>1</v>
      </c>
      <c r="T173" s="50" t="str">
        <f t="shared" si="55"/>
        <v>NorthBound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07:58:42-700',mode:absolute,to:'2016-12-07 10:33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3" s="52" t="str">
        <f t="shared" si="57"/>
        <v>N</v>
      </c>
      <c r="X173" s="177">
        <f t="shared" si="69"/>
        <v>1</v>
      </c>
      <c r="Y173" s="67">
        <f t="shared" si="58"/>
        <v>9.7799999999999998E-2</v>
      </c>
      <c r="Z173" s="67">
        <f t="shared" si="59"/>
        <v>5.9005000000000001</v>
      </c>
      <c r="AA173" s="67">
        <f t="shared" si="60"/>
        <v>5.8026999999999997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61"/>
        <v>0813-07</v>
      </c>
      <c r="AE173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73" s="88" t="str">
        <f t="shared" si="63"/>
        <v>"C:\Program Files (x86)\AstroGrep\AstroGrep.exe" /spath="%USERPROFILE%\AppData\Local\Temp\OnboardLogs" /stypes="app*4040*20161207*" /stext=" 16:.+((SYSTEM_STATE.+slice.+state.+changed )|(ment ac)|(multiple cpu faults)|(system.+state.+changed )|(\[timeout)|(PRM\|1\|D)|(kpr)|(kdp)|(\|lc)|(penalty))" /e /r /s</v>
      </c>
      <c r="AG173" s="1" t="str">
        <f t="shared" si="64"/>
        <v>NW</v>
      </c>
      <c r="AH173" s="92" t="str">
        <f t="shared" si="51"/>
        <v>"%USERPROFILE%\Documents\GitHub\eaglep3\Utilities\RefineRTDCRunTimes.py" --tripid 813-07 --locoid 4040 --swversion DE.1.0.8.0 --startMP 204:978 --initTime 2016-12-07T08:58:42 --startdatetime 2016-12-07T09:21:17 --delay 1 --endMP 300:59005 --enddatetime 2016-12-07T09:33:42 --enforcementcount 0 &gt;&gt;C:\Users\stu\Documents\GitHub\eaglep3-reporting\EC\2016-12-07-refined-times.txt</v>
      </c>
      <c r="AI173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{"issue":{"subject":"","project_id":79,"tracker_id":40,"status_id":1,"priority_id":2,"assigned_to_id":23,"start_date":"2016-12-07","description":"","custom_fields":[{"id":1,"name":"Subdivision","value":"NW"},{"id":4,"name":"Milepost","value":"5.9005"},{"id":17,"name":"Train ID","value":"813-07"},{"id":16,"name":"Locomotive ID","value":"4040"},{"id":130,"name":"Impact","value":""},{"id":150,"name":"Time of Event (Mountain Time)","value":"09:33:42"},{"id":151,"name":"Denver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7" t="s">
        <v>539</v>
      </c>
      <c r="B174" s="7">
        <v>4039</v>
      </c>
      <c r="C174" s="22" t="s">
        <v>207</v>
      </c>
      <c r="D174" s="22" t="s">
        <v>780</v>
      </c>
      <c r="E174" s="13">
        <v>42711.399340277778</v>
      </c>
      <c r="F174" s="13">
        <v>42711.400520833333</v>
      </c>
      <c r="G174" s="7">
        <v>1</v>
      </c>
      <c r="H174" s="22" t="s">
        <v>770</v>
      </c>
      <c r="I174" s="13">
        <v>42711.412673611114</v>
      </c>
      <c r="J174" s="7">
        <v>0</v>
      </c>
      <c r="K174" s="109" t="str">
        <f t="shared" si="53"/>
        <v>4039/4040</v>
      </c>
      <c r="L174" s="22" t="str">
        <f>VLOOKUP(A174,'Trips&amp;Operators'!$C$1:$G$99999,5,FALSE)</f>
        <v>GEBRETEKLE DAGNEW</v>
      </c>
      <c r="M174" s="6">
        <f t="shared" si="54"/>
        <v>1.2152777781011537E-2</v>
      </c>
      <c r="N174" s="7">
        <f t="shared" si="68"/>
        <v>17.500000004656613</v>
      </c>
      <c r="O174" s="7"/>
      <c r="P174" s="7"/>
      <c r="Q174" s="23"/>
      <c r="R174" s="23"/>
      <c r="S174" s="35">
        <f t="shared" si="67"/>
        <v>1</v>
      </c>
      <c r="T174" s="50" t="str">
        <f t="shared" si="55"/>
        <v>Southbound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08:35:03-700',mode:absolute,to:'2016-12-07 10:54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4" s="52" t="str">
        <f t="shared" si="57"/>
        <v>N</v>
      </c>
      <c r="X174" s="177">
        <f t="shared" si="69"/>
        <v>1</v>
      </c>
      <c r="Y174" s="67">
        <f t="shared" si="58"/>
        <v>5.8692000000000002</v>
      </c>
      <c r="Z174" s="67">
        <f t="shared" si="59"/>
        <v>6.9199999999999998E-2</v>
      </c>
      <c r="AA174" s="67">
        <f t="shared" si="60"/>
        <v>5.8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61"/>
        <v>0814-07</v>
      </c>
      <c r="AE174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74" s="88" t="str">
        <f t="shared" si="63"/>
        <v>"C:\Program Files (x86)\AstroGrep\AstroGrep.exe" /spath="%USERPROFILE%\AppData\Local\Temp\OnboardLogs" /stypes="app*4039*20161207*" /stext=" 16:.+((SYSTEM_STATE.+slice.+state.+changed )|(ment ac)|(multiple cpu faults)|(system.+state.+changed )|(\[timeout)|(PRM\|1\|D)|(kpr)|(kdp)|(\|lc)|(penalty))" /e /r /s</v>
      </c>
      <c r="AG174" s="1" t="str">
        <f t="shared" si="64"/>
        <v>NW</v>
      </c>
      <c r="AH174" s="92" t="str">
        <f t="shared" si="51"/>
        <v>"%USERPROFILE%\Documents\GitHub\eaglep3\Utilities\RefineRTDCRunTimes.py" --tripid 814-07 --locoid 4039 --swversion DE.1.0.8.0 --startMP 300:58692 --initTime 2016-12-07T09:35:03 --startdatetime 2016-12-07T09:36:45 --delay 1 --endMP 204:692 --enddatetime 2016-12-07T09:54:15 --enforcementcount 0 &gt;&gt;C:\Users\stu\Documents\GitHub\eaglep3-reporting\EC\2016-12-07-refined-times.txt</v>
      </c>
      <c r="AI174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{"issue":{"subject":"","project_id":79,"tracker_id":40,"status_id":1,"priority_id":2,"assigned_to_id":23,"start_date":"2016-12-07","description":"","custom_fields":[{"id":1,"name":"Subdivision","value":"NW"},{"id":4,"name":"Milepost","value":"0.0692"},{"id":17,"name":"Train ID","value":"814-07"},{"id":16,"name":"Locomotive ID","value":"4039"},{"id":130,"name":"Impact","value":""},{"id":150,"name":"Time of Event (Mountain Time)","value":"09:54:15"},{"id":151,"name":"Denver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</row>
    <row r="175" spans="1:91" x14ac:dyDescent="0.25">
      <c r="A175" s="37" t="s">
        <v>459</v>
      </c>
      <c r="B175" s="7">
        <v>4040</v>
      </c>
      <c r="C175" s="22" t="s">
        <v>207</v>
      </c>
      <c r="D175" s="22" t="s">
        <v>433</v>
      </c>
      <c r="E175" s="13">
        <v>42711.414155092592</v>
      </c>
      <c r="F175" s="13">
        <v>42711.431550925925</v>
      </c>
      <c r="G175" s="7">
        <v>1</v>
      </c>
      <c r="H175" s="22" t="s">
        <v>781</v>
      </c>
      <c r="I175" s="13">
        <v>42711.44091435185</v>
      </c>
      <c r="J175" s="7">
        <v>0</v>
      </c>
      <c r="K175" s="109" t="str">
        <f t="shared" si="53"/>
        <v>4039/4040</v>
      </c>
      <c r="L175" s="22" t="str">
        <f>VLOOKUP(A175,'Trips&amp;Operators'!$C$1:$G$99999,5,FALSE)</f>
        <v>GEBRETEKLE DAGNEW</v>
      </c>
      <c r="M175" s="6">
        <f t="shared" si="54"/>
        <v>9.3634259246755391E-3</v>
      </c>
      <c r="N175" s="7">
        <f t="shared" si="68"/>
        <v>13.483333331532776</v>
      </c>
      <c r="O175" s="7"/>
      <c r="P175" s="7"/>
      <c r="Q175" s="23"/>
      <c r="R175" s="23"/>
      <c r="S175" s="35">
        <f t="shared" si="67"/>
        <v>1</v>
      </c>
      <c r="T175" s="50" t="str">
        <f t="shared" si="55"/>
        <v>NorthBound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08:56:23-700',mode:absolute,to:'2016-12-07 11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5" s="52" t="str">
        <f t="shared" si="57"/>
        <v>N</v>
      </c>
      <c r="X175" s="177">
        <f t="shared" si="69"/>
        <v>1</v>
      </c>
      <c r="Y175" s="67">
        <f t="shared" si="58"/>
        <v>9.7199999999999995E-2</v>
      </c>
      <c r="Z175" s="67">
        <f t="shared" si="59"/>
        <v>5.9009</v>
      </c>
      <c r="AA175" s="67">
        <f t="shared" si="60"/>
        <v>5.8037000000000001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61"/>
        <v>0815-07</v>
      </c>
      <c r="AE175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75" s="88" t="str">
        <f t="shared" si="63"/>
        <v>"C:\Program Files (x86)\AstroGrep\AstroGrep.exe" /spath="%USERPROFILE%\AppData\Local\Temp\OnboardLogs" /stypes="app*4040*20161207*" /stext=" 17:.+((SYSTEM_STATE.+slice.+state.+changed )|(ment ac)|(multiple cpu faults)|(system.+state.+changed )|(\[timeout)|(PRM\|1\|D)|(kpr)|(kdp)|(\|lc)|(penalty))" /e /r /s</v>
      </c>
      <c r="AG175" s="1" t="str">
        <f t="shared" si="64"/>
        <v>NW</v>
      </c>
      <c r="AH175" s="92" t="str">
        <f t="shared" si="51"/>
        <v>"%USERPROFILE%\Documents\GitHub\eaglep3\Utilities\RefineRTDCRunTimes.py" --tripid 815-07 --locoid 4040 --swversion DE.1.0.8.0 --startMP 204:972 --initTime 2016-12-07T09:56:23 --startdatetime 2016-12-07T10:21:26 --delay 1 --endMP 300:59009 --enddatetime 2016-12-07T10:34:55 --enforcementcount 0 &gt;&gt;C:\Users\stu\Documents\GitHub\eaglep3-reporting\EC\2016-12-07-refined-times.txt</v>
      </c>
      <c r="AI175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{"issue":{"subject":"","project_id":79,"tracker_id":40,"status_id":1,"priority_id":2,"assigned_to_id":23,"start_date":"2016-12-07","description":"","custom_fields":[{"id":1,"name":"Subdivision","value":"NW"},{"id":4,"name":"Milepost","value":"5.9009"},{"id":17,"name":"Train ID","value":"815-07"},{"id":16,"name":"Locomotive ID","value":"4040"},{"id":130,"name":"Impact","value":""},{"id":150,"name":"Time of Event (Mountain Time)","value":"10:34:55"},{"id":151,"name":"Denver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547</v>
      </c>
      <c r="B176" s="7">
        <v>4039</v>
      </c>
      <c r="C176" s="22" t="s">
        <v>207</v>
      </c>
      <c r="D176" s="22" t="s">
        <v>777</v>
      </c>
      <c r="E176" s="13">
        <v>42711.44259259259</v>
      </c>
      <c r="F176" s="13">
        <v>42711.444224537037</v>
      </c>
      <c r="G176" s="7">
        <v>1</v>
      </c>
      <c r="H176" s="22" t="s">
        <v>361</v>
      </c>
      <c r="I176" s="13">
        <v>42711.454351851855</v>
      </c>
      <c r="J176" s="7">
        <v>0</v>
      </c>
      <c r="K176" s="109" t="str">
        <f t="shared" si="53"/>
        <v>4039/4040</v>
      </c>
      <c r="L176" s="22" t="str">
        <f>VLOOKUP(A176,'Trips&amp;Operators'!$C$1:$G$99999,5,FALSE)</f>
        <v>GEBRETEKLE DAGNEW</v>
      </c>
      <c r="M176" s="6">
        <f t="shared" si="54"/>
        <v>1.0127314817509614E-2</v>
      </c>
      <c r="N176" s="7">
        <f t="shared" si="68"/>
        <v>14.583333337213844</v>
      </c>
      <c r="O176" s="7"/>
      <c r="P176" s="7"/>
      <c r="Q176" s="23"/>
      <c r="R176" s="23"/>
      <c r="S176" s="35">
        <f t="shared" si="67"/>
        <v>1</v>
      </c>
      <c r="T176" s="50" t="str">
        <f t="shared" si="55"/>
        <v>Southbound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09:37:20-700',mode:absolute,to:'2016-12-07 11:54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6" s="52" t="str">
        <f t="shared" si="57"/>
        <v>N</v>
      </c>
      <c r="X176" s="177">
        <f t="shared" si="69"/>
        <v>1</v>
      </c>
      <c r="Y176" s="67">
        <f t="shared" si="58"/>
        <v>5.8693</v>
      </c>
      <c r="Z176" s="67">
        <f t="shared" si="59"/>
        <v>6.7799999999999999E-2</v>
      </c>
      <c r="AA176" s="67">
        <f t="shared" si="60"/>
        <v>5.8014999999999999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61"/>
        <v>0816-07</v>
      </c>
      <c r="AE176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76" s="88" t="str">
        <f t="shared" si="63"/>
        <v>"C:\Program Files (x86)\AstroGrep\AstroGrep.exe" /spath="%USERPROFILE%\AppData\Local\Temp\OnboardLogs" /stypes="app*4039*20161207*" /stext=" 17:.+((SYSTEM_STATE.+slice.+state.+changed )|(ment ac)|(multiple cpu faults)|(system.+state.+changed )|(\[timeout)|(PRM\|1\|D)|(kpr)|(kdp)|(\|lc)|(penalty))" /e /r /s</v>
      </c>
      <c r="AG176" s="1" t="str">
        <f t="shared" si="64"/>
        <v>NW</v>
      </c>
      <c r="AH176" s="92" t="str">
        <f t="shared" si="51"/>
        <v>"%USERPROFILE%\Documents\GitHub\eaglep3\Utilities\RefineRTDCRunTimes.py" --tripid 816-07 --locoid 4039 --swversion DE.1.0.8.0 --startMP 300:58693 --initTime 2016-12-07T10:37:20 --startdatetime 2016-12-07T10:39:41 --delay 1 --endMP 204:678 --enddatetime 2016-12-07T10:54:16 --enforcementcount 0 &gt;&gt;C:\Users\stu\Documents\GitHub\eaglep3-reporting\EC\2016-12-07-refined-times.txt</v>
      </c>
      <c r="AI176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{"issue":{"subject":"","project_id":79,"tracker_id":40,"status_id":1,"priority_id":2,"assigned_to_id":23,"start_date":"2016-12-07","description":"","custom_fields":[{"id":1,"name":"Subdivision","value":"NW"},{"id":4,"name":"Milepost","value":"0.0678"},{"id":17,"name":"Train ID","value":"816-07"},{"id":16,"name":"Locomotive ID","value":"4039"},{"id":130,"name":"Impact","value":""},{"id":150,"name":"Time of Event (Mountain Time)","value":"10:54:16"},{"id":151,"name":"Denver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551</v>
      </c>
      <c r="B177" s="7">
        <v>4040</v>
      </c>
      <c r="C177" s="22" t="s">
        <v>207</v>
      </c>
      <c r="D177" s="22" t="s">
        <v>359</v>
      </c>
      <c r="E177" s="13">
        <v>42711.455868055556</v>
      </c>
      <c r="F177" s="13">
        <v>42711.47315972222</v>
      </c>
      <c r="G177" s="7">
        <v>1</v>
      </c>
      <c r="H177" s="22" t="s">
        <v>779</v>
      </c>
      <c r="I177" s="13">
        <v>42711.48238425926</v>
      </c>
      <c r="J177" s="7">
        <v>0</v>
      </c>
      <c r="K177" s="109" t="str">
        <f t="shared" si="53"/>
        <v>4039/4040</v>
      </c>
      <c r="L177" s="22" t="str">
        <f>VLOOKUP(A177,'Trips&amp;Operators'!$C$1:$G$99999,5,FALSE)</f>
        <v>GEBRETEKLE DAGNEW</v>
      </c>
      <c r="M177" s="6">
        <f t="shared" si="54"/>
        <v>9.2245370396994986E-3</v>
      </c>
      <c r="N177" s="7">
        <f t="shared" si="68"/>
        <v>13.283333337167278</v>
      </c>
      <c r="O177" s="7"/>
      <c r="P177" s="7"/>
      <c r="Q177" s="23"/>
      <c r="R177" s="23"/>
      <c r="S177" s="35">
        <f t="shared" si="67"/>
        <v>1</v>
      </c>
      <c r="T177" s="50" t="str">
        <f t="shared" si="55"/>
        <v>NorthBound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09:56:27-700',mode:absolute,to:'2016-12-07 12:34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7" s="52" t="str">
        <f t="shared" si="57"/>
        <v>N</v>
      </c>
      <c r="X177" s="177">
        <f t="shared" si="69"/>
        <v>1</v>
      </c>
      <c r="Y177" s="67">
        <f t="shared" si="58"/>
        <v>9.64E-2</v>
      </c>
      <c r="Z177" s="67">
        <f t="shared" si="59"/>
        <v>5.9005000000000001</v>
      </c>
      <c r="AA177" s="67">
        <f t="shared" si="60"/>
        <v>5.8041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61"/>
        <v>0817-07</v>
      </c>
      <c r="AE177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77" s="88" t="str">
        <f t="shared" si="63"/>
        <v>"C:\Program Files (x86)\AstroGrep\AstroGrep.exe" /spath="%USERPROFILE%\AppData\Local\Temp\OnboardLogs" /stypes="app*4040*20161207*" /stext=" 18:.+((SYSTEM_STATE.+slice.+state.+changed )|(ment ac)|(multiple cpu faults)|(system.+state.+changed )|(\[timeout)|(PRM\|1\|D)|(kpr)|(kdp)|(\|lc)|(penalty))" /e /r /s</v>
      </c>
      <c r="AG177" s="1" t="str">
        <f t="shared" si="64"/>
        <v>NW</v>
      </c>
      <c r="AH177" s="92" t="str">
        <f t="shared" si="51"/>
        <v>"%USERPROFILE%\Documents\GitHub\eaglep3\Utilities\RefineRTDCRunTimes.py" --tripid 817-07 --locoid 4040 --swversion DE.1.0.8.0 --startMP 204:964 --initTime 2016-12-07T10:56:27 --startdatetime 2016-12-07T11:21:21 --delay 1 --endMP 300:59005 --enddatetime 2016-12-07T11:34:38 --enforcementcount 0 &gt;&gt;C:\Users\stu\Documents\GitHub\eaglep3-reporting\EC\2016-12-07-refined-times.txt</v>
      </c>
      <c r="AI177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{"issue":{"subject":"","project_id":79,"tracker_id":40,"status_id":1,"priority_id":2,"assigned_to_id":23,"start_date":"2016-12-07","description":"","custom_fields":[{"id":1,"name":"Subdivision","value":"NW"},{"id":4,"name":"Milepost","value":"5.9005"},{"id":17,"name":"Train ID","value":"817-07"},{"id":16,"name":"Locomotive ID","value":"4040"},{"id":130,"name":"Impact","value":""},{"id":150,"name":"Time of Event (Mountain Time)","value":"11:34:38"},{"id":151,"name":"Denver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556</v>
      </c>
      <c r="B178" s="7">
        <v>4039</v>
      </c>
      <c r="C178" s="22" t="s">
        <v>207</v>
      </c>
      <c r="D178" s="22" t="s">
        <v>782</v>
      </c>
      <c r="E178" s="13">
        <v>42711.483761574076</v>
      </c>
      <c r="F178" s="13">
        <v>42711.485451388886</v>
      </c>
      <c r="G178" s="7">
        <v>1</v>
      </c>
      <c r="H178" s="22" t="s">
        <v>435</v>
      </c>
      <c r="I178" s="13">
        <v>42711.495949074073</v>
      </c>
      <c r="J178" s="7">
        <v>0</v>
      </c>
      <c r="K178" s="109" t="str">
        <f t="shared" si="53"/>
        <v>4039/4040</v>
      </c>
      <c r="L178" s="22" t="str">
        <f>VLOOKUP(A178,'Trips&amp;Operators'!$C$1:$G$99999,5,FALSE)</f>
        <v>GEBRETEKLE DAGNEW</v>
      </c>
      <c r="M178" s="6">
        <f t="shared" si="54"/>
        <v>1.0497685187146999E-2</v>
      </c>
      <c r="N178" s="7">
        <f t="shared" si="68"/>
        <v>15.116666669491678</v>
      </c>
      <c r="O178" s="7"/>
      <c r="P178" s="7"/>
      <c r="Q178" s="23"/>
      <c r="R178" s="23"/>
      <c r="S178" s="35">
        <f t="shared" si="67"/>
        <v>1</v>
      </c>
      <c r="T178" s="50" t="str">
        <f t="shared" si="55"/>
        <v>Southbound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10:36:37-700',mode:absolute,to:'2016-12-07 12:54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78" s="52" t="str">
        <f t="shared" si="57"/>
        <v>N</v>
      </c>
      <c r="X178" s="177">
        <f t="shared" si="69"/>
        <v>1</v>
      </c>
      <c r="Y178" s="67">
        <f t="shared" si="58"/>
        <v>5.8689999999999998</v>
      </c>
      <c r="Z178" s="67">
        <f t="shared" si="59"/>
        <v>6.8699999999999997E-2</v>
      </c>
      <c r="AA178" s="67">
        <f t="shared" si="60"/>
        <v>5.8003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61"/>
        <v>0818-07</v>
      </c>
      <c r="AE178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78" s="88" t="str">
        <f t="shared" si="63"/>
        <v>"C:\Program Files (x86)\AstroGrep\AstroGrep.exe" /spath="%USERPROFILE%\AppData\Local\Temp\OnboardLogs" /stypes="app*4039*20161207*" /stext=" 18:.+((SYSTEM_STATE.+slice.+state.+changed )|(ment ac)|(multiple cpu faults)|(system.+state.+changed )|(\[timeout)|(PRM\|1\|D)|(kpr)|(kdp)|(\|lc)|(penalty))" /e /r /s</v>
      </c>
      <c r="AG178" s="1" t="str">
        <f t="shared" si="64"/>
        <v>NW</v>
      </c>
      <c r="AH178" s="92" t="str">
        <f t="shared" si="51"/>
        <v>"%USERPROFILE%\Documents\GitHub\eaglep3\Utilities\RefineRTDCRunTimes.py" --tripid 818-07 --locoid 4039 --swversion DE.1.0.8.0 --startMP 300:58690 --initTime 2016-12-07T11:36:37 --startdatetime 2016-12-07T11:39:03 --delay 1 --endMP 204:687 --enddatetime 2016-12-07T11:54:10 --enforcementcount 0 &gt;&gt;C:\Users\stu\Documents\GitHub\eaglep3-reporting\EC\2016-12-07-refined-times.txt</v>
      </c>
      <c r="AI178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{"issue":{"subject":"","project_id":79,"tracker_id":40,"status_id":1,"priority_id":2,"assigned_to_id":23,"start_date":"2016-12-07","description":"","custom_fields":[{"id":1,"name":"Subdivision","value":"NW"},{"id":4,"name":"Milepost","value":"0.0687"},{"id":17,"name":"Train ID","value":"818-07"},{"id":16,"name":"Locomotive ID","value":"4039"},{"id":130,"name":"Impact","value":""},{"id":150,"name":"Time of Event (Mountain Time)","value":"11:54:10"},{"id":151,"name":"Denver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s="21" customFormat="1" x14ac:dyDescent="0.25">
      <c r="A179" s="37" t="s">
        <v>565</v>
      </c>
      <c r="B179" s="7">
        <v>4040</v>
      </c>
      <c r="C179" s="22" t="s">
        <v>207</v>
      </c>
      <c r="D179" s="22" t="s">
        <v>279</v>
      </c>
      <c r="E179" s="13">
        <v>42711.506909722222</v>
      </c>
      <c r="F179" s="13">
        <v>42711.514780092592</v>
      </c>
      <c r="G179" s="7">
        <v>2</v>
      </c>
      <c r="H179" s="22" t="s">
        <v>783</v>
      </c>
      <c r="I179" s="13">
        <v>42711.524513888886</v>
      </c>
      <c r="J179" s="7">
        <v>0</v>
      </c>
      <c r="K179" s="109" t="str">
        <f t="shared" si="53"/>
        <v>4039/4040</v>
      </c>
      <c r="L179" s="22" t="str">
        <f>VLOOKUP(A179,'Trips&amp;Operators'!$C$1:$G$99999,5,FALSE)</f>
        <v>LOZA FIDEL</v>
      </c>
      <c r="M179" s="6">
        <f t="shared" si="54"/>
        <v>9.7337962943129241E-3</v>
      </c>
      <c r="N179" s="7">
        <f t="shared" si="68"/>
        <v>14.016666663810611</v>
      </c>
      <c r="O179" s="7"/>
      <c r="P179" s="7"/>
      <c r="Q179" s="23"/>
      <c r="R179" s="23"/>
      <c r="S179" s="35">
        <f t="shared" si="67"/>
        <v>1</v>
      </c>
      <c r="T179" s="50" t="str">
        <f t="shared" si="55"/>
        <v>NorthBound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11:09:57-700',mode:absolute,to:'2016-12-07 13:35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79" s="52" t="str">
        <f t="shared" si="57"/>
        <v>N</v>
      </c>
      <c r="X179" s="177">
        <f t="shared" si="69"/>
        <v>1</v>
      </c>
      <c r="Y179" s="67">
        <f t="shared" si="58"/>
        <v>9.7100000000000006E-2</v>
      </c>
      <c r="Z179" s="67">
        <f t="shared" si="59"/>
        <v>5.9013999999999998</v>
      </c>
      <c r="AA179" s="67">
        <f t="shared" si="60"/>
        <v>5.8042999999999996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61"/>
        <v>0819-07</v>
      </c>
      <c r="AE179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79" s="88" t="str">
        <f t="shared" si="63"/>
        <v>"C:\Program Files (x86)\AstroGrep\AstroGrep.exe" /spath="%USERPROFILE%\AppData\Local\Temp\OnboardLogs" /stypes="app*4040*20161207*" /stext=" 19:.+((SYSTEM_STATE.+slice.+state.+changed )|(ment ac)|(multiple cpu faults)|(system.+state.+changed )|(\[timeout)|(PRM\|1\|D)|(kpr)|(kdp)|(\|lc)|(penalty))" /e /r /s</v>
      </c>
      <c r="AG179" s="1" t="str">
        <f t="shared" si="64"/>
        <v>NW</v>
      </c>
      <c r="AH179" s="92" t="str">
        <f t="shared" si="51"/>
        <v>"%USERPROFILE%\Documents\GitHub\eaglep3\Utilities\RefineRTDCRunTimes.py" --tripid 819-07 --locoid 4040 --swversion DE.1.0.8.0 --startMP 204:971 --initTime 2016-12-07T12:09:57 --startdatetime 2016-12-07T12:21:17 --delay 2 --endMP 300:59014 --enddatetime 2016-12-07T12:35:18 --enforcementcount 0 &gt;&gt;C:\Users\stu\Documents\GitHub\eaglep3-reporting\EC\2016-12-07-refined-times.txt</v>
      </c>
      <c r="AI179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{"issue":{"subject":"","project_id":79,"tracker_id":40,"status_id":1,"priority_id":2,"assigned_to_id":23,"start_date":"2016-12-07","description":"","custom_fields":[{"id":1,"name":"Subdivision","value":"NW"},{"id":4,"name":"Milepost","value":"5.9014"},{"id":17,"name":"Train ID","value":"819-07"},{"id":16,"name":"Locomotive ID","value":"4040"},{"id":130,"name":"Impact","value":""},{"id":150,"name":"Time of Event (Mountain Time)","value":"12:35:18"},{"id":151,"name":"Denver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7" t="s">
        <v>570</v>
      </c>
      <c r="B180" s="7">
        <v>4039</v>
      </c>
      <c r="C180" s="22" t="s">
        <v>207</v>
      </c>
      <c r="D180" s="22" t="s">
        <v>777</v>
      </c>
      <c r="E180" s="13">
        <v>42711.52652777778</v>
      </c>
      <c r="F180" s="13">
        <v>42711.528900462959</v>
      </c>
      <c r="G180" s="7">
        <v>1</v>
      </c>
      <c r="H180" s="22" t="s">
        <v>358</v>
      </c>
      <c r="I180" s="13">
        <v>42711.538136574076</v>
      </c>
      <c r="J180" s="7">
        <v>0</v>
      </c>
      <c r="K180" s="109" t="str">
        <f t="shared" si="53"/>
        <v>4039/4040</v>
      </c>
      <c r="L180" s="22" t="str">
        <f>VLOOKUP(A180,'Trips&amp;Operators'!$C$1:$G$99999,5,FALSE)</f>
        <v>LOZA FIDEL</v>
      </c>
      <c r="M180" s="6">
        <f t="shared" si="54"/>
        <v>9.236111116479151E-3</v>
      </c>
      <c r="N180" s="7">
        <f t="shared" si="68"/>
        <v>13.300000007729977</v>
      </c>
      <c r="O180" s="7"/>
      <c r="P180" s="7"/>
      <c r="Q180" s="23"/>
      <c r="R180" s="23"/>
      <c r="S180" s="35">
        <f t="shared" si="67"/>
        <v>1</v>
      </c>
      <c r="T180" s="50" t="str">
        <f t="shared" si="55"/>
        <v>Southbound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11:38:12-700',mode:absolute,to:'2016-12-07 13:54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0" s="52" t="str">
        <f t="shared" si="57"/>
        <v>N</v>
      </c>
      <c r="X180" s="177">
        <f t="shared" si="69"/>
        <v>1</v>
      </c>
      <c r="Y180" s="67">
        <f t="shared" si="58"/>
        <v>5.8693</v>
      </c>
      <c r="Z180" s="67">
        <f t="shared" si="59"/>
        <v>6.8199999999999997E-2</v>
      </c>
      <c r="AA180" s="67">
        <f t="shared" si="60"/>
        <v>5.8010999999999999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61"/>
        <v>0820-07</v>
      </c>
      <c r="AE180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80" s="88" t="str">
        <f t="shared" si="63"/>
        <v>"C:\Program Files (x86)\AstroGrep\AstroGrep.exe" /spath="%USERPROFILE%\AppData\Local\Temp\OnboardLogs" /stypes="app*4039*20161207*" /stext=" 19:.+((SYSTEM_STATE.+slice.+state.+changed )|(ment ac)|(multiple cpu faults)|(system.+state.+changed )|(\[timeout)|(PRM\|1\|D)|(kpr)|(kdp)|(\|lc)|(penalty))" /e /r /s</v>
      </c>
      <c r="AG180" s="1" t="str">
        <f t="shared" si="64"/>
        <v>NW</v>
      </c>
      <c r="AH180" s="92" t="str">
        <f t="shared" si="51"/>
        <v>"%USERPROFILE%\Documents\GitHub\eaglep3\Utilities\RefineRTDCRunTimes.py" --tripid 820-07 --locoid 4039 --swversion DE.1.0.8.0 --startMP 300:58693 --initTime 2016-12-07T12:38:12 --startdatetime 2016-12-07T12:41:37 --delay 1 --endMP 204:682 --enddatetime 2016-12-07T12:54:55 --enforcementcount 0 &gt;&gt;C:\Users\stu\Documents\GitHub\eaglep3-reporting\EC\2016-12-07-refined-times.txt</v>
      </c>
      <c r="AI180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{"issue":{"subject":"","project_id":79,"tracker_id":40,"status_id":1,"priority_id":2,"assigned_to_id":23,"start_date":"2016-12-07","description":"","custom_fields":[{"id":1,"name":"Subdivision","value":"NW"},{"id":4,"name":"Milepost","value":"0.0682"},{"id":17,"name":"Train ID","value":"820-07"},{"id":16,"name":"Locomotive ID","value":"4039"},{"id":130,"name":"Impact","value":""},{"id":150,"name":"Time of Event (Mountain Time)","value":"12:54:55"},{"id":151,"name":"Denver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</row>
    <row r="181" spans="1:91" x14ac:dyDescent="0.25">
      <c r="A181" s="37" t="s">
        <v>463</v>
      </c>
      <c r="B181" s="7">
        <v>4040</v>
      </c>
      <c r="C181" s="22" t="s">
        <v>207</v>
      </c>
      <c r="D181" s="22" t="s">
        <v>784</v>
      </c>
      <c r="E181" s="13">
        <v>42711.548819444448</v>
      </c>
      <c r="F181" s="13">
        <v>42711.556597222225</v>
      </c>
      <c r="G181" s="7">
        <v>4</v>
      </c>
      <c r="H181" s="22" t="s">
        <v>785</v>
      </c>
      <c r="I181" s="13">
        <v>42711.56690972222</v>
      </c>
      <c r="J181" s="7">
        <v>0</v>
      </c>
      <c r="K181" s="109" t="str">
        <f t="shared" si="53"/>
        <v>4039/4040</v>
      </c>
      <c r="L181" s="22" t="str">
        <f>VLOOKUP(A181,'Trips&amp;Operators'!$C$1:$G$99999,5,FALSE)</f>
        <v>MOSES BRADLEY</v>
      </c>
      <c r="M181" s="6">
        <f t="shared" si="54"/>
        <v>1.0312499995052349E-2</v>
      </c>
      <c r="N181" s="7">
        <f t="shared" si="68"/>
        <v>14.849999992875382</v>
      </c>
      <c r="O181" s="7"/>
      <c r="P181" s="7"/>
      <c r="Q181" s="23"/>
      <c r="R181" s="23"/>
      <c r="S181" s="35">
        <f t="shared" si="67"/>
        <v>1</v>
      </c>
      <c r="T181" s="50" t="str">
        <f t="shared" si="55"/>
        <v>NorthBound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12:10:18-700',mode:absolute,to:'2016-12-07 14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1" s="52" t="str">
        <f t="shared" si="57"/>
        <v>N</v>
      </c>
      <c r="X181" s="177">
        <f t="shared" si="69"/>
        <v>1</v>
      </c>
      <c r="Y181" s="67">
        <f t="shared" si="58"/>
        <v>9.7900000000000001E-2</v>
      </c>
      <c r="Z181" s="67">
        <f t="shared" si="59"/>
        <v>5.8949999999999996</v>
      </c>
      <c r="AA181" s="67">
        <f t="shared" si="60"/>
        <v>5.7970999999999995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61"/>
        <v>0821-07</v>
      </c>
      <c r="AE181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81" s="88" t="str">
        <f t="shared" si="63"/>
        <v>"C:\Program Files (x86)\AstroGrep\AstroGrep.exe" /spath="%USERPROFILE%\AppData\Local\Temp\OnboardLogs" /stypes="app*4040*20161207*" /stext=" 20:.+((SYSTEM_STATE.+slice.+state.+changed )|(ment ac)|(multiple cpu faults)|(system.+state.+changed )|(\[timeout)|(PRM\|1\|D)|(kpr)|(kdp)|(\|lc)|(penalty))" /e /r /s</v>
      </c>
      <c r="AG181" s="1" t="str">
        <f t="shared" si="64"/>
        <v>NW</v>
      </c>
      <c r="AH181" s="92" t="str">
        <f t="shared" si="51"/>
        <v>"%USERPROFILE%\Documents\GitHub\eaglep3\Utilities\RefineRTDCRunTimes.py" --tripid 821-07 --locoid 4040 --swversion DE.1.0.8.0 --startMP 204:979 --initTime 2016-12-07T13:10:18 --startdatetime 2016-12-07T13:21:30 --delay 4 --endMP 300:58950 --enddatetime 2016-12-07T13:36:21 --enforcementcount 0 &gt;&gt;C:\Users\stu\Documents\GitHub\eaglep3-reporting\EC\2016-12-07-refined-times.txt</v>
      </c>
      <c r="AI181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{"issue":{"subject":"","project_id":79,"tracker_id":40,"status_id":1,"priority_id":2,"assigned_to_id":23,"start_date":"2016-12-07","description":"","custom_fields":[{"id":1,"name":"Subdivision","value":"NW"},{"id":4,"name":"Milepost","value":"5.895"},{"id":17,"name":"Train ID","value":"821-07"},{"id":16,"name":"Locomotive ID","value":"4040"},{"id":130,"name":"Impact","value":""},{"id":150,"name":"Time of Event (Mountain Time)","value":"13:36:21"},{"id":151,"name":"Denver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</row>
    <row r="182" spans="1:91" x14ac:dyDescent="0.25">
      <c r="A182" s="37" t="s">
        <v>580</v>
      </c>
      <c r="B182" s="7">
        <v>4039</v>
      </c>
      <c r="C182" s="22" t="s">
        <v>207</v>
      </c>
      <c r="D182" s="22" t="s">
        <v>786</v>
      </c>
      <c r="E182" s="13">
        <v>42711.568078703705</v>
      </c>
      <c r="F182" s="13">
        <v>42711.570451388892</v>
      </c>
      <c r="G182" s="7">
        <v>1</v>
      </c>
      <c r="H182" s="22" t="s">
        <v>427</v>
      </c>
      <c r="I182" s="13">
        <v>42711.580312500002</v>
      </c>
      <c r="J182" s="7">
        <v>0</v>
      </c>
      <c r="K182" s="109" t="str">
        <f t="shared" si="53"/>
        <v>4039/4040</v>
      </c>
      <c r="L182" s="22" t="str">
        <f>VLOOKUP(A182,'Trips&amp;Operators'!$C$1:$G$99999,5,FALSE)</f>
        <v>MOSES BRADLEY</v>
      </c>
      <c r="M182" s="6">
        <f t="shared" si="54"/>
        <v>9.8611111097852699E-3</v>
      </c>
      <c r="N182" s="7">
        <f t="shared" si="68"/>
        <v>14.199999998090789</v>
      </c>
      <c r="O182" s="7"/>
      <c r="P182" s="7"/>
      <c r="Q182" s="23"/>
      <c r="R182" s="23"/>
      <c r="S182" s="35">
        <f t="shared" si="67"/>
        <v>1</v>
      </c>
      <c r="T182" s="50" t="str">
        <f t="shared" si="55"/>
        <v>Southbound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12:38:02-700',mode:absolute,to:'2016-12-07 14:55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2" s="52" t="str">
        <f t="shared" si="57"/>
        <v>N</v>
      </c>
      <c r="X182" s="177">
        <f t="shared" si="69"/>
        <v>1</v>
      </c>
      <c r="Y182" s="67">
        <f t="shared" si="58"/>
        <v>5.8634000000000004</v>
      </c>
      <c r="Z182" s="67">
        <f t="shared" si="59"/>
        <v>7.1300000000000002E-2</v>
      </c>
      <c r="AA182" s="67">
        <f t="shared" si="60"/>
        <v>5.7921000000000005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61"/>
        <v>0822-07</v>
      </c>
      <c r="AE182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82" s="88" t="str">
        <f t="shared" si="63"/>
        <v>"C:\Program Files (x86)\AstroGrep\AstroGrep.exe" /spath="%USERPROFILE%\AppData\Local\Temp\OnboardLogs" /stypes="app*4039*20161207*" /stext=" 20:.+((SYSTEM_STATE.+slice.+state.+changed )|(ment ac)|(multiple cpu faults)|(system.+state.+changed )|(\[timeout)|(PRM\|1\|D)|(kpr)|(kdp)|(\|lc)|(penalty))" /e /r /s</v>
      </c>
      <c r="AG182" s="1" t="str">
        <f t="shared" si="64"/>
        <v>NW</v>
      </c>
      <c r="AH182" s="92" t="str">
        <f t="shared" si="51"/>
        <v>"%USERPROFILE%\Documents\GitHub\eaglep3\Utilities\RefineRTDCRunTimes.py" --tripid 822-07 --locoid 4039 --swversion DE.1.0.8.0 --startMP 300:58634 --initTime 2016-12-07T13:38:02 --startdatetime 2016-12-07T13:41:27 --delay 1 --endMP 204:713 --enddatetime 2016-12-07T13:55:39 --enforcementcount 0 &gt;&gt;C:\Users\stu\Documents\GitHub\eaglep3-reporting\EC\2016-12-07-refined-times.txt</v>
      </c>
      <c r="AI182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{"issue":{"subject":"","project_id":79,"tracker_id":40,"status_id":1,"priority_id":2,"assigned_to_id":23,"start_date":"2016-12-07","description":"","custom_fields":[{"id":1,"name":"Subdivision","value":"NW"},{"id":4,"name":"Milepost","value":"0.0713"},{"id":17,"name":"Train ID","value":"822-07"},{"id":16,"name":"Locomotive ID","value":"4039"},{"id":130,"name":"Impact","value":""},{"id":150,"name":"Time of Event (Mountain Time)","value":"13:55:39"},{"id":151,"name":"Denver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</row>
    <row r="183" spans="1:91" x14ac:dyDescent="0.25">
      <c r="A183" s="37" t="s">
        <v>586</v>
      </c>
      <c r="B183" s="7">
        <v>4040</v>
      </c>
      <c r="C183" s="22" t="s">
        <v>207</v>
      </c>
      <c r="D183" s="22" t="s">
        <v>434</v>
      </c>
      <c r="E183" s="13">
        <v>42711.592881944445</v>
      </c>
      <c r="F183" s="13">
        <v>42711.598425925928</v>
      </c>
      <c r="G183" s="7">
        <v>1</v>
      </c>
      <c r="H183" s="22" t="s">
        <v>785</v>
      </c>
      <c r="I183" s="13">
        <v>42711.609409722223</v>
      </c>
      <c r="J183" s="7">
        <v>0</v>
      </c>
      <c r="K183" s="109" t="str">
        <f t="shared" si="53"/>
        <v>4039/4040</v>
      </c>
      <c r="L183" s="22" t="str">
        <f>VLOOKUP(A183,'Trips&amp;Operators'!$C$1:$G$99999,5,FALSE)</f>
        <v>MOSES BRADLEY</v>
      </c>
      <c r="M183" s="6">
        <f t="shared" si="54"/>
        <v>1.0983796295477077E-2</v>
      </c>
      <c r="N183" s="7">
        <f t="shared" si="68"/>
        <v>15.816666665486991</v>
      </c>
      <c r="O183" s="7"/>
      <c r="P183" s="7"/>
      <c r="Q183" s="23"/>
      <c r="R183" s="23"/>
      <c r="S183" s="35">
        <f t="shared" si="67"/>
        <v>1</v>
      </c>
      <c r="T183" s="50" t="str">
        <f t="shared" si="55"/>
        <v>NorthBound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13:13:45-700',mode:absolute,to:'2016-12-07 15:37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3" s="52" t="str">
        <f t="shared" si="57"/>
        <v>N</v>
      </c>
      <c r="X183" s="177">
        <f t="shared" si="69"/>
        <v>1</v>
      </c>
      <c r="Y183" s="67">
        <f t="shared" si="58"/>
        <v>9.8100000000000007E-2</v>
      </c>
      <c r="Z183" s="67">
        <f t="shared" si="59"/>
        <v>5.8949999999999996</v>
      </c>
      <c r="AA183" s="67">
        <f t="shared" si="60"/>
        <v>5.7968999999999999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61"/>
        <v>0823-07</v>
      </c>
      <c r="AE183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83" s="88" t="str">
        <f t="shared" si="63"/>
        <v>"C:\Program Files (x86)\AstroGrep\AstroGrep.exe" /spath="%USERPROFILE%\AppData\Local\Temp\OnboardLogs" /stypes="app*4040*20161207*" /stext=" 21:.+((SYSTEM_STATE.+slice.+state.+changed )|(ment ac)|(multiple cpu faults)|(system.+state.+changed )|(\[timeout)|(PRM\|1\|D)|(kpr)|(kdp)|(\|lc)|(penalty))" /e /r /s</v>
      </c>
      <c r="AG183" s="1" t="str">
        <f t="shared" si="64"/>
        <v>NW</v>
      </c>
      <c r="AH183" s="92" t="str">
        <f t="shared" si="51"/>
        <v>"%USERPROFILE%\Documents\GitHub\eaglep3\Utilities\RefineRTDCRunTimes.py" --tripid 823-07 --locoid 4040 --swversion DE.1.0.8.0 --startMP 204:981 --initTime 2016-12-07T14:13:45 --startdatetime 2016-12-07T14:21:44 --delay 1 --endMP 300:58950 --enddatetime 2016-12-07T14:37:33 --enforcementcount 0 &gt;&gt;C:\Users\stu\Documents\GitHub\eaglep3-reporting\EC\2016-12-07-refined-times.txt</v>
      </c>
      <c r="AI183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{"issue":{"subject":"","project_id":79,"tracker_id":40,"status_id":1,"priority_id":2,"assigned_to_id":23,"start_date":"2016-12-07","description":"","custom_fields":[{"id":1,"name":"Subdivision","value":"NW"},{"id":4,"name":"Milepost","value":"5.895"},{"id":17,"name":"Train ID","value":"823-07"},{"id":16,"name":"Locomotive ID","value":"4040"},{"id":130,"name":"Impact","value":""},{"id":150,"name":"Time of Event (Mountain Time)","value":"14:37:33"},{"id":151,"name":"Denver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590</v>
      </c>
      <c r="B184" s="7">
        <v>4039</v>
      </c>
      <c r="C184" s="22" t="s">
        <v>207</v>
      </c>
      <c r="D184" s="22" t="s">
        <v>787</v>
      </c>
      <c r="E184" s="13">
        <v>42711.61074074074</v>
      </c>
      <c r="F184" s="13">
        <v>42711.613692129627</v>
      </c>
      <c r="G184" s="7">
        <v>2</v>
      </c>
      <c r="H184" s="22" t="s">
        <v>788</v>
      </c>
      <c r="I184" s="13">
        <v>42711.623738425929</v>
      </c>
      <c r="J184" s="7">
        <v>0</v>
      </c>
      <c r="K184" s="109" t="str">
        <f t="shared" si="53"/>
        <v>4039/4040</v>
      </c>
      <c r="L184" s="22" t="str">
        <f>VLOOKUP(A184,'Trips&amp;Operators'!$C$1:$G$99999,5,FALSE)</f>
        <v>MOSES BRADLEY</v>
      </c>
      <c r="M184" s="6">
        <f t="shared" si="54"/>
        <v>1.004629630187992E-2</v>
      </c>
      <c r="N184" s="7">
        <f t="shared" si="68"/>
        <v>14.466666674707085</v>
      </c>
      <c r="O184" s="7"/>
      <c r="P184" s="7"/>
      <c r="Q184" s="23"/>
      <c r="R184" s="23"/>
      <c r="S184" s="35">
        <f t="shared" si="67"/>
        <v>1</v>
      </c>
      <c r="T184" s="50" t="str">
        <f t="shared" si="55"/>
        <v>Southbound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13:39:28-700',mode:absolute,to:'2016-12-07 15:58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4" s="52" t="str">
        <f t="shared" si="57"/>
        <v>N</v>
      </c>
      <c r="X184" s="177">
        <f t="shared" si="69"/>
        <v>1</v>
      </c>
      <c r="Y184" s="67">
        <f t="shared" si="58"/>
        <v>5.8628</v>
      </c>
      <c r="Z184" s="67">
        <f t="shared" si="59"/>
        <v>7.0499999999999993E-2</v>
      </c>
      <c r="AA184" s="67">
        <f t="shared" si="60"/>
        <v>5.7923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61"/>
        <v>0824-07</v>
      </c>
      <c r="AE184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84" s="88" t="str">
        <f t="shared" si="63"/>
        <v>"C:\Program Files (x86)\AstroGrep\AstroGrep.exe" /spath="%USERPROFILE%\AppData\Local\Temp\OnboardLogs" /stypes="app*4039*20161207*" /stext=" 21:.+((SYSTEM_STATE.+slice.+state.+changed )|(ment ac)|(multiple cpu faults)|(system.+state.+changed )|(\[timeout)|(PRM\|1\|D)|(kpr)|(kdp)|(\|lc)|(penalty))" /e /r /s</v>
      </c>
      <c r="AG184" s="1" t="str">
        <f t="shared" si="64"/>
        <v>NW</v>
      </c>
      <c r="AH184" s="92" t="str">
        <f t="shared" si="51"/>
        <v>"%USERPROFILE%\Documents\GitHub\eaglep3\Utilities\RefineRTDCRunTimes.py" --tripid 824-07 --locoid 4039 --swversion DE.1.0.8.0 --startMP 300:58628 --initTime 2016-12-07T14:39:28 --startdatetime 2016-12-07T14:43:43 --delay 2 --endMP 204:705 --enddatetime 2016-12-07T14:58:11 --enforcementcount 0 &gt;&gt;C:\Users\stu\Documents\GitHub\eaglep3-reporting\EC\2016-12-07-refined-times.txt</v>
      </c>
      <c r="AI184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{"issue":{"subject":"","project_id":79,"tracker_id":40,"status_id":1,"priority_id":2,"assigned_to_id":23,"start_date":"2016-12-07","description":"","custom_fields":[{"id":1,"name":"Subdivision","value":"NW"},{"id":4,"name":"Milepost","value":"0.0705"},{"id":17,"name":"Train ID","value":"824-07"},{"id":16,"name":"Locomotive ID","value":"4039"},{"id":130,"name":"Impact","value":""},{"id":150,"name":"Time of Event (Mountain Time)","value":"14:58:11"},{"id":151,"name":"Denver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s="21" customFormat="1" x14ac:dyDescent="0.25">
      <c r="A185" s="37" t="s">
        <v>595</v>
      </c>
      <c r="B185" s="7">
        <v>4040</v>
      </c>
      <c r="C185" s="22" t="s">
        <v>207</v>
      </c>
      <c r="D185" s="22" t="s">
        <v>789</v>
      </c>
      <c r="E185" s="13">
        <v>42711.636180555557</v>
      </c>
      <c r="F185" s="13">
        <v>42711.63989583333</v>
      </c>
      <c r="G185" s="7">
        <v>1</v>
      </c>
      <c r="H185" s="22" t="s">
        <v>790</v>
      </c>
      <c r="I185" s="13">
        <v>42711.650266203702</v>
      </c>
      <c r="J185" s="7">
        <v>0</v>
      </c>
      <c r="K185" s="109" t="str">
        <f t="shared" si="53"/>
        <v>4039/4040</v>
      </c>
      <c r="L185" s="22" t="str">
        <f>VLOOKUP(A185,'Trips&amp;Operators'!$C$1:$G$99999,5,FALSE)</f>
        <v>MOSES BRADLEY</v>
      </c>
      <c r="M185" s="6">
        <f t="shared" si="54"/>
        <v>1.0370370371674653E-2</v>
      </c>
      <c r="N185" s="7">
        <f t="shared" si="68"/>
        <v>14.933333335211501</v>
      </c>
      <c r="O185" s="7"/>
      <c r="P185" s="7"/>
      <c r="Q185" s="23"/>
      <c r="R185" s="23"/>
      <c r="S185" s="35">
        <f t="shared" si="67"/>
        <v>1</v>
      </c>
      <c r="T185" s="50" t="str">
        <f t="shared" si="55"/>
        <v>NorthBound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14:16:06-700',mode:absolute,to:'2016-12-07 16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5" s="52" t="str">
        <f t="shared" si="57"/>
        <v>N</v>
      </c>
      <c r="X185" s="177">
        <f t="shared" si="69"/>
        <v>1</v>
      </c>
      <c r="Y185" s="67">
        <f t="shared" si="58"/>
        <v>9.9199999999999997E-2</v>
      </c>
      <c r="Z185" s="67">
        <f t="shared" si="59"/>
        <v>5.8971</v>
      </c>
      <c r="AA185" s="67">
        <f t="shared" si="60"/>
        <v>5.7979000000000003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61"/>
        <v>0825-07</v>
      </c>
      <c r="AE185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85" s="88" t="str">
        <f t="shared" si="63"/>
        <v>"C:\Program Files (x86)\AstroGrep\AstroGrep.exe" /spath="%USERPROFILE%\AppData\Local\Temp\OnboardLogs" /stypes="app*4040*20161207*" /stext=" 22:.+((SYSTEM_STATE.+slice.+state.+changed )|(ment ac)|(multiple cpu faults)|(system.+state.+changed )|(\[timeout)|(PRM\|1\|D)|(kpr)|(kdp)|(\|lc)|(penalty))" /e /r /s</v>
      </c>
      <c r="AG185" s="1" t="str">
        <f t="shared" si="64"/>
        <v>NW</v>
      </c>
      <c r="AH185" s="92" t="str">
        <f t="shared" si="51"/>
        <v>"%USERPROFILE%\Documents\GitHub\eaglep3\Utilities\RefineRTDCRunTimes.py" --tripid 825-07 --locoid 4040 --swversion DE.1.0.8.0 --startMP 204:992 --initTime 2016-12-07T15:16:06 --startdatetime 2016-12-07T15:21:27 --delay 1 --endMP 300:58971 --enddatetime 2016-12-07T15:36:23 --enforcementcount 0 &gt;&gt;C:\Users\stu\Documents\GitHub\eaglep3-reporting\EC\2016-12-07-refined-times.txt</v>
      </c>
      <c r="AI185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{"issue":{"subject":"","project_id":79,"tracker_id":40,"status_id":1,"priority_id":2,"assigned_to_id":23,"start_date":"2016-12-07","description":"","custom_fields":[{"id":1,"name":"Subdivision","value":"NW"},{"id":4,"name":"Milepost","value":"5.8971"},{"id":17,"name":"Train ID","value":"825-07"},{"id":16,"name":"Locomotive ID","value":"4040"},{"id":130,"name":"Impact","value":""},{"id":150,"name":"Time of Event (Mountain Time)","value":"15:36:23"},{"id":151,"name":"Denver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1" customFormat="1" x14ac:dyDescent="0.25">
      <c r="A186" s="37" t="s">
        <v>466</v>
      </c>
      <c r="B186" s="7">
        <v>4039</v>
      </c>
      <c r="C186" s="22" t="s">
        <v>207</v>
      </c>
      <c r="D186" s="22" t="s">
        <v>791</v>
      </c>
      <c r="E186" s="13">
        <v>42711.651759259257</v>
      </c>
      <c r="F186" s="13">
        <v>42711.65415509259</v>
      </c>
      <c r="G186" s="7">
        <v>1</v>
      </c>
      <c r="H186" s="22" t="s">
        <v>792</v>
      </c>
      <c r="I186" s="13">
        <v>42711.664375</v>
      </c>
      <c r="J186" s="7">
        <v>0</v>
      </c>
      <c r="K186" s="109" t="str">
        <f t="shared" si="53"/>
        <v>4039/4040</v>
      </c>
      <c r="L186" s="22" t="str">
        <f>VLOOKUP(A186,'Trips&amp;Operators'!$C$1:$G$99999,5,FALSE)</f>
        <v>MOSES BRADLEY</v>
      </c>
      <c r="M186" s="6">
        <f t="shared" si="54"/>
        <v>1.021990740991896E-2</v>
      </c>
      <c r="N186" s="7">
        <f t="shared" si="68"/>
        <v>14.716666670283303</v>
      </c>
      <c r="O186" s="7"/>
      <c r="P186" s="7"/>
      <c r="Q186" s="23"/>
      <c r="R186" s="23"/>
      <c r="S186" s="35">
        <f t="shared" si="67"/>
        <v>1</v>
      </c>
      <c r="T186" s="50" t="str">
        <f t="shared" si="55"/>
        <v>Southbound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14:38:32-700',mode:absolute,to:'2016-12-07 16:56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86" s="52" t="str">
        <f t="shared" si="57"/>
        <v>N</v>
      </c>
      <c r="X186" s="177">
        <f t="shared" si="69"/>
        <v>1</v>
      </c>
      <c r="Y186" s="67">
        <f t="shared" si="58"/>
        <v>5.8644999999999996</v>
      </c>
      <c r="Z186" s="67">
        <f t="shared" si="59"/>
        <v>7.2900000000000006E-2</v>
      </c>
      <c r="AA186" s="67">
        <f t="shared" si="60"/>
        <v>5.7915999999999999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61"/>
        <v>0826-07</v>
      </c>
      <c r="AE186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86" s="88" t="str">
        <f t="shared" si="63"/>
        <v>"C:\Program Files (x86)\AstroGrep\AstroGrep.exe" /spath="%USERPROFILE%\AppData\Local\Temp\OnboardLogs" /stypes="app*4039*20161207*" /stext=" 22:.+((SYSTEM_STATE.+slice.+state.+changed )|(ment ac)|(multiple cpu faults)|(system.+state.+changed )|(\[timeout)|(PRM\|1\|D)|(kpr)|(kdp)|(\|lc)|(penalty))" /e /r /s</v>
      </c>
      <c r="AG186" s="1" t="str">
        <f t="shared" si="64"/>
        <v>NW</v>
      </c>
      <c r="AH186" s="92" t="str">
        <f t="shared" si="51"/>
        <v>"%USERPROFILE%\Documents\GitHub\eaglep3\Utilities\RefineRTDCRunTimes.py" --tripid 826-07 --locoid 4039 --swversion DE.1.0.8.0 --startMP 300:58645 --initTime 2016-12-07T15:38:32 --startdatetime 2016-12-07T15:41:59 --delay 1 --endMP 204:729 --enddatetime 2016-12-07T15:56:42 --enforcementcount 0 &gt;&gt;C:\Users\stu\Documents\GitHub\eaglep3-reporting\EC\2016-12-07-refined-times.txt</v>
      </c>
      <c r="AI186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{"issue":{"subject":"","project_id":79,"tracker_id":40,"status_id":1,"priority_id":2,"assigned_to_id":23,"start_date":"2016-12-07","description":"","custom_fields":[{"id":1,"name":"Subdivision","value":"NW"},{"id":4,"name":"Milepost","value":"0.0729"},{"id":17,"name":"Train ID","value":"826-07"},{"id":16,"name":"Locomotive ID","value":"4039"},{"id":130,"name":"Impact","value":""},{"id":150,"name":"Time of Event (Mountain Time)","value":"15:56:42"},{"id":151,"name":"Denver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1" customFormat="1" x14ac:dyDescent="0.25">
      <c r="A187" s="37" t="s">
        <v>600</v>
      </c>
      <c r="B187" s="7">
        <v>4011</v>
      </c>
      <c r="C187" s="22" t="s">
        <v>207</v>
      </c>
      <c r="D187" s="22" t="s">
        <v>793</v>
      </c>
      <c r="E187" s="13">
        <v>42711.652812499997</v>
      </c>
      <c r="F187" s="13">
        <v>42711.660844907405</v>
      </c>
      <c r="G187" s="7">
        <v>1</v>
      </c>
      <c r="H187" s="22" t="s">
        <v>794</v>
      </c>
      <c r="I187" s="13">
        <v>42711.671041666668</v>
      </c>
      <c r="J187" s="7">
        <v>0</v>
      </c>
      <c r="K187" s="109" t="str">
        <f t="shared" si="53"/>
        <v>4011/4012</v>
      </c>
      <c r="L187" s="22" t="str">
        <f>VLOOKUP(A187,'Trips&amp;Operators'!$C$1:$G$99999,5,FALSE)</f>
        <v>LEVERE CRAIG</v>
      </c>
      <c r="M187" s="6">
        <f t="shared" si="54"/>
        <v>1.0196759263635613E-2</v>
      </c>
      <c r="N187" s="7">
        <f t="shared" si="68"/>
        <v>14.683333339635283</v>
      </c>
      <c r="O187" s="7"/>
      <c r="P187" s="7"/>
      <c r="Q187" s="23"/>
      <c r="R187" s="23"/>
      <c r="S187" s="35">
        <f t="shared" si="67"/>
        <v>1</v>
      </c>
      <c r="T187" s="50" t="str">
        <f t="shared" si="55"/>
        <v>NorthBound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14:40:03-700',mode:absolute,to:'2016-12-07 17:06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87" s="52" t="str">
        <f t="shared" si="57"/>
        <v>N</v>
      </c>
      <c r="X187" s="177">
        <f t="shared" si="69"/>
        <v>1</v>
      </c>
      <c r="Y187" s="67">
        <f t="shared" si="58"/>
        <v>9.69E-2</v>
      </c>
      <c r="Z187" s="67">
        <f t="shared" si="59"/>
        <v>5.8968999999999996</v>
      </c>
      <c r="AA187" s="67">
        <f t="shared" si="60"/>
        <v>5.8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61"/>
        <v>0827-07</v>
      </c>
      <c r="AE187" s="91" t="str">
        <f t="shared" si="62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87" s="88" t="str">
        <f t="shared" si="63"/>
        <v>"C:\Program Files (x86)\AstroGrep\AstroGrep.exe" /spath="%USERPROFILE%\AppData\Local\Temp\OnboardLogs" /stypes="app*4011*20161207*" /stext=" 23:.+((SYSTEM_STATE.+slice.+state.+changed )|(ment ac)|(multiple cpu faults)|(system.+state.+changed )|(\[timeout)|(PRM\|1\|D)|(kpr)|(kdp)|(\|lc)|(penalty))" /e /r /s</v>
      </c>
      <c r="AG187" s="1" t="str">
        <f t="shared" si="64"/>
        <v>NW</v>
      </c>
      <c r="AH187" s="92" t="str">
        <f t="shared" si="51"/>
        <v>"%USERPROFILE%\Documents\GitHub\eaglep3\Utilities\RefineRTDCRunTimes.py" --tripid 827-07 --locoid 4011 --swversion DE.1.0.8.0 --startMP 204:969 --initTime 2016-12-07T15:40:03 --startdatetime 2016-12-07T15:51:37 --delay 1 --endMP 300:58969 --enddatetime 2016-12-07T16:06:18 --enforcementcount 0 &gt;&gt;C:\Users\stu\Documents\GitHub\eaglep3-reporting\EC\2016-12-07-refined-times.txt</v>
      </c>
      <c r="AI187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{"issue":{"subject":"","project_id":79,"tracker_id":40,"status_id":1,"priority_id":2,"assigned_to_id":23,"start_date":"2016-12-07","description":"","custom_fields":[{"id":1,"name":"Subdivision","value":"NW"},{"id":4,"name":"Milepost","value":"5.8969"},{"id":17,"name":"Train ID","value":"827-07"},{"id":16,"name":"Locomotive ID","value":"4011"},{"id":130,"name":"Impact","value":""},{"id":150,"name":"Time of Event (Mountain Time)","value":"16:06:18"},{"id":151,"name":"Denver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7" t="s">
        <v>604</v>
      </c>
      <c r="B188" s="7">
        <v>4012</v>
      </c>
      <c r="C188" s="22" t="s">
        <v>207</v>
      </c>
      <c r="D188" s="22" t="s">
        <v>428</v>
      </c>
      <c r="E188" s="13">
        <v>42711.672500000001</v>
      </c>
      <c r="F188" s="13">
        <v>42711.674004629633</v>
      </c>
      <c r="G188" s="7">
        <v>1</v>
      </c>
      <c r="H188" s="22" t="s">
        <v>435</v>
      </c>
      <c r="I188" s="13">
        <v>42711.685312499998</v>
      </c>
      <c r="J188" s="7">
        <v>0</v>
      </c>
      <c r="K188" s="109" t="str">
        <f t="shared" si="53"/>
        <v>4011/4012</v>
      </c>
      <c r="L188" s="22" t="str">
        <f>VLOOKUP(A188,'Trips&amp;Operators'!$C$1:$G$99999,5,FALSE)</f>
        <v>LEVERE CRAIG</v>
      </c>
      <c r="M188" s="6">
        <f t="shared" si="54"/>
        <v>1.130787036527181E-2</v>
      </c>
      <c r="N188" s="7">
        <f t="shared" si="68"/>
        <v>16.283333325991407</v>
      </c>
      <c r="O188" s="7"/>
      <c r="P188" s="7"/>
      <c r="Q188" s="23"/>
      <c r="R188" s="23"/>
      <c r="S188" s="35">
        <f t="shared" si="67"/>
        <v>1</v>
      </c>
      <c r="T188" s="50" t="str">
        <f t="shared" si="55"/>
        <v>Southbound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15:08:24-700',mode:absolute,to:'2016-12-07 17:26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88" s="52" t="str">
        <f t="shared" si="57"/>
        <v>N</v>
      </c>
      <c r="X188" s="177">
        <f t="shared" si="69"/>
        <v>1</v>
      </c>
      <c r="Y188" s="67">
        <f t="shared" si="58"/>
        <v>5.8651</v>
      </c>
      <c r="Z188" s="67">
        <f t="shared" si="59"/>
        <v>6.8699999999999997E-2</v>
      </c>
      <c r="AA188" s="67">
        <f t="shared" si="60"/>
        <v>5.7964000000000002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61"/>
        <v>0828-07</v>
      </c>
      <c r="AE188" s="91" t="str">
        <f t="shared" si="62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88" s="88" t="str">
        <f t="shared" si="63"/>
        <v>"C:\Program Files (x86)\AstroGrep\AstroGrep.exe" /spath="%USERPROFILE%\AppData\Local\Temp\OnboardLogs" /stypes="app*4012*20161207*" /stext=" 23:.+((SYSTEM_STATE.+slice.+state.+changed )|(ment ac)|(multiple cpu faults)|(system.+state.+changed )|(\[timeout)|(PRM\|1\|D)|(kpr)|(kdp)|(\|lc)|(penalty))" /e /r /s</v>
      </c>
      <c r="AG188" s="1" t="str">
        <f t="shared" si="64"/>
        <v>NW</v>
      </c>
      <c r="AH188" s="92" t="str">
        <f t="shared" si="51"/>
        <v>"%USERPROFILE%\Documents\GitHub\eaglep3\Utilities\RefineRTDCRunTimes.py" --tripid 828-07 --locoid 4012 --swversion DE.1.0.8.0 --startMP 300:58651 --initTime 2016-12-07T16:08:24 --startdatetime 2016-12-07T16:10:34 --delay 1 --endMP 204:687 --enddatetime 2016-12-07T16:26:51 --enforcementcount 0 &gt;&gt;C:\Users\stu\Documents\GitHub\eaglep3-reporting\EC\2016-12-07-refined-times.txt</v>
      </c>
      <c r="AI188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{"issue":{"subject":"","project_id":79,"tracker_id":40,"status_id":1,"priority_id":2,"assigned_to_id":23,"start_date":"2016-12-07","description":"","custom_fields":[{"id":1,"name":"Subdivision","value":"NW"},{"id":4,"name":"Milepost","value":"0.0687"},{"id":17,"name":"Train ID","value":"828-07"},{"id":16,"name":"Locomotive ID","value":"4012"},{"id":130,"name":"Impact","value":""},{"id":150,"name":"Time of Event (Mountain Time)","value":"16:26:51"},{"id":151,"name":"Denver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606</v>
      </c>
      <c r="B189" s="7">
        <v>4040</v>
      </c>
      <c r="C189" s="22" t="s">
        <v>207</v>
      </c>
      <c r="D189" s="22" t="s">
        <v>431</v>
      </c>
      <c r="E189" s="13">
        <v>42711.673101851855</v>
      </c>
      <c r="F189" s="13">
        <v>42711.681608796294</v>
      </c>
      <c r="G189" s="7">
        <v>2</v>
      </c>
      <c r="H189" s="22" t="s">
        <v>795</v>
      </c>
      <c r="I189" s="13">
        <v>42711.691689814812</v>
      </c>
      <c r="J189" s="7">
        <v>0</v>
      </c>
      <c r="K189" s="109" t="str">
        <f t="shared" si="53"/>
        <v>4039/4040</v>
      </c>
      <c r="L189" s="22" t="str">
        <f>VLOOKUP(A189,'Trips&amp;Operators'!$C$1:$G$99999,5,FALSE)</f>
        <v>MOSES BRADLEY</v>
      </c>
      <c r="M189" s="6">
        <f t="shared" si="54"/>
        <v>1.0081018517666962E-2</v>
      </c>
      <c r="N189" s="7">
        <f t="shared" si="68"/>
        <v>14.516666665440425</v>
      </c>
      <c r="O189" s="7"/>
      <c r="P189" s="7"/>
      <c r="Q189" s="23"/>
      <c r="R189" s="23"/>
      <c r="S189" s="35">
        <f t="shared" si="67"/>
        <v>1</v>
      </c>
      <c r="T189" s="50" t="str">
        <f t="shared" si="55"/>
        <v>NorthBound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15:09:16-700',mode:absolute,to:'2016-12-07 17:36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89" s="52" t="str">
        <f t="shared" si="57"/>
        <v>N</v>
      </c>
      <c r="X189" s="177">
        <f t="shared" si="69"/>
        <v>1</v>
      </c>
      <c r="Y189" s="67">
        <f t="shared" si="58"/>
        <v>0.1011</v>
      </c>
      <c r="Z189" s="67">
        <f t="shared" si="59"/>
        <v>5.8945999999999996</v>
      </c>
      <c r="AA189" s="67">
        <f t="shared" si="60"/>
        <v>5.7934999999999999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61"/>
        <v>0829-07</v>
      </c>
      <c r="AE189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89" s="88" t="str">
        <f t="shared" si="63"/>
        <v>"C:\Program Files (x86)\AstroGrep\AstroGrep.exe" /spath="%USERPROFILE%\AppData\Local\Temp\OnboardLogs" /stypes="app*4040*20161207*" /stext=" 23:.+((SYSTEM_STATE.+slice.+state.+changed )|(ment ac)|(multiple cpu faults)|(system.+state.+changed )|(\[timeout)|(PRM\|1\|D)|(kpr)|(kdp)|(\|lc)|(penalty))" /e /r /s</v>
      </c>
      <c r="AG189" s="1" t="str">
        <f t="shared" si="64"/>
        <v>NW</v>
      </c>
      <c r="AH189" s="92" t="str">
        <f t="shared" si="51"/>
        <v>"%USERPROFILE%\Documents\GitHub\eaglep3\Utilities\RefineRTDCRunTimes.py" --tripid 829-07 --locoid 4040 --swversion DE.1.0.8.0 --startMP 204:1011 --initTime 2016-12-07T16:09:16 --startdatetime 2016-12-07T16:21:31 --delay 2 --endMP 300:58946 --enddatetime 2016-12-07T16:36:02 --enforcementcount 0 &gt;&gt;C:\Users\stu\Documents\GitHub\eaglep3-reporting\EC\2016-12-07-refined-times.txt</v>
      </c>
      <c r="AI189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{"issue":{"subject":"","project_id":79,"tracker_id":40,"status_id":1,"priority_id":2,"assigned_to_id":23,"start_date":"2016-12-07","description":"","custom_fields":[{"id":1,"name":"Subdivision","value":"NW"},{"id":4,"name":"Milepost","value":"5.8946"},{"id":17,"name":"Train ID","value":"829-07"},{"id":16,"name":"Locomotive ID","value":"4040"},{"id":130,"name":"Impact","value":""},{"id":150,"name":"Time of Event (Mountain Time)","value":"16:36:02"},{"id":151,"name":"Denver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611</v>
      </c>
      <c r="B190" s="7">
        <v>4039</v>
      </c>
      <c r="C190" s="22" t="s">
        <v>207</v>
      </c>
      <c r="D190" s="22" t="s">
        <v>796</v>
      </c>
      <c r="E190" s="13">
        <v>42711.69363425926</v>
      </c>
      <c r="F190" s="13">
        <v>42711.696203703701</v>
      </c>
      <c r="G190" s="7">
        <v>1</v>
      </c>
      <c r="H190" s="22" t="s">
        <v>432</v>
      </c>
      <c r="I190" s="13">
        <v>42711.70653935185</v>
      </c>
      <c r="J190" s="7">
        <v>0</v>
      </c>
      <c r="K190" s="109" t="str">
        <f t="shared" si="53"/>
        <v>4039/4040</v>
      </c>
      <c r="L190" s="22" t="str">
        <f>VLOOKUP(A190,'Trips&amp;Operators'!$C$1:$G$99999,5,FALSE)</f>
        <v>MOSES BRADLEY</v>
      </c>
      <c r="M190" s="6">
        <f t="shared" si="54"/>
        <v>1.0335648148611654E-2</v>
      </c>
      <c r="N190" s="7">
        <f t="shared" si="68"/>
        <v>14.883333334000781</v>
      </c>
      <c r="O190" s="7"/>
      <c r="P190" s="7"/>
      <c r="Q190" s="23"/>
      <c r="R190" s="23"/>
      <c r="S190" s="35">
        <f t="shared" si="67"/>
        <v>1</v>
      </c>
      <c r="T190" s="50" t="str">
        <f t="shared" si="55"/>
        <v>Southbound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15:38:50-700',mode:absolute,to:'2016-12-07 17:57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0" s="52" t="str">
        <f t="shared" si="57"/>
        <v>N</v>
      </c>
      <c r="X190" s="177">
        <f t="shared" si="69"/>
        <v>1</v>
      </c>
      <c r="Y190" s="67">
        <f t="shared" si="58"/>
        <v>5.8620999999999999</v>
      </c>
      <c r="Z190" s="67">
        <f t="shared" si="59"/>
        <v>7.1499999999999994E-2</v>
      </c>
      <c r="AA190" s="67">
        <f t="shared" si="60"/>
        <v>5.7905999999999995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61"/>
        <v>0830-07</v>
      </c>
      <c r="AE190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90" s="88" t="str">
        <f t="shared" si="63"/>
        <v>"C:\Program Files (x86)\AstroGrep\AstroGrep.exe" /spath="%USERPROFILE%\AppData\Local\Temp\OnboardLogs" /stypes="app*4039*20161207*" /stext=" 23:.+((SYSTEM_STATE.+slice.+state.+changed )|(ment ac)|(multiple cpu faults)|(system.+state.+changed )|(\[timeout)|(PRM\|1\|D)|(kpr)|(kdp)|(\|lc)|(penalty))" /e /r /s</v>
      </c>
      <c r="AG190" s="1" t="str">
        <f t="shared" si="64"/>
        <v>NW</v>
      </c>
      <c r="AH190" s="92" t="str">
        <f t="shared" si="51"/>
        <v>"%USERPROFILE%\Documents\GitHub\eaglep3\Utilities\RefineRTDCRunTimes.py" --tripid 830-07 --locoid 4039 --swversion DE.1.0.8.0 --startMP 300:58621 --initTime 2016-12-07T16:38:50 --startdatetime 2016-12-07T16:42:32 --delay 1 --endMP 204:715 --enddatetime 2016-12-07T16:57:25 --enforcementcount 0 &gt;&gt;C:\Users\stu\Documents\GitHub\eaglep3-reporting\EC\2016-12-07-refined-times.txt</v>
      </c>
      <c r="AI190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{"issue":{"subject":"","project_id":79,"tracker_id":40,"status_id":1,"priority_id":2,"assigned_to_id":23,"start_date":"2016-12-07","description":"","custom_fields":[{"id":1,"name":"Subdivision","value":"NW"},{"id":4,"name":"Milepost","value":"0.0715"},{"id":17,"name":"Train ID","value":"830-07"},{"id":16,"name":"Locomotive ID","value":"4039"},{"id":130,"name":"Impact","value":""},{"id":150,"name":"Time of Event (Mountain Time)","value":"16:57:25"},{"id":151,"name":"Denver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610</v>
      </c>
      <c r="B191" s="7">
        <v>4011</v>
      </c>
      <c r="C191" s="22" t="s">
        <v>207</v>
      </c>
      <c r="D191" s="22" t="s">
        <v>797</v>
      </c>
      <c r="E191" s="13">
        <v>42711.693344907406</v>
      </c>
      <c r="F191" s="13">
        <v>42711.702870370369</v>
      </c>
      <c r="G191" s="7">
        <v>1</v>
      </c>
      <c r="H191" s="22" t="s">
        <v>426</v>
      </c>
      <c r="I191" s="13">
        <v>42711.712812500002</v>
      </c>
      <c r="J191" s="7">
        <v>0</v>
      </c>
      <c r="K191" s="109" t="str">
        <f t="shared" si="53"/>
        <v>4011/4012</v>
      </c>
      <c r="L191" s="22" t="str">
        <f>VLOOKUP(A191,'Trips&amp;Operators'!$C$1:$G$99999,5,FALSE)</f>
        <v>LEVERE CRAIG</v>
      </c>
      <c r="M191" s="6">
        <f t="shared" si="54"/>
        <v>9.9421296326909214E-3</v>
      </c>
      <c r="N191" s="7">
        <f t="shared" si="68"/>
        <v>14.316666671074927</v>
      </c>
      <c r="O191" s="7"/>
      <c r="P191" s="7"/>
      <c r="Q191" s="23"/>
      <c r="R191" s="23"/>
      <c r="S191" s="35">
        <f t="shared" ref="S191:S224" si="70">SUM(U191:U191)/IF(AG191="EC",12,1)</f>
        <v>1</v>
      </c>
      <c r="T191" s="50" t="str">
        <f t="shared" si="55"/>
        <v>NorthBound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15:38:25-700',mode:absolute,to:'2016-12-07 18:06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1" s="52" t="str">
        <f t="shared" si="57"/>
        <v>N</v>
      </c>
      <c r="X191" s="177">
        <f t="shared" si="69"/>
        <v>1</v>
      </c>
      <c r="Y191" s="67">
        <f t="shared" si="58"/>
        <v>9.5799999999999996E-2</v>
      </c>
      <c r="Z191" s="67">
        <f t="shared" si="59"/>
        <v>5.8959999999999999</v>
      </c>
      <c r="AA191" s="67">
        <f t="shared" si="60"/>
        <v>5.8002000000000002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61"/>
        <v>0831-07</v>
      </c>
      <c r="AE191" s="91" t="str">
        <f t="shared" si="62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91" s="88" t="str">
        <f t="shared" si="63"/>
        <v>"C:\Program Files (x86)\AstroGrep\AstroGrep.exe" /spath="%USERPROFILE%\AppData\Local\Temp\OnboardLogs" /stypes="app*4011*20161208*" /stext=" 00:.+((SYSTEM_STATE.+slice.+state.+changed )|(ment ac)|(multiple cpu faults)|(system.+state.+changed )|(\[timeout)|(PRM\|1\|D)|(kpr)|(kdp)|(\|lc)|(penalty))" /e /r /s</v>
      </c>
      <c r="AG191" s="1" t="str">
        <f t="shared" si="64"/>
        <v>NW</v>
      </c>
      <c r="AH191" s="92" t="str">
        <f t="shared" si="51"/>
        <v>"%USERPROFILE%\Documents\GitHub\eaglep3\Utilities\RefineRTDCRunTimes.py" --tripid 831-07 --locoid 4011 --swversion DE.1.0.8.0 --startMP 204:958 --initTime 2016-12-07T16:38:25 --startdatetime 2016-12-07T16:52:08 --delay 1 --endMP 300:58960 --enddatetime 2016-12-07T17:06:27 --enforcementcount 0 &gt;&gt;C:\Users\stu\Documents\GitHub\eaglep3-reporting\EC\2016-12-07-refined-times.txt</v>
      </c>
      <c r="AI191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{"issue":{"subject":"","project_id":79,"tracker_id":40,"status_id":1,"priority_id":2,"assigned_to_id":23,"start_date":"2016-12-07","description":"","custom_fields":[{"id":1,"name":"Subdivision","value":"NW"},{"id":4,"name":"Milepost","value":"5.896"},{"id":17,"name":"Train ID","value":"831-07"},{"id":16,"name":"Locomotive ID","value":"4011"},{"id":130,"name":"Impact","value":""},{"id":150,"name":"Time of Event (Mountain Time)","value":"17:06:27"},{"id":151,"name":"Denver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x14ac:dyDescent="0.25">
      <c r="A192" s="37" t="s">
        <v>617</v>
      </c>
      <c r="B192" s="7">
        <v>4012</v>
      </c>
      <c r="C192" s="22" t="s">
        <v>207</v>
      </c>
      <c r="D192" s="22" t="s">
        <v>798</v>
      </c>
      <c r="E192" s="13">
        <v>42711.714363425926</v>
      </c>
      <c r="F192" s="13">
        <v>42711.715868055559</v>
      </c>
      <c r="G192" s="7">
        <v>1</v>
      </c>
      <c r="H192" s="22" t="s">
        <v>799</v>
      </c>
      <c r="I192" s="13">
        <v>42711.727083333331</v>
      </c>
      <c r="J192" s="7">
        <v>0</v>
      </c>
      <c r="K192" s="109" t="str">
        <f t="shared" si="53"/>
        <v>4011/4012</v>
      </c>
      <c r="L192" s="22" t="str">
        <f>VLOOKUP(A192,'Trips&amp;Operators'!$C$1:$G$99999,5,FALSE)</f>
        <v>LEVERE CRAIG</v>
      </c>
      <c r="M192" s="6">
        <f t="shared" si="54"/>
        <v>1.1215277772862464E-2</v>
      </c>
      <c r="N192" s="7">
        <f t="shared" si="68"/>
        <v>16.149999992921948</v>
      </c>
      <c r="O192" s="7"/>
      <c r="P192" s="7"/>
      <c r="Q192" s="23"/>
      <c r="R192" s="23"/>
      <c r="S192" s="35">
        <f t="shared" si="70"/>
        <v>1</v>
      </c>
      <c r="T192" s="50" t="str">
        <f t="shared" si="55"/>
        <v>Southbound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16:08:41-700',mode:absolute,to:'2016-12-07 18:27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2" s="52" t="str">
        <f t="shared" si="57"/>
        <v>N</v>
      </c>
      <c r="X192" s="177">
        <f t="shared" si="69"/>
        <v>1</v>
      </c>
      <c r="Y192" s="67">
        <f t="shared" si="58"/>
        <v>5.8639999999999999</v>
      </c>
      <c r="Z192" s="67">
        <f t="shared" si="59"/>
        <v>6.8400000000000002E-2</v>
      </c>
      <c r="AA192" s="67">
        <f t="shared" si="60"/>
        <v>5.7956000000000003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61"/>
        <v>0832-07</v>
      </c>
      <c r="AE192" s="91" t="str">
        <f t="shared" si="62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92" s="88" t="str">
        <f t="shared" si="63"/>
        <v>"C:\Program Files (x86)\AstroGrep\AstroGrep.exe" /spath="%USERPROFILE%\AppData\Local\Temp\OnboardLogs" /stypes="app*4012*20161208*" /stext=" 00:.+((SYSTEM_STATE.+slice.+state.+changed )|(ment ac)|(multiple cpu faults)|(system.+state.+changed )|(\[timeout)|(PRM\|1\|D)|(kpr)|(kdp)|(\|lc)|(penalty))" /e /r /s</v>
      </c>
      <c r="AG192" s="1" t="str">
        <f t="shared" si="64"/>
        <v>NW</v>
      </c>
      <c r="AH192" s="92" t="str">
        <f t="shared" si="51"/>
        <v>"%USERPROFILE%\Documents\GitHub\eaglep3\Utilities\RefineRTDCRunTimes.py" --tripid 832-07 --locoid 4012 --swversion DE.1.0.8.0 --startMP 300:58640 --initTime 2016-12-07T17:08:41 --startdatetime 2016-12-07T17:10:51 --delay 1 --endMP 204:684 --enddatetime 2016-12-07T17:27:00 --enforcementcount 0 &gt;&gt;C:\Users\stu\Documents\GitHub\eaglep3-reporting\EC\2016-12-07-refined-times.txt</v>
      </c>
      <c r="AI192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{"issue":{"subject":"","project_id":79,"tracker_id":40,"status_id":1,"priority_id":2,"assigned_to_id":23,"start_date":"2016-12-07","description":"","custom_fields":[{"id":1,"name":"Subdivision","value":"NW"},{"id":4,"name":"Milepost","value":"0.0684"},{"id":17,"name":"Train ID","value":"832-07"},{"id":16,"name":"Locomotive ID","value":"4012"},{"id":130,"name":"Impact","value":""},{"id":150,"name":"Time of Event (Mountain Time)","value":"17:27:00"},{"id":151,"name":"Denver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38" x14ac:dyDescent="0.25">
      <c r="A193" s="37" t="s">
        <v>615</v>
      </c>
      <c r="B193" s="7">
        <v>4040</v>
      </c>
      <c r="C193" s="22" t="s">
        <v>207</v>
      </c>
      <c r="D193" s="22" t="s">
        <v>800</v>
      </c>
      <c r="E193" s="13">
        <v>42711.711261574077</v>
      </c>
      <c r="F193" s="13">
        <v>42711.72314814815</v>
      </c>
      <c r="G193" s="7">
        <v>1</v>
      </c>
      <c r="H193" s="22" t="s">
        <v>426</v>
      </c>
      <c r="I193" s="13">
        <v>42711.734340277777</v>
      </c>
      <c r="J193" s="7">
        <v>0</v>
      </c>
      <c r="K193" s="109" t="str">
        <f t="shared" si="53"/>
        <v>4039/4040</v>
      </c>
      <c r="L193" s="22" t="str">
        <f>VLOOKUP(A193,'Trips&amp;Operators'!$C$1:$G$99999,5,FALSE)</f>
        <v>MOSES BRADLEY</v>
      </c>
      <c r="M193" s="6">
        <f t="shared" si="54"/>
        <v>1.1192129626579117E-2</v>
      </c>
      <c r="N193" s="7">
        <f t="shared" si="68"/>
        <v>16.116666662273929</v>
      </c>
      <c r="O193" s="7"/>
      <c r="P193" s="7"/>
      <c r="Q193" s="23"/>
      <c r="R193" s="23"/>
      <c r="S193" s="35">
        <f t="shared" si="70"/>
        <v>1</v>
      </c>
      <c r="T193" s="50" t="str">
        <f t="shared" si="55"/>
        <v>NorthBound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16:04:13-700',mode:absolute,to:'2016-12-07 18:37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3" s="52" t="str">
        <f t="shared" si="57"/>
        <v>N</v>
      </c>
      <c r="X193" s="177">
        <f t="shared" si="69"/>
        <v>1</v>
      </c>
      <c r="Y193" s="67">
        <f t="shared" si="58"/>
        <v>0.1013</v>
      </c>
      <c r="Z193" s="67">
        <f t="shared" si="59"/>
        <v>5.8959999999999999</v>
      </c>
      <c r="AA193" s="67">
        <f t="shared" si="60"/>
        <v>5.7946999999999997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61"/>
        <v>0833-07</v>
      </c>
      <c r="AE193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93" s="88" t="str">
        <f t="shared" si="63"/>
        <v>"C:\Program Files (x86)\AstroGrep\AstroGrep.exe" /spath="%USERPROFILE%\AppData\Local\Temp\OnboardLogs" /stypes="app*4040*20161208*" /stext=" 00:.+((SYSTEM_STATE.+slice.+state.+changed )|(ment ac)|(multiple cpu faults)|(system.+state.+changed )|(\[timeout)|(PRM\|1\|D)|(kpr)|(kdp)|(\|lc)|(penalty))" /e /r /s</v>
      </c>
      <c r="AG193" s="1" t="str">
        <f t="shared" si="64"/>
        <v>NW</v>
      </c>
      <c r="AH193" s="92" t="str">
        <f t="shared" si="51"/>
        <v>"%USERPROFILE%\Documents\GitHub\eaglep3\Utilities\RefineRTDCRunTimes.py" --tripid 833-07 --locoid 4040 --swversion DE.1.0.8.0 --startMP 204:1013 --initTime 2016-12-07T17:04:13 --startdatetime 2016-12-07T17:21:20 --delay 1 --endMP 300:58960 --enddatetime 2016-12-07T17:37:27 --enforcementcount 0 &gt;&gt;C:\Users\stu\Documents\GitHub\eaglep3-reporting\EC\2016-12-07-refined-times.txt</v>
      </c>
      <c r="AI193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{"issue":{"subject":"","project_id":79,"tracker_id":40,"status_id":1,"priority_id":2,"assigned_to_id":23,"start_date":"2016-12-07","description":"","custom_fields":[{"id":1,"name":"Subdivision","value":"NW"},{"id":4,"name":"Milepost","value":"5.896"},{"id":17,"name":"Train ID","value":"833-07"},{"id":16,"name":"Locomotive ID","value":"4040"},{"id":130,"name":"Impact","value":""},{"id":150,"name":"Time of Event (Mountain Time)","value":"17:37:27"},{"id":151,"name":"Denver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38" x14ac:dyDescent="0.25">
      <c r="A194" s="37" t="s">
        <v>469</v>
      </c>
      <c r="B194" s="7">
        <v>4039</v>
      </c>
      <c r="C194" s="22" t="s">
        <v>207</v>
      </c>
      <c r="D194" s="22" t="s">
        <v>765</v>
      </c>
      <c r="E194" s="13">
        <v>42711.735625000001</v>
      </c>
      <c r="F194" s="13">
        <v>42711.737650462965</v>
      </c>
      <c r="G194" s="7">
        <v>2</v>
      </c>
      <c r="H194" s="22" t="s">
        <v>801</v>
      </c>
      <c r="I194" s="13">
        <v>42711.749409722222</v>
      </c>
      <c r="J194" s="7">
        <v>1</v>
      </c>
      <c r="K194" s="109" t="str">
        <f t="shared" si="53"/>
        <v>4039/4040</v>
      </c>
      <c r="L194" s="22" t="str">
        <f>VLOOKUP(A194,'Trips&amp;Operators'!$C$1:$G$99999,5,FALSE)</f>
        <v>MOSES BRADLEY</v>
      </c>
      <c r="M194" s="6">
        <f t="shared" si="54"/>
        <v>1.1759259257814847E-2</v>
      </c>
      <c r="N194" s="7"/>
      <c r="O194" s="7"/>
      <c r="P194" s="7">
        <f>24*60*SUM($M194:$M194)</f>
        <v>16.93333333125338</v>
      </c>
      <c r="Q194" s="23"/>
      <c r="R194" s="23" t="s">
        <v>441</v>
      </c>
      <c r="S194" s="35">
        <f t="shared" si="70"/>
        <v>0</v>
      </c>
      <c r="T194" s="50" t="str">
        <f t="shared" si="55"/>
        <v>Southbound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0</v>
      </c>
      <c r="V19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16:39:18-700',mode:absolute,to:'2016-12-07 18:59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194" s="52" t="str">
        <f t="shared" si="57"/>
        <v>Y</v>
      </c>
      <c r="X194" s="177">
        <f t="shared" si="69"/>
        <v>1</v>
      </c>
      <c r="Y194" s="67">
        <f t="shared" si="58"/>
        <v>5.8635999999999999</v>
      </c>
      <c r="Z194" s="67">
        <f t="shared" si="59"/>
        <v>1.5693999999999999</v>
      </c>
      <c r="AA194" s="67">
        <f t="shared" si="60"/>
        <v>4.2942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61"/>
        <v>0834-07</v>
      </c>
      <c r="AE194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194" s="88" t="str">
        <f t="shared" si="63"/>
        <v>"C:\Program Files (x86)\AstroGrep\AstroGrep.exe" /spath="%USERPROFILE%\AppData\Local\Temp\OnboardLogs" /stypes="app*4039*20161208*" /stext=" 00:.+((SYSTEM_STATE.+slice.+state.+changed )|(ment ac)|(multiple cpu faults)|(system.+state.+changed )|(\[timeout)|(PRM\|1\|D)|(kpr)|(kdp)|(\|lc)|(penalty))" /e /r /s</v>
      </c>
      <c r="AG194" s="1" t="str">
        <f t="shared" si="64"/>
        <v>NW</v>
      </c>
      <c r="AH194" s="92" t="str">
        <f t="shared" si="51"/>
        <v>"%USERPROFILE%\Documents\GitHub\eaglep3\Utilities\RefineRTDCRunTimes.py" --tripid 834-07 --locoid 4039 --swversion DE.1.0.8.0 --startMP 300:58636 --initTime 2016-12-07T17:39:18 --startdatetime 2016-12-07T17:42:13 --delay 2 --endMP 300:15694 --enddatetime 2016-12-07T17:59:09 --enforcementcount 1 &gt;&gt;C:\Users\stu\Documents\GitHub\eaglep3-reporting\EC\2016-12-07-refined-times.txt</v>
      </c>
      <c r="AI194" s="119" t="str">
        <f t="shared" si="52"/>
        <v>echo {"issue":{"subject":"Onboard in-route failure","project_id":79,"tracker_id":40,"status_id":1,"priority_id":2,"assigned_to_id":23,"start_date":"2016-12-07","description":"","custom_fields":[{"id":1,"name":"Subdivision","value":"NW"},{"id":4,"name":"Milepost","value":"1.5694"},{"id":17,"name":"Train ID","value":"834-07"},{"id":16,"name":"Locomotive ID","value":"4039"},{"id":130,"name":"Impact","value":""},{"id":150,"name":"Time of Event (Mountain Time)","value":"17:59:09"},{"id":151,"name":"Denver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38" x14ac:dyDescent="0.25">
      <c r="A195" s="37" t="s">
        <v>623</v>
      </c>
      <c r="B195" s="7">
        <v>4011</v>
      </c>
      <c r="C195" s="22" t="s">
        <v>207</v>
      </c>
      <c r="D195" s="22" t="s">
        <v>279</v>
      </c>
      <c r="E195" s="13">
        <v>42711.737326388888</v>
      </c>
      <c r="F195" s="13">
        <v>42711.743958333333</v>
      </c>
      <c r="G195" s="7">
        <v>1</v>
      </c>
      <c r="H195" s="22" t="s">
        <v>802</v>
      </c>
      <c r="I195" s="13">
        <v>42711.754629629628</v>
      </c>
      <c r="J195" s="7">
        <v>0</v>
      </c>
      <c r="K195" s="109" t="str">
        <f t="shared" si="53"/>
        <v>4011/4012</v>
      </c>
      <c r="L195" s="22" t="str">
        <f>VLOOKUP(A195,'Trips&amp;Operators'!$C$1:$G$99999,5,FALSE)</f>
        <v>LEVERE CRAIG</v>
      </c>
      <c r="M195" s="6">
        <f t="shared" si="54"/>
        <v>1.0671296295186039E-2</v>
      </c>
      <c r="N195" s="7">
        <f>24*60*SUM($M195:$M195)</f>
        <v>15.366666665067896</v>
      </c>
      <c r="O195" s="7"/>
      <c r="P195" s="7"/>
      <c r="Q195" s="23"/>
      <c r="R195" s="23"/>
      <c r="S195" s="35">
        <f t="shared" si="70"/>
        <v>1</v>
      </c>
      <c r="T195" s="50" t="str">
        <f t="shared" si="55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16:41:45-700',mode:absolute,to:'2016-12-07 19:06:40-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5" s="52" t="str">
        <f t="shared" si="57"/>
        <v>N</v>
      </c>
      <c r="X195" s="177">
        <f t="shared" si="69"/>
        <v>1</v>
      </c>
      <c r="Y195" s="67">
        <f t="shared" si="58"/>
        <v>9.7100000000000006E-2</v>
      </c>
      <c r="Z195" s="67">
        <f t="shared" si="59"/>
        <v>5.8948</v>
      </c>
      <c r="AA195" s="67">
        <f t="shared" si="60"/>
        <v>5.7976999999999999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61"/>
        <v>0835-07</v>
      </c>
      <c r="AE195" s="91" t="str">
        <f t="shared" si="62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95" s="88" t="str">
        <f t="shared" si="63"/>
        <v>"C:\Program Files (x86)\AstroGrep\AstroGrep.exe" /spath="%USERPROFILE%\AppData\Local\Temp\OnboardLogs" /stypes="app*4011*20161208*" /stext=" 01:.+((SYSTEM_STATE.+slice.+state.+changed )|(ment ac)|(multiple cpu faults)|(system.+state.+changed )|(\[timeout)|(PRM\|1\|D)|(kpr)|(kdp)|(\|lc)|(penalty))" /e /r /s</v>
      </c>
      <c r="AG195" s="1" t="str">
        <f t="shared" si="64"/>
        <v>NW</v>
      </c>
      <c r="AH195" s="92" t="str">
        <f t="shared" si="51"/>
        <v>"%USERPROFILE%\Documents\GitHub\eaglep3\Utilities\RefineRTDCRunTimes.py" --tripid 835-07 --locoid 4011 --swversion DE.1.0.8.0 --startMP 204:971 --initTime 2016-12-07T17:41:45 --startdatetime 2016-12-07T17:51:18 --delay 1 --endMP 300:58948 --enddatetime 2016-12-07T18:06:40 --enforcementcount 0 &gt;&gt;C:\Users\stu\Documents\GitHub\eaglep3-reporting\EC\2016-12-07-refined-times.txt</v>
      </c>
      <c r="AI195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{"issue":{"subject":"","project_id":79,"tracker_id":40,"status_id":1,"priority_id":2,"assigned_to_id":23,"start_date":"2016-12-07","description":"","custom_fields":[{"id":1,"name":"Subdivision","value":"NW"},{"id":4,"name":"Milepost","value":"5.8948"},{"id":17,"name":"Train ID","value":"835-07"},{"id":16,"name":"Locomotive ID","value":"4011"},{"id":130,"name":"Impact","value":""},{"id":150,"name":"Time of Event (Mountain Time)","value":"18:06:40"},{"id":151,"name":"Denver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38" x14ac:dyDescent="0.25">
      <c r="A196" s="37" t="s">
        <v>629</v>
      </c>
      <c r="B196" s="7">
        <v>4012</v>
      </c>
      <c r="C196" s="22" t="s">
        <v>207</v>
      </c>
      <c r="D196" s="22" t="s">
        <v>803</v>
      </c>
      <c r="E196" s="13">
        <v>42711.756226851852</v>
      </c>
      <c r="F196" s="13">
        <v>42711.757662037038</v>
      </c>
      <c r="G196" s="7">
        <v>1</v>
      </c>
      <c r="H196" s="22" t="s">
        <v>360</v>
      </c>
      <c r="I196" s="13">
        <v>42711.773425925923</v>
      </c>
      <c r="J196" s="7">
        <v>0</v>
      </c>
      <c r="K196" s="109" t="str">
        <f t="shared" si="53"/>
        <v>4011/4012</v>
      </c>
      <c r="L196" s="22" t="str">
        <f>VLOOKUP(A196,'Trips&amp;Operators'!$C$1:$G$99999,5,FALSE)</f>
        <v>LEVERE CRAIG</v>
      </c>
      <c r="M196" s="6">
        <f t="shared" si="54"/>
        <v>1.5763888884976041E-2</v>
      </c>
      <c r="N196" s="7">
        <f>24*60*SUM($M196:$M196)</f>
        <v>22.699999994365498</v>
      </c>
      <c r="O196" s="7"/>
      <c r="P196" s="7"/>
      <c r="Q196" s="23"/>
      <c r="R196" s="23"/>
      <c r="S196" s="35">
        <f t="shared" si="70"/>
        <v>1</v>
      </c>
      <c r="T196" s="50" t="str">
        <f t="shared" si="55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17:08:58-700',mode:absolute,to:'2016-12-07 19:33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6" s="52" t="str">
        <f t="shared" si="57"/>
        <v>N</v>
      </c>
      <c r="X196" s="177">
        <f t="shared" ref="X196:X201" si="71">VALUE(LEFT(AD196,4))-VALUE(LEFT(AD195,4))</f>
        <v>1</v>
      </c>
      <c r="Y196" s="67">
        <f t="shared" si="58"/>
        <v>5.8640999999999996</v>
      </c>
      <c r="Z196" s="67">
        <f t="shared" si="59"/>
        <v>6.9400000000000003E-2</v>
      </c>
      <c r="AA196" s="67">
        <f t="shared" si="60"/>
        <v>5.7946999999999997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61"/>
        <v>0836-07</v>
      </c>
      <c r="AE196" s="91" t="str">
        <f t="shared" si="62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196" s="88" t="str">
        <f t="shared" si="63"/>
        <v>"C:\Program Files (x86)\AstroGrep\AstroGrep.exe" /spath="%USERPROFILE%\AppData\Local\Temp\OnboardLogs" /stypes="app*4012*20161208*" /stext=" 01:.+((SYSTEM_STATE.+slice.+state.+changed )|(ment ac)|(multiple cpu faults)|(system.+state.+changed )|(\[timeout)|(PRM\|1\|D)|(kpr)|(kdp)|(\|lc)|(penalty))" /e /r /s</v>
      </c>
      <c r="AG196" s="1" t="str">
        <f t="shared" si="64"/>
        <v>NW</v>
      </c>
      <c r="AH196" s="92" t="str">
        <f t="shared" si="51"/>
        <v>"%USERPROFILE%\Documents\GitHub\eaglep3\Utilities\RefineRTDCRunTimes.py" --tripid 836-07 --locoid 4012 --swversion DE.1.0.8.0 --startMP 300:58641 --initTime 2016-12-07T18:08:58 --startdatetime 2016-12-07T18:11:02 --delay 1 --endMP 204:694 --enddatetime 2016-12-07T18:33:44 --enforcementcount 0 &gt;&gt;C:\Users\stu\Documents\GitHub\eaglep3-reporting\EC\2016-12-07-refined-times.txt</v>
      </c>
      <c r="AI196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{"issue":{"subject":"","project_id":79,"tracker_id":40,"status_id":1,"priority_id":2,"assigned_to_id":23,"start_date":"2016-12-07","description":"","custom_fields":[{"id":1,"name":"Subdivision","value":"NW"},{"id":4,"name":"Milepost","value":"0.0694"},{"id":17,"name":"Train ID","value":"836-07"},{"id":16,"name":"Locomotive ID","value":"4012"},{"id":130,"name":"Impact","value":""},{"id":150,"name":"Time of Event (Mountain Time)","value":"18:33:44"},{"id":151,"name":"Denver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38" s="21" customFormat="1" x14ac:dyDescent="0.25">
      <c r="A197" s="37" t="s">
        <v>632</v>
      </c>
      <c r="B197" s="7">
        <v>4040</v>
      </c>
      <c r="C197" s="22" t="s">
        <v>207</v>
      </c>
      <c r="D197" s="22" t="s">
        <v>803</v>
      </c>
      <c r="E197" s="13">
        <v>42711.756226851852</v>
      </c>
      <c r="F197" s="13">
        <v>42711.765057870369</v>
      </c>
      <c r="G197" s="7">
        <v>1</v>
      </c>
      <c r="H197" s="22" t="s">
        <v>360</v>
      </c>
      <c r="I197" s="13">
        <v>42711.766006944446</v>
      </c>
      <c r="J197" s="7">
        <v>0</v>
      </c>
      <c r="K197" s="109" t="str">
        <f t="shared" si="53"/>
        <v>4039/4040</v>
      </c>
      <c r="L197" s="22" t="str">
        <f>VLOOKUP(A197,'Trips&amp;Operators'!$C$1:$G$99999,5,FALSE)</f>
        <v>MOSES BRADLEY</v>
      </c>
      <c r="M197" s="6">
        <f t="shared" si="54"/>
        <v>9.490740776527673E-4</v>
      </c>
      <c r="N197" s="7"/>
      <c r="O197" s="7"/>
      <c r="P197" s="7">
        <f>24*60*SUM($M197:$M197)</f>
        <v>1.3666666718199849</v>
      </c>
      <c r="Q197" s="23"/>
      <c r="R197" s="23" t="s">
        <v>846</v>
      </c>
      <c r="S197" s="35">
        <f t="shared" si="70"/>
        <v>0</v>
      </c>
      <c r="T197" s="50" t="str">
        <f t="shared" si="55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0</v>
      </c>
      <c r="V197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17:08:58-700',mode:absolute,to:'2016-12-07 19:23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197" s="52" t="str">
        <f t="shared" si="57"/>
        <v>N</v>
      </c>
      <c r="X197" s="177">
        <f t="shared" si="71"/>
        <v>1</v>
      </c>
      <c r="Y197" s="67">
        <f t="shared" si="58"/>
        <v>5.8640999999999996</v>
      </c>
      <c r="Z197" s="67">
        <f t="shared" si="59"/>
        <v>6.9400000000000003E-2</v>
      </c>
      <c r="AA197" s="67">
        <f t="shared" si="60"/>
        <v>5.7946999999999997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61"/>
        <v>0837-07</v>
      </c>
      <c r="AE197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197" s="88" t="str">
        <f t="shared" si="63"/>
        <v>"C:\Program Files (x86)\AstroGrep\AstroGrep.exe" /spath="%USERPROFILE%\AppData\Local\Temp\OnboardLogs" /stypes="app*4040*20161208*" /stext=" 01:.+((SYSTEM_STATE.+slice.+state.+changed )|(ment ac)|(multiple cpu faults)|(system.+state.+changed )|(\[timeout)|(PRM\|1\|D)|(kpr)|(kdp)|(\|lc)|(penalty))" /e /r /s</v>
      </c>
      <c r="AG197" s="1" t="str">
        <f t="shared" si="64"/>
        <v>NW</v>
      </c>
      <c r="AH197" s="92" t="str">
        <f t="shared" ref="AH197" si="72">refinertdcruntimes&amp;" --tripid "&amp;A197&amp;" --locoid "&amp;B197&amp;" --swversion "&amp;C197&amp;" --startMP "&amp;D197&amp;" --initTime "&amp;TEXT(E197,"yyyy-mm-ddTHH:MM:SS")&amp;" --startdatetime "&amp;TEXT(F197,"yyyy-mm-ddTHH:MM:SS")&amp;" --delay "&amp;G197&amp;" --endMP "&amp;H197&amp;" --enddatetime "&amp;TEXT(I197,"yyyy-mm-ddTHH:MM:SS")&amp;" --enforcementcount "&amp;J197&amp;IF(outputrefinedruntimes," &gt;&gt;"&amp;RefinedRTDCRunTimesOutputFile,"")</f>
        <v>"%USERPROFILE%\Documents\GitHub\eaglep3\Utilities\RefineRTDCRunTimes.py" --tripid 837-07 --locoid 4040 --swversion DE.1.0.8.0 --startMP 300:58641 --initTime 2016-12-07T18:08:58 --startdatetime 2016-12-07T18:21:41 --delay 1 --endMP 204:694 --enddatetime 2016-12-07T18:23:03 --enforcementcount 0 &gt;&gt;C:\Users\stu\Documents\GitHub\eaglep3-reporting\EC\2016-12-07-refined-times.txt</v>
      </c>
      <c r="AI197" s="119" t="str">
        <f t="shared" ref="AI197" si="73">"echo {""issue"":{""subject"":"""&amp;R197&amp;""",""project_id"":79,""tracker_id"":40,""status_id"":"&amp;redmine_status&amp;",""priority_id"":"&amp;redmine_priority&amp;",""assigned_to_id"":"&amp;redmine_assignee&amp;",""start_date"":"""&amp;TEXT(I197,"YYYY-mm-dd")&amp;""",""description"":"""&amp;AJ197&amp;""",""custom_fields"":[{""id"":1,""name"":""Subdivision"",""value"":"""&amp;AG197&amp;"""},{""id"":4,""name"":""Milepost"",""value"":"""&amp;Z197&amp;"""},{""id"":17,""name"":""Train ID"",""value"":"""&amp;A197&amp;"""},{""id"":16,""name"":""Locomotive ID"",""value"":"""&amp;B197&amp;"""},{""id"":130,""name"":""Impact"",""value"":"""&amp;AK197&amp;"""},{""id"":150,""name"":""Time of Event (Mountain Time)"",""value"":"""&amp;TEXT(I197,"hh:mm:ss")&amp;"""},{""id"":151,""name"":""Denver Issue ID"",""value"":"""&amp;"""},{""id"":178,""name"":""Operational Impact"",""value"":"""&amp;redmine_op_impact&amp;"""},{""id"":179,""name"":""Denver Segment Assigned"",""value"":"""&amp;AL197&amp;"""}]}}"&amp;" | curl -X POST -H ""Content-Type: application/json"" -H ""X-Redmine-API-Key: "&amp;redm_api_key&amp;""" "&amp;redm_url&amp;" --data @-"</f>
        <v>echo {"issue":{"subject":"BPP stayed low, did not init due to depart test failure","project_id":79,"tracker_id":40,"status_id":1,"priority_id":2,"assigned_to_id":23,"start_date":"2016-12-07","description":"","custom_fields":[{"id":1,"name":"Subdivision","value":"NW"},{"id":4,"name":"Milepost","value":"0.0694"},{"id":17,"name":"Train ID","value":"837-07"},{"id":16,"name":"Locomotive ID","value":"4040"},{"id":130,"name":"Impact","value":""},{"id":150,"name":"Time of Event (Mountain Time)","value":"18:23:03"},{"id":151,"name":"Denver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38" x14ac:dyDescent="0.25">
      <c r="A198" s="37" t="s">
        <v>471</v>
      </c>
      <c r="B198" s="7">
        <v>4011</v>
      </c>
      <c r="C198" s="22" t="s">
        <v>207</v>
      </c>
      <c r="D198" s="22" t="s">
        <v>784</v>
      </c>
      <c r="E198" s="13">
        <v>42711.776203703703</v>
      </c>
      <c r="F198" s="13">
        <v>42711.785798611112</v>
      </c>
      <c r="G198" s="7">
        <v>1</v>
      </c>
      <c r="H198" s="22" t="s">
        <v>804</v>
      </c>
      <c r="I198" s="13">
        <v>42711.799027777779</v>
      </c>
      <c r="J198" s="7">
        <v>0</v>
      </c>
      <c r="K198" s="109" t="str">
        <f t="shared" si="53"/>
        <v>4011/4012</v>
      </c>
      <c r="L198" s="22" t="str">
        <f>VLOOKUP(A198,'Trips&amp;Operators'!$C$1:$G$99999,5,FALSE)</f>
        <v>LEVERE CRAIG</v>
      </c>
      <c r="M198" s="6">
        <f t="shared" si="54"/>
        <v>1.3229166666860692E-2</v>
      </c>
      <c r="N198" s="7">
        <f>24*60*SUM($M198:$M198)</f>
        <v>19.050000000279397</v>
      </c>
      <c r="O198" s="7"/>
      <c r="P198" s="7"/>
      <c r="Q198" s="23"/>
      <c r="R198" s="23"/>
      <c r="S198" s="35">
        <f t="shared" si="70"/>
        <v>1</v>
      </c>
      <c r="T198" s="50" t="str">
        <f t="shared" si="55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17:37:44-700',mode:absolute,to:'2016-12-07 20:10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8" s="52" t="str">
        <f t="shared" si="57"/>
        <v>N</v>
      </c>
      <c r="X198" s="177">
        <f t="shared" si="71"/>
        <v>2</v>
      </c>
      <c r="Y198" s="67">
        <f t="shared" si="58"/>
        <v>9.7900000000000001E-2</v>
      </c>
      <c r="Z198" s="67">
        <f t="shared" si="59"/>
        <v>5.8956</v>
      </c>
      <c r="AA198" s="67">
        <f t="shared" si="60"/>
        <v>5.7976999999999999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61"/>
        <v>0839-07</v>
      </c>
      <c r="AE198" s="91" t="str">
        <f t="shared" si="62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198" s="88" t="str">
        <f t="shared" si="63"/>
        <v>"C:\Program Files (x86)\AstroGrep\AstroGrep.exe" /spath="%USERPROFILE%\AppData\Local\Temp\OnboardLogs" /stypes="app*4011*20161208*" /stext=" 02:.+((SYSTEM_STATE.+slice.+state.+changed )|(ment ac)|(multiple cpu faults)|(system.+state.+changed )|(\[timeout)|(PRM\|1\|D)|(kpr)|(kdp)|(\|lc)|(penalty))" /e /r /s</v>
      </c>
      <c r="AG198" s="1" t="str">
        <f t="shared" si="64"/>
        <v>NW</v>
      </c>
      <c r="AH198" s="92" t="str">
        <f t="shared" si="51"/>
        <v>"%USERPROFILE%\Documents\GitHub\eaglep3\Utilities\RefineRTDCRunTimes.py" --tripid 839-07 --locoid 4011 --swversion DE.1.0.8.0 --startMP 204:979 --initTime 2016-12-07T18:37:44 --startdatetime 2016-12-07T18:51:33 --delay 1 --endMP 300:58956 --enddatetime 2016-12-07T19:10:36 --enforcementcount 0 &gt;&gt;C:\Users\stu\Documents\GitHub\eaglep3-reporting\EC\2016-12-07-refined-times.txt</v>
      </c>
      <c r="AI198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{"issue":{"subject":"","project_id":79,"tracker_id":40,"status_id":1,"priority_id":2,"assigned_to_id":23,"start_date":"2016-12-07","description":"","custom_fields":[{"id":1,"name":"Subdivision","value":"NW"},{"id":4,"name":"Milepost","value":"5.8956"},{"id":17,"name":"Train ID","value":"839-07"},{"id":16,"name":"Locomotive ID","value":"4011"},{"id":130,"name":"Impact","value":""},{"id":150,"name":"Time of Event (Mountain Time)","value":"19:10:36"},{"id":151,"name":"Denver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38" s="21" customFormat="1" x14ac:dyDescent="0.25">
      <c r="A199" s="37" t="s">
        <v>847</v>
      </c>
      <c r="B199" s="7"/>
      <c r="C199" s="22" t="s">
        <v>207</v>
      </c>
      <c r="D199" s="22" t="s">
        <v>784</v>
      </c>
      <c r="E199" s="13">
        <v>42711.776203703703</v>
      </c>
      <c r="F199" s="13"/>
      <c r="G199" s="7">
        <v>1</v>
      </c>
      <c r="H199" s="22" t="s">
        <v>804</v>
      </c>
      <c r="I199" s="13"/>
      <c r="J199" s="7">
        <v>0</v>
      </c>
      <c r="K199" s="109" t="str">
        <f t="shared" si="53"/>
        <v>-1/</v>
      </c>
      <c r="L199" s="22" t="e">
        <f>VLOOKUP(A199,'Trips&amp;Operators'!$C$1:$G$99999,5,FALSE)</f>
        <v>#N/A</v>
      </c>
      <c r="M199" s="6">
        <f t="shared" si="54"/>
        <v>0</v>
      </c>
      <c r="N199" s="7"/>
      <c r="O199" s="7"/>
      <c r="P199" s="7">
        <v>1</v>
      </c>
      <c r="Q199" s="23"/>
      <c r="R199" s="23" t="s">
        <v>848</v>
      </c>
      <c r="S199" s="35">
        <f t="shared" si="70"/>
        <v>0</v>
      </c>
      <c r="T199" s="50" t="str">
        <f t="shared" si="55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0</v>
      </c>
      <c r="V199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17:37:44-700',mode:absolute,to:'1900-01-00 01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%22')),sort:!(Time,asc))</v>
      </c>
      <c r="W199" s="52" t="str">
        <f t="shared" si="57"/>
        <v>N</v>
      </c>
      <c r="X199" s="177">
        <f t="shared" si="71"/>
        <v>1</v>
      </c>
      <c r="Y199" s="67">
        <f t="shared" si="58"/>
        <v>9.7900000000000001E-2</v>
      </c>
      <c r="Z199" s="67">
        <f t="shared" si="59"/>
        <v>5.8956</v>
      </c>
      <c r="AA199" s="67">
        <f t="shared" si="60"/>
        <v>5.7976999999999999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61"/>
        <v>0840-07</v>
      </c>
      <c r="AE199" s="91" t="str">
        <f t="shared" si="62"/>
        <v>aws s3 cp s3://rtdc.mdm.uploadarchive.raw/RTDC/ "%USERPROFILE%\AppData\Local\Temp\OnboardLogs"\RTDC\1900-01-00 --exclude "*" --recursive --include "*19000100*" &amp; "%USERPROFILE%\Documents\GitHub\mrs-test-scripts\Headless Mode &amp; Sideloading\WalkAndUnGZ.bat" "%USERPROFILE%\AppData\Local\Temp\OnboardLogs"\RTDC\1900-01-00 &amp; aws s3 cp s3://rtdc.mdm.uploadarchive.raw/RTDC/ "%USERPROFILE%\AppData\Local\Temp\OnboardLogs"\RTDC\1900-01-01 --exclude "*" --recursive --include "*19000101*" &amp; "%USERPROFILE%\Documents\GitHub\mrs-test-scripts\Headless Mode &amp; Sideloading\WalkAndUnGZ.bat" "%USERPROFILE%\AppData\Local\Temp\OnboardLogs"\RTDC\1900-01-01</v>
      </c>
      <c r="AF199" s="88" t="str">
        <f t="shared" si="63"/>
        <v>"C:\Program Files (x86)\AstroGrep\AstroGrep.exe" /spath="%USERPROFILE%\AppData\Local\Temp\OnboardLogs" /stypes="app**19000100*" /stext=" 07:.+((SYSTEM_STATE.+slice.+state.+changed )|(ment ac)|(multiple cpu faults)|(system.+state.+changed )|(\[timeout)|(PRM\|1\|D)|(kpr)|(kdp)|(\|lc)|(penalty))" /e /r /s</v>
      </c>
      <c r="AG199" s="1" t="str">
        <f t="shared" si="64"/>
        <v>NW</v>
      </c>
      <c r="AH199" s="92" t="str">
        <f t="shared" ref="AH199" si="74">refinertdcruntimes&amp;" --tripid "&amp;A199&amp;" --locoid "&amp;B199&amp;" --swversion "&amp;C199&amp;" --startMP "&amp;D199&amp;" --initTime "&amp;TEXT(E199,"yyyy-mm-ddTHH:MM:SS")&amp;" --startdatetime "&amp;TEXT(F199,"yyyy-mm-ddTHH:MM:SS")&amp;" --delay "&amp;G199&amp;" --endMP "&amp;H199&amp;" --enddatetime "&amp;TEXT(I199,"yyyy-mm-ddTHH:MM:SS")&amp;" --enforcementcount "&amp;J199&amp;IF(outputrefinedruntimes," &gt;&gt;"&amp;RefinedRTDCRunTimesOutputFile,"")</f>
        <v>"%USERPROFILE%\Documents\GitHub\eaglep3\Utilities\RefineRTDCRunTimes.py" --tripid 840-07 --locoid  --swversion DE.1.0.8.0 --startMP 204:979 --initTime 2016-12-07T18:37:44 --startdatetime 1900-01-00T00:00:00 --delay 1 --endMP 300:58956 --enddatetime 1900-01-00T00:00:00 --enforcementcount 0 &gt;&gt;C:\Users\stu\Documents\GitHub\eaglep3-reporting\EC\2016-12-07-refined-times.txt</v>
      </c>
      <c r="AI199" s="119" t="str">
        <f t="shared" ref="AI199" si="75">"echo {""issue"":{""subject"":"""&amp;R199&amp;""",""project_id"":79,""tracker_id"":40,""status_id"":"&amp;redmine_status&amp;",""priority_id"":"&amp;redmine_priority&amp;",""assigned_to_id"":"&amp;redmine_assignee&amp;",""start_date"":"""&amp;TEXT(I199,"YYYY-mm-dd")&amp;""",""description"":"""&amp;AJ199&amp;""",""custom_fields"":[{""id"":1,""name"":""Subdivision"",""value"":"""&amp;AG199&amp;"""},{""id"":4,""name"":""Milepost"",""value"":"""&amp;Z199&amp;"""},{""id"":17,""name"":""Train ID"",""value"":"""&amp;A199&amp;"""},{""id"":16,""name"":""Locomotive ID"",""value"":"""&amp;B199&amp;"""},{""id"":130,""name"":""Impact"",""value"":"""&amp;AK199&amp;"""},{""id"":150,""name"":""Time of Event (Mountain Time)"",""value"":"""&amp;TEXT(I199,"hh:mm:ss")&amp;"""},{""id"":151,""name"":""Denver Issue ID"",""value"":"""&amp;"""},{""id"":178,""name"":""Operational Impact"",""value"":"""&amp;redmine_op_impact&amp;"""},{""id"":179,""name"":""Denver Segment Assigned"",""value"":"""&amp;AL199&amp;"""}]}}"&amp;"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init","project_id":79,"tracker_id":40,"status_id":1,"priority_id":2,"assigned_to_id":23,"start_date":"1900-01-00","description":"","custom_fields":[{"id":1,"name":"Subdivision","value":"NW"},{"id":4,"name":"Milepost","value":"5.8956"},{"id":17,"name":"Train ID","value":"840-07"},{"id":16,"name":"Locomotive ID","value":""},{"id":130,"name":"Impact","value":""},{"id":150,"name":"Time of Event (Mountain Time)","value":"00:00:00"},{"id":151,"name":"Denver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38" x14ac:dyDescent="0.25">
      <c r="A200" s="37" t="s">
        <v>651</v>
      </c>
      <c r="B200" s="7">
        <v>4039</v>
      </c>
      <c r="C200" s="22" t="s">
        <v>207</v>
      </c>
      <c r="D200" s="22" t="s">
        <v>805</v>
      </c>
      <c r="E200" s="13">
        <v>42711.868310185186</v>
      </c>
      <c r="F200" s="13">
        <v>42711.870196759257</v>
      </c>
      <c r="G200" s="7">
        <v>1</v>
      </c>
      <c r="H200" s="22" t="s">
        <v>329</v>
      </c>
      <c r="I200" s="13">
        <v>42711.881296296298</v>
      </c>
      <c r="J200" s="7">
        <v>0</v>
      </c>
      <c r="K200" s="109" t="str">
        <f t="shared" si="53"/>
        <v>4039/4040</v>
      </c>
      <c r="L200" s="22" t="str">
        <f>VLOOKUP(A200,'Trips&amp;Operators'!$C$1:$G$99999,5,FALSE)</f>
        <v>NELSON ARIANE</v>
      </c>
      <c r="M200" s="6">
        <f t="shared" si="54"/>
        <v>1.1099537041445728E-2</v>
      </c>
      <c r="N200" s="7">
        <f t="shared" ref="N200:N224" si="76">24*60*SUM($M200:$M200)</f>
        <v>15.983333339681849</v>
      </c>
      <c r="O200" s="7"/>
      <c r="P200" s="7"/>
      <c r="Q200" s="23"/>
      <c r="R200" s="23"/>
      <c r="S200" s="35">
        <f t="shared" si="70"/>
        <v>1</v>
      </c>
      <c r="T200" s="50" t="str">
        <f t="shared" si="55"/>
        <v>Southbound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19:50:22-700',mode:absolute,to:'2016-12-07 22:09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0" s="52" t="str">
        <f t="shared" si="57"/>
        <v>N</v>
      </c>
      <c r="X200" s="177">
        <f t="shared" si="71"/>
        <v>2</v>
      </c>
      <c r="Y200" s="67">
        <f t="shared" si="58"/>
        <v>5.8653000000000004</v>
      </c>
      <c r="Z200" s="67">
        <f t="shared" si="59"/>
        <v>6.8000000000000005E-2</v>
      </c>
      <c r="AA200" s="67">
        <f t="shared" si="60"/>
        <v>5.7973000000000008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61"/>
        <v>0842-07</v>
      </c>
      <c r="AE200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200" s="88" t="str">
        <f t="shared" si="63"/>
        <v>"C:\Program Files (x86)\AstroGrep\AstroGrep.exe" /spath="%USERPROFILE%\AppData\Local\Temp\OnboardLogs" /stypes="app*4039*20161208*" /stext=" 04:.+((SYSTEM_STATE.+slice.+state.+changed )|(ment ac)|(multiple cpu faults)|(system.+state.+changed )|(\[timeout)|(PRM\|1\|D)|(kpr)|(kdp)|(\|lc)|(penalty))" /e /r /s</v>
      </c>
      <c r="AG200" s="1" t="str">
        <f t="shared" si="64"/>
        <v>NW</v>
      </c>
      <c r="AH200" s="92" t="str">
        <f t="shared" si="51"/>
        <v>"%USERPROFILE%\Documents\GitHub\eaglep3\Utilities\RefineRTDCRunTimes.py" --tripid 842-07 --locoid 4039 --swversion DE.1.0.8.0 --startMP 300:58653 --initTime 2016-12-07T20:50:22 --startdatetime 2016-12-07T20:53:05 --delay 1 --endMP 204:680 --enddatetime 2016-12-07T21:09:04 --enforcementcount 0 &gt;&gt;C:\Users\stu\Documents\GitHub\eaglep3-reporting\EC\2016-12-07-refined-times.txt</v>
      </c>
      <c r="AI200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{"issue":{"subject":"","project_id":79,"tracker_id":40,"status_id":1,"priority_id":2,"assigned_to_id":23,"start_date":"2016-12-07","description":"","custom_fields":[{"id":1,"name":"Subdivision","value":"NW"},{"id":4,"name":"Milepost","value":"0.068"},{"id":17,"name":"Train ID","value":"842-07"},{"id":16,"name":"Locomotive ID","value":"4039"},{"id":130,"name":"Impact","value":""},{"id":150,"name":"Time of Event (Mountain Time)","value":"21:09:04"},{"id":151,"name":"Denver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38" x14ac:dyDescent="0.25">
      <c r="A201" s="37" t="s">
        <v>645</v>
      </c>
      <c r="B201" s="7">
        <v>4040</v>
      </c>
      <c r="C201" s="22" t="s">
        <v>207</v>
      </c>
      <c r="D201" s="22" t="s">
        <v>806</v>
      </c>
      <c r="E201" s="13">
        <v>42711.845937500002</v>
      </c>
      <c r="F201" s="13">
        <v>42711.849340277775</v>
      </c>
      <c r="G201" s="7">
        <v>2</v>
      </c>
      <c r="H201" s="22" t="s">
        <v>807</v>
      </c>
      <c r="I201" s="13">
        <v>42711.861909722225</v>
      </c>
      <c r="J201" s="7">
        <v>0</v>
      </c>
      <c r="K201" s="109" t="str">
        <f t="shared" si="53"/>
        <v>4039/4040</v>
      </c>
      <c r="L201" s="22" t="str">
        <f>VLOOKUP(A201,'Trips&amp;Operators'!$C$1:$G$99999,5,FALSE)</f>
        <v>NELSON ARIANE</v>
      </c>
      <c r="M201" s="6">
        <f t="shared" si="54"/>
        <v>1.2569444450491574E-2</v>
      </c>
      <c r="N201" s="7">
        <f t="shared" si="76"/>
        <v>18.100000008707866</v>
      </c>
      <c r="O201" s="7"/>
      <c r="P201" s="7"/>
      <c r="Q201" s="23"/>
      <c r="R201" s="23"/>
      <c r="S201" s="35">
        <f t="shared" si="70"/>
        <v>1</v>
      </c>
      <c r="T201" s="50" t="str">
        <f t="shared" si="55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19:18:09-700',mode:absolute,to:'2016-12-07 21:41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1" s="52" t="str">
        <f t="shared" si="57"/>
        <v>N</v>
      </c>
      <c r="X201" s="177">
        <f t="shared" si="71"/>
        <v>1</v>
      </c>
      <c r="Y201" s="67">
        <f t="shared" si="58"/>
        <v>0.1037</v>
      </c>
      <c r="Z201" s="67">
        <f t="shared" si="59"/>
        <v>5.8973000000000004</v>
      </c>
      <c r="AA201" s="67">
        <f t="shared" si="60"/>
        <v>5.7936000000000005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61"/>
        <v>0843-07</v>
      </c>
      <c r="AE201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201" s="88" t="str">
        <f t="shared" si="63"/>
        <v>"C:\Program Files (x86)\AstroGrep\AstroGrep.exe" /spath="%USERPROFILE%\AppData\Local\Temp\OnboardLogs" /stypes="app*4040*20161208*" /stext=" 03:.+((SYSTEM_STATE.+slice.+state.+changed )|(ment ac)|(multiple cpu faults)|(system.+state.+changed )|(\[timeout)|(PRM\|1\|D)|(kpr)|(kdp)|(\|lc)|(penalty))" /e /r /s</v>
      </c>
      <c r="AG201" s="1" t="str">
        <f t="shared" si="64"/>
        <v>NW</v>
      </c>
      <c r="AH201" s="92" t="str">
        <f t="shared" si="51"/>
        <v>"%USERPROFILE%\Documents\GitHub\eaglep3\Utilities\RefineRTDCRunTimes.py" --tripid 843-07 --locoid 4040 --swversion DE.1.0.8.0 --startMP 204:1037 --initTime 2016-12-07T20:18:09 --startdatetime 2016-12-07T20:23:03 --delay 2 --endMP 300:58973 --enddatetime 2016-12-07T20:41:09 --enforcementcount 0 &gt;&gt;C:\Users\stu\Documents\GitHub\eaglep3-reporting\EC\2016-12-07-refined-times.txt</v>
      </c>
      <c r="AI201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{"issue":{"subject":"","project_id":79,"tracker_id":40,"status_id":1,"priority_id":2,"assigned_to_id":23,"start_date":"2016-12-07","description":"","custom_fields":[{"id":1,"name":"Subdivision","value":"NW"},{"id":4,"name":"Milepost","value":"5.8973"},{"id":17,"name":"Train ID","value":"843-07"},{"id":16,"name":"Locomotive ID","value":"4040"},{"id":130,"name":"Impact","value":""},{"id":150,"name":"Time of Event (Mountain Time)","value":"20:41:09"},{"id":151,"name":"Denver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38" x14ac:dyDescent="0.25">
      <c r="A202" s="37" t="s">
        <v>655</v>
      </c>
      <c r="B202" s="7">
        <v>4039</v>
      </c>
      <c r="C202" s="22" t="s">
        <v>207</v>
      </c>
      <c r="D202" s="22" t="s">
        <v>808</v>
      </c>
      <c r="E202" s="13">
        <v>42711.900949074072</v>
      </c>
      <c r="F202" s="13">
        <v>42711.902511574073</v>
      </c>
      <c r="G202" s="7">
        <v>1</v>
      </c>
      <c r="H202" s="22" t="s">
        <v>809</v>
      </c>
      <c r="I202" s="13">
        <v>42711.9140162037</v>
      </c>
      <c r="J202" s="7">
        <v>0</v>
      </c>
      <c r="K202" s="109" t="str">
        <f t="shared" si="53"/>
        <v>4039/4040</v>
      </c>
      <c r="L202" s="22" t="str">
        <f>VLOOKUP(A202,'Trips&amp;Operators'!$C$1:$G$99999,5,FALSE)</f>
        <v>LEVERE CRAIG</v>
      </c>
      <c r="M202" s="6">
        <f t="shared" si="54"/>
        <v>1.1504629626870155E-2</v>
      </c>
      <c r="N202" s="7">
        <f t="shared" si="76"/>
        <v>16.566666662693024</v>
      </c>
      <c r="O202" s="7"/>
      <c r="P202" s="7"/>
      <c r="Q202" s="23"/>
      <c r="R202" s="23"/>
      <c r="S202" s="35">
        <f t="shared" si="70"/>
        <v>1</v>
      </c>
      <c r="T202" s="50" t="str">
        <f t="shared" si="55"/>
        <v>Southbound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20:37:22-700',mode:absolute,to:'2016-12-07 22:56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02" s="52" t="str">
        <f t="shared" si="57"/>
        <v>N</v>
      </c>
      <c r="X202" s="177">
        <f t="shared" ref="X202:X224" si="77">VALUE(LEFT(AD202,4))-VALUE(LEFT(AD201,4))</f>
        <v>1</v>
      </c>
      <c r="Y202" s="67">
        <f t="shared" si="58"/>
        <v>5.8638000000000003</v>
      </c>
      <c r="Z202" s="67">
        <f t="shared" si="59"/>
        <v>6.7000000000000004E-2</v>
      </c>
      <c r="AA202" s="67">
        <f t="shared" si="60"/>
        <v>5.7968000000000002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61"/>
        <v>0844-07</v>
      </c>
      <c r="AE202" s="91" t="str">
        <f t="shared" si="62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202" s="88" t="str">
        <f t="shared" si="63"/>
        <v>"C:\Program Files (x86)\AstroGrep\AstroGrep.exe" /spath="%USERPROFILE%\AppData\Local\Temp\OnboardLogs" /stypes="app*4039*20161208*" /stext=" 04:.+((SYSTEM_STATE.+slice.+state.+changed )|(ment ac)|(multiple cpu faults)|(system.+state.+changed )|(\[timeout)|(PRM\|1\|D)|(kpr)|(kdp)|(\|lc)|(penalty))" /e /r /s</v>
      </c>
      <c r="AG202" s="1" t="str">
        <f t="shared" si="64"/>
        <v>NW</v>
      </c>
      <c r="AH202" s="92" t="str">
        <f t="shared" si="51"/>
        <v>"%USERPROFILE%\Documents\GitHub\eaglep3\Utilities\RefineRTDCRunTimes.py" --tripid 844-07 --locoid 4039 --swversion DE.1.0.8.0 --startMP 300:58638 --initTime 2016-12-07T21:37:22 --startdatetime 2016-12-07T21:39:37 --delay 1 --endMP 204:670 --enddatetime 2016-12-07T21:56:11 --enforcementcount 0 &gt;&gt;C:\Users\stu\Documents\GitHub\eaglep3-reporting\EC\2016-12-07-refined-times.txt</v>
      </c>
      <c r="AI202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{"issue":{"subject":"","project_id":79,"tracker_id":40,"status_id":1,"priority_id":2,"assigned_to_id":23,"start_date":"2016-12-07","description":"","custom_fields":[{"id":1,"name":"Subdivision","value":"NW"},{"id":4,"name":"Milepost","value":"0.067"},{"id":17,"name":"Train ID","value":"844-07"},{"id":16,"name":"Locomotive ID","value":"4039"},{"id":130,"name":"Impact","value":""},{"id":150,"name":"Time of Event (Mountain Time)","value":"21:56:11"},{"id":151,"name":"Denver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38" x14ac:dyDescent="0.25">
      <c r="A203" s="37" t="s">
        <v>653</v>
      </c>
      <c r="B203" s="7">
        <v>4040</v>
      </c>
      <c r="C203" s="22" t="s">
        <v>207</v>
      </c>
      <c r="D203" s="22" t="s">
        <v>810</v>
      </c>
      <c r="E203" s="13">
        <v>42711.885567129626</v>
      </c>
      <c r="F203" s="13">
        <v>42711.889791666668</v>
      </c>
      <c r="G203" s="7">
        <v>1</v>
      </c>
      <c r="H203" s="22" t="s">
        <v>811</v>
      </c>
      <c r="I203" s="13">
        <v>42711.899907407409</v>
      </c>
      <c r="J203" s="7">
        <v>0</v>
      </c>
      <c r="K203" s="109" t="str">
        <f t="shared" si="53"/>
        <v>4039/4040</v>
      </c>
      <c r="L203" s="22" t="str">
        <f>VLOOKUP(A203,'Trips&amp;Operators'!$C$1:$G$99999,5,FALSE)</f>
        <v>LEVERE CRAIG</v>
      </c>
      <c r="M203" s="6">
        <f t="shared" si="54"/>
        <v>1.0115740740729962E-2</v>
      </c>
      <c r="N203" s="7">
        <f t="shared" si="76"/>
        <v>14.566666666651145</v>
      </c>
      <c r="O203" s="7"/>
      <c r="P203" s="7"/>
      <c r="Q203" s="23"/>
      <c r="R203" s="23"/>
      <c r="S203" s="35">
        <f t="shared" si="70"/>
        <v>1</v>
      </c>
      <c r="T203" s="50" t="str">
        <f t="shared" si="55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20:15:13-700',mode:absolute,to:'2016-12-07 22:35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3" s="52" t="str">
        <f t="shared" si="57"/>
        <v>N</v>
      </c>
      <c r="X203" s="177">
        <f t="shared" si="77"/>
        <v>1</v>
      </c>
      <c r="Y203" s="67">
        <f t="shared" si="58"/>
        <v>9.74E-2</v>
      </c>
      <c r="Z203" s="67">
        <f t="shared" si="59"/>
        <v>5.8963000000000001</v>
      </c>
      <c r="AA203" s="67">
        <f t="shared" si="60"/>
        <v>5.7988999999999997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61"/>
        <v>0845-07</v>
      </c>
      <c r="AE203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203" s="88" t="str">
        <f t="shared" si="63"/>
        <v>"C:\Program Files (x86)\AstroGrep\AstroGrep.exe" /spath="%USERPROFILE%\AppData\Local\Temp\OnboardLogs" /stypes="app*4040*20161208*" /stext=" 04:.+((SYSTEM_STATE.+slice.+state.+changed )|(ment ac)|(multiple cpu faults)|(system.+state.+changed )|(\[timeout)|(PRM\|1\|D)|(kpr)|(kdp)|(\|lc)|(penalty))" /e /r /s</v>
      </c>
      <c r="AG203" s="1" t="str">
        <f t="shared" si="64"/>
        <v>NW</v>
      </c>
      <c r="AH203" s="92" t="str">
        <f t="shared" si="51"/>
        <v>"%USERPROFILE%\Documents\GitHub\eaglep3\Utilities\RefineRTDCRunTimes.py" --tripid 845-07 --locoid 4040 --swversion DE.1.0.8.0 --startMP 204:974 --initTime 2016-12-07T21:15:13 --startdatetime 2016-12-07T21:21:18 --delay 1 --endMP 300:58963 --enddatetime 2016-12-07T21:35:52 --enforcementcount 0 &gt;&gt;C:\Users\stu\Documents\GitHub\eaglep3-reporting\EC\2016-12-07-refined-times.txt</v>
      </c>
      <c r="AI203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{"issue":{"subject":"","project_id":79,"tracker_id":40,"status_id":1,"priority_id":2,"assigned_to_id":23,"start_date":"2016-12-07","description":"","custom_fields":[{"id":1,"name":"Subdivision","value":"NW"},{"id":4,"name":"Milepost","value":"5.8963"},{"id":17,"name":"Train ID","value":"845-07"},{"id":16,"name":"Locomotive ID","value":"4040"},{"id":130,"name":"Impact","value":""},{"id":150,"name":"Time of Event (Mountain Time)","value":"21:35:52"},{"id":151,"name":"Denver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38" x14ac:dyDescent="0.25">
      <c r="A204" s="37" t="s">
        <v>659</v>
      </c>
      <c r="B204" s="7">
        <v>4040</v>
      </c>
      <c r="C204" s="22" t="s">
        <v>207</v>
      </c>
      <c r="D204" s="22" t="s">
        <v>362</v>
      </c>
      <c r="E204" s="13">
        <v>42711.924108796295</v>
      </c>
      <c r="F204" s="13">
        <v>42711.931446759256</v>
      </c>
      <c r="G204" s="7">
        <v>1</v>
      </c>
      <c r="H204" s="22" t="s">
        <v>774</v>
      </c>
      <c r="I204" s="13">
        <v>42711.941284722219</v>
      </c>
      <c r="J204" s="7">
        <v>0</v>
      </c>
      <c r="K204" s="109" t="str">
        <f t="shared" si="53"/>
        <v>4039/4040</v>
      </c>
      <c r="L204" s="22" t="str">
        <f>VLOOKUP(A204,'Trips&amp;Operators'!$C$1:$G$99999,5,FALSE)</f>
        <v>LEVERE CRAIG</v>
      </c>
      <c r="M204" s="6">
        <f t="shared" si="54"/>
        <v>9.8379629635019228E-3</v>
      </c>
      <c r="N204" s="7">
        <f t="shared" si="76"/>
        <v>14.166666667442769</v>
      </c>
      <c r="O204" s="7"/>
      <c r="P204" s="7"/>
      <c r="Q204" s="23"/>
      <c r="R204" s="23"/>
      <c r="S204" s="35">
        <f t="shared" si="70"/>
        <v>1</v>
      </c>
      <c r="T204" s="50" t="str">
        <f t="shared" si="55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6"/>
        <v>https://search-rtdc-monitor-bjffxe2xuh6vdkpspy63sjmuny.us-east-1.es.amazonaws.com/_plugin/kibana/#/discover/Steve-Slow-Train-Analysis-(2080s-and-2083s)?_g=(refreshInterval:(display:Off,section:0,value:0),time:(from:'2016-12-07 21:10:43-700',mode:absolute,to:'2016-12-07 23:35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4" s="52" t="str">
        <f t="shared" si="57"/>
        <v>N</v>
      </c>
      <c r="X204" s="177">
        <f t="shared" si="77"/>
        <v>2</v>
      </c>
      <c r="Y204" s="67">
        <f t="shared" si="58"/>
        <v>9.6699999999999994E-2</v>
      </c>
      <c r="Z204" s="67">
        <f t="shared" si="59"/>
        <v>5.8960999999999997</v>
      </c>
      <c r="AA204" s="67">
        <f t="shared" si="60"/>
        <v>5.7993999999999994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61"/>
        <v>0847-07</v>
      </c>
      <c r="AE204" s="91" t="str">
        <f t="shared" si="62"/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AF204" s="88" t="str">
        <f t="shared" si="63"/>
        <v>"C:\Program Files (x86)\AstroGrep\AstroGrep.exe" /spath="%USERPROFILE%\AppData\Local\Temp\OnboardLogs" /stypes="app*4040*20161208*" /stext=" 05:.+((SYSTEM_STATE.+slice.+state.+changed )|(ment ac)|(multiple cpu faults)|(system.+state.+changed )|(\[timeout)|(PRM\|1\|D)|(kpr)|(kdp)|(\|lc)|(penalty))" /e /r /s</v>
      </c>
      <c r="AG204" s="1" t="str">
        <f t="shared" si="64"/>
        <v>NW</v>
      </c>
      <c r="AH204" s="92" t="str">
        <f t="shared" si="51"/>
        <v>"%USERPROFILE%\Documents\GitHub\eaglep3\Utilities\RefineRTDCRunTimes.py" --tripid 847-07 --locoid 4040 --swversion DE.1.0.8.0 --startMP 204:967 --initTime 2016-12-07T22:10:43 --startdatetime 2016-12-07T22:21:17 --delay 1 --endMP 300:58961 --enddatetime 2016-12-07T22:35:27 --enforcementcount 0 &gt;&gt;C:\Users\stu\Documents\GitHub\eaglep3-reporting\EC\2016-12-07-refined-times.txt</v>
      </c>
      <c r="AI204" s="119" t="str">
        <f t="shared" si="52"/>
        <v>echo {"issue":{"subject":"","project_id":79,"tracker_id":40,"status_id":1,"priority_id":2,"assigned_to_id":23,"start_date":"2016-12-07","description":"","custom_fields":[{"id":1,"name":"Subdivision","value":"NW"},{"id":4,"name":"Milepost","value":"5.8961"},{"id":17,"name":"Train ID","value":"847-07"},{"id":16,"name":"Locomotive ID","value":"4040"},{"id":130,"name":"Impact","value":""},{"id":150,"name":"Time of Event (Mountain Time)","value":"22:35:27"},{"id":151,"name":"Denver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38" x14ac:dyDescent="0.25">
      <c r="A205" s="37" t="s">
        <v>476</v>
      </c>
      <c r="B205" s="7">
        <v>4001</v>
      </c>
      <c r="C205" s="22" t="s">
        <v>207</v>
      </c>
      <c r="D205" s="22" t="s">
        <v>749</v>
      </c>
      <c r="E205" s="13">
        <v>42711.120497685188</v>
      </c>
      <c r="F205" s="13">
        <v>42711.121701388889</v>
      </c>
      <c r="G205" s="7">
        <v>1</v>
      </c>
      <c r="H205" s="22" t="s">
        <v>227</v>
      </c>
      <c r="I205" s="13">
        <v>42711.127708333333</v>
      </c>
      <c r="J205" s="7">
        <v>0</v>
      </c>
      <c r="K205" s="109" t="str">
        <f t="shared" ref="K205:K224" si="78">IF(ISEVEN(B205),(B205-1)&amp;"/"&amp;B205,B205&amp;"/"&amp;(B205+1))</f>
        <v>4001/4002</v>
      </c>
      <c r="L205" s="22" t="str">
        <f>VLOOKUP(A205,'Trips&amp;Operators'!$C$1:$G$99999,5,FALSE)</f>
        <v>MAELZER KURT</v>
      </c>
      <c r="M205" s="6">
        <f t="shared" ref="M205:M224" si="79">I205-F205</f>
        <v>6.0069444443797693E-3</v>
      </c>
      <c r="N205" s="7">
        <f t="shared" si="76"/>
        <v>8.6499999999068677</v>
      </c>
      <c r="O205" s="7"/>
      <c r="P205" s="7"/>
      <c r="Q205" s="23"/>
      <c r="R205" s="23"/>
      <c r="S205" s="35">
        <f t="shared" si="70"/>
        <v>1</v>
      </c>
      <c r="T205" s="50" t="str">
        <f t="shared" ref="T205:T224" si="80">IF(ISEVEN(LEFT(AD205,4)),"Southbound","NorthBound")</f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98" t="str">
        <f t="shared" ref="V205:V224" si="81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https://search-rtdc-monitor-bjffxe2xuh6vdkpspy63sjmuny.us-east-1.es.amazonaws.com/_plugin/kibana/#/discover/Steve-Slow-Train-Analysis-(2080s-and-2083s)?_g=(refreshInterval:(display:Off,section:0,value:0),time:(from:'2016-12-07 01:53:31-700',mode:absolute,to:'2016-12-07 04:03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4001%22')),sort:!(Time,asc))</v>
      </c>
      <c r="W205" s="52" t="str">
        <f t="shared" ref="W205:W224" si="82">IF(AA205&lt;IF(AG205="EC",23,5.65),"Y","N")</f>
        <v>Y</v>
      </c>
      <c r="X205" s="177">
        <f t="shared" si="77"/>
        <v>-545</v>
      </c>
      <c r="Y205" s="67">
        <f t="shared" ref="Y205:Y224" si="83">RIGHT(D205,LEN(D205)-4)/10000</f>
        <v>2.0405000000000002</v>
      </c>
      <c r="Z205" s="67">
        <f t="shared" ref="Z205:Z224" si="84">RIGHT(H205,LEN(H205)-4)/10000</f>
        <v>1.54E-2</v>
      </c>
      <c r="AA205" s="67">
        <f t="shared" ref="AA205:AA268" si="85">ABS(Z205-Y205)</f>
        <v>2.0251000000000001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ref="AD205:AD224" si="86">IF(LEN(A205)=6,"0"&amp;A205,A205)</f>
        <v>0302-07</v>
      </c>
      <c r="AE205" s="91" t="str">
        <f t="shared" ref="AE205:AE224" si="8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s3://rtdc.mdm.uploadarchive.raw/RTDC4001/ "%USERPROFILE%\AppData\Local\Temp\OnboardLogs"\RTDC4001\2016-12-07 --exclude "*" --recursive --include "*20161207*" &amp; "%USERPROFILE%\Documents\GitHub\mrs-test-scripts\Headless Mode &amp; Sideloading\WalkAndUnGZ.bat" "%USERPROFILE%\AppData\Local\Temp\OnboardLogs"\RTDC4001\2016-12-07 &amp; aws s3 cp s3://rtdc.mdm.uploadarchive.raw/RTDC4001/ "%USERPROFILE%\AppData\Local\Temp\OnboardLogs"\RTDC4001\2016-12-08 --exclude "*" --recursive --include "*20161208*" &amp; "%USERPROFILE%\Documents\GitHub\mrs-test-scripts\Headless Mode &amp; Sideloading\WalkAndUnGZ.bat" "%USERPROFILE%\AppData\Local\Temp\OnboardLogs"\RTDC4001\2016-12-08</v>
      </c>
      <c r="AF205" s="88" t="str">
        <f t="shared" ref="AF205:AF224" si="88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/stypes="app*4001*20161207*" /stext=" 10:.+((SYSTEM_STATE.+slice.+state.+changed )|(ment ac)|(multiple cpu faults)|(system.+state.+changed )|(\[timeout)|(PRM\|1\|D)|(kpr)|(kdp)|(\|lc)|(penalty))" /e /r /s</v>
      </c>
      <c r="AG205" s="1" t="str">
        <f t="shared" ref="AG205:AG224" si="89">IFERROR(IF(VALUE(LEFT(AD205,2))&lt;=2,"EC",IF(OR(VALUE(LEFT(AD205,2))=8,VALUE(LEFT(AD205,2))=18),"NW","Other")),"Other")</f>
        <v>Other</v>
      </c>
      <c r="AH205" s="92" t="str">
        <f t="shared" ref="AH205:AH224" si="90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302-07 --locoid 4001 --swversion DE.1.0.8.0 --startMP 300:20405 --initTime 2016-12-07T02:53:31 --startdatetime 2016-12-07T02:55:15 --delay 1 --endMP 204:154 --enddatetime 2016-12-07T03:03:54 --enforcementcount 0 &gt;&gt;C:\Users\stu\Documents\GitHub\eaglep3-reporting\EC\2016-12-07-refined-times.txt</v>
      </c>
      <c r="AI205" s="119" t="str">
        <f t="shared" ref="AI205:AI224" si="91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{"issue":{"subject":"","project_id":79,"tracker_id":40,"status_id":1,"priority_id":2,"assigned_to_id":23,"start_date":"2016-12-07","description":"","custom_fields":[{"id":1,"name":"Subdivision","value":"Other"},{"id":4,"name":"Milepost","value":"0.0154"},{"id":17,"name":"Train ID","value":"302-07"},{"id":16,"name":"Locomotive ID","value":"4001"},{"id":130,"name":"Impact","value":""},{"id":150,"name":"Time of Event (Mountain Time)","value":"03:03:54"},{"id":151,"name":"Denver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38" x14ac:dyDescent="0.25">
      <c r="A206" s="37" t="s">
        <v>635</v>
      </c>
      <c r="B206" s="7">
        <v>4020</v>
      </c>
      <c r="C206" s="22" t="s">
        <v>207</v>
      </c>
      <c r="D206" s="22" t="s">
        <v>310</v>
      </c>
      <c r="E206" s="13">
        <v>42711.775995370372</v>
      </c>
      <c r="F206" s="13">
        <v>25568.708333333332</v>
      </c>
      <c r="G206" s="7">
        <v>1</v>
      </c>
      <c r="H206" s="22" t="s">
        <v>425</v>
      </c>
      <c r="I206" s="13">
        <v>25568.708333333332</v>
      </c>
      <c r="J206" s="7">
        <v>0</v>
      </c>
      <c r="K206" s="109" t="str">
        <f t="shared" si="78"/>
        <v>4019/4020</v>
      </c>
      <c r="L206" s="22" t="str">
        <f>VLOOKUP(A206,'Trips&amp;Operators'!$C$1:$G$99999,5,FALSE)</f>
        <v>ADANE ELSHADAY</v>
      </c>
      <c r="M206" s="6">
        <f t="shared" si="79"/>
        <v>0</v>
      </c>
      <c r="N206" s="7">
        <f t="shared" si="76"/>
        <v>0</v>
      </c>
      <c r="O206" s="7"/>
      <c r="P206" s="7"/>
      <c r="Q206" s="23"/>
      <c r="R206" s="23"/>
      <c r="S206" s="35">
        <f t="shared" si="70"/>
        <v>1</v>
      </c>
      <c r="T206" s="50" t="str">
        <f t="shared" si="80"/>
        <v>NorthBound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17:37:26-700',mode:absolute,to:'1969-12-31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06" s="52" t="str">
        <f t="shared" si="82"/>
        <v>Y</v>
      </c>
      <c r="X206" s="177">
        <f t="shared" si="77"/>
        <v>1</v>
      </c>
      <c r="Y206" s="67">
        <f t="shared" si="83"/>
        <v>4.53E-2</v>
      </c>
      <c r="Z206" s="67">
        <f t="shared" si="84"/>
        <v>2.3302</v>
      </c>
      <c r="AA206" s="67">
        <f t="shared" si="85"/>
        <v>2.2848999999999999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86"/>
        <v>0303-07</v>
      </c>
      <c r="AE206" s="91" t="str">
        <f t="shared" si="87"/>
        <v>aws s3 cp s3://rtdc.mdm.uploadarchive.raw/RTDC4020/ "%USERPROFILE%\AppData\Local\Temp\OnboardLogs"\RTDC4020\1969-12-31 --exclude "*" --recursive --include "*19691231*" &amp; "%USERPROFILE%\Documents\GitHub\mrs-test-scripts\Headless Mode &amp; Sideloading\WalkAndUnGZ.bat" "%USERPROFILE%\AppData\Local\Temp\OnboardLogs"\RTDC4020\1969-12-31 &amp; aws s3 cp s3://rtdc.mdm.uploadarchive.raw/RTDC4020/ "%USERPROFILE%\AppData\Local\Temp\OnboardLogs"\RTDC4020\1970-01-01 --exclude "*" --recursive --include "*19700101*" &amp; "%USERPROFILE%\Documents\GitHub\mrs-test-scripts\Headless Mode &amp; Sideloading\WalkAndUnGZ.bat" "%USERPROFILE%\AppData\Local\Temp\OnboardLogs"\RTDC4020\1970-01-01</v>
      </c>
      <c r="AF206" s="88" t="str">
        <f t="shared" si="88"/>
        <v>"C:\Program Files (x86)\AstroGrep\AstroGrep.exe" /spath="%USERPROFILE%\AppData\Local\Temp\OnboardLogs" /stypes="app*4020*19700101*" /stext=" 00:.+((SYSTEM_STATE.+slice.+state.+changed )|(ment ac)|(multiple cpu faults)|(system.+state.+changed )|(\[timeout)|(PRM\|1\|D)|(kpr)|(kdp)|(\|lc)|(penalty))" /e /r /s</v>
      </c>
      <c r="AG206" s="1" t="str">
        <f t="shared" si="89"/>
        <v>Other</v>
      </c>
      <c r="AH206" s="92" t="str">
        <f t="shared" si="90"/>
        <v>"%USERPROFILE%\Documents\GitHub\eaglep3\Utilities\RefineRTDCRunTimes.py" --tripid 303-07 --locoid 4020 --swversion DE.1.0.8.0 --startMP 204:453 --initTime 2016-12-07T18:37:26 --startdatetime 1969-12-31T17:00:00 --delay 1 --endMP 300:23302 --enddatetime 1969-12-31T17:00:00 --enforcementcount 0 &gt;&gt;C:\Users\stu\Documents\GitHub\eaglep3-reporting\EC\2016-12-07-refined-times.txt</v>
      </c>
      <c r="AI206" s="119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ID","value":"303-07"},{"id":16,"name":"Locomotive ID","value":"4020"},{"id":130,"name":"Impact","value":""},{"id":150,"name":"Time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38" s="21" customFormat="1" x14ac:dyDescent="0.25">
      <c r="A207" s="37" t="s">
        <v>447</v>
      </c>
      <c r="B207" s="7">
        <v>4013</v>
      </c>
      <c r="C207" s="22" t="s">
        <v>207</v>
      </c>
      <c r="D207" s="22" t="s">
        <v>750</v>
      </c>
      <c r="E207" s="13">
        <v>42711.141319444447</v>
      </c>
      <c r="F207" s="13">
        <v>42711.142476851855</v>
      </c>
      <c r="G207" s="7">
        <v>1</v>
      </c>
      <c r="H207" s="22" t="s">
        <v>419</v>
      </c>
      <c r="I207" s="13">
        <v>42711.148993055554</v>
      </c>
      <c r="J207" s="7">
        <v>0</v>
      </c>
      <c r="K207" s="109" t="str">
        <f t="shared" si="78"/>
        <v>4013/4014</v>
      </c>
      <c r="L207" s="22" t="str">
        <f>VLOOKUP(A207,'Trips&amp;Operators'!$C$1:$G$99999,5,FALSE)</f>
        <v>MAGEE KENYA</v>
      </c>
      <c r="M207" s="6">
        <f t="shared" si="79"/>
        <v>6.5162036989931948E-3</v>
      </c>
      <c r="N207" s="7">
        <f t="shared" si="76"/>
        <v>9.3833333265502006</v>
      </c>
      <c r="O207" s="7"/>
      <c r="P207" s="7"/>
      <c r="Q207" s="23"/>
      <c r="R207" s="23"/>
      <c r="S207" s="35">
        <f t="shared" si="70"/>
        <v>1</v>
      </c>
      <c r="T207" s="50" t="str">
        <f t="shared" si="80"/>
        <v>Southbound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02:23:30-700',mode:absolute,to:'2016-12-07 04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W207" s="52" t="str">
        <f t="shared" si="82"/>
        <v>Y</v>
      </c>
      <c r="X207" s="177">
        <f t="shared" si="77"/>
        <v>1</v>
      </c>
      <c r="Y207" s="67">
        <f t="shared" si="83"/>
        <v>2.2320000000000002</v>
      </c>
      <c r="Z207" s="67">
        <f t="shared" si="84"/>
        <v>8.8000000000000005E-3</v>
      </c>
      <c r="AA207" s="67">
        <f t="shared" si="85"/>
        <v>2.2232000000000003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86"/>
        <v>0304-07</v>
      </c>
      <c r="AE207" s="91" t="str">
        <f t="shared" si="87"/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AF207" s="88" t="str">
        <f t="shared" si="88"/>
        <v>"C:\Program Files (x86)\AstroGrep\AstroGrep.exe" /spath="%USERPROFILE%\AppData\Local\Temp\OnboardLogs" /stypes="app*4013*20161207*" /stext=" 10:.+((SYSTEM_STATE.+slice.+state.+changed )|(ment ac)|(multiple cpu faults)|(system.+state.+changed )|(\[timeout)|(PRM\|1\|D)|(kpr)|(kdp)|(\|lc)|(penalty))" /e /r /s</v>
      </c>
      <c r="AG207" s="1" t="str">
        <f t="shared" si="89"/>
        <v>Other</v>
      </c>
      <c r="AH207" s="92" t="str">
        <f t="shared" si="90"/>
        <v>"%USERPROFILE%\Documents\GitHub\eaglep3\Utilities\RefineRTDCRunTimes.py" --tripid 304-07 --locoid 4013 --swversion DE.1.0.8.0 --startMP 300:22320 --initTime 2016-12-07T03:23:30 --startdatetime 2016-12-07T03:25:10 --delay 1 --endMP 204:88 --enddatetime 2016-12-07T03:34:33 --enforcementcount 0 &gt;&gt;C:\Users\stu\Documents\GitHub\eaglep3-reporting\EC\2016-12-07-refined-times.txt</v>
      </c>
      <c r="AI207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{"issue":{"subject":"","project_id":79,"tracker_id":40,"status_id":1,"priority_id":2,"assigned_to_id":23,"start_date":"2016-12-07","description":"","custom_fields":[{"id":1,"name":"Subdivision","value":"Other"},{"id":4,"name":"Milepost","value":"0.0088"},{"id":17,"name":"Train ID","value":"304-07"},{"id":16,"name":"Locomotive ID","value":"4013"},{"id":130,"name":"Impact","value":""},{"id":150,"name":"Time of Event (Mountain Time)","value":"03:34:33"},{"id":151,"name":"Denver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38" x14ac:dyDescent="0.25">
      <c r="A208" s="37" t="s">
        <v>637</v>
      </c>
      <c r="B208" s="7">
        <v>4002</v>
      </c>
      <c r="C208" s="22" t="s">
        <v>207</v>
      </c>
      <c r="D208" s="22" t="s">
        <v>410</v>
      </c>
      <c r="E208" s="13">
        <v>42711.798275462963</v>
      </c>
      <c r="F208" s="13">
        <v>25568.708333333332</v>
      </c>
      <c r="G208" s="7">
        <v>1</v>
      </c>
      <c r="H208" s="22" t="s">
        <v>751</v>
      </c>
      <c r="I208" s="13">
        <v>25568.708333333332</v>
      </c>
      <c r="J208" s="7">
        <v>0</v>
      </c>
      <c r="K208" s="109" t="str">
        <f t="shared" si="78"/>
        <v>4001/4002</v>
      </c>
      <c r="L208" s="22" t="str">
        <f>VLOOKUP(A208,'Trips&amp;Operators'!$C$1:$G$99999,5,FALSE)</f>
        <v>LOPES KIMBERLY</v>
      </c>
      <c r="M208" s="6">
        <f t="shared" si="79"/>
        <v>0</v>
      </c>
      <c r="N208" s="7">
        <f t="shared" si="76"/>
        <v>0</v>
      </c>
      <c r="O208" s="7"/>
      <c r="P208" s="7"/>
      <c r="Q208" s="23"/>
      <c r="R208" s="23"/>
      <c r="S208" s="35">
        <f t="shared" si="70"/>
        <v>1</v>
      </c>
      <c r="T208" s="50" t="str">
        <f t="shared" si="80"/>
        <v>NorthBound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18:09:31-700',mode:absolute,to:'1969-12-31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4002%22')),sort:!(Time,asc))</v>
      </c>
      <c r="W208" s="52" t="str">
        <f t="shared" si="82"/>
        <v>Y</v>
      </c>
      <c r="X208" s="177">
        <f t="shared" si="77"/>
        <v>1</v>
      </c>
      <c r="Y208" s="67">
        <f t="shared" si="83"/>
        <v>4.82E-2</v>
      </c>
      <c r="Z208" s="67">
        <f t="shared" si="84"/>
        <v>2.3308</v>
      </c>
      <c r="AA208" s="67">
        <f t="shared" si="85"/>
        <v>2.2826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86"/>
        <v>0305-07</v>
      </c>
      <c r="AE208" s="91" t="str">
        <f t="shared" si="87"/>
        <v>aws s3 cp s3://rtdc.mdm.uploadarchive.raw/RTDC4002/ "%USERPROFILE%\AppData\Local\Temp\OnboardLogs"\RTDC4002\1969-12-31 --exclude "*" --recursive --include "*19691231*" &amp; "%USERPROFILE%\Documents\GitHub\mrs-test-scripts\Headless Mode &amp; Sideloading\WalkAndUnGZ.bat" "%USERPROFILE%\AppData\Local\Temp\OnboardLogs"\RTDC4002\1969-12-31 &amp; aws s3 cp s3://rtdc.mdm.uploadarchive.raw/RTDC4002/ "%USERPROFILE%\AppData\Local\Temp\OnboardLogs"\RTDC4002\1970-01-01 --exclude "*" --recursive --include "*19700101*" &amp; "%USERPROFILE%\Documents\GitHub\mrs-test-scripts\Headless Mode &amp; Sideloading\WalkAndUnGZ.bat" "%USERPROFILE%\AppData\Local\Temp\OnboardLogs"\RTDC4002\1970-01-01</v>
      </c>
      <c r="AF208" s="88" t="str">
        <f t="shared" si="88"/>
        <v>"C:\Program Files (x86)\AstroGrep\AstroGrep.exe" /spath="%USERPROFILE%\AppData\Local\Temp\OnboardLogs" /stypes="app*4002*19700101*" /stext=" 00:.+((SYSTEM_STATE.+slice.+state.+changed )|(ment ac)|(multiple cpu faults)|(system.+state.+changed )|(\[timeout)|(PRM\|1\|D)|(kpr)|(kdp)|(\|lc)|(penalty))" /e /r /s</v>
      </c>
      <c r="AG208" s="1" t="str">
        <f t="shared" si="89"/>
        <v>Other</v>
      </c>
      <c r="AH208" s="92" t="str">
        <f t="shared" si="90"/>
        <v>"%USERPROFILE%\Documents\GitHub\eaglep3\Utilities\RefineRTDCRunTimes.py" --tripid 305-07 --locoid 4002 --swversion DE.1.0.8.0 --startMP 204:482 --initTime 2016-12-07T19:09:31 --startdatetime 1969-12-31T17:00:00 --delay 1 --endMP 300:23308 --enddatetime 1969-12-31T17:00:00 --enforcementcount 0 &gt;&gt;C:\Users\stu\Documents\GitHub\eaglep3-reporting\EC\2016-12-07-refined-times.txt</v>
      </c>
      <c r="AI208" s="119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ID","value":"305-07"},{"id":16,"name":"Locomotive ID","value":"4002"},{"id":130,"name":"Impact","value":""},{"id":150,"name":"Time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481</v>
      </c>
      <c r="B209" s="7">
        <v>4043</v>
      </c>
      <c r="C209" s="22" t="s">
        <v>207</v>
      </c>
      <c r="D209" s="22" t="s">
        <v>752</v>
      </c>
      <c r="E209" s="13">
        <v>42711.163043981483</v>
      </c>
      <c r="F209" s="13">
        <v>42711.164340277777</v>
      </c>
      <c r="G209" s="7">
        <v>1</v>
      </c>
      <c r="H209" s="22" t="s">
        <v>753</v>
      </c>
      <c r="I209" s="13">
        <v>42711.170011574075</v>
      </c>
      <c r="J209" s="7">
        <v>0</v>
      </c>
      <c r="K209" s="109" t="str">
        <f t="shared" si="78"/>
        <v>4043/4044</v>
      </c>
      <c r="L209" s="22" t="str">
        <f>VLOOKUP(A209,'Trips&amp;Operators'!$C$1:$G$99999,5,FALSE)</f>
        <v>BROWN JACOB</v>
      </c>
      <c r="M209" s="6">
        <f t="shared" si="79"/>
        <v>5.6712962978053838E-3</v>
      </c>
      <c r="N209" s="7">
        <f t="shared" si="76"/>
        <v>8.1666666688397527</v>
      </c>
      <c r="O209" s="7"/>
      <c r="P209" s="7"/>
      <c r="Q209" s="23"/>
      <c r="R209" s="23"/>
      <c r="S209" s="35">
        <f t="shared" si="70"/>
        <v>1</v>
      </c>
      <c r="T209" s="50" t="str">
        <f t="shared" si="80"/>
        <v>Southbound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02:54:47-700',mode:absolute,to:'2016-12-07 05:04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09" s="52" t="str">
        <f t="shared" si="82"/>
        <v>Y</v>
      </c>
      <c r="X209" s="177">
        <f t="shared" si="77"/>
        <v>1</v>
      </c>
      <c r="Y209" s="67">
        <f t="shared" si="83"/>
        <v>2.3035000000000001</v>
      </c>
      <c r="Z209" s="67">
        <f t="shared" si="84"/>
        <v>1.12E-2</v>
      </c>
      <c r="AA209" s="67">
        <f t="shared" si="85"/>
        <v>2.2923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86"/>
        <v>0306-07</v>
      </c>
      <c r="AE209" s="91" t="str">
        <f t="shared" si="87"/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AF209" s="88" t="str">
        <f t="shared" si="88"/>
        <v>"C:\Program Files (x86)\AstroGrep\AstroGrep.exe" /spath="%USERPROFILE%\AppData\Local\Temp\OnboardLogs" /stypes="app*4043*20161207*" /stext=" 11:.+((SYSTEM_STATE.+slice.+state.+changed )|(ment ac)|(multiple cpu faults)|(system.+state.+changed )|(\[timeout)|(PRM\|1\|D)|(kpr)|(kdp)|(\|lc)|(penalty))" /e /r /s</v>
      </c>
      <c r="AG209" s="1" t="str">
        <f t="shared" si="89"/>
        <v>Other</v>
      </c>
      <c r="AH209" s="92" t="str">
        <f t="shared" si="90"/>
        <v>"%USERPROFILE%\Documents\GitHub\eaglep3\Utilities\RefineRTDCRunTimes.py" --tripid 306-07 --locoid 4043 --swversion DE.1.0.8.0 --startMP 300:23035 --initTime 2016-12-07T03:54:47 --startdatetime 2016-12-07T03:56:39 --delay 1 --endMP 204:112 --enddatetime 2016-12-07T04:04:49 --enforcementcount 0 &gt;&gt;C:\Users\stu\Documents\GitHub\eaglep3-reporting\EC\2016-12-07-refined-times.txt</v>
      </c>
      <c r="AI209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{"issue":{"subject":"","project_id":79,"tracker_id":40,"status_id":1,"priority_id":2,"assigned_to_id":23,"start_date":"2016-12-07","description":"","custom_fields":[{"id":1,"name":"Subdivision","value":"Other"},{"id":4,"name":"Milepost","value":"0.0112"},{"id":17,"name":"Train ID","value":"306-07"},{"id":16,"name":"Locomotive ID","value":"4043"},{"id":130,"name":"Impact","value":""},{"id":150,"name":"Time of Event (Mountain Time)","value":"04:04:49"},{"id":151,"name":"Denver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641</v>
      </c>
      <c r="B210" s="7">
        <v>4014</v>
      </c>
      <c r="C210" s="22" t="s">
        <v>207</v>
      </c>
      <c r="D210" s="22" t="s">
        <v>241</v>
      </c>
      <c r="E210" s="13">
        <v>42711.821793981479</v>
      </c>
      <c r="F210" s="13">
        <v>25568.708333333332</v>
      </c>
      <c r="G210" s="7">
        <v>6</v>
      </c>
      <c r="H210" s="22" t="s">
        <v>754</v>
      </c>
      <c r="I210" s="13">
        <v>25568.708333333332</v>
      </c>
      <c r="J210" s="7">
        <v>0</v>
      </c>
      <c r="K210" s="109" t="str">
        <f t="shared" si="78"/>
        <v>4013/4014</v>
      </c>
      <c r="L210" s="22" t="str">
        <f>VLOOKUP(A210,'Trips&amp;Operators'!$C$1:$G$99999,5,FALSE)</f>
        <v>STORY SAMANTHA</v>
      </c>
      <c r="M210" s="6">
        <f t="shared" si="79"/>
        <v>0</v>
      </c>
      <c r="N210" s="7">
        <f t="shared" si="76"/>
        <v>0</v>
      </c>
      <c r="O210" s="7"/>
      <c r="P210" s="7"/>
      <c r="Q210" s="23"/>
      <c r="R210" s="23"/>
      <c r="S210" s="35">
        <f t="shared" si="70"/>
        <v>1</v>
      </c>
      <c r="T210" s="50" t="str">
        <f t="shared" si="80"/>
        <v>NorthBound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18:43:23-700',mode:absolute,to:'1969-12-31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4014%22')),sort:!(Time,asc))</v>
      </c>
      <c r="W210" s="52" t="str">
        <f t="shared" si="82"/>
        <v>Y</v>
      </c>
      <c r="X210" s="177">
        <f t="shared" si="77"/>
        <v>1</v>
      </c>
      <c r="Y210" s="67">
        <f t="shared" si="83"/>
        <v>4.5999999999999999E-2</v>
      </c>
      <c r="Z210" s="67">
        <f t="shared" si="84"/>
        <v>2.3292999999999999</v>
      </c>
      <c r="AA210" s="67">
        <f t="shared" si="85"/>
        <v>2.2833000000000001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86"/>
        <v>0307-07</v>
      </c>
      <c r="AE210" s="91" t="str">
        <f t="shared" si="87"/>
        <v>aws s3 cp s3://rtdc.mdm.uploadarchive.raw/RTDC4014/ "%USERPROFILE%\AppData\Local\Temp\OnboardLogs"\RTDC4014\1969-12-31 --exclude "*" --recursive --include "*19691231*" &amp; "%USERPROFILE%\Documents\GitHub\mrs-test-scripts\Headless Mode &amp; Sideloading\WalkAndUnGZ.bat" "%USERPROFILE%\AppData\Local\Temp\OnboardLogs"\RTDC4014\1969-12-31 &amp; aws s3 cp s3://rtdc.mdm.uploadarchive.raw/RTDC4014/ "%USERPROFILE%\AppData\Local\Temp\OnboardLogs"\RTDC4014\1970-01-01 --exclude "*" --recursive --include "*19700101*" &amp; "%USERPROFILE%\Documents\GitHub\mrs-test-scripts\Headless Mode &amp; Sideloading\WalkAndUnGZ.bat" "%USERPROFILE%\AppData\Local\Temp\OnboardLogs"\RTDC4014\1970-01-01</v>
      </c>
      <c r="AF210" s="88" t="str">
        <f t="shared" si="88"/>
        <v>"C:\Program Files (x86)\AstroGrep\AstroGrep.exe" /spath="%USERPROFILE%\AppData\Local\Temp\OnboardLogs" /stypes="app*4014*19700101*" /stext=" 00:.+((SYSTEM_STATE.+slice.+state.+changed )|(ment ac)|(multiple cpu faults)|(system.+state.+changed )|(\[timeout)|(PRM\|1\|D)|(kpr)|(kdp)|(\|lc)|(penalty))" /e /r /s</v>
      </c>
      <c r="AG210" s="1" t="str">
        <f t="shared" si="89"/>
        <v>Other</v>
      </c>
      <c r="AH210" s="92" t="str">
        <f t="shared" si="90"/>
        <v>"%USERPROFILE%\Documents\GitHub\eaglep3\Utilities\RefineRTDCRunTimes.py" --tripid 307-07 --locoid 4014 --swversion DE.1.0.8.0 --startMP 204:460 --initTime 2016-12-07T19:43:23 --startdatetime 1969-12-31T17:00:00 --delay 6 --endMP 300:23293 --enddatetime 1969-12-31T17:00:00 --enforcementcount 0 &gt;&gt;C:\Users\stu\Documents\GitHub\eaglep3-reporting\EC\2016-12-07-refined-times.txt</v>
      </c>
      <c r="AI210" s="119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{"issue":{"subject":"","project_id":79,"tracker_id":40,"status_id":1,"priority_id":2,"assigned_to_id":23,"start_date":"1969-12-31","description":"","custom_fields":[{"id":1,"name":"Subdivision","value":"Other"},{"id":4,"name":"Milepost","value":"2.3293"},{"id":17,"name":"Train ID","value":"307-07"},{"id":16,"name":"Locomotive ID","value":"4014"},{"id":130,"name":"Impact","value":""},{"id":150,"name":"Time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484</v>
      </c>
      <c r="B211" s="7">
        <v>4010</v>
      </c>
      <c r="C211" s="22" t="s">
        <v>207</v>
      </c>
      <c r="D211" s="22" t="s">
        <v>755</v>
      </c>
      <c r="E211" s="13">
        <v>42711.17496527778</v>
      </c>
      <c r="F211" s="13">
        <v>42711.176249999997</v>
      </c>
      <c r="G211" s="7">
        <v>1</v>
      </c>
      <c r="H211" s="22" t="s">
        <v>689</v>
      </c>
      <c r="I211" s="13">
        <v>42711.183993055558</v>
      </c>
      <c r="J211" s="7">
        <v>0</v>
      </c>
      <c r="K211" s="109" t="str">
        <f t="shared" si="78"/>
        <v>4009/4010</v>
      </c>
      <c r="L211" s="22" t="str">
        <f>VLOOKUP(A211,'Trips&amp;Operators'!$C$1:$G$99999,5,FALSE)</f>
        <v>MAHAN DUANE</v>
      </c>
      <c r="M211" s="6">
        <f t="shared" si="79"/>
        <v>7.7430555611499585E-3</v>
      </c>
      <c r="N211" s="7">
        <f t="shared" si="76"/>
        <v>11.15000000805594</v>
      </c>
      <c r="O211" s="7"/>
      <c r="P211" s="7"/>
      <c r="Q211" s="23"/>
      <c r="R211" s="23"/>
      <c r="S211" s="35">
        <f t="shared" si="70"/>
        <v>1</v>
      </c>
      <c r="T211" s="50" t="str">
        <f t="shared" si="80"/>
        <v>Southbound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03:11:57-700',mode:absolute,to:'2016-12-07 05:24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211" s="52" t="str">
        <f t="shared" si="82"/>
        <v>Y</v>
      </c>
      <c r="X211" s="177">
        <f t="shared" si="77"/>
        <v>1</v>
      </c>
      <c r="Y211" s="67">
        <f t="shared" si="83"/>
        <v>2.2585999999999999</v>
      </c>
      <c r="Z211" s="67">
        <f t="shared" si="84"/>
        <v>1.47E-2</v>
      </c>
      <c r="AA211" s="67">
        <f t="shared" si="85"/>
        <v>2.2439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86"/>
        <v>0308-07</v>
      </c>
      <c r="AE211" s="91" t="str">
        <f t="shared" si="87"/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AF211" s="88" t="str">
        <f t="shared" si="88"/>
        <v>"C:\Program Files (x86)\AstroGrep\AstroGrep.exe" /spath="%USERPROFILE%\AppData\Local\Temp\OnboardLogs" /stypes="app*4010*20161207*" /stext=" 11:.+((SYSTEM_STATE.+slice.+state.+changed )|(ment ac)|(multiple cpu faults)|(system.+state.+changed )|(\[timeout)|(PRM\|1\|D)|(kpr)|(kdp)|(\|lc)|(penalty))" /e /r /s</v>
      </c>
      <c r="AG211" s="1" t="str">
        <f t="shared" si="89"/>
        <v>Other</v>
      </c>
      <c r="AH211" s="92" t="str">
        <f t="shared" si="90"/>
        <v>"%USERPROFILE%\Documents\GitHub\eaglep3\Utilities\RefineRTDCRunTimes.py" --tripid 308-07 --locoid 4010 --swversion DE.1.0.8.0 --startMP 300:22586 --initTime 2016-12-07T04:11:57 --startdatetime 2016-12-07T04:13:48 --delay 1 --endMP 204:147 --enddatetime 2016-12-07T04:24:57 --enforcementcount 0 &gt;&gt;C:\Users\stu\Documents\GitHub\eaglep3-reporting\EC\2016-12-07-refined-times.txt</v>
      </c>
      <c r="AI211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{"issue":{"subject":"","project_id":79,"tracker_id":40,"status_id":1,"priority_id":2,"assigned_to_id":23,"start_date":"2016-12-07","description":"","custom_fields":[{"id":1,"name":"Subdivision","value":"Other"},{"id":4,"name":"Milepost","value":"0.0147"},{"id":17,"name":"Train ID","value":"308-07"},{"id":16,"name":"Locomotive ID","value":"4010"},{"id":130,"name":"Impact","value":""},{"id":150,"name":"Time of Event (Mountain Time)","value":"04:24:57"},{"id":151,"name":"Denver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486</v>
      </c>
      <c r="B212" s="7">
        <v>4019</v>
      </c>
      <c r="C212" s="22" t="s">
        <v>207</v>
      </c>
      <c r="D212" s="22" t="s">
        <v>756</v>
      </c>
      <c r="E212" s="13">
        <v>42711.177615740744</v>
      </c>
      <c r="F212" s="13">
        <v>42711.1794212963</v>
      </c>
      <c r="G212" s="7">
        <v>2</v>
      </c>
      <c r="H212" s="22" t="s">
        <v>319</v>
      </c>
      <c r="I212" s="13">
        <v>42711.191666666666</v>
      </c>
      <c r="J212" s="7">
        <v>0</v>
      </c>
      <c r="K212" s="109" t="str">
        <f t="shared" si="78"/>
        <v>4019/4020</v>
      </c>
      <c r="L212" s="22" t="str">
        <f>VLOOKUP(A212,'Trips&amp;Operators'!$C$1:$G$99999,5,FALSE)</f>
        <v>KILLION DAVID</v>
      </c>
      <c r="M212" s="6">
        <f t="shared" si="79"/>
        <v>1.2245370366144925E-2</v>
      </c>
      <c r="N212" s="7">
        <f t="shared" si="76"/>
        <v>17.633333327248693</v>
      </c>
      <c r="O212" s="7"/>
      <c r="P212" s="7"/>
      <c r="Q212" s="23"/>
      <c r="R212" s="23"/>
      <c r="S212" s="35">
        <f t="shared" si="70"/>
        <v>1</v>
      </c>
      <c r="T212" s="50" t="str">
        <f t="shared" si="80"/>
        <v>Southbound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03:15:46-700',mode:absolute,to:'2016-12-07 05:36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W212" s="52" t="str">
        <f t="shared" si="82"/>
        <v>Y</v>
      </c>
      <c r="X212" s="177">
        <f t="shared" si="77"/>
        <v>2</v>
      </c>
      <c r="Y212" s="67">
        <f t="shared" si="83"/>
        <v>2.323</v>
      </c>
      <c r="Z212" s="67">
        <f t="shared" si="84"/>
        <v>1.52E-2</v>
      </c>
      <c r="AA212" s="67">
        <f t="shared" si="85"/>
        <v>2.3077999999999999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86"/>
        <v>0310-07</v>
      </c>
      <c r="AE212" s="91" t="str">
        <f t="shared" si="87"/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AF212" s="88" t="str">
        <f t="shared" si="88"/>
        <v>"C:\Program Files (x86)\AstroGrep\AstroGrep.exe" /spath="%USERPROFILE%\AppData\Local\Temp\OnboardLogs" /stypes="app*4019*20161207*" /stext=" 11:.+((SYSTEM_STATE.+slice.+state.+changed )|(ment ac)|(multiple cpu faults)|(system.+state.+changed )|(\[timeout)|(PRM\|1\|D)|(kpr)|(kdp)|(\|lc)|(penalty))" /e /r /s</v>
      </c>
      <c r="AG212" s="1" t="str">
        <f t="shared" si="89"/>
        <v>Other</v>
      </c>
      <c r="AH212" s="92" t="str">
        <f t="shared" si="90"/>
        <v>"%USERPROFILE%\Documents\GitHub\eaglep3\Utilities\RefineRTDCRunTimes.py" --tripid 310-07 --locoid 4019 --swversion DE.1.0.8.0 --startMP 300:23230 --initTime 2016-12-07T04:15:46 --startdatetime 2016-12-07T04:18:22 --delay 2 --endMP 204:152 --enddatetime 2016-12-07T04:36:00 --enforcementcount 0 &gt;&gt;C:\Users\stu\Documents\GitHub\eaglep3-reporting\EC\2016-12-07-refined-times.txt</v>
      </c>
      <c r="AI212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{"issue":{"subject":"","project_id":79,"tracker_id":40,"status_id":1,"priority_id":2,"assigned_to_id":23,"start_date":"2016-12-07","description":"","custom_fields":[{"id":1,"name":"Subdivision","value":"Other"},{"id":4,"name":"Milepost","value":"0.0152"},{"id":17,"name":"Train ID","value":"310-07"},{"id":16,"name":"Locomotive ID","value":"4019"},{"id":130,"name":"Impact","value":""},{"id":150,"name":"Time of Event (Mountain Time)","value":"04:36:00"},{"id":151,"name":"Denver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670</v>
      </c>
      <c r="B213" s="7">
        <v>4016</v>
      </c>
      <c r="C213" s="22" t="s">
        <v>207</v>
      </c>
      <c r="D213" s="22" t="s">
        <v>310</v>
      </c>
      <c r="E213" s="13">
        <v>42712.048483796294</v>
      </c>
      <c r="F213" s="13">
        <v>25568.708333333332</v>
      </c>
      <c r="G213" s="7">
        <v>1</v>
      </c>
      <c r="H213" s="22" t="s">
        <v>356</v>
      </c>
      <c r="I213" s="13">
        <v>25568.708333333332</v>
      </c>
      <c r="J213" s="7">
        <v>0</v>
      </c>
      <c r="K213" s="109" t="str">
        <f t="shared" si="78"/>
        <v>4015/4016</v>
      </c>
      <c r="L213" s="22" t="str">
        <f>VLOOKUP(A213,'Trips&amp;Operators'!$C$1:$G$99999,5,FALSE)</f>
        <v>YANAI IAN</v>
      </c>
      <c r="M213" s="6">
        <f t="shared" si="79"/>
        <v>0</v>
      </c>
      <c r="N213" s="7">
        <f t="shared" si="76"/>
        <v>0</v>
      </c>
      <c r="O213" s="7"/>
      <c r="P213" s="7"/>
      <c r="Q213" s="23"/>
      <c r="R213" s="23"/>
      <c r="S213" s="35">
        <f t="shared" si="70"/>
        <v>1</v>
      </c>
      <c r="T213" s="50" t="str">
        <f t="shared" si="80"/>
        <v>NorthBound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https://search-rtdc-monitor-bjffxe2xuh6vdkpspy63sjmuny.us-east-1.es.amazonaws.com/_plugin/kibana/#/discover/Steve-Slow-Train-Analysis-(2080s-and-2083s)?_g=(refreshInterval:(display:Off,section:0,value:0),time:(from:'2016-12-08 00:09:49-700',mode:absolute,to:'1969-12-31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W213" s="52" t="str">
        <f t="shared" si="82"/>
        <v>Y</v>
      </c>
      <c r="X213" s="177">
        <f t="shared" si="77"/>
        <v>1</v>
      </c>
      <c r="Y213" s="67">
        <f t="shared" si="83"/>
        <v>4.53E-2</v>
      </c>
      <c r="Z213" s="67">
        <f t="shared" si="84"/>
        <v>2.3311999999999999</v>
      </c>
      <c r="AA213" s="67">
        <f t="shared" si="85"/>
        <v>2.2858999999999998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86"/>
        <v>0311-07</v>
      </c>
      <c r="AE213" s="91" t="str">
        <f t="shared" si="87"/>
        <v>aws s3 cp s3://rtdc.mdm.uploadarchive.raw/RTDC4016/ "%USERPROFILE%\AppData\Local\Temp\OnboardLogs"\RTDC4016\1969-12-31 --exclude "*" --recursive --include "*19691231*" &amp; "%USERPROFILE%\Documents\GitHub\mrs-test-scripts\Headless Mode &amp; Sideloading\WalkAndUnGZ.bat" "%USERPROFILE%\AppData\Local\Temp\OnboardLogs"\RTDC4016\1969-12-31 &amp; aws s3 cp s3://rtdc.mdm.uploadarchive.raw/RTDC4016/ "%USERPROFILE%\AppData\Local\Temp\OnboardLogs"\RTDC4016\1970-01-01 --exclude "*" --recursive --include "*19700101*" &amp; "%USERPROFILE%\Documents\GitHub\mrs-test-scripts\Headless Mode &amp; Sideloading\WalkAndUnGZ.bat" "%USERPROFILE%\AppData\Local\Temp\OnboardLogs"\RTDC4016\1970-01-01</v>
      </c>
      <c r="AF213" s="88" t="str">
        <f t="shared" si="88"/>
        <v>"C:\Program Files (x86)\AstroGrep\AstroGrep.exe" /spath="%USERPROFILE%\AppData\Local\Temp\OnboardLogs" /stypes="app*4016*19700101*" /stext=" 00:.+((SYSTEM_STATE.+slice.+state.+changed )|(ment ac)|(multiple cpu faults)|(system.+state.+changed )|(\[timeout)|(PRM\|1\|D)|(kpr)|(kdp)|(\|lc)|(penalty))" /e /r /s</v>
      </c>
      <c r="AG213" s="1" t="str">
        <f t="shared" si="89"/>
        <v>Other</v>
      </c>
      <c r="AH213" s="92" t="str">
        <f t="shared" si="90"/>
        <v>"%USERPROFILE%\Documents\GitHub\eaglep3\Utilities\RefineRTDCRunTimes.py" --tripid 311-07 --locoid 4016 --swversion DE.1.0.8.0 --startMP 204:453 --initTime 2016-12-08T01:09:49 --startdatetime 1969-12-31T17:00:00 --delay 1 --endMP 300:23312 --enddatetime 1969-12-31T17:00:00 --enforcementcount 0 &gt;&gt;C:\Users\stu\Documents\GitHub\eaglep3-reporting\EC\2016-12-07-refined-times.txt</v>
      </c>
      <c r="AI213" s="119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{"issue":{"subject":"","project_id":79,"tracker_id":40,"status_id":1,"priority_id":2,"assigned_to_id":23,"start_date":"1969-12-31","description":"","custom_fields":[{"id":1,"name":"Subdivision","value":"Other"},{"id":4,"name":"Milepost","value":"2.3312"},{"id":17,"name":"Train ID","value":"311-07"},{"id":16,"name":"Locomotive ID","value":"4016"},{"id":130,"name":"Impact","value":""},{"id":150,"name":"Time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 s="37" t="s">
        <v>672</v>
      </c>
      <c r="B214" s="7">
        <v>4031</v>
      </c>
      <c r="C214" s="22" t="s">
        <v>207</v>
      </c>
      <c r="D214" s="22" t="s">
        <v>311</v>
      </c>
      <c r="E214" s="13">
        <v>42712.068101851852</v>
      </c>
      <c r="F214" s="13">
        <v>25568.708333333332</v>
      </c>
      <c r="G214" s="7">
        <v>1</v>
      </c>
      <c r="H214" s="22" t="s">
        <v>751</v>
      </c>
      <c r="I214" s="13">
        <v>25568.708333333332</v>
      </c>
      <c r="J214" s="7">
        <v>0</v>
      </c>
      <c r="K214" s="109" t="str">
        <f t="shared" si="78"/>
        <v>4031/4032</v>
      </c>
      <c r="L214" s="22" t="str">
        <f>VLOOKUP(A214,'Trips&amp;Operators'!$C$1:$G$99999,5,FALSE)</f>
        <v>LEVIN SCOTT</v>
      </c>
      <c r="M214" s="6">
        <f t="shared" si="79"/>
        <v>0</v>
      </c>
      <c r="N214" s="7">
        <f t="shared" si="76"/>
        <v>0</v>
      </c>
      <c r="O214" s="7"/>
      <c r="P214" s="7"/>
      <c r="Q214" s="23"/>
      <c r="R214" s="23"/>
      <c r="S214" s="35">
        <f t="shared" si="70"/>
        <v>1</v>
      </c>
      <c r="T214" s="50" t="str">
        <f t="shared" si="80"/>
        <v>NorthBound</v>
      </c>
      <c r="U214" s="17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https://search-rtdc-monitor-bjffxe2xuh6vdkpspy63sjmuny.us-east-1.es.amazonaws.com/_plugin/kibana/#/discover/Steve-Slow-Train-Analysis-(2080s-and-2083s)?_g=(refreshInterval:(display:Off,section:0,value:0),time:(from:'2016-12-08 00:38:04-700',mode:absolute,to:'1969-12-31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4" s="52" t="str">
        <f t="shared" si="82"/>
        <v>Y</v>
      </c>
      <c r="X214" s="177">
        <f t="shared" si="77"/>
        <v>2</v>
      </c>
      <c r="Y214" s="67">
        <f t="shared" si="83"/>
        <v>4.4400000000000002E-2</v>
      </c>
      <c r="Z214" s="67">
        <f t="shared" si="84"/>
        <v>2.3308</v>
      </c>
      <c r="AA214" s="67">
        <f t="shared" si="85"/>
        <v>2.2864</v>
      </c>
      <c r="AB214" s="64" t="e">
        <f>VLOOKUP(A214,Enforcements!$C$7:$K$20,8,0)</f>
        <v>#N/A</v>
      </c>
      <c r="AC214" s="60" t="e">
        <f>VLOOKUP(A214,Enforcements!$C$7:$E$20,3,0)</f>
        <v>#N/A</v>
      </c>
      <c r="AD214" s="61" t="str">
        <f t="shared" si="86"/>
        <v>0313-07</v>
      </c>
      <c r="AE214" s="91" t="str">
        <f t="shared" si="87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214" s="88" t="str">
        <f t="shared" si="88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214" s="1" t="str">
        <f t="shared" si="89"/>
        <v>Other</v>
      </c>
      <c r="AH214" s="92" t="str">
        <f t="shared" si="90"/>
        <v>"%USERPROFILE%\Documents\GitHub\eaglep3\Utilities\RefineRTDCRunTimes.py" --tripid 313-07 --locoid 4031 --swversion DE.1.0.8.0 --startMP 204:444 --initTime 2016-12-08T01:38:04 --startdatetime 1969-12-31T17:00:00 --delay 1 --endMP 300:23308 --enddatetime 1969-12-31T17:00:00 --enforcementcount 0 &gt;&gt;C:\Users\stu\Documents\GitHub\eaglep3-reporting\EC\2016-12-07-refined-times.txt</v>
      </c>
      <c r="AI214" s="119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{"issue":{"subject":"","project_id":79,"tracker_id":40,"status_id":1,"priority_id":2,"assigned_to_id":23,"start_date":"1969-12-31","description":"","custom_fields":[{"id":1,"name":"Subdivision","value":"Other"},{"id":4,"name":"Milepost","value":"2.3308"},{"id":17,"name":"Train ID","value":"313-07"},{"id":16,"name":"Locomotive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53"/>
      <c r="AK214" s="53"/>
      <c r="AL214" s="53"/>
    </row>
    <row r="215" spans="1:38" x14ac:dyDescent="0.25">
      <c r="A215" s="37" t="s">
        <v>186</v>
      </c>
      <c r="B215" s="7">
        <v>4011</v>
      </c>
      <c r="C215" s="22" t="s">
        <v>207</v>
      </c>
      <c r="D215" s="22" t="s">
        <v>423</v>
      </c>
      <c r="E215" s="13">
        <v>42711.093356481484</v>
      </c>
      <c r="F215" s="13">
        <v>42711.09479166667</v>
      </c>
      <c r="G215" s="7">
        <v>1</v>
      </c>
      <c r="H215" s="22" t="s">
        <v>424</v>
      </c>
      <c r="I215" s="13">
        <v>42711.100763888891</v>
      </c>
      <c r="J215" s="7">
        <v>0</v>
      </c>
      <c r="K215" s="109" t="str">
        <f t="shared" si="78"/>
        <v>4011/4012</v>
      </c>
      <c r="L215" s="22" t="str">
        <f>VLOOKUP(A215,'Trips&amp;Operators'!$C$1:$G$99999,5,FALSE)</f>
        <v>CHANDLER KELVIN</v>
      </c>
      <c r="M215" s="6">
        <f t="shared" si="79"/>
        <v>5.9722222213167697E-3</v>
      </c>
      <c r="N215" s="7">
        <f t="shared" si="76"/>
        <v>8.5999999986961484</v>
      </c>
      <c r="O215" s="7"/>
      <c r="P215" s="7"/>
      <c r="Q215" s="23"/>
      <c r="R215" s="23"/>
      <c r="S215" s="35">
        <f t="shared" si="70"/>
        <v>1</v>
      </c>
      <c r="T215" s="50" t="str">
        <f t="shared" si="80"/>
        <v>NorthBound</v>
      </c>
      <c r="U215" s="17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01:14:26-700',mode:absolute,to:'2016-12-07 03:25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5" s="52" t="str">
        <f t="shared" si="82"/>
        <v>Y</v>
      </c>
      <c r="X215" s="177">
        <f t="shared" si="77"/>
        <v>2</v>
      </c>
      <c r="Y215" s="67">
        <f t="shared" si="83"/>
        <v>3.8300000000000001E-2</v>
      </c>
      <c r="Z215" s="67">
        <f t="shared" si="84"/>
        <v>2.2846000000000002</v>
      </c>
      <c r="AA215" s="67">
        <f t="shared" si="85"/>
        <v>2.2463000000000002</v>
      </c>
      <c r="AB215" s="64" t="e">
        <f>VLOOKUP(A215,Enforcements!$C$7:$K$20,8,0)</f>
        <v>#N/A</v>
      </c>
      <c r="AC215" s="60" t="e">
        <f>VLOOKUP(A215,Enforcements!$C$7:$E$20,3,0)</f>
        <v>#N/A</v>
      </c>
      <c r="AD215" s="61" t="str">
        <f t="shared" si="86"/>
        <v>0315-06</v>
      </c>
      <c r="AE215" s="91" t="str">
        <f t="shared" si="87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215" s="88" t="str">
        <f t="shared" si="88"/>
        <v>"C:\Program Files (x86)\AstroGrep\AstroGrep.exe" /spath="%USERPROFILE%\AppData\Local\Temp\OnboardLogs" /stypes="app*4011*20161207*" /stext=" 09:.+((SYSTEM_STATE.+slice.+state.+changed )|(ment ac)|(multiple cpu faults)|(system.+state.+changed )|(\[timeout)|(PRM\|1\|D)|(kpr)|(kdp)|(\|lc)|(penalty))" /e /r /s</v>
      </c>
      <c r="AG215" s="1" t="str">
        <f t="shared" si="89"/>
        <v>Other</v>
      </c>
      <c r="AH215" s="92" t="str">
        <f t="shared" si="90"/>
        <v>"%USERPROFILE%\Documents\GitHub\eaglep3\Utilities\RefineRTDCRunTimes.py" --tripid 315-06 --locoid 4011 --swversion DE.1.0.8.0 --startMP 204:383 --initTime 2016-12-07T02:14:26 --startdatetime 2016-12-07T02:16:30 --delay 1 --endMP 300:22846 --enddatetime 2016-12-07T02:25:06 --enforcementcount 0 &gt;&gt;C:\Users\stu\Documents\GitHub\eaglep3-reporting\EC\2016-12-07-refined-times.txt</v>
      </c>
      <c r="AI215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{"issue":{"subject":"","project_id":79,"tracker_id":40,"status_id":1,"priority_id":2,"assigned_to_id":23,"start_date":"2016-12-07","description":"","custom_fields":[{"id":1,"name":"Subdivision","value":"Other"},{"id":4,"name":"Milepost","value":"2.2846"},{"id":17,"name":"Train ID","value":"315-06"},{"id":16,"name":"Locomotive ID","value":"4011"},{"id":130,"name":"Impact","value":""},{"id":150,"name":"Time of Event (Mountain Time)","value":"02:25:06"},{"id":151,"name":"Denver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53"/>
      <c r="AK215" s="53"/>
      <c r="AL215" s="53"/>
    </row>
    <row r="216" spans="1:38" x14ac:dyDescent="0.25">
      <c r="A216" s="37" t="s">
        <v>673</v>
      </c>
      <c r="B216" s="7">
        <v>4009</v>
      </c>
      <c r="C216" s="22" t="s">
        <v>207</v>
      </c>
      <c r="D216" s="22" t="s">
        <v>243</v>
      </c>
      <c r="E216" s="13">
        <v>42712.088726851849</v>
      </c>
      <c r="F216" s="13">
        <v>25568.708333333332</v>
      </c>
      <c r="G216" s="7">
        <v>1</v>
      </c>
      <c r="H216" s="22" t="s">
        <v>757</v>
      </c>
      <c r="I216" s="13">
        <v>25568.708333333332</v>
      </c>
      <c r="J216" s="7">
        <v>0</v>
      </c>
      <c r="K216" s="109" t="str">
        <f t="shared" si="78"/>
        <v>4009/4010</v>
      </c>
      <c r="L216" s="22" t="str">
        <f>VLOOKUP(A216,'Trips&amp;Operators'!$C$1:$G$99999,5,FALSE)</f>
        <v>COOLAHAN JOHN</v>
      </c>
      <c r="M216" s="6">
        <f t="shared" si="79"/>
        <v>0</v>
      </c>
      <c r="N216" s="7">
        <f t="shared" si="76"/>
        <v>0</v>
      </c>
      <c r="O216" s="7"/>
      <c r="P216" s="7"/>
      <c r="Q216" s="23"/>
      <c r="R216" s="23"/>
      <c r="S216" s="35">
        <f t="shared" si="70"/>
        <v>1</v>
      </c>
      <c r="T216" s="50" t="str">
        <f t="shared" si="80"/>
        <v>NorthBound</v>
      </c>
      <c r="U216" s="17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https://search-rtdc-monitor-bjffxe2xuh6vdkpspy63sjmuny.us-east-1.es.amazonaws.com/_plugin/kibana/#/discover/Steve-Slow-Train-Analysis-(2080s-and-2083s)?_g=(refreshInterval:(display:Off,section:0,value:0),time:(from:'2016-12-08 01:07:46-700',mode:absolute,to:'1969-12-31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216" s="52" t="str">
        <f t="shared" si="82"/>
        <v>Y</v>
      </c>
      <c r="X216" s="177">
        <f t="shared" si="77"/>
        <v>0</v>
      </c>
      <c r="Y216" s="67">
        <f t="shared" si="83"/>
        <v>4.7100000000000003E-2</v>
      </c>
      <c r="Z216" s="67">
        <f t="shared" si="84"/>
        <v>2.3298999999999999</v>
      </c>
      <c r="AA216" s="67">
        <f t="shared" si="85"/>
        <v>2.2827999999999999</v>
      </c>
      <c r="AB216" s="64" t="e">
        <f>VLOOKUP(A216,Enforcements!$C$7:$K$20,8,0)</f>
        <v>#N/A</v>
      </c>
      <c r="AC216" s="60" t="e">
        <f>VLOOKUP(A216,Enforcements!$C$7:$E$20,3,0)</f>
        <v>#N/A</v>
      </c>
      <c r="AD216" s="61" t="str">
        <f t="shared" si="86"/>
        <v>0315-07</v>
      </c>
      <c r="AE216" s="91" t="str">
        <f t="shared" si="87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216" s="88" t="str">
        <f t="shared" si="88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216" s="1" t="str">
        <f t="shared" si="89"/>
        <v>Other</v>
      </c>
      <c r="AH216" s="92" t="str">
        <f t="shared" si="90"/>
        <v>"%USERPROFILE%\Documents\GitHub\eaglep3\Utilities\RefineRTDCRunTimes.py" --tripid 315-07 --locoid 4009 --swversion DE.1.0.8.0 --startMP 204:471 --initTime 2016-12-08T02:07:46 --startdatetime 1969-12-31T17:00:00 --delay 1 --endMP 300:23299 --enddatetime 1969-12-31T17:00:00 --enforcementcount 0 &gt;&gt;C:\Users\stu\Documents\GitHub\eaglep3-reporting\EC\2016-12-07-refined-times.txt</v>
      </c>
      <c r="AI216" s="119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{"issue":{"subject":"","project_id":79,"tracker_id":40,"status_id":1,"priority_id":2,"assigned_to_id":23,"start_date":"1969-12-31","description":"","custom_fields":[{"id":1,"name":"Subdivision","value":"Other"},{"id":4,"name":"Milepost","value":"2.3299"},{"id":17,"name":"Train ID","value":"315-07"},{"id":16,"name":"Locomotive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53"/>
      <c r="AK216" s="53"/>
      <c r="AL216" s="53"/>
    </row>
    <row r="217" spans="1:38" x14ac:dyDescent="0.25">
      <c r="A217" s="37" t="s">
        <v>489</v>
      </c>
      <c r="B217" s="7">
        <v>4011</v>
      </c>
      <c r="C217" s="22" t="s">
        <v>207</v>
      </c>
      <c r="D217" s="22" t="s">
        <v>812</v>
      </c>
      <c r="E217" s="13">
        <v>42711.2033912037</v>
      </c>
      <c r="F217" s="13">
        <v>42711.20758101852</v>
      </c>
      <c r="G217" s="7">
        <v>5</v>
      </c>
      <c r="H217" s="22" t="s">
        <v>813</v>
      </c>
      <c r="I217" s="13">
        <v>42711.213159722225</v>
      </c>
      <c r="J217" s="7">
        <v>0</v>
      </c>
      <c r="K217" s="109" t="str">
        <f t="shared" si="78"/>
        <v>4011/4012</v>
      </c>
      <c r="L217" s="22" t="str">
        <f>VLOOKUP(A217,'Trips&amp;Operators'!$C$1:$G$99999,5,FALSE)</f>
        <v>STARKS ANGELINA</v>
      </c>
      <c r="M217" s="6">
        <f t="shared" si="79"/>
        <v>5.5787037053960375E-3</v>
      </c>
      <c r="N217" s="7">
        <f t="shared" si="76"/>
        <v>8.0333333357702941</v>
      </c>
      <c r="O217" s="7"/>
      <c r="P217" s="7"/>
      <c r="Q217" s="23"/>
      <c r="R217" s="23"/>
      <c r="S217" s="35">
        <f t="shared" si="70"/>
        <v>0</v>
      </c>
      <c r="T217" s="50" t="str">
        <f t="shared" si="80"/>
        <v>NorthBound</v>
      </c>
      <c r="U217" s="17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03:52:53-700',mode:absolute,to:'2016-12-07 06:06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7" s="52" t="str">
        <f t="shared" si="82"/>
        <v>Y</v>
      </c>
      <c r="X217" s="177">
        <f t="shared" si="77"/>
        <v>586</v>
      </c>
      <c r="Y217" s="67">
        <f t="shared" si="83"/>
        <v>2.9836</v>
      </c>
      <c r="Z217" s="67">
        <f t="shared" si="84"/>
        <v>5.8964999999999996</v>
      </c>
      <c r="AA217" s="67">
        <f t="shared" si="85"/>
        <v>2.9128999999999996</v>
      </c>
      <c r="AB217" s="64" t="e">
        <f>VLOOKUP(A217,Enforcements!$C$7:$K$20,8,0)</f>
        <v>#N/A</v>
      </c>
      <c r="AC217" s="60" t="e">
        <f>VLOOKUP(A217,Enforcements!$C$7:$E$20,3,0)</f>
        <v>#N/A</v>
      </c>
      <c r="AD217" s="61" t="str">
        <f t="shared" si="86"/>
        <v>0901-07</v>
      </c>
      <c r="AE217" s="91" t="str">
        <f t="shared" si="87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217" s="88" t="str">
        <f t="shared" si="88"/>
        <v>"C:\Program Files (x86)\AstroGrep\AstroGrep.exe" /spath="%USERPROFILE%\AppData\Local\Temp\OnboardLogs" /stypes="app*4011*20161207*" /stext=" 12:.+((SYSTEM_STATE.+slice.+state.+changed )|(ment ac)|(multiple cpu faults)|(system.+state.+changed )|(\[timeout)|(PRM\|1\|D)|(kpr)|(kdp)|(\|lc)|(penalty))" /e /r /s</v>
      </c>
      <c r="AG217" s="1" t="str">
        <f t="shared" si="89"/>
        <v>Other</v>
      </c>
      <c r="AH217" s="92" t="str">
        <f t="shared" si="90"/>
        <v>"%USERPROFILE%\Documents\GitHub\eaglep3\Utilities\RefineRTDCRunTimes.py" --tripid 901-07 --locoid 4011 --swversion DE.1.0.8.0 --startMP 300:29836 --initTime 2016-12-07T04:52:53 --startdatetime 2016-12-07T04:58:55 --delay 5 --endMP 300:58965 --enddatetime 2016-12-07T05:06:57 --enforcementcount 0 &gt;&gt;C:\Users\stu\Documents\GitHub\eaglep3-reporting\EC\2016-12-07-refined-times.txt</v>
      </c>
      <c r="AI217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{"issue":{"subject":"","project_id":79,"tracker_id":40,"status_id":1,"priority_id":2,"assigned_to_id":23,"start_date":"2016-12-07","description":"","custom_fields":[{"id":1,"name":"Subdivision","value":"Other"},{"id":4,"name":"Milepost","value":"5.8965"},{"id":17,"name":"Train ID","value":"901-07"},{"id":16,"name":"Locomotive ID","value":"4011"},{"id":130,"name":"Impact","value":""},{"id":150,"name":"Time of Event (Mountain Time)","value":"05:06:57"},{"id":151,"name":"Denver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53"/>
      <c r="AK217" s="53"/>
      <c r="AL217" s="53"/>
    </row>
    <row r="218" spans="1:38" x14ac:dyDescent="0.25">
      <c r="A218" s="37" t="s">
        <v>497</v>
      </c>
      <c r="B218" s="7">
        <v>4039</v>
      </c>
      <c r="C218" s="22" t="s">
        <v>207</v>
      </c>
      <c r="D218" s="22" t="s">
        <v>814</v>
      </c>
      <c r="E218" s="13">
        <v>42711.245312500003</v>
      </c>
      <c r="F218" s="13">
        <v>42711.246631944443</v>
      </c>
      <c r="G218" s="7">
        <v>1</v>
      </c>
      <c r="H218" s="22" t="s">
        <v>363</v>
      </c>
      <c r="I218" s="13">
        <v>42711.25209490741</v>
      </c>
      <c r="J218" s="7">
        <v>0</v>
      </c>
      <c r="K218" s="109" t="str">
        <f t="shared" si="78"/>
        <v>4039/4040</v>
      </c>
      <c r="L218" s="22" t="str">
        <f>VLOOKUP(A218,'Trips&amp;Operators'!$C$1:$G$99999,5,FALSE)</f>
        <v>GEBRETEKLE DAGNEW</v>
      </c>
      <c r="M218" s="6">
        <f t="shared" si="79"/>
        <v>5.4629629667033441E-3</v>
      </c>
      <c r="N218" s="7">
        <f t="shared" si="76"/>
        <v>7.8666666720528156</v>
      </c>
      <c r="O218" s="7"/>
      <c r="P218" s="7"/>
      <c r="Q218" s="23"/>
      <c r="R218" s="23"/>
      <c r="S218" s="35">
        <f t="shared" si="70"/>
        <v>1</v>
      </c>
      <c r="T218" s="50" t="str">
        <f t="shared" si="80"/>
        <v>Southbound</v>
      </c>
      <c r="U218" s="17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04:53:15-700',mode:absolute,to:'2016-12-07 07:03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18" s="52" t="str">
        <f t="shared" si="82"/>
        <v>Y</v>
      </c>
      <c r="X218" s="177">
        <f t="shared" si="77"/>
        <v>1</v>
      </c>
      <c r="Y218" s="67">
        <f t="shared" si="83"/>
        <v>2.3466</v>
      </c>
      <c r="Z218" s="67">
        <f t="shared" si="84"/>
        <v>6.7699999999999996E-2</v>
      </c>
      <c r="AA218" s="67">
        <f t="shared" si="85"/>
        <v>2.2789000000000001</v>
      </c>
      <c r="AB218" s="64" t="e">
        <f>VLOOKUP(A218,Enforcements!$C$7:$K$20,8,0)</f>
        <v>#N/A</v>
      </c>
      <c r="AC218" s="60" t="e">
        <f>VLOOKUP(A218,Enforcements!$C$7:$E$20,3,0)</f>
        <v>#N/A</v>
      </c>
      <c r="AD218" s="61" t="str">
        <f t="shared" si="86"/>
        <v>0902-07</v>
      </c>
      <c r="AE218" s="91" t="str">
        <f t="shared" si="87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218" s="88" t="str">
        <f t="shared" si="88"/>
        <v>"C:\Program Files (x86)\AstroGrep\AstroGrep.exe" /spath="%USERPROFILE%\AppData\Local\Temp\OnboardLogs" /stypes="app*4039*20161207*" /stext=" 13:.+((SYSTEM_STATE.+slice.+state.+changed )|(ment ac)|(multiple cpu faults)|(system.+state.+changed )|(\[timeout)|(PRM\|1\|D)|(kpr)|(kdp)|(\|lc)|(penalty))" /e /r /s</v>
      </c>
      <c r="AG218" s="1" t="str">
        <f t="shared" si="89"/>
        <v>Other</v>
      </c>
      <c r="AH218" s="92" t="str">
        <f t="shared" si="90"/>
        <v>"%USERPROFILE%\Documents\GitHub\eaglep3\Utilities\RefineRTDCRunTimes.py" --tripid 902-07 --locoid 4039 --swversion DE.1.0.8.0 --startMP 300:23466 --initTime 2016-12-07T05:53:15 --startdatetime 2016-12-07T05:55:09 --delay 1 --endMP 204:677 --enddatetime 2016-12-07T06:03:01 --enforcementcount 0 &gt;&gt;C:\Users\stu\Documents\GitHub\eaglep3-reporting\EC\2016-12-07-refined-times.txt</v>
      </c>
      <c r="AI218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{"issue":{"subject":"","project_id":79,"tracker_id":40,"status_id":1,"priority_id":2,"assigned_to_id":23,"start_date":"2016-12-07","description":"","custom_fields":[{"id":1,"name":"Subdivision","value":"Other"},{"id":4,"name":"Milepost","value":"0.0677"},{"id":17,"name":"Train ID","value":"902-07"},{"id":16,"name":"Locomotive ID","value":"4039"},{"id":130,"name":"Impact","value":""},{"id":150,"name":"Time of Event (Mountain Time)","value":"06:03:01"},{"id":151,"name":"Denver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53"/>
      <c r="AK218" s="53"/>
      <c r="AL218" s="53"/>
    </row>
    <row r="219" spans="1:38" x14ac:dyDescent="0.25">
      <c r="A219" s="37" t="s">
        <v>527</v>
      </c>
      <c r="B219" s="7">
        <v>4011</v>
      </c>
      <c r="C219" s="22" t="s">
        <v>207</v>
      </c>
      <c r="D219" s="22" t="s">
        <v>431</v>
      </c>
      <c r="E219" s="13">
        <v>42711.354872685188</v>
      </c>
      <c r="F219" s="13">
        <v>42711.356828703705</v>
      </c>
      <c r="G219" s="7">
        <v>2</v>
      </c>
      <c r="H219" s="22" t="s">
        <v>815</v>
      </c>
      <c r="I219" s="13">
        <v>42711.364108796297</v>
      </c>
      <c r="J219" s="7">
        <v>0</v>
      </c>
      <c r="K219" s="109" t="str">
        <f t="shared" si="78"/>
        <v>4011/4012</v>
      </c>
      <c r="L219" s="22" t="str">
        <f>VLOOKUP(A219,'Trips&amp;Operators'!$C$1:$G$99999,5,FALSE)</f>
        <v>STARKS ANGELINA</v>
      </c>
      <c r="M219" s="6">
        <f t="shared" si="79"/>
        <v>7.2800925918272696E-3</v>
      </c>
      <c r="N219" s="7">
        <f t="shared" si="76"/>
        <v>10.483333332231268</v>
      </c>
      <c r="O219" s="7"/>
      <c r="P219" s="7"/>
      <c r="Q219" s="23"/>
      <c r="R219" s="23"/>
      <c r="S219" s="35">
        <f t="shared" si="70"/>
        <v>1</v>
      </c>
      <c r="T219" s="50" t="str">
        <f t="shared" si="80"/>
        <v>NorthBound</v>
      </c>
      <c r="U219" s="17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07:31:01-700',mode:absolute,to:'2016-12-07 09:44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19" s="52" t="str">
        <f t="shared" si="82"/>
        <v>Y</v>
      </c>
      <c r="X219" s="177">
        <f t="shared" si="77"/>
        <v>1</v>
      </c>
      <c r="Y219" s="67">
        <f t="shared" si="83"/>
        <v>0.1011</v>
      </c>
      <c r="Z219" s="67">
        <f t="shared" si="84"/>
        <v>2.5145</v>
      </c>
      <c r="AA219" s="67">
        <f t="shared" si="85"/>
        <v>2.4133999999999998</v>
      </c>
      <c r="AB219" s="64" t="e">
        <f>VLOOKUP(A219,Enforcements!$C$7:$K$20,8,0)</f>
        <v>#N/A</v>
      </c>
      <c r="AC219" s="60" t="e">
        <f>VLOOKUP(A219,Enforcements!$C$7:$E$20,3,0)</f>
        <v>#N/A</v>
      </c>
      <c r="AD219" s="61" t="str">
        <f t="shared" si="86"/>
        <v>0903-07</v>
      </c>
      <c r="AE219" s="91" t="str">
        <f t="shared" si="87"/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AF219" s="88" t="str">
        <f t="shared" si="88"/>
        <v>"C:\Program Files (x86)\AstroGrep\AstroGrep.exe" /spath="%USERPROFILE%\AppData\Local\Temp\OnboardLogs" /stypes="app*4011*20161207*" /stext=" 15:.+((SYSTEM_STATE.+slice.+state.+changed )|(ment ac)|(multiple cpu faults)|(system.+state.+changed )|(\[timeout)|(PRM\|1\|D)|(kpr)|(kdp)|(\|lc)|(penalty))" /e /r /s</v>
      </c>
      <c r="AG219" s="1" t="str">
        <f t="shared" si="89"/>
        <v>Other</v>
      </c>
      <c r="AH219" s="92" t="str">
        <f t="shared" si="90"/>
        <v>"%USERPROFILE%\Documents\GitHub\eaglep3\Utilities\RefineRTDCRunTimes.py" --tripid 903-07 --locoid 4011 --swversion DE.1.0.8.0 --startMP 204:1011 --initTime 2016-12-07T08:31:01 --startdatetime 2016-12-07T08:33:50 --delay 2 --endMP 300:25145 --enddatetime 2016-12-07T08:44:19 --enforcementcount 0 &gt;&gt;C:\Users\stu\Documents\GitHub\eaglep3-reporting\EC\2016-12-07-refined-times.txt</v>
      </c>
      <c r="AI219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{"issue":{"subject":"","project_id":79,"tracker_id":40,"status_id":1,"priority_id":2,"assigned_to_id":23,"start_date":"2016-12-07","description":"","custom_fields":[{"id":1,"name":"Subdivision","value":"Other"},{"id":4,"name":"Milepost","value":"2.5145"},{"id":17,"name":"Train ID","value":"903-07"},{"id":16,"name":"Locomotive ID","value":"4011"},{"id":130,"name":"Impact","value":""},{"id":150,"name":"Time of Event (Mountain Time)","value":"08:44:19"},{"id":151,"name":"Denver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53"/>
      <c r="AK219" s="53"/>
      <c r="AL219" s="53"/>
    </row>
    <row r="220" spans="1:38" x14ac:dyDescent="0.25">
      <c r="A220" s="37" t="s">
        <v>596</v>
      </c>
      <c r="B220" s="7">
        <v>4012</v>
      </c>
      <c r="C220" s="22" t="s">
        <v>207</v>
      </c>
      <c r="D220" s="22" t="s">
        <v>816</v>
      </c>
      <c r="E220" s="13">
        <v>42711.640648148146</v>
      </c>
      <c r="F220" s="13">
        <v>42711.642083333332</v>
      </c>
      <c r="G220" s="7">
        <v>1</v>
      </c>
      <c r="H220" s="22" t="s">
        <v>817</v>
      </c>
      <c r="I220" s="13">
        <v>42711.648425925923</v>
      </c>
      <c r="J220" s="7">
        <v>0</v>
      </c>
      <c r="K220" s="109" t="str">
        <f t="shared" si="78"/>
        <v>4011/4012</v>
      </c>
      <c r="L220" s="22" t="str">
        <f>VLOOKUP(A220,'Trips&amp;Operators'!$C$1:$G$99999,5,FALSE)</f>
        <v>LEVERE CRAIG</v>
      </c>
      <c r="M220" s="6">
        <f t="shared" si="79"/>
        <v>6.3425925909541547E-3</v>
      </c>
      <c r="N220" s="7">
        <f t="shared" si="76"/>
        <v>9.1333333309739828</v>
      </c>
      <c r="O220" s="7"/>
      <c r="P220" s="7"/>
      <c r="Q220" s="23"/>
      <c r="R220" s="23"/>
      <c r="S220" s="35">
        <f t="shared" si="70"/>
        <v>1</v>
      </c>
      <c r="T220" s="50" t="str">
        <f t="shared" si="80"/>
        <v>Southbound</v>
      </c>
      <c r="U220" s="17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14:22:32-700',mode:absolute,to:'2016-12-07 16:33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0" s="52" t="str">
        <f t="shared" si="82"/>
        <v>Y</v>
      </c>
      <c r="X220" s="177">
        <f t="shared" si="77"/>
        <v>1</v>
      </c>
      <c r="Y220" s="67">
        <f t="shared" si="83"/>
        <v>2.3258000000000001</v>
      </c>
      <c r="Z220" s="67">
        <f t="shared" si="84"/>
        <v>6.6100000000000006E-2</v>
      </c>
      <c r="AA220" s="67">
        <f t="shared" si="85"/>
        <v>2.2597</v>
      </c>
      <c r="AB220" s="64" t="e">
        <f>VLOOKUP(A220,Enforcements!$C$7:$K$20,8,0)</f>
        <v>#N/A</v>
      </c>
      <c r="AC220" s="60" t="e">
        <f>VLOOKUP(A220,Enforcements!$C$7:$E$20,3,0)</f>
        <v>#N/A</v>
      </c>
      <c r="AD220" s="61" t="str">
        <f t="shared" si="86"/>
        <v>0904-07</v>
      </c>
      <c r="AE220" s="91" t="str">
        <f t="shared" si="87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220" s="88" t="str">
        <f t="shared" si="88"/>
        <v>"C:\Program Files (x86)\AstroGrep\AstroGrep.exe" /spath="%USERPROFILE%\AppData\Local\Temp\OnboardLogs" /stypes="app*4012*20161207*" /stext=" 22:.+((SYSTEM_STATE.+slice.+state.+changed )|(ment ac)|(multiple cpu faults)|(system.+state.+changed )|(\[timeout)|(PRM\|1\|D)|(kpr)|(kdp)|(\|lc)|(penalty))" /e /r /s</v>
      </c>
      <c r="AG220" s="1" t="str">
        <f t="shared" si="89"/>
        <v>Other</v>
      </c>
      <c r="AH220" s="92" t="str">
        <f t="shared" si="90"/>
        <v>"%USERPROFILE%\Documents\GitHub\eaglep3\Utilities\RefineRTDCRunTimes.py" --tripid 904-07 --locoid 4012 --swversion DE.1.0.8.0 --startMP 300:23258 --initTime 2016-12-07T15:22:32 --startdatetime 2016-12-07T15:24:36 --delay 1 --endMP 204:661 --enddatetime 2016-12-07T15:33:44 --enforcementcount 0 &gt;&gt;C:\Users\stu\Documents\GitHub\eaglep3-reporting\EC\2016-12-07-refined-times.txt</v>
      </c>
      <c r="AI220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{"issue":{"subject":"","project_id":79,"tracker_id":40,"status_id":1,"priority_id":2,"assigned_to_id":23,"start_date":"2016-12-07","description":"","custom_fields":[{"id":1,"name":"Subdivision","value":"Other"},{"id":4,"name":"Milepost","value":"0.0661"},{"id":17,"name":"Train ID","value":"904-07"},{"id":16,"name":"Locomotive ID","value":"4012"},{"id":130,"name":"Impact","value":""},{"id":150,"name":"Time of Event (Mountain Time)","value":"15:33:44"},{"id":151,"name":"Denver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53"/>
      <c r="AK220" s="53"/>
      <c r="AL220" s="53"/>
    </row>
    <row r="221" spans="1:38" x14ac:dyDescent="0.25">
      <c r="A221" s="37" t="s">
        <v>638</v>
      </c>
      <c r="B221" s="7">
        <v>4012</v>
      </c>
      <c r="C221" s="22" t="s">
        <v>207</v>
      </c>
      <c r="D221" s="22" t="s">
        <v>818</v>
      </c>
      <c r="E221" s="13">
        <v>42711.801076388889</v>
      </c>
      <c r="F221" s="13">
        <v>42711.809120370373</v>
      </c>
      <c r="G221" s="7">
        <v>1</v>
      </c>
      <c r="H221" s="22" t="s">
        <v>819</v>
      </c>
      <c r="I221" s="13">
        <v>42711.815243055556</v>
      </c>
      <c r="J221" s="7">
        <v>0</v>
      </c>
      <c r="K221" s="109" t="str">
        <f t="shared" si="78"/>
        <v>4011/4012</v>
      </c>
      <c r="L221" s="22" t="str">
        <f>VLOOKUP(A221,'Trips&amp;Operators'!$C$1:$G$99999,5,FALSE)</f>
        <v>LEVERE CRAIG</v>
      </c>
      <c r="M221" s="6">
        <f t="shared" si="79"/>
        <v>6.1226851830724627E-3</v>
      </c>
      <c r="N221" s="7">
        <f t="shared" si="76"/>
        <v>8.8166666636243463</v>
      </c>
      <c r="O221" s="7"/>
      <c r="P221" s="7"/>
      <c r="Q221" s="23"/>
      <c r="R221" s="23"/>
      <c r="S221" s="35">
        <f t="shared" si="70"/>
        <v>0</v>
      </c>
      <c r="T221" s="50" t="str">
        <f t="shared" si="80"/>
        <v>Southbound</v>
      </c>
      <c r="U221" s="17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18:13:33-700',mode:absolute,to:'2016-12-07 20:33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21" s="52" t="str">
        <f t="shared" si="82"/>
        <v>Y</v>
      </c>
      <c r="X221" s="177">
        <f t="shared" si="77"/>
        <v>2</v>
      </c>
      <c r="Y221" s="67">
        <f t="shared" si="83"/>
        <v>5.8625999999999996</v>
      </c>
      <c r="Z221" s="67">
        <f t="shared" si="84"/>
        <v>2.8742000000000001</v>
      </c>
      <c r="AA221" s="67">
        <f t="shared" si="85"/>
        <v>2.9883999999999995</v>
      </c>
      <c r="AB221" s="64" t="e">
        <f>VLOOKUP(A221,Enforcements!$C$7:$K$20,8,0)</f>
        <v>#N/A</v>
      </c>
      <c r="AC221" s="60" t="e">
        <f>VLOOKUP(A221,Enforcements!$C$7:$E$20,3,0)</f>
        <v>#N/A</v>
      </c>
      <c r="AD221" s="61" t="str">
        <f t="shared" si="86"/>
        <v>0906-07</v>
      </c>
      <c r="AE221" s="91" t="str">
        <f t="shared" si="87"/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AF221" s="88" t="str">
        <f t="shared" si="88"/>
        <v>"C:\Program Files (x86)\AstroGrep\AstroGrep.exe" /spath="%USERPROFILE%\AppData\Local\Temp\OnboardLogs" /stypes="app*4012*20161208*" /stext=" 02:.+((SYSTEM_STATE.+slice.+state.+changed )|(ment ac)|(multiple cpu faults)|(system.+state.+changed )|(\[timeout)|(PRM\|1\|D)|(kpr)|(kdp)|(\|lc)|(penalty))" /e /r /s</v>
      </c>
      <c r="AG221" s="1" t="str">
        <f t="shared" si="89"/>
        <v>Other</v>
      </c>
      <c r="AH221" s="92" t="str">
        <f t="shared" si="90"/>
        <v>"%USERPROFILE%\Documents\GitHub\eaglep3\Utilities\RefineRTDCRunTimes.py" --tripid 906-07 --locoid 4012 --swversion DE.1.0.8.0 --startMP 300:58626 --initTime 2016-12-07T19:13:33 --startdatetime 2016-12-07T19:25:08 --delay 1 --endMP 300:28742 --enddatetime 2016-12-07T19:33:57 --enforcementcount 0 &gt;&gt;C:\Users\stu\Documents\GitHub\eaglep3-reporting\EC\2016-12-07-refined-times.txt</v>
      </c>
      <c r="AI221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{"issue":{"subject":"","project_id":79,"tracker_id":40,"status_id":1,"priority_id":2,"assigned_to_id":23,"start_date":"2016-12-07","description":"","custom_fields":[{"id":1,"name":"Subdivision","value":"Other"},{"id":4,"name":"Milepost","value":"2.8742"},{"id":17,"name":"Train ID","value":"906-07"},{"id":16,"name":"Locomotive ID","value":"4012"},{"id":130,"name":"Impact","value":""},{"id":150,"name":"Time of Event (Mountain Time)","value":"19:33:57"},{"id":151,"name":"Denver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53"/>
      <c r="AK221" s="53"/>
      <c r="AL221" s="53"/>
    </row>
    <row r="222" spans="1:38" x14ac:dyDescent="0.25">
      <c r="A222" s="37" t="s">
        <v>661</v>
      </c>
      <c r="B222" s="7">
        <v>4039</v>
      </c>
      <c r="C222" s="22" t="s">
        <v>207</v>
      </c>
      <c r="D222" s="22" t="s">
        <v>820</v>
      </c>
      <c r="E222" s="13">
        <v>42711.942835648151</v>
      </c>
      <c r="F222" s="13">
        <v>42711.944537037038</v>
      </c>
      <c r="G222" s="7">
        <v>1</v>
      </c>
      <c r="H222" s="22" t="s">
        <v>821</v>
      </c>
      <c r="I222" s="13">
        <v>42711.95008101852</v>
      </c>
      <c r="J222" s="7">
        <v>0</v>
      </c>
      <c r="K222" s="109" t="str">
        <f t="shared" si="78"/>
        <v>4039/4040</v>
      </c>
      <c r="L222" s="22" t="str">
        <f>VLOOKUP(A222,'Trips&amp;Operators'!$C$1:$G$99999,5,FALSE)</f>
        <v>LEVERE CRAIG</v>
      </c>
      <c r="M222" s="6">
        <f t="shared" si="79"/>
        <v>5.543981482333038E-3</v>
      </c>
      <c r="N222" s="7">
        <f t="shared" si="76"/>
        <v>7.9833333345595747</v>
      </c>
      <c r="O222" s="7"/>
      <c r="P222" s="7"/>
      <c r="Q222" s="23"/>
      <c r="R222" s="23"/>
      <c r="S222" s="35">
        <f t="shared" si="70"/>
        <v>0</v>
      </c>
      <c r="T222" s="50" t="str">
        <f t="shared" si="80"/>
        <v>Southbound</v>
      </c>
      <c r="U222" s="17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21:37:41-700',mode:absolute,to:'2016-12-07 23:48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W222" s="52" t="str">
        <f t="shared" si="82"/>
        <v>Y</v>
      </c>
      <c r="X222" s="177">
        <f t="shared" si="77"/>
        <v>2</v>
      </c>
      <c r="Y222" s="67">
        <f t="shared" si="83"/>
        <v>5.8643000000000001</v>
      </c>
      <c r="Z222" s="67">
        <f t="shared" si="84"/>
        <v>2.1856</v>
      </c>
      <c r="AA222" s="67">
        <f t="shared" si="85"/>
        <v>3.6787000000000001</v>
      </c>
      <c r="AB222" s="64" t="e">
        <f>VLOOKUP(A222,Enforcements!$C$7:$K$20,8,0)</f>
        <v>#N/A</v>
      </c>
      <c r="AC222" s="60" t="e">
        <f>VLOOKUP(A222,Enforcements!$C$7:$E$20,3,0)</f>
        <v>#N/A</v>
      </c>
      <c r="AD222" s="61" t="str">
        <f t="shared" si="86"/>
        <v>0908-07</v>
      </c>
      <c r="AE222" s="91" t="str">
        <f t="shared" si="87"/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AF222" s="88" t="str">
        <f t="shared" si="88"/>
        <v>"C:\Program Files (x86)\AstroGrep\AstroGrep.exe" /spath="%USERPROFILE%\AppData\Local\Temp\OnboardLogs" /stypes="app*4039*20161208*" /stext=" 05:.+((SYSTEM_STATE.+slice.+state.+changed )|(ment ac)|(multiple cpu faults)|(system.+state.+changed )|(\[timeout)|(PRM\|1\|D)|(kpr)|(kdp)|(\|lc)|(penalty))" /e /r /s</v>
      </c>
      <c r="AG222" s="1" t="str">
        <f t="shared" si="89"/>
        <v>Other</v>
      </c>
      <c r="AH222" s="92" t="str">
        <f t="shared" si="90"/>
        <v>"%USERPROFILE%\Documents\GitHub\eaglep3\Utilities\RefineRTDCRunTimes.py" --tripid 908-07 --locoid 4039 --swversion DE.1.0.8.0 --startMP 300:58643 --initTime 2016-12-07T22:37:41 --startdatetime 2016-12-07T22:40:08 --delay 1 --endMP 300:21856 --enddatetime 2016-12-07T22:48:07 --enforcementcount 0 &gt;&gt;C:\Users\stu\Documents\GitHub\eaglep3-reporting\EC\2016-12-07-refined-times.txt</v>
      </c>
      <c r="AI222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{"issue":{"subject":"","project_id":79,"tracker_id":40,"status_id":1,"priority_id":2,"assigned_to_id":23,"start_date":"2016-12-07","description":"","custom_fields":[{"id":1,"name":"Subdivision","value":"Other"},{"id":4,"name":"Milepost","value":"2.1856"},{"id":17,"name":"Train ID","value":"908-07"},{"id":16,"name":"Locomotive ID","value":"4039"},{"id":130,"name":"Impact","value":""},{"id":150,"name":"Time of Event (Mountain Time)","value":"22:48:07"},{"id":151,"name":"Denver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53"/>
      <c r="AK222" s="53"/>
      <c r="AL222" s="53"/>
    </row>
    <row r="223" spans="1:38" x14ac:dyDescent="0.25">
      <c r="A223" s="37" t="s">
        <v>616</v>
      </c>
      <c r="B223" s="7">
        <v>4045</v>
      </c>
      <c r="C223" s="22" t="s">
        <v>207</v>
      </c>
      <c r="D223" s="22" t="s">
        <v>758</v>
      </c>
      <c r="E223" s="13">
        <v>42711.711898148147</v>
      </c>
      <c r="F223" s="13">
        <v>42711.725127314814</v>
      </c>
      <c r="G223" s="7">
        <v>18</v>
      </c>
      <c r="H223" s="22" t="s">
        <v>759</v>
      </c>
      <c r="I223" s="13">
        <v>42711.731041666666</v>
      </c>
      <c r="J223" s="7">
        <v>0</v>
      </c>
      <c r="K223" s="109" t="str">
        <f t="shared" si="78"/>
        <v>4045/4046</v>
      </c>
      <c r="L223" s="22" t="str">
        <f>VLOOKUP(A223,'Trips&amp;Operators'!$C$1:$G$99999,5,FALSE)</f>
        <v>YANAI IAN</v>
      </c>
      <c r="M223" s="6">
        <f t="shared" si="79"/>
        <v>5.914351851970423E-3</v>
      </c>
      <c r="N223" s="7">
        <f t="shared" si="76"/>
        <v>8.5166666668374091</v>
      </c>
      <c r="O223" s="7"/>
      <c r="P223" s="7"/>
      <c r="Q223" s="23"/>
      <c r="R223" s="23"/>
      <c r="S223" s="35">
        <f t="shared" si="70"/>
        <v>0</v>
      </c>
      <c r="T223" s="50" t="e">
        <f t="shared" si="80"/>
        <v>#VALUE!</v>
      </c>
      <c r="U223" s="17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16:05:08-700',mode:absolute,to:'2016-12-07 18:32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23" s="52" t="str">
        <f t="shared" si="82"/>
        <v>Y</v>
      </c>
      <c r="X223" s="177" t="e">
        <f t="shared" si="77"/>
        <v>#VALUE!</v>
      </c>
      <c r="Y223" s="67">
        <f t="shared" si="83"/>
        <v>2.3283999999999998</v>
      </c>
      <c r="Z223" s="67">
        <f t="shared" si="84"/>
        <v>8.6900000000000005E-2</v>
      </c>
      <c r="AA223" s="67">
        <f t="shared" si="85"/>
        <v>2.2414999999999998</v>
      </c>
      <c r="AB223" s="64" t="e">
        <f>VLOOKUP(A223,Enforcements!$C$7:$K$20,8,0)</f>
        <v>#N/A</v>
      </c>
      <c r="AC223" s="60" t="e">
        <f>VLOOKUP(A223,Enforcements!$C$7:$E$20,3,0)</f>
        <v>#N/A</v>
      </c>
      <c r="AD223" s="61" t="str">
        <f t="shared" si="86"/>
        <v>74-07</v>
      </c>
      <c r="AE223" s="91" t="str">
        <f t="shared" si="87"/>
        <v>aws s3 cp s3://rtdc.mdm.uploadarchive.raw/RTDC4045/ "%USERPROFILE%\AppData\Local\Temp\OnboardLogs"\RTDC4045\2016-12-07 --exclude "*" --recursive --include "*20161207*" &amp; "%USERPROFILE%\Documents\GitHub\mrs-test-scripts\Headless Mode &amp; Sideloading\WalkAndUnGZ.bat" "%USERPROFILE%\AppData\Local\Temp\OnboardLogs"\RTDC4045\2016-12-07 &amp; aws s3 cp s3://rtdc.mdm.uploadarchive.raw/RTDC4045/ "%USERPROFILE%\AppData\Local\Temp\OnboardLogs"\RTDC4045\2016-12-08 --exclude "*" --recursive --include "*20161208*" &amp; "%USERPROFILE%\Documents\GitHub\mrs-test-scripts\Headless Mode &amp; Sideloading\WalkAndUnGZ.bat" "%USERPROFILE%\AppData\Local\Temp\OnboardLogs"\RTDC4045\2016-12-08</v>
      </c>
      <c r="AF223" s="88" t="str">
        <f t="shared" si="88"/>
        <v>"C:\Program Files (x86)\AstroGrep\AstroGrep.exe" /spath="%USERPROFILE%\AppData\Local\Temp\OnboardLogs" /stypes="app*4045*20161208*" /stext=" 00:.+((SYSTEM_STATE.+slice.+state.+changed )|(ment ac)|(multiple cpu faults)|(system.+state.+changed )|(\[timeout)|(PRM\|1\|D)|(kpr)|(kdp)|(\|lc)|(penalty))" /e /r /s</v>
      </c>
      <c r="AG223" s="1" t="str">
        <f t="shared" si="89"/>
        <v>Other</v>
      </c>
      <c r="AH223" s="92" t="str">
        <f t="shared" si="90"/>
        <v>"%USERPROFILE%\Documents\GitHub\eaglep3\Utilities\RefineRTDCRunTimes.py" --tripid 74-07 --locoid 4045 --swversion DE.1.0.8.0 --startMP 300:23284 --initTime 2016-12-07T17:05:08 --startdatetime 2016-12-07T17:24:11 --delay 18 --endMP 204:869 --enddatetime 2016-12-07T17:32:42 --enforcementcount 0 &gt;&gt;C:\Users\stu\Documents\GitHub\eaglep3-reporting\EC\2016-12-07-refined-times.txt</v>
      </c>
      <c r="AI223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{"issue":{"subject":"","project_id":79,"tracker_id":40,"status_id":1,"priority_id":2,"assigned_to_id":23,"start_date":"2016-12-07","description":"","custom_fields":[{"id":1,"name":"Subdivision","value":"Other"},{"id":4,"name":"Milepost","value":"0.0869"},{"id":17,"name":"Train ID","value":"74-07"},{"id":16,"name":"Locomotive ID","value":"4045"},{"id":130,"name":"Impact","value":""},{"id":150,"name":"Time of Event (Mountain Time)","value":"17:32:42"},{"id":151,"name":"Denver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53"/>
      <c r="AK223" s="53"/>
      <c r="AL223" s="53"/>
    </row>
    <row r="224" spans="1:38" x14ac:dyDescent="0.25">
      <c r="A224" s="37" t="s">
        <v>467</v>
      </c>
      <c r="B224" s="7">
        <v>4022</v>
      </c>
      <c r="C224" s="22" t="s">
        <v>207</v>
      </c>
      <c r="D224" s="22" t="s">
        <v>760</v>
      </c>
      <c r="E224" s="13">
        <v>42711.723020833335</v>
      </c>
      <c r="F224" s="13">
        <v>42711.738611111112</v>
      </c>
      <c r="G224" s="7">
        <v>1</v>
      </c>
      <c r="H224" s="22" t="s">
        <v>761</v>
      </c>
      <c r="I224" s="13">
        <v>42711.738726851851</v>
      </c>
      <c r="J224" s="7">
        <v>0</v>
      </c>
      <c r="K224" s="109" t="str">
        <f t="shared" si="78"/>
        <v>4021/4022</v>
      </c>
      <c r="L224" s="22" t="str">
        <f>VLOOKUP(A224,'Trips&amp;Operators'!$C$1:$G$99999,5,FALSE)</f>
        <v>DELGADO DIANAH</v>
      </c>
      <c r="M224" s="6">
        <f t="shared" si="79"/>
        <v>1.1574073869269341E-4</v>
      </c>
      <c r="N224" s="7">
        <f t="shared" si="76"/>
        <v>0.16666666371747851</v>
      </c>
      <c r="O224" s="7"/>
      <c r="P224" s="7"/>
      <c r="Q224" s="23"/>
      <c r="R224" s="23"/>
      <c r="S224" s="35">
        <f t="shared" si="70"/>
        <v>0</v>
      </c>
      <c r="T224" s="50" t="e">
        <f t="shared" si="80"/>
        <v>#VALUE!</v>
      </c>
      <c r="U224" s="17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98" t="str">
        <f t="shared" si="81"/>
        <v>https://search-rtdc-monitor-bjffxe2xuh6vdkpspy63sjmuny.us-east-1.es.amazonaws.com/_plugin/kibana/#/discover/Steve-Slow-Train-Analysis-(2080s-and-2083s)?_g=(refreshInterval:(display:Off,section:0,value:0),time:(from:'2016-12-07 16:21:09-700',mode:absolute,to:'2016-12-07 18:43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24" s="52" t="str">
        <f t="shared" si="82"/>
        <v>Y</v>
      </c>
      <c r="X224" s="177" t="e">
        <f t="shared" si="77"/>
        <v>#VALUE!</v>
      </c>
      <c r="Y224" s="67">
        <f t="shared" si="83"/>
        <v>0.15</v>
      </c>
      <c r="Z224" s="67">
        <f t="shared" si="84"/>
        <v>0.17899999999999999</v>
      </c>
      <c r="AA224" s="67">
        <f t="shared" si="85"/>
        <v>2.8999999999999998E-2</v>
      </c>
      <c r="AB224" s="64" t="e">
        <f>VLOOKUP(A224,Enforcements!$C$7:$K$20,8,0)</f>
        <v>#N/A</v>
      </c>
      <c r="AC224" s="60" t="e">
        <f>VLOOKUP(A224,Enforcements!$C$7:$E$20,3,0)</f>
        <v>#N/A</v>
      </c>
      <c r="AD224" s="61" t="str">
        <f t="shared" si="86"/>
        <v>75-07</v>
      </c>
      <c r="AE224" s="91" t="str">
        <f t="shared" si="87"/>
        <v>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 &amp; aws s3 cp s3://rtdc.mdm.uploadarchive.raw/RTDC4022/ "%USERPROFILE%\AppData\Local\Temp\OnboardLogs"\RTDC4022\2016-12-08 --exclude "*" --recursive --include "*20161208*" &amp; "%USERPROFILE%\Documents\GitHub\mrs-test-scripts\Headless Mode &amp; Sideloading\WalkAndUnGZ.bat" "%USERPROFILE%\AppData\Local\Temp\OnboardLogs"\RTDC4022\2016-12-08</v>
      </c>
      <c r="AF224" s="88" t="str">
        <f t="shared" si="88"/>
        <v>"C:\Program Files (x86)\AstroGrep\AstroGrep.exe" /spath="%USERPROFILE%\AppData\Local\Temp\OnboardLogs" /stypes="app*4022*20161208*" /stext=" 00:.+((SYSTEM_STATE.+slice.+state.+changed )|(ment ac)|(multiple cpu faults)|(system.+state.+changed )|(\[timeout)|(PRM\|1\|D)|(kpr)|(kdp)|(\|lc)|(penalty))" /e /r /s</v>
      </c>
      <c r="AG224" s="1" t="str">
        <f t="shared" si="89"/>
        <v>Other</v>
      </c>
      <c r="AH224" s="92" t="str">
        <f t="shared" si="90"/>
        <v>"%USERPROFILE%\Documents\GitHub\eaglep3\Utilities\RefineRTDCRunTimes.py" --tripid 75-07 --locoid 4022 --swversion DE.1.0.8.0 --startMP 204:1500 --initTime 2016-12-07T17:21:09 --startdatetime 2016-12-07T17:43:36 --delay 1 --endMP 204:1790 --enddatetime 2016-12-07T17:43:46 --enforcementcount 0 &gt;&gt;C:\Users\stu\Documents\GitHub\eaglep3-reporting\EC\2016-12-07-refined-times.txt</v>
      </c>
      <c r="AI224" s="119" t="str">
        <f t="shared" si="91"/>
        <v>echo {"issue":{"subject":"","project_id":79,"tracker_id":40,"status_id":1,"priority_id":2,"assigned_to_id":23,"start_date":"2016-12-07","description":"","custom_fields":[{"id":1,"name":"Subdivision","value":"Other"},{"id":4,"name":"Milepost","value":"0.179"},{"id":17,"name":"Train ID","value":"75-07"},{"id":16,"name":"Locomotive ID","value":"4022"},{"id":130,"name":"Impact","value":""},{"id":150,"name":"Time of Event (Mountain Time)","value":"17:43:46"},{"id":151,"name":"Denver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53"/>
      <c r="AK224" s="53"/>
      <c r="AL224" s="53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  <row r="237" spans="1:35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</row>
    <row r="238" spans="1:35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</row>
    <row r="239" spans="1:35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</row>
    <row r="240" spans="1:35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</row>
    <row r="241" spans="1:35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</row>
  </sheetData>
  <autoFilter ref="A12:AG232">
    <sortState ref="A13:AG233">
      <sortCondition ref="AG13:AG225"/>
      <sortCondition ref="AD13:AD225"/>
    </sortState>
  </autoFilter>
  <sortState ref="A13:AH200">
    <sortCondition ref="AG13:AG200"/>
    <sortCondition ref="AD13:AD200"/>
  </sortState>
  <mergeCells count="1">
    <mergeCell ref="A11:P11"/>
  </mergeCells>
  <conditionalFormatting sqref="W11:W12 W242:X1048576 W13:X224">
    <cfRule type="cellIs" dxfId="10" priority="344" operator="equal">
      <formula>"Y"</formula>
    </cfRule>
  </conditionalFormatting>
  <conditionalFormatting sqref="X242:X1048576 X13:X224">
    <cfRule type="cellIs" dxfId="9" priority="327" operator="greaterThan">
      <formula>1</formula>
    </cfRule>
  </conditionalFormatting>
  <conditionalFormatting sqref="X242:X1048576 X12:X224">
    <cfRule type="cellIs" dxfId="8" priority="324" operator="equal">
      <formula>0</formula>
    </cfRule>
  </conditionalFormatting>
  <conditionalFormatting sqref="A13:S224">
    <cfRule type="expression" dxfId="7" priority="318" stopIfTrue="1">
      <formula>$P13&gt;0</formula>
    </cfRule>
    <cfRule type="expression" dxfId="6" priority="319" stopIfTrue="1">
      <formula>$O13&gt;0</formula>
    </cfRule>
  </conditionalFormatting>
  <hyperlinks>
    <hyperlink ref="AJ144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A13:S224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AK13:AK224</xm:sqref>
        </x14:dataValidation>
        <x14:dataValidation type="list" allowBlank="1" showInputMessage="1" showErrorMessage="1">
          <x14:formula1>
            <xm:f>'Redmine List Values'!$C$2:$C$15</xm:f>
          </x14:formula1>
          <xm:sqref>AL13:AL224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5"/>
  <sheetViews>
    <sheetView topLeftCell="A2" zoomScaleNormal="100" workbookViewId="0">
      <selection activeCell="P10" sqref="P10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710937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COUNTIF($O$7:$O$334,"=Y")</f>
        <v>8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COUNTA($O$7:$O$334)-O2</f>
        <v>27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4" t="str">
        <f>"Eagle P3 Braking Events - "&amp;TEXT(Variables!$A$2,"YYYY-mm-dd")</f>
        <v>Eagle P3 Braking Events - 2016-12-07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232</v>
      </c>
    </row>
    <row r="7" spans="1:30" s="1" customFormat="1" x14ac:dyDescent="0.25">
      <c r="A7" s="36">
        <v>42711.977002314816</v>
      </c>
      <c r="B7" s="31" t="s">
        <v>254</v>
      </c>
      <c r="C7" s="31" t="s">
        <v>474</v>
      </c>
      <c r="D7" s="31" t="s">
        <v>98</v>
      </c>
      <c r="E7" s="31" t="s">
        <v>281</v>
      </c>
      <c r="F7" s="47">
        <v>0</v>
      </c>
      <c r="G7" s="47">
        <v>168</v>
      </c>
      <c r="H7" s="47">
        <v>27350</v>
      </c>
      <c r="I7" s="47">
        <v>27193</v>
      </c>
      <c r="J7" s="31" t="s">
        <v>282</v>
      </c>
      <c r="K7" s="47">
        <v>27350</v>
      </c>
      <c r="L7" s="154" t="s">
        <v>51</v>
      </c>
      <c r="M7" s="155">
        <f t="shared" ref="M7:M41" si="0">CONVERT((I7-K7)/10000,"mi","ft")*IF(L7="Increasing Mileposts (1)",-1,1)</f>
        <v>-82.895999999999987</v>
      </c>
      <c r="N7" s="156" t="str">
        <f>VLOOKUP(C7,'Trips&amp;Operators'!$C$1:$G$99999,5,FALSE)</f>
        <v>LEVIN SCOTT</v>
      </c>
      <c r="O7" s="182" t="s">
        <v>196</v>
      </c>
      <c r="P7" s="157" t="s">
        <v>442</v>
      </c>
      <c r="Q7" s="31"/>
      <c r="R7" s="100" t="str">
        <f>VLOOKUP(C7,'Train Runs'!$A$13:$AE$9976,31,0)</f>
        <v>aws s3 cp s3://rtdc.mdm.uploadarchive.raw/RTDC4032/ "%USERPROFILE%\AppData\Local\Temp\OnboardLogs"\RTDC4032\2016-12-07 --exclude "*" --recursive --include "*20161207*" &amp; "%USERPROFILE%\Documents\GitHub\mrs-test-scripts\Headless Mode &amp; Sideloading\WalkAndUnGZ.bat" "%USERPROFILE%\AppData\Local\Temp\OnboardLogs"\RTDC4032\2016-12-07 &amp; aws s3 cp s3://rtdc.mdm.uploadarchive.raw/RTDC4032/ "%USERPROFILE%\AppData\Local\Temp\OnboardLogs"\RTDC4032\2016-12-08 --exclude "*" --recursive --include "*20161208*" &amp; "%USERPROFILE%\Documents\GitHub\mrs-test-scripts\Headless Mode &amp; Sideloading\WalkAndUnGZ.bat" "%USERPROFILE%\AppData\Local\Temp\OnboardLogs"\RTDC4032\2016-12-08</v>
      </c>
      <c r="S7" s="103" t="str">
        <f>VLOOKUP(C7,'Train Runs'!$A$13:$AE$9976,22,0)</f>
        <v>https://search-rtdc-monitor-bjffxe2xuh6vdkpspy63sjmuny.us-east-1.es.amazonaws.com/_plugin/kibana/#/discover/Steve-Slow-Train-Analysis-(2080s-and-2083s)?_g=(refreshInterval:(display:Off,section:0,value:0),time:(from:'2016-12-07 21:48:08-700',mode:absolute,to:'2016-12-08 00:34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7" s="105" t="str">
        <f t="shared" ref="T7:T41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/stypes="*4032*201612080*" /stext=" 06:.+((SYSTEM_STATE.+slice.+state.+changed )|(ment ac)|(multiple cpu faults)|(system.+state.+changed )|(\[timeout)|(PRM\|1\|D)|(kpr)|(kdp)|(\|lc)|(penalty))" /e /r /s</v>
      </c>
      <c r="U7" s="9" t="str">
        <f t="shared" ref="U7:U41" si="2">MID(B7,13,4)</f>
        <v>4032</v>
      </c>
      <c r="V7" s="36">
        <f t="shared" ref="V7:V41" si="3">A7-utc_offset/24</f>
        <v>42712.26866898148</v>
      </c>
      <c r="W7" s="50" t="str">
        <f t="shared" ref="W7:W41" si="4">IF(VALUE(LEFT(IF(LEN(C7)=6,"0"&amp;C7,C7),2))&lt;=2,"EC",IF(OR(VALUE(LEFT(IF(LEN(C7)=6,"0"&amp;C7,C7),2))=8,VALUE(LEFT(IF(LEN(C7)=6,"0"&amp;C7,C7),2))=18),"NW","Other"))</f>
        <v>EC</v>
      </c>
      <c r="X7" s="50" t="str">
        <f t="shared" ref="X7:X41" si="5">IF(AND(E7="TRACK WARRANT AUTHORITY",G7&lt;10),"OMIT","KEEP")</f>
        <v>KEEP</v>
      </c>
      <c r="Y7" s="119" t="str">
        <f t="shared" ref="Y7:Y4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arrival","project_id":79,"tracker_id":40,"status_id":1,"priority_id":2,"assigned_to_id":23,"start_date":"2016-12-07","description":"","custom_fields":[{"id":1,"name":"Subdivision","value":"EC"},{"id":4,"name":"Milepost","value":"2.735"},{"id":17,"name":"Train ID","value":"234-07"},{"id":16,"name":"Locomotive ID","value":"4032"},{"id":130,"name":"Impact","value":""},{"id":150,"name":"Time of Event (Mountain Time)","value":"23:26:53"},{"id":151,"name":"Denver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41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"%USERPROFILE%\AppData\Local\Temp\OnboardLogs"\RTDC4032\*4032*201612080*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"%USERPROFILE%\AppData\Local\Temp\OnboardLogs"\RTDC4032\*4032*201612080* &gt;&gt; 42711-slicedisagreementcheck.txt</v>
      </c>
    </row>
    <row r="8" spans="1:30" s="1" customFormat="1" x14ac:dyDescent="0.25">
      <c r="A8" s="36">
        <v>42711.643055555556</v>
      </c>
      <c r="B8" s="31" t="s">
        <v>300</v>
      </c>
      <c r="C8" s="31" t="s">
        <v>465</v>
      </c>
      <c r="D8" s="31" t="s">
        <v>98</v>
      </c>
      <c r="E8" s="31" t="s">
        <v>281</v>
      </c>
      <c r="F8" s="47">
        <v>140</v>
      </c>
      <c r="G8" s="47">
        <v>204</v>
      </c>
      <c r="H8" s="47">
        <v>31023</v>
      </c>
      <c r="I8" s="47">
        <v>31510</v>
      </c>
      <c r="J8" s="31" t="s">
        <v>282</v>
      </c>
      <c r="K8" s="47">
        <v>30830</v>
      </c>
      <c r="L8" s="154" t="s">
        <v>50</v>
      </c>
      <c r="M8" s="155">
        <f t="shared" si="0"/>
        <v>-359.04</v>
      </c>
      <c r="N8" s="156" t="str">
        <f>VLOOKUP(C8,'Trips&amp;Operators'!$C$1:$G$99999,5,FALSE)</f>
        <v>ADANE ELSHADAY</v>
      </c>
      <c r="O8" s="182" t="s">
        <v>233</v>
      </c>
      <c r="P8" s="157" t="s">
        <v>445</v>
      </c>
      <c r="Q8" s="31"/>
      <c r="R8" s="100" t="str">
        <f>VLOOKUP(C8,'Train Runs'!$A$13:$AE$9976,31,0)</f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S8" s="103" t="str">
        <f>VLOOKUP(C8,'Train Runs'!$A$13:$AE$9976,22,0)</f>
        <v>https://search-rtdc-monitor-bjffxe2xuh6vdkpspy63sjmuny.us-east-1.es.amazonaws.com/_plugin/kibana/#/discover/Steve-Slow-Train-Analysis-(2080s-and-2083s)?_g=(refreshInterval:(display:Off,section:0,value:0),time:(from:'2016-12-07 14:09:04-700',mode:absolute,to:'2016-12-07 16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8" s="105" t="str">
        <f t="shared" si="1"/>
        <v>"C:\Program Files (x86)\AstroGrep\AstroGrep.exe" /spath="%USERPROFILE%\AppData\Local\Temp\OnboardLogs" /stypes="*4020*201612072*" /stext=" 22:.+((SYSTEM_STATE.+slice.+state.+changed )|(ment ac)|(multiple cpu faults)|(system.+state.+changed )|(\[timeout)|(PRM\|1\|D)|(kpr)|(kdp)|(\|lc)|(penalty))" /e /r /s</v>
      </c>
      <c r="U8" s="9" t="str">
        <f t="shared" si="2"/>
        <v>4020</v>
      </c>
      <c r="V8" s="36">
        <f t="shared" si="3"/>
        <v>42711.93472222222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arrival, banner without braking","project_id":79,"tracker_id":40,"status_id":1,"priority_id":2,"assigned_to_id":23,"start_date":"2016-12-07","description":"","custom_fields":[{"id":1,"name":"Subdivision","value":"EC"},{"id":4,"name":"Milepost","value":"3.083"},{"id":17,"name":"Train ID","value":"193-07"},{"id":16,"name":"Locomotive ID","value":"4020"},{"id":130,"name":"Impact","value":""},{"id":150,"name":"Time of Event (Mountain Time)","value":"15:26:00"},{"id":151,"name":"Denver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"%USERPROFILE%\AppData\Local\Temp\OnboardLogs"\RTDC4020\*4020*201612072*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"%USERPROFILE%\AppData\Local\Temp\OnboardLogs"\RTDC4020\*4020*201612072* &gt;&gt; 42711-slicedisagreementcheck.txt</v>
      </c>
    </row>
    <row r="9" spans="1:30" s="1" customFormat="1" x14ac:dyDescent="0.25">
      <c r="A9" s="36">
        <v>42711.470995370371</v>
      </c>
      <c r="B9" s="31" t="s">
        <v>250</v>
      </c>
      <c r="C9" s="31" t="s">
        <v>460</v>
      </c>
      <c r="D9" s="31" t="s">
        <v>49</v>
      </c>
      <c r="E9" s="31" t="s">
        <v>197</v>
      </c>
      <c r="F9" s="47">
        <v>150</v>
      </c>
      <c r="G9" s="47">
        <v>207</v>
      </c>
      <c r="H9" s="47">
        <v>5048</v>
      </c>
      <c r="I9" s="47">
        <v>4760</v>
      </c>
      <c r="J9" s="31" t="s">
        <v>198</v>
      </c>
      <c r="K9" s="47">
        <v>4677</v>
      </c>
      <c r="L9" s="154" t="s">
        <v>51</v>
      </c>
      <c r="M9" s="155">
        <f t="shared" si="0"/>
        <v>43.823999999999998</v>
      </c>
      <c r="N9" s="156" t="str">
        <f>VLOOKUP(C9,'Trips&amp;Operators'!$C$1:$G$99999,5,FALSE)</f>
        <v>MAHAN DUANE</v>
      </c>
      <c r="O9" s="182" t="s">
        <v>196</v>
      </c>
      <c r="P9" s="157"/>
      <c r="Q9" s="31"/>
      <c r="R9" s="100" t="str">
        <f>VLOOKUP(C9,'Train Runs'!$A$13:$AE$9976,31,0)</f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S9" s="103" t="str">
        <f>VLOOKUP(C9,'Train Runs'!$A$13:$AE$9976,22,0)</f>
        <v>https://search-rtdc-monitor-bjffxe2xuh6vdkpspy63sjmuny.us-east-1.es.amazonaws.com/_plugin/kibana/#/discover/Steve-Slow-Train-Analysis-(2080s-and-2083s)?_g=(refreshInterval:(display:Off,section:0,value:0),time:(from:'2016-12-07 09:32:40-700',mode:absolute,to:'2016-12-07 12:21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9" s="105" t="str">
        <f t="shared" si="1"/>
        <v>"C:\Program Files (x86)\AstroGrep\AstroGrep.exe" /spath="%USERPROFILE%\AppData\Local\Temp\OnboardLogs" /stypes="*4010*201612071*" /stext=" 18:.+((SYSTEM_STATE.+slice.+state.+changed )|(ment ac)|(multiple cpu faults)|(system.+state.+changed )|(\[timeout)|(PRM\|1\|D)|(kpr)|(kdp)|(\|lc)|(penalty))" /e /r /s</v>
      </c>
      <c r="U9" s="9" t="str">
        <f t="shared" si="2"/>
        <v>4010</v>
      </c>
      <c r="V9" s="36">
        <f t="shared" si="3"/>
        <v>42711.762662037036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{"issue":{"subject":"","project_id":79,"tracker_id":40,"status_id":1,"priority_id":2,"assigned_to_id":23,"start_date":"2016-12-07","description":"","custom_fields":[{"id":1,"name":"Subdivision","value":"EC"},{"id":4,"name":"Milepost","value":"0.4677"},{"id":17,"name":"Train ID","value":"150-07"},{"id":16,"name":"Locomotive ID","value":"4010"},{"id":130,"name":"Impact","value":""},{"id":150,"name":"Time of Event (Mountain Time)","value":"11:18:14"},{"id":151,"name":"Denver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"%USERPROFILE%\AppData\Local\Temp\OnboardLogs"\RTDC4010\*4010*201612071*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"%USERPROFILE%\AppData\Local\Temp\OnboardLogs"\RTDC4010\*4010*201612071* &gt;&gt; 42711-slicedisagreementcheck.txt</v>
      </c>
    </row>
    <row r="10" spans="1:30" s="1" customFormat="1" x14ac:dyDescent="0.25">
      <c r="A10" s="36">
        <v>42711.25439814815</v>
      </c>
      <c r="B10" s="31" t="s">
        <v>237</v>
      </c>
      <c r="C10" s="31" t="s">
        <v>452</v>
      </c>
      <c r="D10" s="31" t="s">
        <v>98</v>
      </c>
      <c r="E10" s="31" t="s">
        <v>197</v>
      </c>
      <c r="F10" s="47">
        <v>300</v>
      </c>
      <c r="G10" s="47">
        <v>351</v>
      </c>
      <c r="H10" s="47">
        <v>20668</v>
      </c>
      <c r="I10" s="47">
        <v>21596</v>
      </c>
      <c r="J10" s="31" t="s">
        <v>198</v>
      </c>
      <c r="K10" s="47">
        <v>20338</v>
      </c>
      <c r="L10" s="154" t="s">
        <v>50</v>
      </c>
      <c r="M10" s="155">
        <f t="shared" si="0"/>
        <v>-664.22400000000005</v>
      </c>
      <c r="N10" s="156" t="str">
        <f>VLOOKUP(C10,'Trips&amp;Operators'!$C$1:$G$99999,5,FALSE)</f>
        <v>BROWN JACOB</v>
      </c>
      <c r="O10" s="182" t="s">
        <v>196</v>
      </c>
      <c r="P10" s="157"/>
      <c r="Q10" s="31"/>
      <c r="R10" s="100" t="str">
        <f>VLOOKUP(C10,'Train Runs'!$A$13:$AE$9976,31,0)</f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S10" s="103" t="str">
        <f>VLOOKUP(C10,'Train Runs'!$A$13:$AE$9976,22,0)</f>
        <v>https://search-rtdc-monitor-bjffxe2xuh6vdkpspy63sjmuny.us-east-1.es.amazonaws.com/_plugin/kibana/#/discover/Steve-Slow-Train-Analysis-(2080s-and-2083s)?_g=(refreshInterval:(display:Off,section:0,value:0),time:(from:'2016-12-07 04:58:36-700',mode:absolute,to:'2016-12-07 07:47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0" s="105" t="str">
        <f t="shared" si="1"/>
        <v>"C:\Program Files (x86)\AstroGrep\AstroGrep.exe" /spath="%USERPROFILE%\AppData\Local\Temp\OnboardLogs" /stypes="*4031*201612071*" /stext=" 13:.+((SYSTEM_STATE.+slice.+state.+changed )|(ment ac)|(multiple cpu faults)|(system.+state.+changed )|(\[timeout)|(PRM\|1\|D)|(kpr)|(kdp)|(\|lc)|(penalty))" /e /r /s</v>
      </c>
      <c r="U10" s="9" t="str">
        <f t="shared" si="2"/>
        <v>4031</v>
      </c>
      <c r="V10" s="36">
        <f t="shared" si="3"/>
        <v>42711.546064814815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{"issue":{"subject":"","project_id":79,"tracker_id":40,"status_id":1,"priority_id":2,"assigned_to_id":23,"start_date":"2016-12-07","description":"","custom_fields":[{"id":1,"name":"Subdivision","value":"EC"},{"id":4,"name":"Milepost","value":"2.0338"},{"id":17,"name":"Train ID","value":"119-07"},{"id":16,"name":"Locomotive ID","value":"4031"},{"id":130,"name":"Impact","value":""},{"id":150,"name":"Time of Event (Mountain Time)","value":"06:06:20"},{"id":151,"name":"Denver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"%USERPROFILE%\AppData\Local\Temp\OnboardLogs"\RTDC4031\*4031*201612071*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"%USERPROFILE%\AppData\Local\Temp\OnboardLogs"\RTDC4031\*4031*201612071* &gt;&gt; 42711-slicedisagreementcheck.txt</v>
      </c>
    </row>
    <row r="11" spans="1:30" s="1" customFormat="1" x14ac:dyDescent="0.25">
      <c r="A11" s="36">
        <v>42711.6406712963</v>
      </c>
      <c r="B11" s="31" t="s">
        <v>300</v>
      </c>
      <c r="C11" s="31" t="s">
        <v>465</v>
      </c>
      <c r="D11" s="31" t="s">
        <v>98</v>
      </c>
      <c r="E11" s="31" t="s">
        <v>197</v>
      </c>
      <c r="F11" s="47">
        <v>300</v>
      </c>
      <c r="G11" s="47">
        <v>353</v>
      </c>
      <c r="H11" s="47">
        <v>20515</v>
      </c>
      <c r="I11" s="47">
        <v>21404</v>
      </c>
      <c r="J11" s="31" t="s">
        <v>198</v>
      </c>
      <c r="K11" s="47">
        <v>20338</v>
      </c>
      <c r="L11" s="154" t="s">
        <v>50</v>
      </c>
      <c r="M11" s="155">
        <f t="shared" si="0"/>
        <v>-562.84799999999996</v>
      </c>
      <c r="N11" s="156" t="str">
        <f>VLOOKUP(C11,'Trips&amp;Operators'!$C$1:$G$99999,5,FALSE)</f>
        <v>ADANE ELSHADAY</v>
      </c>
      <c r="O11" s="182" t="s">
        <v>196</v>
      </c>
      <c r="P11" s="157"/>
      <c r="Q11" s="31"/>
      <c r="R11" s="100" t="str">
        <f>VLOOKUP(C11,'Train Runs'!$A$13:$AE$9976,31,0)</f>
        <v>aws s3 cp s3://rtdc.mdm.uploadarchive.raw/RTDC4020/ "%USERPROFILE%\AppData\Local\Temp\OnboardLogs"\RTDC4020\2016-12-07 --exclude "*" --recursive --include "*20161207*" &amp; "%USERPROFILE%\Documents\GitHub\mrs-test-scripts\Headless Mode &amp; Sideloading\WalkAndUnGZ.bat" "%USERPROFILE%\AppData\Local\Temp\OnboardLogs"\RTDC4020\2016-12-07 &amp; aws s3 cp s3://rtdc.mdm.uploadarchive.raw/RTDC4020/ "%USERPROFILE%\AppData\Local\Temp\OnboardLogs"\RTDC4020\2016-12-08 --exclude "*" --recursive --include "*20161208*" &amp; "%USERPROFILE%\Documents\GitHub\mrs-test-scripts\Headless Mode &amp; Sideloading\WalkAndUnGZ.bat" "%USERPROFILE%\AppData\Local\Temp\OnboardLogs"\RTDC4020\2016-12-08</v>
      </c>
      <c r="S11" s="103" t="str">
        <f>VLOOKUP(C11,'Train Runs'!$A$13:$AE$9976,22,0)</f>
        <v>https://search-rtdc-monitor-bjffxe2xuh6vdkpspy63sjmuny.us-east-1.es.amazonaws.com/_plugin/kibana/#/discover/Steve-Slow-Train-Analysis-(2080s-and-2083s)?_g=(refreshInterval:(display:Off,section:0,value:0),time:(from:'2016-12-07 14:09:04-700',mode:absolute,to:'2016-12-07 16:54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T11" s="105" t="str">
        <f t="shared" si="1"/>
        <v>"C:\Program Files (x86)\AstroGrep\AstroGrep.exe" /spath="%USERPROFILE%\AppData\Local\Temp\OnboardLogs" /stypes="*4020*201612072*" /stext=" 22:.+((SYSTEM_STATE.+slice.+state.+changed )|(ment ac)|(multiple cpu faults)|(system.+state.+changed )|(\[timeout)|(PRM\|1\|D)|(kpr)|(kdp)|(\|lc)|(penalty))" /e /r /s</v>
      </c>
      <c r="U11" s="9" t="str">
        <f t="shared" si="2"/>
        <v>4020</v>
      </c>
      <c r="V11" s="36">
        <f t="shared" si="3"/>
        <v>42711.932337962964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{"issue":{"subject":"","project_id":79,"tracker_id":40,"status_id":1,"priority_id":2,"assigned_to_id":23,"start_date":"2016-12-07","description":"","custom_fields":[{"id":1,"name":"Subdivision","value":"EC"},{"id":4,"name":"Milepost","value":"2.0338"},{"id":17,"name":"Train ID","value":"193-07"},{"id":16,"name":"Locomotive ID","value":"4020"},{"id":130,"name":"Impact","value":""},{"id":150,"name":"Time of Event (Mountain Time)","value":"15:22:34"},{"id":151,"name":"Denver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"%USERPROFILE%\AppData\Local\Temp\OnboardLogs"\RTDC4020\*4020*201612072*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"%USERPROFILE%\AppData\Local\Temp\OnboardLogs"\RTDC4020\*4020*201612072* &gt;&gt; 42711-slicedisagreementcheck.txt</v>
      </c>
    </row>
    <row r="12" spans="1:30" s="1" customFormat="1" x14ac:dyDescent="0.25">
      <c r="A12" s="36">
        <v>42711.551446759258</v>
      </c>
      <c r="B12" s="31" t="s">
        <v>285</v>
      </c>
      <c r="C12" s="31" t="s">
        <v>462</v>
      </c>
      <c r="D12" s="31" t="s">
        <v>49</v>
      </c>
      <c r="E12" s="31" t="s">
        <v>197</v>
      </c>
      <c r="F12" s="47">
        <v>400</v>
      </c>
      <c r="G12" s="47">
        <v>456</v>
      </c>
      <c r="H12" s="47">
        <v>120973</v>
      </c>
      <c r="I12" s="47">
        <v>119669</v>
      </c>
      <c r="J12" s="31" t="s">
        <v>198</v>
      </c>
      <c r="K12" s="47">
        <v>119716</v>
      </c>
      <c r="L12" s="154" t="s">
        <v>51</v>
      </c>
      <c r="M12" s="155">
        <f t="shared" si="0"/>
        <v>-24.815999999999999</v>
      </c>
      <c r="N12" s="156" t="str">
        <f>VLOOKUP(C12,'Trips&amp;Operators'!$C$1:$G$99999,5,FALSE)</f>
        <v>LOPES KIMBERLY</v>
      </c>
      <c r="O12" s="182" t="s">
        <v>196</v>
      </c>
      <c r="P12" s="157"/>
      <c r="Q12" s="31"/>
      <c r="R12" s="100" t="str">
        <f>VLOOKUP(C12,'Train Runs'!$A$13:$AE$9976,31,0)</f>
        <v>aws s3 cp s3://rtdc.mdm.uploadarchive.raw/RTDC4043/ "%USERPROFILE%\AppData\Local\Temp\OnboardLogs"\RTDC4043\2016-12-07 --exclude "*" --recursive --include "*20161207*" &amp; "%USERPROFILE%\Documents\GitHub\mrs-test-scripts\Headless Mode &amp; Sideloading\WalkAndUnGZ.bat" "%USERPROFILE%\AppData\Local\Temp\OnboardLogs"\RTDC4043\2016-12-07 &amp; aws s3 cp s3://rtdc.mdm.uploadarchive.raw/RTDC4043/ "%USERPROFILE%\AppData\Local\Temp\OnboardLogs"\RTDC4043\2016-12-08 --exclude "*" --recursive --include "*20161208*" &amp; "%USERPROFILE%\Documents\GitHub\mrs-test-scripts\Headless Mode &amp; Sideloading\WalkAndUnGZ.bat" "%USERPROFILE%\AppData\Local\Temp\OnboardLogs"\RTDC4043\2016-12-08</v>
      </c>
      <c r="S12" s="103" t="str">
        <f>VLOOKUP(C12,'Train Runs'!$A$13:$AE$9976,22,0)</f>
        <v>https://search-rtdc-monitor-bjffxe2xuh6vdkpspy63sjmuny.us-east-1.es.amazonaws.com/_plugin/kibana/#/discover/Steve-Slow-Train-Analysis-(2080s-and-2083s)?_g=(refreshInterval:(display:Off,section:0,value:0),time:(from:'2016-12-07 11:44:06-700',mode:absolute,to:'2016-12-07 14:40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2" s="105" t="str">
        <f t="shared" si="1"/>
        <v>"C:\Program Files (x86)\AstroGrep\AstroGrep.exe" /spath="%USERPROFILE%\AppData\Local\Temp\OnboardLogs" /stypes="*4043*201612072*" /stext=" 20:.+((SYSTEM_STATE.+slice.+state.+changed )|(ment ac)|(multiple cpu faults)|(system.+state.+changed )|(\[timeout)|(PRM\|1\|D)|(kpr)|(kdp)|(\|lc)|(penalty))" /e /r /s</v>
      </c>
      <c r="U12" s="9" t="str">
        <f t="shared" si="2"/>
        <v>4043</v>
      </c>
      <c r="V12" s="36">
        <f t="shared" si="3"/>
        <v>42711.843113425923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{"issue":{"subject":"","project_id":79,"tracker_id":40,"status_id":1,"priority_id":2,"assigned_to_id":23,"start_date":"2016-12-07","description":"","custom_fields":[{"id":1,"name":"Subdivision","value":"EC"},{"id":4,"name":"Milepost","value":"11.9716"},{"id":17,"name":"Train ID","value":"168-07"},{"id":16,"name":"Locomotive ID","value":"4043"},{"id":130,"name":"Impact","value":""},{"id":150,"name":"Time of Event (Mountain Time)","value":"13:14:05"},{"id":151,"name":"Denver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53"/>
      <c r="AA12" s="53"/>
      <c r="AB12" s="53"/>
      <c r="AC12" s="138" t="str">
        <f t="shared" si="7"/>
        <v>grep -hSE -A100 "Enforcement Action" "%USERPROFILE%\AppData\Local\Temp\OnboardLogs"\RTDC4043\*4043*201612072*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"%USERPROFILE%\AppData\Local\Temp\OnboardLogs"\RTDC4043\*4043*201612072* &gt;&gt; 42711-slicedisagreementcheck.txt</v>
      </c>
    </row>
    <row r="13" spans="1:30" s="1" customFormat="1" x14ac:dyDescent="0.25">
      <c r="A13" s="36">
        <v>42712.001793981479</v>
      </c>
      <c r="B13" s="31" t="s">
        <v>269</v>
      </c>
      <c r="C13" s="31" t="s">
        <v>475</v>
      </c>
      <c r="D13" s="31" t="s">
        <v>49</v>
      </c>
      <c r="E13" s="31" t="s">
        <v>197</v>
      </c>
      <c r="F13" s="47">
        <v>550</v>
      </c>
      <c r="G13" s="47">
        <v>678</v>
      </c>
      <c r="H13" s="47">
        <v>220403</v>
      </c>
      <c r="I13" s="47">
        <v>223540</v>
      </c>
      <c r="J13" s="31" t="s">
        <v>198</v>
      </c>
      <c r="K13" s="47">
        <v>222090</v>
      </c>
      <c r="L13" s="154" t="s">
        <v>50</v>
      </c>
      <c r="M13" s="155">
        <f t="shared" si="0"/>
        <v>-765.6</v>
      </c>
      <c r="N13" s="156" t="str">
        <f>VLOOKUP(C13,'Trips&amp;Operators'!$C$1:$G$99999,5,FALSE)</f>
        <v>YANAI IAN</v>
      </c>
      <c r="O13" s="182" t="s">
        <v>196</v>
      </c>
      <c r="P13" s="157"/>
      <c r="Q13" s="31"/>
      <c r="R13" s="100" t="str">
        <f>VLOOKUP(C13,'Train Runs'!$A$13:$AE$9976,31,0)</f>
        <v>aws s3 cp s3://rtdc.mdm.uploadarchive.raw/RTDC4016/ "%USERPROFILE%\AppData\Local\Temp\OnboardLogs"\RTDC4016\2016-12-07 --exclude "*" --recursive --include "*20161207*" &amp; "%USERPROFILE%\Documents\GitHub\mrs-test-scripts\Headless Mode &amp; Sideloading\WalkAndUnGZ.bat" "%USERPROFILE%\AppData\Local\Temp\OnboardLogs"\RTDC4016\2016-12-07 &amp; aws s3 cp s3://rtdc.mdm.uploadarchive.raw/RTDC4016/ "%USERPROFILE%\AppData\Local\Temp\OnboardLogs"\RTDC4016\2016-12-08 --exclude "*" --recursive --include "*20161208*" &amp; "%USERPROFILE%\Documents\GitHub\mrs-test-scripts\Headless Mode &amp; Sideloading\WalkAndUnGZ.bat" "%USERPROFILE%\AppData\Local\Temp\OnboardLogs"\RTDC4016\2016-12-08</v>
      </c>
      <c r="S13" s="103" t="str">
        <f>VLOOKUP(C13,'Train Runs'!$A$13:$AE$9976,22,0)</f>
        <v>https://search-rtdc-monitor-bjffxe2xuh6vdkpspy63sjmuny.us-east-1.es.amazonaws.com/_plugin/kibana/#/discover/Steve-Slow-Train-Analysis-(2080s-and-2083s)?_g=(refreshInterval:(display:Off,section:0,value:0),time:(from:'2016-12-07 22:06:01-700',mode:absolute,to:'2016-12-08 01:05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4016%22')),sort:!(Time,asc))</v>
      </c>
      <c r="T13" s="105" t="str">
        <f t="shared" si="1"/>
        <v>"C:\Program Files (x86)\AstroGrep\AstroGrep.exe" /spath="%USERPROFILE%\AppData\Local\Temp\OnboardLogs" /stypes="*4016*201612080*" /stext=" 07:.+((SYSTEM_STATE.+slice.+state.+changed )|(ment ac)|(multiple cpu faults)|(system.+state.+changed )|(\[timeout)|(PRM\|1\|D)|(kpr)|(kdp)|(\|lc)|(penalty))" /e /r /s</v>
      </c>
      <c r="U13" s="9" t="str">
        <f t="shared" si="2"/>
        <v>4016</v>
      </c>
      <c r="V13" s="36">
        <f t="shared" si="3"/>
        <v>42712.293460648143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{"issue":{"subject":"","project_id":79,"tracker_id":40,"status_id":1,"priority_id":2,"assigned_to_id":23,"start_date":"2016-12-08","description":"","custom_fields":[{"id":1,"name":"Subdivision","value":"EC"},{"id":4,"name":"Milepost","value":"22.209"},{"id":17,"name":"Train ID","value":"239-07"},{"id":16,"name":"Locomotive ID","value":"4016"},{"id":130,"name":"Impact","value":""},{"id":150,"name":"Time of Event (Mountain Time)","value":"00:02:35"},{"id":151,"name":"Denver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53"/>
      <c r="AA13" s="53"/>
      <c r="AB13" s="53"/>
      <c r="AC13" s="138" t="str">
        <f t="shared" si="7"/>
        <v>grep -hSE -A100 "Enforcement Action" "%USERPROFILE%\AppData\Local\Temp\OnboardLogs"\RTDC4016\*4016*201612080*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"%USERPROFILE%\AppData\Local\Temp\OnboardLogs"\RTDC4016\*4016*201612080* &gt;&gt; 42711-slicedisagreementcheck.txt</v>
      </c>
    </row>
    <row r="14" spans="1:30" s="1" customFormat="1" x14ac:dyDescent="0.25">
      <c r="A14" s="36">
        <v>42711.191932870373</v>
      </c>
      <c r="B14" s="31" t="s">
        <v>237</v>
      </c>
      <c r="C14" s="31" t="s">
        <v>448</v>
      </c>
      <c r="D14" s="31" t="s">
        <v>98</v>
      </c>
      <c r="E14" s="31" t="s">
        <v>199</v>
      </c>
      <c r="F14" s="47">
        <v>200</v>
      </c>
      <c r="G14" s="47">
        <v>261</v>
      </c>
      <c r="H14" s="47">
        <v>65427</v>
      </c>
      <c r="I14" s="47">
        <v>65980</v>
      </c>
      <c r="J14" s="31" t="s">
        <v>200</v>
      </c>
      <c r="K14" s="47">
        <v>63995</v>
      </c>
      <c r="L14" s="154" t="s">
        <v>50</v>
      </c>
      <c r="M14" s="155">
        <f t="shared" si="0"/>
        <v>-1048.08</v>
      </c>
      <c r="N14" s="156" t="str">
        <f>VLOOKUP(C14,'Trips&amp;Operators'!$C$1:$G$99999,5,FALSE)</f>
        <v>BROWN JACOB</v>
      </c>
      <c r="O14" s="182" t="s">
        <v>196</v>
      </c>
      <c r="P14" s="157" t="s">
        <v>849</v>
      </c>
      <c r="Q14" s="31"/>
      <c r="R14" s="100" t="str">
        <f>VLOOKUP(C14,'Train Runs'!$A$13:$AE$9976,31,0)</f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S14" s="103" t="str">
        <f>VLOOKUP(C14,'Train Runs'!$A$13:$AE$9976,22,0)</f>
        <v>https://search-rtdc-monitor-bjffxe2xuh6vdkpspy63sjmuny.us-east-1.es.amazonaws.com/_plugin/kibana/#/discover/Steve-Slow-Train-Analysis-(2080s-and-2083s)?_g=(refreshInterval:(display:Off,section:0,value:0),time:(from:'2016-12-07 03:34:22-700',mode:absolute,to:'2016-12-07 06:00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4" s="105" t="str">
        <f t="shared" si="1"/>
        <v>"C:\Program Files (x86)\AstroGrep\AstroGrep.exe" /spath="%USERPROFILE%\AppData\Local\Temp\OnboardLogs" /stypes="*4031*201612071*" /stext=" 11:.+((SYSTEM_STATE.+slice.+state.+changed )|(ment ac)|(multiple cpu faults)|(system.+state.+changed )|(\[timeout)|(PRM\|1\|D)|(kpr)|(kdp)|(\|lc)|(penalty))" /e /r /s</v>
      </c>
      <c r="U14" s="9" t="str">
        <f t="shared" si="2"/>
        <v>4031</v>
      </c>
      <c r="V14" s="36">
        <f t="shared" si="3"/>
        <v>42711.483599537038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Overspeed","project_id":79,"tracker_id":40,"status_id":1,"priority_id":2,"assigned_to_id":23,"start_date":"2016-12-07","description":"","custom_fields":[{"id":1,"name":"Subdivision","value":"EC"},{"id":4,"name":"Milepost","value":"6.3995"},{"id":17,"name":"Train ID","value":"105-07"},{"id":16,"name":"Locomotive ID","value":"4031"},{"id":130,"name":"Impact","value":""},{"id":150,"name":"Time of Event (Mountain Time)","value":"04:36:23"},{"id":151,"name":"Denver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"%USERPROFILE%\AppData\Local\Temp\OnboardLogs"\RTDC4031\*4031*201612071*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"%USERPROFILE%\AppData\Local\Temp\OnboardLogs"\RTDC4031\*4031*201612071* &gt;&gt; 42711-slicedisagreementcheck.txt</v>
      </c>
    </row>
    <row r="15" spans="1:30" s="1" customFormat="1" x14ac:dyDescent="0.25">
      <c r="A15" s="36">
        <v>42711.192569444444</v>
      </c>
      <c r="B15" s="31" t="s">
        <v>237</v>
      </c>
      <c r="C15" s="31" t="s">
        <v>448</v>
      </c>
      <c r="D15" s="31" t="s">
        <v>98</v>
      </c>
      <c r="E15" s="31" t="s">
        <v>199</v>
      </c>
      <c r="F15" s="47">
        <v>200</v>
      </c>
      <c r="G15" s="47">
        <v>256</v>
      </c>
      <c r="H15" s="47">
        <v>66467</v>
      </c>
      <c r="I15" s="47">
        <v>67141</v>
      </c>
      <c r="J15" s="31" t="s">
        <v>200</v>
      </c>
      <c r="K15" s="47">
        <v>63995</v>
      </c>
      <c r="L15" s="154" t="s">
        <v>50</v>
      </c>
      <c r="M15" s="155">
        <f t="shared" si="0"/>
        <v>-1661.088</v>
      </c>
      <c r="N15" s="156" t="str">
        <f>VLOOKUP(C15,'Trips&amp;Operators'!$C$1:$G$99999,5,FALSE)</f>
        <v>BROWN JACOB</v>
      </c>
      <c r="O15" s="182" t="s">
        <v>196</v>
      </c>
      <c r="P15" s="157" t="s">
        <v>849</v>
      </c>
      <c r="Q15" s="31"/>
      <c r="R15" s="100" t="str">
        <f>VLOOKUP(C15,'Train Runs'!$A$13:$AE$9976,31,0)</f>
        <v>aws s3 cp s3://rtdc.mdm.uploadarchive.raw/RTDC4031/ "%USERPROFILE%\AppData\Local\Temp\OnboardLogs"\RTDC4031\2016-12-07 --exclude "*" --recursive --include "*20161207*" &amp; "%USERPROFILE%\Documents\GitHub\mrs-test-scripts\Headless Mode &amp; Sideloading\WalkAndUnGZ.bat" "%USERPROFILE%\AppData\Local\Temp\OnboardLogs"\RTDC4031\2016-12-07 &amp; aws s3 cp s3://rtdc.mdm.uploadarchive.raw/RTDC4031/ "%USERPROFILE%\AppData\Local\Temp\OnboardLogs"\RTDC4031\2016-12-08 --exclude "*" --recursive --include "*20161208*" &amp; "%USERPROFILE%\Documents\GitHub\mrs-test-scripts\Headless Mode &amp; Sideloading\WalkAndUnGZ.bat" "%USERPROFILE%\AppData\Local\Temp\OnboardLogs"\RTDC4031\2016-12-08</v>
      </c>
      <c r="S15" s="103" t="str">
        <f>VLOOKUP(C15,'Train Runs'!$A$13:$AE$9976,22,0)</f>
        <v>https://search-rtdc-monitor-bjffxe2xuh6vdkpspy63sjmuny.us-east-1.es.amazonaws.com/_plugin/kibana/#/discover/Steve-Slow-Train-Analysis-(2080s-and-2083s)?_g=(refreshInterval:(display:Off,section:0,value:0),time:(from:'2016-12-07 03:34:22-700',mode:absolute,to:'2016-12-07 06:00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5" s="105" t="str">
        <f t="shared" si="1"/>
        <v>"C:\Program Files (x86)\AstroGrep\AstroGrep.exe" /spath="%USERPROFILE%\AppData\Local\Temp\OnboardLogs" /stypes="*4031*201612071*" /stext=" 11:.+((SYSTEM_STATE.+slice.+state.+changed )|(ment ac)|(multiple cpu faults)|(system.+state.+changed )|(\[timeout)|(PRM\|1\|D)|(kpr)|(kdp)|(\|lc)|(penalty))" /e /r /s</v>
      </c>
      <c r="U15" s="9" t="str">
        <f t="shared" si="2"/>
        <v>4031</v>
      </c>
      <c r="V15" s="36">
        <f t="shared" si="3"/>
        <v>42711.484236111108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Overspeed","project_id":79,"tracker_id":40,"status_id":1,"priority_id":2,"assigned_to_id":23,"start_date":"2016-12-07","description":"","custom_fields":[{"id":1,"name":"Subdivision","value":"EC"},{"id":4,"name":"Milepost","value":"6.3995"},{"id":17,"name":"Train ID","value":"105-07"},{"id":16,"name":"Locomotive ID","value":"4031"},{"id":130,"name":"Impact","value":""},{"id":150,"name":"Time of Event (Mountain Time)","value":"04:37:18"},{"id":151,"name":"Denver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"%USERPROFILE%\AppData\Local\Temp\OnboardLogs"\RTDC4031\*4031*201612071*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"%USERPROFILE%\AppData\Local\Temp\OnboardLogs"\RTDC4031\*4031*201612071* &gt;&gt; 42711-slicedisagreementcheck.txt</v>
      </c>
    </row>
    <row r="16" spans="1:30" s="1" customFormat="1" x14ac:dyDescent="0.25">
      <c r="A16" s="36">
        <v>42711.801203703704</v>
      </c>
      <c r="B16" s="31" t="s">
        <v>184</v>
      </c>
      <c r="C16" s="31" t="s">
        <v>472</v>
      </c>
      <c r="D16" s="31" t="s">
        <v>49</v>
      </c>
      <c r="E16" s="31" t="s">
        <v>199</v>
      </c>
      <c r="F16" s="47">
        <v>0</v>
      </c>
      <c r="G16" s="47">
        <v>498</v>
      </c>
      <c r="H16" s="47">
        <v>62465</v>
      </c>
      <c r="I16" s="47">
        <v>64149</v>
      </c>
      <c r="J16" s="31" t="s">
        <v>200</v>
      </c>
      <c r="K16" s="47">
        <v>63995</v>
      </c>
      <c r="L16" s="154" t="s">
        <v>50</v>
      </c>
      <c r="M16" s="155">
        <f t="shared" si="0"/>
        <v>-81.311999999999998</v>
      </c>
      <c r="N16" s="156" t="str">
        <f>VLOOKUP(C16,'Trips&amp;Operators'!$C$1:$G$99999,5,FALSE)</f>
        <v>STAMBAUGH JAMES</v>
      </c>
      <c r="O16" s="182" t="s">
        <v>233</v>
      </c>
      <c r="P16" s="157" t="s">
        <v>842</v>
      </c>
      <c r="Q16" s="31"/>
      <c r="R16" s="100" t="str">
        <f>VLOOKUP(C16,'Train Runs'!$A$13:$AE$9976,31,0)</f>
        <v>aws s3 cp s3://rtdc.mdm.uploadarchive.raw/RTDC4044/ "%USERPROFILE%\AppData\Local\Temp\OnboardLogs"\RTDC4044\2016-12-07 --exclude "*" --recursive --include "*20161207*" &amp; "%USERPROFILE%\Documents\GitHub\mrs-test-scripts\Headless Mode &amp; Sideloading\WalkAndUnGZ.bat" "%USERPROFILE%\AppData\Local\Temp\OnboardLogs"\RTDC4044\2016-12-07 &amp; aws s3 cp s3://rtdc.mdm.uploadarchive.raw/RTDC4044/ "%USERPROFILE%\AppData\Local\Temp\OnboardLogs"\RTDC4044\2016-12-08 --exclude "*" --recursive --include "*20161208*" &amp; "%USERPROFILE%\Documents\GitHub\mrs-test-scripts\Headless Mode &amp; Sideloading\WalkAndUnGZ.bat" "%USERPROFILE%\AppData\Local\Temp\OnboardLogs"\RTDC4044\2016-12-08</v>
      </c>
      <c r="S16" s="103" t="str">
        <f>VLOOKUP(C16,'Train Runs'!$A$13:$AE$9976,22,0)</f>
        <v>https://search-rtdc-monitor-bjffxe2xuh6vdkpspy63sjmuny.us-east-1.es.amazonaws.com/_plugin/kibana/#/discover/Steve-Slow-Train-Analysis-(2080s-and-2083s)?_g=(refreshInterval:(display:Off,section:0,value:0),time:(from:'2016-12-07 17:53:21-700',mode:absolute,to:'2016-12-07 20:35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16" s="105" t="str">
        <f t="shared" si="1"/>
        <v>"C:\Program Files (x86)\AstroGrep\AstroGrep.exe" /spath="%USERPROFILE%\AppData\Local\Temp\OnboardLogs" /stypes="*4044*201612080*" /stext=" 02:.+((SYSTEM_STATE.+slice.+state.+changed )|(ment ac)|(multiple cpu faults)|(system.+state.+changed )|(\[timeout)|(PRM\|1\|D)|(kpr)|(kdp)|(\|lc)|(penalty))" /e /r /s</v>
      </c>
      <c r="U16" s="9" t="str">
        <f t="shared" si="2"/>
        <v>4044</v>
      </c>
      <c r="V16" s="36">
        <f t="shared" si="3"/>
        <v>42712.092870370368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{"issue":{"subject":"Wi-MAX data drop","project_id":79,"tracker_id":40,"status_id":1,"priority_id":2,"assigned_to_id":23,"start_date":"2016-12-07","description":"http://stevetu21.github.io/eaglep3/load_kml.html?kml=http://rtdc.gmaps-snips.s3.amazonaws.com/b842699b-b29f-45f6-a855-010f99dc4bf3.kml","custom_fields":[{"id":1,"name":"Subdivision","value":"EC"},{"id":4,"name":"Milepost","value":"6.3995"},{"id":17,"name":"Train ID","value":"221-07"},{"id":16,"name":"Locomotive ID","value":"4044"},{"id":130,"name":"Impact","value":"Enforcement"},{"id":150,"name":"Time of Event (Mountain Time)","value":"19:13:44"},{"id":151,"name":"Denver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6" s="183" t="s">
        <v>850</v>
      </c>
      <c r="AA16" s="53" t="s">
        <v>125</v>
      </c>
      <c r="AB16" s="53" t="s">
        <v>138</v>
      </c>
      <c r="AC16" s="138" t="str">
        <f t="shared" si="7"/>
        <v>grep -hSE -A100 "Enforcement Action" "%USERPROFILE%\AppData\Local\Temp\OnboardLogs"\RTDC4044\*4044*201612080*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"%USERPROFILE%\AppData\Local\Temp\OnboardLogs"\RTDC4044\*4044*201612080* &gt;&gt; 42711-slicedisagreementcheck.txt</v>
      </c>
    </row>
    <row r="17" spans="1:30" s="1" customFormat="1" x14ac:dyDescent="0.25">
      <c r="A17" s="36">
        <v>42711.212407407409</v>
      </c>
      <c r="B17" s="31" t="s">
        <v>183</v>
      </c>
      <c r="C17" s="31" t="s">
        <v>449</v>
      </c>
      <c r="D17" s="31" t="s">
        <v>49</v>
      </c>
      <c r="E17" s="31" t="s">
        <v>199</v>
      </c>
      <c r="F17" s="47">
        <v>0</v>
      </c>
      <c r="G17" s="47">
        <v>493</v>
      </c>
      <c r="H17" s="47">
        <v>221798</v>
      </c>
      <c r="I17" s="47">
        <v>223347</v>
      </c>
      <c r="J17" s="31" t="s">
        <v>200</v>
      </c>
      <c r="K17" s="47">
        <v>224231</v>
      </c>
      <c r="L17" s="154" t="s">
        <v>50</v>
      </c>
      <c r="M17" s="155">
        <f t="shared" si="0"/>
        <v>466.75200000000001</v>
      </c>
      <c r="N17" s="156" t="str">
        <f>VLOOKUP(C17,'Trips&amp;Operators'!$C$1:$G$99999,5,FALSE)</f>
        <v>MAHAN DUANE</v>
      </c>
      <c r="O17" s="182" t="s">
        <v>233</v>
      </c>
      <c r="P17" s="157" t="s">
        <v>842</v>
      </c>
      <c r="Q17" s="31"/>
      <c r="R17" s="100" t="str">
        <f>VLOOKUP(C17,'Train Runs'!$A$13:$AE$9976,31,0)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S17" s="103" t="str">
        <f>VLOOKUP(C17,'Train Runs'!$A$13:$AE$9976,22,0)</f>
        <v>https://search-rtdc-monitor-bjffxe2xuh6vdkpspy63sjmuny.us-east-1.es.amazonaws.com/_plugin/kibana/#/discover/Steve-Slow-Train-Analysis-(2080s-and-2083s)?_g=(refreshInterval:(display:Off,section:0,value:0),time:(from:'2016-12-07 03:27:32-700',mode:absolute,to:'2016-12-07 06:11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7" s="105" t="str">
        <f t="shared" si="1"/>
        <v>"C:\Program Files (x86)\AstroGrep\AstroGrep.exe" /spath="%USERPROFILE%\AppData\Local\Temp\OnboardLogs" /stypes="*4009*201612071*" /stext=" 12:.+((SYSTEM_STATE.+slice.+state.+changed )|(ment ac)|(multiple cpu faults)|(system.+state.+changed )|(\[timeout)|(PRM\|1\|D)|(kpr)|(kdp)|(\|lc)|(penalty))" /e /r /s</v>
      </c>
      <c r="U17" s="9" t="str">
        <f t="shared" si="2"/>
        <v>4009</v>
      </c>
      <c r="V17" s="36">
        <f t="shared" si="3"/>
        <v>42711.504074074073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{"issue":{"subject":"Wi-MAX data drop","project_id":79,"tracker_id":40,"status_id":1,"priority_id":2,"assigned_to_id":23,"start_date":"2016-12-07","description":"http://stevetu21.github.io/eaglep3/load_kml.html?kml=http://rtdc.gmaps-snips.s3.amazonaws.com/9ea5c31d-fefe-4aae-ba0f-cebf0c8fbbf0.kml","custom_fields":[{"id":1,"name":"Subdivision","value":"EC"},{"id":4,"name":"Milepost","value":"22.4231"},{"id":17,"name":"Train ID","value":"107-07"},{"id":16,"name":"Locomotive ID","value":"4009"},{"id":130,"name":"Impact","value":"Enforcement"},{"id":150,"name":"Time of Event (Mountain Time)","value":"05:05:52"},{"id":151,"name":"Denver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7" s="53" t="s">
        <v>851</v>
      </c>
      <c r="AA17" s="53" t="s">
        <v>125</v>
      </c>
      <c r="AB17" s="53" t="s">
        <v>138</v>
      </c>
      <c r="AC17" s="138" t="str">
        <f t="shared" si="7"/>
        <v>grep -hSE -A100 "Enforcement Action" "%USERPROFILE%\AppData\Local\Temp\OnboardLogs"\RTDC4009\*4009*201612071*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"%USERPROFILE%\AppData\Local\Temp\OnboardLogs"\RTDC4009\*4009*201612071* &gt;&gt; 42711-slicedisagreementcheck.txt</v>
      </c>
    </row>
    <row r="18" spans="1:30" s="1" customFormat="1" x14ac:dyDescent="0.25">
      <c r="A18" s="36">
        <v>42711.213125000002</v>
      </c>
      <c r="B18" s="31" t="s">
        <v>183</v>
      </c>
      <c r="C18" s="31" t="s">
        <v>449</v>
      </c>
      <c r="D18" s="31" t="s">
        <v>49</v>
      </c>
      <c r="E18" s="31" t="s">
        <v>199</v>
      </c>
      <c r="F18" s="47">
        <v>0</v>
      </c>
      <c r="G18" s="47">
        <v>230</v>
      </c>
      <c r="H18" s="47">
        <v>224092</v>
      </c>
      <c r="I18" s="47">
        <v>224605</v>
      </c>
      <c r="J18" s="31" t="s">
        <v>200</v>
      </c>
      <c r="K18" s="47">
        <v>224231</v>
      </c>
      <c r="L18" s="154" t="s">
        <v>50</v>
      </c>
      <c r="M18" s="155">
        <f t="shared" si="0"/>
        <v>-197.47200000000001</v>
      </c>
      <c r="N18" s="156" t="str">
        <f>VLOOKUP(C18,'Trips&amp;Operators'!$C$1:$G$99999,5,FALSE)</f>
        <v>MAHAN DUANE</v>
      </c>
      <c r="O18" s="182" t="s">
        <v>233</v>
      </c>
      <c r="P18" s="157" t="s">
        <v>842</v>
      </c>
      <c r="Q18" s="31"/>
      <c r="R18" s="100" t="str">
        <f>VLOOKUP(C18,'Train Runs'!$A$13:$AE$9976,31,0)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S18" s="103" t="str">
        <f>VLOOKUP(C18,'Train Runs'!$A$13:$AE$9976,22,0)</f>
        <v>https://search-rtdc-monitor-bjffxe2xuh6vdkpspy63sjmuny.us-east-1.es.amazonaws.com/_plugin/kibana/#/discover/Steve-Slow-Train-Analysis-(2080s-and-2083s)?_g=(refreshInterval:(display:Off,section:0,value:0),time:(from:'2016-12-07 03:27:32-700',mode:absolute,to:'2016-12-07 06:11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18" s="105" t="str">
        <f t="shared" si="1"/>
        <v>"C:\Program Files (x86)\AstroGrep\AstroGrep.exe" /spath="%USERPROFILE%\AppData\Local\Temp\OnboardLogs" /stypes="*4009*201612071*" /stext=" 12:.+((SYSTEM_STATE.+slice.+state.+changed )|(ment ac)|(multiple cpu faults)|(system.+state.+changed )|(\[timeout)|(PRM\|1\|D)|(kpr)|(kdp)|(\|lc)|(penalty))" /e /r /s</v>
      </c>
      <c r="U18" s="9" t="str">
        <f t="shared" si="2"/>
        <v>4009</v>
      </c>
      <c r="V18" s="36">
        <f t="shared" si="3"/>
        <v>42711.504791666666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{"issue":{"subject":"Wi-MAX data drop","project_id":79,"tracker_id":40,"status_id":1,"priority_id":2,"assigned_to_id":23,"start_date":"2016-12-07","description":"http://stevetu21.github.io/eaglep3/load_kml.html?kml=http://rtdc.gmaps-snips.s3.amazonaws.com/9ea5c31d-fefe-4aae-ba0f-cebf0c8fbbf0.kml","custom_fields":[{"id":1,"name":"Subdivision","value":"EC"},{"id":4,"name":"Milepost","value":"22.4231"},{"id":17,"name":"Train ID","value":"107-07"},{"id":16,"name":"Locomotive ID","value":"4009"},{"id":130,"name":"Impact","value":"Enforcement"},{"id":150,"name":"Time of Event (Mountain Time)","value":"05:06:54"},{"id":151,"name":"Denver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8" s="53" t="s">
        <v>851</v>
      </c>
      <c r="AA18" s="53" t="s">
        <v>125</v>
      </c>
      <c r="AB18" s="53" t="s">
        <v>138</v>
      </c>
      <c r="AC18" s="138" t="str">
        <f t="shared" si="7"/>
        <v>grep -hSE -A100 "Enforcement Action" "%USERPROFILE%\AppData\Local\Temp\OnboardLogs"\RTDC4009\*4009*201612071*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"%USERPROFILE%\AppData\Local\Temp\OnboardLogs"\RTDC4009\*4009*201612071* &gt;&gt; 42711-slicedisagreementcheck.txt</v>
      </c>
    </row>
    <row r="19" spans="1:30" s="1" customFormat="1" x14ac:dyDescent="0.25">
      <c r="A19" s="36">
        <v>42711.425196759257</v>
      </c>
      <c r="B19" s="31" t="s">
        <v>231</v>
      </c>
      <c r="C19" s="31" t="s">
        <v>458</v>
      </c>
      <c r="D19" s="31" t="s">
        <v>98</v>
      </c>
      <c r="E19" s="31" t="s">
        <v>334</v>
      </c>
      <c r="F19" s="47">
        <v>0</v>
      </c>
      <c r="G19" s="47">
        <v>144</v>
      </c>
      <c r="H19" s="47">
        <v>231605</v>
      </c>
      <c r="I19" s="47">
        <v>231364</v>
      </c>
      <c r="J19" s="31" t="s">
        <v>335</v>
      </c>
      <c r="K19" s="47">
        <v>231650</v>
      </c>
      <c r="L19" s="154" t="s">
        <v>51</v>
      </c>
      <c r="M19" s="155">
        <f t="shared" si="0"/>
        <v>-151.00800000000001</v>
      </c>
      <c r="N19" s="156" t="str">
        <f>VLOOKUP(C19,'Trips&amp;Operators'!$C$1:$G$99999,5,FALSE)</f>
        <v>MAGEE KENYA</v>
      </c>
      <c r="O19" s="182" t="s">
        <v>233</v>
      </c>
      <c r="P19" s="157" t="s">
        <v>842</v>
      </c>
      <c r="Q19" s="31"/>
      <c r="R19" s="100" t="str">
        <f>VLOOKUP(C19,'Train Runs'!$A$13:$AE$9976,31,0)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S19" s="103" t="str">
        <f>VLOOKUP(C19,'Train Runs'!$A$13:$AE$9976,22,0)</f>
        <v>https://search-rtdc-monitor-bjffxe2xuh6vdkpspy63sjmuny.us-east-1.es.amazonaws.com/_plugin/kibana/#/discover/Steve-Slow-Train-Analysis-(2080s-and-2083s)?_g=(refreshInterval:(display:Off,section:0,value:0),time:(from:'2016-12-07 08:59:14-700',mode:absolute,to:'2016-12-07 11:50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19" s="105" t="str">
        <f t="shared" si="1"/>
        <v>"C:\Program Files (x86)\AstroGrep\AstroGrep.exe" /spath="%USERPROFILE%\AppData\Local\Temp\OnboardLogs" /stypes="*4013*201612071*" /stext=" 17:.+((SYSTEM_STATE.+slice.+state.+changed )|(ment ac)|(multiple cpu faults)|(system.+state.+changed )|(\[timeout)|(PRM\|1\|D)|(kpr)|(kdp)|(\|lc)|(penalty))" /e /r /s</v>
      </c>
      <c r="U19" s="9" t="str">
        <f t="shared" si="2"/>
        <v>4013</v>
      </c>
      <c r="V19" s="36">
        <f t="shared" si="3"/>
        <v>42711.716863425921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{"issue":{"subject":"Wi-MAX data drop","project_id":79,"tracker_id":40,"status_id":1,"priority_id":2,"assigned_to_id":23,"start_date":"2016-12-07","description":"http://stevetu21.github.io/eaglep3/load_kml.html?kml=http://rtdc.gmaps-snips.s3.amazonaws.com/e0cb18b4-4e5e-4e0d-b9af-eb8851163b25.kml","custom_fields":[{"id":1,"name":"Subdivision","value":"EC"},{"id":4,"name":"Milepost","value":"23.165"},{"id":17,"name":"Train ID","value":"146-07"},{"id":16,"name":"Locomotive ID","value":"4013"},{"id":130,"name":"Impact","value":"Enforcement"},{"id":150,"name":"Time of Event (Mountain Time)","value":"10:12:17"},{"id":151,"name":"Denver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9" s="53" t="s">
        <v>852</v>
      </c>
      <c r="AA19" s="53" t="s">
        <v>125</v>
      </c>
      <c r="AB19" s="53" t="s">
        <v>138</v>
      </c>
      <c r="AC19" s="138" t="str">
        <f t="shared" si="7"/>
        <v>grep -hSE -A100 "Enforcement Action" "%USERPROFILE%\AppData\Local\Temp\OnboardLogs"\RTDC4013\*4013*201612071*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"%USERPROFILE%\AppData\Local\Temp\OnboardLogs"\RTDC4013\*4013*201612071* &gt;&gt; 42711-slicedisagreementcheck.txt</v>
      </c>
    </row>
    <row r="20" spans="1:30" s="1" customFormat="1" x14ac:dyDescent="0.25">
      <c r="A20" s="36">
        <v>42711.292997685188</v>
      </c>
      <c r="B20" s="31" t="s">
        <v>333</v>
      </c>
      <c r="C20" s="31" t="s">
        <v>456</v>
      </c>
      <c r="D20" s="31" t="s">
        <v>98</v>
      </c>
      <c r="E20" s="31" t="s">
        <v>364</v>
      </c>
      <c r="F20" s="47">
        <v>150</v>
      </c>
      <c r="G20" s="47">
        <v>211</v>
      </c>
      <c r="H20" s="47">
        <v>26762</v>
      </c>
      <c r="I20" s="47">
        <v>26182</v>
      </c>
      <c r="J20" s="31" t="s">
        <v>282</v>
      </c>
      <c r="K20" s="47">
        <v>27399</v>
      </c>
      <c r="L20" s="154" t="s">
        <v>51</v>
      </c>
      <c r="M20" s="155">
        <f t="shared" si="0"/>
        <v>-642.57600000000002</v>
      </c>
      <c r="N20" s="156" t="str">
        <f>VLOOKUP(C20,'Trips&amp;Operators'!$C$1:$G$99999,5,FALSE)</f>
        <v>DAVIDSON DAVID</v>
      </c>
      <c r="O20" s="182" t="s">
        <v>196</v>
      </c>
      <c r="P20" s="157"/>
      <c r="Q20" s="31"/>
      <c r="R20" s="100" t="str">
        <f>VLOOKUP(C20,'Train Runs'!$A$13:$AE$9976,31,0)</f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S20" s="103" t="str">
        <f>VLOOKUP(C20,'Train Runs'!$A$13:$AE$9976,22,0)</f>
        <v>https://search-rtdc-monitor-bjffxe2xuh6vdkpspy63sjmuny.us-east-1.es.amazonaws.com/_plugin/kibana/#/discover/Steve-Slow-Train-Analysis-(2080s-and-2083s)?_g=(refreshInterval:(display:Off,section:0,value:0),time:(from:'2016-12-07 05:21:48-700',mode:absolute,to:'2016-12-07 08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0" s="105" t="str">
        <f t="shared" si="1"/>
        <v>"C:\Program Files (x86)\AstroGrep\AstroGrep.exe" /spath="%USERPROFILE%\AppData\Local\Temp\OnboardLogs" /stypes="*4015*201612071*" /stext=" 14:.+((SYSTEM_STATE.+slice.+state.+changed )|(ment ac)|(multiple cpu faults)|(system.+state.+changed )|(\[timeout)|(PRM\|1\|D)|(kpr)|(kdp)|(\|lc)|(penalty))" /e /r /s</v>
      </c>
      <c r="U20" s="9" t="str">
        <f t="shared" si="2"/>
        <v>4015</v>
      </c>
      <c r="V20" s="36">
        <f t="shared" si="3"/>
        <v>42711.584664351853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{"issue":{"subject":"","project_id":79,"tracker_id":40,"status_id":1,"priority_id":2,"assigned_to_id":23,"start_date":"2016-12-07","description":"","custom_fields":[{"id":1,"name":"Subdivision","value":"EC"},{"id":4,"name":"Milepost","value":"2.7399"},{"id":17,"name":"Train ID","value":"116-07"},{"id":16,"name":"Locomotive ID","value":"4015"},{"id":130,"name":"Impact","value":""},{"id":150,"name":"Time of Event (Mountain Time)","value":"07:01:55"},{"id":151,"name":"Denver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"%USERPROFILE%\AppData\Local\Temp\OnboardLogs"\RTDC4015\*4015*201612071*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"%USERPROFILE%\AppData\Local\Temp\OnboardLogs"\RTDC4015\*4015*201612071* &gt;&gt; 42711-slicedisagreementcheck.txt</v>
      </c>
    </row>
    <row r="21" spans="1:30" x14ac:dyDescent="0.25">
      <c r="A21" s="36">
        <v>42711.29891203704</v>
      </c>
      <c r="B21" s="31" t="s">
        <v>333</v>
      </c>
      <c r="C21" s="31" t="s">
        <v>456</v>
      </c>
      <c r="D21" s="31" t="s">
        <v>49</v>
      </c>
      <c r="E21" s="31" t="s">
        <v>201</v>
      </c>
      <c r="F21" s="47">
        <v>0</v>
      </c>
      <c r="G21" s="47">
        <v>36</v>
      </c>
      <c r="H21" s="47">
        <v>129</v>
      </c>
      <c r="I21" s="47">
        <v>98</v>
      </c>
      <c r="J21" s="31" t="s">
        <v>202</v>
      </c>
      <c r="K21" s="47">
        <v>1</v>
      </c>
      <c r="L21" s="154" t="s">
        <v>51</v>
      </c>
      <c r="M21" s="155">
        <f t="shared" si="0"/>
        <v>51.216000000000001</v>
      </c>
      <c r="N21" s="156" t="str">
        <f>VLOOKUP(C21,'Trips&amp;Operators'!$C$1:$G$99999,5,FALSE)</f>
        <v>DAVIDSON DAVID</v>
      </c>
      <c r="O21" s="182" t="s">
        <v>196</v>
      </c>
      <c r="P21" s="157"/>
      <c r="Q21" s="31"/>
      <c r="R21" s="100" t="str">
        <f>VLOOKUP(C21,'Train Runs'!$A$13:$AE$9976,31,0)</f>
        <v>aws s3 cp s3://rtdc.mdm.uploadarchive.raw/RTDC4015/ "%USERPROFILE%\AppData\Local\Temp\OnboardLogs"\RTDC4015\2016-12-07 --exclude "*" --recursive --include "*20161207*" &amp; "%USERPROFILE%\Documents\GitHub\mrs-test-scripts\Headless Mode &amp; Sideloading\WalkAndUnGZ.bat" "%USERPROFILE%\AppData\Local\Temp\OnboardLogs"\RTDC4015\2016-12-07 &amp; aws s3 cp s3://rtdc.mdm.uploadarchive.raw/RTDC4015/ "%USERPROFILE%\AppData\Local\Temp\OnboardLogs"\RTDC4015\2016-12-08 --exclude "*" --recursive --include "*20161208*" &amp; "%USERPROFILE%\Documents\GitHub\mrs-test-scripts\Headless Mode &amp; Sideloading\WalkAndUnGZ.bat" "%USERPROFILE%\AppData\Local\Temp\OnboardLogs"\RTDC4015\2016-12-08</v>
      </c>
      <c r="S21" s="103" t="str">
        <f>VLOOKUP(C21,'Train Runs'!$A$13:$AE$9976,22,0)</f>
        <v>https://search-rtdc-monitor-bjffxe2xuh6vdkpspy63sjmuny.us-east-1.es.amazonaws.com/_plugin/kibana/#/discover/Steve-Slow-Train-Analysis-(2080s-and-2083s)?_g=(refreshInterval:(display:Off,section:0,value:0),time:(from:'2016-12-07 05:21:48-700',mode:absolute,to:'2016-12-07 08:10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21" s="105" t="str">
        <f t="shared" si="1"/>
        <v>"C:\Program Files (x86)\AstroGrep\AstroGrep.exe" /spath="%USERPROFILE%\AppData\Local\Temp\OnboardLogs" /stypes="*4015*201612071*" /stext=" 14:.+((SYSTEM_STATE.+slice.+state.+changed )|(ment ac)|(multiple cpu faults)|(system.+state.+changed )|(\[timeout)|(PRM\|1\|D)|(kpr)|(kdp)|(\|lc)|(penalty))" /e /r /s</v>
      </c>
      <c r="U21" s="9" t="str">
        <f t="shared" si="2"/>
        <v>4015</v>
      </c>
      <c r="V21" s="36">
        <f t="shared" si="3"/>
        <v>42711.590578703705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{"issue":{"subject":"","project_id":79,"tracker_id":40,"status_id":1,"priority_id":2,"assigned_to_id":23,"start_date":"2016-12-07","description":"","custom_fields":[{"id":1,"name":"Subdivision","value":"EC"},{"id":4,"name":"Milepost","value":"0.0001"},{"id":17,"name":"Train ID","value":"116-07"},{"id":16,"name":"Locomotive ID","value":"4015"},{"id":130,"name":"Impact","value":""},{"id":150,"name":"Time of Event (Mountain Time)","value":"07:10:26"},{"id":151,"name":"Denver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"%USERPROFILE%\AppData\Local\Temp\OnboardLogs"\RTDC4015\*4015*201612071*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"%USERPROFILE%\AppData\Local\Temp\OnboardLogs"\RTDC4015\*4015*201612071* &gt;&gt; 42711-slicedisagreementcheck.txt</v>
      </c>
    </row>
    <row r="22" spans="1:30" x14ac:dyDescent="0.25">
      <c r="A22" s="36">
        <v>42711.472916666666</v>
      </c>
      <c r="B22" s="31" t="s">
        <v>250</v>
      </c>
      <c r="C22" s="31" t="s">
        <v>460</v>
      </c>
      <c r="D22" s="31" t="s">
        <v>49</v>
      </c>
      <c r="E22" s="31" t="s">
        <v>201</v>
      </c>
      <c r="F22" s="47">
        <v>0</v>
      </c>
      <c r="G22" s="47">
        <v>50</v>
      </c>
      <c r="H22" s="47">
        <v>172</v>
      </c>
      <c r="I22" s="47">
        <v>134</v>
      </c>
      <c r="J22" s="31" t="s">
        <v>202</v>
      </c>
      <c r="K22" s="47">
        <v>1</v>
      </c>
      <c r="L22" s="154" t="s">
        <v>51</v>
      </c>
      <c r="M22" s="155">
        <f t="shared" si="0"/>
        <v>70.224000000000004</v>
      </c>
      <c r="N22" s="156" t="str">
        <f>VLOOKUP(C22,'Trips&amp;Operators'!$C$1:$G$99999,5,FALSE)</f>
        <v>MAHAN DUANE</v>
      </c>
      <c r="O22" s="182" t="s">
        <v>196</v>
      </c>
      <c r="P22" s="157"/>
      <c r="Q22" s="31"/>
      <c r="R22" s="100" t="str">
        <f>VLOOKUP(C22,'Train Runs'!$A$13:$AE$9976,31,0)</f>
        <v>aws s3 cp s3://rtdc.mdm.uploadarchive.raw/RTDC4010/ "%USERPROFILE%\AppData\Local\Temp\OnboardLogs"\RTDC4010\2016-12-07 --exclude "*" --recursive --include "*20161207*" &amp; "%USERPROFILE%\Documents\GitHub\mrs-test-scripts\Headless Mode &amp; Sideloading\WalkAndUnGZ.bat" "%USERPROFILE%\AppData\Local\Temp\OnboardLogs"\RTDC4010\2016-12-07 &amp; aws s3 cp s3://rtdc.mdm.uploadarchive.raw/RTDC4010/ "%USERPROFILE%\AppData\Local\Temp\OnboardLogs"\RTDC4010\2016-12-08 --exclude "*" --recursive --include "*20161208*" &amp; "%USERPROFILE%\Documents\GitHub\mrs-test-scripts\Headless Mode &amp; Sideloading\WalkAndUnGZ.bat" "%USERPROFILE%\AppData\Local\Temp\OnboardLogs"\RTDC4010\2016-12-08</v>
      </c>
      <c r="S22" s="103" t="str">
        <f>VLOOKUP(C22,'Train Runs'!$A$13:$AE$9976,22,0)</f>
        <v>https://search-rtdc-monitor-bjffxe2xuh6vdkpspy63sjmuny.us-east-1.es.amazonaws.com/_plugin/kibana/#/discover/Steve-Slow-Train-Analysis-(2080s-and-2083s)?_g=(refreshInterval:(display:Off,section:0,value:0),time:(from:'2016-12-07 09:32:40-700',mode:absolute,to:'2016-12-07 12:21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2" s="105" t="str">
        <f t="shared" si="1"/>
        <v>"C:\Program Files (x86)\AstroGrep\AstroGrep.exe" /spath="%USERPROFILE%\AppData\Local\Temp\OnboardLogs" /stypes="*4010*201612071*" /stext=" 18:.+((SYSTEM_STATE.+slice.+state.+changed )|(ment ac)|(multiple cpu faults)|(system.+state.+changed )|(\[timeout)|(PRM\|1\|D)|(kpr)|(kdp)|(\|lc)|(penalty))" /e /r /s</v>
      </c>
      <c r="U22" s="9" t="str">
        <f t="shared" si="2"/>
        <v>4010</v>
      </c>
      <c r="V22" s="36">
        <f t="shared" si="3"/>
        <v>42711.76458333333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{"issue":{"subject":"","project_id":79,"tracker_id":40,"status_id":1,"priority_id":2,"assigned_to_id":23,"start_date":"2016-12-07","description":"","custom_fields":[{"id":1,"name":"Subdivision","value":"EC"},{"id":4,"name":"Milepost","value":"0.0001"},{"id":17,"name":"Train ID","value":"150-07"},{"id":16,"name":"Locomotive ID","value":"4010"},{"id":130,"name":"Impact","value":""},{"id":150,"name":"Time of Event (Mountain Time)","value":"11:21:00"},{"id":151,"name":"Denver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"%USERPROFILE%\AppData\Local\Temp\OnboardLogs"\RTDC4010\*4010*201612071*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"%USERPROFILE%\AppData\Local\Temp\OnboardLogs"\RTDC4010\*4010*201612071* &gt;&gt; 42711-slicedisagreementcheck.txt</v>
      </c>
    </row>
    <row r="23" spans="1:30" x14ac:dyDescent="0.25">
      <c r="A23" s="36">
        <v>42711.524386574078</v>
      </c>
      <c r="B23" s="31" t="s">
        <v>231</v>
      </c>
      <c r="C23" s="31" t="s">
        <v>461</v>
      </c>
      <c r="D23" s="31" t="s">
        <v>49</v>
      </c>
      <c r="E23" s="31" t="s">
        <v>201</v>
      </c>
      <c r="F23" s="47">
        <v>0</v>
      </c>
      <c r="G23" s="47">
        <v>48</v>
      </c>
      <c r="H23" s="47">
        <v>176</v>
      </c>
      <c r="I23" s="47">
        <v>132</v>
      </c>
      <c r="J23" s="31" t="s">
        <v>202</v>
      </c>
      <c r="K23" s="47">
        <v>1</v>
      </c>
      <c r="L23" s="154" t="s">
        <v>51</v>
      </c>
      <c r="M23" s="155">
        <f t="shared" si="0"/>
        <v>69.168000000000006</v>
      </c>
      <c r="N23" s="156" t="str">
        <f>VLOOKUP(C23,'Trips&amp;Operators'!$C$1:$G$99999,5,FALSE)</f>
        <v>BONDS REYNALDO</v>
      </c>
      <c r="O23" s="182" t="s">
        <v>196</v>
      </c>
      <c r="P23" s="157"/>
      <c r="Q23" s="31"/>
      <c r="R23" s="100" t="str">
        <f>VLOOKUP(C23,'Train Runs'!$A$13:$AE$9976,31,0)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S23" s="103" t="str">
        <f>VLOOKUP(C23,'Train Runs'!$A$13:$AE$9976,22,0)</f>
        <v>https://search-rtdc-monitor-bjffxe2xuh6vdkpspy63sjmuny.us-east-1.es.amazonaws.com/_plugin/kibana/#/discover/Steve-Slow-Train-Analysis-(2080s-and-2083s)?_g=(refreshInterval:(display:Off,section:0,value:0),time:(from:'2016-12-07 10:44:35-700',mode:absolute,to:'2016-12-07 13:35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3" s="105" t="str">
        <f t="shared" si="1"/>
        <v>"C:\Program Files (x86)\AstroGrep\AstroGrep.exe" /spath="%USERPROFILE%\AppData\Local\Temp\OnboardLogs" /stypes="*4013*201612071*" /stext=" 19:.+((SYSTEM_STATE.+slice.+state.+changed )|(ment ac)|(multiple cpu faults)|(system.+state.+changed )|(\[timeout)|(PRM\|1\|D)|(kpr)|(kdp)|(\|lc)|(penalty))" /e /r /s</v>
      </c>
      <c r="U23" s="9" t="str">
        <f t="shared" si="2"/>
        <v>4013</v>
      </c>
      <c r="V23" s="36">
        <f t="shared" si="3"/>
        <v>42711.816053240742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{"issue":{"subject":"","project_id":79,"tracker_id":40,"status_id":1,"priority_id":2,"assigned_to_id":23,"start_date":"2016-12-07","description":"","custom_fields":[{"id":1,"name":"Subdivision","value":"EC"},{"id":4,"name":"Milepost","value":"0.0001"},{"id":17,"name":"Train ID","value":"160-07"},{"id":16,"name":"Locomotive ID","value":"4013"},{"id":130,"name":"Impact","value":""},{"id":150,"name":"Time of Event (Mountain Time)","value":"12:35:07"},{"id":151,"name":"Denver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"%USERPROFILE%\AppData\Local\Temp\OnboardLogs"\RTDC4013\*4013*201612071*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"%USERPROFILE%\AppData\Local\Temp\OnboardLogs"\RTDC4013\*4013*201612071* &gt;&gt; 42711-slicedisagreementcheck.txt</v>
      </c>
    </row>
    <row r="24" spans="1:30" ht="15" customHeight="1" x14ac:dyDescent="0.25">
      <c r="A24" s="36">
        <v>42711.629710648151</v>
      </c>
      <c r="B24" s="31" t="s">
        <v>299</v>
      </c>
      <c r="C24" s="31" t="s">
        <v>464</v>
      </c>
      <c r="D24" s="31" t="s">
        <v>49</v>
      </c>
      <c r="E24" s="31" t="s">
        <v>201</v>
      </c>
      <c r="F24" s="47">
        <v>0</v>
      </c>
      <c r="G24" s="47">
        <v>66</v>
      </c>
      <c r="H24" s="47">
        <v>207</v>
      </c>
      <c r="I24" s="47">
        <v>152</v>
      </c>
      <c r="J24" s="31" t="s">
        <v>202</v>
      </c>
      <c r="K24" s="47">
        <v>1</v>
      </c>
      <c r="L24" s="154" t="s">
        <v>51</v>
      </c>
      <c r="M24" s="155">
        <f t="shared" si="0"/>
        <v>79.727999999999994</v>
      </c>
      <c r="N24" s="156" t="str">
        <f>VLOOKUP(C24,'Trips&amp;Operators'!$C$1:$G$99999,5,FALSE)</f>
        <v>ADANE ELSHADAY</v>
      </c>
      <c r="O24" s="182" t="s">
        <v>196</v>
      </c>
      <c r="P24" s="157"/>
      <c r="Q24" s="31"/>
      <c r="R24" s="100" t="str">
        <f>VLOOKUP(C24,'Train Runs'!$A$13:$AE$9976,31,0)</f>
        <v>aws s3 cp s3://rtdc.mdm.uploadarchive.raw/RTDC4019/ "%USERPROFILE%\AppData\Local\Temp\OnboardLogs"\RTDC4019\2016-12-07 --exclude "*" --recursive --include "*20161207*" &amp; "%USERPROFILE%\Documents\GitHub\mrs-test-scripts\Headless Mode &amp; Sideloading\WalkAndUnGZ.bat" "%USERPROFILE%\AppData\Local\Temp\OnboardLogs"\RTDC4019\2016-12-07 &amp; aws s3 cp s3://rtdc.mdm.uploadarchive.raw/RTDC4019/ "%USERPROFILE%\AppData\Local\Temp\OnboardLogs"\RTDC4019\2016-12-08 --exclude "*" --recursive --include "*20161208*" &amp; "%USERPROFILE%\Documents\GitHub\mrs-test-scripts\Headless Mode &amp; Sideloading\WalkAndUnGZ.bat" "%USERPROFILE%\AppData\Local\Temp\OnboardLogs"\RTDC4019\2016-12-08</v>
      </c>
      <c r="S24" s="103" t="str">
        <f>VLOOKUP(C24,'Train Runs'!$A$13:$AE$9976,22,0)</f>
        <v>https://search-rtdc-monitor-bjffxe2xuh6vdkpspy63sjmuny.us-east-1.es.amazonaws.com/_plugin/kibana/#/discover/Steve-Slow-Train-Analysis-(2080s-and-2083s)?_g=(refreshInterval:(display:Off,section:0,value:0),time:(from:'2016-12-07 13:08:47-700',mode:absolute,to:'2016-12-07 16:06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4019%22')),sort:!(Time,asc))</v>
      </c>
      <c r="T24" s="105" t="str">
        <f t="shared" si="1"/>
        <v>"C:\Program Files (x86)\AstroGrep\AstroGrep.exe" /spath="%USERPROFILE%\AppData\Local\Temp\OnboardLogs" /stypes="*4019*201612072*" /stext=" 22:.+((SYSTEM_STATE.+slice.+state.+changed )|(ment ac)|(multiple cpu faults)|(system.+state.+changed )|(\[timeout)|(PRM\|1\|D)|(kpr)|(kdp)|(\|lc)|(penalty))" /e /r /s</v>
      </c>
      <c r="U24" s="9" t="str">
        <f t="shared" si="2"/>
        <v>4019</v>
      </c>
      <c r="V24" s="36">
        <f t="shared" si="3"/>
        <v>42711.921377314815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{"issue":{"subject":"","project_id":79,"tracker_id":40,"status_id":1,"priority_id":2,"assigned_to_id":23,"start_date":"2016-12-07","description":"","custom_fields":[{"id":1,"name":"Subdivision","value":"EC"},{"id":4,"name":"Milepost","value":"0.0001"},{"id":17,"name":"Train ID","value":"180-07"},{"id":16,"name":"Locomotive ID","value":"4019"},{"id":130,"name":"Impact","value":""},{"id":150,"name":"Time of Event (Mountain Time)","value":"15:06:47"},{"id":151,"name":"Denver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"%USERPROFILE%\AppData\Local\Temp\OnboardLogs"\RTDC4019\*4019*201612072*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"%USERPROFILE%\AppData\Local\Temp\OnboardLogs"\RTDC4019\*4019*201612072* &gt;&gt; 42711-slicedisagreementcheck.txt</v>
      </c>
    </row>
    <row r="25" spans="1:30" x14ac:dyDescent="0.25">
      <c r="A25" s="36">
        <v>42711.744432870371</v>
      </c>
      <c r="B25" s="31" t="s">
        <v>231</v>
      </c>
      <c r="C25" s="31" t="s">
        <v>468</v>
      </c>
      <c r="D25" s="31" t="s">
        <v>49</v>
      </c>
      <c r="E25" s="31" t="s">
        <v>201</v>
      </c>
      <c r="F25" s="47">
        <v>0</v>
      </c>
      <c r="G25" s="47">
        <v>38</v>
      </c>
      <c r="H25" s="47">
        <v>136</v>
      </c>
      <c r="I25" s="47">
        <v>112</v>
      </c>
      <c r="J25" s="31" t="s">
        <v>202</v>
      </c>
      <c r="K25" s="47">
        <v>1</v>
      </c>
      <c r="L25" s="154" t="s">
        <v>51</v>
      </c>
      <c r="M25" s="155">
        <f t="shared" si="0"/>
        <v>58.607999999999997</v>
      </c>
      <c r="N25" s="156" t="str">
        <f>VLOOKUP(C25,'Trips&amp;Operators'!$C$1:$G$99999,5,FALSE)</f>
        <v>BONDS REYNALDO</v>
      </c>
      <c r="O25" s="182" t="s">
        <v>196</v>
      </c>
      <c r="P25" s="157"/>
      <c r="Q25" s="31"/>
      <c r="R25" s="100" t="str">
        <f>VLOOKUP(C25,'Train Runs'!$A$13:$AE$9976,31,0)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S25" s="103" t="str">
        <f>VLOOKUP(C25,'Train Runs'!$A$13:$AE$9976,22,0)</f>
        <v>https://search-rtdc-monitor-bjffxe2xuh6vdkpspy63sjmuny.us-east-1.es.amazonaws.com/_plugin/kibana/#/discover/Steve-Slow-Train-Analysis-(2080s-and-2083s)?_g=(refreshInterval:(display:Off,section:0,value:0),time:(from:'2016-12-07 15:55:14-700',mode:absolute,to:'2016-12-07 18:52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5" s="105" t="str">
        <f t="shared" si="1"/>
        <v>"C:\Program Files (x86)\AstroGrep\AstroGrep.exe" /spath="%USERPROFILE%\AppData\Local\Temp\OnboardLogs" /stypes="*4013*201612080*" /stext=" 00:.+((SYSTEM_STATE.+slice.+state.+changed )|(ment ac)|(multiple cpu faults)|(system.+state.+changed )|(\[timeout)|(PRM\|1\|D)|(kpr)|(kdp)|(\|lc)|(penalty))" /e /r /s</v>
      </c>
      <c r="U25" s="9" t="str">
        <f t="shared" si="2"/>
        <v>4013</v>
      </c>
      <c r="V25" s="36">
        <f t="shared" si="3"/>
        <v>42712.036099537036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{"issue":{"subject":"","project_id":79,"tracker_id":40,"status_id":1,"priority_id":2,"assigned_to_id":23,"start_date":"2016-12-07","description":"","custom_fields":[{"id":1,"name":"Subdivision","value":"EC"},{"id":4,"name":"Milepost","value":"0.0001"},{"id":17,"name":"Train ID","value":"202-07"},{"id":16,"name":"Locomotive ID","value":"4013"},{"id":130,"name":"Impact","value":""},{"id":150,"name":"Time of Event (Mountain Time)","value":"17:51:59"},{"id":151,"name":"Denver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"%USERPROFILE%\AppData\Local\Temp\OnboardLogs"\RTDC4013\*4013*201612080*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"%USERPROFILE%\AppData\Local\Temp\OnboardLogs"\RTDC4013\*4013*201612080* &gt;&gt; 42711-slicedisagreementcheck.txt</v>
      </c>
    </row>
    <row r="26" spans="1:30" x14ac:dyDescent="0.25">
      <c r="A26" s="36">
        <v>42711.819398148145</v>
      </c>
      <c r="B26" s="31" t="s">
        <v>231</v>
      </c>
      <c r="C26" s="31" t="s">
        <v>473</v>
      </c>
      <c r="D26" s="31" t="s">
        <v>49</v>
      </c>
      <c r="E26" s="31" t="s">
        <v>201</v>
      </c>
      <c r="F26" s="47">
        <v>0</v>
      </c>
      <c r="G26" s="47">
        <v>57</v>
      </c>
      <c r="H26" s="47">
        <v>198</v>
      </c>
      <c r="I26" s="47">
        <v>114</v>
      </c>
      <c r="J26" s="31" t="s">
        <v>202</v>
      </c>
      <c r="K26" s="47">
        <v>1</v>
      </c>
      <c r="L26" s="154" t="s">
        <v>51</v>
      </c>
      <c r="M26" s="155">
        <f t="shared" si="0"/>
        <v>59.664000000000001</v>
      </c>
      <c r="N26" s="156" t="str">
        <f>VLOOKUP(C26,'Trips&amp;Operators'!$C$1:$G$99999,5,FALSE)</f>
        <v>STORY SAMANTHA</v>
      </c>
      <c r="O26" s="182" t="s">
        <v>233</v>
      </c>
      <c r="P26" s="157" t="s">
        <v>446</v>
      </c>
      <c r="Q26" s="31"/>
      <c r="R26" s="100" t="str">
        <f>VLOOKUP(C26,'Train Runs'!$A$13:$AE$9976,31,0)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S26" s="103" t="str">
        <f>VLOOKUP(C26,'Train Runs'!$A$13:$AE$9976,22,0)</f>
        <v>https://search-rtdc-monitor-bjffxe2xuh6vdkpspy63sjmuny.us-east-1.es.amazonaws.com/_plugin/kibana/#/discover/Steve-Slow-Train-Analysis-(2080s-and-2083s)?_g=(refreshInterval:(display:Off,section:0,value:0),time:(from:'2016-12-07 17:52:40-700',mode:absolute,to:'2016-12-07 20:39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26" s="105" t="str">
        <f t="shared" si="1"/>
        <v>"C:\Program Files (x86)\AstroGrep\AstroGrep.exe" /spath="%USERPROFILE%\AppData\Local\Temp\OnboardLogs" /stypes="*4013*201612080*" /stext=" 02:.+((SYSTEM_STATE.+slice.+state.+changed )|(ment ac)|(multiple cpu faults)|(system.+state.+changed )|(\[timeout)|(PRM\|1\|D)|(kpr)|(kdp)|(\|lc)|(penalty))" /e /r /s</v>
      </c>
      <c r="U26" s="9" t="str">
        <f t="shared" si="2"/>
        <v>4013</v>
      </c>
      <c r="V26" s="36">
        <f t="shared" si="3"/>
        <v>42712.11106481481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{"issue":{"subject":"Banner without braking","project_id":79,"tracker_id":40,"status_id":1,"priority_id":2,"assigned_to_id":23,"start_date":"2016-12-07","description":"","custom_fields":[{"id":1,"name":"Subdivision","value":"EC"},{"id":4,"name":"Milepost","value":"0.0001"},{"id":17,"name":"Train ID","value":"216-07"},{"id":16,"name":"Locomotive ID","value":"4013"},{"id":130,"name":"Impact","value":""},{"id":150,"name":"Time of Event (Mountain Time)","value":"19:39:56"},{"id":151,"name":"Denver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"%USERPROFILE%\AppData\Local\Temp\OnboardLogs"\RTDC4013\*4013*201612080*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"%USERPROFILE%\AppData\Local\Temp\OnboardLogs"\RTDC4013\*4013*201612080* &gt;&gt; 42711-slicedisagreementcheck.txt</v>
      </c>
    </row>
    <row r="27" spans="1:30" x14ac:dyDescent="0.25">
      <c r="A27" s="36">
        <v>42711.288877314815</v>
      </c>
      <c r="B27" s="31" t="s">
        <v>183</v>
      </c>
      <c r="C27" s="31" t="s">
        <v>455</v>
      </c>
      <c r="D27" s="31" t="s">
        <v>49</v>
      </c>
      <c r="E27" s="31" t="s">
        <v>201</v>
      </c>
      <c r="F27" s="47">
        <v>0</v>
      </c>
      <c r="G27" s="47">
        <v>43</v>
      </c>
      <c r="H27" s="47">
        <v>233332</v>
      </c>
      <c r="I27" s="47">
        <v>233361</v>
      </c>
      <c r="J27" s="31" t="s">
        <v>202</v>
      </c>
      <c r="K27" s="47">
        <v>233491</v>
      </c>
      <c r="L27" s="154" t="s">
        <v>50</v>
      </c>
      <c r="M27" s="155">
        <f t="shared" si="0"/>
        <v>68.64</v>
      </c>
      <c r="N27" s="156" t="str">
        <f>VLOOKUP(C27,'Trips&amp;Operators'!$C$1:$G$99999,5,FALSE)</f>
        <v>MAHAN DUANE</v>
      </c>
      <c r="O27" s="182" t="s">
        <v>196</v>
      </c>
      <c r="P27" s="157"/>
      <c r="Q27" s="31"/>
      <c r="R27" s="100" t="str">
        <f>VLOOKUP(C27,'Train Runs'!$A$13:$AE$9976,31,0)</f>
        <v>aws s3 cp s3://rtdc.mdm.uploadarchive.raw/RTDC4009/ "%USERPROFILE%\AppData\Local\Temp\OnboardLogs"\RTDC4009\2016-12-07 --exclude "*" --recursive --include "*20161207*" &amp; "%USERPROFILE%\Documents\GitHub\mrs-test-scripts\Headless Mode &amp; Sideloading\WalkAndUnGZ.bat" "%USERPROFILE%\AppData\Local\Temp\OnboardLogs"\RTDC4009\2016-12-07 &amp; aws s3 cp s3://rtdc.mdm.uploadarchive.raw/RTDC4009/ "%USERPROFILE%\AppData\Local\Temp\OnboardLogs"\RTDC4009\2016-12-08 --exclude "*" --recursive --include "*20161208*" &amp; "%USERPROFILE%\Documents\GitHub\mrs-test-scripts\Headless Mode &amp; Sideloading\WalkAndUnGZ.bat" "%USERPROFILE%\AppData\Local\Temp\OnboardLogs"\RTDC4009\2016-12-08</v>
      </c>
      <c r="S27" s="103" t="str">
        <f>VLOOKUP(C27,'Train Runs'!$A$13:$AE$9976,22,0)</f>
        <v>https://search-rtdc-monitor-bjffxe2xuh6vdkpspy63sjmuny.us-east-1.es.amazonaws.com/_plugin/kibana/#/discover/Steve-Slow-Train-Analysis-(2080s-and-2083s)?_g=(refreshInterval:(display:Off,section:0,value:0),time:(from:'2016-12-07 05:09:16-700',mode:absolute,to:'2016-12-07 07:55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T27" s="105" t="str">
        <f t="shared" si="1"/>
        <v>"C:\Program Files (x86)\AstroGrep\AstroGrep.exe" /spath="%USERPROFILE%\AppData\Local\Temp\OnboardLogs" /stypes="*4009*201612071*" /stext=" 13:.+((SYSTEM_STATE.+slice.+state.+changed )|(ment ac)|(multiple cpu faults)|(system.+state.+changed )|(\[timeout)|(PRM\|1\|D)|(kpr)|(kdp)|(\|lc)|(penalty))" /e /r /s</v>
      </c>
      <c r="U27" s="9" t="str">
        <f t="shared" si="2"/>
        <v>4009</v>
      </c>
      <c r="V27" s="36">
        <f t="shared" si="3"/>
        <v>42711.580543981479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{"issue":{"subject":"","project_id":79,"tracker_id":40,"status_id":1,"priority_id":2,"assigned_to_id":23,"start_date":"2016-12-07","description":"","custom_fields":[{"id":1,"name":"Subdivision","value":"EC"},{"id":4,"name":"Milepost","value":"23.3491"},{"id":17,"name":"Train ID","value":"121-07"},{"id":16,"name":"Locomotive ID","value":"4009"},{"id":130,"name":"Impact","value":""},{"id":150,"name":"Time of Event (Mountain Time)","value":"06:55:59"},{"id":151,"name":"Denver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"%USERPROFILE%\AppData\Local\Temp\OnboardLogs"\RTDC4009\*4009*201612071*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"%USERPROFILE%\AppData\Local\Temp\OnboardLogs"\RTDC4009\*4009*201612071* &gt;&gt; 42711-slicedisagreementcheck.txt</v>
      </c>
    </row>
    <row r="28" spans="1:30" x14ac:dyDescent="0.25">
      <c r="A28" s="36">
        <v>42711.288078703707</v>
      </c>
      <c r="B28" s="31" t="s">
        <v>206</v>
      </c>
      <c r="C28" s="31" t="s">
        <v>454</v>
      </c>
      <c r="D28" s="31" t="s">
        <v>49</v>
      </c>
      <c r="E28" s="31" t="s">
        <v>281</v>
      </c>
      <c r="F28" s="47">
        <v>90</v>
      </c>
      <c r="G28" s="47">
        <v>188</v>
      </c>
      <c r="H28" s="47">
        <v>9840</v>
      </c>
      <c r="I28" s="47">
        <v>10156</v>
      </c>
      <c r="J28" s="31" t="s">
        <v>282</v>
      </c>
      <c r="K28" s="47">
        <v>10716</v>
      </c>
      <c r="L28" s="154" t="s">
        <v>50</v>
      </c>
      <c r="M28" s="155">
        <f t="shared" si="0"/>
        <v>295.68</v>
      </c>
      <c r="N28" s="156" t="str">
        <f>VLOOKUP(C28,'Trips&amp;Operators'!$C$1:$G$99999,5,FALSE)</f>
        <v>STARKS ANGELINA</v>
      </c>
      <c r="O28" s="182" t="s">
        <v>196</v>
      </c>
      <c r="P28" s="157" t="s">
        <v>442</v>
      </c>
      <c r="Q28" s="31"/>
      <c r="R28" s="100" t="str">
        <f>VLOOKUP(C28,'Train Runs'!$A$13:$AE$9976,31,0)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S28" s="103" t="str">
        <f>VLOOKUP(C28,'Train Runs'!$A$13:$AE$9976,22,0)</f>
        <v>https://search-rtdc-monitor-bjffxe2xuh6vdkpspy63sjmuny.us-east-1.es.amazonaws.com/_plugin/kibana/#/discover/Steve-Slow-Train-Analysis-(2080s-and-2083s)?_g=(refreshInterval:(display:Off,section:0,value:0),time:(from:'2016-12-07 05:44:08-700',mode:absolute,to:'2016-12-07 08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28" s="105" t="str">
        <f t="shared" si="1"/>
        <v>"C:\Program Files (x86)\AstroGrep\AstroGrep.exe" /spath="%USERPROFILE%\AppData\Local\Temp\OnboardLogs" /stypes="*4011*201612071*" /stext=" 13:.+((SYSTEM_STATE.+slice.+state.+changed )|(ment ac)|(multiple cpu faults)|(system.+state.+changed )|(\[timeout)|(PRM\|1\|D)|(kpr)|(kdp)|(\|lc)|(penalty))" /e /r /s</v>
      </c>
      <c r="U28" s="9" t="str">
        <f t="shared" si="2"/>
        <v>4011</v>
      </c>
      <c r="V28" s="36">
        <f t="shared" si="3"/>
        <v>42711.579745370371</v>
      </c>
      <c r="W28" s="50" t="str">
        <f t="shared" si="4"/>
        <v>NW</v>
      </c>
      <c r="X28" s="50" t="str">
        <f t="shared" si="5"/>
        <v>KEEP</v>
      </c>
      <c r="Y28" s="119" t="str">
        <f t="shared" si="6"/>
        <v>echo {"issue":{"subject":"Early arrival","project_id":79,"tracker_id":40,"status_id":1,"priority_id":2,"assigned_to_id":23,"start_date":"2016-12-07","description":"","custom_fields":[{"id":1,"name":"Subdivision","value":"NW"},{"id":4,"name":"Milepost","value":"1.0716"},{"id":17,"name":"Train ID","value":"805-07"},{"id":16,"name":"Locomotive ID","value":"4011"},{"id":130,"name":"Impact","value":""},{"id":150,"name":"Time of Event (Mountain Time)","value":"06:54:50"},{"id":151,"name":"Denver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"%USERPROFILE%\AppData\Local\Temp\OnboardLogs"\RTDC4011\*4011*201612071*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"%USERPROFILE%\AppData\Local\Temp\OnboardLogs"\RTDC4011\*4011*201612071* &gt;&gt; 42711-slicedisagreementcheck.txt</v>
      </c>
    </row>
    <row r="29" spans="1:30" x14ac:dyDescent="0.25">
      <c r="A29" s="36">
        <v>42711.748773148145</v>
      </c>
      <c r="B29" s="31" t="s">
        <v>210</v>
      </c>
      <c r="C29" s="31" t="s">
        <v>469</v>
      </c>
      <c r="D29" s="31" t="s">
        <v>49</v>
      </c>
      <c r="E29" s="31" t="s">
        <v>281</v>
      </c>
      <c r="F29" s="47">
        <v>160</v>
      </c>
      <c r="G29" s="47">
        <v>407</v>
      </c>
      <c r="H29" s="47">
        <v>17017</v>
      </c>
      <c r="I29" s="47">
        <v>15673</v>
      </c>
      <c r="J29" s="31" t="s">
        <v>282</v>
      </c>
      <c r="K29" s="47">
        <v>15777</v>
      </c>
      <c r="L29" s="154" t="s">
        <v>51</v>
      </c>
      <c r="M29" s="155">
        <f t="shared" si="0"/>
        <v>-54.911999999999999</v>
      </c>
      <c r="N29" s="156" t="str">
        <f>VLOOKUP(C29,'Trips&amp;Operators'!$C$1:$G$99999,5,FALSE)</f>
        <v>MOSES BRADLEY</v>
      </c>
      <c r="O29" s="182" t="s">
        <v>233</v>
      </c>
      <c r="P29" s="157" t="s">
        <v>444</v>
      </c>
      <c r="Q29" s="31"/>
      <c r="R29" s="100" t="str">
        <f>VLOOKUP(C29,'Train Runs'!$A$13:$AE$9976,31,0)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S29" s="103" t="str">
        <f>VLOOKUP(C29,'Train Runs'!$A$13:$AE$9976,22,0)</f>
        <v>https://search-rtdc-monitor-bjffxe2xuh6vdkpspy63sjmuny.us-east-1.es.amazonaws.com/_plugin/kibana/#/discover/Steve-Slow-Train-Analysis-(2080s-and-2083s)?_g=(refreshInterval:(display:Off,section:0,value:0),time:(from:'2016-12-07 16:39:18-700',mode:absolute,to:'2016-12-07 18:59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29" s="105" t="str">
        <f t="shared" si="1"/>
        <v>"C:\Program Files (x86)\AstroGrep\AstroGrep.exe" /spath="%USERPROFILE%\AppData\Local\Temp\OnboardLogs" /stypes="*4039*201612080*" /stext=" 00:.+((SYSTEM_STATE.+slice.+state.+changed )|(ment ac)|(multiple cpu faults)|(system.+state.+changed )|(\[timeout)|(PRM\|1\|D)|(kpr)|(kdp)|(\|lc)|(penalty))" /e /r /s</v>
      </c>
      <c r="U29" s="9" t="str">
        <f t="shared" si="2"/>
        <v>4039</v>
      </c>
      <c r="V29" s="36">
        <f t="shared" si="3"/>
        <v>42712.040439814809</v>
      </c>
      <c r="W29" s="50" t="str">
        <f t="shared" si="4"/>
        <v>NW</v>
      </c>
      <c r="X29" s="50" t="str">
        <f t="shared" si="5"/>
        <v>KEEP</v>
      </c>
      <c r="Y29" s="119" t="str">
        <f t="shared" si="6"/>
        <v>echo {"issue":{"subject":"Early arrival (41st)","project_id":79,"tracker_id":40,"status_id":1,"priority_id":2,"assigned_to_id":23,"start_date":"2016-12-07","description":"","custom_fields":[{"id":1,"name":"Subdivision","value":"NW"},{"id":4,"name":"Milepost","value":"1.5777"},{"id":17,"name":"Train ID","value":"834-07"},{"id":16,"name":"Locomotive ID","value":"4039"},{"id":130,"name":"Impact","value":""},{"id":150,"name":"Time of Event (Mountain Time)","value":"17:58:14"},{"id":151,"name":"Denver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"%USERPROFILE%\AppData\Local\Temp\OnboardLogs"\RTDC4039\*4039*201612080*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"%USERPROFILE%\AppData\Local\Temp\OnboardLogs"\RTDC4039\*4039*201612080* &gt;&gt; 42711-slicedisagreementcheck.txt</v>
      </c>
    </row>
    <row r="30" spans="1:30" ht="15" customHeight="1" x14ac:dyDescent="0.25">
      <c r="A30" s="36">
        <v>42711.438807870371</v>
      </c>
      <c r="B30" s="31" t="s">
        <v>208</v>
      </c>
      <c r="C30" s="31" t="s">
        <v>459</v>
      </c>
      <c r="D30" s="31" t="s">
        <v>49</v>
      </c>
      <c r="E30" s="31" t="s">
        <v>197</v>
      </c>
      <c r="F30" s="47">
        <v>150</v>
      </c>
      <c r="G30" s="47">
        <v>311</v>
      </c>
      <c r="H30" s="47">
        <v>56232</v>
      </c>
      <c r="I30" s="47">
        <v>56836</v>
      </c>
      <c r="J30" s="31" t="s">
        <v>198</v>
      </c>
      <c r="K30" s="47">
        <v>57008</v>
      </c>
      <c r="L30" s="154" t="s">
        <v>50</v>
      </c>
      <c r="M30" s="155">
        <f t="shared" si="0"/>
        <v>90.816000000000003</v>
      </c>
      <c r="N30" s="156" t="str">
        <f>VLOOKUP(C30,'Trips&amp;Operators'!$C$1:$G$99999,5,FALSE)</f>
        <v>GEBRETEKLE DAGNEW</v>
      </c>
      <c r="O30" s="182" t="s">
        <v>196</v>
      </c>
      <c r="P30" s="157"/>
      <c r="Q30" s="31"/>
      <c r="R30" s="100" t="str">
        <f>VLOOKUP(C30,'Train Runs'!$A$13:$AE$9976,31,0)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S30" s="103" t="str">
        <f>VLOOKUP(C30,'Train Runs'!$A$13:$AE$9976,22,0)</f>
        <v>https://search-rtdc-monitor-bjffxe2xuh6vdkpspy63sjmuny.us-east-1.es.amazonaws.com/_plugin/kibana/#/discover/Steve-Slow-Train-Analysis-(2080s-and-2083s)?_g=(refreshInterval:(display:Off,section:0,value:0),time:(from:'2016-12-07 08:56:23-700',mode:absolute,to:'2016-12-07 11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0" s="105" t="str">
        <f t="shared" si="1"/>
        <v>"C:\Program Files (x86)\AstroGrep\AstroGrep.exe" /spath="%USERPROFILE%\AppData\Local\Temp\OnboardLogs" /stypes="*4040*201612071*" /stext=" 17:.+((SYSTEM_STATE.+slice.+state.+changed )|(ment ac)|(multiple cpu faults)|(system.+state.+changed )|(\[timeout)|(PRM\|1\|D)|(kpr)|(kdp)|(\|lc)|(penalty))" /e /r /s</v>
      </c>
      <c r="U30" s="9" t="str">
        <f t="shared" si="2"/>
        <v>4040</v>
      </c>
      <c r="V30" s="36">
        <f t="shared" si="3"/>
        <v>42711.730474537035</v>
      </c>
      <c r="W30" s="50" t="str">
        <f t="shared" si="4"/>
        <v>NW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{"issue":{"subject":"","project_id":79,"tracker_id":40,"status_id":1,"priority_id":2,"assigned_to_id":23,"start_date":"2016-12-07","description":"","custom_fields":[{"id":1,"name":"Subdivision","value":"NW"},{"id":4,"name":"Milepost","value":"5.7008"},{"id":17,"name":"Train ID","value":"815-07"},{"id":16,"name":"Locomotive ID","value":"4040"},{"id":130,"name":"Impact","value":""},{"id":150,"name":"Time of Event (Mountain Time)","value":"10:31:53"},{"id":151,"name":"Denver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"%USERPROFILE%\AppData\Local\Temp\OnboardLogs"\RTDC4040\*4040*201612071*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"%USERPROFILE%\AppData\Local\Temp\OnboardLogs"\RTDC4040\*4040*201612071* &gt;&gt; 42711-slicedisagreementcheck.txt</v>
      </c>
    </row>
    <row r="31" spans="1:30" ht="15" customHeight="1" x14ac:dyDescent="0.25">
      <c r="A31" s="36">
        <v>42711.280613425923</v>
      </c>
      <c r="B31" s="31" t="s">
        <v>210</v>
      </c>
      <c r="C31" s="31" t="s">
        <v>453</v>
      </c>
      <c r="D31" s="31" t="s">
        <v>98</v>
      </c>
      <c r="E31" s="31" t="s">
        <v>197</v>
      </c>
      <c r="F31" s="47">
        <v>150</v>
      </c>
      <c r="G31" s="47">
        <v>208</v>
      </c>
      <c r="H31" s="47">
        <v>56957</v>
      </c>
      <c r="I31" s="47">
        <v>56403</v>
      </c>
      <c r="J31" s="31" t="s">
        <v>198</v>
      </c>
      <c r="K31" s="47">
        <v>59060</v>
      </c>
      <c r="L31" s="154" t="s">
        <v>51</v>
      </c>
      <c r="M31" s="155">
        <f t="shared" si="0"/>
        <v>-1402.896</v>
      </c>
      <c r="N31" s="156" t="str">
        <f>VLOOKUP(C31,'Trips&amp;Operators'!$C$1:$G$99999,5,FALSE)</f>
        <v>GEBRETEKLE DAGNEW</v>
      </c>
      <c r="O31" s="182" t="s">
        <v>196</v>
      </c>
      <c r="P31" s="157"/>
      <c r="Q31" s="31"/>
      <c r="R31" s="100" t="str">
        <f>VLOOKUP(C31,'Train Runs'!$A$13:$AE$9976,31,0)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S31" s="103" t="str">
        <f>VLOOKUP(C31,'Train Runs'!$A$13:$AE$9976,22,0)</f>
        <v>https://search-rtdc-monitor-bjffxe2xuh6vdkpspy63sjmuny.us-east-1.es.amazonaws.com/_plugin/kibana/#/discover/Steve-Slow-Train-Analysis-(2080s-and-2083s)?_g=(refreshInterval:(display:Off,section:0,value:0),time:(from:'2016-12-07 05:36:23-700',mode:absolute,to:'2016-12-07 07:56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1" s="105" t="str">
        <f t="shared" si="1"/>
        <v>"C:\Program Files (x86)\AstroGrep\AstroGrep.exe" /spath="%USERPROFILE%\AppData\Local\Temp\OnboardLogs" /stypes="*4039*201612071*" /stext=" 13:.+((SYSTEM_STATE.+slice.+state.+changed )|(ment ac)|(multiple cpu faults)|(system.+state.+changed )|(\[timeout)|(PRM\|1\|D)|(kpr)|(kdp)|(\|lc)|(penalty))" /e /r /s</v>
      </c>
      <c r="U31" s="9" t="str">
        <f t="shared" si="2"/>
        <v>4039</v>
      </c>
      <c r="V31" s="36">
        <f t="shared" si="3"/>
        <v>42711.572280092587</v>
      </c>
      <c r="W31" s="50" t="str">
        <f t="shared" si="4"/>
        <v>NW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{"issue":{"subject":"","project_id":79,"tracker_id":40,"status_id":1,"priority_id":2,"assigned_to_id":23,"start_date":"2016-12-07","description":"","custom_fields":[{"id":1,"name":"Subdivision","value":"NW"},{"id":4,"name":"Milepost","value":"5.906"},{"id":17,"name":"Train ID","value":"804-07"},{"id":16,"name":"Locomotive ID","value":"4039"},{"id":130,"name":"Impact","value":""},{"id":150,"name":"Time of Event (Mountain Time)","value":"06:44:05"},{"id":151,"name":"Denver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"%USERPROFILE%\AppData\Local\Temp\OnboardLogs"\RTDC4039\*4039*201612071*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"%USERPROFILE%\AppData\Local\Temp\OnboardLogs"\RTDC4039\*4039*201612071* &gt;&gt; 42711-slicedisagreementcheck.txt</v>
      </c>
    </row>
    <row r="32" spans="1:30" x14ac:dyDescent="0.25">
      <c r="A32" s="36">
        <v>42711.217118055552</v>
      </c>
      <c r="B32" s="31" t="s">
        <v>213</v>
      </c>
      <c r="C32" s="31" t="s">
        <v>450</v>
      </c>
      <c r="D32" s="31" t="s">
        <v>98</v>
      </c>
      <c r="E32" s="31" t="s">
        <v>199</v>
      </c>
      <c r="F32" s="47">
        <v>0</v>
      </c>
      <c r="G32" s="47">
        <v>77</v>
      </c>
      <c r="H32" s="47">
        <v>58329</v>
      </c>
      <c r="I32" s="47">
        <v>58176</v>
      </c>
      <c r="J32" s="31" t="s">
        <v>200</v>
      </c>
      <c r="K32" s="47">
        <v>58472</v>
      </c>
      <c r="L32" s="154" t="s">
        <v>51</v>
      </c>
      <c r="M32" s="155">
        <f t="shared" si="0"/>
        <v>-156.28800000000001</v>
      </c>
      <c r="N32" s="156" t="str">
        <f>VLOOKUP(C32,'Trips&amp;Operators'!$C$1:$G$99999,5,FALSE)</f>
        <v>STARKS ANGELINA</v>
      </c>
      <c r="O32" s="182" t="s">
        <v>196</v>
      </c>
      <c r="P32" s="157" t="s">
        <v>443</v>
      </c>
      <c r="Q32" s="31"/>
      <c r="R32" s="100" t="str">
        <f>VLOOKUP(C32,'Train Runs'!$A$13:$AE$9976,31,0)</f>
        <v>aws s3 cp s3://rtdc.mdm.uploadarchive.raw/RTDC4012/ "%USERPROFILE%\AppData\Local\Temp\OnboardLogs"\RTDC4012\2016-12-07 --exclude "*" --recursive --include "*20161207*" &amp; "%USERPROFILE%\Documents\GitHub\mrs-test-scripts\Headless Mode &amp; Sideloading\WalkAndUnGZ.bat" "%USERPROFILE%\AppData\Local\Temp\OnboardLogs"\RTDC4012\2016-12-07 &amp; aws s3 cp s3://rtdc.mdm.uploadarchive.raw/RTDC4012/ "%USERPROFILE%\AppData\Local\Temp\OnboardLogs"\RTDC4012\2016-12-08 --exclude "*" --recursive --include "*20161208*" &amp; "%USERPROFILE%\Documents\GitHub\mrs-test-scripts\Headless Mode &amp; Sideloading\WalkAndUnGZ.bat" "%USERPROFILE%\AppData\Local\Temp\OnboardLogs"\RTDC4012\2016-12-08</v>
      </c>
      <c r="S32" s="103" t="str">
        <f>VLOOKUP(C32,'Train Runs'!$A$13:$AE$9976,22,0)</f>
        <v>https://search-rtdc-monitor-bjffxe2xuh6vdkpspy63sjmuny.us-east-1.es.amazonaws.com/_plugin/kibana/#/discover/Steve-Slow-Train-Analysis-(2080s-and-2083s)?_g=(refreshInterval:(display:Off,section:0,value:0),time:(from:'2016-12-07 04:08:14-700',mode:absolute,to:'2016-12-07 06:13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2" s="105" t="str">
        <f t="shared" si="1"/>
        <v>"C:\Program Files (x86)\AstroGrep\AstroGrep.exe" /spath="%USERPROFILE%\AppData\Local\Temp\OnboardLogs" /stypes="*4012*201612071*" /stext=" 12:.+((SYSTEM_STATE.+slice.+state.+changed )|(ment ac)|(multiple cpu faults)|(system.+state.+changed )|(\[timeout)|(PRM\|1\|D)|(kpr)|(kdp)|(\|lc)|(penalty))" /e /r /s</v>
      </c>
      <c r="U32" s="9" t="str">
        <f t="shared" si="2"/>
        <v>4012</v>
      </c>
      <c r="V32" s="36">
        <f t="shared" si="3"/>
        <v>42711.508784722217</v>
      </c>
      <c r="W32" s="50" t="str">
        <f t="shared" si="4"/>
        <v>NW</v>
      </c>
      <c r="X32" s="50" t="str">
        <f t="shared" si="5"/>
        <v>KEEP</v>
      </c>
      <c r="Y32" s="119" t="str">
        <f t="shared" si="6"/>
        <v>echo {"issue":{"subject":"Went active too close to signal","project_id":79,"tracker_id":40,"status_id":1,"priority_id":2,"assigned_to_id":23,"start_date":"2016-12-07","description":"","custom_fields":[{"id":1,"name":"Subdivision","value":"NW"},{"id":4,"name":"Milepost","value":"5.8472"},{"id":17,"name":"Train ID","value":"800-07"},{"id":16,"name":"Locomotive ID","value":"4012"},{"id":130,"name":"Impact","value":""},{"id":150,"name":"Time of Event (Mountain Time)","value":"05:12:39"},{"id":151,"name":"Denver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"%USERPROFILE%\AppData\Local\Temp\OnboardLogs"\RTDC4012\*4012*201612071*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"%USERPROFILE%\AppData\Local\Temp\OnboardLogs"\RTDC4012\*4012*201612071* &gt;&gt; 42711-slicedisagreementcheck.txt</v>
      </c>
    </row>
    <row r="33" spans="1:30" x14ac:dyDescent="0.25">
      <c r="A33" s="36">
        <v>42711.664363425924</v>
      </c>
      <c r="B33" s="31" t="s">
        <v>210</v>
      </c>
      <c r="C33" s="31" t="s">
        <v>466</v>
      </c>
      <c r="D33" s="31" t="s">
        <v>49</v>
      </c>
      <c r="E33" s="31" t="s">
        <v>201</v>
      </c>
      <c r="F33" s="47">
        <v>0</v>
      </c>
      <c r="G33" s="47">
        <v>42</v>
      </c>
      <c r="H33" s="47">
        <v>715</v>
      </c>
      <c r="I33" s="47">
        <v>699</v>
      </c>
      <c r="J33" s="31" t="s">
        <v>202</v>
      </c>
      <c r="K33" s="47">
        <v>575</v>
      </c>
      <c r="L33" s="154" t="s">
        <v>51</v>
      </c>
      <c r="M33" s="155">
        <f t="shared" si="0"/>
        <v>65.471999999999994</v>
      </c>
      <c r="N33" s="156" t="str">
        <f>VLOOKUP(C33,'Trips&amp;Operators'!$C$1:$G$99999,5,FALSE)</f>
        <v>MOSES BRADLEY</v>
      </c>
      <c r="O33" s="182" t="s">
        <v>233</v>
      </c>
      <c r="P33" s="157" t="s">
        <v>446</v>
      </c>
      <c r="Q33" s="31"/>
      <c r="R33" s="100" t="str">
        <f>VLOOKUP(C33,'Train Runs'!$A$13:$AE$9976,31,0)</f>
        <v>aws s3 cp s3://rtdc.mdm.uploadarchive.raw/RTDC4039/ "%USERPROFILE%\AppData\Local\Temp\OnboardLogs"\RTDC4039\2016-12-07 --exclude "*" --recursive --include "*20161207*" &amp; "%USERPROFILE%\Documents\GitHub\mrs-test-scripts\Headless Mode &amp; Sideloading\WalkAndUnGZ.bat" "%USERPROFILE%\AppData\Local\Temp\OnboardLogs"\RTDC4039\2016-12-07 &amp; aws s3 cp s3://rtdc.mdm.uploadarchive.raw/RTDC4039/ "%USERPROFILE%\AppData\Local\Temp\OnboardLogs"\RTDC4039\2016-12-08 --exclude "*" --recursive --include "*20161208*" &amp; "%USERPROFILE%\Documents\GitHub\mrs-test-scripts\Headless Mode &amp; Sideloading\WalkAndUnGZ.bat" "%USERPROFILE%\AppData\Local\Temp\OnboardLogs"\RTDC4039\2016-12-08</v>
      </c>
      <c r="S33" s="103" t="str">
        <f>VLOOKUP(C33,'Train Runs'!$A$13:$AE$9976,22,0)</f>
        <v>https://search-rtdc-monitor-bjffxe2xuh6vdkpspy63sjmuny.us-east-1.es.amazonaws.com/_plugin/kibana/#/discover/Steve-Slow-Train-Analysis-(2080s-and-2083s)?_g=(refreshInterval:(display:Off,section:0,value:0),time:(from:'2016-12-07 14:38:32-700',mode:absolute,to:'2016-12-07 16:56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4039%22')),sort:!(Time,asc))</v>
      </c>
      <c r="T33" s="105" t="str">
        <f t="shared" si="1"/>
        <v>"C:\Program Files (x86)\AstroGrep\AstroGrep.exe" /spath="%USERPROFILE%\AppData\Local\Temp\OnboardLogs" /stypes="*4039*201612072*" /stext=" 22:.+((SYSTEM_STATE.+slice.+state.+changed )|(ment ac)|(multiple cpu faults)|(system.+state.+changed )|(\[timeout)|(PRM\|1\|D)|(kpr)|(kdp)|(\|lc)|(penalty))" /e /r /s</v>
      </c>
      <c r="U33" s="9" t="str">
        <f t="shared" si="2"/>
        <v>4039</v>
      </c>
      <c r="V33" s="36">
        <f t="shared" si="3"/>
        <v>42711.956030092588</v>
      </c>
      <c r="W33" s="50" t="str">
        <f t="shared" si="4"/>
        <v>NW</v>
      </c>
      <c r="X33" s="50" t="str">
        <f t="shared" si="5"/>
        <v>KEEP</v>
      </c>
      <c r="Y33" s="119" t="str">
        <f t="shared" si="6"/>
        <v>echo {"issue":{"subject":"Banner without braking","project_id":79,"tracker_id":40,"status_id":1,"priority_id":2,"assigned_to_id":23,"start_date":"2016-12-07","description":"","custom_fields":[{"id":1,"name":"Subdivision","value":"NW"},{"id":4,"name":"Milepost","value":"0.0575"},{"id":17,"name":"Train ID","value":"826-07"},{"id":16,"name":"Locomotive ID","value":"4039"},{"id":130,"name":"Impact","value":""},{"id":150,"name":"Time of Event (Mountain Time)","value":"15:56:41"},{"id":151,"name":"Denver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"%USERPROFILE%\AppData\Local\Temp\OnboardLogs"\RTDC4039\*4039*201612072*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"%USERPROFILE%\AppData\Local\Temp\OnboardLogs"\RTDC4039\*4039*201612072* &gt;&gt; 42711-slicedisagreementcheck.txt</v>
      </c>
    </row>
    <row r="34" spans="1:30" x14ac:dyDescent="0.25">
      <c r="A34" s="36">
        <v>42711.25372685185</v>
      </c>
      <c r="B34" s="31" t="s">
        <v>206</v>
      </c>
      <c r="C34" s="31" t="s">
        <v>451</v>
      </c>
      <c r="D34" s="31" t="s">
        <v>49</v>
      </c>
      <c r="E34" s="31" t="s">
        <v>201</v>
      </c>
      <c r="F34" s="47">
        <v>0</v>
      </c>
      <c r="G34" s="47">
        <v>35</v>
      </c>
      <c r="H34" s="47">
        <v>58924</v>
      </c>
      <c r="I34" s="47">
        <v>58973</v>
      </c>
      <c r="J34" s="31" t="s">
        <v>202</v>
      </c>
      <c r="K34" s="47">
        <v>59048</v>
      </c>
      <c r="L34" s="154" t="s">
        <v>50</v>
      </c>
      <c r="M34" s="155">
        <f t="shared" si="0"/>
        <v>39.6</v>
      </c>
      <c r="N34" s="156" t="str">
        <f>VLOOKUP(C34,'Trips&amp;Operators'!$C$1:$G$99999,5,FALSE)</f>
        <v>STARKS ANGELINA</v>
      </c>
      <c r="O34" s="182" t="s">
        <v>196</v>
      </c>
      <c r="P34" s="157"/>
      <c r="Q34" s="31"/>
      <c r="R34" s="100" t="str">
        <f>VLOOKUP(C34,'Train Runs'!$A$13:$AE$9976,31,0)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S34" s="103" t="str">
        <f>VLOOKUP(C34,'Train Runs'!$A$13:$AE$9976,22,0)</f>
        <v>https://search-rtdc-monitor-bjffxe2xuh6vdkpspy63sjmuny.us-east-1.es.amazonaws.com/_plugin/kibana/#/discover/Steve-Slow-Train-Analysis-(2080s-and-2083s)?_g=(refreshInterval:(display:Off,section:0,value:0),time:(from:'2016-12-07 04:47:32-700',mode:absolute,to:'2016-12-07 07:05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4" s="105" t="str">
        <f t="shared" si="1"/>
        <v>"C:\Program Files (x86)\AstroGrep\AstroGrep.exe" /spath="%USERPROFILE%\AppData\Local\Temp\OnboardLogs" /stypes="*4011*201612071*" /stext=" 13:.+((SYSTEM_STATE.+slice.+state.+changed )|(ment ac)|(multiple cpu faults)|(system.+state.+changed )|(\[timeout)|(PRM\|1\|D)|(kpr)|(kdp)|(\|lc)|(penalty))" /e /r /s</v>
      </c>
      <c r="U34" s="9" t="str">
        <f t="shared" si="2"/>
        <v>4011</v>
      </c>
      <c r="V34" s="36">
        <f t="shared" si="3"/>
        <v>42711.545393518514</v>
      </c>
      <c r="W34" s="50" t="str">
        <f t="shared" si="4"/>
        <v>NW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{"issue":{"subject":"","project_id":79,"tracker_id":40,"status_id":1,"priority_id":2,"assigned_to_id":23,"start_date":"2016-12-07","description":"","custom_fields":[{"id":1,"name":"Subdivision","value":"NW"},{"id":4,"name":"Milepost","value":"5.9048"},{"id":17,"name":"Train ID","value":"801-07"},{"id":16,"name":"Locomotive ID","value":"4011"},{"id":130,"name":"Impact","value":""},{"id":150,"name":"Time of Event (Mountain Time)","value":"06:05:22"},{"id":151,"name":"Denver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"%USERPROFILE%\AppData\Local\Temp\OnboardLogs"\RTDC4011\*4011*201612071*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"%USERPROFILE%\AppData\Local\Temp\OnboardLogs"\RTDC4011\*4011*201612071* &gt;&gt; 42711-slicedisagreementcheck.txt</v>
      </c>
    </row>
    <row r="35" spans="1:30" x14ac:dyDescent="0.25">
      <c r="A35" s="36">
        <v>42711.337106481478</v>
      </c>
      <c r="B35" s="31" t="s">
        <v>206</v>
      </c>
      <c r="C35" s="31" t="s">
        <v>457</v>
      </c>
      <c r="D35" s="31" t="s">
        <v>49</v>
      </c>
      <c r="E35" s="31" t="s">
        <v>201</v>
      </c>
      <c r="F35" s="47">
        <v>0</v>
      </c>
      <c r="G35" s="47">
        <v>20</v>
      </c>
      <c r="H35" s="47">
        <v>58988</v>
      </c>
      <c r="I35" s="47">
        <v>58993</v>
      </c>
      <c r="J35" s="31" t="s">
        <v>202</v>
      </c>
      <c r="K35" s="47">
        <v>59048</v>
      </c>
      <c r="L35" s="154" t="s">
        <v>50</v>
      </c>
      <c r="M35" s="155">
        <f t="shared" si="0"/>
        <v>29.04</v>
      </c>
      <c r="N35" s="156" t="str">
        <f>VLOOKUP(C35,'Trips&amp;Operators'!$C$1:$G$99999,5,FALSE)</f>
        <v>STARKS ANGELINA</v>
      </c>
      <c r="O35" s="182" t="s">
        <v>196</v>
      </c>
      <c r="P35" s="157"/>
      <c r="Q35" s="31"/>
      <c r="R35" s="100" t="str">
        <f>VLOOKUP(C35,'Train Runs'!$A$13:$AE$9976,31,0)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S35" s="103" t="str">
        <f>VLOOKUP(C35,'Train Runs'!$A$13:$AE$9976,22,0)</f>
        <v>https://search-rtdc-monitor-bjffxe2xuh6vdkpspy63sjmuny.us-east-1.es.amazonaws.com/_plugin/kibana/#/discover/Steve-Slow-Train-Analysis-(2080s-and-2083s)?_g=(refreshInterval:(display:Off,section:0,value:0),time:(from:'2016-12-07 06:42:38-700',mode:absolute,to:'2016-12-07 09:05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5" s="105" t="str">
        <f t="shared" si="1"/>
        <v>"C:\Program Files (x86)\AstroGrep\AstroGrep.exe" /spath="%USERPROFILE%\AppData\Local\Temp\OnboardLogs" /stypes="*4011*201612071*" /stext=" 15:.+((SYSTEM_STATE.+slice.+state.+changed )|(ment ac)|(multiple cpu faults)|(system.+state.+changed )|(\[timeout)|(PRM\|1\|D)|(kpr)|(kdp)|(\|lc)|(penalty))" /e /r /s</v>
      </c>
      <c r="U35" s="9" t="str">
        <f t="shared" si="2"/>
        <v>4011</v>
      </c>
      <c r="V35" s="36">
        <f t="shared" si="3"/>
        <v>42711.628773148142</v>
      </c>
      <c r="W35" s="50" t="str">
        <f t="shared" si="4"/>
        <v>NW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{"issue":{"subject":"","project_id":79,"tracker_id":40,"status_id":1,"priority_id":2,"assigned_to_id":23,"start_date":"2016-12-07","description":"","custom_fields":[{"id":1,"name":"Subdivision","value":"NW"},{"id":4,"name":"Milepost","value":"5.9048"},{"id":17,"name":"Train ID","value":"809-07"},{"id":16,"name":"Locomotive ID","value":"4011"},{"id":130,"name":"Impact","value":""},{"id":150,"name":"Time of Event (Mountain Time)","value":"08:05:26"},{"id":151,"name":"Denver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"%USERPROFILE%\AppData\Local\Temp\OnboardLogs"\RTDC4011\*4011*201612071*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"%USERPROFILE%\AppData\Local\Temp\OnboardLogs"\RTDC4011\*4011*201612071* &gt;&gt; 42711-slicedisagreementcheck.txt</v>
      </c>
    </row>
    <row r="36" spans="1:30" x14ac:dyDescent="0.25">
      <c r="A36" s="36">
        <v>42711.56690972222</v>
      </c>
      <c r="B36" s="31" t="s">
        <v>208</v>
      </c>
      <c r="C36" s="31" t="s">
        <v>463</v>
      </c>
      <c r="D36" s="31" t="s">
        <v>49</v>
      </c>
      <c r="E36" s="31" t="s">
        <v>201</v>
      </c>
      <c r="F36" s="47">
        <v>0</v>
      </c>
      <c r="G36" s="47">
        <v>23</v>
      </c>
      <c r="H36" s="47">
        <v>58973</v>
      </c>
      <c r="I36" s="47">
        <v>58982</v>
      </c>
      <c r="J36" s="31" t="s">
        <v>202</v>
      </c>
      <c r="K36" s="47">
        <v>59048</v>
      </c>
      <c r="L36" s="154" t="s">
        <v>50</v>
      </c>
      <c r="M36" s="155">
        <f t="shared" si="0"/>
        <v>34.847999999999999</v>
      </c>
      <c r="N36" s="156" t="str">
        <f>VLOOKUP(C36,'Trips&amp;Operators'!$C$1:$G$99999,5,FALSE)</f>
        <v>MOSES BRADLEY</v>
      </c>
      <c r="O36" s="182" t="s">
        <v>196</v>
      </c>
      <c r="P36" s="157"/>
      <c r="Q36" s="31"/>
      <c r="R36" s="100" t="str">
        <f>VLOOKUP(C36,'Train Runs'!$A$13:$AE$9976,31,0)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S36" s="103" t="str">
        <f>VLOOKUP(C36,'Train Runs'!$A$13:$AE$9976,22,0)</f>
        <v>https://search-rtdc-monitor-bjffxe2xuh6vdkpspy63sjmuny.us-east-1.es.amazonaws.com/_plugin/kibana/#/discover/Steve-Slow-Train-Analysis-(2080s-and-2083s)?_g=(refreshInterval:(display:Off,section:0,value:0),time:(from:'2016-12-07 12:10:18-700',mode:absolute,to:'2016-12-07 14:36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6" s="105" t="str">
        <f t="shared" si="1"/>
        <v>"C:\Program Files (x86)\AstroGrep\AstroGrep.exe" /spath="%USERPROFILE%\AppData\Local\Temp\OnboardLogs" /stypes="*4040*201612072*" /stext=" 20:.+((SYSTEM_STATE.+slice.+state.+changed )|(ment ac)|(multiple cpu faults)|(system.+state.+changed )|(\[timeout)|(PRM\|1\|D)|(kpr)|(kdp)|(\|lc)|(penalty))" /e /r /s</v>
      </c>
      <c r="U36" s="9" t="str">
        <f t="shared" si="2"/>
        <v>4040</v>
      </c>
      <c r="V36" s="36">
        <f t="shared" si="3"/>
        <v>42711.858576388884</v>
      </c>
      <c r="W36" s="50" t="str">
        <f t="shared" si="4"/>
        <v>NW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{"issue":{"subject":"","project_id":79,"tracker_id":40,"status_id":1,"priority_id":2,"assigned_to_id":23,"start_date":"2016-12-07","description":"","custom_fields":[{"id":1,"name":"Subdivision","value":"NW"},{"id":4,"name":"Milepost","value":"5.9048"},{"id":17,"name":"Train ID","value":"821-07"},{"id":16,"name":"Locomotive ID","value":"4040"},{"id":130,"name":"Impact","value":""},{"id":150,"name":"Time of Event (Mountain Time)","value":"13:36:21"},{"id":151,"name":"Denver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"%USERPROFILE%\AppData\Local\Temp\OnboardLogs"\RTDC4040\*4040*201612072*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"%USERPROFILE%\AppData\Local\Temp\OnboardLogs"\RTDC4040\*4040*201612072* &gt;&gt; 42711-slicedisagreementcheck.txt</v>
      </c>
    </row>
    <row r="37" spans="1:30" x14ac:dyDescent="0.25">
      <c r="A37" s="36">
        <v>42711.799016203702</v>
      </c>
      <c r="B37" s="31" t="s">
        <v>206</v>
      </c>
      <c r="C37" s="31" t="s">
        <v>471</v>
      </c>
      <c r="D37" s="31" t="s">
        <v>49</v>
      </c>
      <c r="E37" s="31" t="s">
        <v>201</v>
      </c>
      <c r="F37" s="47">
        <v>0</v>
      </c>
      <c r="G37" s="47">
        <v>34</v>
      </c>
      <c r="H37" s="47">
        <v>58954</v>
      </c>
      <c r="I37" s="47">
        <v>58986</v>
      </c>
      <c r="J37" s="31" t="s">
        <v>202</v>
      </c>
      <c r="K37" s="47">
        <v>59048</v>
      </c>
      <c r="L37" s="154" t="s">
        <v>50</v>
      </c>
      <c r="M37" s="155">
        <f t="shared" si="0"/>
        <v>32.735999999999997</v>
      </c>
      <c r="N37" s="156" t="str">
        <f>VLOOKUP(C37,'Trips&amp;Operators'!$C$1:$G$99999,5,FALSE)</f>
        <v>LEVERE CRAIG</v>
      </c>
      <c r="O37" s="182" t="s">
        <v>196</v>
      </c>
      <c r="P37" s="157"/>
      <c r="Q37" s="31"/>
      <c r="R37" s="100" t="str">
        <f>VLOOKUP(C37,'Train Runs'!$A$13:$AE$9976,31,0)</f>
        <v>aws s3 cp s3://rtdc.mdm.uploadarchive.raw/RTDC4011/ "%USERPROFILE%\AppData\Local\Temp\OnboardLogs"\RTDC4011\2016-12-07 --exclude "*" --recursive --include "*20161207*" &amp; "%USERPROFILE%\Documents\GitHub\mrs-test-scripts\Headless Mode &amp; Sideloading\WalkAndUnGZ.bat" "%USERPROFILE%\AppData\Local\Temp\OnboardLogs"\RTDC4011\2016-12-07 &amp; aws s3 cp s3://rtdc.mdm.uploadarchive.raw/RTDC4011/ "%USERPROFILE%\AppData\Local\Temp\OnboardLogs"\RTDC4011\2016-12-08 --exclude "*" --recursive --include "*20161208*" &amp; "%USERPROFILE%\Documents\GitHub\mrs-test-scripts\Headless Mode &amp; Sideloading\WalkAndUnGZ.bat" "%USERPROFILE%\AppData\Local\Temp\OnboardLogs"\RTDC4011\2016-12-08</v>
      </c>
      <c r="S37" s="103" t="str">
        <f>VLOOKUP(C37,'Train Runs'!$A$13:$AE$9976,22,0)</f>
        <v>https://search-rtdc-monitor-bjffxe2xuh6vdkpspy63sjmuny.us-east-1.es.amazonaws.com/_plugin/kibana/#/discover/Steve-Slow-Train-Analysis-(2080s-and-2083s)?_g=(refreshInterval:(display:Off,section:0,value:0),time:(from:'2016-12-07 17:37:44-700',mode:absolute,to:'2016-12-07 20:10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T37" s="105" t="str">
        <f t="shared" si="1"/>
        <v>"C:\Program Files (x86)\AstroGrep\AstroGrep.exe" /spath="%USERPROFILE%\AppData\Local\Temp\OnboardLogs" /stypes="*4011*201612080*" /stext=" 02:.+((SYSTEM_STATE.+slice.+state.+changed )|(ment ac)|(multiple cpu faults)|(system.+state.+changed )|(\[timeout)|(PRM\|1\|D)|(kpr)|(kdp)|(\|lc)|(penalty))" /e /r /s</v>
      </c>
      <c r="U37" s="9" t="str">
        <f t="shared" si="2"/>
        <v>4011</v>
      </c>
      <c r="V37" s="36">
        <f t="shared" si="3"/>
        <v>42712.090682870366</v>
      </c>
      <c r="W37" s="50" t="str">
        <f t="shared" si="4"/>
        <v>NW</v>
      </c>
      <c r="X37" s="50" t="str">
        <f t="shared" si="5"/>
        <v>KEEP</v>
      </c>
      <c r="Y37" s="119" t="str">
        <f t="shared" si="6"/>
        <v>echo {"issue":{"subject":"","project_id":79,"tracker_id":40,"status_id":1,"priority_id":2,"assigned_to_id":23,"start_date":"2016-12-07","description":"","custom_fields":[{"id":1,"name":"Subdivision","value":"NW"},{"id":4,"name":"Milepost","value":"5.9048"},{"id":17,"name":"Train ID","value":"839-07"},{"id":16,"name":"Locomotive ID","value":"4011"},{"id":130,"name":"Impact","value":""},{"id":150,"name":"Time of Event (Mountain Time)","value":"19:10:35"},{"id":151,"name":"Denver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"%USERPROFILE%\AppData\Local\Temp\OnboardLogs"\RTDC4011\*4011*201612080*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"%USERPROFILE%\AppData\Local\Temp\OnboardLogs"\RTDC4011\*4011*201612080* &gt;&gt; 42711-slicedisagreementcheck.txt</v>
      </c>
    </row>
    <row r="38" spans="1:30" x14ac:dyDescent="0.25">
      <c r="A38" s="36">
        <v>42711.44091435185</v>
      </c>
      <c r="B38" s="31" t="s">
        <v>208</v>
      </c>
      <c r="C38" s="31" t="s">
        <v>459</v>
      </c>
      <c r="D38" s="31" t="s">
        <v>49</v>
      </c>
      <c r="E38" s="31" t="s">
        <v>201</v>
      </c>
      <c r="F38" s="47">
        <v>0</v>
      </c>
      <c r="G38" s="47">
        <v>6</v>
      </c>
      <c r="H38" s="47">
        <v>59041</v>
      </c>
      <c r="I38" s="47">
        <v>59041</v>
      </c>
      <c r="J38" s="31" t="s">
        <v>202</v>
      </c>
      <c r="K38" s="47">
        <v>59058</v>
      </c>
      <c r="L38" s="154" t="s">
        <v>50</v>
      </c>
      <c r="M38" s="155">
        <f t="shared" si="0"/>
        <v>8.9760000000000009</v>
      </c>
      <c r="N38" s="156" t="str">
        <f>VLOOKUP(C38,'Trips&amp;Operators'!$C$1:$G$99999,5,FALSE)</f>
        <v>GEBRETEKLE DAGNEW</v>
      </c>
      <c r="O38" s="182" t="s">
        <v>196</v>
      </c>
      <c r="P38" s="157"/>
      <c r="Q38" s="31"/>
      <c r="R38" s="100" t="str">
        <f>VLOOKUP(C38,'Train Runs'!$A$13:$AE$9976,31,0)</f>
        <v>aws s3 cp s3://rtdc.mdm.uploadarchive.raw/RTDC4040/ "%USERPROFILE%\AppData\Local\Temp\OnboardLogs"\RTDC4040\2016-12-07 --exclude "*" --recursive --include "*20161207*" &amp; "%USERPROFILE%\Documents\GitHub\mrs-test-scripts\Headless Mode &amp; Sideloading\WalkAndUnGZ.bat" "%USERPROFILE%\AppData\Local\Temp\OnboardLogs"\RTDC4040\2016-12-07 &amp; aws s3 cp s3://rtdc.mdm.uploadarchive.raw/RTDC4040/ "%USERPROFILE%\AppData\Local\Temp\OnboardLogs"\RTDC4040\2016-12-08 --exclude "*" --recursive --include "*20161208*" &amp; "%USERPROFILE%\Documents\GitHub\mrs-test-scripts\Headless Mode &amp; Sideloading\WalkAndUnGZ.bat" "%USERPROFILE%\AppData\Local\Temp\OnboardLogs"\RTDC4040\2016-12-08</v>
      </c>
      <c r="S38" s="103" t="str">
        <f>VLOOKUP(C38,'Train Runs'!$A$13:$AE$9976,22,0)</f>
        <v>https://search-rtdc-monitor-bjffxe2xuh6vdkpspy63sjmuny.us-east-1.es.amazonaws.com/_plugin/kibana/#/discover/Steve-Slow-Train-Analysis-(2080s-and-2083s)?_g=(refreshInterval:(display:Off,section:0,value:0),time:(from:'2016-12-07 08:56:23-700',mode:absolute,to:'2016-12-07 11:34:55-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T38" s="105" t="str">
        <f t="shared" si="1"/>
        <v>"C:\Program Files (x86)\AstroGrep\AstroGrep.exe" /spath="%USERPROFILE%\AppData\Local\Temp\OnboardLogs" /stypes="*4040*201612071*" /stext=" 17:.+((SYSTEM_STATE.+slice.+state.+changed )|(ment ac)|(multiple cpu faults)|(system.+state.+changed )|(\[timeout)|(PRM\|1\|D)|(kpr)|(kdp)|(\|lc)|(penalty))" /e /r /s</v>
      </c>
      <c r="U38" s="9" t="str">
        <f t="shared" si="2"/>
        <v>4040</v>
      </c>
      <c r="V38" s="36">
        <f t="shared" si="3"/>
        <v>42711.732581018514</v>
      </c>
      <c r="W38" s="50" t="str">
        <f t="shared" si="4"/>
        <v>NW</v>
      </c>
      <c r="X38" s="50" t="str">
        <f t="shared" si="5"/>
        <v>OMIT</v>
      </c>
      <c r="Y38" s="119" t="str">
        <f t="shared" si="6"/>
        <v>echo {"issue":{"subject":"","project_id":79,"tracker_id":40,"status_id":1,"priority_id":2,"assigned_to_id":23,"start_date":"2016-12-07","description":"","custom_fields":[{"id":1,"name":"Subdivision","value":"NW"},{"id":4,"name":"Milepost","value":"5.9058"},{"id":17,"name":"Train ID","value":"815-07"},{"id":16,"name":"Locomotive ID","value":"4040"},{"id":130,"name":"Impact","value":""},{"id":150,"name":"Time of Event (Mountain Time)","value":"10:34:55"},{"id":151,"name":"Denver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"%USERPROFILE%\AppData\Local\Temp\OnboardLogs"\RTDC4040\*4040*201612071*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"%USERPROFILE%\AppData\Local\Temp\OnboardLogs"\RTDC4040\*4040*201612071* &gt;&gt; 42711-slicedisagreementcheck.txt</v>
      </c>
    </row>
    <row r="39" spans="1:30" x14ac:dyDescent="0.25">
      <c r="A39" s="36">
        <v>42711.738726851851</v>
      </c>
      <c r="B39" s="31" t="s">
        <v>217</v>
      </c>
      <c r="C39" s="31" t="s">
        <v>467</v>
      </c>
      <c r="D39" s="31" t="s">
        <v>98</v>
      </c>
      <c r="E39" s="31" t="s">
        <v>199</v>
      </c>
      <c r="F39" s="47">
        <v>0</v>
      </c>
      <c r="G39" s="47">
        <v>38</v>
      </c>
      <c r="H39" s="47">
        <v>1777</v>
      </c>
      <c r="I39" s="47">
        <v>1816</v>
      </c>
      <c r="J39" s="31" t="s">
        <v>200</v>
      </c>
      <c r="K39" s="47">
        <v>1692</v>
      </c>
      <c r="L39" s="154" t="s">
        <v>50</v>
      </c>
      <c r="M39" s="155">
        <f t="shared" si="0"/>
        <v>-65.471999999999994</v>
      </c>
      <c r="N39" s="156" t="str">
        <f>VLOOKUP(C39,'Trips&amp;Operators'!$C$1:$G$99999,5,FALSE)</f>
        <v>DELGADO DIANAH</v>
      </c>
      <c r="O39" s="182" t="s">
        <v>196</v>
      </c>
      <c r="P39" s="157"/>
      <c r="Q39" s="31"/>
      <c r="R39" s="100" t="str">
        <f>VLOOKUP(C39,'Train Runs'!$A$13:$AE$9976,31,0)</f>
        <v>aws s3 cp s3://rtdc.mdm.uploadarchive.raw/RTDC4022/ "%USERPROFILE%\AppData\Local\Temp\OnboardLogs"\RTDC4022\2016-12-07 --exclude "*" --recursive --include "*20161207*" &amp; "%USERPROFILE%\Documents\GitHub\mrs-test-scripts\Headless Mode &amp; Sideloading\WalkAndUnGZ.bat" "%USERPROFILE%\AppData\Local\Temp\OnboardLogs"\RTDC4022\2016-12-07 &amp; aws s3 cp s3://rtdc.mdm.uploadarchive.raw/RTDC4022/ "%USERPROFILE%\AppData\Local\Temp\OnboardLogs"\RTDC4022\2016-12-08 --exclude "*" --recursive --include "*20161208*" &amp; "%USERPROFILE%\Documents\GitHub\mrs-test-scripts\Headless Mode &amp; Sideloading\WalkAndUnGZ.bat" "%USERPROFILE%\AppData\Local\Temp\OnboardLogs"\RTDC4022\2016-12-08</v>
      </c>
      <c r="S39" s="103" t="str">
        <f>VLOOKUP(C39,'Train Runs'!$A$13:$AE$9976,22,0)</f>
        <v>https://search-rtdc-monitor-bjffxe2xuh6vdkpspy63sjmuny.us-east-1.es.amazonaws.com/_plugin/kibana/#/discover/Steve-Slow-Train-Analysis-(2080s-and-2083s)?_g=(refreshInterval:(display:Off,section:0,value:0),time:(from:'2016-12-07 16:21:09-700',mode:absolute,to:'2016-12-07 18:43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T39" s="105" t="str">
        <f t="shared" si="1"/>
        <v>"C:\Program Files (x86)\AstroGrep\AstroGrep.exe" /spath="%USERPROFILE%\AppData\Local\Temp\OnboardLogs" /stypes="*4022*201612080*" /stext=" 00:.+((SYSTEM_STATE.+slice.+state.+changed )|(ment ac)|(multiple cpu faults)|(system.+state.+changed )|(\[timeout)|(PRM\|1\|D)|(kpr)|(kdp)|(\|lc)|(penalty))" /e /r /s</v>
      </c>
      <c r="U39" s="9" t="str">
        <f t="shared" si="2"/>
        <v>4022</v>
      </c>
      <c r="V39" s="36">
        <f t="shared" si="3"/>
        <v>42712.030393518515</v>
      </c>
      <c r="W39" s="50" t="str">
        <f t="shared" si="4"/>
        <v>Other</v>
      </c>
      <c r="X39" s="50" t="str">
        <f t="shared" si="5"/>
        <v>KEEP</v>
      </c>
      <c r="Y39" s="119" t="str">
        <f t="shared" si="6"/>
        <v>echo {"issue":{"subject":"","project_id":79,"tracker_id":40,"status_id":1,"priority_id":2,"assigned_to_id":23,"start_date":"2016-12-07","description":"","custom_fields":[{"id":1,"name":"Subdivision","value":"Other"},{"id":4,"name":"Milepost","value":"0.1692"},{"id":17,"name":"Train ID","value":"75-07"},{"id":16,"name":"Locomotive ID","value":"4022"},{"id":130,"name":"Impact","value":""},{"id":150,"name":"Time of Event (Mountain Time)","value":"17:43:46"},{"id":151,"name":"Denver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si="7"/>
        <v>grep -hSE -A100 "Enforcement Action" "%USERPROFILE%\AppData\Local\Temp\OnboardLogs"\RTDC4022\*4022*201612080*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"%USERPROFILE%\AppData\Local\Temp\OnboardLogs"\RTDC4022\*4022*201612080* &gt;&gt; 42711-slicedisagreementcheck.txt</v>
      </c>
    </row>
    <row r="40" spans="1:30" x14ac:dyDescent="0.25">
      <c r="A40" s="36">
        <v>42711.148981481485</v>
      </c>
      <c r="B40" s="31" t="s">
        <v>231</v>
      </c>
      <c r="C40" s="31" t="s">
        <v>447</v>
      </c>
      <c r="D40" s="31" t="s">
        <v>49</v>
      </c>
      <c r="E40" s="31" t="s">
        <v>201</v>
      </c>
      <c r="F40" s="47">
        <v>0</v>
      </c>
      <c r="G40" s="47">
        <v>36</v>
      </c>
      <c r="H40" s="47">
        <v>101</v>
      </c>
      <c r="I40" s="47">
        <v>63</v>
      </c>
      <c r="J40" s="31" t="s">
        <v>202</v>
      </c>
      <c r="K40" s="47">
        <v>1</v>
      </c>
      <c r="L40" s="154" t="s">
        <v>51</v>
      </c>
      <c r="M40" s="155">
        <f t="shared" si="0"/>
        <v>32.735999999999997</v>
      </c>
      <c r="N40" s="156" t="str">
        <f>VLOOKUP(C40,'Trips&amp;Operators'!$C$1:$G$99999,5,FALSE)</f>
        <v>MAGEE KENYA</v>
      </c>
      <c r="O40" s="182" t="s">
        <v>196</v>
      </c>
      <c r="P40" s="157"/>
      <c r="Q40" s="31"/>
      <c r="R40" s="100" t="str">
        <f>VLOOKUP(C40,'Train Runs'!$A$13:$AE$9976,31,0)</f>
        <v>aws s3 cp s3://rtdc.mdm.uploadarchive.raw/RTDC4013/ "%USERPROFILE%\AppData\Local\Temp\OnboardLogs"\RTDC4013\2016-12-07 --exclude "*" --recursive --include "*20161207*" &amp; "%USERPROFILE%\Documents\GitHub\mrs-test-scripts\Headless Mode &amp; Sideloading\WalkAndUnGZ.bat" "%USERPROFILE%\AppData\Local\Temp\OnboardLogs"\RTDC4013\2016-12-07 &amp; aws s3 cp s3://rtdc.mdm.uploadarchive.raw/RTDC4013/ "%USERPROFILE%\AppData\Local\Temp\OnboardLogs"\RTDC4013\2016-12-08 --exclude "*" --recursive --include "*20161208*" &amp; "%USERPROFILE%\Documents\GitHub\mrs-test-scripts\Headless Mode &amp; Sideloading\WalkAndUnGZ.bat" "%USERPROFILE%\AppData\Local\Temp\OnboardLogs"\RTDC4013\2016-12-08</v>
      </c>
      <c r="S40" s="103" t="str">
        <f>VLOOKUP(C40,'Train Runs'!$A$13:$AE$9976,22,0)</f>
        <v>https://search-rtdc-monitor-bjffxe2xuh6vdkpspy63sjmuny.us-east-1.es.amazonaws.com/_plugin/kibana/#/discover/Steve-Slow-Train-Analysis-(2080s-and-2083s)?_g=(refreshInterval:(display:Off,section:0,value:0),time:(from:'2016-12-07 02:23:30-700',mode:absolute,to:'2016-12-07 04:34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4013%22')),sort:!(Time,asc))</v>
      </c>
      <c r="T40" s="105" t="str">
        <f t="shared" si="1"/>
        <v>"C:\Program Files (x86)\AstroGrep\AstroGrep.exe" /spath="%USERPROFILE%\AppData\Local\Temp\OnboardLogs" /stypes="*4013*201612071*" /stext=" 10:.+((SYSTEM_STATE.+slice.+state.+changed )|(ment ac)|(multiple cpu faults)|(system.+state.+changed )|(\[timeout)|(PRM\|1\|D)|(kpr)|(kdp)|(\|lc)|(penalty))" /e /r /s</v>
      </c>
      <c r="U40" s="9" t="str">
        <f t="shared" si="2"/>
        <v>4013</v>
      </c>
      <c r="V40" s="36">
        <f t="shared" si="3"/>
        <v>42711.440648148149</v>
      </c>
      <c r="W40" s="50" t="str">
        <f t="shared" si="4"/>
        <v>Other</v>
      </c>
      <c r="X40" s="50" t="str">
        <f t="shared" si="5"/>
        <v>KEEP</v>
      </c>
      <c r="Y40" s="119" t="str">
        <f t="shared" si="6"/>
        <v>echo {"issue":{"subject":"","project_id":79,"tracker_id":40,"status_id":1,"priority_id":2,"assigned_to_id":23,"start_date":"2016-12-07","description":"","custom_fields":[{"id":1,"name":"Subdivision","value":"Other"},{"id":4,"name":"Milepost","value":"0.0001"},{"id":17,"name":"Train ID","value":"304-07"},{"id":16,"name":"Locomotive ID","value":"4013"},{"id":130,"name":"Impact","value":""},{"id":150,"name":"Time of Event (Mountain Time)","value":"03:34:32"},{"id":151,"name":"Denver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7"/>
        <v>grep -hSE -A100 "Enforcement Action" "%USERPROFILE%\AppData\Local\Temp\OnboardLogs"\RTDC4013\*4013*201612071*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"%USERPROFILE%\AppData\Local\Temp\OnboardLogs"\RTDC4013\*4013*201612071* &gt;&gt; 42711-slicedisagreementcheck.txt</v>
      </c>
    </row>
    <row r="41" spans="1:30" x14ac:dyDescent="0.25">
      <c r="A41" s="36">
        <v>42711.761956018519</v>
      </c>
      <c r="B41" s="31" t="s">
        <v>298</v>
      </c>
      <c r="C41" s="31" t="s">
        <v>470</v>
      </c>
      <c r="D41" s="31" t="s">
        <v>98</v>
      </c>
      <c r="E41" s="31" t="s">
        <v>201</v>
      </c>
      <c r="F41" s="47">
        <v>0</v>
      </c>
      <c r="G41" s="47">
        <v>5</v>
      </c>
      <c r="H41" s="47">
        <v>839</v>
      </c>
      <c r="I41" s="47">
        <v>0</v>
      </c>
      <c r="J41" s="31" t="s">
        <v>202</v>
      </c>
      <c r="K41" s="47">
        <v>839</v>
      </c>
      <c r="L41" s="154" t="s">
        <v>51</v>
      </c>
      <c r="M41" s="155">
        <f t="shared" si="0"/>
        <v>-442.99200000000002</v>
      </c>
      <c r="N41" s="156" t="str">
        <f>VLOOKUP(C41,'Trips&amp;Operators'!$C$1:$G$99999,5,FALSE)</f>
        <v>MACDONALD THOMAS</v>
      </c>
      <c r="O41" s="182" t="s">
        <v>196</v>
      </c>
      <c r="P41" s="157"/>
      <c r="Q41" s="31"/>
      <c r="R41" s="100" t="e">
        <f>VLOOKUP(C41,'Train Runs'!$A$13:$AE$9976,31,0)</f>
        <v>#N/A</v>
      </c>
      <c r="S41" s="103" t="e">
        <f>VLOOKUP(C41,'Train Runs'!$A$13:$AE$9976,22,0)</f>
        <v>#N/A</v>
      </c>
      <c r="T41" s="105" t="str">
        <f t="shared" si="1"/>
        <v>"C:\Program Files (x86)\AstroGrep\AstroGrep.exe" /spath="%USERPROFILE%\AppData\Local\Temp\OnboardLogs" /stypes="*4017*201612080*" /stext=" 01:.+((SYSTEM_STATE.+slice.+state.+changed )|(ment ac)|(multiple cpu faults)|(system.+state.+changed )|(\[timeout)|(PRM\|1\|D)|(kpr)|(kdp)|(\|lc)|(penalty))" /e /r /s</v>
      </c>
      <c r="U41" s="9" t="str">
        <f t="shared" si="2"/>
        <v>4017</v>
      </c>
      <c r="V41" s="36">
        <f t="shared" si="3"/>
        <v>42712.053622685184</v>
      </c>
      <c r="W41" s="50" t="str">
        <f t="shared" si="4"/>
        <v>Other</v>
      </c>
      <c r="X41" s="50" t="str">
        <f t="shared" si="5"/>
        <v>OMIT</v>
      </c>
      <c r="Y41" s="119" t="str">
        <f t="shared" si="6"/>
        <v>echo {"issue":{"subject":"","project_id":79,"tracker_id":40,"status_id":1,"priority_id":2,"assigned_to_id":23,"start_date":"2016-12-07","description":"","custom_fields":[{"id":1,"name":"Subdivision","value":"Other"},{"id":4,"name":"Milepost","value":"0.0839"},{"id":17,"name":"Train ID","value":"76-07"},{"id":16,"name":"Locomotive ID","value":"4017"},{"id":130,"name":"Impact","value":""},{"id":150,"name":"Time of Event (Mountain Time)","value":"18:17:13"},{"id":151,"name":"Denver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7"/>
        <v>grep -hSE -A100 "Enforcement Action" "%USERPROFILE%\AppData\Local\Temp\OnboardLogs"\RTDC4017\*4017*201612080*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"%USERPROFILE%\AppData\Local\Temp\OnboardLogs"\RTDC4017\*4017*201612080* &gt;&gt; 42711-slicedisagreementcheck.txt</v>
      </c>
    </row>
    <row r="42" spans="1:30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AC42"/>
    </row>
    <row r="43" spans="1:30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AC43"/>
    </row>
    <row r="44" spans="1:30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AC44"/>
    </row>
    <row r="45" spans="1:30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</row>
    <row r="46" spans="1:30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</row>
    <row r="47" spans="1:30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</row>
    <row r="48" spans="1:30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</row>
    <row r="49" spans="1:29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</row>
    <row r="50" spans="1:29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</row>
    <row r="51" spans="1:29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</row>
    <row r="52" spans="1:29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</row>
    <row r="53" spans="1:29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</row>
    <row r="54" spans="1:29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</row>
    <row r="55" spans="1:29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</row>
    <row r="56" spans="1:29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</row>
    <row r="57" spans="1:29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</row>
    <row r="58" spans="1:29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</row>
    <row r="59" spans="1:29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</row>
    <row r="60" spans="1:29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29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29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29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29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74" spans="1:29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AC74"/>
    </row>
    <row r="75" spans="1:29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AC75"/>
    </row>
  </sheetData>
  <autoFilter ref="A6:AC46">
    <sortState ref="A7:AC46">
      <sortCondition ref="V6:V46"/>
    </sortState>
  </autoFilter>
  <sortState ref="A7:AD41">
    <sortCondition ref="W7:W41"/>
    <sortCondition ref="E7:E41"/>
    <sortCondition ref="K7:K41"/>
    <sortCondition ref="C7:C41"/>
    <sortCondition ref="F7:F41"/>
  </sortState>
  <mergeCells count="1">
    <mergeCell ref="A5:O5"/>
  </mergeCells>
  <conditionalFormatting sqref="O6:P6 R6 O76:O1048576 O7:O4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1">
    <cfRule type="expression" dxfId="1" priority="20">
      <formula>$O7="Y"</formula>
    </cfRule>
  </conditionalFormatting>
  <hyperlinks>
    <hyperlink ref="Z16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AA7:AA41</xm:sqref>
        </x14:dataValidation>
        <x14:dataValidation type="list" allowBlank="1" showInputMessage="1" showErrorMessage="1">
          <x14:formula1>
            <xm:f>'Redmine List Values'!$C$2:$C$15</xm:f>
          </x14:formula1>
          <xm:sqref>AB7:AB41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6"/>
  <sheetViews>
    <sheetView workbookViewId="0">
      <selection activeCell="A4" sqref="A4:XFD4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5" t="str">
        <f>"Trips that did not appear in PTC Data "&amp;TEXT(Variables!$A$2,"YYYY-mm-dd")</f>
        <v>Trips that did not appear in PTC Data 2016-12-07</v>
      </c>
      <c r="C1" s="185"/>
      <c r="D1" s="185"/>
      <c r="E1" s="185"/>
      <c r="F1" s="185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838</v>
      </c>
      <c r="B3" s="47" t="str">
        <f>A3&amp;"-"&amp;IF(DAY(Variables!$A$2)&lt;10,0,"")&amp;DAY(Variables!$A$2)</f>
        <v>838-07</v>
      </c>
      <c r="C3" s="158"/>
      <c r="D3" s="163"/>
      <c r="E3" s="31" t="s">
        <v>844</v>
      </c>
      <c r="F3" s="22" t="e">
        <f>VLOOKUP(B3,'Trips&amp;Operators'!$C$2:$E$10000,3,FALSE)</f>
        <v>#N/A</v>
      </c>
      <c r="G3" s="22" t="e">
        <f>VLOOKUP(B3,'Trips&amp;Operators'!$C$1:$F$10000,4,FALSE)</f>
        <v>#N/A</v>
      </c>
      <c r="H3" s="30" t="e">
        <f>VLOOKUP(B3,'Trips&amp;Operators'!$C$1:$H$10000,5,FALSE)</f>
        <v>#N/A</v>
      </c>
      <c r="I3" s="50" t="str">
        <f t="shared" ref="I3:I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22838-07%22)),sort:!(Time,asc))</v>
      </c>
      <c r="J3" s="31" t="e">
        <f>VLOOKUP(B3,'Train Runs'!$A$13:$A$99973,1,FALSE)</f>
        <v>#N/A</v>
      </c>
      <c r="K3" s="31" t="e">
        <f>IF(VLOOKUP(A3,$K$36:$K$59,1,FALSE),"Cancelled")</f>
        <v>#N/A</v>
      </c>
    </row>
    <row r="4" spans="1:11" x14ac:dyDescent="0.25">
      <c r="A4" s="171">
        <v>841</v>
      </c>
      <c r="B4" s="47" t="str">
        <f>A4&amp;"-"&amp;IF(DAY(Variables!$A$2)&lt;10,0,"")&amp;DAY(Variables!$A$2)</f>
        <v>841-07</v>
      </c>
      <c r="C4" s="158"/>
      <c r="D4" s="163"/>
      <c r="E4" s="31" t="s">
        <v>844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22841-07%22)),sort:!(Time,asc))</v>
      </c>
      <c r="J4" s="31" t="e">
        <f>VLOOKUP(B4,'Train Runs'!$A$13:$A$99973,1,FALSE)</f>
        <v>#N/A</v>
      </c>
      <c r="K4" s="31" t="e">
        <f>IF(VLOOKUP(A4,$K$36:$K$59,1,FALSE),"Cancelled")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-07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5" s="31" t="e">
        <f>VLOOKUP(B5,'Train Runs'!$A$13:$A$99973,1,FALSE)</f>
        <v>#N/A</v>
      </c>
      <c r="K5" s="31" t="e">
        <f>IF(VLOOKUP(A5,$K$36:$K$59,1,FALSE),"Cancelled")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-07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-07%22)),sort:!(Time,asc))</v>
      </c>
      <c r="J6" s="31" t="e">
        <f>VLOOKUP(B6,'Train Runs'!$A$13:$A$99973,1,FALSE)</f>
        <v>#N/A</v>
      </c>
      <c r="K6" s="31" t="e">
        <f>IF(VLOOKUP(A6,$K$36:$K$59,1,FALSE),"Cancelled")</f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3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5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5" t="s">
        <v>179</v>
      </c>
      <c r="E1" s="21" t="s">
        <v>180</v>
      </c>
      <c r="F1" s="21" t="s">
        <v>297</v>
      </c>
      <c r="G1" s="8" t="s">
        <v>296</v>
      </c>
    </row>
    <row r="2" spans="1:7" x14ac:dyDescent="0.25">
      <c r="A2" s="8">
        <v>42711.03497685185</v>
      </c>
      <c r="B2" s="21" t="s">
        <v>283</v>
      </c>
      <c r="C2" s="21" t="s">
        <v>391</v>
      </c>
      <c r="D2" s="165">
        <v>1180000</v>
      </c>
      <c r="E2" s="21" t="s">
        <v>271</v>
      </c>
      <c r="F2" s="21" t="s">
        <v>293</v>
      </c>
      <c r="G2" s="8" t="str">
        <f>E2&amp;" "&amp;F2</f>
        <v>LEVERE CRAIG</v>
      </c>
    </row>
    <row r="3" spans="1:7" x14ac:dyDescent="0.25">
      <c r="A3" s="8">
        <v>42711.048715277779</v>
      </c>
      <c r="B3" s="21" t="s">
        <v>301</v>
      </c>
      <c r="C3" s="21" t="s">
        <v>392</v>
      </c>
      <c r="D3" s="165">
        <v>1290000</v>
      </c>
      <c r="E3" s="21" t="s">
        <v>272</v>
      </c>
      <c r="F3" s="21" t="s">
        <v>290</v>
      </c>
      <c r="G3" s="8" t="str">
        <f t="shared" ref="G3:G66" si="0">E3&amp;" "&amp;F3</f>
        <v>COOLAHAN JOHN</v>
      </c>
    </row>
    <row r="4" spans="1:7" x14ac:dyDescent="0.25">
      <c r="A4" s="8">
        <v>42711.05877314815</v>
      </c>
      <c r="B4" s="21" t="s">
        <v>213</v>
      </c>
      <c r="C4" s="21" t="s">
        <v>393</v>
      </c>
      <c r="D4" s="165">
        <v>1800000</v>
      </c>
      <c r="E4" s="21" t="s">
        <v>255</v>
      </c>
      <c r="F4" s="21" t="s">
        <v>304</v>
      </c>
      <c r="G4" s="8" t="str">
        <f t="shared" si="0"/>
        <v>CHANDLER KELVIN</v>
      </c>
    </row>
    <row r="5" spans="1:7" x14ac:dyDescent="0.25">
      <c r="A5" s="8">
        <v>42711.068078703705</v>
      </c>
      <c r="B5" s="21" t="s">
        <v>300</v>
      </c>
      <c r="C5" s="21" t="s">
        <v>394</v>
      </c>
      <c r="D5" s="165">
        <v>1230000</v>
      </c>
      <c r="E5" s="21" t="s">
        <v>276</v>
      </c>
      <c r="F5" s="21" t="s">
        <v>291</v>
      </c>
      <c r="G5" s="8" t="str">
        <f t="shared" si="0"/>
        <v>YANAI IAN</v>
      </c>
    </row>
    <row r="6" spans="1:7" x14ac:dyDescent="0.25">
      <c r="A6" s="8">
        <v>42711.082199074073</v>
      </c>
      <c r="B6" s="21" t="s">
        <v>213</v>
      </c>
      <c r="C6" s="21" t="s">
        <v>393</v>
      </c>
      <c r="D6" s="165">
        <v>1800000</v>
      </c>
      <c r="E6" s="21" t="s">
        <v>255</v>
      </c>
      <c r="F6" s="21" t="s">
        <v>304</v>
      </c>
      <c r="G6" s="8" t="str">
        <f t="shared" si="0"/>
        <v>CHANDLER KELVIN</v>
      </c>
    </row>
    <row r="7" spans="1:7" x14ac:dyDescent="0.25">
      <c r="A7" s="8">
        <v>42711.093726851854</v>
      </c>
      <c r="B7" s="21" t="s">
        <v>206</v>
      </c>
      <c r="C7" s="21" t="s">
        <v>186</v>
      </c>
      <c r="D7" s="165">
        <v>1800000</v>
      </c>
      <c r="E7" s="21" t="s">
        <v>255</v>
      </c>
      <c r="F7" s="21" t="s">
        <v>304</v>
      </c>
      <c r="G7" s="8" t="str">
        <f t="shared" si="0"/>
        <v>CHANDLER KELVIN</v>
      </c>
    </row>
    <row r="8" spans="1:7" x14ac:dyDescent="0.25">
      <c r="A8" s="8">
        <v>42711.11986111111</v>
      </c>
      <c r="B8" s="21" t="s">
        <v>270</v>
      </c>
      <c r="C8" s="21" t="s">
        <v>476</v>
      </c>
      <c r="D8" s="165">
        <v>2010000</v>
      </c>
      <c r="E8" s="21" t="s">
        <v>477</v>
      </c>
      <c r="F8" s="21" t="s">
        <v>478</v>
      </c>
      <c r="G8" s="8" t="str">
        <f t="shared" si="0"/>
        <v>MAELZER KURT</v>
      </c>
    </row>
    <row r="9" spans="1:7" ht="15.75" thickBot="1" x14ac:dyDescent="0.3">
      <c r="A9" s="25">
        <v>42711.120868055557</v>
      </c>
      <c r="B9" s="21" t="s">
        <v>270</v>
      </c>
      <c r="C9" s="21" t="s">
        <v>476</v>
      </c>
      <c r="D9" s="165">
        <v>2010000</v>
      </c>
      <c r="E9" s="21" t="s">
        <v>477</v>
      </c>
      <c r="F9" s="21" t="s">
        <v>478</v>
      </c>
      <c r="G9" s="8" t="str">
        <f t="shared" si="0"/>
        <v>MAELZER KURT</v>
      </c>
    </row>
    <row r="10" spans="1:7" x14ac:dyDescent="0.25">
      <c r="A10" s="8">
        <v>42711.130358796298</v>
      </c>
      <c r="B10" s="21" t="s">
        <v>217</v>
      </c>
      <c r="C10" s="21" t="s">
        <v>479</v>
      </c>
      <c r="D10" s="165">
        <v>2010000</v>
      </c>
      <c r="E10" s="21" t="s">
        <v>477</v>
      </c>
      <c r="F10" s="21" t="s">
        <v>478</v>
      </c>
      <c r="G10" s="8" t="str">
        <f t="shared" si="0"/>
        <v>MAELZER KURT</v>
      </c>
    </row>
    <row r="11" spans="1:7" x14ac:dyDescent="0.25">
      <c r="A11" s="8">
        <v>42711.141875000001</v>
      </c>
      <c r="B11" s="21" t="s">
        <v>231</v>
      </c>
      <c r="C11" s="21" t="s">
        <v>447</v>
      </c>
      <c r="D11" s="165">
        <v>2610000</v>
      </c>
      <c r="E11" s="21" t="s">
        <v>336</v>
      </c>
      <c r="F11" s="21" t="s">
        <v>337</v>
      </c>
      <c r="G11" s="8" t="str">
        <f t="shared" si="0"/>
        <v>MAGEE KENYA</v>
      </c>
    </row>
    <row r="12" spans="1:7" x14ac:dyDescent="0.25">
      <c r="A12" s="8">
        <v>42711.15284722222</v>
      </c>
      <c r="B12" s="21" t="s">
        <v>269</v>
      </c>
      <c r="C12" s="21" t="s">
        <v>480</v>
      </c>
      <c r="D12" s="165">
        <v>2610000</v>
      </c>
      <c r="E12" s="21" t="s">
        <v>336</v>
      </c>
      <c r="F12" s="21" t="s">
        <v>337</v>
      </c>
      <c r="G12" s="8" t="str">
        <f t="shared" si="0"/>
        <v>MAGEE KENYA</v>
      </c>
    </row>
    <row r="13" spans="1:7" x14ac:dyDescent="0.25">
      <c r="A13" s="8">
        <v>42711.163680555554</v>
      </c>
      <c r="B13" s="21" t="s">
        <v>285</v>
      </c>
      <c r="C13" s="21" t="s">
        <v>481</v>
      </c>
      <c r="D13" s="165">
        <v>2270000</v>
      </c>
      <c r="E13" s="21" t="s">
        <v>482</v>
      </c>
      <c r="F13" s="21" t="s">
        <v>483</v>
      </c>
      <c r="G13" s="8" t="str">
        <f t="shared" si="0"/>
        <v>BROWN JACOB</v>
      </c>
    </row>
    <row r="14" spans="1:7" x14ac:dyDescent="0.25">
      <c r="A14" s="8">
        <v>42711.165798611109</v>
      </c>
      <c r="B14" s="21" t="s">
        <v>250</v>
      </c>
      <c r="C14" s="21" t="s">
        <v>484</v>
      </c>
      <c r="D14" s="165">
        <v>2280000</v>
      </c>
      <c r="E14" s="21" t="s">
        <v>378</v>
      </c>
      <c r="F14" s="21" t="s">
        <v>379</v>
      </c>
      <c r="G14" s="8" t="str">
        <f t="shared" si="0"/>
        <v>MAHAN DUANE</v>
      </c>
    </row>
    <row r="15" spans="1:7" x14ac:dyDescent="0.25">
      <c r="A15" s="8">
        <v>42711.170706018522</v>
      </c>
      <c r="B15" s="21" t="s">
        <v>270</v>
      </c>
      <c r="C15" s="21" t="s">
        <v>485</v>
      </c>
      <c r="D15" s="165">
        <v>2010000</v>
      </c>
      <c r="E15" s="21" t="s">
        <v>477</v>
      </c>
      <c r="F15" s="21" t="s">
        <v>478</v>
      </c>
      <c r="G15" s="8" t="str">
        <f t="shared" si="0"/>
        <v>MAELZER KURT</v>
      </c>
    </row>
    <row r="16" spans="1:7" x14ac:dyDescent="0.25">
      <c r="A16" s="8">
        <v>42711.171793981484</v>
      </c>
      <c r="B16" s="21" t="s">
        <v>250</v>
      </c>
      <c r="C16" s="21" t="s">
        <v>484</v>
      </c>
      <c r="D16" s="165">
        <v>2280000</v>
      </c>
      <c r="E16" s="21" t="s">
        <v>378</v>
      </c>
      <c r="F16" s="21" t="s">
        <v>379</v>
      </c>
      <c r="G16" s="8" t="str">
        <f t="shared" si="0"/>
        <v>MAHAN DUANE</v>
      </c>
    </row>
    <row r="17" spans="1:7" x14ac:dyDescent="0.25">
      <c r="A17" s="8">
        <v>42711.17386574074</v>
      </c>
      <c r="B17" s="21" t="s">
        <v>250</v>
      </c>
      <c r="C17" s="21" t="s">
        <v>484</v>
      </c>
      <c r="D17" s="165">
        <v>2280000</v>
      </c>
      <c r="E17" s="21" t="s">
        <v>378</v>
      </c>
      <c r="F17" s="21" t="s">
        <v>379</v>
      </c>
      <c r="G17" s="8" t="str">
        <f t="shared" si="0"/>
        <v>MAHAN DUANE</v>
      </c>
    </row>
    <row r="18" spans="1:7" x14ac:dyDescent="0.25">
      <c r="A18" s="8">
        <v>42711.175335648149</v>
      </c>
      <c r="B18" s="21" t="s">
        <v>250</v>
      </c>
      <c r="C18" s="21" t="s">
        <v>484</v>
      </c>
      <c r="D18" s="165">
        <v>2280000</v>
      </c>
      <c r="E18" s="21" t="s">
        <v>378</v>
      </c>
      <c r="F18" s="21" t="s">
        <v>379</v>
      </c>
      <c r="G18" s="8" t="str">
        <f t="shared" si="0"/>
        <v>MAHAN DUANE</v>
      </c>
    </row>
    <row r="19" spans="1:7" x14ac:dyDescent="0.25">
      <c r="A19" s="8">
        <v>42711.176111111112</v>
      </c>
      <c r="B19" s="21" t="s">
        <v>237</v>
      </c>
      <c r="C19" s="21" t="s">
        <v>448</v>
      </c>
      <c r="D19" s="165">
        <v>2270000</v>
      </c>
      <c r="E19" s="21" t="s">
        <v>482</v>
      </c>
      <c r="F19" s="21" t="s">
        <v>483</v>
      </c>
      <c r="G19" s="8" t="str">
        <f t="shared" si="0"/>
        <v>BROWN JACOB</v>
      </c>
    </row>
    <row r="20" spans="1:7" x14ac:dyDescent="0.25">
      <c r="A20" s="8">
        <v>42711.178877314815</v>
      </c>
      <c r="B20" s="21" t="s">
        <v>299</v>
      </c>
      <c r="C20" s="21" t="s">
        <v>486</v>
      </c>
      <c r="D20" s="165">
        <v>2030000</v>
      </c>
      <c r="E20" s="21" t="s">
        <v>305</v>
      </c>
      <c r="F20" s="21" t="s">
        <v>292</v>
      </c>
      <c r="G20" s="8" t="str">
        <f t="shared" si="0"/>
        <v>KILLION DAVID</v>
      </c>
    </row>
    <row r="21" spans="1:7" x14ac:dyDescent="0.25">
      <c r="A21" s="8">
        <v>42711.186840277776</v>
      </c>
      <c r="B21" s="21" t="s">
        <v>183</v>
      </c>
      <c r="C21" s="21" t="s">
        <v>449</v>
      </c>
      <c r="D21" s="165">
        <v>2280000</v>
      </c>
      <c r="E21" s="21" t="s">
        <v>378</v>
      </c>
      <c r="F21" s="21" t="s">
        <v>379</v>
      </c>
      <c r="G21" s="8" t="str">
        <f t="shared" si="0"/>
        <v>MAHAN DUANE</v>
      </c>
    </row>
    <row r="22" spans="1:7" x14ac:dyDescent="0.25">
      <c r="A22" s="27">
        <v>42711.190844907411</v>
      </c>
      <c r="B22" s="21" t="s">
        <v>237</v>
      </c>
      <c r="C22" s="21" t="s">
        <v>448</v>
      </c>
      <c r="D22" s="165">
        <v>2270000</v>
      </c>
      <c r="E22" s="21" t="s">
        <v>482</v>
      </c>
      <c r="F22" s="21" t="s">
        <v>483</v>
      </c>
      <c r="G22" s="8" t="str">
        <f t="shared" si="0"/>
        <v>BROWN JACOB</v>
      </c>
    </row>
    <row r="23" spans="1:7" x14ac:dyDescent="0.25">
      <c r="A23" s="8">
        <v>42711.191805555558</v>
      </c>
      <c r="B23" s="21" t="s">
        <v>231</v>
      </c>
      <c r="C23" s="21" t="s">
        <v>487</v>
      </c>
      <c r="D23" s="165">
        <v>2610000</v>
      </c>
      <c r="E23" s="21" t="s">
        <v>336</v>
      </c>
      <c r="F23" s="21" t="s">
        <v>337</v>
      </c>
      <c r="G23" s="8" t="str">
        <f t="shared" si="0"/>
        <v>MAGEE KENYA</v>
      </c>
    </row>
    <row r="24" spans="1:7" x14ac:dyDescent="0.25">
      <c r="A24" s="8">
        <v>42711.194409722222</v>
      </c>
      <c r="B24" s="21" t="s">
        <v>300</v>
      </c>
      <c r="C24" s="21" t="s">
        <v>488</v>
      </c>
      <c r="D24" s="165">
        <v>2030000</v>
      </c>
      <c r="E24" s="21" t="s">
        <v>305</v>
      </c>
      <c r="F24" s="21" t="s">
        <v>292</v>
      </c>
      <c r="G24" s="8" t="str">
        <f t="shared" si="0"/>
        <v>KILLION DAVID</v>
      </c>
    </row>
    <row r="25" spans="1:7" x14ac:dyDescent="0.25">
      <c r="A25" s="8">
        <v>42711.204131944447</v>
      </c>
      <c r="B25" s="21" t="s">
        <v>206</v>
      </c>
      <c r="C25" s="21" t="s">
        <v>489</v>
      </c>
      <c r="D25" s="165">
        <v>1110000</v>
      </c>
      <c r="E25" s="21" t="s">
        <v>317</v>
      </c>
      <c r="F25" s="21" t="s">
        <v>318</v>
      </c>
      <c r="G25" s="8" t="str">
        <f t="shared" si="0"/>
        <v>STARKS ANGELINA</v>
      </c>
    </row>
    <row r="26" spans="1:7" x14ac:dyDescent="0.25">
      <c r="A26" s="8">
        <v>42711.208506944444</v>
      </c>
      <c r="B26" s="21" t="s">
        <v>215</v>
      </c>
      <c r="C26" s="21" t="s">
        <v>490</v>
      </c>
      <c r="D26" s="165">
        <v>2010000</v>
      </c>
      <c r="E26" s="21" t="s">
        <v>477</v>
      </c>
      <c r="F26" s="21" t="s">
        <v>478</v>
      </c>
      <c r="G26" s="8" t="str">
        <f t="shared" si="0"/>
        <v>MAELZER KURT</v>
      </c>
    </row>
    <row r="27" spans="1:7" x14ac:dyDescent="0.25">
      <c r="A27" s="8">
        <v>42711.20853009259</v>
      </c>
      <c r="B27" s="21" t="s">
        <v>217</v>
      </c>
      <c r="C27" s="21" t="s">
        <v>491</v>
      </c>
      <c r="D27" s="165">
        <v>900000</v>
      </c>
      <c r="E27" s="21" t="s">
        <v>372</v>
      </c>
      <c r="F27" s="21" t="s">
        <v>373</v>
      </c>
      <c r="G27" s="8" t="str">
        <f t="shared" si="0"/>
        <v>ROCHA YAOTL</v>
      </c>
    </row>
    <row r="28" spans="1:7" x14ac:dyDescent="0.25">
      <c r="A28" s="8">
        <v>42711.210138888891</v>
      </c>
      <c r="B28" s="21" t="s">
        <v>215</v>
      </c>
      <c r="C28" s="21" t="s">
        <v>490</v>
      </c>
      <c r="D28" s="165">
        <v>2010000</v>
      </c>
      <c r="E28" s="21" t="s">
        <v>477</v>
      </c>
      <c r="F28" s="21" t="s">
        <v>478</v>
      </c>
      <c r="G28" s="8" t="str">
        <f t="shared" si="0"/>
        <v>MAELZER KURT</v>
      </c>
    </row>
    <row r="29" spans="1:7" x14ac:dyDescent="0.25">
      <c r="A29" s="8">
        <v>42711.211030092592</v>
      </c>
      <c r="B29" s="21" t="s">
        <v>215</v>
      </c>
      <c r="C29" s="21" t="s">
        <v>490</v>
      </c>
      <c r="D29" s="165">
        <v>2010000</v>
      </c>
      <c r="E29" s="21" t="s">
        <v>477</v>
      </c>
      <c r="F29" s="21" t="s">
        <v>478</v>
      </c>
      <c r="G29" s="8" t="str">
        <f t="shared" si="0"/>
        <v>MAELZER KURT</v>
      </c>
    </row>
    <row r="30" spans="1:7" x14ac:dyDescent="0.25">
      <c r="A30" s="8">
        <v>42711.213923611111</v>
      </c>
      <c r="B30" s="21" t="s">
        <v>285</v>
      </c>
      <c r="C30" s="21" t="s">
        <v>492</v>
      </c>
      <c r="D30" s="165">
        <v>2270000</v>
      </c>
      <c r="E30" s="21" t="s">
        <v>482</v>
      </c>
      <c r="F30" s="21" t="s">
        <v>483</v>
      </c>
      <c r="G30" s="8" t="str">
        <f t="shared" si="0"/>
        <v>BROWN JACOB</v>
      </c>
    </row>
    <row r="31" spans="1:7" x14ac:dyDescent="0.25">
      <c r="A31" s="8">
        <v>42711.214756944442</v>
      </c>
      <c r="B31" s="21" t="s">
        <v>213</v>
      </c>
      <c r="C31" s="21" t="s">
        <v>450</v>
      </c>
      <c r="D31" s="165">
        <v>1110000</v>
      </c>
      <c r="E31" s="21" t="s">
        <v>317</v>
      </c>
      <c r="F31" s="21" t="s">
        <v>318</v>
      </c>
      <c r="G31" s="8" t="str">
        <f t="shared" si="0"/>
        <v>STARKS ANGELINA</v>
      </c>
    </row>
    <row r="32" spans="1:7" x14ac:dyDescent="0.25">
      <c r="A32" s="8">
        <v>42711.221990740742</v>
      </c>
      <c r="B32" s="21" t="s">
        <v>250</v>
      </c>
      <c r="C32" s="21" t="s">
        <v>493</v>
      </c>
      <c r="D32" s="165">
        <v>2280000</v>
      </c>
      <c r="E32" s="21" t="s">
        <v>378</v>
      </c>
      <c r="F32" s="21" t="s">
        <v>379</v>
      </c>
      <c r="G32" s="8" t="str">
        <f t="shared" si="0"/>
        <v>MAHAN DUANE</v>
      </c>
    </row>
    <row r="33" spans="1:7" x14ac:dyDescent="0.25">
      <c r="A33" s="8">
        <v>42711.230925925927</v>
      </c>
      <c r="B33" s="21" t="s">
        <v>269</v>
      </c>
      <c r="C33" s="21" t="s">
        <v>494</v>
      </c>
      <c r="D33" s="165">
        <v>2600000</v>
      </c>
      <c r="E33" s="21" t="s">
        <v>246</v>
      </c>
      <c r="F33" s="21" t="s">
        <v>292</v>
      </c>
      <c r="G33" s="8" t="str">
        <f t="shared" si="0"/>
        <v>DAVIDSON DAVID</v>
      </c>
    </row>
    <row r="34" spans="1:7" x14ac:dyDescent="0.25">
      <c r="A34" s="8">
        <v>42711.232731481483</v>
      </c>
      <c r="B34" s="21" t="s">
        <v>299</v>
      </c>
      <c r="C34" s="21" t="s">
        <v>495</v>
      </c>
      <c r="D34" s="165">
        <v>2030000</v>
      </c>
      <c r="E34" s="21" t="s">
        <v>305</v>
      </c>
      <c r="F34" s="21" t="s">
        <v>292</v>
      </c>
      <c r="G34" s="8" t="str">
        <f t="shared" si="0"/>
        <v>KILLION DAVID</v>
      </c>
    </row>
    <row r="35" spans="1:7" x14ac:dyDescent="0.25">
      <c r="A35" s="8">
        <v>42711.232986111114</v>
      </c>
      <c r="B35" s="21" t="s">
        <v>230</v>
      </c>
      <c r="C35" s="21" t="s">
        <v>496</v>
      </c>
      <c r="D35" s="165">
        <v>2610000</v>
      </c>
      <c r="E35" s="21" t="s">
        <v>336</v>
      </c>
      <c r="F35" s="21" t="s">
        <v>337</v>
      </c>
      <c r="G35" s="8" t="str">
        <f t="shared" si="0"/>
        <v>MAGEE KENYA</v>
      </c>
    </row>
    <row r="36" spans="1:7" x14ac:dyDescent="0.25">
      <c r="A36" s="8">
        <v>42711.234386574077</v>
      </c>
      <c r="B36" s="21" t="s">
        <v>230</v>
      </c>
      <c r="C36" s="21" t="s">
        <v>496</v>
      </c>
      <c r="D36" s="165">
        <v>2610000</v>
      </c>
      <c r="E36" s="21" t="s">
        <v>336</v>
      </c>
      <c r="F36" s="21" t="s">
        <v>337</v>
      </c>
      <c r="G36" s="8" t="str">
        <f t="shared" si="0"/>
        <v>MAGEE KENYA</v>
      </c>
    </row>
    <row r="37" spans="1:7" x14ac:dyDescent="0.25">
      <c r="A37" s="8">
        <v>42711.241909722223</v>
      </c>
      <c r="B37" s="21" t="s">
        <v>206</v>
      </c>
      <c r="C37" s="21" t="s">
        <v>451</v>
      </c>
      <c r="D37" s="165">
        <v>1110000</v>
      </c>
      <c r="E37" s="21" t="s">
        <v>317</v>
      </c>
      <c r="F37" s="21" t="s">
        <v>318</v>
      </c>
      <c r="G37" s="8" t="str">
        <f t="shared" si="0"/>
        <v>STARKS ANGELINA</v>
      </c>
    </row>
    <row r="38" spans="1:7" x14ac:dyDescent="0.25">
      <c r="A38" s="8">
        <v>42711.245810185188</v>
      </c>
      <c r="B38" s="21" t="s">
        <v>210</v>
      </c>
      <c r="C38" s="21" t="s">
        <v>497</v>
      </c>
      <c r="D38" s="165">
        <v>1100000</v>
      </c>
      <c r="E38" s="21" t="s">
        <v>370</v>
      </c>
      <c r="F38" s="21" t="s">
        <v>371</v>
      </c>
      <c r="G38" s="8" t="str">
        <f t="shared" si="0"/>
        <v>GEBRETEKLE DAGNEW</v>
      </c>
    </row>
    <row r="39" spans="1:7" x14ac:dyDescent="0.25">
      <c r="A39" s="8">
        <v>42711.24726851852</v>
      </c>
      <c r="B39" s="21" t="s">
        <v>284</v>
      </c>
      <c r="C39" s="21" t="s">
        <v>498</v>
      </c>
      <c r="D39" s="165">
        <v>900000</v>
      </c>
      <c r="E39" s="21" t="s">
        <v>372</v>
      </c>
      <c r="F39" s="21" t="s">
        <v>373</v>
      </c>
      <c r="G39" s="8" t="str">
        <f t="shared" si="0"/>
        <v>ROCHA YAOTL</v>
      </c>
    </row>
    <row r="40" spans="1:7" x14ac:dyDescent="0.25">
      <c r="A40" s="8">
        <v>42711.249490740738</v>
      </c>
      <c r="B40" s="26" t="s">
        <v>237</v>
      </c>
      <c r="C40" s="21" t="s">
        <v>452</v>
      </c>
      <c r="D40" s="165">
        <v>2270000</v>
      </c>
      <c r="E40" s="21" t="s">
        <v>482</v>
      </c>
      <c r="F40" s="21" t="s">
        <v>483</v>
      </c>
      <c r="G40" s="8" t="str">
        <f t="shared" si="0"/>
        <v>BROWN JACOB</v>
      </c>
    </row>
    <row r="41" spans="1:7" x14ac:dyDescent="0.25">
      <c r="A41" s="8">
        <v>42711.254351851851</v>
      </c>
      <c r="B41" s="21" t="s">
        <v>270</v>
      </c>
      <c r="C41" s="21" t="s">
        <v>499</v>
      </c>
      <c r="D41" s="165">
        <v>2010000</v>
      </c>
      <c r="E41" s="21" t="s">
        <v>477</v>
      </c>
      <c r="F41" s="21" t="s">
        <v>478</v>
      </c>
      <c r="G41" s="8" t="str">
        <f t="shared" si="0"/>
        <v>MAELZER KURT</v>
      </c>
    </row>
    <row r="42" spans="1:7" x14ac:dyDescent="0.25">
      <c r="A42" s="8">
        <v>42711.255057870374</v>
      </c>
      <c r="B42" s="21" t="s">
        <v>213</v>
      </c>
      <c r="C42" s="21" t="s">
        <v>500</v>
      </c>
      <c r="D42" s="165">
        <v>1110000</v>
      </c>
      <c r="E42" s="21" t="s">
        <v>317</v>
      </c>
      <c r="F42" s="21" t="s">
        <v>318</v>
      </c>
      <c r="G42" s="8" t="str">
        <f t="shared" si="0"/>
        <v>STARKS ANGELINA</v>
      </c>
    </row>
    <row r="43" spans="1:7" x14ac:dyDescent="0.25">
      <c r="A43" s="8">
        <v>42711.255844907406</v>
      </c>
      <c r="B43" s="21" t="s">
        <v>208</v>
      </c>
      <c r="C43" s="21" t="s">
        <v>501</v>
      </c>
      <c r="D43" s="165">
        <v>1100000</v>
      </c>
      <c r="E43" s="21" t="s">
        <v>370</v>
      </c>
      <c r="F43" s="21" t="s">
        <v>371</v>
      </c>
      <c r="G43" s="8" t="str">
        <f t="shared" si="0"/>
        <v>GEBRETEKLE DAGNEW</v>
      </c>
    </row>
    <row r="44" spans="1:7" x14ac:dyDescent="0.25">
      <c r="A44" s="8">
        <v>42711.256944444445</v>
      </c>
      <c r="B44" s="21" t="s">
        <v>183</v>
      </c>
      <c r="C44" s="21" t="s">
        <v>455</v>
      </c>
      <c r="D44" s="165">
        <v>2280000</v>
      </c>
      <c r="E44" s="21" t="s">
        <v>378</v>
      </c>
      <c r="F44" s="21" t="s">
        <v>379</v>
      </c>
      <c r="G44" s="8" t="str">
        <f t="shared" si="0"/>
        <v>MAHAN DUANE</v>
      </c>
    </row>
    <row r="45" spans="1:7" x14ac:dyDescent="0.25">
      <c r="A45" s="8">
        <v>42711.259131944447</v>
      </c>
      <c r="B45" s="21" t="s">
        <v>230</v>
      </c>
      <c r="C45" s="21" t="s">
        <v>496</v>
      </c>
      <c r="D45" s="165">
        <v>2610000</v>
      </c>
      <c r="E45" s="21" t="s">
        <v>336</v>
      </c>
      <c r="F45" s="21" t="s">
        <v>337</v>
      </c>
      <c r="G45" s="8" t="str">
        <f t="shared" si="0"/>
        <v>MAGEE KENYA</v>
      </c>
    </row>
    <row r="46" spans="1:7" x14ac:dyDescent="0.25">
      <c r="A46" s="8">
        <v>42711.26394675926</v>
      </c>
      <c r="B46" s="21" t="s">
        <v>230</v>
      </c>
      <c r="C46" s="21" t="s">
        <v>496</v>
      </c>
      <c r="D46" s="165">
        <v>2610000</v>
      </c>
      <c r="E46" s="21" t="s">
        <v>336</v>
      </c>
      <c r="F46" s="21" t="s">
        <v>337</v>
      </c>
      <c r="G46" s="8" t="str">
        <f t="shared" si="0"/>
        <v>MAGEE KENYA</v>
      </c>
    </row>
    <row r="47" spans="1:7" x14ac:dyDescent="0.25">
      <c r="A47" s="8">
        <v>42711.265752314815</v>
      </c>
      <c r="B47" s="21" t="s">
        <v>333</v>
      </c>
      <c r="C47" s="21" t="s">
        <v>456</v>
      </c>
      <c r="D47" s="165">
        <v>2600000</v>
      </c>
      <c r="E47" s="21" t="s">
        <v>246</v>
      </c>
      <c r="F47" s="21" t="s">
        <v>292</v>
      </c>
      <c r="G47" s="8" t="str">
        <f t="shared" si="0"/>
        <v>DAVIDSON DAVID</v>
      </c>
    </row>
    <row r="48" spans="1:7" x14ac:dyDescent="0.25">
      <c r="A48" s="8">
        <v>42711.270833333336</v>
      </c>
      <c r="B48" s="21" t="s">
        <v>300</v>
      </c>
      <c r="C48" s="21" t="s">
        <v>502</v>
      </c>
      <c r="D48" s="165">
        <v>2030000</v>
      </c>
      <c r="E48" s="21" t="s">
        <v>305</v>
      </c>
      <c r="F48" s="21" t="s">
        <v>292</v>
      </c>
      <c r="G48" s="8" t="str">
        <f t="shared" si="0"/>
        <v>KILLION DAVID</v>
      </c>
    </row>
    <row r="49" spans="1:7" x14ac:dyDescent="0.25">
      <c r="A49" s="8">
        <v>42711.275613425925</v>
      </c>
      <c r="B49" s="21" t="s">
        <v>210</v>
      </c>
      <c r="C49" s="21" t="s">
        <v>453</v>
      </c>
      <c r="D49" s="165">
        <v>1100000</v>
      </c>
      <c r="E49" s="21" t="s">
        <v>370</v>
      </c>
      <c r="F49" s="21" t="s">
        <v>371</v>
      </c>
      <c r="G49" s="8" t="str">
        <f t="shared" si="0"/>
        <v>GEBRETEKLE DAGNEW</v>
      </c>
    </row>
    <row r="50" spans="1:7" x14ac:dyDescent="0.25">
      <c r="A50" s="8">
        <v>42711.276956018519</v>
      </c>
      <c r="B50" s="21" t="s">
        <v>231</v>
      </c>
      <c r="C50" s="21" t="s">
        <v>503</v>
      </c>
      <c r="D50" s="165">
        <v>2610000</v>
      </c>
      <c r="E50" s="21" t="s">
        <v>336</v>
      </c>
      <c r="F50" s="21" t="s">
        <v>337</v>
      </c>
      <c r="G50" s="8" t="str">
        <f t="shared" si="0"/>
        <v>MAGEE KENYA</v>
      </c>
    </row>
    <row r="51" spans="1:7" x14ac:dyDescent="0.25">
      <c r="A51" s="8">
        <v>42711.281168981484</v>
      </c>
      <c r="B51" s="21" t="s">
        <v>206</v>
      </c>
      <c r="C51" s="21" t="s">
        <v>454</v>
      </c>
      <c r="D51" s="165">
        <v>1110000</v>
      </c>
      <c r="E51" s="21" t="s">
        <v>317</v>
      </c>
      <c r="F51" s="21" t="s">
        <v>318</v>
      </c>
      <c r="G51" s="8" t="str">
        <f t="shared" si="0"/>
        <v>STARKS ANGELINA</v>
      </c>
    </row>
    <row r="52" spans="1:7" x14ac:dyDescent="0.25">
      <c r="A52" s="8">
        <v>42711.286805555559</v>
      </c>
      <c r="B52" s="21" t="s">
        <v>254</v>
      </c>
      <c r="C52" s="21" t="s">
        <v>504</v>
      </c>
      <c r="D52" s="165">
        <v>2270000</v>
      </c>
      <c r="E52" s="21" t="s">
        <v>482</v>
      </c>
      <c r="F52" s="21" t="s">
        <v>483</v>
      </c>
      <c r="G52" s="8" t="str">
        <f t="shared" si="0"/>
        <v>BROWN JACOB</v>
      </c>
    </row>
    <row r="53" spans="1:7" x14ac:dyDescent="0.25">
      <c r="A53" s="8">
        <v>42711.287766203706</v>
      </c>
      <c r="B53" s="21" t="s">
        <v>217</v>
      </c>
      <c r="C53" s="21" t="s">
        <v>505</v>
      </c>
      <c r="D53" s="165">
        <v>1200000</v>
      </c>
      <c r="E53" s="21" t="s">
        <v>506</v>
      </c>
      <c r="F53" s="21" t="s">
        <v>507</v>
      </c>
      <c r="G53" s="8" t="str">
        <f t="shared" si="0"/>
        <v>CUSHING HARRY</v>
      </c>
    </row>
    <row r="54" spans="1:7" x14ac:dyDescent="0.25">
      <c r="A54" s="8">
        <v>42711.29179398148</v>
      </c>
      <c r="B54" s="21" t="s">
        <v>208</v>
      </c>
      <c r="C54" s="21" t="s">
        <v>508</v>
      </c>
      <c r="D54" s="165">
        <v>1100000</v>
      </c>
      <c r="E54" s="21" t="s">
        <v>370</v>
      </c>
      <c r="F54" s="21" t="s">
        <v>371</v>
      </c>
      <c r="G54" s="8" t="str">
        <f t="shared" si="0"/>
        <v>GEBRETEKLE DAGNEW</v>
      </c>
    </row>
    <row r="55" spans="1:7" x14ac:dyDescent="0.25">
      <c r="A55" s="8">
        <v>42711.29415509259</v>
      </c>
      <c r="B55" s="21" t="s">
        <v>215</v>
      </c>
      <c r="C55" s="21" t="s">
        <v>509</v>
      </c>
      <c r="D55" s="165">
        <v>890000</v>
      </c>
      <c r="E55" s="21" t="s">
        <v>510</v>
      </c>
      <c r="F55" s="21" t="s">
        <v>511</v>
      </c>
      <c r="G55" s="8" t="str">
        <f t="shared" si="0"/>
        <v>LOZA FIDEL</v>
      </c>
    </row>
    <row r="56" spans="1:7" x14ac:dyDescent="0.25">
      <c r="A56" s="8">
        <v>42711.294247685182</v>
      </c>
      <c r="B56" s="21" t="s">
        <v>250</v>
      </c>
      <c r="C56" s="21" t="s">
        <v>512</v>
      </c>
      <c r="D56" s="165">
        <v>2280000</v>
      </c>
      <c r="E56" s="21" t="s">
        <v>378</v>
      </c>
      <c r="F56" s="21" t="s">
        <v>379</v>
      </c>
      <c r="G56" s="8" t="str">
        <f t="shared" si="0"/>
        <v>MAHAN DUANE</v>
      </c>
    </row>
    <row r="57" spans="1:7" x14ac:dyDescent="0.25">
      <c r="A57" s="8">
        <v>42711.297500000001</v>
      </c>
      <c r="B57" s="21" t="s">
        <v>213</v>
      </c>
      <c r="C57" s="21" t="s">
        <v>513</v>
      </c>
      <c r="D57" s="165">
        <v>1110000</v>
      </c>
      <c r="E57" s="21" t="s">
        <v>317</v>
      </c>
      <c r="F57" s="21" t="s">
        <v>318</v>
      </c>
      <c r="G57" s="8" t="str">
        <f t="shared" si="0"/>
        <v>STARKS ANGELINA</v>
      </c>
    </row>
    <row r="58" spans="1:7" x14ac:dyDescent="0.25">
      <c r="A58" s="8">
        <v>42711.301574074074</v>
      </c>
      <c r="B58" s="21" t="s">
        <v>269</v>
      </c>
      <c r="C58" s="21" t="s">
        <v>514</v>
      </c>
      <c r="D58" s="165">
        <v>2600000</v>
      </c>
      <c r="E58" s="21" t="s">
        <v>246</v>
      </c>
      <c r="F58" s="21" t="s">
        <v>292</v>
      </c>
      <c r="G58" s="8" t="str">
        <f t="shared" si="0"/>
        <v>DAVIDSON DAVID</v>
      </c>
    </row>
    <row r="59" spans="1:7" x14ac:dyDescent="0.25">
      <c r="A59" s="8">
        <v>42711.306215277778</v>
      </c>
      <c r="B59" s="21" t="s">
        <v>299</v>
      </c>
      <c r="C59" s="21" t="s">
        <v>515</v>
      </c>
      <c r="D59" s="165">
        <v>2030000</v>
      </c>
      <c r="E59" s="21" t="s">
        <v>305</v>
      </c>
      <c r="F59" s="21" t="s">
        <v>292</v>
      </c>
      <c r="G59" s="8" t="str">
        <f t="shared" si="0"/>
        <v>KILLION DAVID</v>
      </c>
    </row>
    <row r="60" spans="1:7" x14ac:dyDescent="0.25">
      <c r="A60" s="8">
        <v>42711.310254629629</v>
      </c>
      <c r="B60" s="21" t="s">
        <v>230</v>
      </c>
      <c r="C60" s="21" t="s">
        <v>516</v>
      </c>
      <c r="D60" s="165">
        <v>2610000</v>
      </c>
      <c r="E60" s="21" t="s">
        <v>336</v>
      </c>
      <c r="F60" s="21" t="s">
        <v>337</v>
      </c>
      <c r="G60" s="8" t="str">
        <f t="shared" si="0"/>
        <v>MAGEE KENYA</v>
      </c>
    </row>
    <row r="61" spans="1:7" x14ac:dyDescent="0.25">
      <c r="A61" s="8">
        <v>42711.316770833335</v>
      </c>
      <c r="B61" s="21" t="s">
        <v>210</v>
      </c>
      <c r="C61" s="21" t="s">
        <v>517</v>
      </c>
      <c r="D61" s="165">
        <v>1100000</v>
      </c>
      <c r="E61" s="21" t="s">
        <v>370</v>
      </c>
      <c r="F61" s="21" t="s">
        <v>371</v>
      </c>
      <c r="G61" s="8" t="str">
        <f t="shared" si="0"/>
        <v>GEBRETEKLE DAGNEW</v>
      </c>
    </row>
    <row r="62" spans="1:7" x14ac:dyDescent="0.25">
      <c r="A62" s="8">
        <v>42711.318749999999</v>
      </c>
      <c r="B62" s="21" t="s">
        <v>284</v>
      </c>
      <c r="C62" s="21" t="s">
        <v>518</v>
      </c>
      <c r="D62" s="165">
        <v>0</v>
      </c>
      <c r="E62" s="21" t="s">
        <v>374</v>
      </c>
      <c r="F62" s="21" t="s">
        <v>375</v>
      </c>
      <c r="G62" s="8" t="str">
        <f t="shared" si="0"/>
        <v>HAUSER FRANK</v>
      </c>
    </row>
    <row r="63" spans="1:7" x14ac:dyDescent="0.25">
      <c r="A63" s="8">
        <v>42711.321828703702</v>
      </c>
      <c r="B63" s="21" t="s">
        <v>237</v>
      </c>
      <c r="C63" s="21" t="s">
        <v>519</v>
      </c>
      <c r="D63" s="165">
        <v>2270000</v>
      </c>
      <c r="E63" s="21" t="s">
        <v>482</v>
      </c>
      <c r="F63" s="21" t="s">
        <v>483</v>
      </c>
      <c r="G63" s="8" t="str">
        <f t="shared" si="0"/>
        <v>BROWN JACOB</v>
      </c>
    </row>
    <row r="64" spans="1:7" x14ac:dyDescent="0.25">
      <c r="A64" s="27">
        <v>42711.322164351855</v>
      </c>
      <c r="B64" s="21" t="s">
        <v>206</v>
      </c>
      <c r="C64" s="21" t="s">
        <v>457</v>
      </c>
      <c r="D64" s="165">
        <v>1110000</v>
      </c>
      <c r="E64" s="21" t="s">
        <v>317</v>
      </c>
      <c r="F64" s="21" t="s">
        <v>318</v>
      </c>
      <c r="G64" s="8" t="str">
        <f t="shared" si="0"/>
        <v>STARKS ANGELINA</v>
      </c>
    </row>
    <row r="65" spans="1:7" x14ac:dyDescent="0.25">
      <c r="A65" s="8">
        <v>42711.328217592592</v>
      </c>
      <c r="B65" s="21" t="s">
        <v>270</v>
      </c>
      <c r="C65" s="21" t="s">
        <v>520</v>
      </c>
      <c r="D65" s="165">
        <v>890000</v>
      </c>
      <c r="E65" s="21" t="s">
        <v>510</v>
      </c>
      <c r="F65" s="21" t="s">
        <v>511</v>
      </c>
      <c r="G65" s="8" t="str">
        <f t="shared" si="0"/>
        <v>LOZA FIDEL</v>
      </c>
    </row>
    <row r="66" spans="1:7" x14ac:dyDescent="0.25">
      <c r="A66" s="8">
        <v>42711.329918981479</v>
      </c>
      <c r="B66" s="21" t="s">
        <v>183</v>
      </c>
      <c r="C66" s="21" t="s">
        <v>521</v>
      </c>
      <c r="D66" s="165">
        <v>2280000</v>
      </c>
      <c r="E66" s="21" t="s">
        <v>378</v>
      </c>
      <c r="F66" s="21" t="s">
        <v>379</v>
      </c>
      <c r="G66" s="8" t="str">
        <f t="shared" si="0"/>
        <v>MAHAN DUANE</v>
      </c>
    </row>
    <row r="67" spans="1:7" x14ac:dyDescent="0.25">
      <c r="A67" s="8">
        <v>42711.332337962966</v>
      </c>
      <c r="B67" s="21" t="s">
        <v>208</v>
      </c>
      <c r="C67" s="21" t="s">
        <v>522</v>
      </c>
      <c r="D67" s="165">
        <v>1100000</v>
      </c>
      <c r="E67" s="21" t="s">
        <v>370</v>
      </c>
      <c r="F67" s="21" t="s">
        <v>371</v>
      </c>
      <c r="G67" s="8" t="str">
        <f t="shared" ref="G67:G130" si="1">E67&amp;" "&amp;F67</f>
        <v>GEBRETEKLE DAGNEW</v>
      </c>
    </row>
    <row r="68" spans="1:7" x14ac:dyDescent="0.25">
      <c r="A68" s="8">
        <v>42711.333969907406</v>
      </c>
      <c r="B68" s="21" t="s">
        <v>333</v>
      </c>
      <c r="C68" s="21" t="s">
        <v>523</v>
      </c>
      <c r="D68" s="165">
        <v>2600000</v>
      </c>
      <c r="E68" s="21" t="s">
        <v>246</v>
      </c>
      <c r="F68" s="21" t="s">
        <v>292</v>
      </c>
      <c r="G68" s="8" t="str">
        <f t="shared" si="1"/>
        <v>DAVIDSON DAVID</v>
      </c>
    </row>
    <row r="69" spans="1:7" x14ac:dyDescent="0.25">
      <c r="A69" s="8">
        <v>42711.338159722225</v>
      </c>
      <c r="B69" s="21" t="s">
        <v>213</v>
      </c>
      <c r="C69" s="21" t="s">
        <v>524</v>
      </c>
      <c r="D69" s="165">
        <v>1110000</v>
      </c>
      <c r="E69" s="21" t="s">
        <v>317</v>
      </c>
      <c r="F69" s="21" t="s">
        <v>318</v>
      </c>
      <c r="G69" s="8" t="str">
        <f t="shared" si="1"/>
        <v>STARKS ANGELINA</v>
      </c>
    </row>
    <row r="70" spans="1:7" x14ac:dyDescent="0.25">
      <c r="A70" s="8">
        <v>42711.341921296298</v>
      </c>
      <c r="B70" s="21" t="s">
        <v>300</v>
      </c>
      <c r="C70" s="21" t="s">
        <v>525</v>
      </c>
      <c r="D70" s="165">
        <v>2030000</v>
      </c>
      <c r="E70" s="21" t="s">
        <v>305</v>
      </c>
      <c r="F70" s="21" t="s">
        <v>292</v>
      </c>
      <c r="G70" s="8" t="str">
        <f t="shared" si="1"/>
        <v>KILLION DAVID</v>
      </c>
    </row>
    <row r="71" spans="1:7" x14ac:dyDescent="0.25">
      <c r="A71" s="8">
        <v>42711.344328703701</v>
      </c>
      <c r="B71" s="21" t="s">
        <v>231</v>
      </c>
      <c r="C71" s="21" t="s">
        <v>526</v>
      </c>
      <c r="D71" s="165">
        <v>2610000</v>
      </c>
      <c r="E71" s="21" t="s">
        <v>336</v>
      </c>
      <c r="F71" s="21" t="s">
        <v>337</v>
      </c>
      <c r="G71" s="8" t="str">
        <f t="shared" si="1"/>
        <v>MAGEE KENYA</v>
      </c>
    </row>
    <row r="72" spans="1:7" x14ac:dyDescent="0.25">
      <c r="A72" s="8">
        <v>42711.355624999997</v>
      </c>
      <c r="B72" s="21" t="s">
        <v>206</v>
      </c>
      <c r="C72" s="21" t="s">
        <v>527</v>
      </c>
      <c r="D72" s="165">
        <v>1110000</v>
      </c>
      <c r="E72" s="21" t="s">
        <v>317</v>
      </c>
      <c r="F72" s="21" t="s">
        <v>318</v>
      </c>
      <c r="G72" s="8" t="str">
        <f t="shared" si="1"/>
        <v>STARKS ANGELINA</v>
      </c>
    </row>
    <row r="73" spans="1:7" x14ac:dyDescent="0.25">
      <c r="A73" s="8">
        <v>42711.35628472222</v>
      </c>
      <c r="B73" s="21" t="s">
        <v>217</v>
      </c>
      <c r="C73" s="21" t="s">
        <v>528</v>
      </c>
      <c r="D73" s="165">
        <v>900000</v>
      </c>
      <c r="E73" s="21" t="s">
        <v>372</v>
      </c>
      <c r="F73" s="21" t="s">
        <v>373</v>
      </c>
      <c r="G73" s="8" t="str">
        <f t="shared" si="1"/>
        <v>ROCHA YAOTL</v>
      </c>
    </row>
    <row r="74" spans="1:7" x14ac:dyDescent="0.25">
      <c r="A74" s="8">
        <v>42711.35728009259</v>
      </c>
      <c r="B74" s="21" t="s">
        <v>254</v>
      </c>
      <c r="C74" s="21" t="s">
        <v>529</v>
      </c>
      <c r="D74" s="165">
        <v>2270000</v>
      </c>
      <c r="E74" s="21" t="s">
        <v>482</v>
      </c>
      <c r="F74" s="21" t="s">
        <v>483</v>
      </c>
      <c r="G74" s="8" t="str">
        <f t="shared" si="1"/>
        <v>BROWN JACOB</v>
      </c>
    </row>
    <row r="75" spans="1:7" x14ac:dyDescent="0.25">
      <c r="A75" s="8">
        <v>42711.3590625</v>
      </c>
      <c r="B75" s="21" t="s">
        <v>210</v>
      </c>
      <c r="C75" s="21" t="s">
        <v>530</v>
      </c>
      <c r="D75" s="165">
        <v>1100000</v>
      </c>
      <c r="E75" s="21" t="s">
        <v>370</v>
      </c>
      <c r="F75" s="21" t="s">
        <v>371</v>
      </c>
      <c r="G75" s="8" t="str">
        <f t="shared" si="1"/>
        <v>GEBRETEKLE DAGNEW</v>
      </c>
    </row>
    <row r="76" spans="1:7" x14ac:dyDescent="0.25">
      <c r="A76" s="8">
        <v>42711.36277777778</v>
      </c>
      <c r="B76" s="21" t="s">
        <v>215</v>
      </c>
      <c r="C76" s="21" t="s">
        <v>531</v>
      </c>
      <c r="D76" s="165">
        <v>890000</v>
      </c>
      <c r="E76" s="21" t="s">
        <v>510</v>
      </c>
      <c r="F76" s="21" t="s">
        <v>511</v>
      </c>
      <c r="G76" s="8" t="str">
        <f t="shared" si="1"/>
        <v>LOZA FIDEL</v>
      </c>
    </row>
    <row r="77" spans="1:7" x14ac:dyDescent="0.25">
      <c r="A77" s="8">
        <v>42711.365972222222</v>
      </c>
      <c r="B77" s="21" t="s">
        <v>250</v>
      </c>
      <c r="C77" s="21" t="s">
        <v>532</v>
      </c>
      <c r="D77" s="165">
        <v>2280000</v>
      </c>
      <c r="E77" s="21" t="s">
        <v>378</v>
      </c>
      <c r="F77" s="21" t="s">
        <v>379</v>
      </c>
      <c r="G77" s="8" t="str">
        <f t="shared" si="1"/>
        <v>MAHAN DUANE</v>
      </c>
    </row>
    <row r="78" spans="1:7" x14ac:dyDescent="0.25">
      <c r="A78" s="8">
        <v>42711.374409722222</v>
      </c>
      <c r="B78" s="21" t="s">
        <v>208</v>
      </c>
      <c r="C78" s="21" t="s">
        <v>533</v>
      </c>
      <c r="D78" s="165">
        <v>1100000</v>
      </c>
      <c r="E78" s="21" t="s">
        <v>370</v>
      </c>
      <c r="F78" s="21" t="s">
        <v>371</v>
      </c>
      <c r="G78" s="8" t="str">
        <f t="shared" si="1"/>
        <v>GEBRETEKLE DAGNEW</v>
      </c>
    </row>
    <row r="79" spans="1:7" x14ac:dyDescent="0.25">
      <c r="A79" s="8">
        <v>42711.374675925923</v>
      </c>
      <c r="B79" s="21" t="s">
        <v>269</v>
      </c>
      <c r="C79" s="21" t="s">
        <v>534</v>
      </c>
      <c r="D79" s="165">
        <v>2600000</v>
      </c>
      <c r="E79" s="21" t="s">
        <v>246</v>
      </c>
      <c r="F79" s="21" t="s">
        <v>292</v>
      </c>
      <c r="G79" s="8" t="str">
        <f t="shared" si="1"/>
        <v>DAVIDSON DAVID</v>
      </c>
    </row>
    <row r="80" spans="1:7" x14ac:dyDescent="0.25">
      <c r="A80" s="8">
        <v>42711.378206018519</v>
      </c>
      <c r="B80" s="21" t="s">
        <v>299</v>
      </c>
      <c r="C80" s="21" t="s">
        <v>535</v>
      </c>
      <c r="D80" s="165">
        <v>2030000</v>
      </c>
      <c r="E80" s="21" t="s">
        <v>305</v>
      </c>
      <c r="F80" s="21" t="s">
        <v>292</v>
      </c>
      <c r="G80" s="8" t="str">
        <f t="shared" si="1"/>
        <v>KILLION DAVID</v>
      </c>
    </row>
    <row r="81" spans="1:7" x14ac:dyDescent="0.25">
      <c r="A81" s="8">
        <v>42711.381886574076</v>
      </c>
      <c r="B81" s="21" t="s">
        <v>230</v>
      </c>
      <c r="C81" s="21" t="s">
        <v>536</v>
      </c>
      <c r="D81" s="165">
        <v>2610000</v>
      </c>
      <c r="E81" s="21" t="s">
        <v>336</v>
      </c>
      <c r="F81" s="21" t="s">
        <v>337</v>
      </c>
      <c r="G81" s="8" t="str">
        <f t="shared" si="1"/>
        <v>MAGEE KENYA</v>
      </c>
    </row>
    <row r="82" spans="1:7" x14ac:dyDescent="0.25">
      <c r="A82" s="8">
        <v>42711.391168981485</v>
      </c>
      <c r="B82" s="21" t="s">
        <v>333</v>
      </c>
      <c r="C82" s="21" t="s">
        <v>534</v>
      </c>
      <c r="D82" s="165">
        <v>2600000</v>
      </c>
      <c r="E82" s="21" t="s">
        <v>246</v>
      </c>
      <c r="F82" s="21" t="s">
        <v>292</v>
      </c>
      <c r="G82" s="8" t="str">
        <f t="shared" si="1"/>
        <v>DAVIDSON DAVID</v>
      </c>
    </row>
    <row r="83" spans="1:7" x14ac:dyDescent="0.25">
      <c r="A83" s="8">
        <v>42711.393113425926</v>
      </c>
      <c r="B83" s="21" t="s">
        <v>284</v>
      </c>
      <c r="C83" s="21" t="s">
        <v>537</v>
      </c>
      <c r="D83" s="165">
        <v>900000</v>
      </c>
      <c r="E83" s="21" t="s">
        <v>372</v>
      </c>
      <c r="F83" s="21" t="s">
        <v>373</v>
      </c>
      <c r="G83" s="8" t="str">
        <f t="shared" si="1"/>
        <v>ROCHA YAOTL</v>
      </c>
    </row>
    <row r="84" spans="1:7" x14ac:dyDescent="0.25">
      <c r="A84" s="8">
        <v>42711.394328703704</v>
      </c>
      <c r="B84" s="21" t="s">
        <v>237</v>
      </c>
      <c r="C84" s="21" t="s">
        <v>538</v>
      </c>
      <c r="D84" s="165">
        <v>2270000</v>
      </c>
      <c r="E84" s="21" t="s">
        <v>482</v>
      </c>
      <c r="F84" s="21" t="s">
        <v>483</v>
      </c>
      <c r="G84" s="8" t="str">
        <f t="shared" si="1"/>
        <v>BROWN JACOB</v>
      </c>
    </row>
    <row r="85" spans="1:7" x14ac:dyDescent="0.25">
      <c r="A85" s="8">
        <v>42711.395092592589</v>
      </c>
      <c r="B85" s="21" t="s">
        <v>269</v>
      </c>
      <c r="C85" s="21" t="s">
        <v>534</v>
      </c>
      <c r="D85" s="165">
        <v>2600000</v>
      </c>
      <c r="E85" s="21" t="s">
        <v>246</v>
      </c>
      <c r="F85" s="21" t="s">
        <v>292</v>
      </c>
      <c r="G85" s="8" t="str">
        <f t="shared" si="1"/>
        <v>DAVIDSON DAVID</v>
      </c>
    </row>
    <row r="86" spans="1:7" x14ac:dyDescent="0.25">
      <c r="A86" s="8">
        <v>42711.399664351855</v>
      </c>
      <c r="B86" s="21" t="s">
        <v>210</v>
      </c>
      <c r="C86" s="21" t="s">
        <v>539</v>
      </c>
      <c r="D86" s="165">
        <v>1100000</v>
      </c>
      <c r="E86" s="21" t="s">
        <v>370</v>
      </c>
      <c r="F86" s="21" t="s">
        <v>371</v>
      </c>
      <c r="G86" s="8" t="str">
        <f t="shared" si="1"/>
        <v>GEBRETEKLE DAGNEW</v>
      </c>
    </row>
    <row r="87" spans="1:7" x14ac:dyDescent="0.25">
      <c r="A87" s="8">
        <v>42711.402870370373</v>
      </c>
      <c r="B87" s="21" t="s">
        <v>270</v>
      </c>
      <c r="C87" s="21" t="s">
        <v>540</v>
      </c>
      <c r="D87" s="165">
        <v>890000</v>
      </c>
      <c r="E87" s="21" t="s">
        <v>510</v>
      </c>
      <c r="F87" s="21" t="s">
        <v>511</v>
      </c>
      <c r="G87" s="8" t="str">
        <f t="shared" si="1"/>
        <v>LOZA FIDEL</v>
      </c>
    </row>
    <row r="88" spans="1:7" x14ac:dyDescent="0.25">
      <c r="A88" s="8">
        <v>42711.405277777776</v>
      </c>
      <c r="B88" s="21" t="s">
        <v>183</v>
      </c>
      <c r="C88" s="21" t="s">
        <v>541</v>
      </c>
      <c r="D88" s="165">
        <v>2280000</v>
      </c>
      <c r="E88" s="21" t="s">
        <v>378</v>
      </c>
      <c r="F88" s="21" t="s">
        <v>379</v>
      </c>
      <c r="G88" s="8" t="str">
        <f t="shared" si="1"/>
        <v>MAHAN DUANE</v>
      </c>
    </row>
    <row r="89" spans="1:7" x14ac:dyDescent="0.25">
      <c r="A89" s="8">
        <v>42711.411666666667</v>
      </c>
      <c r="B89" s="21" t="s">
        <v>333</v>
      </c>
      <c r="C89" s="21" t="s">
        <v>542</v>
      </c>
      <c r="D89" s="165">
        <v>2600000</v>
      </c>
      <c r="E89" s="21" t="s">
        <v>246</v>
      </c>
      <c r="F89" s="21" t="s">
        <v>292</v>
      </c>
      <c r="G89" s="8" t="str">
        <f t="shared" si="1"/>
        <v>DAVIDSON DAVID</v>
      </c>
    </row>
    <row r="90" spans="1:7" x14ac:dyDescent="0.25">
      <c r="A90" s="8">
        <v>42711.413425925923</v>
      </c>
      <c r="B90" s="21" t="s">
        <v>300</v>
      </c>
      <c r="C90" s="21" t="s">
        <v>543</v>
      </c>
      <c r="D90" s="165">
        <v>2030000</v>
      </c>
      <c r="E90" s="21" t="s">
        <v>305</v>
      </c>
      <c r="F90" s="21" t="s">
        <v>292</v>
      </c>
      <c r="G90" s="8" t="str">
        <f t="shared" si="1"/>
        <v>KILLION DAVID</v>
      </c>
    </row>
    <row r="91" spans="1:7" x14ac:dyDescent="0.25">
      <c r="A91" s="8">
        <v>42711.414560185185</v>
      </c>
      <c r="B91" s="21" t="s">
        <v>208</v>
      </c>
      <c r="C91" s="21" t="s">
        <v>459</v>
      </c>
      <c r="D91" s="165">
        <v>1100000</v>
      </c>
      <c r="E91" s="21" t="s">
        <v>370</v>
      </c>
      <c r="F91" s="21" t="s">
        <v>371</v>
      </c>
      <c r="G91" s="8" t="str">
        <f t="shared" si="1"/>
        <v>GEBRETEKLE DAGNEW</v>
      </c>
    </row>
    <row r="92" spans="1:7" x14ac:dyDescent="0.25">
      <c r="A92" s="8">
        <v>42711.416701388887</v>
      </c>
      <c r="B92" s="21" t="s">
        <v>231</v>
      </c>
      <c r="C92" s="21" t="s">
        <v>458</v>
      </c>
      <c r="D92" s="165">
        <v>2610000</v>
      </c>
      <c r="E92" s="21" t="s">
        <v>336</v>
      </c>
      <c r="F92" s="21" t="s">
        <v>337</v>
      </c>
      <c r="G92" s="8" t="str">
        <f t="shared" si="1"/>
        <v>MAGEE KENYA</v>
      </c>
    </row>
    <row r="93" spans="1:7" x14ac:dyDescent="0.25">
      <c r="A93" s="8">
        <v>42711.427175925928</v>
      </c>
      <c r="B93" s="21" t="s">
        <v>254</v>
      </c>
      <c r="C93" s="21" t="s">
        <v>544</v>
      </c>
      <c r="D93" s="165">
        <v>2270000</v>
      </c>
      <c r="E93" s="21" t="s">
        <v>482</v>
      </c>
      <c r="F93" s="21" t="s">
        <v>483</v>
      </c>
      <c r="G93" s="8" t="str">
        <f t="shared" si="1"/>
        <v>BROWN JACOB</v>
      </c>
    </row>
    <row r="94" spans="1:7" x14ac:dyDescent="0.25">
      <c r="A94" s="8">
        <v>42711.427233796298</v>
      </c>
      <c r="B94" s="21" t="s">
        <v>184</v>
      </c>
      <c r="C94" s="21" t="s">
        <v>545</v>
      </c>
      <c r="D94" s="165">
        <v>900000</v>
      </c>
      <c r="E94" s="21" t="s">
        <v>372</v>
      </c>
      <c r="F94" s="21" t="s">
        <v>373</v>
      </c>
      <c r="G94" s="8" t="str">
        <f t="shared" si="1"/>
        <v>ROCHA YAOTL</v>
      </c>
    </row>
    <row r="95" spans="1:7" x14ac:dyDescent="0.25">
      <c r="A95" s="8">
        <v>42711.4375462963</v>
      </c>
      <c r="B95" s="21" t="s">
        <v>215</v>
      </c>
      <c r="C95" s="21" t="s">
        <v>546</v>
      </c>
      <c r="D95" s="165">
        <v>1110000</v>
      </c>
      <c r="E95" s="21" t="s">
        <v>317</v>
      </c>
      <c r="F95" s="21" t="s">
        <v>318</v>
      </c>
      <c r="G95" s="8" t="str">
        <f t="shared" si="1"/>
        <v>STARKS ANGELINA</v>
      </c>
    </row>
    <row r="96" spans="1:7" x14ac:dyDescent="0.25">
      <c r="A96" s="8">
        <v>42711.439710648148</v>
      </c>
      <c r="B96" s="21" t="s">
        <v>250</v>
      </c>
      <c r="C96" s="21" t="s">
        <v>460</v>
      </c>
      <c r="D96" s="165">
        <v>2280000</v>
      </c>
      <c r="E96" s="21" t="s">
        <v>378</v>
      </c>
      <c r="F96" s="21" t="s">
        <v>379</v>
      </c>
      <c r="G96" s="8" t="str">
        <f t="shared" si="1"/>
        <v>MAHAN DUANE</v>
      </c>
    </row>
    <row r="97" spans="1:7" x14ac:dyDescent="0.25">
      <c r="A97" s="8">
        <v>42711.443113425928</v>
      </c>
      <c r="B97" s="21" t="s">
        <v>210</v>
      </c>
      <c r="C97" s="21" t="s">
        <v>547</v>
      </c>
      <c r="D97" s="165">
        <v>1100000</v>
      </c>
      <c r="E97" s="21" t="s">
        <v>370</v>
      </c>
      <c r="F97" s="21" t="s">
        <v>371</v>
      </c>
      <c r="G97" s="8" t="str">
        <f t="shared" si="1"/>
        <v>GEBRETEKLE DAGNEW</v>
      </c>
    </row>
    <row r="98" spans="1:7" x14ac:dyDescent="0.25">
      <c r="A98" s="8">
        <v>42711.449444444443</v>
      </c>
      <c r="B98" s="21" t="s">
        <v>299</v>
      </c>
      <c r="C98" s="21" t="s">
        <v>548</v>
      </c>
      <c r="D98" s="165">
        <v>2030000</v>
      </c>
      <c r="E98" s="21" t="s">
        <v>305</v>
      </c>
      <c r="F98" s="21" t="s">
        <v>292</v>
      </c>
      <c r="G98" s="8" t="str">
        <f t="shared" si="1"/>
        <v>KILLION DAVID</v>
      </c>
    </row>
    <row r="99" spans="1:7" x14ac:dyDescent="0.25">
      <c r="A99" s="8">
        <v>42711.449930555558</v>
      </c>
      <c r="B99" s="21" t="s">
        <v>269</v>
      </c>
      <c r="C99" s="21" t="s">
        <v>549</v>
      </c>
      <c r="D99" s="165">
        <v>2600000</v>
      </c>
      <c r="E99" s="21" t="s">
        <v>246</v>
      </c>
      <c r="F99" s="21" t="s">
        <v>292</v>
      </c>
      <c r="G99" s="8" t="str">
        <f t="shared" si="1"/>
        <v>DAVIDSON DAVID</v>
      </c>
    </row>
    <row r="100" spans="1:7" x14ac:dyDescent="0.25">
      <c r="A100" s="8">
        <v>42711.452986111108</v>
      </c>
      <c r="B100" s="21" t="s">
        <v>269</v>
      </c>
      <c r="C100" s="21" t="s">
        <v>549</v>
      </c>
      <c r="D100" s="165">
        <v>2600000</v>
      </c>
      <c r="E100" s="21" t="s">
        <v>246</v>
      </c>
      <c r="F100" s="21" t="s">
        <v>292</v>
      </c>
      <c r="G100" s="8" t="str">
        <f t="shared" si="1"/>
        <v>DAVIDSON DAVID</v>
      </c>
    </row>
    <row r="101" spans="1:7" x14ac:dyDescent="0.25">
      <c r="A101" s="8">
        <v>42711.453738425924</v>
      </c>
      <c r="B101" s="21" t="s">
        <v>230</v>
      </c>
      <c r="C101" s="21" t="s">
        <v>550</v>
      </c>
      <c r="D101" s="165">
        <v>940000</v>
      </c>
      <c r="E101" s="21" t="s">
        <v>338</v>
      </c>
      <c r="F101" s="21" t="s">
        <v>339</v>
      </c>
      <c r="G101" s="8" t="str">
        <f t="shared" si="1"/>
        <v>BONDS REYNALDO</v>
      </c>
    </row>
    <row r="102" spans="1:7" x14ac:dyDescent="0.25">
      <c r="A102" s="8">
        <v>42711.456238425926</v>
      </c>
      <c r="B102" s="21" t="s">
        <v>208</v>
      </c>
      <c r="C102" s="21" t="s">
        <v>551</v>
      </c>
      <c r="D102" s="165">
        <v>1100000</v>
      </c>
      <c r="E102" s="21" t="s">
        <v>370</v>
      </c>
      <c r="F102" s="21" t="s">
        <v>371</v>
      </c>
      <c r="G102" s="8" t="str">
        <f t="shared" si="1"/>
        <v>GEBRETEKLE DAGNEW</v>
      </c>
    </row>
    <row r="103" spans="1:7" x14ac:dyDescent="0.25">
      <c r="A103" s="8">
        <v>42711.465717592589</v>
      </c>
      <c r="B103" s="21" t="s">
        <v>237</v>
      </c>
      <c r="C103" s="21" t="s">
        <v>552</v>
      </c>
      <c r="D103" s="165">
        <v>1280000</v>
      </c>
      <c r="E103" s="21" t="s">
        <v>306</v>
      </c>
      <c r="F103" s="21" t="s">
        <v>307</v>
      </c>
      <c r="G103" s="8" t="str">
        <f t="shared" si="1"/>
        <v>BARTLETT KIANDRA</v>
      </c>
    </row>
    <row r="104" spans="1:7" x14ac:dyDescent="0.25">
      <c r="A104" s="8">
        <v>42711.466064814813</v>
      </c>
      <c r="B104" s="21" t="s">
        <v>285</v>
      </c>
      <c r="C104" s="21" t="s">
        <v>553</v>
      </c>
      <c r="D104" s="165">
        <v>900000</v>
      </c>
      <c r="E104" s="21" t="s">
        <v>372</v>
      </c>
      <c r="F104" s="21" t="s">
        <v>373</v>
      </c>
      <c r="G104" s="8" t="str">
        <f t="shared" si="1"/>
        <v>ROCHA YAOTL</v>
      </c>
    </row>
    <row r="105" spans="1:7" x14ac:dyDescent="0.25">
      <c r="A105" s="8">
        <v>42711.475300925929</v>
      </c>
      <c r="B105" s="21" t="s">
        <v>270</v>
      </c>
      <c r="C105" s="21" t="s">
        <v>554</v>
      </c>
      <c r="D105" s="165">
        <v>1110000</v>
      </c>
      <c r="E105" s="21" t="s">
        <v>317</v>
      </c>
      <c r="F105" s="21" t="s">
        <v>318</v>
      </c>
      <c r="G105" s="8" t="str">
        <f t="shared" si="1"/>
        <v>STARKS ANGELINA</v>
      </c>
    </row>
    <row r="106" spans="1:7" x14ac:dyDescent="0.25">
      <c r="A106" s="8">
        <v>42711.477766203701</v>
      </c>
      <c r="B106" s="21" t="s">
        <v>183</v>
      </c>
      <c r="C106" s="21" t="s">
        <v>555</v>
      </c>
      <c r="D106" s="165">
        <v>1540000</v>
      </c>
      <c r="E106" s="21" t="s">
        <v>340</v>
      </c>
      <c r="F106" s="21" t="s">
        <v>341</v>
      </c>
      <c r="G106" s="8" t="str">
        <f t="shared" si="1"/>
        <v>HELVIE ADAM</v>
      </c>
    </row>
    <row r="107" spans="1:7" x14ac:dyDescent="0.25">
      <c r="A107" s="8">
        <v>42711.484166666669</v>
      </c>
      <c r="B107" s="21" t="s">
        <v>210</v>
      </c>
      <c r="C107" s="21" t="s">
        <v>556</v>
      </c>
      <c r="D107" s="165">
        <v>1100000</v>
      </c>
      <c r="E107" s="21" t="s">
        <v>370</v>
      </c>
      <c r="F107" s="21" t="s">
        <v>371</v>
      </c>
      <c r="G107" s="8" t="str">
        <f t="shared" si="1"/>
        <v>GEBRETEKLE DAGNEW</v>
      </c>
    </row>
    <row r="108" spans="1:7" x14ac:dyDescent="0.25">
      <c r="A108" s="8">
        <v>42711.485659722224</v>
      </c>
      <c r="B108" s="21" t="s">
        <v>333</v>
      </c>
      <c r="C108" s="21" t="s">
        <v>557</v>
      </c>
      <c r="D108" s="165">
        <v>2600000</v>
      </c>
      <c r="E108" s="21" t="s">
        <v>246</v>
      </c>
      <c r="F108" s="21" t="s">
        <v>292</v>
      </c>
      <c r="G108" s="8" t="str">
        <f t="shared" si="1"/>
        <v>DAVIDSON DAVID</v>
      </c>
    </row>
    <row r="109" spans="1:7" x14ac:dyDescent="0.25">
      <c r="A109" s="8">
        <v>42711.489537037036</v>
      </c>
      <c r="B109" s="21" t="s">
        <v>300</v>
      </c>
      <c r="C109" s="21" t="s">
        <v>558</v>
      </c>
      <c r="D109" s="165">
        <v>1820000</v>
      </c>
      <c r="E109" s="21" t="s">
        <v>559</v>
      </c>
      <c r="F109" s="21" t="s">
        <v>560</v>
      </c>
      <c r="G109" s="8" t="str">
        <f t="shared" si="1"/>
        <v>ADANE ELSHADAY</v>
      </c>
    </row>
    <row r="110" spans="1:7" x14ac:dyDescent="0.25">
      <c r="A110" s="8">
        <v>42711.489791666667</v>
      </c>
      <c r="B110" s="21" t="s">
        <v>231</v>
      </c>
      <c r="C110" s="21" t="s">
        <v>461</v>
      </c>
      <c r="D110" s="165">
        <v>940000</v>
      </c>
      <c r="E110" s="21" t="s">
        <v>338</v>
      </c>
      <c r="F110" s="21" t="s">
        <v>339</v>
      </c>
      <c r="G110" s="8" t="str">
        <f t="shared" si="1"/>
        <v>BONDS REYNALDO</v>
      </c>
    </row>
    <row r="111" spans="1:7" x14ac:dyDescent="0.25">
      <c r="A111" s="8">
        <v>42711.497129629628</v>
      </c>
      <c r="B111" s="21" t="s">
        <v>184</v>
      </c>
      <c r="C111" s="21" t="s">
        <v>561</v>
      </c>
      <c r="D111" s="165">
        <v>2440000</v>
      </c>
      <c r="E111" s="21" t="s">
        <v>562</v>
      </c>
      <c r="F111" s="21" t="s">
        <v>563</v>
      </c>
      <c r="G111" s="8" t="str">
        <f t="shared" si="1"/>
        <v>LOPES KIMBERLY</v>
      </c>
    </row>
    <row r="112" spans="1:7" x14ac:dyDescent="0.25">
      <c r="A112" s="8">
        <v>42711.498217592591</v>
      </c>
      <c r="B112" s="21" t="s">
        <v>254</v>
      </c>
      <c r="C112" s="21" t="s">
        <v>564</v>
      </c>
      <c r="D112" s="165">
        <v>1280000</v>
      </c>
      <c r="E112" s="21" t="s">
        <v>306</v>
      </c>
      <c r="F112" s="21" t="s">
        <v>307</v>
      </c>
      <c r="G112" s="8" t="str">
        <f t="shared" si="1"/>
        <v>BARTLETT KIANDRA</v>
      </c>
    </row>
    <row r="113" spans="1:7" x14ac:dyDescent="0.25">
      <c r="A113" s="8">
        <v>42711.508136574077</v>
      </c>
      <c r="B113" s="21" t="s">
        <v>208</v>
      </c>
      <c r="C113" s="21" t="s">
        <v>565</v>
      </c>
      <c r="D113" s="165">
        <v>890000</v>
      </c>
      <c r="E113" s="21" t="s">
        <v>510</v>
      </c>
      <c r="F113" s="21" t="s">
        <v>511</v>
      </c>
      <c r="G113" s="8" t="str">
        <f t="shared" si="1"/>
        <v>LOZA FIDEL</v>
      </c>
    </row>
    <row r="114" spans="1:7" x14ac:dyDescent="0.25">
      <c r="A114" s="8">
        <v>42711.51017361111</v>
      </c>
      <c r="B114" s="21" t="s">
        <v>215</v>
      </c>
      <c r="C114" s="21" t="s">
        <v>566</v>
      </c>
      <c r="D114" s="165">
        <v>1770000</v>
      </c>
      <c r="E114" s="21" t="s">
        <v>308</v>
      </c>
      <c r="F114" s="21" t="s">
        <v>309</v>
      </c>
      <c r="G114" s="8" t="str">
        <f t="shared" si="1"/>
        <v>BRUDER RICHARD</v>
      </c>
    </row>
    <row r="115" spans="1:7" x14ac:dyDescent="0.25">
      <c r="A115" s="8">
        <v>42711.514293981483</v>
      </c>
      <c r="B115" s="21" t="s">
        <v>250</v>
      </c>
      <c r="C115" s="21" t="s">
        <v>567</v>
      </c>
      <c r="D115" s="165">
        <v>1540000</v>
      </c>
      <c r="E115" s="21" t="s">
        <v>340</v>
      </c>
      <c r="F115" s="21" t="s">
        <v>341</v>
      </c>
      <c r="G115" s="8" t="str">
        <f t="shared" si="1"/>
        <v>HELVIE ADAM</v>
      </c>
    </row>
    <row r="116" spans="1:7" x14ac:dyDescent="0.25">
      <c r="A116" s="8">
        <v>42711.51971064815</v>
      </c>
      <c r="B116" s="21" t="s">
        <v>269</v>
      </c>
      <c r="C116" s="21" t="s">
        <v>568</v>
      </c>
      <c r="D116" s="165">
        <v>1740000</v>
      </c>
      <c r="E116" s="21" t="s">
        <v>376</v>
      </c>
      <c r="F116" s="21" t="s">
        <v>377</v>
      </c>
      <c r="G116" s="8" t="str">
        <f t="shared" si="1"/>
        <v>STORY SAMANTHA</v>
      </c>
    </row>
    <row r="117" spans="1:7" x14ac:dyDescent="0.25">
      <c r="A117" s="8">
        <v>42711.522696759261</v>
      </c>
      <c r="B117" s="21" t="s">
        <v>299</v>
      </c>
      <c r="C117" s="21" t="s">
        <v>569</v>
      </c>
      <c r="D117" s="165">
        <v>1820000</v>
      </c>
      <c r="E117" s="21" t="s">
        <v>559</v>
      </c>
      <c r="F117" s="21" t="s">
        <v>560</v>
      </c>
      <c r="G117" s="8" t="str">
        <f t="shared" si="1"/>
        <v>ADANE ELSHADAY</v>
      </c>
    </row>
    <row r="118" spans="1:7" x14ac:dyDescent="0.25">
      <c r="A118" s="8">
        <v>42711.527314814812</v>
      </c>
      <c r="B118" s="21" t="s">
        <v>210</v>
      </c>
      <c r="C118" s="21" t="s">
        <v>570</v>
      </c>
      <c r="D118" s="165">
        <v>890000</v>
      </c>
      <c r="E118" s="21" t="s">
        <v>510</v>
      </c>
      <c r="F118" s="21" t="s">
        <v>511</v>
      </c>
      <c r="G118" s="8" t="str">
        <f t="shared" si="1"/>
        <v>LOZA FIDEL</v>
      </c>
    </row>
    <row r="119" spans="1:7" x14ac:dyDescent="0.25">
      <c r="A119" s="8">
        <v>42711.531273148146</v>
      </c>
      <c r="B119" s="21" t="s">
        <v>285</v>
      </c>
      <c r="C119" s="21" t="s">
        <v>462</v>
      </c>
      <c r="D119" s="165">
        <v>2440000</v>
      </c>
      <c r="E119" s="21" t="s">
        <v>562</v>
      </c>
      <c r="F119" s="21" t="s">
        <v>563</v>
      </c>
      <c r="G119" s="8" t="str">
        <f t="shared" si="1"/>
        <v>LOPES KIMBERLY</v>
      </c>
    </row>
    <row r="120" spans="1:7" x14ac:dyDescent="0.25">
      <c r="A120" s="8">
        <v>42711.531724537039</v>
      </c>
      <c r="B120" s="21" t="s">
        <v>230</v>
      </c>
      <c r="C120" s="21" t="s">
        <v>571</v>
      </c>
      <c r="D120" s="165">
        <v>940000</v>
      </c>
      <c r="E120" s="21" t="s">
        <v>338</v>
      </c>
      <c r="F120" s="21" t="s">
        <v>339</v>
      </c>
      <c r="G120" s="8" t="str">
        <f t="shared" si="1"/>
        <v>BONDS REYNALDO</v>
      </c>
    </row>
    <row r="121" spans="1:7" x14ac:dyDescent="0.25">
      <c r="A121" s="8">
        <v>42711.53633101852</v>
      </c>
      <c r="B121" s="21" t="s">
        <v>237</v>
      </c>
      <c r="C121" s="21" t="s">
        <v>572</v>
      </c>
      <c r="D121" s="165">
        <v>1280000</v>
      </c>
      <c r="E121" s="21" t="s">
        <v>306</v>
      </c>
      <c r="F121" s="21" t="s">
        <v>307</v>
      </c>
      <c r="G121" s="8" t="str">
        <f t="shared" si="1"/>
        <v>BARTLETT KIANDRA</v>
      </c>
    </row>
    <row r="122" spans="1:7" x14ac:dyDescent="0.25">
      <c r="A122" s="8">
        <v>42711.546701388892</v>
      </c>
      <c r="B122" s="26" t="s">
        <v>270</v>
      </c>
      <c r="C122" s="21" t="s">
        <v>573</v>
      </c>
      <c r="D122" s="165">
        <v>1770000</v>
      </c>
      <c r="E122" s="21" t="s">
        <v>308</v>
      </c>
      <c r="F122" s="21" t="s">
        <v>309</v>
      </c>
      <c r="G122" s="8" t="str">
        <f t="shared" si="1"/>
        <v>BRUDER RICHARD</v>
      </c>
    </row>
    <row r="123" spans="1:7" x14ac:dyDescent="0.25">
      <c r="A123" s="8">
        <v>42711.549131944441</v>
      </c>
      <c r="B123" s="21" t="s">
        <v>183</v>
      </c>
      <c r="C123" s="21" t="s">
        <v>574</v>
      </c>
      <c r="D123" s="165">
        <v>1540000</v>
      </c>
      <c r="E123" s="21" t="s">
        <v>340</v>
      </c>
      <c r="F123" s="21" t="s">
        <v>341</v>
      </c>
      <c r="G123" s="8" t="str">
        <f t="shared" si="1"/>
        <v>HELVIE ADAM</v>
      </c>
    </row>
    <row r="124" spans="1:7" x14ac:dyDescent="0.25">
      <c r="A124" s="8">
        <v>42711.549837962964</v>
      </c>
      <c r="B124" s="21" t="s">
        <v>208</v>
      </c>
      <c r="C124" s="21" t="s">
        <v>463</v>
      </c>
      <c r="D124" s="165">
        <v>2040000</v>
      </c>
      <c r="E124" s="21" t="s">
        <v>575</v>
      </c>
      <c r="F124" s="21" t="s">
        <v>576</v>
      </c>
      <c r="G124" s="8" t="str">
        <f t="shared" si="1"/>
        <v>MOSES BRADLEY</v>
      </c>
    </row>
    <row r="125" spans="1:7" x14ac:dyDescent="0.25">
      <c r="A125" s="8">
        <v>42711.556712962964</v>
      </c>
      <c r="B125" s="21" t="s">
        <v>333</v>
      </c>
      <c r="C125" s="21" t="s">
        <v>577</v>
      </c>
      <c r="D125" s="165">
        <v>1740000</v>
      </c>
      <c r="E125" s="21" t="s">
        <v>376</v>
      </c>
      <c r="F125" s="21" t="s">
        <v>377</v>
      </c>
      <c r="G125" s="8" t="str">
        <f t="shared" si="1"/>
        <v>STORY SAMANTHA</v>
      </c>
    </row>
    <row r="126" spans="1:7" x14ac:dyDescent="0.25">
      <c r="A126" s="8">
        <v>42711.55846064815</v>
      </c>
      <c r="B126" s="21" t="s">
        <v>300</v>
      </c>
      <c r="C126" s="21" t="s">
        <v>578</v>
      </c>
      <c r="D126" s="165">
        <v>1820000</v>
      </c>
      <c r="E126" s="21" t="s">
        <v>559</v>
      </c>
      <c r="F126" s="21" t="s">
        <v>560</v>
      </c>
      <c r="G126" s="8" t="str">
        <f t="shared" si="1"/>
        <v>ADANE ELSHADAY</v>
      </c>
    </row>
    <row r="127" spans="1:7" x14ac:dyDescent="0.25">
      <c r="A127" s="8">
        <v>42711.56559027778</v>
      </c>
      <c r="B127" s="21" t="s">
        <v>231</v>
      </c>
      <c r="C127" s="21" t="s">
        <v>579</v>
      </c>
      <c r="D127" s="165">
        <v>940000</v>
      </c>
      <c r="E127" s="21" t="s">
        <v>338</v>
      </c>
      <c r="F127" s="21" t="s">
        <v>339</v>
      </c>
      <c r="G127" s="8" t="str">
        <f t="shared" si="1"/>
        <v>BONDS REYNALDO</v>
      </c>
    </row>
    <row r="128" spans="1:7" x14ac:dyDescent="0.25">
      <c r="A128" s="8">
        <v>42711.568622685183</v>
      </c>
      <c r="B128" s="21" t="s">
        <v>210</v>
      </c>
      <c r="C128" s="21" t="s">
        <v>580</v>
      </c>
      <c r="D128" s="165">
        <v>2040000</v>
      </c>
      <c r="E128" s="21" t="s">
        <v>575</v>
      </c>
      <c r="F128" s="21" t="s">
        <v>576</v>
      </c>
      <c r="G128" s="8" t="str">
        <f t="shared" si="1"/>
        <v>MOSES BRADLEY</v>
      </c>
    </row>
    <row r="129" spans="1:7" x14ac:dyDescent="0.25">
      <c r="A129" s="8">
        <v>42711.570914351854</v>
      </c>
      <c r="B129" s="21" t="s">
        <v>184</v>
      </c>
      <c r="C129" s="21" t="s">
        <v>581</v>
      </c>
      <c r="D129" s="165">
        <v>2440000</v>
      </c>
      <c r="E129" s="21" t="s">
        <v>562</v>
      </c>
      <c r="F129" s="21" t="s">
        <v>563</v>
      </c>
      <c r="G129" s="8" t="str">
        <f t="shared" si="1"/>
        <v>LOPES KIMBERLY</v>
      </c>
    </row>
    <row r="130" spans="1:7" x14ac:dyDescent="0.25">
      <c r="A130" s="8">
        <v>42711.577349537038</v>
      </c>
      <c r="B130" s="21" t="s">
        <v>254</v>
      </c>
      <c r="C130" s="21" t="s">
        <v>582</v>
      </c>
      <c r="D130" s="165">
        <v>1280000</v>
      </c>
      <c r="E130" s="21" t="s">
        <v>306</v>
      </c>
      <c r="F130" s="21" t="s">
        <v>307</v>
      </c>
      <c r="G130" s="8" t="str">
        <f t="shared" si="1"/>
        <v>BARTLETT KIANDRA</v>
      </c>
    </row>
    <row r="131" spans="1:7" x14ac:dyDescent="0.25">
      <c r="A131" s="8">
        <v>42711.580266203702</v>
      </c>
      <c r="B131" s="21" t="s">
        <v>215</v>
      </c>
      <c r="C131" s="21" t="s">
        <v>583</v>
      </c>
      <c r="D131" s="165">
        <v>1770000</v>
      </c>
      <c r="E131" s="21" t="s">
        <v>308</v>
      </c>
      <c r="F131" s="21" t="s">
        <v>309</v>
      </c>
      <c r="G131" s="8" t="str">
        <f t="shared" ref="G131:G194" si="2">E131&amp;" "&amp;F131</f>
        <v>BRUDER RICHARD</v>
      </c>
    </row>
    <row r="132" spans="1:7" x14ac:dyDescent="0.25">
      <c r="A132" s="8">
        <v>42711.587893518517</v>
      </c>
      <c r="B132" s="21" t="s">
        <v>250</v>
      </c>
      <c r="C132" s="21" t="s">
        <v>584</v>
      </c>
      <c r="D132" s="165">
        <v>1540000</v>
      </c>
      <c r="E132" s="21" t="s">
        <v>340</v>
      </c>
      <c r="F132" s="21" t="s">
        <v>341</v>
      </c>
      <c r="G132" s="8" t="str">
        <f t="shared" si="2"/>
        <v>HELVIE ADAM</v>
      </c>
    </row>
    <row r="133" spans="1:7" x14ac:dyDescent="0.25">
      <c r="A133" s="8">
        <v>42711.589837962965</v>
      </c>
      <c r="B133" s="21" t="s">
        <v>299</v>
      </c>
      <c r="C133" s="21" t="s">
        <v>464</v>
      </c>
      <c r="D133" s="165">
        <v>1820000</v>
      </c>
      <c r="E133" s="21" t="s">
        <v>559</v>
      </c>
      <c r="F133" s="21" t="s">
        <v>560</v>
      </c>
      <c r="G133" s="8" t="str">
        <f t="shared" si="2"/>
        <v>ADANE ELSHADAY</v>
      </c>
    </row>
    <row r="134" spans="1:7" x14ac:dyDescent="0.25">
      <c r="A134" s="8">
        <v>42711.591284722221</v>
      </c>
      <c r="B134" s="21" t="s">
        <v>269</v>
      </c>
      <c r="C134" s="21" t="s">
        <v>585</v>
      </c>
      <c r="D134" s="165">
        <v>1740000</v>
      </c>
      <c r="E134" s="21" t="s">
        <v>376</v>
      </c>
      <c r="F134" s="21" t="s">
        <v>377</v>
      </c>
      <c r="G134" s="8" t="str">
        <f t="shared" si="2"/>
        <v>STORY SAMANTHA</v>
      </c>
    </row>
    <row r="135" spans="1:7" x14ac:dyDescent="0.25">
      <c r="A135" s="8">
        <v>42711.593344907407</v>
      </c>
      <c r="B135" s="21" t="s">
        <v>208</v>
      </c>
      <c r="C135" s="21" t="s">
        <v>586</v>
      </c>
      <c r="D135" s="165">
        <v>2040000</v>
      </c>
      <c r="E135" s="21" t="s">
        <v>575</v>
      </c>
      <c r="F135" s="21" t="s">
        <v>576</v>
      </c>
      <c r="G135" s="8" t="str">
        <f t="shared" si="2"/>
        <v>MOSES BRADLEY</v>
      </c>
    </row>
    <row r="136" spans="1:7" x14ac:dyDescent="0.25">
      <c r="A136" s="8">
        <v>42711.599490740744</v>
      </c>
      <c r="B136" s="21" t="s">
        <v>230</v>
      </c>
      <c r="C136" s="21" t="s">
        <v>587</v>
      </c>
      <c r="D136" s="165">
        <v>940000</v>
      </c>
      <c r="E136" s="21" t="s">
        <v>338</v>
      </c>
      <c r="F136" s="21" t="s">
        <v>339</v>
      </c>
      <c r="G136" s="8" t="str">
        <f t="shared" si="2"/>
        <v>BONDS REYNALDO</v>
      </c>
    </row>
    <row r="137" spans="1:7" x14ac:dyDescent="0.25">
      <c r="A137" s="8">
        <v>42711.602361111109</v>
      </c>
      <c r="B137" s="21" t="s">
        <v>285</v>
      </c>
      <c r="C137" s="21" t="s">
        <v>588</v>
      </c>
      <c r="D137" s="165">
        <v>2440000</v>
      </c>
      <c r="E137" s="21" t="s">
        <v>562</v>
      </c>
      <c r="F137" s="21" t="s">
        <v>563</v>
      </c>
      <c r="G137" s="8" t="str">
        <f t="shared" si="2"/>
        <v>LOPES KIMBERLY</v>
      </c>
    </row>
    <row r="138" spans="1:7" x14ac:dyDescent="0.25">
      <c r="A138" s="8">
        <v>42711.609178240738</v>
      </c>
      <c r="B138" s="21" t="s">
        <v>237</v>
      </c>
      <c r="C138" s="21" t="s">
        <v>589</v>
      </c>
      <c r="D138" s="165">
        <v>1280000</v>
      </c>
      <c r="E138" s="21" t="s">
        <v>306</v>
      </c>
      <c r="F138" s="21" t="s">
        <v>307</v>
      </c>
      <c r="G138" s="8" t="str">
        <f t="shared" si="2"/>
        <v>BARTLETT KIANDRA</v>
      </c>
    </row>
    <row r="139" spans="1:7" x14ac:dyDescent="0.25">
      <c r="A139" s="8">
        <v>42711.611620370371</v>
      </c>
      <c r="B139" s="21" t="s">
        <v>210</v>
      </c>
      <c r="C139" s="21" t="s">
        <v>590</v>
      </c>
      <c r="D139" s="165">
        <v>2040000</v>
      </c>
      <c r="E139" s="21" t="s">
        <v>575</v>
      </c>
      <c r="F139" s="21" t="s">
        <v>576</v>
      </c>
      <c r="G139" s="8" t="str">
        <f t="shared" si="2"/>
        <v>MOSES BRADLEY</v>
      </c>
    </row>
    <row r="140" spans="1:7" x14ac:dyDescent="0.25">
      <c r="A140" s="8">
        <v>42711.617152777777</v>
      </c>
      <c r="B140" s="21" t="s">
        <v>270</v>
      </c>
      <c r="C140" s="21" t="s">
        <v>591</v>
      </c>
      <c r="D140" s="165">
        <v>1770000</v>
      </c>
      <c r="E140" s="21" t="s">
        <v>308</v>
      </c>
      <c r="F140" s="21" t="s">
        <v>309</v>
      </c>
      <c r="G140" s="8" t="str">
        <f t="shared" si="2"/>
        <v>BRUDER RICHARD</v>
      </c>
    </row>
    <row r="141" spans="1:7" x14ac:dyDescent="0.25">
      <c r="A141" s="8">
        <v>42711.622187499997</v>
      </c>
      <c r="B141" s="21" t="s">
        <v>183</v>
      </c>
      <c r="C141" s="21" t="s">
        <v>592</v>
      </c>
      <c r="D141" s="165">
        <v>1540000</v>
      </c>
      <c r="E141" s="21" t="s">
        <v>340</v>
      </c>
      <c r="F141" s="21" t="s">
        <v>341</v>
      </c>
      <c r="G141" s="8" t="str">
        <f t="shared" si="2"/>
        <v>HELVIE ADAM</v>
      </c>
    </row>
    <row r="142" spans="1:7" x14ac:dyDescent="0.25">
      <c r="A142" s="8">
        <v>42711.629201388889</v>
      </c>
      <c r="B142" s="21" t="s">
        <v>333</v>
      </c>
      <c r="C142" s="21" t="s">
        <v>593</v>
      </c>
      <c r="D142" s="165">
        <v>1740000</v>
      </c>
      <c r="E142" s="21" t="s">
        <v>376</v>
      </c>
      <c r="F142" s="21" t="s">
        <v>377</v>
      </c>
      <c r="G142" s="8" t="str">
        <f t="shared" si="2"/>
        <v>STORY SAMANTHA</v>
      </c>
    </row>
    <row r="143" spans="1:7" x14ac:dyDescent="0.25">
      <c r="A143" s="8">
        <v>42711.632245370369</v>
      </c>
      <c r="B143" s="21" t="s">
        <v>300</v>
      </c>
      <c r="C143" s="21" t="s">
        <v>465</v>
      </c>
      <c r="D143" s="165">
        <v>1820000</v>
      </c>
      <c r="E143" s="21" t="s">
        <v>559</v>
      </c>
      <c r="F143" s="21" t="s">
        <v>560</v>
      </c>
      <c r="G143" s="8" t="str">
        <f t="shared" si="2"/>
        <v>ADANE ELSHADAY</v>
      </c>
    </row>
    <row r="144" spans="1:7" x14ac:dyDescent="0.25">
      <c r="A144" s="8">
        <v>42711.633009259262</v>
      </c>
      <c r="B144" s="21" t="s">
        <v>231</v>
      </c>
      <c r="C144" s="21" t="s">
        <v>594</v>
      </c>
      <c r="D144" s="165">
        <v>940000</v>
      </c>
      <c r="E144" s="21" t="s">
        <v>338</v>
      </c>
      <c r="F144" s="21" t="s">
        <v>339</v>
      </c>
      <c r="G144" s="8" t="str">
        <f t="shared" si="2"/>
        <v>BONDS REYNALDO</v>
      </c>
    </row>
    <row r="145" spans="1:7" x14ac:dyDescent="0.25">
      <c r="A145" s="8">
        <v>42711.636643518519</v>
      </c>
      <c r="B145" s="21" t="s">
        <v>208</v>
      </c>
      <c r="C145" s="21" t="s">
        <v>595</v>
      </c>
      <c r="D145" s="165">
        <v>2040000</v>
      </c>
      <c r="E145" s="21" t="s">
        <v>575</v>
      </c>
      <c r="F145" s="21" t="s">
        <v>576</v>
      </c>
      <c r="G145" s="8" t="str">
        <f t="shared" si="2"/>
        <v>MOSES BRADLEY</v>
      </c>
    </row>
    <row r="146" spans="1:7" x14ac:dyDescent="0.25">
      <c r="A146" s="8">
        <v>42711.641261574077</v>
      </c>
      <c r="B146" s="21" t="s">
        <v>213</v>
      </c>
      <c r="C146" s="21" t="s">
        <v>596</v>
      </c>
      <c r="D146" s="165">
        <v>1180000</v>
      </c>
      <c r="E146" s="21" t="s">
        <v>271</v>
      </c>
      <c r="F146" s="21" t="s">
        <v>293</v>
      </c>
      <c r="G146" s="8" t="str">
        <f t="shared" si="2"/>
        <v>LEVERE CRAIG</v>
      </c>
    </row>
    <row r="147" spans="1:7" x14ac:dyDescent="0.25">
      <c r="A147" s="8">
        <v>42711.641909722224</v>
      </c>
      <c r="B147" s="21" t="s">
        <v>184</v>
      </c>
      <c r="C147" s="21" t="s">
        <v>597</v>
      </c>
      <c r="D147" s="165">
        <v>2440000</v>
      </c>
      <c r="E147" s="21" t="s">
        <v>562</v>
      </c>
      <c r="F147" s="21" t="s">
        <v>563</v>
      </c>
      <c r="G147" s="8" t="str">
        <f t="shared" si="2"/>
        <v>LOPES KIMBERLY</v>
      </c>
    </row>
    <row r="148" spans="1:7" x14ac:dyDescent="0.25">
      <c r="A148" s="8">
        <v>42711.643611111111</v>
      </c>
      <c r="B148" s="21" t="s">
        <v>254</v>
      </c>
      <c r="C148" s="21" t="s">
        <v>598</v>
      </c>
      <c r="D148" s="165">
        <v>1280000</v>
      </c>
      <c r="E148" s="21" t="s">
        <v>306</v>
      </c>
      <c r="F148" s="21" t="s">
        <v>307</v>
      </c>
      <c r="G148" s="8" t="str">
        <f t="shared" si="2"/>
        <v>BARTLETT KIANDRA</v>
      </c>
    </row>
    <row r="149" spans="1:7" x14ac:dyDescent="0.25">
      <c r="A149" s="8">
        <v>42711.652141203704</v>
      </c>
      <c r="B149" s="21" t="s">
        <v>215</v>
      </c>
      <c r="C149" s="21" t="s">
        <v>599</v>
      </c>
      <c r="D149" s="165">
        <v>1770000</v>
      </c>
      <c r="E149" s="21" t="s">
        <v>308</v>
      </c>
      <c r="F149" s="21" t="s">
        <v>309</v>
      </c>
      <c r="G149" s="8" t="str">
        <f t="shared" si="2"/>
        <v>BRUDER RICHARD</v>
      </c>
    </row>
    <row r="150" spans="1:7" x14ac:dyDescent="0.25">
      <c r="A150" s="8">
        <v>42711.652222222219</v>
      </c>
      <c r="B150" s="21" t="s">
        <v>210</v>
      </c>
      <c r="C150" s="21" t="s">
        <v>466</v>
      </c>
      <c r="D150" s="165">
        <v>2040000</v>
      </c>
      <c r="E150" s="21" t="s">
        <v>575</v>
      </c>
      <c r="F150" s="21" t="s">
        <v>576</v>
      </c>
      <c r="G150" s="8" t="str">
        <f t="shared" si="2"/>
        <v>MOSES BRADLEY</v>
      </c>
    </row>
    <row r="151" spans="1:7" x14ac:dyDescent="0.25">
      <c r="A151" s="8">
        <v>42711.653587962966</v>
      </c>
      <c r="B151" s="21" t="s">
        <v>206</v>
      </c>
      <c r="C151" s="21" t="s">
        <v>600</v>
      </c>
      <c r="D151" s="165">
        <v>1180000</v>
      </c>
      <c r="E151" s="21" t="s">
        <v>271</v>
      </c>
      <c r="F151" s="21" t="s">
        <v>293</v>
      </c>
      <c r="G151" s="8" t="str">
        <f t="shared" si="2"/>
        <v>LEVERE CRAIG</v>
      </c>
    </row>
    <row r="152" spans="1:7" x14ac:dyDescent="0.25">
      <c r="A152" s="8">
        <v>42711.660983796297</v>
      </c>
      <c r="B152" s="21" t="s">
        <v>250</v>
      </c>
      <c r="C152" s="21" t="s">
        <v>601</v>
      </c>
      <c r="D152" s="165">
        <v>1540000</v>
      </c>
      <c r="E152" s="21" t="s">
        <v>340</v>
      </c>
      <c r="F152" s="21" t="s">
        <v>341</v>
      </c>
      <c r="G152" s="8" t="str">
        <f t="shared" si="2"/>
        <v>HELVIE ADAM</v>
      </c>
    </row>
    <row r="153" spans="1:7" x14ac:dyDescent="0.25">
      <c r="A153" s="8">
        <v>42711.663877314815</v>
      </c>
      <c r="B153" s="21" t="s">
        <v>269</v>
      </c>
      <c r="C153" s="21" t="s">
        <v>602</v>
      </c>
      <c r="D153" s="165">
        <v>1740000</v>
      </c>
      <c r="E153" s="21" t="s">
        <v>376</v>
      </c>
      <c r="F153" s="21" t="s">
        <v>377</v>
      </c>
      <c r="G153" s="8" t="str">
        <f t="shared" si="2"/>
        <v>STORY SAMANTHA</v>
      </c>
    </row>
    <row r="154" spans="1:7" x14ac:dyDescent="0.25">
      <c r="A154" s="8">
        <v>42711.664953703701</v>
      </c>
      <c r="B154" s="21" t="s">
        <v>299</v>
      </c>
      <c r="C154" s="21" t="s">
        <v>603</v>
      </c>
      <c r="D154" s="165">
        <v>1820000</v>
      </c>
      <c r="E154" s="21" t="s">
        <v>559</v>
      </c>
      <c r="F154" s="21" t="s">
        <v>560</v>
      </c>
      <c r="G154" s="8" t="str">
        <f t="shared" si="2"/>
        <v>ADANE ELSHADAY</v>
      </c>
    </row>
    <row r="155" spans="1:7" x14ac:dyDescent="0.25">
      <c r="A155" s="8">
        <v>42711.672974537039</v>
      </c>
      <c r="B155" s="21" t="s">
        <v>213</v>
      </c>
      <c r="C155" s="21" t="s">
        <v>604</v>
      </c>
      <c r="D155" s="165">
        <v>1180000</v>
      </c>
      <c r="E155" s="21" t="s">
        <v>271</v>
      </c>
      <c r="F155" s="21" t="s">
        <v>293</v>
      </c>
      <c r="G155" s="8" t="str">
        <f t="shared" si="2"/>
        <v>LEVERE CRAIG</v>
      </c>
    </row>
    <row r="156" spans="1:7" x14ac:dyDescent="0.25">
      <c r="A156" s="8">
        <v>42711.673321759263</v>
      </c>
      <c r="B156" s="21" t="s">
        <v>230</v>
      </c>
      <c r="C156" s="21" t="s">
        <v>605</v>
      </c>
      <c r="D156" s="165">
        <v>940000</v>
      </c>
      <c r="E156" s="21" t="s">
        <v>338</v>
      </c>
      <c r="F156" s="21" t="s">
        <v>339</v>
      </c>
      <c r="G156" s="8" t="str">
        <f t="shared" si="2"/>
        <v>BONDS REYNALDO</v>
      </c>
    </row>
    <row r="157" spans="1:7" x14ac:dyDescent="0.25">
      <c r="A157" s="8">
        <v>42711.673726851855</v>
      </c>
      <c r="B157" s="21" t="s">
        <v>208</v>
      </c>
      <c r="C157" s="21" t="s">
        <v>606</v>
      </c>
      <c r="D157" s="165">
        <v>2040000</v>
      </c>
      <c r="E157" s="21" t="s">
        <v>575</v>
      </c>
      <c r="F157" s="21" t="s">
        <v>576</v>
      </c>
      <c r="G157" s="8" t="str">
        <f t="shared" si="2"/>
        <v>MOSES BRADLEY</v>
      </c>
    </row>
    <row r="158" spans="1:7" x14ac:dyDescent="0.25">
      <c r="A158" s="8">
        <v>42711.676319444443</v>
      </c>
      <c r="B158" s="21" t="s">
        <v>285</v>
      </c>
      <c r="C158" s="21" t="s">
        <v>607</v>
      </c>
      <c r="D158" s="165">
        <v>2440000</v>
      </c>
      <c r="E158" s="21" t="s">
        <v>562</v>
      </c>
      <c r="F158" s="21" t="s">
        <v>563</v>
      </c>
      <c r="G158" s="8" t="str">
        <f t="shared" si="2"/>
        <v>LOPES KIMBERLY</v>
      </c>
    </row>
    <row r="159" spans="1:7" x14ac:dyDescent="0.25">
      <c r="A159" s="8">
        <v>42711.684560185182</v>
      </c>
      <c r="B159" s="21" t="s">
        <v>237</v>
      </c>
      <c r="C159" s="21" t="s">
        <v>608</v>
      </c>
      <c r="D159" s="165">
        <v>1280000</v>
      </c>
      <c r="E159" s="21" t="s">
        <v>306</v>
      </c>
      <c r="F159" s="21" t="s">
        <v>307</v>
      </c>
      <c r="G159" s="8" t="str">
        <f t="shared" si="2"/>
        <v>BARTLETT KIANDRA</v>
      </c>
    </row>
    <row r="160" spans="1:7" x14ac:dyDescent="0.25">
      <c r="A160" s="8">
        <v>42711.690405092595</v>
      </c>
      <c r="B160" s="21" t="s">
        <v>270</v>
      </c>
      <c r="C160" s="21" t="s">
        <v>609</v>
      </c>
      <c r="D160" s="165">
        <v>1770000</v>
      </c>
      <c r="E160" s="21" t="s">
        <v>308</v>
      </c>
      <c r="F160" s="21" t="s">
        <v>309</v>
      </c>
      <c r="G160" s="8" t="str">
        <f t="shared" si="2"/>
        <v>BRUDER RICHARD</v>
      </c>
    </row>
    <row r="161" spans="1:7" x14ac:dyDescent="0.25">
      <c r="A161" s="8">
        <v>42711.693877314814</v>
      </c>
      <c r="B161" s="21" t="s">
        <v>206</v>
      </c>
      <c r="C161" s="21" t="s">
        <v>610</v>
      </c>
      <c r="D161" s="165">
        <v>1180000</v>
      </c>
      <c r="E161" s="21" t="s">
        <v>271</v>
      </c>
      <c r="F161" s="21" t="s">
        <v>293</v>
      </c>
      <c r="G161" s="8" t="str">
        <f t="shared" si="2"/>
        <v>LEVERE CRAIG</v>
      </c>
    </row>
    <row r="162" spans="1:7" x14ac:dyDescent="0.25">
      <c r="A162" s="8">
        <v>42711.694351851853</v>
      </c>
      <c r="B162" s="21" t="s">
        <v>210</v>
      </c>
      <c r="C162" s="21" t="s">
        <v>611</v>
      </c>
      <c r="D162" s="165">
        <v>2040000</v>
      </c>
      <c r="E162" s="21" t="s">
        <v>575</v>
      </c>
      <c r="F162" s="21" t="s">
        <v>576</v>
      </c>
      <c r="G162" s="8" t="str">
        <f t="shared" si="2"/>
        <v>MOSES BRADLEY</v>
      </c>
    </row>
    <row r="163" spans="1:7" x14ac:dyDescent="0.25">
      <c r="A163" s="8">
        <v>42711.694456018522</v>
      </c>
      <c r="B163" s="21" t="s">
        <v>183</v>
      </c>
      <c r="C163" s="21" t="s">
        <v>612</v>
      </c>
      <c r="D163" s="165">
        <v>1540000</v>
      </c>
      <c r="E163" s="21" t="s">
        <v>340</v>
      </c>
      <c r="F163" s="21" t="s">
        <v>341</v>
      </c>
      <c r="G163" s="8" t="str">
        <f t="shared" si="2"/>
        <v>HELVIE ADAM</v>
      </c>
    </row>
    <row r="164" spans="1:7" x14ac:dyDescent="0.25">
      <c r="A164" s="8">
        <v>42711.700185185182</v>
      </c>
      <c r="B164" s="21" t="s">
        <v>333</v>
      </c>
      <c r="C164" s="21" t="s">
        <v>613</v>
      </c>
      <c r="D164" s="165">
        <v>1740000</v>
      </c>
      <c r="E164" s="21" t="s">
        <v>376</v>
      </c>
      <c r="F164" s="21" t="s">
        <v>377</v>
      </c>
      <c r="G164" s="8" t="str">
        <f t="shared" si="2"/>
        <v>STORY SAMANTHA</v>
      </c>
    </row>
    <row r="165" spans="1:7" x14ac:dyDescent="0.25">
      <c r="A165" s="8">
        <v>42711.705347222225</v>
      </c>
      <c r="B165" s="21" t="s">
        <v>231</v>
      </c>
      <c r="C165" s="21" t="s">
        <v>468</v>
      </c>
      <c r="D165" s="165">
        <v>940000</v>
      </c>
      <c r="E165" s="21" t="s">
        <v>338</v>
      </c>
      <c r="F165" s="21" t="s">
        <v>339</v>
      </c>
      <c r="G165" s="8" t="str">
        <f t="shared" si="2"/>
        <v>BONDS REYNALDO</v>
      </c>
    </row>
    <row r="166" spans="1:7" x14ac:dyDescent="0.25">
      <c r="A166" s="8">
        <v>42711.70584490741</v>
      </c>
      <c r="B166" s="21" t="s">
        <v>300</v>
      </c>
      <c r="C166" s="21" t="s">
        <v>614</v>
      </c>
      <c r="D166" s="165">
        <v>1820000</v>
      </c>
      <c r="E166" s="21" t="s">
        <v>559</v>
      </c>
      <c r="F166" s="21" t="s">
        <v>560</v>
      </c>
      <c r="G166" s="8" t="str">
        <f t="shared" si="2"/>
        <v>ADANE ELSHADAY</v>
      </c>
    </row>
    <row r="167" spans="1:7" x14ac:dyDescent="0.25">
      <c r="A167" s="8">
        <v>42711.711712962962</v>
      </c>
      <c r="B167" s="21" t="s">
        <v>208</v>
      </c>
      <c r="C167" s="21" t="s">
        <v>615</v>
      </c>
      <c r="D167" s="165">
        <v>2040000</v>
      </c>
      <c r="E167" s="21" t="s">
        <v>575</v>
      </c>
      <c r="F167" s="21" t="s">
        <v>576</v>
      </c>
      <c r="G167" s="8" t="str">
        <f t="shared" si="2"/>
        <v>MOSES BRADLEY</v>
      </c>
    </row>
    <row r="168" spans="1:7" x14ac:dyDescent="0.25">
      <c r="A168" s="8">
        <v>42711.712789351855</v>
      </c>
      <c r="B168" s="21" t="s">
        <v>365</v>
      </c>
      <c r="C168" s="21" t="s">
        <v>616</v>
      </c>
      <c r="D168" s="165">
        <v>1230000</v>
      </c>
      <c r="E168" s="21" t="s">
        <v>276</v>
      </c>
      <c r="F168" s="21" t="s">
        <v>291</v>
      </c>
      <c r="G168" s="8" t="str">
        <f t="shared" si="2"/>
        <v>YANAI IAN</v>
      </c>
    </row>
    <row r="169" spans="1:7" x14ac:dyDescent="0.25">
      <c r="A169" s="8">
        <v>42711.714803240742</v>
      </c>
      <c r="B169" s="21" t="s">
        <v>213</v>
      </c>
      <c r="C169" s="21" t="s">
        <v>617</v>
      </c>
      <c r="D169" s="165">
        <v>1180000</v>
      </c>
      <c r="E169" s="21" t="s">
        <v>271</v>
      </c>
      <c r="F169" s="21" t="s">
        <v>293</v>
      </c>
      <c r="G169" s="8" t="str">
        <f t="shared" si="2"/>
        <v>LEVERE CRAIG</v>
      </c>
    </row>
    <row r="170" spans="1:7" x14ac:dyDescent="0.25">
      <c r="A170" s="8">
        <v>42711.716307870367</v>
      </c>
      <c r="B170" s="21" t="s">
        <v>184</v>
      </c>
      <c r="C170" s="21" t="s">
        <v>618</v>
      </c>
      <c r="D170" s="165">
        <v>2000000</v>
      </c>
      <c r="E170" s="21" t="s">
        <v>212</v>
      </c>
      <c r="F170" s="21" t="s">
        <v>295</v>
      </c>
      <c r="G170" s="8" t="str">
        <f t="shared" si="2"/>
        <v>STAMBAUGH JAMES</v>
      </c>
    </row>
    <row r="171" spans="1:7" x14ac:dyDescent="0.25">
      <c r="A171" s="8">
        <v>42711.71702546296</v>
      </c>
      <c r="B171" s="21" t="s">
        <v>254</v>
      </c>
      <c r="C171" s="21" t="s">
        <v>619</v>
      </c>
      <c r="D171" s="165">
        <v>1280000</v>
      </c>
      <c r="E171" s="21" t="s">
        <v>306</v>
      </c>
      <c r="F171" s="21" t="s">
        <v>307</v>
      </c>
      <c r="G171" s="8" t="str">
        <f t="shared" si="2"/>
        <v>BARTLETT KIANDRA</v>
      </c>
    </row>
    <row r="172" spans="1:7" x14ac:dyDescent="0.25">
      <c r="A172" s="8">
        <v>42711.72383101852</v>
      </c>
      <c r="B172" s="21" t="s">
        <v>217</v>
      </c>
      <c r="C172" s="21" t="s">
        <v>467</v>
      </c>
      <c r="D172" s="165">
        <v>2370000</v>
      </c>
      <c r="E172" s="21" t="s">
        <v>342</v>
      </c>
      <c r="F172" s="21" t="s">
        <v>343</v>
      </c>
      <c r="G172" s="8" t="str">
        <f t="shared" si="2"/>
        <v>DELGADO DIANAH</v>
      </c>
    </row>
    <row r="173" spans="1:7" x14ac:dyDescent="0.25">
      <c r="A173" s="8">
        <v>42711.726504629631</v>
      </c>
      <c r="B173" s="21" t="s">
        <v>215</v>
      </c>
      <c r="C173" s="21" t="s">
        <v>620</v>
      </c>
      <c r="D173" s="165">
        <v>2440000</v>
      </c>
      <c r="E173" s="21" t="s">
        <v>562</v>
      </c>
      <c r="F173" s="21" t="s">
        <v>563</v>
      </c>
      <c r="G173" s="8" t="str">
        <f t="shared" si="2"/>
        <v>LOPES KIMBERLY</v>
      </c>
    </row>
    <row r="174" spans="1:7" x14ac:dyDescent="0.25">
      <c r="A174" s="8">
        <v>42711.732685185183</v>
      </c>
      <c r="B174" s="21" t="s">
        <v>250</v>
      </c>
      <c r="C174" s="21" t="s">
        <v>621</v>
      </c>
      <c r="D174" s="165">
        <v>1540000</v>
      </c>
      <c r="E174" s="21" t="s">
        <v>340</v>
      </c>
      <c r="F174" s="21" t="s">
        <v>341</v>
      </c>
      <c r="G174" s="8" t="str">
        <f t="shared" si="2"/>
        <v>HELVIE ADAM</v>
      </c>
    </row>
    <row r="175" spans="1:7" x14ac:dyDescent="0.25">
      <c r="A175" s="8">
        <v>42711.736168981479</v>
      </c>
      <c r="B175" s="21" t="s">
        <v>299</v>
      </c>
      <c r="C175" s="21" t="s">
        <v>622</v>
      </c>
      <c r="D175" s="165">
        <v>1820000</v>
      </c>
      <c r="E175" s="21" t="s">
        <v>559</v>
      </c>
      <c r="F175" s="21" t="s">
        <v>560</v>
      </c>
      <c r="G175" s="8" t="str">
        <f t="shared" si="2"/>
        <v>ADANE ELSHADAY</v>
      </c>
    </row>
    <row r="176" spans="1:7" x14ac:dyDescent="0.25">
      <c r="A176" s="8">
        <v>42711.737291666665</v>
      </c>
      <c r="B176" s="21" t="s">
        <v>210</v>
      </c>
      <c r="C176" s="21" t="s">
        <v>469</v>
      </c>
      <c r="D176" s="165">
        <v>2040000</v>
      </c>
      <c r="E176" s="21" t="s">
        <v>575</v>
      </c>
      <c r="F176" s="21" t="s">
        <v>576</v>
      </c>
      <c r="G176" s="8" t="str">
        <f t="shared" si="2"/>
        <v>MOSES BRADLEY</v>
      </c>
    </row>
    <row r="177" spans="1:7" x14ac:dyDescent="0.25">
      <c r="A177" s="8">
        <v>42711.73777777778</v>
      </c>
      <c r="B177" s="21" t="s">
        <v>206</v>
      </c>
      <c r="C177" s="21" t="s">
        <v>623</v>
      </c>
      <c r="D177" s="165">
        <v>1180000</v>
      </c>
      <c r="E177" s="21" t="s">
        <v>271</v>
      </c>
      <c r="F177" s="21" t="s">
        <v>293</v>
      </c>
      <c r="G177" s="8" t="str">
        <f t="shared" si="2"/>
        <v>LEVERE CRAIG</v>
      </c>
    </row>
    <row r="178" spans="1:7" x14ac:dyDescent="0.25">
      <c r="A178" s="8">
        <v>42711.746805555558</v>
      </c>
      <c r="B178" s="21" t="s">
        <v>230</v>
      </c>
      <c r="C178" s="21" t="s">
        <v>624</v>
      </c>
      <c r="D178" s="165">
        <v>1740000</v>
      </c>
      <c r="E178" s="21" t="s">
        <v>376</v>
      </c>
      <c r="F178" s="21" t="s">
        <v>377</v>
      </c>
      <c r="G178" s="8" t="str">
        <f t="shared" si="2"/>
        <v>STORY SAMANTHA</v>
      </c>
    </row>
    <row r="179" spans="1:7" x14ac:dyDescent="0.25">
      <c r="A179" s="8">
        <v>42711.750451388885</v>
      </c>
      <c r="B179" s="21" t="s">
        <v>239</v>
      </c>
      <c r="C179" s="21" t="s">
        <v>625</v>
      </c>
      <c r="D179" s="165">
        <v>940000</v>
      </c>
      <c r="E179" s="21" t="s">
        <v>338</v>
      </c>
      <c r="F179" s="21" t="s">
        <v>339</v>
      </c>
      <c r="G179" s="8" t="str">
        <f t="shared" si="2"/>
        <v>BONDS REYNALDO</v>
      </c>
    </row>
    <row r="180" spans="1:7" x14ac:dyDescent="0.25">
      <c r="A180" s="8">
        <v>42711.751018518517</v>
      </c>
      <c r="B180" s="21" t="s">
        <v>285</v>
      </c>
      <c r="C180" s="21" t="s">
        <v>626</v>
      </c>
      <c r="D180" s="165">
        <v>2000000</v>
      </c>
      <c r="E180" s="21" t="s">
        <v>212</v>
      </c>
      <c r="F180" s="21" t="s">
        <v>295</v>
      </c>
      <c r="G180" s="8" t="str">
        <f t="shared" si="2"/>
        <v>STAMBAUGH JAMES</v>
      </c>
    </row>
    <row r="181" spans="1:7" x14ac:dyDescent="0.25">
      <c r="A181" s="8">
        <v>42711.752245370371</v>
      </c>
      <c r="B181" s="21" t="s">
        <v>298</v>
      </c>
      <c r="C181" s="21" t="s">
        <v>470</v>
      </c>
      <c r="D181" s="165">
        <v>2560000</v>
      </c>
      <c r="E181" s="21" t="s">
        <v>627</v>
      </c>
      <c r="F181" s="21" t="s">
        <v>628</v>
      </c>
      <c r="G181" s="8" t="str">
        <f t="shared" si="2"/>
        <v>MACDONALD THOMAS</v>
      </c>
    </row>
    <row r="182" spans="1:7" x14ac:dyDescent="0.25">
      <c r="A182" s="8">
        <v>42711.753518518519</v>
      </c>
      <c r="B182" s="21" t="s">
        <v>239</v>
      </c>
      <c r="C182" s="21" t="s">
        <v>625</v>
      </c>
      <c r="D182" s="165">
        <v>940000</v>
      </c>
      <c r="E182" s="21" t="s">
        <v>338</v>
      </c>
      <c r="F182" s="21" t="s">
        <v>339</v>
      </c>
      <c r="G182" s="8" t="str">
        <f t="shared" si="2"/>
        <v>BONDS REYNALDO</v>
      </c>
    </row>
    <row r="183" spans="1:7" x14ac:dyDescent="0.25">
      <c r="A183" s="8">
        <v>42711.756574074076</v>
      </c>
      <c r="B183" s="21" t="s">
        <v>213</v>
      </c>
      <c r="C183" s="21" t="s">
        <v>629</v>
      </c>
      <c r="D183" s="165">
        <v>1180000</v>
      </c>
      <c r="E183" s="21" t="s">
        <v>271</v>
      </c>
      <c r="F183" s="21" t="s">
        <v>293</v>
      </c>
      <c r="G183" s="8" t="str">
        <f t="shared" si="2"/>
        <v>LEVERE CRAIG</v>
      </c>
    </row>
    <row r="184" spans="1:7" x14ac:dyDescent="0.25">
      <c r="A184" s="8">
        <v>42711.757592592592</v>
      </c>
      <c r="B184" s="21" t="s">
        <v>237</v>
      </c>
      <c r="C184" s="21" t="s">
        <v>630</v>
      </c>
      <c r="D184" s="165">
        <v>1300000</v>
      </c>
      <c r="E184" s="21" t="s">
        <v>113</v>
      </c>
      <c r="F184" s="21" t="s">
        <v>294</v>
      </c>
      <c r="G184" s="8" t="str">
        <f t="shared" si="2"/>
        <v>LEVIN SCOTT</v>
      </c>
    </row>
    <row r="185" spans="1:7" x14ac:dyDescent="0.25">
      <c r="A185" s="8">
        <v>42711.759988425925</v>
      </c>
      <c r="B185" s="21" t="s">
        <v>270</v>
      </c>
      <c r="C185" s="21" t="s">
        <v>631</v>
      </c>
      <c r="D185" s="165">
        <v>2440000</v>
      </c>
      <c r="E185" s="21" t="s">
        <v>562</v>
      </c>
      <c r="F185" s="21" t="s">
        <v>563</v>
      </c>
      <c r="G185" s="8" t="str">
        <f t="shared" si="2"/>
        <v>LOPES KIMBERLY</v>
      </c>
    </row>
    <row r="186" spans="1:7" x14ac:dyDescent="0.25">
      <c r="A186" s="8">
        <v>42711.765162037038</v>
      </c>
      <c r="B186" s="21" t="s">
        <v>208</v>
      </c>
      <c r="C186" s="21" t="s">
        <v>632</v>
      </c>
      <c r="D186" s="165">
        <v>2040000</v>
      </c>
      <c r="E186" s="21" t="s">
        <v>575</v>
      </c>
      <c r="F186" s="21" t="s">
        <v>576</v>
      </c>
      <c r="G186" s="8" t="str">
        <f t="shared" si="2"/>
        <v>MOSES BRADLEY</v>
      </c>
    </row>
    <row r="187" spans="1:7" x14ac:dyDescent="0.25">
      <c r="A187" s="8">
        <v>42711.766585648147</v>
      </c>
      <c r="B187" s="21" t="s">
        <v>183</v>
      </c>
      <c r="C187" s="21" t="s">
        <v>633</v>
      </c>
      <c r="D187" s="165">
        <v>1290000</v>
      </c>
      <c r="E187" s="21" t="s">
        <v>272</v>
      </c>
      <c r="F187" s="21" t="s">
        <v>290</v>
      </c>
      <c r="G187" s="8" t="str">
        <f t="shared" si="2"/>
        <v>COOLAHAN JOHN</v>
      </c>
    </row>
    <row r="188" spans="1:7" x14ac:dyDescent="0.25">
      <c r="A188" s="8">
        <v>42711.775763888887</v>
      </c>
      <c r="B188" s="21" t="s">
        <v>333</v>
      </c>
      <c r="C188" s="21" t="s">
        <v>634</v>
      </c>
      <c r="D188" s="165">
        <v>1230000</v>
      </c>
      <c r="E188" s="21" t="s">
        <v>276</v>
      </c>
      <c r="F188" s="21" t="s">
        <v>291</v>
      </c>
      <c r="G188" s="8" t="str">
        <f t="shared" si="2"/>
        <v>YANAI IAN</v>
      </c>
    </row>
    <row r="189" spans="1:7" x14ac:dyDescent="0.25">
      <c r="A189" s="8">
        <v>42711.776469907411</v>
      </c>
      <c r="B189" s="21" t="s">
        <v>300</v>
      </c>
      <c r="C189" s="21" t="s">
        <v>635</v>
      </c>
      <c r="D189" s="165">
        <v>1820000</v>
      </c>
      <c r="E189" s="21" t="s">
        <v>559</v>
      </c>
      <c r="F189" s="21" t="s">
        <v>560</v>
      </c>
      <c r="G189" s="8" t="str">
        <f t="shared" si="2"/>
        <v>ADANE ELSHADAY</v>
      </c>
    </row>
    <row r="190" spans="1:7" x14ac:dyDescent="0.25">
      <c r="A190" s="8">
        <v>42711.776701388888</v>
      </c>
      <c r="B190" s="21" t="s">
        <v>206</v>
      </c>
      <c r="C190" s="21" t="s">
        <v>471</v>
      </c>
      <c r="D190" s="165">
        <v>1180000</v>
      </c>
      <c r="E190" s="21" t="s">
        <v>271</v>
      </c>
      <c r="F190" s="21" t="s">
        <v>293</v>
      </c>
      <c r="G190" s="8" t="str">
        <f t="shared" si="2"/>
        <v>LEVERE CRAIG</v>
      </c>
    </row>
    <row r="191" spans="1:7" x14ac:dyDescent="0.25">
      <c r="A191" s="8">
        <v>42711.787083333336</v>
      </c>
      <c r="B191" s="21" t="s">
        <v>231</v>
      </c>
      <c r="C191" s="21" t="s">
        <v>473</v>
      </c>
      <c r="D191" s="165">
        <v>1740000</v>
      </c>
      <c r="E191" s="21" t="s">
        <v>376</v>
      </c>
      <c r="F191" s="21" t="s">
        <v>377</v>
      </c>
      <c r="G191" s="8" t="str">
        <f t="shared" si="2"/>
        <v>STORY SAMANTHA</v>
      </c>
    </row>
    <row r="192" spans="1:7" x14ac:dyDescent="0.25">
      <c r="A192" s="8">
        <v>42711.787407407406</v>
      </c>
      <c r="B192" s="21" t="s">
        <v>184</v>
      </c>
      <c r="C192" s="21" t="s">
        <v>472</v>
      </c>
      <c r="D192" s="165">
        <v>2000000</v>
      </c>
      <c r="E192" s="21" t="s">
        <v>212</v>
      </c>
      <c r="F192" s="21" t="s">
        <v>295</v>
      </c>
      <c r="G192" s="8" t="str">
        <f t="shared" si="2"/>
        <v>STAMBAUGH JAMES</v>
      </c>
    </row>
    <row r="193" spans="1:7" x14ac:dyDescent="0.25">
      <c r="A193" s="8">
        <v>42711.795254629629</v>
      </c>
      <c r="B193" s="21" t="s">
        <v>254</v>
      </c>
      <c r="C193" s="21" t="s">
        <v>636</v>
      </c>
      <c r="D193" s="165">
        <v>1300000</v>
      </c>
      <c r="E193" s="21" t="s">
        <v>113</v>
      </c>
      <c r="F193" s="21" t="s">
        <v>294</v>
      </c>
      <c r="G193" s="8" t="str">
        <f t="shared" si="2"/>
        <v>LEVIN SCOTT</v>
      </c>
    </row>
    <row r="194" spans="1:7" x14ac:dyDescent="0.25">
      <c r="A194" s="8">
        <v>42711.798668981479</v>
      </c>
      <c r="B194" s="21" t="s">
        <v>215</v>
      </c>
      <c r="C194" s="21" t="s">
        <v>637</v>
      </c>
      <c r="D194" s="165">
        <v>2440000</v>
      </c>
      <c r="E194" s="21" t="s">
        <v>562</v>
      </c>
      <c r="F194" s="21" t="s">
        <v>563</v>
      </c>
      <c r="G194" s="8" t="str">
        <f t="shared" si="2"/>
        <v>LOPES KIMBERLY</v>
      </c>
    </row>
    <row r="195" spans="1:7" x14ac:dyDescent="0.25">
      <c r="A195" s="8">
        <v>42711.801655092589</v>
      </c>
      <c r="B195" s="21" t="s">
        <v>213</v>
      </c>
      <c r="C195" s="21" t="s">
        <v>638</v>
      </c>
      <c r="D195" s="165">
        <v>1180000</v>
      </c>
      <c r="E195" s="21" t="s">
        <v>271</v>
      </c>
      <c r="F195" s="21" t="s">
        <v>293</v>
      </c>
      <c r="G195" s="8" t="str">
        <f t="shared" ref="G195:G258" si="3">E195&amp;" "&amp;F195</f>
        <v>LEVERE CRAIG</v>
      </c>
    </row>
    <row r="196" spans="1:7" x14ac:dyDescent="0.25">
      <c r="A196" s="8">
        <v>42711.807291666664</v>
      </c>
      <c r="B196" s="21" t="s">
        <v>250</v>
      </c>
      <c r="C196" s="21" t="s">
        <v>639</v>
      </c>
      <c r="D196" s="165">
        <v>1290000</v>
      </c>
      <c r="E196" s="21" t="s">
        <v>272</v>
      </c>
      <c r="F196" s="21" t="s">
        <v>290</v>
      </c>
      <c r="G196" s="8" t="str">
        <f t="shared" si="3"/>
        <v>COOLAHAN JOHN</v>
      </c>
    </row>
    <row r="197" spans="1:7" x14ac:dyDescent="0.25">
      <c r="A197" s="8">
        <v>42711.809988425928</v>
      </c>
      <c r="B197" s="21" t="s">
        <v>269</v>
      </c>
      <c r="C197" s="21" t="s">
        <v>640</v>
      </c>
      <c r="D197" s="165">
        <v>1230000</v>
      </c>
      <c r="E197" s="21" t="s">
        <v>276</v>
      </c>
      <c r="F197" s="21" t="s">
        <v>291</v>
      </c>
      <c r="G197" s="8" t="str">
        <f t="shared" si="3"/>
        <v>YANAI IAN</v>
      </c>
    </row>
    <row r="198" spans="1:7" x14ac:dyDescent="0.25">
      <c r="A198" s="8">
        <v>42711.822233796294</v>
      </c>
      <c r="B198" s="21" t="s">
        <v>230</v>
      </c>
      <c r="C198" s="21" t="s">
        <v>641</v>
      </c>
      <c r="D198" s="165">
        <v>1740000</v>
      </c>
      <c r="E198" s="21" t="s">
        <v>376</v>
      </c>
      <c r="F198" s="21" t="s">
        <v>377</v>
      </c>
      <c r="G198" s="8" t="str">
        <f t="shared" si="3"/>
        <v>STORY SAMANTHA</v>
      </c>
    </row>
    <row r="199" spans="1:7" x14ac:dyDescent="0.25">
      <c r="A199" s="8">
        <v>42711.826655092591</v>
      </c>
      <c r="B199" s="21" t="s">
        <v>285</v>
      </c>
      <c r="C199" s="21" t="s">
        <v>642</v>
      </c>
      <c r="D199" s="165">
        <v>2000000</v>
      </c>
      <c r="E199" s="21" t="s">
        <v>212</v>
      </c>
      <c r="F199" s="21" t="s">
        <v>295</v>
      </c>
      <c r="G199" s="8" t="str">
        <f t="shared" si="3"/>
        <v>STAMBAUGH JAMES</v>
      </c>
    </row>
    <row r="200" spans="1:7" x14ac:dyDescent="0.25">
      <c r="A200" s="8">
        <v>42711.831192129626</v>
      </c>
      <c r="B200" s="21" t="s">
        <v>237</v>
      </c>
      <c r="C200" s="21" t="s">
        <v>643</v>
      </c>
      <c r="D200" s="165">
        <v>1300000</v>
      </c>
      <c r="E200" s="21" t="s">
        <v>113</v>
      </c>
      <c r="F200" s="21" t="s">
        <v>294</v>
      </c>
      <c r="G200" s="8" t="str">
        <f t="shared" si="3"/>
        <v>LEVIN SCOTT</v>
      </c>
    </row>
    <row r="201" spans="1:7" x14ac:dyDescent="0.25">
      <c r="A201" s="8">
        <v>42711.838912037034</v>
      </c>
      <c r="B201" s="21" t="s">
        <v>333</v>
      </c>
      <c r="C201" s="21" t="s">
        <v>644</v>
      </c>
      <c r="D201" s="165">
        <v>1230000</v>
      </c>
      <c r="E201" s="21" t="s">
        <v>276</v>
      </c>
      <c r="F201" s="21" t="s">
        <v>291</v>
      </c>
      <c r="G201" s="8" t="str">
        <f t="shared" si="3"/>
        <v>YANAI IAN</v>
      </c>
    </row>
    <row r="202" spans="1:7" x14ac:dyDescent="0.25">
      <c r="A202" s="27">
        <v>42711.846631944441</v>
      </c>
      <c r="B202" s="21" t="s">
        <v>208</v>
      </c>
      <c r="C202" s="21" t="s">
        <v>645</v>
      </c>
      <c r="D202" s="165">
        <v>2450000</v>
      </c>
      <c r="E202" s="21" t="s">
        <v>646</v>
      </c>
      <c r="F202" s="21" t="s">
        <v>647</v>
      </c>
      <c r="G202" s="8" t="str">
        <f t="shared" si="3"/>
        <v>NELSON ARIANE</v>
      </c>
    </row>
    <row r="203" spans="1:7" x14ac:dyDescent="0.25">
      <c r="A203" s="8">
        <v>42711.851655092592</v>
      </c>
      <c r="B203" s="21" t="s">
        <v>183</v>
      </c>
      <c r="C203" s="21" t="s">
        <v>648</v>
      </c>
      <c r="D203" s="165">
        <v>1290000</v>
      </c>
      <c r="E203" s="21" t="s">
        <v>272</v>
      </c>
      <c r="F203" s="21" t="s">
        <v>290</v>
      </c>
      <c r="G203" s="8" t="str">
        <f t="shared" si="3"/>
        <v>COOLAHAN JOHN</v>
      </c>
    </row>
    <row r="204" spans="1:7" x14ac:dyDescent="0.25">
      <c r="A204" s="8">
        <v>42711.860162037039</v>
      </c>
      <c r="B204" s="21" t="s">
        <v>184</v>
      </c>
      <c r="C204" s="21" t="s">
        <v>649</v>
      </c>
      <c r="D204" s="165">
        <v>2000000</v>
      </c>
      <c r="E204" s="21" t="s">
        <v>212</v>
      </c>
      <c r="F204" s="21" t="s">
        <v>295</v>
      </c>
      <c r="G204" s="8" t="str">
        <f t="shared" si="3"/>
        <v>STAMBAUGH JAMES</v>
      </c>
    </row>
    <row r="205" spans="1:7" x14ac:dyDescent="0.25">
      <c r="A205" s="8">
        <v>42711.868831018517</v>
      </c>
      <c r="B205" s="21" t="s">
        <v>254</v>
      </c>
      <c r="C205" s="21" t="s">
        <v>650</v>
      </c>
      <c r="D205" s="165">
        <v>1300000</v>
      </c>
      <c r="E205" s="21" t="s">
        <v>113</v>
      </c>
      <c r="F205" s="21" t="s">
        <v>294</v>
      </c>
      <c r="G205" s="8" t="str">
        <f t="shared" si="3"/>
        <v>LEVIN SCOTT</v>
      </c>
    </row>
    <row r="206" spans="1:7" x14ac:dyDescent="0.25">
      <c r="A206" s="8">
        <v>42711.868877314817</v>
      </c>
      <c r="B206" s="21" t="s">
        <v>210</v>
      </c>
      <c r="C206" s="21" t="s">
        <v>651</v>
      </c>
      <c r="D206" s="165">
        <v>2450000</v>
      </c>
      <c r="E206" s="21" t="s">
        <v>646</v>
      </c>
      <c r="F206" s="21" t="s">
        <v>647</v>
      </c>
      <c r="G206" s="8" t="str">
        <f t="shared" si="3"/>
        <v>NELSON ARIANE</v>
      </c>
    </row>
    <row r="207" spans="1:7" x14ac:dyDescent="0.25">
      <c r="A207" s="8">
        <v>42711.87945601852</v>
      </c>
      <c r="B207" s="21" t="s">
        <v>269</v>
      </c>
      <c r="C207" s="21" t="s">
        <v>652</v>
      </c>
      <c r="D207" s="165">
        <v>1230000</v>
      </c>
      <c r="E207" s="21" t="s">
        <v>276</v>
      </c>
      <c r="F207" s="21" t="s">
        <v>291</v>
      </c>
      <c r="G207" s="8" t="str">
        <f t="shared" si="3"/>
        <v>YANAI IAN</v>
      </c>
    </row>
    <row r="208" spans="1:7" x14ac:dyDescent="0.25">
      <c r="A208" s="8">
        <v>42711.886250000003</v>
      </c>
      <c r="B208" s="21" t="s">
        <v>208</v>
      </c>
      <c r="C208" s="21" t="s">
        <v>653</v>
      </c>
      <c r="D208" s="165">
        <v>1180000</v>
      </c>
      <c r="E208" s="21" t="s">
        <v>271</v>
      </c>
      <c r="F208" s="21" t="s">
        <v>293</v>
      </c>
      <c r="G208" s="8" t="str">
        <f t="shared" si="3"/>
        <v>LEVERE CRAIG</v>
      </c>
    </row>
    <row r="209" spans="1:7" x14ac:dyDescent="0.25">
      <c r="A209" s="8">
        <v>42711.889224537037</v>
      </c>
      <c r="B209" s="21" t="s">
        <v>250</v>
      </c>
      <c r="C209" s="21" t="s">
        <v>654</v>
      </c>
      <c r="D209" s="165">
        <v>1290000</v>
      </c>
      <c r="E209" s="21" t="s">
        <v>272</v>
      </c>
      <c r="F209" s="21" t="s">
        <v>290</v>
      </c>
      <c r="G209" s="8" t="str">
        <f t="shared" si="3"/>
        <v>COOLAHAN JOHN</v>
      </c>
    </row>
    <row r="210" spans="1:7" x14ac:dyDescent="0.25">
      <c r="A210" s="8">
        <v>42711.901504629626</v>
      </c>
      <c r="B210" s="21" t="s">
        <v>210</v>
      </c>
      <c r="C210" s="21" t="s">
        <v>655</v>
      </c>
      <c r="D210" s="165">
        <v>1180000</v>
      </c>
      <c r="E210" s="21" t="s">
        <v>271</v>
      </c>
      <c r="F210" s="21" t="s">
        <v>293</v>
      </c>
      <c r="G210" s="8" t="str">
        <f t="shared" si="3"/>
        <v>LEVERE CRAIG</v>
      </c>
    </row>
    <row r="211" spans="1:7" x14ac:dyDescent="0.25">
      <c r="A211" s="8">
        <v>42711.91097222222</v>
      </c>
      <c r="B211" s="21" t="s">
        <v>285</v>
      </c>
      <c r="C211" s="21" t="s">
        <v>656</v>
      </c>
      <c r="D211" s="165">
        <v>2000000</v>
      </c>
      <c r="E211" s="21" t="s">
        <v>212</v>
      </c>
      <c r="F211" s="21" t="s">
        <v>295</v>
      </c>
      <c r="G211" s="8" t="str">
        <f t="shared" si="3"/>
        <v>STAMBAUGH JAMES</v>
      </c>
    </row>
    <row r="212" spans="1:7" x14ac:dyDescent="0.25">
      <c r="A212" s="8">
        <v>42711.912164351852</v>
      </c>
      <c r="B212" s="21" t="s">
        <v>237</v>
      </c>
      <c r="C212" s="21" t="s">
        <v>657</v>
      </c>
      <c r="D212" s="165">
        <v>1300000</v>
      </c>
      <c r="E212" s="21" t="s">
        <v>113</v>
      </c>
      <c r="F212" s="21" t="s">
        <v>294</v>
      </c>
      <c r="G212" s="8" t="str">
        <f t="shared" si="3"/>
        <v>LEVIN SCOTT</v>
      </c>
    </row>
    <row r="213" spans="1:7" x14ac:dyDescent="0.25">
      <c r="A213" s="8">
        <v>42711.922476851854</v>
      </c>
      <c r="B213" s="21" t="s">
        <v>333</v>
      </c>
      <c r="C213" s="21" t="s">
        <v>658</v>
      </c>
      <c r="D213" s="165">
        <v>1230000</v>
      </c>
      <c r="E213" s="21" t="s">
        <v>276</v>
      </c>
      <c r="F213" s="21" t="s">
        <v>291</v>
      </c>
      <c r="G213" s="8" t="str">
        <f t="shared" si="3"/>
        <v>YANAI IAN</v>
      </c>
    </row>
    <row r="214" spans="1:7" x14ac:dyDescent="0.25">
      <c r="A214" s="8">
        <v>42711.924756944441</v>
      </c>
      <c r="B214" s="21" t="s">
        <v>208</v>
      </c>
      <c r="C214" s="21" t="s">
        <v>659</v>
      </c>
      <c r="D214" s="165">
        <v>1180000</v>
      </c>
      <c r="E214" s="21" t="s">
        <v>271</v>
      </c>
      <c r="F214" s="21" t="s">
        <v>293</v>
      </c>
      <c r="G214" s="8" t="str">
        <f t="shared" si="3"/>
        <v>LEVERE CRAIG</v>
      </c>
    </row>
    <row r="215" spans="1:7" x14ac:dyDescent="0.25">
      <c r="A215" s="8">
        <v>42711.935358796298</v>
      </c>
      <c r="B215" s="21" t="s">
        <v>183</v>
      </c>
      <c r="C215" s="21" t="s">
        <v>660</v>
      </c>
      <c r="D215" s="165">
        <v>1290000</v>
      </c>
      <c r="E215" s="21" t="s">
        <v>272</v>
      </c>
      <c r="F215" s="21" t="s">
        <v>290</v>
      </c>
      <c r="G215" s="8" t="str">
        <f t="shared" si="3"/>
        <v>COOLAHAN JOHN</v>
      </c>
    </row>
    <row r="216" spans="1:7" x14ac:dyDescent="0.25">
      <c r="A216" s="8">
        <v>42711.943391203706</v>
      </c>
      <c r="B216" s="21" t="s">
        <v>210</v>
      </c>
      <c r="C216" s="21" t="s">
        <v>661</v>
      </c>
      <c r="D216" s="165">
        <v>1180000</v>
      </c>
      <c r="E216" s="21" t="s">
        <v>271</v>
      </c>
      <c r="F216" s="21" t="s">
        <v>293</v>
      </c>
      <c r="G216" s="8" t="str">
        <f t="shared" si="3"/>
        <v>LEVERE CRAIG</v>
      </c>
    </row>
    <row r="217" spans="1:7" x14ac:dyDescent="0.25">
      <c r="A217" s="8">
        <v>42711.950416666667</v>
      </c>
      <c r="B217" s="21" t="s">
        <v>254</v>
      </c>
      <c r="C217" s="21" t="s">
        <v>474</v>
      </c>
      <c r="D217" s="165">
        <v>1300000</v>
      </c>
      <c r="E217" s="21" t="s">
        <v>113</v>
      </c>
      <c r="F217" s="21" t="s">
        <v>294</v>
      </c>
      <c r="G217" s="8" t="str">
        <f t="shared" si="3"/>
        <v>LEVIN SCOTT</v>
      </c>
    </row>
    <row r="218" spans="1:7" x14ac:dyDescent="0.25">
      <c r="A218" s="8">
        <v>42711.954212962963</v>
      </c>
      <c r="B218" s="21" t="s">
        <v>184</v>
      </c>
      <c r="C218" s="21" t="s">
        <v>662</v>
      </c>
      <c r="D218" s="165">
        <v>2000000</v>
      </c>
      <c r="E218" s="21" t="s">
        <v>212</v>
      </c>
      <c r="F218" s="21" t="s">
        <v>295</v>
      </c>
      <c r="G218" s="8" t="str">
        <f t="shared" si="3"/>
        <v>STAMBAUGH JAMES</v>
      </c>
    </row>
    <row r="219" spans="1:7" x14ac:dyDescent="0.25">
      <c r="A219" s="8">
        <v>42711.96292824074</v>
      </c>
      <c r="B219" s="21" t="s">
        <v>269</v>
      </c>
      <c r="C219" s="21" t="s">
        <v>475</v>
      </c>
      <c r="D219" s="165">
        <v>1230000</v>
      </c>
      <c r="E219" s="21" t="s">
        <v>276</v>
      </c>
      <c r="F219" s="21" t="s">
        <v>291</v>
      </c>
      <c r="G219" s="8" t="str">
        <f t="shared" si="3"/>
        <v>YANAI IAN</v>
      </c>
    </row>
    <row r="220" spans="1:7" x14ac:dyDescent="0.25">
      <c r="A220" s="8">
        <v>42711.971956018519</v>
      </c>
      <c r="B220" s="21" t="s">
        <v>250</v>
      </c>
      <c r="C220" s="21" t="s">
        <v>663</v>
      </c>
      <c r="D220" s="165">
        <v>1290000</v>
      </c>
      <c r="E220" s="21" t="s">
        <v>272</v>
      </c>
      <c r="F220" s="21" t="s">
        <v>290</v>
      </c>
      <c r="G220" s="8" t="str">
        <f t="shared" si="3"/>
        <v>COOLAHAN JOHN</v>
      </c>
    </row>
    <row r="221" spans="1:7" x14ac:dyDescent="0.25">
      <c r="A221" s="8">
        <v>42711.994189814817</v>
      </c>
      <c r="B221" s="21" t="s">
        <v>285</v>
      </c>
      <c r="C221" s="21" t="s">
        <v>664</v>
      </c>
      <c r="D221" s="165">
        <v>2000000</v>
      </c>
      <c r="E221" s="21" t="s">
        <v>212</v>
      </c>
      <c r="F221" s="21" t="s">
        <v>295</v>
      </c>
      <c r="G221" s="8" t="str">
        <f t="shared" si="3"/>
        <v>STAMBAUGH JAMES</v>
      </c>
    </row>
    <row r="222" spans="1:7" x14ac:dyDescent="0.25">
      <c r="A222" s="8">
        <v>42711.996365740742</v>
      </c>
      <c r="B222" s="21" t="s">
        <v>237</v>
      </c>
      <c r="C222" s="21" t="s">
        <v>665</v>
      </c>
      <c r="D222" s="165">
        <v>1300000</v>
      </c>
      <c r="E222" s="21" t="s">
        <v>113</v>
      </c>
      <c r="F222" s="21" t="s">
        <v>294</v>
      </c>
      <c r="G222" s="8" t="str">
        <f t="shared" si="3"/>
        <v>LEVIN SCOTT</v>
      </c>
    </row>
    <row r="223" spans="1:7" x14ac:dyDescent="0.25">
      <c r="A223" s="8">
        <v>42712.015729166669</v>
      </c>
      <c r="B223" s="21" t="s">
        <v>333</v>
      </c>
      <c r="C223" s="21" t="s">
        <v>666</v>
      </c>
      <c r="D223" s="165">
        <v>1230000</v>
      </c>
      <c r="E223" s="21" t="s">
        <v>276</v>
      </c>
      <c r="F223" s="21" t="s">
        <v>291</v>
      </c>
      <c r="G223" s="8" t="str">
        <f t="shared" si="3"/>
        <v>YANAI IAN</v>
      </c>
    </row>
    <row r="224" spans="1:7" x14ac:dyDescent="0.25">
      <c r="A224" s="8">
        <v>42712.018240740741</v>
      </c>
      <c r="B224" t="s">
        <v>183</v>
      </c>
      <c r="C224" t="s">
        <v>667</v>
      </c>
      <c r="D224" s="165">
        <v>1290000</v>
      </c>
      <c r="E224" t="s">
        <v>272</v>
      </c>
      <c r="F224" s="21" t="s">
        <v>290</v>
      </c>
      <c r="G224" s="8" t="str">
        <f t="shared" si="3"/>
        <v>COOLAHAN JOHN</v>
      </c>
    </row>
    <row r="225" spans="1:7" x14ac:dyDescent="0.25">
      <c r="A225" s="8">
        <v>42712.026701388888</v>
      </c>
      <c r="B225" t="s">
        <v>184</v>
      </c>
      <c r="C225" t="s">
        <v>668</v>
      </c>
      <c r="D225" s="165">
        <v>2000000</v>
      </c>
      <c r="E225" t="s">
        <v>212</v>
      </c>
      <c r="F225" s="21" t="s">
        <v>295</v>
      </c>
      <c r="G225" s="8" t="str">
        <f t="shared" si="3"/>
        <v>STAMBAUGH JAMES</v>
      </c>
    </row>
    <row r="226" spans="1:7" x14ac:dyDescent="0.25">
      <c r="A226" s="8">
        <v>42712.030902777777</v>
      </c>
      <c r="B226" t="s">
        <v>254</v>
      </c>
      <c r="C226" t="s">
        <v>669</v>
      </c>
      <c r="D226" s="165">
        <v>1300000</v>
      </c>
      <c r="E226" t="s">
        <v>113</v>
      </c>
      <c r="F226" s="21" t="s">
        <v>294</v>
      </c>
      <c r="G226" s="8" t="str">
        <f t="shared" si="3"/>
        <v>LEVIN SCOTT</v>
      </c>
    </row>
    <row r="227" spans="1:7" x14ac:dyDescent="0.25">
      <c r="A227" s="8">
        <v>42712.039756944447</v>
      </c>
      <c r="B227" t="s">
        <v>183</v>
      </c>
      <c r="C227" t="s">
        <v>667</v>
      </c>
      <c r="D227" s="165">
        <v>1290000</v>
      </c>
      <c r="E227" t="s">
        <v>272</v>
      </c>
      <c r="F227" s="21" t="s">
        <v>290</v>
      </c>
      <c r="G227" s="8" t="str">
        <f t="shared" si="3"/>
        <v>COOLAHAN JOHN</v>
      </c>
    </row>
    <row r="228" spans="1:7" x14ac:dyDescent="0.25">
      <c r="A228" s="8">
        <v>42712.048078703701</v>
      </c>
      <c r="B228" t="s">
        <v>269</v>
      </c>
      <c r="C228" t="s">
        <v>670</v>
      </c>
      <c r="D228" s="165">
        <v>1230000</v>
      </c>
      <c r="E228" t="s">
        <v>276</v>
      </c>
      <c r="F228" s="21" t="s">
        <v>291</v>
      </c>
      <c r="G228" s="8" t="str">
        <f t="shared" si="3"/>
        <v>YANAI IAN</v>
      </c>
    </row>
    <row r="229" spans="1:7" x14ac:dyDescent="0.25">
      <c r="A229" s="8">
        <v>42712.048773148148</v>
      </c>
      <c r="B229" t="s">
        <v>269</v>
      </c>
      <c r="C229" t="s">
        <v>670</v>
      </c>
      <c r="D229" s="165">
        <v>1230000</v>
      </c>
      <c r="E229" t="s">
        <v>276</v>
      </c>
      <c r="F229" s="21" t="s">
        <v>291</v>
      </c>
      <c r="G229" s="8" t="str">
        <f t="shared" si="3"/>
        <v>YANAI IAN</v>
      </c>
    </row>
    <row r="230" spans="1:7" x14ac:dyDescent="0.25">
      <c r="A230" s="8">
        <v>42712.054328703707</v>
      </c>
      <c r="B230" t="s">
        <v>250</v>
      </c>
      <c r="C230" t="s">
        <v>671</v>
      </c>
      <c r="D230" s="165">
        <v>1290000</v>
      </c>
      <c r="E230" t="s">
        <v>272</v>
      </c>
      <c r="F230" s="21" t="s">
        <v>290</v>
      </c>
      <c r="G230" s="8" t="str">
        <f t="shared" si="3"/>
        <v>COOLAHAN JOHN</v>
      </c>
    </row>
    <row r="231" spans="1:7" x14ac:dyDescent="0.25">
      <c r="A231" s="8">
        <v>42712.068402777775</v>
      </c>
      <c r="B231" t="s">
        <v>237</v>
      </c>
      <c r="C231" t="s">
        <v>672</v>
      </c>
      <c r="D231" s="165">
        <v>1300000</v>
      </c>
      <c r="E231" t="s">
        <v>113</v>
      </c>
      <c r="F231" s="21" t="s">
        <v>294</v>
      </c>
      <c r="G231" s="8" t="str">
        <f t="shared" si="3"/>
        <v>LEVIN SCOTT</v>
      </c>
    </row>
    <row r="232" spans="1:7" x14ac:dyDescent="0.25">
      <c r="A232" s="8">
        <v>42712.089166666665</v>
      </c>
      <c r="B232" t="s">
        <v>183</v>
      </c>
      <c r="C232" t="s">
        <v>673</v>
      </c>
      <c r="D232" s="165">
        <v>1290000</v>
      </c>
      <c r="E232" t="s">
        <v>272</v>
      </c>
      <c r="F232" s="21" t="s">
        <v>290</v>
      </c>
      <c r="G232" s="8" t="str">
        <f t="shared" si="3"/>
        <v>COOLAHAN JOHN</v>
      </c>
    </row>
    <row r="233" spans="1:7" x14ac:dyDescent="0.25">
      <c r="A233" s="8">
        <v>42710.900254629632</v>
      </c>
      <c r="B233" t="s">
        <v>250</v>
      </c>
      <c r="C233" t="s">
        <v>366</v>
      </c>
      <c r="D233" s="165">
        <v>2000000</v>
      </c>
      <c r="E233" t="s">
        <v>212</v>
      </c>
      <c r="F233" s="21" t="s">
        <v>295</v>
      </c>
      <c r="G233" s="8" t="str">
        <f t="shared" si="3"/>
        <v>STAMBAUGH JAMES</v>
      </c>
    </row>
    <row r="234" spans="1:7" x14ac:dyDescent="0.25">
      <c r="A234" s="8">
        <v>42710.906898148147</v>
      </c>
      <c r="B234" t="s">
        <v>280</v>
      </c>
      <c r="C234" t="s">
        <v>380</v>
      </c>
      <c r="D234" s="165">
        <v>1180000</v>
      </c>
      <c r="E234" t="s">
        <v>271</v>
      </c>
      <c r="F234" s="21" t="s">
        <v>293</v>
      </c>
      <c r="G234" s="8" t="str">
        <f t="shared" si="3"/>
        <v>LEVERE CRAIG</v>
      </c>
    </row>
    <row r="235" spans="1:7" x14ac:dyDescent="0.25">
      <c r="A235" s="8">
        <v>42710.914652777778</v>
      </c>
      <c r="B235" t="s">
        <v>183</v>
      </c>
      <c r="C235" t="s">
        <v>381</v>
      </c>
      <c r="D235" s="165">
        <v>2000000</v>
      </c>
      <c r="E235" t="s">
        <v>212</v>
      </c>
      <c r="F235" s="21" t="s">
        <v>295</v>
      </c>
      <c r="G235" s="8" t="str">
        <f t="shared" si="3"/>
        <v>STAMBAUGH JAMES</v>
      </c>
    </row>
    <row r="236" spans="1:7" x14ac:dyDescent="0.25">
      <c r="A236" s="8">
        <v>42710.931018518517</v>
      </c>
      <c r="B236" t="s">
        <v>298</v>
      </c>
      <c r="C236" t="s">
        <v>382</v>
      </c>
      <c r="D236" s="165">
        <v>1290000</v>
      </c>
      <c r="E236" t="s">
        <v>272</v>
      </c>
      <c r="F236" s="21" t="s">
        <v>290</v>
      </c>
      <c r="G236" s="8" t="str">
        <f t="shared" si="3"/>
        <v>COOLAHAN JOHN</v>
      </c>
    </row>
    <row r="237" spans="1:7" x14ac:dyDescent="0.25">
      <c r="A237" s="8">
        <v>42710.933738425927</v>
      </c>
      <c r="B237" t="s">
        <v>206</v>
      </c>
      <c r="C237" t="s">
        <v>383</v>
      </c>
      <c r="D237" s="165">
        <v>1800000</v>
      </c>
      <c r="E237" t="s">
        <v>255</v>
      </c>
      <c r="F237" s="21" t="s">
        <v>304</v>
      </c>
      <c r="G237" s="8" t="str">
        <f t="shared" si="3"/>
        <v>CHANDLER KELVIN</v>
      </c>
    </row>
    <row r="238" spans="1:7" x14ac:dyDescent="0.25">
      <c r="A238" s="8">
        <v>42710.942199074074</v>
      </c>
      <c r="B238" t="s">
        <v>250</v>
      </c>
      <c r="C238" t="s">
        <v>384</v>
      </c>
      <c r="D238" s="165">
        <v>2000000</v>
      </c>
      <c r="E238" t="s">
        <v>212</v>
      </c>
      <c r="F238" s="21" t="s">
        <v>295</v>
      </c>
      <c r="G238" s="8" t="str">
        <f t="shared" si="3"/>
        <v>STAMBAUGH JAMES</v>
      </c>
    </row>
    <row r="239" spans="1:7" x14ac:dyDescent="0.25">
      <c r="A239" s="8">
        <v>42710.943599537037</v>
      </c>
      <c r="B239" t="s">
        <v>299</v>
      </c>
      <c r="C239" t="s">
        <v>385</v>
      </c>
      <c r="D239" s="165">
        <v>1230000</v>
      </c>
      <c r="E239" t="s">
        <v>276</v>
      </c>
      <c r="F239" s="21" t="s">
        <v>291</v>
      </c>
      <c r="G239" s="8" t="str">
        <f t="shared" si="3"/>
        <v>YANAI IAN</v>
      </c>
    </row>
    <row r="240" spans="1:7" x14ac:dyDescent="0.25">
      <c r="A240" s="8">
        <v>42710.949293981481</v>
      </c>
      <c r="B240" t="s">
        <v>283</v>
      </c>
      <c r="C240" t="s">
        <v>386</v>
      </c>
      <c r="D240" s="165">
        <v>1180000</v>
      </c>
      <c r="E240" t="s">
        <v>271</v>
      </c>
      <c r="F240" s="21" t="s">
        <v>293</v>
      </c>
      <c r="G240" s="8" t="str">
        <f t="shared" si="3"/>
        <v>LEVERE CRAIG</v>
      </c>
    </row>
    <row r="241" spans="1:7" x14ac:dyDescent="0.25">
      <c r="A241" s="8">
        <v>42710.973136574074</v>
      </c>
      <c r="B241" t="s">
        <v>213</v>
      </c>
      <c r="C241" t="s">
        <v>387</v>
      </c>
      <c r="D241" s="165">
        <v>1800000</v>
      </c>
      <c r="E241" t="s">
        <v>255</v>
      </c>
      <c r="F241" s="21" t="s">
        <v>304</v>
      </c>
      <c r="G241" s="8" t="str">
        <f t="shared" si="3"/>
        <v>CHANDLER KELVIN</v>
      </c>
    </row>
    <row r="242" spans="1:7" x14ac:dyDescent="0.25">
      <c r="A242" s="8">
        <v>42710.976597222223</v>
      </c>
      <c r="B242" t="s">
        <v>301</v>
      </c>
      <c r="C242" t="s">
        <v>388</v>
      </c>
      <c r="D242" s="165">
        <v>1290000</v>
      </c>
      <c r="E242" t="s">
        <v>272</v>
      </c>
      <c r="F242" s="21" t="s">
        <v>290</v>
      </c>
      <c r="G242" s="8" t="str">
        <f t="shared" si="3"/>
        <v>COOLAHAN JOHN</v>
      </c>
    </row>
    <row r="243" spans="1:7" x14ac:dyDescent="0.25">
      <c r="A243" s="8">
        <v>42710.986574074072</v>
      </c>
      <c r="B243" t="s">
        <v>300</v>
      </c>
      <c r="C243" t="s">
        <v>367</v>
      </c>
      <c r="D243" s="165">
        <v>1230000</v>
      </c>
      <c r="E243" t="s">
        <v>276</v>
      </c>
      <c r="F243" s="21" t="s">
        <v>291</v>
      </c>
      <c r="G243" s="8" t="str">
        <f t="shared" si="3"/>
        <v>YANAI IAN</v>
      </c>
    </row>
    <row r="244" spans="1:7" x14ac:dyDescent="0.25">
      <c r="A244" s="8">
        <v>42710.993564814817</v>
      </c>
      <c r="B244" t="s">
        <v>280</v>
      </c>
      <c r="C244" t="s">
        <v>389</v>
      </c>
      <c r="D244" s="165">
        <v>1180000</v>
      </c>
      <c r="E244" t="s">
        <v>271</v>
      </c>
      <c r="F244" s="21" t="s">
        <v>293</v>
      </c>
      <c r="G244" s="8" t="str">
        <f t="shared" si="3"/>
        <v>LEVERE CRAIG</v>
      </c>
    </row>
    <row r="245" spans="1:7" x14ac:dyDescent="0.25">
      <c r="A245" s="8">
        <v>42711.01425925926</v>
      </c>
      <c r="B245" t="s">
        <v>298</v>
      </c>
      <c r="C245" t="s">
        <v>368</v>
      </c>
      <c r="D245" s="165">
        <v>1290000</v>
      </c>
      <c r="E245" t="s">
        <v>272</v>
      </c>
      <c r="F245" s="21" t="s">
        <v>290</v>
      </c>
      <c r="G245" s="8" t="str">
        <f t="shared" si="3"/>
        <v>COOLAHAN JOHN</v>
      </c>
    </row>
    <row r="246" spans="1:7" x14ac:dyDescent="0.25">
      <c r="A246" s="8">
        <v>42711.019074074073</v>
      </c>
      <c r="B246" t="s">
        <v>206</v>
      </c>
      <c r="C246" t="s">
        <v>390</v>
      </c>
      <c r="D246" s="165">
        <v>1800000</v>
      </c>
      <c r="E246" t="s">
        <v>255</v>
      </c>
      <c r="F246" s="21" t="s">
        <v>304</v>
      </c>
      <c r="G246" s="8" t="str">
        <f t="shared" si="3"/>
        <v>CHANDLER KELVIN</v>
      </c>
    </row>
    <row r="247" spans="1:7" x14ac:dyDescent="0.25">
      <c r="A247" s="8">
        <v>42711.031099537038</v>
      </c>
      <c r="B247" t="s">
        <v>299</v>
      </c>
      <c r="C247" t="s">
        <v>369</v>
      </c>
      <c r="D247" s="165">
        <v>1230000</v>
      </c>
      <c r="E247" t="s">
        <v>276</v>
      </c>
      <c r="F247" s="21" t="s">
        <v>291</v>
      </c>
      <c r="G247" s="8" t="str">
        <f t="shared" si="3"/>
        <v>YANAI IAN</v>
      </c>
    </row>
    <row r="248" spans="1:7" x14ac:dyDescent="0.25">
      <c r="A248" s="8">
        <v>42711.03497685185</v>
      </c>
      <c r="B248" t="s">
        <v>283</v>
      </c>
      <c r="C248" t="s">
        <v>391</v>
      </c>
      <c r="D248" s="165">
        <v>1180000</v>
      </c>
      <c r="E248" t="s">
        <v>271</v>
      </c>
      <c r="F248" s="21" t="s">
        <v>293</v>
      </c>
      <c r="G248" s="8" t="str">
        <f t="shared" si="3"/>
        <v>LEVERE CRAIG</v>
      </c>
    </row>
    <row r="249" spans="1:7" x14ac:dyDescent="0.25">
      <c r="A249" s="8">
        <v>42711.048715277779</v>
      </c>
      <c r="B249" t="s">
        <v>301</v>
      </c>
      <c r="C249" t="s">
        <v>392</v>
      </c>
      <c r="D249" s="165">
        <v>1290000</v>
      </c>
      <c r="E249" t="s">
        <v>272</v>
      </c>
      <c r="F249" s="21" t="s">
        <v>290</v>
      </c>
      <c r="G249" s="8" t="str">
        <f t="shared" si="3"/>
        <v>COOLAHAN JOHN</v>
      </c>
    </row>
    <row r="250" spans="1:7" x14ac:dyDescent="0.25">
      <c r="A250" s="8">
        <v>42711.05877314815</v>
      </c>
      <c r="B250" t="s">
        <v>213</v>
      </c>
      <c r="C250" t="s">
        <v>393</v>
      </c>
      <c r="D250" s="165">
        <v>1800000</v>
      </c>
      <c r="E250" t="s">
        <v>255</v>
      </c>
      <c r="F250" s="21" t="s">
        <v>304</v>
      </c>
      <c r="G250" s="8" t="str">
        <f t="shared" si="3"/>
        <v>CHANDLER KELVIN</v>
      </c>
    </row>
    <row r="251" spans="1:7" x14ac:dyDescent="0.25">
      <c r="A251" s="8">
        <v>42711.068078703705</v>
      </c>
      <c r="B251" t="s">
        <v>300</v>
      </c>
      <c r="C251" t="s">
        <v>394</v>
      </c>
      <c r="D251" s="165">
        <v>1230000</v>
      </c>
      <c r="E251" t="s">
        <v>276</v>
      </c>
      <c r="F251" s="21" t="s">
        <v>291</v>
      </c>
      <c r="G251" s="8" t="str">
        <f t="shared" si="3"/>
        <v>YANAI IAN</v>
      </c>
    </row>
    <row r="252" spans="1:7" x14ac:dyDescent="0.25">
      <c r="A252" s="8">
        <v>42711.082199074073</v>
      </c>
      <c r="B252" t="s">
        <v>213</v>
      </c>
      <c r="C252" t="s">
        <v>393</v>
      </c>
      <c r="D252" s="165">
        <v>1800000</v>
      </c>
      <c r="E252" t="s">
        <v>255</v>
      </c>
      <c r="F252" s="21" t="s">
        <v>304</v>
      </c>
      <c r="G252" s="8" t="str">
        <f t="shared" si="3"/>
        <v>CHANDLER KELVIN</v>
      </c>
    </row>
    <row r="253" spans="1:7" x14ac:dyDescent="0.25">
      <c r="A253" s="8">
        <v>42711.093726851854</v>
      </c>
      <c r="B253" t="s">
        <v>206</v>
      </c>
      <c r="C253" t="s">
        <v>186</v>
      </c>
      <c r="D253" s="165">
        <v>1800000</v>
      </c>
      <c r="E253" t="s">
        <v>255</v>
      </c>
      <c r="F253" s="21" t="s">
        <v>304</v>
      </c>
      <c r="G253" s="8" t="str">
        <f t="shared" si="3"/>
        <v>CHANDLER KELVIN</v>
      </c>
    </row>
    <row r="254" spans="1:7" x14ac:dyDescent="0.25">
      <c r="A254" s="8">
        <v>42700.045347222222</v>
      </c>
      <c r="B254" t="s">
        <v>239</v>
      </c>
      <c r="C254" t="s">
        <v>259</v>
      </c>
      <c r="D254" s="165">
        <v>2630000</v>
      </c>
      <c r="E254" t="s">
        <v>247</v>
      </c>
      <c r="F254" s="21" t="str">
        <f t="shared" ref="F254:F265" si="4">B254</f>
        <v>rtdc.l.rtdc.4046:itc</v>
      </c>
      <c r="G254" s="8" t="str">
        <f t="shared" si="3"/>
        <v>SAFIEF rtdc.l.rtdc.4046:itc</v>
      </c>
    </row>
    <row r="255" spans="1:7" x14ac:dyDescent="0.25">
      <c r="A255" s="8">
        <v>42700.053495370368</v>
      </c>
      <c r="B255" t="s">
        <v>245</v>
      </c>
      <c r="C255" t="s">
        <v>260</v>
      </c>
      <c r="D255" s="165">
        <v>2000000</v>
      </c>
      <c r="E255" t="s">
        <v>212</v>
      </c>
      <c r="F255" s="21" t="str">
        <f t="shared" si="4"/>
        <v>rtdc.l.rtdc.4041:itc</v>
      </c>
      <c r="G255" s="8" t="str">
        <f t="shared" si="3"/>
        <v>STAMBAUGH rtdc.l.rtdc.4041:itc</v>
      </c>
    </row>
    <row r="256" spans="1:7" x14ac:dyDescent="0.25">
      <c r="A256" s="8">
        <v>42700.064895833333</v>
      </c>
      <c r="B256" t="s">
        <v>154</v>
      </c>
      <c r="C256" t="s">
        <v>257</v>
      </c>
      <c r="D256" s="165">
        <v>2530000</v>
      </c>
      <c r="E256" t="s">
        <v>256</v>
      </c>
      <c r="F256" s="21" t="str">
        <f t="shared" si="4"/>
        <v>rtdc.l.rtdc.4051:itc</v>
      </c>
      <c r="G256" s="8" t="str">
        <f t="shared" si="3"/>
        <v>LALONDE rtdc.l.rtdc.4051:itc</v>
      </c>
    </row>
    <row r="257" spans="1:7" x14ac:dyDescent="0.25">
      <c r="A257" s="8">
        <v>42700.072881944441</v>
      </c>
      <c r="B257" t="s">
        <v>230</v>
      </c>
      <c r="C257" t="s">
        <v>261</v>
      </c>
      <c r="D257" s="165">
        <v>1800000</v>
      </c>
      <c r="E257" t="s">
        <v>255</v>
      </c>
      <c r="F257" s="21" t="str">
        <f t="shared" si="4"/>
        <v>rtdc.l.rtdc.4014:itc</v>
      </c>
      <c r="G257" s="8" t="str">
        <f t="shared" si="3"/>
        <v>CHANDLER rtdc.l.rtdc.4014:itc</v>
      </c>
    </row>
    <row r="258" spans="1:7" x14ac:dyDescent="0.25">
      <c r="A258" s="8">
        <v>42700.07576388889</v>
      </c>
      <c r="B258" t="s">
        <v>210</v>
      </c>
      <c r="C258" t="s">
        <v>262</v>
      </c>
      <c r="D258" s="165">
        <v>2600000</v>
      </c>
      <c r="E258" t="s">
        <v>246</v>
      </c>
      <c r="F258" s="21" t="str">
        <f t="shared" si="4"/>
        <v>rtdc.l.rtdc.4039:itc</v>
      </c>
      <c r="G258" s="8" t="str">
        <f t="shared" si="3"/>
        <v>DAVIDSON rtdc.l.rtdc.4039:itc</v>
      </c>
    </row>
    <row r="259" spans="1:7" x14ac:dyDescent="0.25">
      <c r="A259" s="8">
        <v>42700.083275462966</v>
      </c>
      <c r="B259" t="s">
        <v>155</v>
      </c>
      <c r="C259" t="s">
        <v>258</v>
      </c>
      <c r="D259" s="165">
        <v>2530000</v>
      </c>
      <c r="E259" t="s">
        <v>256</v>
      </c>
      <c r="F259" s="21" t="str">
        <f t="shared" si="4"/>
        <v>rtdc.l.rtdc.4052:itc</v>
      </c>
      <c r="G259" s="8" t="str">
        <f t="shared" ref="G259:G322" si="5">E259&amp;" "&amp;F259</f>
        <v>LALONDE rtdc.l.rtdc.4052:itc</v>
      </c>
    </row>
    <row r="260" spans="1:7" x14ac:dyDescent="0.25">
      <c r="A260" s="8">
        <v>42700.08734953704</v>
      </c>
      <c r="B260" t="s">
        <v>244</v>
      </c>
      <c r="C260" t="s">
        <v>263</v>
      </c>
      <c r="D260" s="165">
        <v>2000000</v>
      </c>
      <c r="E260" t="s">
        <v>212</v>
      </c>
      <c r="F260" s="21" t="str">
        <f t="shared" si="4"/>
        <v>rtdc.l.rtdc.4042:itc</v>
      </c>
      <c r="G260" s="8" t="str">
        <f t="shared" si="5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257</v>
      </c>
      <c r="D261" s="165">
        <v>2530000</v>
      </c>
      <c r="E261" t="s">
        <v>256</v>
      </c>
      <c r="F261" s="21" t="str">
        <f t="shared" si="4"/>
        <v>rtdc.l.rtdc.4051:itc</v>
      </c>
      <c r="G261" s="8" t="str">
        <f t="shared" si="5"/>
        <v>LALONDE rtdc.l.rtdc.4051:itc</v>
      </c>
    </row>
    <row r="262" spans="1:7" x14ac:dyDescent="0.25">
      <c r="A262" s="8">
        <v>42700.111076388886</v>
      </c>
      <c r="B262" t="s">
        <v>208</v>
      </c>
      <c r="C262" t="s">
        <v>264</v>
      </c>
      <c r="D262" s="165">
        <v>2600000</v>
      </c>
      <c r="E262" t="s">
        <v>246</v>
      </c>
      <c r="F262" s="21" t="str">
        <f t="shared" si="4"/>
        <v>rtdc.l.rtdc.4040:itc</v>
      </c>
      <c r="G262" s="8" t="str">
        <f t="shared" si="5"/>
        <v>DAVIDSON rtdc.l.rtdc.4040:itc</v>
      </c>
    </row>
    <row r="263" spans="1:7" x14ac:dyDescent="0.25">
      <c r="A263" s="8">
        <v>42685.016226851854</v>
      </c>
      <c r="B263" t="s">
        <v>206</v>
      </c>
      <c r="C263" t="s">
        <v>221</v>
      </c>
      <c r="D263" s="165">
        <v>2000000</v>
      </c>
      <c r="E263" t="s">
        <v>212</v>
      </c>
      <c r="F263" s="21" t="str">
        <f t="shared" si="4"/>
        <v>rtdc.l.rtdc.4011:itc</v>
      </c>
      <c r="G263" s="8" t="str">
        <f t="shared" si="5"/>
        <v>STAMBAUGH rtdc.l.rtdc.4011:itc</v>
      </c>
    </row>
    <row r="264" spans="1:7" x14ac:dyDescent="0.25">
      <c r="A264" s="8">
        <v>42685.029282407406</v>
      </c>
      <c r="B264" t="s">
        <v>217</v>
      </c>
      <c r="C264" t="s">
        <v>222</v>
      </c>
      <c r="D264" s="165">
        <v>2550000</v>
      </c>
      <c r="E264" t="s">
        <v>216</v>
      </c>
      <c r="F264" s="21" t="str">
        <f t="shared" si="4"/>
        <v>rtdc.l.rtdc.4022:itc</v>
      </c>
      <c r="G264" s="8" t="str">
        <f t="shared" si="5"/>
        <v>BADERTSCHER rtdc.l.rtdc.4022:itc</v>
      </c>
    </row>
    <row r="265" spans="1:7" x14ac:dyDescent="0.25">
      <c r="A265" s="8">
        <v>42685.039282407408</v>
      </c>
      <c r="B265" t="s">
        <v>220</v>
      </c>
      <c r="C265" t="s">
        <v>223</v>
      </c>
      <c r="D265" s="165">
        <v>1300000</v>
      </c>
      <c r="E265" t="s">
        <v>113</v>
      </c>
      <c r="F265" s="21" t="str">
        <f t="shared" si="4"/>
        <v>rtdc.l.rtdc.4037:itc</v>
      </c>
      <c r="G265" s="8" t="str">
        <f t="shared" si="5"/>
        <v>LEVIN rtdc.l.rtdc.4037:itc</v>
      </c>
    </row>
    <row r="266" spans="1:7" x14ac:dyDescent="0.25">
      <c r="A266" s="8">
        <v>42685.049375000002</v>
      </c>
      <c r="B266" t="s">
        <v>215</v>
      </c>
      <c r="C266" t="s">
        <v>224</v>
      </c>
      <c r="D266" s="165">
        <v>2420000</v>
      </c>
      <c r="E266" t="s">
        <v>218</v>
      </c>
      <c r="F266" s="21" t="str">
        <f t="shared" ref="F266:F281" si="6">B266</f>
        <v>rtdc.l.rtdc.4002:itc</v>
      </c>
      <c r="G266" s="8" t="str">
        <f t="shared" si="5"/>
        <v>HOLCOMB rtdc.l.rtdc.4002:itc</v>
      </c>
    </row>
    <row r="267" spans="1:7" x14ac:dyDescent="0.25">
      <c r="A267" s="8">
        <v>42685.056481481479</v>
      </c>
      <c r="B267" t="s">
        <v>213</v>
      </c>
      <c r="C267" t="s">
        <v>225</v>
      </c>
      <c r="D267" s="165">
        <v>2000000</v>
      </c>
      <c r="E267" t="s">
        <v>212</v>
      </c>
      <c r="F267" s="21" t="str">
        <f t="shared" si="6"/>
        <v>rtdc.l.rtdc.4012:itc</v>
      </c>
      <c r="G267" s="8" t="str">
        <f t="shared" si="5"/>
        <v>STAMBAUGH rtdc.l.rtdc.4012:itc</v>
      </c>
    </row>
    <row r="268" spans="1:7" x14ac:dyDescent="0.25">
      <c r="A268" s="8">
        <v>42685.071712962963</v>
      </c>
      <c r="B268" t="s">
        <v>219</v>
      </c>
      <c r="C268" t="s">
        <v>226</v>
      </c>
      <c r="D268" s="165">
        <v>1300000</v>
      </c>
      <c r="E268" t="s">
        <v>113</v>
      </c>
      <c r="F268" s="21" t="str">
        <f t="shared" si="6"/>
        <v>rtdc.l.rtdc.4038:itc</v>
      </c>
      <c r="G268" s="8" t="str">
        <f t="shared" si="5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185</v>
      </c>
      <c r="D269" s="165">
        <v>630000</v>
      </c>
      <c r="E269" t="b">
        <v>1</v>
      </c>
      <c r="F269" s="21" t="str">
        <f t="shared" si="6"/>
        <v>rtdc.l.rtdc.4051:itc</v>
      </c>
      <c r="G269" s="8" t="str">
        <f t="shared" si="5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186</v>
      </c>
      <c r="D270" s="165">
        <v>1480000</v>
      </c>
      <c r="E270" t="s">
        <v>181</v>
      </c>
      <c r="F270" s="21" t="str">
        <f t="shared" si="6"/>
        <v>rtdc.l.rtdc.4009:itc</v>
      </c>
      <c r="G270" s="8" t="str">
        <f t="shared" si="5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185</v>
      </c>
      <c r="D271" s="165">
        <v>630000</v>
      </c>
      <c r="E271" t="b">
        <v>1</v>
      </c>
      <c r="F271" s="21" t="str">
        <f t="shared" si="6"/>
        <v>rtdc.l.rtdc.4052:itc</v>
      </c>
      <c r="G271" s="8" t="str">
        <f t="shared" si="5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185</v>
      </c>
      <c r="D272" s="165">
        <v>630000</v>
      </c>
      <c r="E272" t="b">
        <v>1</v>
      </c>
      <c r="F272" s="21" t="str">
        <f t="shared" si="6"/>
        <v>rtdc.l.rtdc.4052:itc</v>
      </c>
      <c r="G272" s="8" t="str">
        <f t="shared" si="5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185</v>
      </c>
      <c r="D273" s="165">
        <v>630000</v>
      </c>
      <c r="E273" t="b">
        <v>1</v>
      </c>
      <c r="F273" s="21" t="str">
        <f t="shared" si="6"/>
        <v>rtdc.l.rtdc.4052:itc</v>
      </c>
      <c r="G273" s="8" t="str">
        <f t="shared" si="5"/>
        <v>TRUE rtdc.l.rtdc.4052:itc</v>
      </c>
    </row>
    <row r="274" spans="1:7" x14ac:dyDescent="0.25">
      <c r="F274" s="21">
        <f t="shared" si="6"/>
        <v>0</v>
      </c>
      <c r="G274" s="8" t="str">
        <f t="shared" si="5"/>
        <v xml:space="preserve"> 0</v>
      </c>
    </row>
    <row r="275" spans="1:7" x14ac:dyDescent="0.25">
      <c r="F275" s="21">
        <f t="shared" si="6"/>
        <v>0</v>
      </c>
      <c r="G275" s="8" t="str">
        <f t="shared" si="5"/>
        <v xml:space="preserve"> 0</v>
      </c>
    </row>
    <row r="276" spans="1:7" x14ac:dyDescent="0.25">
      <c r="F276" s="21">
        <f t="shared" si="6"/>
        <v>0</v>
      </c>
      <c r="G276" s="8" t="str">
        <f t="shared" si="5"/>
        <v xml:space="preserve"> 0</v>
      </c>
    </row>
    <row r="277" spans="1:7" x14ac:dyDescent="0.25">
      <c r="F277" s="21">
        <f t="shared" si="6"/>
        <v>0</v>
      </c>
      <c r="G277" s="8" t="str">
        <f t="shared" si="5"/>
        <v xml:space="preserve"> 0</v>
      </c>
    </row>
    <row r="278" spans="1:7" x14ac:dyDescent="0.25">
      <c r="F278" s="21">
        <f t="shared" si="6"/>
        <v>0</v>
      </c>
      <c r="G278" s="8" t="str">
        <f t="shared" si="5"/>
        <v xml:space="preserve"> 0</v>
      </c>
    </row>
    <row r="279" spans="1:7" x14ac:dyDescent="0.25">
      <c r="F279" s="21">
        <f t="shared" si="6"/>
        <v>0</v>
      </c>
      <c r="G279" s="8" t="str">
        <f t="shared" si="5"/>
        <v xml:space="preserve"> 0</v>
      </c>
    </row>
    <row r="280" spans="1:7" x14ac:dyDescent="0.25">
      <c r="F280" s="21">
        <f t="shared" si="6"/>
        <v>0</v>
      </c>
      <c r="G280" s="8" t="str">
        <f t="shared" si="5"/>
        <v xml:space="preserve"> 0</v>
      </c>
    </row>
    <row r="281" spans="1:7" x14ac:dyDescent="0.25">
      <c r="F281" s="21">
        <f t="shared" si="6"/>
        <v>0</v>
      </c>
      <c r="G281" s="8" t="str">
        <f t="shared" si="5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5"/>
        <v xml:space="preserve"> 0</v>
      </c>
    </row>
    <row r="283" spans="1:7" x14ac:dyDescent="0.25">
      <c r="F283" s="21">
        <f t="shared" si="7"/>
        <v>0</v>
      </c>
      <c r="G283" s="8" t="str">
        <f t="shared" si="5"/>
        <v xml:space="preserve"> 0</v>
      </c>
    </row>
    <row r="284" spans="1:7" x14ac:dyDescent="0.25">
      <c r="F284" s="21">
        <f t="shared" si="7"/>
        <v>0</v>
      </c>
      <c r="G284" s="8" t="str">
        <f t="shared" si="5"/>
        <v xml:space="preserve"> 0</v>
      </c>
    </row>
    <row r="285" spans="1:7" x14ac:dyDescent="0.25">
      <c r="F285" s="21">
        <f t="shared" si="7"/>
        <v>0</v>
      </c>
      <c r="G285" s="8" t="str">
        <f t="shared" si="5"/>
        <v xml:space="preserve"> 0</v>
      </c>
    </row>
    <row r="286" spans="1:7" x14ac:dyDescent="0.25">
      <c r="F286" s="21">
        <f t="shared" si="7"/>
        <v>0</v>
      </c>
      <c r="G286" s="8" t="str">
        <f t="shared" si="5"/>
        <v xml:space="preserve"> 0</v>
      </c>
    </row>
    <row r="287" spans="1:7" x14ac:dyDescent="0.25">
      <c r="F287" s="21">
        <f t="shared" si="7"/>
        <v>0</v>
      </c>
      <c r="G287" s="8" t="str">
        <f t="shared" si="5"/>
        <v xml:space="preserve"> 0</v>
      </c>
    </row>
    <row r="288" spans="1:7" x14ac:dyDescent="0.25">
      <c r="F288" s="21">
        <f t="shared" si="7"/>
        <v>0</v>
      </c>
      <c r="G288" s="8" t="str">
        <f t="shared" si="5"/>
        <v xml:space="preserve"> 0</v>
      </c>
    </row>
    <row r="289" spans="6:7" x14ac:dyDescent="0.25">
      <c r="F289" s="21">
        <f t="shared" si="7"/>
        <v>0</v>
      </c>
      <c r="G289" s="8" t="str">
        <f t="shared" si="5"/>
        <v xml:space="preserve"> 0</v>
      </c>
    </row>
    <row r="290" spans="6:7" x14ac:dyDescent="0.25">
      <c r="F290" s="21">
        <f t="shared" si="7"/>
        <v>0</v>
      </c>
      <c r="G290" s="8" t="str">
        <f t="shared" si="5"/>
        <v xml:space="preserve"> 0</v>
      </c>
    </row>
    <row r="291" spans="6:7" x14ac:dyDescent="0.25">
      <c r="F291" s="21">
        <f t="shared" si="7"/>
        <v>0</v>
      </c>
      <c r="G291" s="8" t="str">
        <f t="shared" si="5"/>
        <v xml:space="preserve"> 0</v>
      </c>
    </row>
    <row r="292" spans="6:7" x14ac:dyDescent="0.25">
      <c r="F292" s="21">
        <f t="shared" si="7"/>
        <v>0</v>
      </c>
      <c r="G292" s="8" t="str">
        <f t="shared" si="5"/>
        <v xml:space="preserve"> 0</v>
      </c>
    </row>
    <row r="293" spans="6:7" x14ac:dyDescent="0.25">
      <c r="F293" s="21">
        <f t="shared" si="7"/>
        <v>0</v>
      </c>
      <c r="G293" s="8" t="str">
        <f t="shared" si="5"/>
        <v xml:space="preserve"> 0</v>
      </c>
    </row>
    <row r="294" spans="6:7" x14ac:dyDescent="0.25">
      <c r="F294" s="21">
        <f t="shared" si="7"/>
        <v>0</v>
      </c>
      <c r="G294" s="8" t="str">
        <f t="shared" si="5"/>
        <v xml:space="preserve"> 0</v>
      </c>
    </row>
    <row r="295" spans="6:7" x14ac:dyDescent="0.25">
      <c r="F295" s="21">
        <f t="shared" si="7"/>
        <v>0</v>
      </c>
      <c r="G295" s="8" t="str">
        <f t="shared" si="5"/>
        <v xml:space="preserve"> 0</v>
      </c>
    </row>
    <row r="296" spans="6:7" x14ac:dyDescent="0.25">
      <c r="F296" s="21">
        <f t="shared" si="7"/>
        <v>0</v>
      </c>
      <c r="G296" s="8" t="str">
        <f t="shared" si="5"/>
        <v xml:space="preserve"> 0</v>
      </c>
    </row>
    <row r="297" spans="6:7" x14ac:dyDescent="0.25">
      <c r="F297" s="21">
        <f t="shared" si="7"/>
        <v>0</v>
      </c>
      <c r="G297" s="8" t="str">
        <f t="shared" si="5"/>
        <v xml:space="preserve"> 0</v>
      </c>
    </row>
    <row r="298" spans="6:7" x14ac:dyDescent="0.25">
      <c r="F298" s="21">
        <f t="shared" si="7"/>
        <v>0</v>
      </c>
      <c r="G298" s="8" t="str">
        <f t="shared" si="5"/>
        <v xml:space="preserve"> 0</v>
      </c>
    </row>
    <row r="299" spans="6:7" x14ac:dyDescent="0.25">
      <c r="F299" s="21">
        <f t="shared" si="7"/>
        <v>0</v>
      </c>
      <c r="G299" s="8" t="str">
        <f t="shared" si="5"/>
        <v xml:space="preserve"> 0</v>
      </c>
    </row>
    <row r="300" spans="6:7" x14ac:dyDescent="0.25">
      <c r="F300" s="21">
        <f t="shared" si="7"/>
        <v>0</v>
      </c>
      <c r="G300" s="8" t="str">
        <f t="shared" si="5"/>
        <v xml:space="preserve"> 0</v>
      </c>
    </row>
    <row r="301" spans="6:7" x14ac:dyDescent="0.25">
      <c r="F301" s="21">
        <f t="shared" si="7"/>
        <v>0</v>
      </c>
      <c r="G301" s="8" t="str">
        <f t="shared" si="5"/>
        <v xml:space="preserve"> 0</v>
      </c>
    </row>
    <row r="302" spans="6:7" x14ac:dyDescent="0.25">
      <c r="F302" s="21">
        <f t="shared" si="7"/>
        <v>0</v>
      </c>
      <c r="G302" s="8" t="str">
        <f t="shared" si="5"/>
        <v xml:space="preserve"> 0</v>
      </c>
    </row>
    <row r="303" spans="6:7" x14ac:dyDescent="0.25">
      <c r="F303" s="21">
        <f t="shared" si="7"/>
        <v>0</v>
      </c>
      <c r="G303" s="8" t="str">
        <f t="shared" si="5"/>
        <v xml:space="preserve"> 0</v>
      </c>
    </row>
    <row r="304" spans="6:7" x14ac:dyDescent="0.25">
      <c r="F304" s="21">
        <f t="shared" si="7"/>
        <v>0</v>
      </c>
      <c r="G304" s="8" t="str">
        <f t="shared" si="5"/>
        <v xml:space="preserve"> 0</v>
      </c>
    </row>
    <row r="305" spans="6:7" x14ac:dyDescent="0.25">
      <c r="F305" s="21">
        <f t="shared" si="7"/>
        <v>0</v>
      </c>
      <c r="G305" s="8" t="str">
        <f t="shared" si="5"/>
        <v xml:space="preserve"> 0</v>
      </c>
    </row>
    <row r="306" spans="6:7" x14ac:dyDescent="0.25">
      <c r="F306" s="21">
        <f t="shared" si="7"/>
        <v>0</v>
      </c>
      <c r="G306" s="8" t="str">
        <f t="shared" si="5"/>
        <v xml:space="preserve"> 0</v>
      </c>
    </row>
    <row r="307" spans="6:7" x14ac:dyDescent="0.25">
      <c r="F307" s="21">
        <f t="shared" si="7"/>
        <v>0</v>
      </c>
      <c r="G307" s="8" t="str">
        <f t="shared" si="5"/>
        <v xml:space="preserve"> 0</v>
      </c>
    </row>
    <row r="308" spans="6:7" x14ac:dyDescent="0.25">
      <c r="F308" s="21">
        <f t="shared" si="7"/>
        <v>0</v>
      </c>
      <c r="G308" s="8" t="str">
        <f t="shared" si="5"/>
        <v xml:space="preserve"> 0</v>
      </c>
    </row>
    <row r="309" spans="6:7" x14ac:dyDescent="0.25">
      <c r="F309" s="21">
        <f t="shared" si="7"/>
        <v>0</v>
      </c>
      <c r="G309" s="8" t="str">
        <f t="shared" si="5"/>
        <v xml:space="preserve"> 0</v>
      </c>
    </row>
    <row r="310" spans="6:7" x14ac:dyDescent="0.25">
      <c r="F310" s="21">
        <f t="shared" si="7"/>
        <v>0</v>
      </c>
      <c r="G310" s="8" t="str">
        <f t="shared" si="5"/>
        <v xml:space="preserve"> 0</v>
      </c>
    </row>
    <row r="311" spans="6:7" x14ac:dyDescent="0.25">
      <c r="F311" s="21">
        <f t="shared" si="7"/>
        <v>0</v>
      </c>
      <c r="G311" s="8" t="str">
        <f t="shared" si="5"/>
        <v xml:space="preserve"> 0</v>
      </c>
    </row>
    <row r="312" spans="6:7" x14ac:dyDescent="0.25">
      <c r="F312" s="21">
        <f t="shared" si="7"/>
        <v>0</v>
      </c>
      <c r="G312" s="8" t="str">
        <f t="shared" si="5"/>
        <v xml:space="preserve"> 0</v>
      </c>
    </row>
    <row r="313" spans="6:7" x14ac:dyDescent="0.25">
      <c r="F313" s="21">
        <f t="shared" si="7"/>
        <v>0</v>
      </c>
      <c r="G313" s="8" t="str">
        <f t="shared" si="5"/>
        <v xml:space="preserve"> 0</v>
      </c>
    </row>
    <row r="314" spans="6:7" x14ac:dyDescent="0.25">
      <c r="F314" s="21">
        <f t="shared" si="7"/>
        <v>0</v>
      </c>
      <c r="G314" s="8" t="str">
        <f t="shared" si="5"/>
        <v xml:space="preserve"> 0</v>
      </c>
    </row>
    <row r="315" spans="6:7" x14ac:dyDescent="0.25">
      <c r="F315" s="21">
        <f t="shared" si="7"/>
        <v>0</v>
      </c>
      <c r="G315" s="8" t="str">
        <f t="shared" si="5"/>
        <v xml:space="preserve"> 0</v>
      </c>
    </row>
    <row r="316" spans="6:7" x14ac:dyDescent="0.25">
      <c r="F316" s="21">
        <f t="shared" si="7"/>
        <v>0</v>
      </c>
      <c r="G316" s="8" t="str">
        <f t="shared" si="5"/>
        <v xml:space="preserve"> 0</v>
      </c>
    </row>
    <row r="317" spans="6:7" x14ac:dyDescent="0.25">
      <c r="F317" s="21">
        <f t="shared" si="7"/>
        <v>0</v>
      </c>
      <c r="G317" s="8" t="str">
        <f t="shared" si="5"/>
        <v xml:space="preserve"> 0</v>
      </c>
    </row>
    <row r="318" spans="6:7" x14ac:dyDescent="0.25">
      <c r="F318" s="21">
        <f t="shared" si="7"/>
        <v>0</v>
      </c>
      <c r="G318" s="8" t="str">
        <f t="shared" si="5"/>
        <v xml:space="preserve"> 0</v>
      </c>
    </row>
    <row r="319" spans="6:7" x14ac:dyDescent="0.25">
      <c r="F319" s="21">
        <f t="shared" si="7"/>
        <v>0</v>
      </c>
      <c r="G319" s="8" t="str">
        <f t="shared" si="5"/>
        <v xml:space="preserve"> 0</v>
      </c>
    </row>
    <row r="320" spans="6:7" x14ac:dyDescent="0.25">
      <c r="F320" s="21">
        <f t="shared" si="7"/>
        <v>0</v>
      </c>
      <c r="G320" s="8" t="str">
        <f t="shared" si="5"/>
        <v xml:space="preserve"> 0</v>
      </c>
    </row>
    <row r="321" spans="6:7" x14ac:dyDescent="0.25">
      <c r="F321" s="21">
        <f t="shared" si="7"/>
        <v>0</v>
      </c>
      <c r="G321" s="8" t="str">
        <f t="shared" si="5"/>
        <v xml:space="preserve"> 0</v>
      </c>
    </row>
    <row r="322" spans="6:7" x14ac:dyDescent="0.25">
      <c r="F322" s="21">
        <f t="shared" si="7"/>
        <v>0</v>
      </c>
      <c r="G322" s="8" t="str">
        <f t="shared" si="5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395</v>
      </c>
      <c r="I1" s="164" t="s">
        <v>171</v>
      </c>
      <c r="J1" s="164" t="s">
        <v>172</v>
      </c>
      <c r="K1" s="164" t="s">
        <v>396</v>
      </c>
      <c r="L1" s="164" t="s">
        <v>166</v>
      </c>
      <c r="M1" s="164" t="s">
        <v>164</v>
      </c>
      <c r="N1" s="164" t="s">
        <v>159</v>
      </c>
      <c r="O1" s="164" t="s">
        <v>169</v>
      </c>
      <c r="P1" s="164" t="s">
        <v>163</v>
      </c>
      <c r="Q1" s="164" t="s">
        <v>170</v>
      </c>
      <c r="R1" s="164" t="s">
        <v>167</v>
      </c>
    </row>
    <row r="2" spans="1:18" x14ac:dyDescent="0.25">
      <c r="A2" s="165">
        <v>18.96</v>
      </c>
      <c r="B2" s="165">
        <v>0.62</v>
      </c>
      <c r="C2" s="165">
        <v>15.56</v>
      </c>
      <c r="D2" s="8">
        <v>42711</v>
      </c>
      <c r="E2" s="165">
        <v>0.86</v>
      </c>
      <c r="F2" s="165" t="s">
        <v>397</v>
      </c>
      <c r="G2" s="165">
        <v>324.20999999999998</v>
      </c>
      <c r="H2" s="165">
        <v>0.17399999999999999</v>
      </c>
      <c r="I2" s="165">
        <v>1.06E-2</v>
      </c>
      <c r="J2" s="165">
        <v>0.54</v>
      </c>
      <c r="K2" s="165" t="s">
        <v>397</v>
      </c>
      <c r="L2" s="165">
        <v>1019.53</v>
      </c>
      <c r="M2" s="165" t="s">
        <v>400</v>
      </c>
      <c r="N2" s="165">
        <v>18.96</v>
      </c>
      <c r="O2" s="165">
        <v>1481094000</v>
      </c>
      <c r="P2" s="165">
        <v>0.69</v>
      </c>
      <c r="Q2" s="165">
        <v>89</v>
      </c>
      <c r="R2" s="165">
        <v>2.63</v>
      </c>
    </row>
    <row r="3" spans="1:18" x14ac:dyDescent="0.25">
      <c r="A3" s="165">
        <v>18.29</v>
      </c>
      <c r="B3" s="165">
        <v>0.54</v>
      </c>
      <c r="C3" s="165">
        <v>15.25</v>
      </c>
      <c r="D3" s="8">
        <v>42711.041666666664</v>
      </c>
      <c r="E3" s="165">
        <v>0.88</v>
      </c>
      <c r="F3" s="165" t="s">
        <v>397</v>
      </c>
      <c r="G3" s="165">
        <v>324.81</v>
      </c>
      <c r="H3" s="165">
        <v>0.183</v>
      </c>
      <c r="I3" s="165">
        <v>1.0800000000000001E-2</v>
      </c>
      <c r="J3" s="165">
        <v>0.54</v>
      </c>
      <c r="K3" s="165" t="s">
        <v>397</v>
      </c>
      <c r="L3" s="165">
        <v>1020.15</v>
      </c>
      <c r="M3" s="165" t="s">
        <v>400</v>
      </c>
      <c r="N3" s="165">
        <v>18.29</v>
      </c>
      <c r="O3" s="165">
        <v>1481097600</v>
      </c>
      <c r="P3" s="165">
        <v>2.0299999999999998</v>
      </c>
      <c r="Q3" s="165">
        <v>77</v>
      </c>
      <c r="R3" s="165">
        <v>1.1599999999999999</v>
      </c>
    </row>
    <row r="4" spans="1:18" x14ac:dyDescent="0.25">
      <c r="A4" s="165">
        <v>17.260000000000002</v>
      </c>
      <c r="B4" s="165">
        <v>0.49</v>
      </c>
      <c r="C4" s="165">
        <v>13.99</v>
      </c>
      <c r="D4" s="8">
        <v>42711.083333333336</v>
      </c>
      <c r="E4" s="165">
        <v>0.87</v>
      </c>
      <c r="F4" s="165" t="s">
        <v>397</v>
      </c>
      <c r="G4" s="165">
        <v>325.41000000000003</v>
      </c>
      <c r="H4" s="165">
        <v>0.19500000000000001</v>
      </c>
      <c r="I4" s="165">
        <v>1.0999999999999999E-2</v>
      </c>
      <c r="J4" s="165">
        <v>0.54</v>
      </c>
      <c r="K4" s="165" t="s">
        <v>397</v>
      </c>
      <c r="L4" s="165">
        <v>1020.8</v>
      </c>
      <c r="M4" s="165" t="s">
        <v>400</v>
      </c>
      <c r="N4" s="165">
        <v>17.260000000000002</v>
      </c>
      <c r="O4" s="165">
        <v>1481101200</v>
      </c>
      <c r="P4" s="165">
        <v>3.32</v>
      </c>
      <c r="Q4" s="165">
        <v>89</v>
      </c>
      <c r="R4" s="165">
        <v>1.45</v>
      </c>
    </row>
    <row r="5" spans="1:18" x14ac:dyDescent="0.25">
      <c r="A5" s="165">
        <v>17.079999999999998</v>
      </c>
      <c r="B5" s="165">
        <v>0.55000000000000004</v>
      </c>
      <c r="C5" s="165">
        <v>13.7</v>
      </c>
      <c r="D5" s="8">
        <v>42711.125</v>
      </c>
      <c r="E5" s="165">
        <v>0.86</v>
      </c>
      <c r="F5" s="165" t="s">
        <v>397</v>
      </c>
      <c r="G5" s="165">
        <v>327.88</v>
      </c>
      <c r="H5" s="165">
        <v>0.2</v>
      </c>
      <c r="I5" s="165">
        <v>1.12E-2</v>
      </c>
      <c r="J5" s="165">
        <v>0.55000000000000004</v>
      </c>
      <c r="K5" s="165" t="s">
        <v>397</v>
      </c>
      <c r="L5" s="165">
        <v>1022.08</v>
      </c>
      <c r="M5" s="165" t="s">
        <v>400</v>
      </c>
      <c r="N5" s="165">
        <v>17.079999999999998</v>
      </c>
      <c r="O5" s="165">
        <v>1481104800</v>
      </c>
      <c r="P5" s="165">
        <v>4.0599999999999996</v>
      </c>
      <c r="Q5" s="165">
        <v>70</v>
      </c>
      <c r="R5" s="165">
        <v>2.04</v>
      </c>
    </row>
    <row r="6" spans="1:18" x14ac:dyDescent="0.25">
      <c r="A6" s="165">
        <v>16.309999999999999</v>
      </c>
      <c r="B6" s="165">
        <v>0.69</v>
      </c>
      <c r="C6" s="165">
        <v>12.81</v>
      </c>
      <c r="D6" s="8">
        <v>42711.166666666664</v>
      </c>
      <c r="E6" s="165">
        <v>0.86</v>
      </c>
      <c r="F6" s="165" t="s">
        <v>397</v>
      </c>
      <c r="G6" s="165">
        <v>331.03</v>
      </c>
      <c r="H6" s="165">
        <v>0.20699999999999999</v>
      </c>
      <c r="I6" s="165">
        <v>1.12E-2</v>
      </c>
      <c r="J6" s="165">
        <v>0.55000000000000004</v>
      </c>
      <c r="K6" s="165" t="s">
        <v>397</v>
      </c>
      <c r="L6" s="165">
        <v>1023.59</v>
      </c>
      <c r="M6" s="165" t="s">
        <v>400</v>
      </c>
      <c r="N6" s="165">
        <v>16.309999999999999</v>
      </c>
      <c r="O6" s="165">
        <v>1481108400</v>
      </c>
      <c r="P6" s="165">
        <v>1.41</v>
      </c>
      <c r="Q6" s="165">
        <v>5</v>
      </c>
      <c r="R6" s="165">
        <v>1.58</v>
      </c>
    </row>
    <row r="7" spans="1:18" x14ac:dyDescent="0.25">
      <c r="A7" s="165">
        <v>16.149999999999999</v>
      </c>
      <c r="B7" s="165">
        <v>0.78</v>
      </c>
      <c r="C7" s="165">
        <v>13</v>
      </c>
      <c r="D7" s="8">
        <v>42711.208333333336</v>
      </c>
      <c r="E7" s="165">
        <v>0.87</v>
      </c>
      <c r="F7" s="165" t="s">
        <v>397</v>
      </c>
      <c r="G7" s="165">
        <v>333.38</v>
      </c>
      <c r="H7" s="165">
        <v>0.193</v>
      </c>
      <c r="I7" s="165">
        <v>1.04E-2</v>
      </c>
      <c r="J7" s="165">
        <v>0.53</v>
      </c>
      <c r="K7" s="165" t="s">
        <v>397</v>
      </c>
      <c r="L7" s="165">
        <v>1025.01</v>
      </c>
      <c r="M7" s="165" t="s">
        <v>400</v>
      </c>
      <c r="N7" s="165">
        <v>16.149999999999999</v>
      </c>
      <c r="O7" s="165">
        <v>1481112000</v>
      </c>
      <c r="P7" s="165">
        <v>0.95</v>
      </c>
      <c r="Q7" s="165">
        <v>37</v>
      </c>
      <c r="R7" s="165">
        <v>1.83</v>
      </c>
    </row>
    <row r="8" spans="1:18" x14ac:dyDescent="0.25">
      <c r="A8" s="165">
        <v>16.079999999999998</v>
      </c>
      <c r="B8" s="165">
        <v>0.71</v>
      </c>
      <c r="C8" s="165">
        <v>12.88</v>
      </c>
      <c r="D8" s="8">
        <v>42711.25</v>
      </c>
      <c r="E8" s="165">
        <v>0.87</v>
      </c>
      <c r="F8" s="165" t="s">
        <v>397</v>
      </c>
      <c r="G8" s="165">
        <v>334.32</v>
      </c>
      <c r="H8" s="165">
        <v>0.14399999999999999</v>
      </c>
      <c r="I8" s="165">
        <v>7.7999999999999996E-3</v>
      </c>
      <c r="J8" s="165">
        <v>0.41</v>
      </c>
      <c r="K8" s="165" t="s">
        <v>397</v>
      </c>
      <c r="L8" s="165">
        <v>1026.1400000000001</v>
      </c>
      <c r="M8" s="165" t="s">
        <v>399</v>
      </c>
      <c r="N8" s="165">
        <v>16.079999999999998</v>
      </c>
      <c r="O8" s="165">
        <v>1481115600</v>
      </c>
      <c r="P8" s="165">
        <v>1.01</v>
      </c>
      <c r="Q8" s="165">
        <v>42</v>
      </c>
      <c r="R8" s="165">
        <v>2.4300000000000002</v>
      </c>
    </row>
    <row r="9" spans="1:18" x14ac:dyDescent="0.25">
      <c r="A9" s="165">
        <v>4.7300000000000004</v>
      </c>
      <c r="B9" s="165">
        <v>0.62</v>
      </c>
      <c r="C9" s="165">
        <v>11.05</v>
      </c>
      <c r="D9" s="8">
        <v>42711.291666666664</v>
      </c>
      <c r="E9" s="165">
        <v>0.87</v>
      </c>
      <c r="F9" s="165" t="s">
        <v>397</v>
      </c>
      <c r="G9" s="165">
        <v>334.45</v>
      </c>
      <c r="H9" s="165">
        <v>0.08</v>
      </c>
      <c r="I9" s="165">
        <v>4.1999999999999997E-3</v>
      </c>
      <c r="J9" s="165">
        <v>0.17</v>
      </c>
      <c r="K9" s="165" t="s">
        <v>397</v>
      </c>
      <c r="L9" s="165">
        <v>1027.1500000000001</v>
      </c>
      <c r="M9" s="165" t="s">
        <v>399</v>
      </c>
      <c r="N9" s="165">
        <v>14.13</v>
      </c>
      <c r="O9" s="165">
        <v>1481119200</v>
      </c>
      <c r="P9" s="165">
        <v>0.81</v>
      </c>
      <c r="Q9" s="165">
        <v>9</v>
      </c>
      <c r="R9" s="165">
        <v>6.21</v>
      </c>
    </row>
    <row r="10" spans="1:18" x14ac:dyDescent="0.25">
      <c r="A10" s="165">
        <v>3.03</v>
      </c>
      <c r="B10" s="165">
        <v>0.59</v>
      </c>
      <c r="C10" s="165">
        <v>8.52</v>
      </c>
      <c r="D10" s="8">
        <v>42711.333333333336</v>
      </c>
      <c r="E10" s="165">
        <v>0.85</v>
      </c>
      <c r="F10" s="165" t="s">
        <v>397</v>
      </c>
      <c r="G10" s="165">
        <v>334.13</v>
      </c>
      <c r="H10" s="165">
        <v>3.1E-2</v>
      </c>
      <c r="I10" s="165">
        <v>1.6000000000000001E-3</v>
      </c>
      <c r="J10" s="165">
        <v>0.03</v>
      </c>
      <c r="K10" s="165" t="s">
        <v>397</v>
      </c>
      <c r="L10" s="165">
        <v>1028.32</v>
      </c>
      <c r="M10" s="165" t="s">
        <v>399</v>
      </c>
      <c r="N10" s="165">
        <v>12.21</v>
      </c>
      <c r="O10" s="165">
        <v>1481122800</v>
      </c>
      <c r="P10" s="165">
        <v>1.28</v>
      </c>
      <c r="Q10" s="165">
        <v>10</v>
      </c>
      <c r="R10" s="165">
        <v>5.67</v>
      </c>
    </row>
    <row r="11" spans="1:18" x14ac:dyDescent="0.25">
      <c r="A11" s="165">
        <v>1.01</v>
      </c>
      <c r="B11" s="165">
        <v>0.67</v>
      </c>
      <c r="C11" s="165">
        <v>6.28</v>
      </c>
      <c r="D11" s="8">
        <v>42711.375</v>
      </c>
      <c r="E11" s="165">
        <v>0.83</v>
      </c>
      <c r="F11" s="165" t="s">
        <v>397</v>
      </c>
      <c r="G11" s="165">
        <v>333.41</v>
      </c>
      <c r="H11" s="165">
        <v>2.1000000000000001E-2</v>
      </c>
      <c r="I11" s="165">
        <v>1.1000000000000001E-3</v>
      </c>
      <c r="J11" s="165">
        <v>0.02</v>
      </c>
      <c r="K11" s="165" t="s">
        <v>397</v>
      </c>
      <c r="L11" s="165">
        <v>1029.92</v>
      </c>
      <c r="M11" s="165" t="s">
        <v>674</v>
      </c>
      <c r="N11" s="165">
        <v>10.49</v>
      </c>
      <c r="O11" s="165">
        <v>1481126400</v>
      </c>
      <c r="P11" s="165">
        <v>1.63</v>
      </c>
      <c r="Q11" s="165">
        <v>14</v>
      </c>
      <c r="R11" s="165">
        <v>5.65</v>
      </c>
    </row>
    <row r="12" spans="1:18" x14ac:dyDescent="0.25">
      <c r="A12" s="165">
        <v>3.27</v>
      </c>
      <c r="B12" s="165">
        <v>0.75</v>
      </c>
      <c r="C12" s="165">
        <v>5.75</v>
      </c>
      <c r="D12" s="8">
        <v>42711.416666666664</v>
      </c>
      <c r="E12" s="165">
        <v>0.8</v>
      </c>
      <c r="F12" s="165" t="s">
        <v>397</v>
      </c>
      <c r="G12" s="165">
        <v>332.25</v>
      </c>
      <c r="H12" s="165">
        <v>2.9000000000000001E-2</v>
      </c>
      <c r="I12" s="165">
        <v>1.6000000000000001E-3</v>
      </c>
      <c r="J12" s="165">
        <v>0.03</v>
      </c>
      <c r="K12" s="165" t="s">
        <v>397</v>
      </c>
      <c r="L12" s="165">
        <v>1031.3699999999999</v>
      </c>
      <c r="M12" s="165" t="s">
        <v>399</v>
      </c>
      <c r="N12" s="165">
        <v>10.77</v>
      </c>
      <c r="O12" s="165">
        <v>1481130000</v>
      </c>
      <c r="P12" s="165">
        <v>2.75</v>
      </c>
      <c r="Q12" s="165">
        <v>33</v>
      </c>
      <c r="R12" s="165">
        <v>4.18</v>
      </c>
    </row>
    <row r="13" spans="1:18" x14ac:dyDescent="0.25">
      <c r="A13" s="165">
        <v>6.38</v>
      </c>
      <c r="B13" s="165">
        <v>0.76</v>
      </c>
      <c r="C13" s="165">
        <v>5.79</v>
      </c>
      <c r="D13" s="8">
        <v>42711.458333333336</v>
      </c>
      <c r="E13" s="165">
        <v>0.76</v>
      </c>
      <c r="F13" s="165" t="s">
        <v>397</v>
      </c>
      <c r="G13" s="165">
        <v>330.82</v>
      </c>
      <c r="H13" s="165">
        <v>3.6999999999999998E-2</v>
      </c>
      <c r="I13" s="165">
        <v>1.9E-3</v>
      </c>
      <c r="J13" s="165">
        <v>0.05</v>
      </c>
      <c r="K13" s="165" t="s">
        <v>397</v>
      </c>
      <c r="L13" s="165">
        <v>1032.23</v>
      </c>
      <c r="M13" s="165" t="s">
        <v>399</v>
      </c>
      <c r="N13" s="165">
        <v>11.81</v>
      </c>
      <c r="O13" s="165">
        <v>1481133600</v>
      </c>
      <c r="P13" s="165">
        <v>2.46</v>
      </c>
      <c r="Q13" s="165">
        <v>49</v>
      </c>
      <c r="R13" s="165">
        <v>3.05</v>
      </c>
    </row>
    <row r="14" spans="1:18" x14ac:dyDescent="0.25">
      <c r="A14" s="165">
        <v>7.73</v>
      </c>
      <c r="B14" s="165">
        <v>0.8</v>
      </c>
      <c r="C14" s="165">
        <v>7.6</v>
      </c>
      <c r="D14" s="8">
        <v>42711.5</v>
      </c>
      <c r="E14" s="165">
        <v>0.76</v>
      </c>
      <c r="F14" s="165" t="s">
        <v>397</v>
      </c>
      <c r="G14" s="165">
        <v>329.39</v>
      </c>
      <c r="H14" s="165">
        <v>3.7999999999999999E-2</v>
      </c>
      <c r="I14" s="165">
        <v>2E-3</v>
      </c>
      <c r="J14" s="165">
        <v>0.05</v>
      </c>
      <c r="K14" s="165" t="s">
        <v>397</v>
      </c>
      <c r="L14" s="165">
        <v>1032.53</v>
      </c>
      <c r="M14" s="165" t="s">
        <v>399</v>
      </c>
      <c r="N14" s="165">
        <v>13.74</v>
      </c>
      <c r="O14" s="165">
        <v>1481137200</v>
      </c>
      <c r="P14" s="165">
        <v>2.72</v>
      </c>
      <c r="Q14" s="165">
        <v>47</v>
      </c>
      <c r="R14" s="165">
        <v>3.53</v>
      </c>
    </row>
    <row r="15" spans="1:18" x14ac:dyDescent="0.25">
      <c r="A15" s="165">
        <v>7.99</v>
      </c>
      <c r="B15" s="165">
        <v>0.82</v>
      </c>
      <c r="C15" s="165">
        <v>7.4</v>
      </c>
      <c r="D15" s="8">
        <v>42711.541666666664</v>
      </c>
      <c r="E15" s="165">
        <v>0.73</v>
      </c>
      <c r="F15" s="165" t="s">
        <v>397</v>
      </c>
      <c r="G15" s="165">
        <v>327.7</v>
      </c>
      <c r="H15" s="165">
        <v>3.7999999999999999E-2</v>
      </c>
      <c r="I15" s="165">
        <v>2E-3</v>
      </c>
      <c r="J15" s="165">
        <v>0.05</v>
      </c>
      <c r="K15" s="165" t="s">
        <v>397</v>
      </c>
      <c r="L15" s="165">
        <v>1032.44</v>
      </c>
      <c r="M15" s="165" t="s">
        <v>399</v>
      </c>
      <c r="N15" s="165">
        <v>14.42</v>
      </c>
      <c r="O15" s="165">
        <v>1481140800</v>
      </c>
      <c r="P15" s="165">
        <v>2.73</v>
      </c>
      <c r="Q15" s="165">
        <v>46</v>
      </c>
      <c r="R15" s="165">
        <v>3.85</v>
      </c>
    </row>
    <row r="16" spans="1:18" x14ac:dyDescent="0.25">
      <c r="A16" s="165">
        <v>7.5</v>
      </c>
      <c r="B16" s="165">
        <v>0.8</v>
      </c>
      <c r="C16" s="165">
        <v>7.64</v>
      </c>
      <c r="D16" s="8">
        <v>42711.583333333336</v>
      </c>
      <c r="E16" s="165">
        <v>0.74</v>
      </c>
      <c r="F16" s="165" t="s">
        <v>397</v>
      </c>
      <c r="G16" s="165">
        <v>325.16000000000003</v>
      </c>
      <c r="H16" s="165">
        <v>3.5000000000000003E-2</v>
      </c>
      <c r="I16" s="165">
        <v>1.8E-3</v>
      </c>
      <c r="J16" s="165">
        <v>0.04</v>
      </c>
      <c r="K16" s="165" t="s">
        <v>397</v>
      </c>
      <c r="L16" s="165">
        <v>1032.71</v>
      </c>
      <c r="M16" s="165" t="s">
        <v>399</v>
      </c>
      <c r="N16" s="165">
        <v>14.49</v>
      </c>
      <c r="O16" s="165">
        <v>1481144400</v>
      </c>
      <c r="P16" s="165">
        <v>2.72</v>
      </c>
      <c r="Q16" s="165">
        <v>35</v>
      </c>
      <c r="R16" s="165">
        <v>4.24</v>
      </c>
    </row>
    <row r="17" spans="1:18" x14ac:dyDescent="0.25">
      <c r="A17" s="165">
        <v>8.19</v>
      </c>
      <c r="B17" s="165">
        <v>0.81</v>
      </c>
      <c r="C17" s="165">
        <v>6.8</v>
      </c>
      <c r="D17" s="8">
        <v>42711.625</v>
      </c>
      <c r="E17" s="165">
        <v>0.72</v>
      </c>
      <c r="F17" s="165" t="s">
        <v>397</v>
      </c>
      <c r="G17" s="165">
        <v>321.10000000000002</v>
      </c>
      <c r="H17" s="165">
        <v>0.03</v>
      </c>
      <c r="I17" s="165">
        <v>1.6000000000000001E-3</v>
      </c>
      <c r="J17" s="165">
        <v>0.03</v>
      </c>
      <c r="K17" s="165" t="s">
        <v>397</v>
      </c>
      <c r="L17" s="165">
        <v>1034.01</v>
      </c>
      <c r="M17" s="165" t="s">
        <v>399</v>
      </c>
      <c r="N17" s="165">
        <v>14.16</v>
      </c>
      <c r="O17" s="165">
        <v>1481148000</v>
      </c>
      <c r="P17" s="165">
        <v>2.78</v>
      </c>
      <c r="Q17" s="165">
        <v>36</v>
      </c>
      <c r="R17" s="165">
        <v>3.54</v>
      </c>
    </row>
    <row r="18" spans="1:18" x14ac:dyDescent="0.25">
      <c r="A18" s="165">
        <v>4.66</v>
      </c>
      <c r="B18" s="165">
        <v>0.83</v>
      </c>
      <c r="C18" s="165">
        <v>6.27</v>
      </c>
      <c r="D18" s="8">
        <v>42711.666666666664</v>
      </c>
      <c r="E18" s="165">
        <v>0.76</v>
      </c>
      <c r="F18" s="165" t="s">
        <v>266</v>
      </c>
      <c r="G18" s="165">
        <v>316.19</v>
      </c>
      <c r="H18" s="165"/>
      <c r="I18" s="165">
        <v>0</v>
      </c>
      <c r="J18" s="165">
        <v>0</v>
      </c>
      <c r="K18" s="165"/>
      <c r="L18" s="165">
        <v>1035.77</v>
      </c>
      <c r="M18" s="165" t="s">
        <v>398</v>
      </c>
      <c r="N18" s="165">
        <v>12.34</v>
      </c>
      <c r="O18" s="165">
        <v>1481151600</v>
      </c>
      <c r="P18" s="165">
        <v>4.17</v>
      </c>
      <c r="Q18" s="165">
        <v>25</v>
      </c>
      <c r="R18" s="165">
        <v>4.49</v>
      </c>
    </row>
    <row r="19" spans="1:18" x14ac:dyDescent="0.25">
      <c r="A19" s="165">
        <v>3.26</v>
      </c>
      <c r="B19" s="165">
        <v>0.78</v>
      </c>
      <c r="C19" s="165">
        <v>5.77</v>
      </c>
      <c r="D19" s="8">
        <v>42711.708333333336</v>
      </c>
      <c r="E19" s="165">
        <v>0.78</v>
      </c>
      <c r="F19" s="165" t="s">
        <v>265</v>
      </c>
      <c r="G19" s="165">
        <v>311.93</v>
      </c>
      <c r="H19" s="165"/>
      <c r="I19" s="165">
        <v>0</v>
      </c>
      <c r="J19" s="165">
        <v>0</v>
      </c>
      <c r="K19" s="165"/>
      <c r="L19" s="165">
        <v>1037.33</v>
      </c>
      <c r="M19" s="165" t="s">
        <v>398</v>
      </c>
      <c r="N19" s="165">
        <v>11.15</v>
      </c>
      <c r="O19" s="165">
        <v>1481155200</v>
      </c>
      <c r="P19" s="165">
        <v>4.01</v>
      </c>
      <c r="Q19" s="165">
        <v>35</v>
      </c>
      <c r="R19" s="165">
        <v>4.5</v>
      </c>
    </row>
    <row r="20" spans="1:18" x14ac:dyDescent="0.25">
      <c r="A20" s="165">
        <v>4.63</v>
      </c>
      <c r="B20" s="165">
        <v>0.71</v>
      </c>
      <c r="C20" s="165">
        <v>5.12</v>
      </c>
      <c r="D20" s="8">
        <v>42711.75</v>
      </c>
      <c r="E20" s="165">
        <v>0.79</v>
      </c>
      <c r="F20" s="165" t="s">
        <v>265</v>
      </c>
      <c r="G20" s="165">
        <v>309.02999999999997</v>
      </c>
      <c r="H20" s="165"/>
      <c r="I20" s="165">
        <v>0</v>
      </c>
      <c r="J20" s="165">
        <v>0</v>
      </c>
      <c r="K20" s="165"/>
      <c r="L20" s="165">
        <v>1038.6500000000001</v>
      </c>
      <c r="M20" s="165" t="s">
        <v>398</v>
      </c>
      <c r="N20" s="165">
        <v>10.42</v>
      </c>
      <c r="O20" s="165">
        <v>1481158800</v>
      </c>
      <c r="P20" s="165">
        <v>4.47</v>
      </c>
      <c r="Q20" s="165">
        <v>34</v>
      </c>
      <c r="R20" s="165">
        <v>3.15</v>
      </c>
    </row>
    <row r="21" spans="1:18" x14ac:dyDescent="0.25">
      <c r="A21" s="165">
        <v>8.94</v>
      </c>
      <c r="B21" s="165">
        <v>0.49</v>
      </c>
      <c r="C21" s="165">
        <v>3.55</v>
      </c>
      <c r="D21" s="8">
        <v>42711.791666666664</v>
      </c>
      <c r="E21" s="165">
        <v>0.78</v>
      </c>
      <c r="F21" s="165" t="s">
        <v>265</v>
      </c>
      <c r="G21" s="165">
        <v>306.77999999999997</v>
      </c>
      <c r="H21" s="165"/>
      <c r="I21" s="165">
        <v>0</v>
      </c>
      <c r="J21" s="165">
        <v>0</v>
      </c>
      <c r="K21" s="165"/>
      <c r="L21" s="165">
        <v>1039.69</v>
      </c>
      <c r="M21" s="165" t="s">
        <v>277</v>
      </c>
      <c r="N21" s="165">
        <v>8.94</v>
      </c>
      <c r="O21" s="165">
        <v>1481162400</v>
      </c>
      <c r="P21" s="165">
        <v>4.58</v>
      </c>
      <c r="Q21" s="165">
        <v>54</v>
      </c>
      <c r="R21" s="165">
        <v>2.33</v>
      </c>
    </row>
    <row r="22" spans="1:18" x14ac:dyDescent="0.25">
      <c r="A22" s="165">
        <v>7.86</v>
      </c>
      <c r="B22" s="165">
        <v>0.31</v>
      </c>
      <c r="C22" s="165">
        <v>2.39</v>
      </c>
      <c r="D22" s="8">
        <v>42711.833333333336</v>
      </c>
      <c r="E22" s="165">
        <v>0.78</v>
      </c>
      <c r="F22" s="165" t="s">
        <v>265</v>
      </c>
      <c r="G22" s="165">
        <v>304.58</v>
      </c>
      <c r="H22" s="165"/>
      <c r="I22" s="165">
        <v>0</v>
      </c>
      <c r="J22" s="165">
        <v>0</v>
      </c>
      <c r="K22" s="165"/>
      <c r="L22" s="165">
        <v>1040.7</v>
      </c>
      <c r="M22" s="165" t="s">
        <v>277</v>
      </c>
      <c r="N22" s="165">
        <v>7.86</v>
      </c>
      <c r="O22" s="165">
        <v>1481166000</v>
      </c>
      <c r="P22" s="165">
        <v>3.75</v>
      </c>
      <c r="Q22" s="165">
        <v>97</v>
      </c>
      <c r="R22" s="165">
        <v>1.64</v>
      </c>
    </row>
    <row r="23" spans="1:18" x14ac:dyDescent="0.25">
      <c r="A23" s="165">
        <v>6.8</v>
      </c>
      <c r="B23" s="165">
        <v>0.34</v>
      </c>
      <c r="C23" s="165">
        <v>1.75</v>
      </c>
      <c r="D23" s="8">
        <v>42711.875</v>
      </c>
      <c r="E23" s="165">
        <v>0.79</v>
      </c>
      <c r="F23" s="165" t="s">
        <v>265</v>
      </c>
      <c r="G23" s="165">
        <v>302.04000000000002</v>
      </c>
      <c r="H23" s="165"/>
      <c r="I23" s="165">
        <v>0</v>
      </c>
      <c r="J23" s="165">
        <v>0</v>
      </c>
      <c r="K23" s="165"/>
      <c r="L23" s="165">
        <v>1041.92</v>
      </c>
      <c r="M23" s="165" t="s">
        <v>277</v>
      </c>
      <c r="N23" s="165">
        <v>6.8</v>
      </c>
      <c r="O23" s="165">
        <v>1481169600</v>
      </c>
      <c r="P23" s="165">
        <v>3.2</v>
      </c>
      <c r="Q23" s="165">
        <v>107</v>
      </c>
      <c r="R23" s="165">
        <v>0.93</v>
      </c>
    </row>
    <row r="24" spans="1:18" x14ac:dyDescent="0.25">
      <c r="A24" s="165">
        <v>6.8</v>
      </c>
      <c r="B24" s="165">
        <v>0.31</v>
      </c>
      <c r="C24" s="165">
        <v>2.0099999999999998</v>
      </c>
      <c r="D24" s="8">
        <v>42711.916666666664</v>
      </c>
      <c r="E24" s="165">
        <v>0.8</v>
      </c>
      <c r="F24" s="165" t="s">
        <v>265</v>
      </c>
      <c r="G24" s="165">
        <v>299.55</v>
      </c>
      <c r="H24" s="165"/>
      <c r="I24" s="165">
        <v>0</v>
      </c>
      <c r="J24" s="165">
        <v>0</v>
      </c>
      <c r="K24" s="165"/>
      <c r="L24" s="165">
        <v>1043.0999999999999</v>
      </c>
      <c r="M24" s="165" t="s">
        <v>277</v>
      </c>
      <c r="N24" s="165">
        <v>6.8</v>
      </c>
      <c r="O24" s="165">
        <v>1481173200</v>
      </c>
      <c r="P24" s="165">
        <v>3.22</v>
      </c>
      <c r="Q24" s="165">
        <v>323</v>
      </c>
      <c r="R24" s="165">
        <v>1.29</v>
      </c>
    </row>
    <row r="25" spans="1:18" x14ac:dyDescent="0.25">
      <c r="A25" s="165">
        <v>6.44</v>
      </c>
      <c r="B25" s="165">
        <v>0.31</v>
      </c>
      <c r="C25" s="165">
        <v>1.81</v>
      </c>
      <c r="D25" s="8">
        <v>42711.958333333336</v>
      </c>
      <c r="E25" s="165">
        <v>0.81</v>
      </c>
      <c r="F25" s="165" t="s">
        <v>265</v>
      </c>
      <c r="G25" s="165">
        <v>297.63</v>
      </c>
      <c r="H25" s="165"/>
      <c r="I25" s="165">
        <v>0</v>
      </c>
      <c r="J25" s="165">
        <v>0</v>
      </c>
      <c r="K25" s="165"/>
      <c r="L25" s="165">
        <v>1043.97</v>
      </c>
      <c r="M25" s="165" t="s">
        <v>277</v>
      </c>
      <c r="N25" s="165">
        <v>6.44</v>
      </c>
      <c r="O25" s="165">
        <v>1481176800</v>
      </c>
      <c r="P25" s="165">
        <v>3.14</v>
      </c>
      <c r="Q25" s="165">
        <v>139</v>
      </c>
      <c r="R25" s="165">
        <v>1.0900000000000001</v>
      </c>
    </row>
    <row r="26" spans="1:18" x14ac:dyDescent="0.25">
      <c r="A26" s="165">
        <v>5.08</v>
      </c>
      <c r="B26" s="165">
        <v>0.42</v>
      </c>
      <c r="C26" s="165">
        <v>0.02</v>
      </c>
      <c r="D26" s="8">
        <v>42712</v>
      </c>
      <c r="E26" s="165">
        <v>0.79</v>
      </c>
      <c r="F26" s="165" t="s">
        <v>265</v>
      </c>
      <c r="G26" s="165">
        <v>297.04000000000002</v>
      </c>
      <c r="H26" s="165"/>
      <c r="I26" s="165">
        <v>0</v>
      </c>
      <c r="J26" s="165">
        <v>0</v>
      </c>
      <c r="K26" s="165"/>
      <c r="L26" s="165">
        <v>1043.9000000000001</v>
      </c>
      <c r="M26" s="165" t="s">
        <v>277</v>
      </c>
      <c r="N26" s="165">
        <v>5.08</v>
      </c>
      <c r="O26" s="165">
        <v>1481180400</v>
      </c>
      <c r="P26" s="165">
        <v>3.22</v>
      </c>
      <c r="Q26" s="165">
        <v>164</v>
      </c>
      <c r="R26" s="165">
        <v>1.21</v>
      </c>
    </row>
    <row r="27" spans="1:18" x14ac:dyDescent="0.25">
      <c r="A27" s="165">
        <v>4.5999999999999996</v>
      </c>
      <c r="B27" s="165">
        <v>0.44</v>
      </c>
      <c r="C27" s="165">
        <v>-0.6</v>
      </c>
      <c r="D27" s="8">
        <v>42712.041666666664</v>
      </c>
      <c r="E27" s="165">
        <v>0.78</v>
      </c>
      <c r="F27" s="165" t="s">
        <v>265</v>
      </c>
      <c r="G27" s="165">
        <v>296.45</v>
      </c>
      <c r="H27" s="165"/>
      <c r="I27" s="165">
        <v>0</v>
      </c>
      <c r="J27" s="165">
        <v>0</v>
      </c>
      <c r="K27" s="165"/>
      <c r="L27" s="165">
        <v>1043.8900000000001</v>
      </c>
      <c r="M27" s="165" t="s">
        <v>277</v>
      </c>
      <c r="N27" s="165">
        <v>4.5999999999999996</v>
      </c>
      <c r="O27" s="165">
        <v>1481184000</v>
      </c>
      <c r="P27" s="165">
        <v>3.27</v>
      </c>
      <c r="Q27" s="165">
        <v>148</v>
      </c>
      <c r="R27" s="165">
        <v>1.03</v>
      </c>
    </row>
    <row r="28" spans="1:18" x14ac:dyDescent="0.25">
      <c r="A28" s="165">
        <v>4.97</v>
      </c>
      <c r="B28" s="165">
        <v>0.54</v>
      </c>
      <c r="C28" s="165">
        <v>-0.28000000000000003</v>
      </c>
      <c r="D28" s="8">
        <v>42712.083333333336</v>
      </c>
      <c r="E28" s="165">
        <v>0.78</v>
      </c>
      <c r="F28" s="165" t="s">
        <v>265</v>
      </c>
      <c r="G28" s="165">
        <v>295.86</v>
      </c>
      <c r="H28" s="165"/>
      <c r="I28" s="165">
        <v>0</v>
      </c>
      <c r="J28" s="165">
        <v>0</v>
      </c>
      <c r="K28" s="165"/>
      <c r="L28" s="165">
        <v>1043.9100000000001</v>
      </c>
      <c r="M28" s="165" t="s">
        <v>277</v>
      </c>
      <c r="N28" s="165">
        <v>4.97</v>
      </c>
      <c r="O28" s="165">
        <v>1481187600</v>
      </c>
      <c r="P28" s="165">
        <v>3.36</v>
      </c>
      <c r="Q28" s="165">
        <v>98</v>
      </c>
      <c r="R28" s="165">
        <v>1.17</v>
      </c>
    </row>
    <row r="29" spans="1:18" x14ac:dyDescent="0.25">
      <c r="A29" s="165">
        <v>-0.34</v>
      </c>
      <c r="B29" s="165">
        <v>0.54</v>
      </c>
      <c r="C29" s="165">
        <v>-6.21</v>
      </c>
      <c r="D29" s="8">
        <v>42712.125</v>
      </c>
      <c r="E29" s="165">
        <v>0.75</v>
      </c>
      <c r="F29" s="165" t="s">
        <v>265</v>
      </c>
      <c r="G29" s="165">
        <v>296.49</v>
      </c>
      <c r="H29" s="165"/>
      <c r="I29" s="165">
        <v>0</v>
      </c>
      <c r="J29" s="165">
        <v>0</v>
      </c>
      <c r="K29" s="165"/>
      <c r="L29" s="165">
        <v>1044.33</v>
      </c>
      <c r="M29" s="165" t="s">
        <v>277</v>
      </c>
      <c r="N29" s="165">
        <v>-0.34</v>
      </c>
      <c r="O29" s="165">
        <v>1481191200</v>
      </c>
      <c r="P29" s="165">
        <v>6.75</v>
      </c>
      <c r="Q29" s="165">
        <v>143</v>
      </c>
      <c r="R29" s="165">
        <v>0.81</v>
      </c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203</v>
      </c>
    </row>
    <row r="33" spans="1:1" x14ac:dyDescent="0.25">
      <c r="A33" s="133" t="s">
        <v>187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5"/>
  <sheetViews>
    <sheetView topLeftCell="A2" workbookViewId="0">
      <selection activeCell="C32" sqref="C32:C35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5" bestFit="1" customWidth="1"/>
    <col min="16" max="16" width="9.140625" style="165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42711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5">
        <f t="shared" ref="M3:M14" si="0">AVERAGE(K3:L3)</f>
        <v>2.7201</v>
      </c>
      <c r="O3" t="s">
        <v>103</v>
      </c>
      <c r="P3" s="165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5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5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5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5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5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5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5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5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5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5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5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204</v>
      </c>
      <c r="J17" s="33"/>
      <c r="K17" s="34"/>
      <c r="L17" s="34"/>
    </row>
    <row r="18" spans="3:13" x14ac:dyDescent="0.25">
      <c r="C18" t="s">
        <v>822</v>
      </c>
      <c r="J18" s="33" t="s">
        <v>85</v>
      </c>
      <c r="K18" s="34"/>
      <c r="L18" s="34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823</v>
      </c>
      <c r="J19" s="33" t="s">
        <v>86</v>
      </c>
      <c r="K19" s="34"/>
      <c r="L19" s="34"/>
      <c r="M19" s="165" t="s">
        <v>112</v>
      </c>
    </row>
    <row r="20" spans="3:13" x14ac:dyDescent="0.25">
      <c r="C20" t="s">
        <v>824</v>
      </c>
      <c r="J20" t="s">
        <v>87</v>
      </c>
      <c r="M20" s="165" t="s">
        <v>275</v>
      </c>
    </row>
    <row r="21" spans="3:13" x14ac:dyDescent="0.25">
      <c r="C21" t="s">
        <v>825</v>
      </c>
      <c r="J21" s="21" t="s">
        <v>90</v>
      </c>
      <c r="K21" s="21" t="s">
        <v>91</v>
      </c>
      <c r="M21" s="165" t="s">
        <v>182</v>
      </c>
    </row>
    <row r="22" spans="3:13" x14ac:dyDescent="0.25">
      <c r="C22" t="s">
        <v>826</v>
      </c>
      <c r="J22" s="21" t="s">
        <v>92</v>
      </c>
      <c r="K22" s="21" t="s">
        <v>93</v>
      </c>
      <c r="M22" s="165" t="s">
        <v>111</v>
      </c>
    </row>
    <row r="23" spans="3:13" x14ac:dyDescent="0.25">
      <c r="C23" t="s">
        <v>438</v>
      </c>
      <c r="J23" s="29" t="s">
        <v>95</v>
      </c>
      <c r="K23" s="21"/>
      <c r="M23" s="165">
        <v>-7</v>
      </c>
    </row>
    <row r="24" spans="3:13" x14ac:dyDescent="0.25">
      <c r="C24" t="s">
        <v>836</v>
      </c>
      <c r="J24" s="21" t="s">
        <v>108</v>
      </c>
      <c r="K24" s="21"/>
      <c r="M24" s="165" t="s">
        <v>110</v>
      </c>
    </row>
    <row r="25" spans="3:13" x14ac:dyDescent="0.25">
      <c r="C25" t="s">
        <v>828</v>
      </c>
      <c r="J25" t="s">
        <v>151</v>
      </c>
      <c r="M25" s="165" t="b">
        <v>1</v>
      </c>
    </row>
    <row r="26" spans="3:13" x14ac:dyDescent="0.25">
      <c r="C26" t="s">
        <v>440</v>
      </c>
      <c r="J26" t="s">
        <v>152</v>
      </c>
      <c r="M26" s="165" t="str">
        <f>"C:\Users\stu\Documents\GitHub\eaglep3-reporting\EC\"&amp;TEXT(A2,"yyyy-mm-dd")&amp;"-refined-times.txt"</f>
        <v>C:\Users\stu\Documents\GitHub\eaglep3-reporting\EC\2016-12-07-refined-times.txt</v>
      </c>
    </row>
    <row r="27" spans="3:13" x14ac:dyDescent="0.25">
      <c r="C27" t="s">
        <v>829</v>
      </c>
      <c r="J27" t="s">
        <v>188</v>
      </c>
      <c r="M27" s="165" t="str">
        <f>"C:\Users\stu\Documents\GitHub\eaglep3-reporting\EC\"&amp;TEXT(A2,"YYYY-MM-DD")&amp;"-Enforcements.txt"</f>
        <v>C:\Users\stu\Documents\GitHub\eaglep3-reporting\EC\2016-12-07-Enforcements.txt</v>
      </c>
    </row>
    <row r="28" spans="3:13" x14ac:dyDescent="0.25">
      <c r="C28" t="s">
        <v>830</v>
      </c>
      <c r="J28" t="s">
        <v>189</v>
      </c>
      <c r="M28" s="165" t="str">
        <f>"C:\Users\stu\Documents\GitHub\eaglep3-reporting\EC\"&amp;TEXT(A2,"YYYY-MM-DD")&amp;"-Runs-refined.txt"</f>
        <v>C:\Users\stu\Documents\GitHub\eaglep3-reporting\EC\2016-12-07-Runs-refined.txt</v>
      </c>
    </row>
    <row r="29" spans="3:13" x14ac:dyDescent="0.25">
      <c r="C29" t="s">
        <v>831</v>
      </c>
      <c r="J29" t="s">
        <v>190</v>
      </c>
      <c r="M29" s="165" t="str">
        <f>"C:\Users\stu\Documents\GitHub\eaglep3-reporting\EC\"&amp;TEXT(A2,"YYYY-MM-DD")&amp;"-Trips.txt"</f>
        <v>C:\Users\stu\Documents\GitHub\eaglep3-reporting\EC\2016-12-07-Trips.txt</v>
      </c>
    </row>
    <row r="30" spans="3:13" x14ac:dyDescent="0.25">
      <c r="C30" t="s">
        <v>832</v>
      </c>
      <c r="J30" t="s">
        <v>191</v>
      </c>
      <c r="M30" s="165" t="str">
        <f>"C:\Users\stu\Documents\GitHub\eaglep3-reporting\EC\"&amp;TEXT(A2,"YYYY-MM-DD")&amp;"-Weather.txt"</f>
        <v>C:\Users\stu\Documents\GitHub\eaglep3-reporting\EC\2016-12-07-Weather.txt</v>
      </c>
    </row>
    <row r="31" spans="3:13" x14ac:dyDescent="0.25">
      <c r="C31" t="s">
        <v>833</v>
      </c>
    </row>
    <row r="32" spans="3:13" x14ac:dyDescent="0.25">
      <c r="C32" t="s">
        <v>439</v>
      </c>
    </row>
    <row r="33" spans="3:3" x14ac:dyDescent="0.25">
      <c r="C33" t="s">
        <v>834</v>
      </c>
    </row>
    <row r="34" spans="3:3" x14ac:dyDescent="0.25">
      <c r="C34" t="s">
        <v>835</v>
      </c>
    </row>
    <row r="35" spans="3:3" x14ac:dyDescent="0.25">
      <c r="C35" t="s">
        <v>827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211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853</v>
      </c>
      <c r="B1" t="str">
        <f t="shared" ref="B1:B52" si="0">MID(A1,6,23)</f>
        <v>2016/12/07 10:34:25.832</v>
      </c>
      <c r="C1" t="e">
        <f>ABS(B1-#REF!)</f>
        <v>#REF!</v>
      </c>
    </row>
    <row r="2" spans="1:3" x14ac:dyDescent="0.25">
      <c r="A2" t="s">
        <v>854</v>
      </c>
      <c r="B2" s="21" t="str">
        <f t="shared" si="0"/>
        <v>2016/12/07 10:34:26.522</v>
      </c>
      <c r="C2">
        <f>ABS(B2-B1)</f>
        <v>7.9861056292429566E-6</v>
      </c>
    </row>
    <row r="3" spans="1:3" x14ac:dyDescent="0.25">
      <c r="A3" t="s">
        <v>855</v>
      </c>
      <c r="B3" s="21" t="str">
        <f t="shared" si="0"/>
        <v>2016/12/07 10:34:26.552</v>
      </c>
      <c r="C3" s="21">
        <f t="shared" ref="C3:C52" si="1">ABS(B3-B2)</f>
        <v>3.4722324926406145E-7</v>
      </c>
    </row>
    <row r="4" spans="1:3" x14ac:dyDescent="0.25">
      <c r="A4" t="s">
        <v>856</v>
      </c>
      <c r="B4" s="21" t="str">
        <f t="shared" si="0"/>
        <v>2016/12/07 11:36:08.555</v>
      </c>
      <c r="C4" s="21">
        <f t="shared" si="1"/>
        <v>4.2847256947425194E-2</v>
      </c>
    </row>
    <row r="5" spans="1:3" x14ac:dyDescent="0.25">
      <c r="A5" t="s">
        <v>857</v>
      </c>
      <c r="B5" s="21" t="str">
        <f t="shared" si="0"/>
        <v>2016/12/07 11:36:08.820</v>
      </c>
      <c r="C5" s="21">
        <f t="shared" si="1"/>
        <v>3.0671290005557239E-6</v>
      </c>
    </row>
    <row r="6" spans="1:3" x14ac:dyDescent="0.25">
      <c r="A6" t="s">
        <v>858</v>
      </c>
      <c r="B6" s="21" t="str">
        <f t="shared" si="0"/>
        <v>2016/12/07 11:36:09.579</v>
      </c>
      <c r="C6" s="21">
        <f t="shared" si="1"/>
        <v>8.7847220129333436E-6</v>
      </c>
    </row>
    <row r="7" spans="1:3" x14ac:dyDescent="0.25">
      <c r="A7" t="s">
        <v>859</v>
      </c>
      <c r="B7" s="21" t="str">
        <f t="shared" si="0"/>
        <v>2016/12/07 11:37:03.563</v>
      </c>
      <c r="C7" s="21">
        <f t="shared" si="1"/>
        <v>6.2481481290888041E-4</v>
      </c>
    </row>
    <row r="8" spans="1:3" x14ac:dyDescent="0.25">
      <c r="A8" t="s">
        <v>860</v>
      </c>
      <c r="B8" s="21" t="str">
        <f t="shared" si="0"/>
        <v>2016/12/07 11:37:03.828</v>
      </c>
      <c r="C8" s="21">
        <f t="shared" si="1"/>
        <v>3.0671290005557239E-6</v>
      </c>
    </row>
    <row r="9" spans="1:3" x14ac:dyDescent="0.25">
      <c r="A9" t="s">
        <v>861</v>
      </c>
      <c r="B9" s="21" t="str">
        <f t="shared" si="0"/>
        <v>2016/12/07 11:37:04.599</v>
      </c>
      <c r="C9" s="21">
        <f t="shared" si="1"/>
        <v>8.9236127678304911E-6</v>
      </c>
    </row>
    <row r="10" spans="1:3" x14ac:dyDescent="0.25">
      <c r="A10" t="s">
        <v>862</v>
      </c>
      <c r="B10" s="21" t="str">
        <f t="shared" si="0"/>
        <v>2016/12/07 12:05:30.953</v>
      </c>
      <c r="C10" s="21">
        <f t="shared" si="1"/>
        <v>1.9749467595829628E-2</v>
      </c>
    </row>
    <row r="11" spans="1:3" x14ac:dyDescent="0.25">
      <c r="A11" t="s">
        <v>863</v>
      </c>
      <c r="B11" s="21" t="str">
        <f t="shared" si="0"/>
        <v>2016/12/07 12:05:31.202</v>
      </c>
      <c r="C11" s="21">
        <f t="shared" si="1"/>
        <v>2.8819413273595273E-6</v>
      </c>
    </row>
    <row r="12" spans="1:3" x14ac:dyDescent="0.25">
      <c r="A12" t="s">
        <v>864</v>
      </c>
      <c r="B12" s="21" t="str">
        <f t="shared" si="0"/>
        <v>2016/12/07 12:05:32.054</v>
      </c>
      <c r="C12" s="21">
        <f t="shared" si="1"/>
        <v>9.8611126304604113E-6</v>
      </c>
    </row>
    <row r="13" spans="1:3" x14ac:dyDescent="0.25">
      <c r="A13" t="s">
        <v>865</v>
      </c>
      <c r="B13" s="21" t="str">
        <f t="shared" si="0"/>
        <v>2016/12/07 12:06:40.747</v>
      </c>
      <c r="C13" s="21">
        <f t="shared" si="1"/>
        <v>7.9505787289235741E-4</v>
      </c>
    </row>
    <row r="14" spans="1:3" x14ac:dyDescent="0.25">
      <c r="A14" t="s">
        <v>866</v>
      </c>
      <c r="B14" s="21" t="str">
        <f t="shared" si="0"/>
        <v>2016/12/07 12:06:41.057</v>
      </c>
      <c r="C14" s="21">
        <f t="shared" si="1"/>
        <v>3.5879565984942019E-6</v>
      </c>
    </row>
    <row r="15" spans="1:3" x14ac:dyDescent="0.25">
      <c r="A15" t="s">
        <v>867</v>
      </c>
      <c r="B15" s="21" t="str">
        <f t="shared" si="0"/>
        <v>2016/12/07 12:06:42.217</v>
      </c>
      <c r="C15" s="21">
        <f t="shared" si="1"/>
        <v>1.342593168374151E-5</v>
      </c>
    </row>
    <row r="16" spans="1:3" x14ac:dyDescent="0.25">
      <c r="A16" t="s">
        <v>868</v>
      </c>
      <c r="B16" s="21" t="str">
        <f t="shared" si="0"/>
        <v>2016/12/07 12:12:28.144</v>
      </c>
      <c r="C16" s="21">
        <f t="shared" si="1"/>
        <v>4.0037847211351618E-3</v>
      </c>
    </row>
    <row r="17" spans="1:3" x14ac:dyDescent="0.25">
      <c r="A17" t="s">
        <v>869</v>
      </c>
      <c r="B17" s="21" t="str">
        <f t="shared" si="0"/>
        <v>2016/12/07 12:12:28.165</v>
      </c>
      <c r="C17" s="21">
        <f t="shared" si="1"/>
        <v>2.4305336410179734E-7</v>
      </c>
    </row>
    <row r="18" spans="1:3" x14ac:dyDescent="0.25">
      <c r="A18" t="s">
        <v>870</v>
      </c>
      <c r="B18" s="21" t="str">
        <f t="shared" si="0"/>
        <v>2016/12/07 12:12:28.168</v>
      </c>
      <c r="C18" s="21">
        <f t="shared" si="1"/>
        <v>3.4720869734883308E-8</v>
      </c>
    </row>
    <row r="19" spans="1:3" x14ac:dyDescent="0.25">
      <c r="A19" t="s">
        <v>871</v>
      </c>
      <c r="B19" s="21" t="str">
        <f t="shared" si="0"/>
        <v>2016/12/07 12:12:28.184</v>
      </c>
      <c r="C19" s="21">
        <f t="shared" si="1"/>
        <v>1.8518767319619656E-7</v>
      </c>
    </row>
    <row r="20" spans="1:3" x14ac:dyDescent="0.25">
      <c r="A20" t="s">
        <v>872</v>
      </c>
      <c r="B20" s="21" t="str">
        <f t="shared" si="0"/>
        <v>2016/12/07 13:05:14.849</v>
      </c>
      <c r="C20" s="21">
        <f t="shared" si="1"/>
        <v>3.6651215275924187E-2</v>
      </c>
    </row>
    <row r="21" spans="1:3" x14ac:dyDescent="0.25">
      <c r="A21" t="s">
        <v>873</v>
      </c>
      <c r="B21" s="21" t="str">
        <f t="shared" si="0"/>
        <v>2016/12/07 13:05:14.884</v>
      </c>
      <c r="C21" s="21">
        <f t="shared" si="1"/>
        <v>4.0509621612727642E-7</v>
      </c>
    </row>
    <row r="22" spans="1:3" x14ac:dyDescent="0.25">
      <c r="A22" t="s">
        <v>874</v>
      </c>
      <c r="B22" s="21" t="str">
        <f t="shared" si="0"/>
        <v>2016/12/07 13:05:15.032</v>
      </c>
      <c r="C22" s="21">
        <f t="shared" si="1"/>
        <v>1.7129641491919756E-6</v>
      </c>
    </row>
    <row r="23" spans="1:3" x14ac:dyDescent="0.25">
      <c r="A23" t="s">
        <v>875</v>
      </c>
      <c r="B23" s="21" t="str">
        <f t="shared" si="0"/>
        <v>2016/12/07 13:06:00.551</v>
      </c>
      <c r="C23" s="21">
        <f t="shared" si="1"/>
        <v>5.2684027468785644E-4</v>
      </c>
    </row>
    <row r="24" spans="1:3" x14ac:dyDescent="0.25">
      <c r="A24" t="s">
        <v>876</v>
      </c>
      <c r="B24" s="21" t="str">
        <f t="shared" si="0"/>
        <v>2016/12/07 13:06:00.819</v>
      </c>
      <c r="C24" s="21">
        <f t="shared" si="1"/>
        <v>3.1018498702906072E-6</v>
      </c>
    </row>
    <row r="25" spans="1:3" x14ac:dyDescent="0.25">
      <c r="A25" t="s">
        <v>877</v>
      </c>
      <c r="B25" s="21" t="str">
        <f t="shared" si="0"/>
        <v>2016/12/07 13:06:01.596</v>
      </c>
      <c r="C25" s="21">
        <f t="shared" si="1"/>
        <v>8.9930545073002577E-6</v>
      </c>
    </row>
    <row r="26" spans="1:3" x14ac:dyDescent="0.25">
      <c r="A26" t="s">
        <v>878</v>
      </c>
      <c r="B26" s="21" t="str">
        <f t="shared" si="0"/>
        <v>2016/12/07 13:43:50.333</v>
      </c>
      <c r="C26" s="21">
        <f t="shared" si="1"/>
        <v>2.6258530095219612E-2</v>
      </c>
    </row>
    <row r="27" spans="1:3" x14ac:dyDescent="0.25">
      <c r="A27" t="s">
        <v>879</v>
      </c>
      <c r="B27" s="21" t="str">
        <f t="shared" si="0"/>
        <v>2016/12/07 13:43:50.376</v>
      </c>
      <c r="C27" s="21">
        <f t="shared" si="1"/>
        <v>4.9768277676776052E-7</v>
      </c>
    </row>
    <row r="28" spans="1:3" x14ac:dyDescent="0.25">
      <c r="A28" t="s">
        <v>880</v>
      </c>
      <c r="B28" s="21" t="str">
        <f t="shared" si="0"/>
        <v>2016/12/07 13:54:38.867</v>
      </c>
      <c r="C28" s="21">
        <f t="shared" si="1"/>
        <v>7.5056828718516044E-3</v>
      </c>
    </row>
    <row r="29" spans="1:3" x14ac:dyDescent="0.25">
      <c r="A29" t="s">
        <v>881</v>
      </c>
      <c r="B29" s="21" t="str">
        <f t="shared" si="0"/>
        <v>2016/12/07 13:54:38.907</v>
      </c>
      <c r="C29" s="21">
        <f t="shared" si="1"/>
        <v>4.6296190703287721E-7</v>
      </c>
    </row>
    <row r="30" spans="1:3" x14ac:dyDescent="0.25">
      <c r="A30" t="s">
        <v>882</v>
      </c>
      <c r="B30" s="21" t="str">
        <f t="shared" si="0"/>
        <v>2016/12/07 13:54:39.059</v>
      </c>
      <c r="C30" s="21">
        <f t="shared" si="1"/>
        <v>1.7592610674910247E-6</v>
      </c>
    </row>
    <row r="31" spans="1:3" x14ac:dyDescent="0.25">
      <c r="A31" t="s">
        <v>883</v>
      </c>
      <c r="B31" s="21" t="str">
        <f t="shared" si="0"/>
        <v>2016/12/07 13:55:52.942</v>
      </c>
      <c r="C31" s="21">
        <f t="shared" si="1"/>
        <v>8.5512731311609969E-4</v>
      </c>
    </row>
    <row r="32" spans="1:3" x14ac:dyDescent="0.25">
      <c r="A32" t="s">
        <v>884</v>
      </c>
      <c r="B32" s="21" t="str">
        <f t="shared" si="0"/>
        <v>2016/12/07 13:55:53.048</v>
      </c>
      <c r="C32" s="21">
        <f t="shared" si="1"/>
        <v>1.2268501450307667E-6</v>
      </c>
    </row>
    <row r="33" spans="1:3" x14ac:dyDescent="0.25">
      <c r="A33" t="s">
        <v>885</v>
      </c>
      <c r="B33" s="21" t="str">
        <f t="shared" si="0"/>
        <v>2016/12/07 13:55:53.190</v>
      </c>
      <c r="C33" s="21">
        <f t="shared" si="1"/>
        <v>1.643522409722209E-6</v>
      </c>
    </row>
    <row r="34" spans="1:3" x14ac:dyDescent="0.25">
      <c r="A34" t="s">
        <v>886</v>
      </c>
      <c r="B34" s="21" t="str">
        <f t="shared" si="0"/>
        <v>2016/12/07 15:05:21.850</v>
      </c>
      <c r="C34" s="21">
        <f t="shared" si="1"/>
        <v>4.8248379629512783E-2</v>
      </c>
    </row>
    <row r="35" spans="1:3" x14ac:dyDescent="0.25">
      <c r="A35" t="s">
        <v>887</v>
      </c>
      <c r="B35" s="21" t="str">
        <f t="shared" si="0"/>
        <v>2016/12/07 15:05:21.882</v>
      </c>
      <c r="C35" s="21">
        <f t="shared" si="1"/>
        <v>3.7036807043477893E-7</v>
      </c>
    </row>
    <row r="36" spans="1:3" x14ac:dyDescent="0.25">
      <c r="A36" t="s">
        <v>888</v>
      </c>
      <c r="B36" s="21" t="str">
        <f t="shared" si="0"/>
        <v>2016/12/07 15:05:22.036</v>
      </c>
      <c r="C36" s="21">
        <f t="shared" si="1"/>
        <v>1.7824058886617422E-6</v>
      </c>
    </row>
    <row r="37" spans="1:3" x14ac:dyDescent="0.25">
      <c r="A37" t="s">
        <v>889</v>
      </c>
      <c r="B37" s="21" t="str">
        <f t="shared" si="0"/>
        <v>2016/12/07 17:12:06.525</v>
      </c>
      <c r="C37" s="21">
        <f t="shared" si="1"/>
        <v>8.8014918983390089E-2</v>
      </c>
    </row>
    <row r="38" spans="1:3" x14ac:dyDescent="0.25">
      <c r="A38" t="s">
        <v>890</v>
      </c>
      <c r="B38" s="21" t="str">
        <f t="shared" si="0"/>
        <v>2016/12/07 17:12:06.535</v>
      </c>
      <c r="C38" s="21">
        <f t="shared" si="1"/>
        <v>1.1574593372642994E-7</v>
      </c>
    </row>
    <row r="39" spans="1:3" x14ac:dyDescent="0.25">
      <c r="A39" t="s">
        <v>891</v>
      </c>
      <c r="B39" s="21" t="str">
        <f t="shared" si="0"/>
        <v>2016/12/07 17:12:06.551</v>
      </c>
      <c r="C39" s="21">
        <f t="shared" si="1"/>
        <v>1.8518039723858237E-7</v>
      </c>
    </row>
    <row r="40" spans="1:3" x14ac:dyDescent="0.25">
      <c r="A40" t="s">
        <v>892</v>
      </c>
      <c r="B40" s="21" t="str">
        <f t="shared" si="0"/>
        <v>2016/12/07 17:12:06.561</v>
      </c>
      <c r="C40" s="21">
        <f t="shared" si="1"/>
        <v>1.1573865776881576E-7</v>
      </c>
    </row>
    <row r="41" spans="1:3" x14ac:dyDescent="0.25">
      <c r="A41" t="s">
        <v>893</v>
      </c>
      <c r="B41" s="21" t="str">
        <f t="shared" si="0"/>
        <v>2016/12/07 17:12:06.854</v>
      </c>
      <c r="C41" s="21">
        <f t="shared" si="1"/>
        <v>3.3912074286490679E-6</v>
      </c>
    </row>
    <row r="42" spans="1:3" x14ac:dyDescent="0.25">
      <c r="A42" t="s">
        <v>894</v>
      </c>
      <c r="B42" s="21" t="str">
        <f t="shared" si="0"/>
        <v>2016/12/07 17:12:06.871</v>
      </c>
      <c r="C42" s="21">
        <f t="shared" si="1"/>
        <v>1.967564458027482E-7</v>
      </c>
    </row>
    <row r="43" spans="1:3" x14ac:dyDescent="0.25">
      <c r="A43" t="s">
        <v>895</v>
      </c>
      <c r="B43" s="21" t="str">
        <f t="shared" si="0"/>
        <v>2016/12/07 17:31:39.019</v>
      </c>
      <c r="C43" s="21">
        <f t="shared" si="1"/>
        <v>1.356652777758427E-2</v>
      </c>
    </row>
    <row r="44" spans="1:3" x14ac:dyDescent="0.25">
      <c r="A44" t="s">
        <v>896</v>
      </c>
      <c r="B44" s="21" t="str">
        <f t="shared" si="0"/>
        <v>2016/12/07 17:31:39.154</v>
      </c>
      <c r="C44" s="21">
        <f t="shared" si="1"/>
        <v>1.5625046216882765E-6</v>
      </c>
    </row>
    <row r="45" spans="1:3" x14ac:dyDescent="0.25">
      <c r="A45" t="s">
        <v>897</v>
      </c>
      <c r="B45" s="21" t="str">
        <f t="shared" si="0"/>
        <v>2016/12/07 17:34:53.015</v>
      </c>
      <c r="C45" s="21">
        <f t="shared" si="1"/>
        <v>2.2437615698436275E-3</v>
      </c>
    </row>
    <row r="46" spans="1:3" x14ac:dyDescent="0.25">
      <c r="A46" t="s">
        <v>898</v>
      </c>
      <c r="B46" s="21" t="str">
        <f t="shared" si="0"/>
        <v>2016/12/07 17:34:53.148</v>
      </c>
      <c r="C46" s="21">
        <f t="shared" si="1"/>
        <v>1.5393525245599449E-6</v>
      </c>
    </row>
    <row r="47" spans="1:3" x14ac:dyDescent="0.25">
      <c r="A47" t="s">
        <v>899</v>
      </c>
      <c r="B47" s="21" t="str">
        <f t="shared" si="0"/>
        <v>2016/12/07 18:18:03.583</v>
      </c>
      <c r="C47" s="21">
        <f t="shared" si="1"/>
        <v>2.9981886575114913E-2</v>
      </c>
    </row>
    <row r="48" spans="1:3" x14ac:dyDescent="0.25">
      <c r="A48" t="s">
        <v>900</v>
      </c>
      <c r="B48" s="21" t="str">
        <f t="shared" si="0"/>
        <v>2016/12/07 18:18:04.214</v>
      </c>
      <c r="C48" s="21">
        <f t="shared" si="1"/>
        <v>7.3032424552366138E-6</v>
      </c>
    </row>
    <row r="49" spans="1:3" x14ac:dyDescent="0.25">
      <c r="A49" t="s">
        <v>901</v>
      </c>
      <c r="B49" s="21" t="str">
        <f t="shared" si="0"/>
        <v>2016/12/07 18:20:54.211</v>
      </c>
      <c r="C49" s="21">
        <f t="shared" si="1"/>
        <v>1.9675578660098836E-3</v>
      </c>
    </row>
    <row r="50" spans="1:3" x14ac:dyDescent="0.25">
      <c r="A50" t="s">
        <v>902</v>
      </c>
      <c r="B50" s="21" t="str">
        <f t="shared" si="0"/>
        <v>2016/12/07 18:20:54.581</v>
      </c>
      <c r="C50" s="21">
        <f t="shared" si="1"/>
        <v>4.282410372979939E-6</v>
      </c>
    </row>
    <row r="51" spans="1:3" x14ac:dyDescent="0.25">
      <c r="A51" t="s">
        <v>903</v>
      </c>
      <c r="B51" s="21" t="str">
        <f t="shared" si="0"/>
        <v>2016/12/07 19:35:01.551</v>
      </c>
      <c r="C51" s="21">
        <f t="shared" si="1"/>
        <v>5.1469560188706964E-2</v>
      </c>
    </row>
    <row r="52" spans="1:3" x14ac:dyDescent="0.25">
      <c r="A52" t="s">
        <v>904</v>
      </c>
      <c r="B52" s="21" t="str">
        <f t="shared" si="0"/>
        <v>2016/12/07 19:35:01.828</v>
      </c>
      <c r="C52" s="21">
        <f t="shared" si="1"/>
        <v>3.2060124794952571E-6</v>
      </c>
    </row>
    <row r="53" spans="1:3" x14ac:dyDescent="0.25">
      <c r="A53" t="s">
        <v>905</v>
      </c>
      <c r="B53" s="21" t="str">
        <f t="shared" ref="B53:B80" si="2">MID(A53,6,23)</f>
        <v>2016/12/07 19:35:02.518</v>
      </c>
      <c r="C53" s="21">
        <f t="shared" ref="C53:C80" si="3">ABS(B53-B52)</f>
        <v>7.9861129052005708E-6</v>
      </c>
    </row>
    <row r="54" spans="1:3" x14ac:dyDescent="0.25">
      <c r="A54" t="s">
        <v>906</v>
      </c>
      <c r="B54" s="21" t="str">
        <f t="shared" si="2"/>
        <v>2016/12/07 20:13:42.322</v>
      </c>
      <c r="C54" s="21">
        <f t="shared" si="3"/>
        <v>2.6849583337025251E-2</v>
      </c>
    </row>
    <row r="55" spans="1:3" x14ac:dyDescent="0.25">
      <c r="A55" t="s">
        <v>907</v>
      </c>
      <c r="B55" s="21" t="str">
        <f t="shared" si="2"/>
        <v>2016/12/07 20:13:42.989</v>
      </c>
      <c r="C55" s="21">
        <f t="shared" si="3"/>
        <v>7.7199074439704418E-6</v>
      </c>
    </row>
    <row r="56" spans="1:3" x14ac:dyDescent="0.25">
      <c r="A56" t="s">
        <v>908</v>
      </c>
      <c r="B56" s="21" t="str">
        <f t="shared" si="2"/>
        <v>2016/12/07 20:13:43.446</v>
      </c>
      <c r="C56" s="21">
        <f t="shared" si="3"/>
        <v>5.2893519750796258E-6</v>
      </c>
    </row>
    <row r="57" spans="1:3" x14ac:dyDescent="0.25">
      <c r="A57" t="s">
        <v>909</v>
      </c>
      <c r="B57" s="21" t="str">
        <f t="shared" si="2"/>
        <v>2016/12/07 20:36:18.024</v>
      </c>
      <c r="C57" s="21">
        <f t="shared" si="3"/>
        <v>1.5677986106311437E-2</v>
      </c>
    </row>
    <row r="58" spans="1:3" x14ac:dyDescent="0.25">
      <c r="A58" t="s">
        <v>910</v>
      </c>
      <c r="B58" s="21" t="str">
        <f t="shared" si="2"/>
        <v>2016/12/07 20:36:18.147</v>
      </c>
      <c r="C58" s="21">
        <f t="shared" si="3"/>
        <v>1.4236138667911291E-6</v>
      </c>
    </row>
    <row r="59" spans="1:3" x14ac:dyDescent="0.25">
      <c r="A59" t="s">
        <v>911</v>
      </c>
      <c r="B59" s="21" t="str">
        <f t="shared" si="2"/>
        <v>2016/12/07 22:06:41.340</v>
      </c>
      <c r="C59" s="21">
        <f t="shared" si="3"/>
        <v>6.2768437499471474E-2</v>
      </c>
    </row>
    <row r="60" spans="1:3" x14ac:dyDescent="0.25">
      <c r="A60" t="s">
        <v>912</v>
      </c>
      <c r="B60" s="21" t="str">
        <f t="shared" si="2"/>
        <v>2016/12/07 22:06:41.485</v>
      </c>
      <c r="C60" s="21">
        <f t="shared" si="3"/>
        <v>1.6782432794570923E-6</v>
      </c>
    </row>
    <row r="61" spans="1:3" x14ac:dyDescent="0.25">
      <c r="A61" t="s">
        <v>913</v>
      </c>
      <c r="B61" s="21" t="str">
        <f t="shared" si="2"/>
        <v>2016/12/07 22:06:41.882</v>
      </c>
      <c r="C61" s="21">
        <f t="shared" si="3"/>
        <v>4.5949054765515029E-6</v>
      </c>
    </row>
    <row r="62" spans="1:3" x14ac:dyDescent="0.25">
      <c r="A62" t="s">
        <v>914</v>
      </c>
      <c r="B62" s="21" t="str">
        <f t="shared" si="2"/>
        <v>2016/12/07 22:14:23.324</v>
      </c>
      <c r="C62" s="21">
        <f t="shared" si="3"/>
        <v>5.3407638915814459E-3</v>
      </c>
    </row>
    <row r="63" spans="1:3" x14ac:dyDescent="0.25">
      <c r="A63" t="s">
        <v>915</v>
      </c>
      <c r="B63" s="21" t="str">
        <f t="shared" si="2"/>
        <v>2016/12/07 22:14:23.987</v>
      </c>
      <c r="C63" s="21">
        <f t="shared" si="3"/>
        <v>7.6736105256713927E-6</v>
      </c>
    </row>
    <row r="64" spans="1:3" x14ac:dyDescent="0.25">
      <c r="A64" t="s">
        <v>916</v>
      </c>
      <c r="B64" s="21" t="str">
        <f t="shared" si="2"/>
        <v>2016/12/07 22:22:16.920</v>
      </c>
      <c r="C64" s="21">
        <f t="shared" si="3"/>
        <v>5.4737615719204769E-3</v>
      </c>
    </row>
    <row r="65" spans="1:3" x14ac:dyDescent="0.25">
      <c r="A65" t="s">
        <v>917</v>
      </c>
      <c r="B65" s="21" t="str">
        <f t="shared" si="2"/>
        <v>2016/12/07 22:22:17.120</v>
      </c>
      <c r="C65" s="21">
        <f t="shared" si="3"/>
        <v>2.3148168111220002E-6</v>
      </c>
    </row>
    <row r="66" spans="1:3" x14ac:dyDescent="0.25">
      <c r="A66" t="s">
        <v>918</v>
      </c>
      <c r="B66" s="21" t="str">
        <f t="shared" si="2"/>
        <v>2016/12/07 22:25:47.111</v>
      </c>
      <c r="C66" s="21">
        <f t="shared" si="3"/>
        <v>2.4304513863171451E-3</v>
      </c>
    </row>
    <row r="67" spans="1:3" x14ac:dyDescent="0.25">
      <c r="A67" t="s">
        <v>919</v>
      </c>
      <c r="B67" s="21" t="str">
        <f t="shared" si="2"/>
        <v>2016/12/07 22:56:36.305</v>
      </c>
      <c r="C67" s="21">
        <f t="shared" si="3"/>
        <v>2.1402708334790077E-2</v>
      </c>
    </row>
    <row r="68" spans="1:3" x14ac:dyDescent="0.25">
      <c r="A68" t="s">
        <v>920</v>
      </c>
      <c r="B68" s="21" t="str">
        <f t="shared" si="2"/>
        <v>2016/12/08 00:51:55.518</v>
      </c>
      <c r="C68" s="21">
        <f t="shared" si="3"/>
        <v>8.0083483793714549E-2</v>
      </c>
    </row>
    <row r="69" spans="1:3" x14ac:dyDescent="0.25">
      <c r="A69" t="s">
        <v>921</v>
      </c>
      <c r="B69" s="21" t="str">
        <f t="shared" si="2"/>
        <v>2016/12/08 00:51:55.554</v>
      </c>
      <c r="C69" s="21">
        <f t="shared" si="3"/>
        <v>4.1666498873382807E-7</v>
      </c>
    </row>
    <row r="70" spans="1:3" x14ac:dyDescent="0.25">
      <c r="A70" t="s">
        <v>922</v>
      </c>
      <c r="B70" s="21" t="str">
        <f t="shared" si="2"/>
        <v>2016/12/08 00:51:55.829</v>
      </c>
      <c r="C70" s="21">
        <f t="shared" si="3"/>
        <v>3.1828749342821538E-6</v>
      </c>
    </row>
    <row r="71" spans="1:3" x14ac:dyDescent="0.25">
      <c r="A71" t="s">
        <v>923</v>
      </c>
      <c r="B71" s="21" t="str">
        <f t="shared" si="2"/>
        <v>2016/12/08 00:57:51.317</v>
      </c>
      <c r="C71" s="21">
        <f t="shared" si="3"/>
        <v>4.1144444403471425E-3</v>
      </c>
    </row>
    <row r="72" spans="1:3" x14ac:dyDescent="0.25">
      <c r="A72" t="s">
        <v>924</v>
      </c>
      <c r="B72" s="21" t="str">
        <f t="shared" si="2"/>
        <v>2016/12/08 00:57:51.362</v>
      </c>
      <c r="C72" s="21">
        <f t="shared" si="3"/>
        <v>5.2083487389609218E-7</v>
      </c>
    </row>
    <row r="73" spans="1:3" x14ac:dyDescent="0.25">
      <c r="A73" t="s">
        <v>925</v>
      </c>
      <c r="B73" s="21" t="str">
        <f t="shared" si="2"/>
        <v>2016/12/08 02:10:29.403</v>
      </c>
      <c r="C73" s="21">
        <f t="shared" si="3"/>
        <v>5.0440289349353407E-2</v>
      </c>
    </row>
    <row r="74" spans="1:3" x14ac:dyDescent="0.25">
      <c r="A74" t="s">
        <v>926</v>
      </c>
      <c r="B74" s="21" t="str">
        <f t="shared" si="2"/>
        <v>2016/12/08 02:10:29.855</v>
      </c>
      <c r="C74" s="21">
        <f t="shared" si="3"/>
        <v>5.2314862841740251E-6</v>
      </c>
    </row>
    <row r="75" spans="1:3" x14ac:dyDescent="0.25">
      <c r="A75" t="s">
        <v>927</v>
      </c>
      <c r="B75" s="21" t="str">
        <f t="shared" si="2"/>
        <v>2016/12/08 02:10:30.045</v>
      </c>
      <c r="C75" s="21">
        <f t="shared" si="3"/>
        <v>2.1990708773955703E-6</v>
      </c>
    </row>
    <row r="76" spans="1:3" x14ac:dyDescent="0.25">
      <c r="A76" t="s">
        <v>928</v>
      </c>
      <c r="B76" s="21" t="str">
        <f t="shared" si="2"/>
        <v>2016/12/08 02:13:18.060</v>
      </c>
      <c r="C76" s="21">
        <f t="shared" si="3"/>
        <v>1.944618059496861E-3</v>
      </c>
    </row>
    <row r="77" spans="1:3" x14ac:dyDescent="0.25">
      <c r="A77" t="s">
        <v>929</v>
      </c>
      <c r="B77" s="21" t="str">
        <f t="shared" si="2"/>
        <v>2016/12/08 02:13:18.701</v>
      </c>
      <c r="C77" s="21">
        <f t="shared" si="3"/>
        <v>7.4189811130054295E-6</v>
      </c>
    </row>
    <row r="78" spans="1:3" x14ac:dyDescent="0.25">
      <c r="A78" t="s">
        <v>930</v>
      </c>
      <c r="B78" s="21" t="str">
        <f t="shared" si="2"/>
        <v>2016/12/08 02:13:18.887</v>
      </c>
      <c r="C78" s="21">
        <f t="shared" si="3"/>
        <v>2.1527739590965211E-6</v>
      </c>
    </row>
    <row r="79" spans="1:3" x14ac:dyDescent="0.25">
      <c r="A79" t="s">
        <v>931</v>
      </c>
      <c r="B79" s="21" t="str">
        <f t="shared" si="2"/>
        <v>2016/12/08 02:35:38.054</v>
      </c>
      <c r="C79" s="21">
        <f t="shared" si="3"/>
        <v>1.5499618057219777E-2</v>
      </c>
    </row>
    <row r="80" spans="1:3" x14ac:dyDescent="0.25">
      <c r="A80" t="s">
        <v>932</v>
      </c>
      <c r="B80" s="21" t="str">
        <f t="shared" si="2"/>
        <v>2016/12/08 02:35:38.689</v>
      </c>
      <c r="C80" s="21">
        <f t="shared" si="3"/>
        <v>7.3495393735356629E-6</v>
      </c>
    </row>
    <row r="81" spans="1:3" x14ac:dyDescent="0.25">
      <c r="A81" t="s">
        <v>933</v>
      </c>
      <c r="B81" s="21" t="str">
        <f t="shared" ref="B81:B87" si="4">MID(A81,6,23)</f>
        <v>2016/12/08 02:39:47.827</v>
      </c>
      <c r="C81" s="21">
        <f t="shared" ref="C81:C86" si="5">ABS(B81-B80)</f>
        <v>2.8835416669608094E-3</v>
      </c>
    </row>
    <row r="82" spans="1:3" x14ac:dyDescent="0.25">
      <c r="A82" t="s">
        <v>934</v>
      </c>
      <c r="B82" s="21" t="str">
        <f t="shared" si="4"/>
        <v>2016/12/08 06:26:41.470</v>
      </c>
      <c r="C82" s="21">
        <f t="shared" si="5"/>
        <v>0.15756531249644468</v>
      </c>
    </row>
    <row r="83" spans="1:3" x14ac:dyDescent="0.25">
      <c r="A83" t="s">
        <v>935</v>
      </c>
      <c r="B83" s="21" t="str">
        <f t="shared" si="4"/>
        <v>2016/12/08 06:26:41.950</v>
      </c>
      <c r="C83" s="21">
        <f t="shared" si="5"/>
        <v>5.5555574363097548E-6</v>
      </c>
    </row>
    <row r="84" spans="1:3" x14ac:dyDescent="0.25">
      <c r="A84" t="s">
        <v>936</v>
      </c>
      <c r="B84" s="21" t="str">
        <f t="shared" si="4"/>
        <v>2016/12/08 06:26:42.534</v>
      </c>
      <c r="C84" s="21">
        <f t="shared" si="5"/>
        <v>6.7592554842121899E-6</v>
      </c>
    </row>
    <row r="85" spans="1:3" x14ac:dyDescent="0.25">
      <c r="A85" t="s">
        <v>937</v>
      </c>
      <c r="B85" s="21" t="str">
        <f t="shared" si="4"/>
        <v>2016/12/08 07:02:05.907</v>
      </c>
      <c r="C85" s="21">
        <f t="shared" si="5"/>
        <v>2.4576076393714175E-2</v>
      </c>
    </row>
    <row r="86" spans="1:3" x14ac:dyDescent="0.25">
      <c r="A86" t="s">
        <v>938</v>
      </c>
      <c r="B86" s="21" t="str">
        <f t="shared" si="4"/>
        <v>2016/12/08 07:02:06.715</v>
      </c>
      <c r="C86" s="21">
        <f t="shared" si="5"/>
        <v>9.3518465291708708E-6</v>
      </c>
    </row>
    <row r="87" spans="1:3" x14ac:dyDescent="0.25">
      <c r="B87" s="21" t="str">
        <f t="shared" si="4"/>
        <v/>
      </c>
      <c r="C87" s="21"/>
    </row>
    <row r="88" spans="1:3" x14ac:dyDescent="0.25">
      <c r="B88" s="21"/>
      <c r="C88" s="21"/>
    </row>
    <row r="89" spans="1:3" x14ac:dyDescent="0.25">
      <c r="B89" s="21"/>
      <c r="C89" s="21"/>
    </row>
    <row r="90" spans="1:3" x14ac:dyDescent="0.25">
      <c r="B90" s="21"/>
      <c r="C90" s="21"/>
    </row>
    <row r="91" spans="1:3" x14ac:dyDescent="0.25">
      <c r="B91" s="21"/>
      <c r="C91" s="21"/>
    </row>
    <row r="92" spans="1:3" x14ac:dyDescent="0.25">
      <c r="B92" s="21"/>
      <c r="C92" s="21"/>
    </row>
    <row r="93" spans="1:3" x14ac:dyDescent="0.25">
      <c r="B93" s="21"/>
      <c r="C93" s="21"/>
    </row>
    <row r="94" spans="1:3" x14ac:dyDescent="0.25">
      <c r="B94" s="21"/>
      <c r="C94" s="21"/>
    </row>
    <row r="95" spans="1:3" x14ac:dyDescent="0.25">
      <c r="B95" s="21"/>
      <c r="C95" s="21"/>
    </row>
    <row r="96" spans="1:3" x14ac:dyDescent="0.25">
      <c r="B96" s="21"/>
      <c r="C96" s="21"/>
    </row>
    <row r="97" spans="2:3" x14ac:dyDescent="0.25">
      <c r="B97" s="21"/>
      <c r="C97" s="21"/>
    </row>
    <row r="98" spans="2:3" x14ac:dyDescent="0.25">
      <c r="B98" s="21"/>
      <c r="C98" s="21"/>
    </row>
    <row r="99" spans="2:3" x14ac:dyDescent="0.25">
      <c r="B99" s="21"/>
      <c r="C99" s="21"/>
    </row>
    <row r="100" spans="2:3" x14ac:dyDescent="0.25">
      <c r="B100" s="21"/>
      <c r="C100" s="21"/>
    </row>
    <row r="101" spans="2:3" x14ac:dyDescent="0.25">
      <c r="B101" s="21"/>
      <c r="C101" s="21"/>
    </row>
    <row r="102" spans="2:3" x14ac:dyDescent="0.25">
      <c r="B102" s="21"/>
      <c r="C102" s="21"/>
    </row>
    <row r="103" spans="2:3" x14ac:dyDescent="0.25">
      <c r="B103" s="21"/>
      <c r="C103" s="21"/>
    </row>
    <row r="104" spans="2:3" x14ac:dyDescent="0.25">
      <c r="B104" s="21"/>
      <c r="C104" s="21"/>
    </row>
    <row r="105" spans="2:3" x14ac:dyDescent="0.25">
      <c r="B105" s="21"/>
      <c r="C105" s="21"/>
    </row>
    <row r="106" spans="2:3" x14ac:dyDescent="0.25">
      <c r="B106" s="21"/>
      <c r="C106" s="21"/>
    </row>
    <row r="107" spans="2:3" x14ac:dyDescent="0.25">
      <c r="B107" s="21"/>
      <c r="C107" s="21"/>
    </row>
    <row r="108" spans="2:3" x14ac:dyDescent="0.25">
      <c r="B108" s="21"/>
      <c r="C108" s="21"/>
    </row>
    <row r="109" spans="2:3" x14ac:dyDescent="0.25">
      <c r="B109" s="21"/>
      <c r="C109" s="21"/>
    </row>
    <row r="110" spans="2:3" x14ac:dyDescent="0.25">
      <c r="B110" s="21"/>
      <c r="C110" s="21"/>
    </row>
    <row r="111" spans="2:3" x14ac:dyDescent="0.25">
      <c r="B111" s="21"/>
      <c r="C111" s="21"/>
    </row>
    <row r="112" spans="2:3" x14ac:dyDescent="0.25">
      <c r="B112" s="21"/>
      <c r="C112" s="21"/>
    </row>
    <row r="113" spans="2:3" x14ac:dyDescent="0.25">
      <c r="B113" s="21"/>
      <c r="C113" s="21"/>
    </row>
    <row r="114" spans="2:3" x14ac:dyDescent="0.25">
      <c r="B114" s="21"/>
      <c r="C114" s="21"/>
    </row>
    <row r="115" spans="2:3" x14ac:dyDescent="0.25">
      <c r="B115" s="21"/>
      <c r="C115" s="21"/>
    </row>
    <row r="116" spans="2:3" x14ac:dyDescent="0.25">
      <c r="B116" s="21"/>
      <c r="C116" s="21"/>
    </row>
    <row r="117" spans="2:3" x14ac:dyDescent="0.25">
      <c r="B117" s="21"/>
      <c r="C117" s="21"/>
    </row>
    <row r="118" spans="2:3" x14ac:dyDescent="0.25">
      <c r="B118" s="21"/>
      <c r="C118" s="21"/>
    </row>
    <row r="119" spans="2:3" x14ac:dyDescent="0.25">
      <c r="B119" s="21"/>
      <c r="C119" s="21"/>
    </row>
    <row r="120" spans="2:3" x14ac:dyDescent="0.25">
      <c r="B120" s="21"/>
      <c r="C120" s="21"/>
    </row>
    <row r="121" spans="2:3" x14ac:dyDescent="0.25">
      <c r="B121" s="21"/>
      <c r="C121" s="21"/>
    </row>
    <row r="122" spans="2:3" x14ac:dyDescent="0.25">
      <c r="B122" s="21"/>
      <c r="C122" s="21"/>
    </row>
    <row r="123" spans="2:3" x14ac:dyDescent="0.25">
      <c r="B123" s="21"/>
      <c r="C123" s="21"/>
    </row>
    <row r="124" spans="2:3" x14ac:dyDescent="0.25">
      <c r="B124" s="21"/>
      <c r="C124" s="21"/>
    </row>
    <row r="125" spans="2:3" x14ac:dyDescent="0.25">
      <c r="B125" s="21"/>
      <c r="C125" s="21"/>
    </row>
    <row r="126" spans="2:3" x14ac:dyDescent="0.25">
      <c r="B126" s="21"/>
      <c r="C126" s="21"/>
    </row>
    <row r="127" spans="2:3" x14ac:dyDescent="0.25">
      <c r="B127" s="21"/>
      <c r="C127" s="21"/>
    </row>
    <row r="128" spans="2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2016-12-08T18:15:16Z</dcterms:modified>
</cp:coreProperties>
</file>