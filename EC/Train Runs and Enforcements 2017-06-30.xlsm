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15300" windowHeight="747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  <externalReference r:id="rId10"/>
  </externalReferences>
  <definedNames>
    <definedName name="_xlnm._FilterDatabase" localSheetId="1" hidden="1">Enforcements!$A$6:$AC$74</definedName>
    <definedName name="_xlnm._FilterDatabase" localSheetId="2" hidden="1">'Missing Trips'!$A$2:$J$52</definedName>
    <definedName name="_xlnm._FilterDatabase" localSheetId="0" hidden="1">'Train Runs'!$A$12:$AG$281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Runs'!$A$12:$J$71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28" i="1" l="1"/>
  <c r="K173" i="1" l="1"/>
  <c r="L173" i="1"/>
  <c r="M173" i="1"/>
  <c r="V173" i="1"/>
  <c r="Y173" i="1"/>
  <c r="Z173" i="1"/>
  <c r="AB173" i="1"/>
  <c r="AC173" i="1"/>
  <c r="AD173" i="1"/>
  <c r="T173" i="1" s="1"/>
  <c r="AE173" i="1"/>
  <c r="AF173" i="1"/>
  <c r="AH173" i="1"/>
  <c r="AM173" i="1"/>
  <c r="AN173" i="1"/>
  <c r="B3" i="6"/>
  <c r="F3" i="6" s="1"/>
  <c r="K14" i="1"/>
  <c r="L14" i="1"/>
  <c r="M14" i="1"/>
  <c r="N14" i="1" s="1"/>
  <c r="V14" i="1"/>
  <c r="Y14" i="1"/>
  <c r="Z14" i="1"/>
  <c r="AB14" i="1"/>
  <c r="AC14" i="1"/>
  <c r="AD14" i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AH18" i="1"/>
  <c r="AM18" i="1"/>
  <c r="AN18" i="1"/>
  <c r="K19" i="1"/>
  <c r="L19" i="1"/>
  <c r="M19" i="1"/>
  <c r="P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V20" i="1"/>
  <c r="Y20" i="1"/>
  <c r="Z20" i="1"/>
  <c r="AB20" i="1"/>
  <c r="AC20" i="1"/>
  <c r="AD20" i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K25" i="1"/>
  <c r="L25" i="1"/>
  <c r="M25" i="1"/>
  <c r="N25" i="1" s="1"/>
  <c r="V25" i="1"/>
  <c r="S13" i="3" s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P30" i="1" s="1"/>
  <c r="V30" i="1"/>
  <c r="Y30" i="1"/>
  <c r="Z30" i="1"/>
  <c r="AB30" i="1"/>
  <c r="AC30" i="1"/>
  <c r="AD30" i="1"/>
  <c r="AE30" i="1"/>
  <c r="AF30" i="1"/>
  <c r="AH30" i="1"/>
  <c r="AM30" i="1"/>
  <c r="AN30" i="1"/>
  <c r="K31" i="1"/>
  <c r="L31" i="1"/>
  <c r="M31" i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X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K34" i="1"/>
  <c r="L34" i="1"/>
  <c r="M34" i="1"/>
  <c r="N34" i="1"/>
  <c r="V34" i="1"/>
  <c r="Y34" i="1"/>
  <c r="Z34" i="1"/>
  <c r="AB34" i="1"/>
  <c r="AC34" i="1"/>
  <c r="AD34" i="1"/>
  <c r="AE34" i="1"/>
  <c r="AF34" i="1"/>
  <c r="AH34" i="1"/>
  <c r="AM34" i="1"/>
  <c r="AN34" i="1"/>
  <c r="K35" i="1"/>
  <c r="L35" i="1"/>
  <c r="M35" i="1"/>
  <c r="N35" i="1" s="1"/>
  <c r="V35" i="1"/>
  <c r="Y35" i="1"/>
  <c r="Z35" i="1"/>
  <c r="AA35" i="1" s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X37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K38" i="1"/>
  <c r="L38" i="1"/>
  <c r="M38" i="1"/>
  <c r="P38" i="1" s="1"/>
  <c r="V38" i="1"/>
  <c r="Y38" i="1"/>
  <c r="Z38" i="1"/>
  <c r="AB38" i="1"/>
  <c r="AC38" i="1"/>
  <c r="AD38" i="1"/>
  <c r="T38" i="1" s="1"/>
  <c r="AE38" i="1"/>
  <c r="R37" i="3" s="1"/>
  <c r="AF38" i="1"/>
  <c r="AH38" i="1"/>
  <c r="AM38" i="1"/>
  <c r="AN38" i="1"/>
  <c r="K39" i="1"/>
  <c r="L39" i="1"/>
  <c r="M39" i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X41" i="1" s="1"/>
  <c r="AE40" i="1"/>
  <c r="R30" i="3" s="1"/>
  <c r="AF40" i="1"/>
  <c r="AH40" i="1"/>
  <c r="AM40" i="1"/>
  <c r="AN40" i="1"/>
  <c r="K41" i="1"/>
  <c r="L41" i="1"/>
  <c r="M41" i="1"/>
  <c r="N41" i="1" s="1"/>
  <c r="V41" i="1"/>
  <c r="S32" i="3" s="1"/>
  <c r="Y41" i="1"/>
  <c r="Z41" i="1"/>
  <c r="AB41" i="1"/>
  <c r="AC41" i="1"/>
  <c r="AD41" i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AE52" i="1"/>
  <c r="R18" i="3" s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K56" i="1"/>
  <c r="L56" i="1"/>
  <c r="M56" i="1"/>
  <c r="N56" i="1" s="1"/>
  <c r="V56" i="1"/>
  <c r="Y56" i="1"/>
  <c r="Z56" i="1"/>
  <c r="AA56" i="1" s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/>
  <c r="V57" i="1"/>
  <c r="Y57" i="1"/>
  <c r="Z57" i="1"/>
  <c r="AB57" i="1"/>
  <c r="AC57" i="1"/>
  <c r="AD57" i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K72" i="1"/>
  <c r="L72" i="1"/>
  <c r="M72" i="1"/>
  <c r="N72" i="1" s="1"/>
  <c r="T72" i="1"/>
  <c r="V72" i="1"/>
  <c r="Y72" i="1"/>
  <c r="Z72" i="1"/>
  <c r="AB72" i="1"/>
  <c r="AC72" i="1"/>
  <c r="AD72" i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 s="1"/>
  <c r="T75" i="1"/>
  <c r="V75" i="1"/>
  <c r="Y75" i="1"/>
  <c r="Z75" i="1"/>
  <c r="AB75" i="1"/>
  <c r="AC75" i="1"/>
  <c r="AD75" i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K86" i="1"/>
  <c r="L86" i="1"/>
  <c r="M86" i="1"/>
  <c r="N86" i="1" s="1"/>
  <c r="V86" i="1"/>
  <c r="S45" i="3" s="1"/>
  <c r="Y86" i="1"/>
  <c r="Z86" i="1"/>
  <c r="AB86" i="1"/>
  <c r="AC86" i="1"/>
  <c r="AD86" i="1"/>
  <c r="T86" i="1" s="1"/>
  <c r="AE86" i="1"/>
  <c r="R45" i="3" s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AE89" i="1"/>
  <c r="R29" i="3" s="1"/>
  <c r="AF89" i="1"/>
  <c r="AH89" i="1"/>
  <c r="AM89" i="1"/>
  <c r="AN89" i="1"/>
  <c r="K90" i="1"/>
  <c r="L90" i="1"/>
  <c r="M90" i="1"/>
  <c r="P90" i="1" s="1"/>
  <c r="V90" i="1"/>
  <c r="Y90" i="1"/>
  <c r="Z90" i="1"/>
  <c r="AB90" i="1"/>
  <c r="AC90" i="1"/>
  <c r="AD90" i="1"/>
  <c r="AE90" i="1"/>
  <c r="AF90" i="1"/>
  <c r="AH90" i="1"/>
  <c r="AM90" i="1"/>
  <c r="AN90" i="1"/>
  <c r="K91" i="1"/>
  <c r="L91" i="1"/>
  <c r="M91" i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P92" i="1" s="1"/>
  <c r="V92" i="1"/>
  <c r="S14" i="3" s="1"/>
  <c r="Y92" i="1"/>
  <c r="Z92" i="1"/>
  <c r="AB92" i="1"/>
  <c r="AC92" i="1"/>
  <c r="AD92" i="1"/>
  <c r="AE92" i="1"/>
  <c r="R21" i="3" s="1"/>
  <c r="AF92" i="1"/>
  <c r="AH92" i="1"/>
  <c r="AM92" i="1"/>
  <c r="AN92" i="1"/>
  <c r="K93" i="1"/>
  <c r="L93" i="1"/>
  <c r="M93" i="1"/>
  <c r="V93" i="1"/>
  <c r="Y93" i="1"/>
  <c r="Z93" i="1"/>
  <c r="AB93" i="1"/>
  <c r="AC93" i="1"/>
  <c r="AD93" i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96" i="1"/>
  <c r="AM96" i="1"/>
  <c r="AN96" i="1"/>
  <c r="K97" i="1"/>
  <c r="L97" i="1"/>
  <c r="M97" i="1"/>
  <c r="N97" i="1" s="1"/>
  <c r="V97" i="1"/>
  <c r="AB97" i="1"/>
  <c r="AC97" i="1"/>
  <c r="AD97" i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X100" i="1" s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AE102" i="1"/>
  <c r="R47" i="3" s="1"/>
  <c r="AF102" i="1"/>
  <c r="AH102" i="1"/>
  <c r="AM102" i="1"/>
  <c r="AN102" i="1"/>
  <c r="K103" i="1"/>
  <c r="L103" i="1"/>
  <c r="M103" i="1"/>
  <c r="N103" i="1" s="1"/>
  <c r="V103" i="1"/>
  <c r="Y103" i="1"/>
  <c r="Z103" i="1"/>
  <c r="AA103" i="1" s="1"/>
  <c r="AB103" i="1"/>
  <c r="AC103" i="1"/>
  <c r="AD103" i="1"/>
  <c r="T103" i="1" s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04" i="1"/>
  <c r="AM104" i="1"/>
  <c r="AN104" i="1"/>
  <c r="K105" i="1"/>
  <c r="L105" i="1"/>
  <c r="M105" i="1"/>
  <c r="P105" i="1" s="1"/>
  <c r="V105" i="1"/>
  <c r="S11" i="3" s="1"/>
  <c r="Y105" i="1"/>
  <c r="Z105" i="1"/>
  <c r="AB105" i="1"/>
  <c r="AC105" i="1"/>
  <c r="AD105" i="1"/>
  <c r="AE105" i="1"/>
  <c r="R12" i="3" s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06" i="1"/>
  <c r="AM106" i="1"/>
  <c r="AN106" i="1"/>
  <c r="K107" i="1"/>
  <c r="L107" i="1"/>
  <c r="M107" i="1"/>
  <c r="N107" i="1" s="1"/>
  <c r="V107" i="1"/>
  <c r="S44" i="3" s="1"/>
  <c r="Y107" i="1"/>
  <c r="Z107" i="1"/>
  <c r="AB107" i="1"/>
  <c r="AC107" i="1"/>
  <c r="AD107" i="1"/>
  <c r="AE107" i="1"/>
  <c r="R44" i="3" s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08" i="1"/>
  <c r="AM108" i="1"/>
  <c r="AN108" i="1"/>
  <c r="K109" i="1"/>
  <c r="L109" i="1"/>
  <c r="M109" i="1"/>
  <c r="N109" i="1" s="1"/>
  <c r="V109" i="1"/>
  <c r="S39" i="3" s="1"/>
  <c r="Y109" i="1"/>
  <c r="Z109" i="1"/>
  <c r="AB109" i="1"/>
  <c r="AC109" i="1"/>
  <c r="AD109" i="1"/>
  <c r="AE109" i="1"/>
  <c r="R39" i="3" s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A111" i="1" s="1"/>
  <c r="AB111" i="1"/>
  <c r="AC111" i="1"/>
  <c r="AD111" i="1"/>
  <c r="T111" i="1" s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AM115" i="1"/>
  <c r="AN115" i="1"/>
  <c r="K116" i="1"/>
  <c r="L116" i="1"/>
  <c r="M116" i="1"/>
  <c r="N116" i="1" s="1"/>
  <c r="V116" i="1"/>
  <c r="S48" i="3" s="1"/>
  <c r="Y116" i="1"/>
  <c r="Z116" i="1"/>
  <c r="AB116" i="1"/>
  <c r="AC116" i="1"/>
  <c r="AD116" i="1"/>
  <c r="AE116" i="1"/>
  <c r="R48" i="3" s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17" i="1"/>
  <c r="AM117" i="1"/>
  <c r="AN117" i="1"/>
  <c r="K118" i="1"/>
  <c r="L118" i="1"/>
  <c r="M118" i="1"/>
  <c r="N118" i="1" s="1"/>
  <c r="V118" i="1"/>
  <c r="S49" i="3" s="1"/>
  <c r="Y118" i="1"/>
  <c r="Z118" i="1"/>
  <c r="AB118" i="1"/>
  <c r="AC118" i="1"/>
  <c r="AD118" i="1"/>
  <c r="AE118" i="1"/>
  <c r="R31" i="3" s="1"/>
  <c r="AF118" i="1"/>
  <c r="AH118" i="1"/>
  <c r="AM118" i="1"/>
  <c r="AN118" i="1"/>
  <c r="K119" i="1"/>
  <c r="L119" i="1"/>
  <c r="M119" i="1"/>
  <c r="N119" i="1" s="1"/>
  <c r="V119" i="1"/>
  <c r="S22" i="3" s="1"/>
  <c r="Y119" i="1"/>
  <c r="Z119" i="1"/>
  <c r="AB119" i="1"/>
  <c r="AC119" i="1"/>
  <c r="AD119" i="1"/>
  <c r="T119" i="1" s="1"/>
  <c r="AE119" i="1"/>
  <c r="R22" i="3" s="1"/>
  <c r="AF119" i="1"/>
  <c r="AH119" i="1"/>
  <c r="AM119" i="1"/>
  <c r="AN119" i="1"/>
  <c r="K120" i="1"/>
  <c r="L120" i="1"/>
  <c r="M120" i="1"/>
  <c r="N120" i="1" s="1"/>
  <c r="V120" i="1"/>
  <c r="S50" i="3" s="1"/>
  <c r="Y120" i="1"/>
  <c r="Z120" i="1"/>
  <c r="AB120" i="1"/>
  <c r="AC120" i="1"/>
  <c r="AD120" i="1"/>
  <c r="AE120" i="1"/>
  <c r="R50" i="3" s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X122" i="1" s="1"/>
  <c r="AE122" i="1"/>
  <c r="AF122" i="1"/>
  <c r="AH122" i="1"/>
  <c r="AM122" i="1"/>
  <c r="AN122" i="1"/>
  <c r="K123" i="1"/>
  <c r="L123" i="1"/>
  <c r="M123" i="1"/>
  <c r="N123" i="1" s="1"/>
  <c r="V123" i="1"/>
  <c r="S17" i="3" s="1"/>
  <c r="Y123" i="1"/>
  <c r="Z123" i="1"/>
  <c r="AB123" i="1"/>
  <c r="AC123" i="1"/>
  <c r="AD123" i="1"/>
  <c r="T123" i="1" s="1"/>
  <c r="AE123" i="1"/>
  <c r="R17" i="3" s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AE124" i="1"/>
  <c r="R7" i="3" s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X128" i="1" s="1"/>
  <c r="AE128" i="1"/>
  <c r="AF128" i="1"/>
  <c r="AH128" i="1"/>
  <c r="AM128" i="1"/>
  <c r="AN128" i="1"/>
  <c r="K129" i="1"/>
  <c r="L129" i="1"/>
  <c r="M129" i="1"/>
  <c r="N129" i="1" s="1"/>
  <c r="V129" i="1"/>
  <c r="S25" i="3" s="1"/>
  <c r="Y129" i="1"/>
  <c r="Z129" i="1"/>
  <c r="AB129" i="1"/>
  <c r="AC129" i="1"/>
  <c r="AD129" i="1"/>
  <c r="AE129" i="1"/>
  <c r="R25" i="3" s="1"/>
  <c r="AF129" i="1"/>
  <c r="AH129" i="1"/>
  <c r="AM129" i="1"/>
  <c r="AN129" i="1"/>
  <c r="K130" i="1"/>
  <c r="L130" i="1"/>
  <c r="M130" i="1"/>
  <c r="N130" i="1" s="1"/>
  <c r="V130" i="1"/>
  <c r="S51" i="3" s="1"/>
  <c r="Y130" i="1"/>
  <c r="Z130" i="1"/>
  <c r="AB130" i="1"/>
  <c r="AC130" i="1"/>
  <c r="AD130" i="1"/>
  <c r="T130" i="1" s="1"/>
  <c r="AE130" i="1"/>
  <c r="R51" i="3" s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31" i="1"/>
  <c r="AM131" i="1"/>
  <c r="AN131" i="1"/>
  <c r="K132" i="1"/>
  <c r="L132" i="1"/>
  <c r="M132" i="1"/>
  <c r="N132" i="1" s="1"/>
  <c r="V132" i="1"/>
  <c r="S26" i="3" s="1"/>
  <c r="Y132" i="1"/>
  <c r="Z132" i="1"/>
  <c r="AB132" i="1"/>
  <c r="AC132" i="1"/>
  <c r="AD132" i="1"/>
  <c r="AE132" i="1"/>
  <c r="R26" i="3" s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AE133" i="1"/>
  <c r="R40" i="3" s="1"/>
  <c r="AF133" i="1"/>
  <c r="AH133" i="1"/>
  <c r="AM133" i="1"/>
  <c r="AN133" i="1"/>
  <c r="K134" i="1"/>
  <c r="L134" i="1"/>
  <c r="M134" i="1"/>
  <c r="N134" i="1" s="1"/>
  <c r="V134" i="1"/>
  <c r="S27" i="3" s="1"/>
  <c r="Y134" i="1"/>
  <c r="Z134" i="1"/>
  <c r="AB134" i="1"/>
  <c r="AC134" i="1"/>
  <c r="AD134" i="1"/>
  <c r="T134" i="1" s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AE135" i="1"/>
  <c r="R10" i="3" s="1"/>
  <c r="AF135" i="1"/>
  <c r="AH135" i="1"/>
  <c r="AM135" i="1"/>
  <c r="AN135" i="1"/>
  <c r="K136" i="1"/>
  <c r="L136" i="1"/>
  <c r="M136" i="1"/>
  <c r="N136" i="1" s="1"/>
  <c r="V136" i="1"/>
  <c r="S53" i="3" s="1"/>
  <c r="Y136" i="1"/>
  <c r="Z136" i="1"/>
  <c r="AB136" i="1"/>
  <c r="AC136" i="1"/>
  <c r="AD136" i="1"/>
  <c r="T136" i="1" s="1"/>
  <c r="AE136" i="1"/>
  <c r="R53" i="3" s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A139" i="1" s="1"/>
  <c r="AB139" i="1"/>
  <c r="AC139" i="1"/>
  <c r="AD139" i="1"/>
  <c r="T139" i="1" s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AH150" i="1"/>
  <c r="AM150" i="1"/>
  <c r="AN150" i="1"/>
  <c r="K151" i="1"/>
  <c r="L151" i="1"/>
  <c r="M151" i="1"/>
  <c r="N151" i="1"/>
  <c r="V151" i="1"/>
  <c r="Y151" i="1"/>
  <c r="Z151" i="1"/>
  <c r="AB151" i="1"/>
  <c r="AC151" i="1"/>
  <c r="AD151" i="1"/>
  <c r="T151" i="1" s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AH156" i="1"/>
  <c r="AM156" i="1"/>
  <c r="AN156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AH157" i="1"/>
  <c r="AM157" i="1"/>
  <c r="AN157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AH158" i="1"/>
  <c r="AM158" i="1"/>
  <c r="AN158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159" i="1"/>
  <c r="AM159" i="1"/>
  <c r="AN159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AH160" i="1"/>
  <c r="AM160" i="1"/>
  <c r="AN160" i="1"/>
  <c r="K161" i="1"/>
  <c r="L161" i="1"/>
  <c r="M161" i="1"/>
  <c r="N161" i="1" s="1"/>
  <c r="V161" i="1"/>
  <c r="Y161" i="1"/>
  <c r="Z161" i="1"/>
  <c r="AB161" i="1"/>
  <c r="AC161" i="1"/>
  <c r="AD161" i="1"/>
  <c r="AE161" i="1"/>
  <c r="R35" i="3" s="1"/>
  <c r="AF161" i="1"/>
  <c r="AH161" i="1"/>
  <c r="AM161" i="1"/>
  <c r="AN161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162" i="1"/>
  <c r="AM162" i="1"/>
  <c r="AN162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163" i="1"/>
  <c r="AM163" i="1"/>
  <c r="AN163" i="1"/>
  <c r="K211" i="1"/>
  <c r="L211" i="1"/>
  <c r="M211" i="1"/>
  <c r="N211" i="1" s="1"/>
  <c r="V211" i="1"/>
  <c r="Y211" i="1"/>
  <c r="Z211" i="1"/>
  <c r="AB211" i="1"/>
  <c r="AC211" i="1"/>
  <c r="AD211" i="1"/>
  <c r="AE211" i="1"/>
  <c r="AF211" i="1"/>
  <c r="AH164" i="1"/>
  <c r="AM164" i="1"/>
  <c r="AN164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165" i="1"/>
  <c r="AM165" i="1"/>
  <c r="AN165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66" i="1"/>
  <c r="AM166" i="1"/>
  <c r="AN166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7" i="1"/>
  <c r="AM167" i="1"/>
  <c r="AN167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168" i="1"/>
  <c r="AM168" i="1"/>
  <c r="AN168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169" i="1"/>
  <c r="AM169" i="1"/>
  <c r="AN169" i="1"/>
  <c r="K217" i="1"/>
  <c r="L217" i="1"/>
  <c r="M217" i="1"/>
  <c r="N217" i="1" s="1"/>
  <c r="V217" i="1"/>
  <c r="Y217" i="1"/>
  <c r="Z217" i="1"/>
  <c r="AB217" i="1"/>
  <c r="AC217" i="1"/>
  <c r="AD217" i="1"/>
  <c r="AE217" i="1"/>
  <c r="AF217" i="1"/>
  <c r="AH170" i="1"/>
  <c r="AM170" i="1"/>
  <c r="AN170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171" i="1"/>
  <c r="AM171" i="1"/>
  <c r="AN171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172" i="1"/>
  <c r="AM172" i="1"/>
  <c r="AN172" i="1"/>
  <c r="K220" i="1"/>
  <c r="L220" i="1"/>
  <c r="M220" i="1"/>
  <c r="N220" i="1" s="1"/>
  <c r="V220" i="1"/>
  <c r="Y220" i="1"/>
  <c r="Z220" i="1"/>
  <c r="AB220" i="1"/>
  <c r="AC220" i="1"/>
  <c r="AD220" i="1"/>
  <c r="AE220" i="1"/>
  <c r="AF220" i="1"/>
  <c r="AH174" i="1"/>
  <c r="AM174" i="1"/>
  <c r="AN174" i="1"/>
  <c r="K221" i="1"/>
  <c r="L221" i="1"/>
  <c r="M221" i="1"/>
  <c r="N221" i="1" s="1"/>
  <c r="V221" i="1"/>
  <c r="Y221" i="1"/>
  <c r="Z221" i="1"/>
  <c r="AB221" i="1"/>
  <c r="AC221" i="1"/>
  <c r="AD221" i="1"/>
  <c r="AE221" i="1"/>
  <c r="AF221" i="1"/>
  <c r="AH175" i="1"/>
  <c r="AM175" i="1"/>
  <c r="AN175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176" i="1"/>
  <c r="AM176" i="1"/>
  <c r="AN176" i="1"/>
  <c r="K223" i="1"/>
  <c r="L223" i="1"/>
  <c r="M223" i="1"/>
  <c r="N223" i="1" s="1"/>
  <c r="V223" i="1"/>
  <c r="Y223" i="1"/>
  <c r="Z223" i="1"/>
  <c r="AB223" i="1"/>
  <c r="AC223" i="1"/>
  <c r="AD223" i="1"/>
  <c r="AE223" i="1"/>
  <c r="AF223" i="1"/>
  <c r="AH177" i="1"/>
  <c r="AM177" i="1"/>
  <c r="AN177" i="1"/>
  <c r="K224" i="1"/>
  <c r="L224" i="1"/>
  <c r="M224" i="1"/>
  <c r="N224" i="1" s="1"/>
  <c r="V224" i="1"/>
  <c r="Y224" i="1"/>
  <c r="Z224" i="1"/>
  <c r="AB224" i="1"/>
  <c r="AC224" i="1"/>
  <c r="AD224" i="1"/>
  <c r="AE224" i="1"/>
  <c r="AF224" i="1"/>
  <c r="AH178" i="1"/>
  <c r="AM178" i="1"/>
  <c r="AN178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179" i="1"/>
  <c r="AM179" i="1"/>
  <c r="AN179" i="1"/>
  <c r="K232" i="1"/>
  <c r="L232" i="1"/>
  <c r="M232" i="1"/>
  <c r="N232" i="1" s="1"/>
  <c r="V232" i="1"/>
  <c r="Y232" i="1"/>
  <c r="Z232" i="1"/>
  <c r="AB232" i="1"/>
  <c r="AC232" i="1"/>
  <c r="AD232" i="1"/>
  <c r="T232" i="1" s="1"/>
  <c r="AE232" i="1"/>
  <c r="AF232" i="1"/>
  <c r="AH180" i="1"/>
  <c r="AM180" i="1"/>
  <c r="AN180" i="1"/>
  <c r="K233" i="1"/>
  <c r="L233" i="1"/>
  <c r="M233" i="1"/>
  <c r="N233" i="1" s="1"/>
  <c r="V233" i="1"/>
  <c r="Y233" i="1"/>
  <c r="Z233" i="1"/>
  <c r="AB233" i="1"/>
  <c r="AC233" i="1"/>
  <c r="AD233" i="1"/>
  <c r="AE233" i="1"/>
  <c r="AF233" i="1"/>
  <c r="AH181" i="1"/>
  <c r="AM181" i="1"/>
  <c r="AN181" i="1"/>
  <c r="K234" i="1"/>
  <c r="L234" i="1"/>
  <c r="M234" i="1"/>
  <c r="N234" i="1" s="1"/>
  <c r="V234" i="1"/>
  <c r="Y234" i="1"/>
  <c r="Z234" i="1"/>
  <c r="AB234" i="1"/>
  <c r="AC234" i="1"/>
  <c r="AD234" i="1"/>
  <c r="AE234" i="1"/>
  <c r="AF234" i="1"/>
  <c r="AH182" i="1"/>
  <c r="AM182" i="1"/>
  <c r="AN182" i="1"/>
  <c r="K235" i="1"/>
  <c r="L235" i="1"/>
  <c r="M235" i="1"/>
  <c r="N235" i="1" s="1"/>
  <c r="V235" i="1"/>
  <c r="Y235" i="1"/>
  <c r="Z235" i="1"/>
  <c r="AB235" i="1"/>
  <c r="AC235" i="1"/>
  <c r="AD235" i="1"/>
  <c r="T235" i="1" s="1"/>
  <c r="AE235" i="1"/>
  <c r="AF235" i="1"/>
  <c r="AH183" i="1"/>
  <c r="AM183" i="1"/>
  <c r="AN183" i="1"/>
  <c r="K236" i="1"/>
  <c r="L236" i="1"/>
  <c r="M236" i="1"/>
  <c r="N236" i="1" s="1"/>
  <c r="V236" i="1"/>
  <c r="Y236" i="1"/>
  <c r="Z236" i="1"/>
  <c r="AB236" i="1"/>
  <c r="AC236" i="1"/>
  <c r="AD236" i="1"/>
  <c r="AE236" i="1"/>
  <c r="AF236" i="1"/>
  <c r="AH184" i="1"/>
  <c r="AM184" i="1"/>
  <c r="AN184" i="1"/>
  <c r="K237" i="1"/>
  <c r="L237" i="1"/>
  <c r="M237" i="1"/>
  <c r="N237" i="1" s="1"/>
  <c r="V237" i="1"/>
  <c r="Y237" i="1"/>
  <c r="Z237" i="1"/>
  <c r="AB237" i="1"/>
  <c r="AC237" i="1"/>
  <c r="AD237" i="1"/>
  <c r="AE237" i="1"/>
  <c r="AF237" i="1"/>
  <c r="AH185" i="1"/>
  <c r="AM185" i="1"/>
  <c r="AN185" i="1"/>
  <c r="K238" i="1"/>
  <c r="L238" i="1"/>
  <c r="M238" i="1"/>
  <c r="N238" i="1" s="1"/>
  <c r="V238" i="1"/>
  <c r="Y238" i="1"/>
  <c r="Z238" i="1"/>
  <c r="AB238" i="1"/>
  <c r="AC238" i="1"/>
  <c r="AD238" i="1"/>
  <c r="AE238" i="1"/>
  <c r="AF238" i="1"/>
  <c r="AH186" i="1"/>
  <c r="AM186" i="1"/>
  <c r="AN186" i="1"/>
  <c r="K239" i="1"/>
  <c r="L239" i="1"/>
  <c r="M239" i="1"/>
  <c r="N239" i="1" s="1"/>
  <c r="V239" i="1"/>
  <c r="S70" i="3" s="1"/>
  <c r="Y239" i="1"/>
  <c r="Z239" i="1"/>
  <c r="AB239" i="1"/>
  <c r="AC239" i="1"/>
  <c r="AD239" i="1"/>
  <c r="AE239" i="1"/>
  <c r="R70" i="3" s="1"/>
  <c r="AF239" i="1"/>
  <c r="AH187" i="1"/>
  <c r="AM187" i="1"/>
  <c r="AN187" i="1"/>
  <c r="K240" i="1"/>
  <c r="L240" i="1"/>
  <c r="M240" i="1"/>
  <c r="N240" i="1" s="1"/>
  <c r="V240" i="1"/>
  <c r="S71" i="3" s="1"/>
  <c r="Y240" i="1"/>
  <c r="Z240" i="1"/>
  <c r="AB240" i="1"/>
  <c r="AC240" i="1"/>
  <c r="AD240" i="1"/>
  <c r="T240" i="1" s="1"/>
  <c r="AE240" i="1"/>
  <c r="R71" i="3" s="1"/>
  <c r="AF240" i="1"/>
  <c r="AH188" i="1"/>
  <c r="AM188" i="1"/>
  <c r="AN188" i="1"/>
  <c r="K241" i="1"/>
  <c r="L241" i="1"/>
  <c r="M241" i="1"/>
  <c r="N241" i="1" s="1"/>
  <c r="V241" i="1"/>
  <c r="Y241" i="1"/>
  <c r="Z241" i="1"/>
  <c r="AB241" i="1"/>
  <c r="AC241" i="1"/>
  <c r="AD241" i="1"/>
  <c r="T241" i="1" s="1"/>
  <c r="AE241" i="1"/>
  <c r="AF241" i="1"/>
  <c r="AH189" i="1"/>
  <c r="AM189" i="1"/>
  <c r="AN189" i="1"/>
  <c r="K242" i="1"/>
  <c r="L242" i="1"/>
  <c r="M242" i="1"/>
  <c r="N242" i="1" s="1"/>
  <c r="V242" i="1"/>
  <c r="Y242" i="1"/>
  <c r="Z242" i="1"/>
  <c r="AB242" i="1"/>
  <c r="AC242" i="1"/>
  <c r="AD242" i="1"/>
  <c r="T242" i="1" s="1"/>
  <c r="AE242" i="1"/>
  <c r="AF242" i="1"/>
  <c r="AH190" i="1"/>
  <c r="AM190" i="1"/>
  <c r="AN190" i="1"/>
  <c r="K243" i="1"/>
  <c r="L243" i="1"/>
  <c r="M243" i="1"/>
  <c r="N243" i="1" s="1"/>
  <c r="V243" i="1"/>
  <c r="Y243" i="1"/>
  <c r="Z243" i="1"/>
  <c r="AB243" i="1"/>
  <c r="AC243" i="1"/>
  <c r="AD243" i="1"/>
  <c r="AE243" i="1"/>
  <c r="AF243" i="1"/>
  <c r="AH191" i="1"/>
  <c r="AM191" i="1"/>
  <c r="AN191" i="1"/>
  <c r="K244" i="1"/>
  <c r="L244" i="1"/>
  <c r="M244" i="1"/>
  <c r="N244" i="1" s="1"/>
  <c r="V244" i="1"/>
  <c r="Y244" i="1"/>
  <c r="Z244" i="1"/>
  <c r="AB244" i="1"/>
  <c r="AC244" i="1"/>
  <c r="AD244" i="1"/>
  <c r="T244" i="1" s="1"/>
  <c r="AE244" i="1"/>
  <c r="AF244" i="1"/>
  <c r="AH192" i="1"/>
  <c r="AM192" i="1"/>
  <c r="AN192" i="1"/>
  <c r="K245" i="1"/>
  <c r="L245" i="1"/>
  <c r="M245" i="1"/>
  <c r="N245" i="1" s="1"/>
  <c r="V245" i="1"/>
  <c r="Y245" i="1"/>
  <c r="Z245" i="1"/>
  <c r="AB245" i="1"/>
  <c r="AC245" i="1"/>
  <c r="AD245" i="1"/>
  <c r="T245" i="1" s="1"/>
  <c r="AE245" i="1"/>
  <c r="AF245" i="1"/>
  <c r="AH193" i="1"/>
  <c r="AM193" i="1"/>
  <c r="AN193" i="1"/>
  <c r="K246" i="1"/>
  <c r="L246" i="1"/>
  <c r="M246" i="1"/>
  <c r="N246" i="1" s="1"/>
  <c r="V246" i="1"/>
  <c r="S74" i="3" s="1"/>
  <c r="Y246" i="1"/>
  <c r="Z246" i="1"/>
  <c r="AB246" i="1"/>
  <c r="AC246" i="1"/>
  <c r="AD246" i="1"/>
  <c r="AE246" i="1"/>
  <c r="R74" i="3" s="1"/>
  <c r="AF246" i="1"/>
  <c r="AH194" i="1"/>
  <c r="AM194" i="1"/>
  <c r="AN194" i="1"/>
  <c r="K247" i="1"/>
  <c r="L247" i="1"/>
  <c r="M247" i="1"/>
  <c r="N247" i="1" s="1"/>
  <c r="V247" i="1"/>
  <c r="Y247" i="1"/>
  <c r="Z247" i="1"/>
  <c r="AB247" i="1"/>
  <c r="AC247" i="1"/>
  <c r="AD247" i="1"/>
  <c r="AE247" i="1"/>
  <c r="AF247" i="1"/>
  <c r="AH195" i="1"/>
  <c r="AM195" i="1"/>
  <c r="AN195" i="1"/>
  <c r="K248" i="1"/>
  <c r="L248" i="1"/>
  <c r="M248" i="1"/>
  <c r="N248" i="1" s="1"/>
  <c r="V248" i="1"/>
  <c r="Y248" i="1"/>
  <c r="Z248" i="1"/>
  <c r="AB248" i="1"/>
  <c r="AC248" i="1"/>
  <c r="AD248" i="1"/>
  <c r="T248" i="1" s="1"/>
  <c r="AE248" i="1"/>
  <c r="AF248" i="1"/>
  <c r="AH196" i="1"/>
  <c r="AM196" i="1"/>
  <c r="AN196" i="1"/>
  <c r="K249" i="1"/>
  <c r="L249" i="1"/>
  <c r="M249" i="1"/>
  <c r="N249" i="1" s="1"/>
  <c r="V249" i="1"/>
  <c r="Y249" i="1"/>
  <c r="Z249" i="1"/>
  <c r="AA249" i="1" s="1"/>
  <c r="AB249" i="1"/>
  <c r="AC249" i="1"/>
  <c r="AD249" i="1"/>
  <c r="T249" i="1" s="1"/>
  <c r="AE249" i="1"/>
  <c r="AF249" i="1"/>
  <c r="AH197" i="1"/>
  <c r="AM197" i="1"/>
  <c r="AN197" i="1"/>
  <c r="K250" i="1"/>
  <c r="L250" i="1"/>
  <c r="M250" i="1"/>
  <c r="N250" i="1" s="1"/>
  <c r="V250" i="1"/>
  <c r="Y250" i="1"/>
  <c r="Z250" i="1"/>
  <c r="AA250" i="1" s="1"/>
  <c r="AB250" i="1"/>
  <c r="AC250" i="1"/>
  <c r="AD250" i="1"/>
  <c r="T250" i="1" s="1"/>
  <c r="AE250" i="1"/>
  <c r="R75" i="3" s="1"/>
  <c r="AF250" i="1"/>
  <c r="AH198" i="1"/>
  <c r="AM198" i="1"/>
  <c r="AN198" i="1"/>
  <c r="K251" i="1"/>
  <c r="L251" i="1"/>
  <c r="M251" i="1"/>
  <c r="N251" i="1" s="1"/>
  <c r="V251" i="1"/>
  <c r="Y251" i="1"/>
  <c r="Z251" i="1"/>
  <c r="AB251" i="1"/>
  <c r="AC251" i="1"/>
  <c r="AD251" i="1"/>
  <c r="AE251" i="1"/>
  <c r="AF251" i="1"/>
  <c r="AH199" i="1"/>
  <c r="AM199" i="1"/>
  <c r="AN199" i="1"/>
  <c r="K252" i="1"/>
  <c r="L252" i="1"/>
  <c r="M252" i="1"/>
  <c r="N252" i="1" s="1"/>
  <c r="V252" i="1"/>
  <c r="Y252" i="1"/>
  <c r="Z252" i="1"/>
  <c r="AB252" i="1"/>
  <c r="AC252" i="1"/>
  <c r="AD252" i="1"/>
  <c r="T252" i="1" s="1"/>
  <c r="AE252" i="1"/>
  <c r="AF252" i="1"/>
  <c r="AH200" i="1"/>
  <c r="AM200" i="1"/>
  <c r="AN200" i="1"/>
  <c r="K253" i="1"/>
  <c r="L253" i="1"/>
  <c r="M253" i="1"/>
  <c r="N253" i="1" s="1"/>
  <c r="V253" i="1"/>
  <c r="Y253" i="1"/>
  <c r="Z253" i="1"/>
  <c r="AB253" i="1"/>
  <c r="AC253" i="1"/>
  <c r="AD253" i="1"/>
  <c r="AE253" i="1"/>
  <c r="AF253" i="1"/>
  <c r="AH201" i="1"/>
  <c r="AM201" i="1"/>
  <c r="AN201" i="1"/>
  <c r="K254" i="1"/>
  <c r="L254" i="1"/>
  <c r="M254" i="1"/>
  <c r="N254" i="1" s="1"/>
  <c r="V254" i="1"/>
  <c r="S64" i="3" s="1"/>
  <c r="Y254" i="1"/>
  <c r="Z254" i="1"/>
  <c r="AB254" i="1"/>
  <c r="AC254" i="1"/>
  <c r="AD254" i="1"/>
  <c r="T254" i="1" s="1"/>
  <c r="AE254" i="1"/>
  <c r="R64" i="3" s="1"/>
  <c r="AF254" i="1"/>
  <c r="AH202" i="1"/>
  <c r="AM202" i="1"/>
  <c r="AN202" i="1"/>
  <c r="K255" i="1"/>
  <c r="L255" i="1"/>
  <c r="M255" i="1"/>
  <c r="N255" i="1" s="1"/>
  <c r="V255" i="1"/>
  <c r="Y255" i="1"/>
  <c r="Z255" i="1"/>
  <c r="AB255" i="1"/>
  <c r="AC255" i="1"/>
  <c r="AD255" i="1"/>
  <c r="AE255" i="1"/>
  <c r="AF255" i="1"/>
  <c r="AH203" i="1"/>
  <c r="AM203" i="1"/>
  <c r="AN203" i="1"/>
  <c r="K256" i="1"/>
  <c r="L256" i="1"/>
  <c r="M256" i="1"/>
  <c r="N256" i="1" s="1"/>
  <c r="V256" i="1"/>
  <c r="Y256" i="1"/>
  <c r="Z256" i="1"/>
  <c r="AB256" i="1"/>
  <c r="AC256" i="1"/>
  <c r="AD256" i="1"/>
  <c r="T256" i="1" s="1"/>
  <c r="AE256" i="1"/>
  <c r="AF256" i="1"/>
  <c r="AH204" i="1"/>
  <c r="AM204" i="1"/>
  <c r="AN204" i="1"/>
  <c r="K257" i="1"/>
  <c r="L257" i="1"/>
  <c r="M257" i="1"/>
  <c r="N257" i="1" s="1"/>
  <c r="V257" i="1"/>
  <c r="Y257" i="1"/>
  <c r="Z257" i="1"/>
  <c r="AB257" i="1"/>
  <c r="AC257" i="1"/>
  <c r="AD257" i="1"/>
  <c r="T257" i="1" s="1"/>
  <c r="AE257" i="1"/>
  <c r="AF257" i="1"/>
  <c r="AH205" i="1"/>
  <c r="AM205" i="1"/>
  <c r="AN205" i="1"/>
  <c r="K258" i="1"/>
  <c r="L258" i="1"/>
  <c r="M258" i="1"/>
  <c r="N258" i="1" s="1"/>
  <c r="V258" i="1"/>
  <c r="Y258" i="1"/>
  <c r="Z258" i="1"/>
  <c r="AA258" i="1" s="1"/>
  <c r="AB258" i="1"/>
  <c r="AC258" i="1"/>
  <c r="AD258" i="1"/>
  <c r="T258" i="1" s="1"/>
  <c r="AE258" i="1"/>
  <c r="AF258" i="1"/>
  <c r="AH206" i="1"/>
  <c r="AM206" i="1"/>
  <c r="AN206" i="1"/>
  <c r="K259" i="1"/>
  <c r="L259" i="1"/>
  <c r="M259" i="1"/>
  <c r="N259" i="1" s="1"/>
  <c r="V259" i="1"/>
  <c r="Y259" i="1"/>
  <c r="Z259" i="1"/>
  <c r="AB259" i="1"/>
  <c r="AC259" i="1"/>
  <c r="AD259" i="1"/>
  <c r="T259" i="1" s="1"/>
  <c r="AE259" i="1"/>
  <c r="AF259" i="1"/>
  <c r="AH207" i="1"/>
  <c r="AM207" i="1"/>
  <c r="AN207" i="1"/>
  <c r="K260" i="1"/>
  <c r="L260" i="1"/>
  <c r="M260" i="1"/>
  <c r="N260" i="1" s="1"/>
  <c r="V260" i="1"/>
  <c r="Y260" i="1"/>
  <c r="Z260" i="1"/>
  <c r="AB260" i="1"/>
  <c r="AC260" i="1"/>
  <c r="AD260" i="1"/>
  <c r="AE260" i="1"/>
  <c r="AF260" i="1"/>
  <c r="AH208" i="1"/>
  <c r="AM208" i="1"/>
  <c r="AN208" i="1"/>
  <c r="K261" i="1"/>
  <c r="L261" i="1"/>
  <c r="M261" i="1"/>
  <c r="N261" i="1" s="1"/>
  <c r="V261" i="1"/>
  <c r="S65" i="3" s="1"/>
  <c r="Y261" i="1"/>
  <c r="Z261" i="1"/>
  <c r="AB261" i="1"/>
  <c r="AC261" i="1"/>
  <c r="AD261" i="1"/>
  <c r="T261" i="1" s="1"/>
  <c r="AE261" i="1"/>
  <c r="R65" i="3" s="1"/>
  <c r="AF261" i="1"/>
  <c r="AH209" i="1"/>
  <c r="AM209" i="1"/>
  <c r="AN209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210" i="1"/>
  <c r="AM210" i="1"/>
  <c r="AN210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211" i="1"/>
  <c r="AM211" i="1"/>
  <c r="AN211" i="1"/>
  <c r="K166" i="1"/>
  <c r="L166" i="1"/>
  <c r="M166" i="1"/>
  <c r="N166" i="1" s="1"/>
  <c r="V166" i="1"/>
  <c r="S58" i="3" s="1"/>
  <c r="Y166" i="1"/>
  <c r="Z166" i="1"/>
  <c r="AB166" i="1"/>
  <c r="AC166" i="1"/>
  <c r="AD166" i="1"/>
  <c r="AE166" i="1"/>
  <c r="R58" i="3" s="1"/>
  <c r="AF166" i="1"/>
  <c r="AH212" i="1"/>
  <c r="AM212" i="1"/>
  <c r="AN212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213" i="1"/>
  <c r="AM213" i="1"/>
  <c r="AN213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214" i="1"/>
  <c r="AM214" i="1"/>
  <c r="AN214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215" i="1"/>
  <c r="AM215" i="1"/>
  <c r="AN215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216" i="1"/>
  <c r="AM216" i="1"/>
  <c r="AN216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217" i="1"/>
  <c r="AM217" i="1"/>
  <c r="AN217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218" i="1"/>
  <c r="AM218" i="1"/>
  <c r="AN218" i="1"/>
  <c r="K262" i="1"/>
  <c r="L262" i="1"/>
  <c r="M262" i="1"/>
  <c r="N262" i="1" s="1"/>
  <c r="V262" i="1"/>
  <c r="S69" i="3" s="1"/>
  <c r="Y262" i="1"/>
  <c r="Z262" i="1"/>
  <c r="AB262" i="1"/>
  <c r="AC262" i="1"/>
  <c r="AD262" i="1"/>
  <c r="AE262" i="1"/>
  <c r="R69" i="3" s="1"/>
  <c r="AF262" i="1"/>
  <c r="AH219" i="1"/>
  <c r="AM219" i="1"/>
  <c r="AN219" i="1"/>
  <c r="K263" i="1"/>
  <c r="L263" i="1"/>
  <c r="M263" i="1"/>
  <c r="N263" i="1" s="1"/>
  <c r="V263" i="1"/>
  <c r="Y263" i="1"/>
  <c r="Z263" i="1"/>
  <c r="AB263" i="1"/>
  <c r="AC263" i="1"/>
  <c r="AD263" i="1"/>
  <c r="AE263" i="1"/>
  <c r="AF263" i="1"/>
  <c r="AH220" i="1"/>
  <c r="AM220" i="1"/>
  <c r="AN220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221" i="1"/>
  <c r="AM221" i="1"/>
  <c r="AN221" i="1"/>
  <c r="K175" i="1"/>
  <c r="L175" i="1"/>
  <c r="M175" i="1"/>
  <c r="N175" i="1" s="1"/>
  <c r="V175" i="1"/>
  <c r="S61" i="3" s="1"/>
  <c r="Y175" i="1"/>
  <c r="Z175" i="1"/>
  <c r="AA175" i="1" s="1"/>
  <c r="AB175" i="1"/>
  <c r="AC175" i="1"/>
  <c r="AD175" i="1"/>
  <c r="T175" i="1" s="1"/>
  <c r="AE175" i="1"/>
  <c r="R61" i="3" s="1"/>
  <c r="AF175" i="1"/>
  <c r="AH222" i="1"/>
  <c r="AM222" i="1"/>
  <c r="AN222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223" i="1"/>
  <c r="AM223" i="1"/>
  <c r="AN223" i="1"/>
  <c r="K177" i="1"/>
  <c r="L177" i="1"/>
  <c r="M177" i="1"/>
  <c r="N177" i="1"/>
  <c r="V177" i="1"/>
  <c r="Y177" i="1"/>
  <c r="Z177" i="1"/>
  <c r="AB177" i="1"/>
  <c r="AC177" i="1"/>
  <c r="AD177" i="1"/>
  <c r="AE177" i="1"/>
  <c r="AF177" i="1"/>
  <c r="AH224" i="1"/>
  <c r="AM224" i="1"/>
  <c r="AN224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225" i="1"/>
  <c r="AM225" i="1"/>
  <c r="AN225" i="1"/>
  <c r="K179" i="1"/>
  <c r="L179" i="1"/>
  <c r="M179" i="1"/>
  <c r="N179" i="1" s="1"/>
  <c r="V179" i="1"/>
  <c r="S54" i="3" s="1"/>
  <c r="Y179" i="1"/>
  <c r="Z179" i="1"/>
  <c r="AB179" i="1"/>
  <c r="AC179" i="1"/>
  <c r="AD179" i="1"/>
  <c r="AE179" i="1"/>
  <c r="R54" i="3" s="1"/>
  <c r="AF179" i="1"/>
  <c r="AH226" i="1"/>
  <c r="AM226" i="1"/>
  <c r="AN226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AH227" i="1"/>
  <c r="AM227" i="1"/>
  <c r="AN227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AH228" i="1"/>
  <c r="AM228" i="1"/>
  <c r="AN228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229" i="1"/>
  <c r="AM229" i="1"/>
  <c r="AN229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230" i="1"/>
  <c r="AM230" i="1"/>
  <c r="AN230" i="1"/>
  <c r="K264" i="1"/>
  <c r="L264" i="1"/>
  <c r="M264" i="1"/>
  <c r="N264" i="1" s="1"/>
  <c r="V264" i="1"/>
  <c r="Y264" i="1"/>
  <c r="Z264" i="1"/>
  <c r="AB264" i="1"/>
  <c r="AC264" i="1"/>
  <c r="AD264" i="1"/>
  <c r="T264" i="1" s="1"/>
  <c r="AE264" i="1"/>
  <c r="AF264" i="1"/>
  <c r="AH231" i="1"/>
  <c r="AM231" i="1"/>
  <c r="AN231" i="1"/>
  <c r="K265" i="1"/>
  <c r="L265" i="1"/>
  <c r="M265" i="1"/>
  <c r="N265" i="1" s="1"/>
  <c r="V265" i="1"/>
  <c r="Y265" i="1"/>
  <c r="Z265" i="1"/>
  <c r="AB265" i="1"/>
  <c r="AC265" i="1"/>
  <c r="AD265" i="1"/>
  <c r="AE265" i="1"/>
  <c r="AF265" i="1"/>
  <c r="AH232" i="1"/>
  <c r="AM232" i="1"/>
  <c r="AN232" i="1"/>
  <c r="K266" i="1"/>
  <c r="L266" i="1"/>
  <c r="M266" i="1"/>
  <c r="N266" i="1" s="1"/>
  <c r="V266" i="1"/>
  <c r="Y266" i="1"/>
  <c r="Z266" i="1"/>
  <c r="AB266" i="1"/>
  <c r="AC266" i="1"/>
  <c r="AD266" i="1"/>
  <c r="T266" i="1" s="1"/>
  <c r="AE266" i="1"/>
  <c r="AF266" i="1"/>
  <c r="AH233" i="1"/>
  <c r="AM233" i="1"/>
  <c r="AN233" i="1"/>
  <c r="K267" i="1"/>
  <c r="L267" i="1"/>
  <c r="M267" i="1"/>
  <c r="N267" i="1" s="1"/>
  <c r="V267" i="1"/>
  <c r="Y267" i="1"/>
  <c r="Z267" i="1"/>
  <c r="AB267" i="1"/>
  <c r="AC267" i="1"/>
  <c r="AD267" i="1"/>
  <c r="T267" i="1" s="1"/>
  <c r="AE267" i="1"/>
  <c r="AF267" i="1"/>
  <c r="AH234" i="1"/>
  <c r="AM234" i="1"/>
  <c r="AN234" i="1"/>
  <c r="K268" i="1"/>
  <c r="L268" i="1"/>
  <c r="M268" i="1"/>
  <c r="N268" i="1" s="1"/>
  <c r="V268" i="1"/>
  <c r="Y268" i="1"/>
  <c r="Z268" i="1"/>
  <c r="AB268" i="1"/>
  <c r="AC268" i="1"/>
  <c r="AD268" i="1"/>
  <c r="T268" i="1" s="1"/>
  <c r="AE268" i="1"/>
  <c r="AF268" i="1"/>
  <c r="AH235" i="1"/>
  <c r="AM235" i="1"/>
  <c r="AN235" i="1"/>
  <c r="K269" i="1"/>
  <c r="L269" i="1"/>
  <c r="M269" i="1"/>
  <c r="N269" i="1" s="1"/>
  <c r="V269" i="1"/>
  <c r="Y269" i="1"/>
  <c r="Z269" i="1"/>
  <c r="AB269" i="1"/>
  <c r="AC269" i="1"/>
  <c r="AD269" i="1"/>
  <c r="AE269" i="1"/>
  <c r="AF269" i="1"/>
  <c r="AH236" i="1"/>
  <c r="AM236" i="1"/>
  <c r="AN236" i="1"/>
  <c r="K270" i="1"/>
  <c r="L270" i="1"/>
  <c r="M270" i="1"/>
  <c r="N270" i="1" s="1"/>
  <c r="V270" i="1"/>
  <c r="Y270" i="1"/>
  <c r="Z270" i="1"/>
  <c r="AB270" i="1"/>
  <c r="AC270" i="1"/>
  <c r="AD270" i="1"/>
  <c r="T270" i="1" s="1"/>
  <c r="AE270" i="1"/>
  <c r="AF270" i="1"/>
  <c r="AH237" i="1"/>
  <c r="AM237" i="1"/>
  <c r="AN237" i="1"/>
  <c r="K271" i="1"/>
  <c r="L271" i="1"/>
  <c r="M271" i="1"/>
  <c r="N271" i="1" s="1"/>
  <c r="V271" i="1"/>
  <c r="Y271" i="1"/>
  <c r="Z271" i="1"/>
  <c r="AB271" i="1"/>
  <c r="AC271" i="1"/>
  <c r="AD271" i="1"/>
  <c r="T271" i="1" s="1"/>
  <c r="AE271" i="1"/>
  <c r="AF271" i="1"/>
  <c r="AH238" i="1"/>
  <c r="AM238" i="1"/>
  <c r="AN238" i="1"/>
  <c r="K184" i="1"/>
  <c r="L184" i="1"/>
  <c r="M184" i="1"/>
  <c r="N184" i="1" s="1"/>
  <c r="V184" i="1"/>
  <c r="S57" i="3" s="1"/>
  <c r="Y184" i="1"/>
  <c r="Z184" i="1"/>
  <c r="AB184" i="1"/>
  <c r="AC184" i="1"/>
  <c r="AD184" i="1"/>
  <c r="X184" i="1" s="1"/>
  <c r="AE184" i="1"/>
  <c r="R57" i="3" s="1"/>
  <c r="AF184" i="1"/>
  <c r="AH239" i="1"/>
  <c r="AM239" i="1"/>
  <c r="AN239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AH240" i="1"/>
  <c r="AM240" i="1"/>
  <c r="AN240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241" i="1"/>
  <c r="AM241" i="1"/>
  <c r="AN241" i="1"/>
  <c r="K187" i="1"/>
  <c r="L187" i="1"/>
  <c r="M187" i="1"/>
  <c r="N187" i="1" s="1"/>
  <c r="V187" i="1"/>
  <c r="S55" i="3" s="1"/>
  <c r="Y187" i="1"/>
  <c r="Z187" i="1"/>
  <c r="AB187" i="1"/>
  <c r="AC187" i="1"/>
  <c r="AD187" i="1"/>
  <c r="AE187" i="1"/>
  <c r="R55" i="3" s="1"/>
  <c r="AF187" i="1"/>
  <c r="AH242" i="1"/>
  <c r="AM242" i="1"/>
  <c r="AN242" i="1"/>
  <c r="K188" i="1"/>
  <c r="L188" i="1"/>
  <c r="M188" i="1"/>
  <c r="N188" i="1" s="1"/>
  <c r="V188" i="1"/>
  <c r="S59" i="3" s="1"/>
  <c r="Y188" i="1"/>
  <c r="Z188" i="1"/>
  <c r="AB188" i="1"/>
  <c r="AC188" i="1"/>
  <c r="AD188" i="1"/>
  <c r="AE188" i="1"/>
  <c r="R59" i="3" s="1"/>
  <c r="AF188" i="1"/>
  <c r="AH243" i="1"/>
  <c r="AM243" i="1"/>
  <c r="AN243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AH244" i="1"/>
  <c r="AM244" i="1"/>
  <c r="AN244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245" i="1"/>
  <c r="AM245" i="1"/>
  <c r="AN245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246" i="1"/>
  <c r="AM246" i="1"/>
  <c r="AN246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47" i="1"/>
  <c r="AM247" i="1"/>
  <c r="AN247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248" i="1"/>
  <c r="AM248" i="1"/>
  <c r="AN248" i="1"/>
  <c r="K272" i="1"/>
  <c r="L272" i="1"/>
  <c r="M272" i="1"/>
  <c r="N272" i="1" s="1"/>
  <c r="V272" i="1"/>
  <c r="S66" i="3" s="1"/>
  <c r="Y272" i="1"/>
  <c r="Z272" i="1"/>
  <c r="AB272" i="1"/>
  <c r="AC272" i="1"/>
  <c r="AD272" i="1"/>
  <c r="AE272" i="1"/>
  <c r="R68" i="3" s="1"/>
  <c r="AF272" i="1"/>
  <c r="AH249" i="1"/>
  <c r="AM249" i="1"/>
  <c r="AN249" i="1"/>
  <c r="K273" i="1"/>
  <c r="L273" i="1"/>
  <c r="M273" i="1"/>
  <c r="N273" i="1" s="1"/>
  <c r="V273" i="1"/>
  <c r="Y273" i="1"/>
  <c r="Z273" i="1"/>
  <c r="AB273" i="1"/>
  <c r="AC273" i="1"/>
  <c r="AD273" i="1"/>
  <c r="T273" i="1" s="1"/>
  <c r="AE273" i="1"/>
  <c r="AF273" i="1"/>
  <c r="AH250" i="1"/>
  <c r="AM250" i="1"/>
  <c r="AN250" i="1"/>
  <c r="K274" i="1"/>
  <c r="L274" i="1"/>
  <c r="M274" i="1"/>
  <c r="N274" i="1" s="1"/>
  <c r="V274" i="1"/>
  <c r="Y274" i="1"/>
  <c r="Z274" i="1"/>
  <c r="AB274" i="1"/>
  <c r="AC274" i="1"/>
  <c r="AD274" i="1"/>
  <c r="AE274" i="1"/>
  <c r="AF274" i="1"/>
  <c r="AH251" i="1"/>
  <c r="AM251" i="1"/>
  <c r="AN251" i="1"/>
  <c r="K275" i="1"/>
  <c r="L275" i="1"/>
  <c r="M275" i="1"/>
  <c r="N275" i="1" s="1"/>
  <c r="V275" i="1"/>
  <c r="Y275" i="1"/>
  <c r="Z275" i="1"/>
  <c r="AB275" i="1"/>
  <c r="AC275" i="1"/>
  <c r="AD275" i="1"/>
  <c r="AE275" i="1"/>
  <c r="AF275" i="1"/>
  <c r="AH252" i="1"/>
  <c r="AM252" i="1"/>
  <c r="AN252" i="1"/>
  <c r="K276" i="1"/>
  <c r="L276" i="1"/>
  <c r="M276" i="1"/>
  <c r="N276" i="1" s="1"/>
  <c r="V276" i="1"/>
  <c r="Y276" i="1"/>
  <c r="Z276" i="1"/>
  <c r="AB276" i="1"/>
  <c r="AC276" i="1"/>
  <c r="AD276" i="1"/>
  <c r="AE276" i="1"/>
  <c r="AF276" i="1"/>
  <c r="AH253" i="1"/>
  <c r="AM253" i="1"/>
  <c r="AN253" i="1"/>
  <c r="K277" i="1"/>
  <c r="L277" i="1"/>
  <c r="M277" i="1"/>
  <c r="N277" i="1" s="1"/>
  <c r="V277" i="1"/>
  <c r="Y277" i="1"/>
  <c r="Z277" i="1"/>
  <c r="AB277" i="1"/>
  <c r="AC277" i="1"/>
  <c r="AD277" i="1"/>
  <c r="AE277" i="1"/>
  <c r="AF277" i="1"/>
  <c r="AH254" i="1"/>
  <c r="AM254" i="1"/>
  <c r="AN254" i="1"/>
  <c r="K278" i="1"/>
  <c r="L278" i="1"/>
  <c r="M278" i="1"/>
  <c r="N278" i="1" s="1"/>
  <c r="V278" i="1"/>
  <c r="Y278" i="1"/>
  <c r="Z278" i="1"/>
  <c r="AB278" i="1"/>
  <c r="AC278" i="1"/>
  <c r="AD278" i="1"/>
  <c r="AE278" i="1"/>
  <c r="AF278" i="1"/>
  <c r="AH255" i="1"/>
  <c r="AM255" i="1"/>
  <c r="AN255" i="1"/>
  <c r="K279" i="1"/>
  <c r="L279" i="1"/>
  <c r="M279" i="1"/>
  <c r="N279" i="1" s="1"/>
  <c r="V279" i="1"/>
  <c r="Y279" i="1"/>
  <c r="Z279" i="1"/>
  <c r="AB279" i="1"/>
  <c r="AC279" i="1"/>
  <c r="AD279" i="1"/>
  <c r="AE279" i="1"/>
  <c r="AF279" i="1"/>
  <c r="AH256" i="1"/>
  <c r="AM256" i="1"/>
  <c r="AN256" i="1"/>
  <c r="K280" i="1"/>
  <c r="L280" i="1"/>
  <c r="M280" i="1"/>
  <c r="N280" i="1" s="1"/>
  <c r="V280" i="1"/>
  <c r="Y280" i="1"/>
  <c r="Z280" i="1"/>
  <c r="AB280" i="1"/>
  <c r="AC280" i="1"/>
  <c r="AD280" i="1"/>
  <c r="AE280" i="1"/>
  <c r="AF280" i="1"/>
  <c r="AH257" i="1"/>
  <c r="AM257" i="1"/>
  <c r="AN257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258" i="1"/>
  <c r="AM258" i="1"/>
  <c r="AN258" i="1"/>
  <c r="K195" i="1"/>
  <c r="L195" i="1"/>
  <c r="M195" i="1"/>
  <c r="N195" i="1" s="1"/>
  <c r="V195" i="1"/>
  <c r="Y195" i="1"/>
  <c r="Z195" i="1"/>
  <c r="AB195" i="1"/>
  <c r="AC195" i="1"/>
  <c r="AD195" i="1"/>
  <c r="AE195" i="1"/>
  <c r="AF195" i="1"/>
  <c r="AH259" i="1"/>
  <c r="AM259" i="1"/>
  <c r="AN259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260" i="1"/>
  <c r="AM260" i="1"/>
  <c r="AN260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AH261" i="1"/>
  <c r="AM261" i="1"/>
  <c r="AN261" i="1"/>
  <c r="K198" i="1"/>
  <c r="L198" i="1"/>
  <c r="M198" i="1"/>
  <c r="N198" i="1" s="1"/>
  <c r="V198" i="1"/>
  <c r="Y198" i="1"/>
  <c r="Z198" i="1"/>
  <c r="AA198" i="1" s="1"/>
  <c r="AB198" i="1"/>
  <c r="AC198" i="1"/>
  <c r="AD198" i="1"/>
  <c r="T198" i="1" s="1"/>
  <c r="AE198" i="1"/>
  <c r="AF198" i="1"/>
  <c r="AH262" i="1"/>
  <c r="AM262" i="1"/>
  <c r="AN262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63" i="1"/>
  <c r="AM263" i="1"/>
  <c r="AN263" i="1"/>
  <c r="K200" i="1"/>
  <c r="L200" i="1"/>
  <c r="M200" i="1"/>
  <c r="N200" i="1" s="1"/>
  <c r="V200" i="1"/>
  <c r="Y200" i="1"/>
  <c r="Z200" i="1"/>
  <c r="AB200" i="1"/>
  <c r="AC200" i="1"/>
  <c r="AD200" i="1"/>
  <c r="AE200" i="1"/>
  <c r="AF200" i="1"/>
  <c r="AH264" i="1"/>
  <c r="AM264" i="1"/>
  <c r="AN264" i="1"/>
  <c r="K201" i="1"/>
  <c r="L201" i="1"/>
  <c r="M201" i="1"/>
  <c r="N201" i="1" s="1"/>
  <c r="V201" i="1"/>
  <c r="S62" i="3" s="1"/>
  <c r="Y201" i="1"/>
  <c r="Z201" i="1"/>
  <c r="AB201" i="1"/>
  <c r="AC201" i="1"/>
  <c r="AD201" i="1"/>
  <c r="AE201" i="1"/>
  <c r="R62" i="3" s="1"/>
  <c r="AF201" i="1"/>
  <c r="AH265" i="1"/>
  <c r="AM265" i="1"/>
  <c r="AN265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66" i="1"/>
  <c r="AM266" i="1"/>
  <c r="AN266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67" i="1"/>
  <c r="AM267" i="1"/>
  <c r="AN267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68" i="1"/>
  <c r="AM268" i="1"/>
  <c r="AN268" i="1"/>
  <c r="K205" i="1"/>
  <c r="L205" i="1"/>
  <c r="M205" i="1"/>
  <c r="N205" i="1" s="1"/>
  <c r="V205" i="1"/>
  <c r="S56" i="3" s="1"/>
  <c r="Y205" i="1"/>
  <c r="Z205" i="1"/>
  <c r="AB205" i="1"/>
  <c r="AC205" i="1"/>
  <c r="AD205" i="1"/>
  <c r="AE205" i="1"/>
  <c r="R56" i="3" s="1"/>
  <c r="AF205" i="1"/>
  <c r="AH269" i="1"/>
  <c r="AM269" i="1"/>
  <c r="AN269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270" i="1"/>
  <c r="AM270" i="1"/>
  <c r="AN270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271" i="1"/>
  <c r="AM271" i="1"/>
  <c r="AN271" i="1"/>
  <c r="K208" i="1"/>
  <c r="L208" i="1"/>
  <c r="M208" i="1"/>
  <c r="N208" i="1" s="1"/>
  <c r="V208" i="1"/>
  <c r="S60" i="3" s="1"/>
  <c r="Y208" i="1"/>
  <c r="Z208" i="1"/>
  <c r="AB208" i="1"/>
  <c r="AC208" i="1"/>
  <c r="AD208" i="1"/>
  <c r="AE208" i="1"/>
  <c r="R60" i="3" s="1"/>
  <c r="AF208" i="1"/>
  <c r="AH272" i="1"/>
  <c r="AM272" i="1"/>
  <c r="AN272" i="1"/>
  <c r="K209" i="1"/>
  <c r="L209" i="1"/>
  <c r="M209" i="1"/>
  <c r="N209" i="1" s="1"/>
  <c r="V209" i="1"/>
  <c r="Y209" i="1"/>
  <c r="Z209" i="1"/>
  <c r="AB209" i="1"/>
  <c r="AC209" i="1"/>
  <c r="AD209" i="1"/>
  <c r="AE209" i="1"/>
  <c r="AF209" i="1"/>
  <c r="AH273" i="1"/>
  <c r="AM273" i="1"/>
  <c r="AN273" i="1"/>
  <c r="K210" i="1"/>
  <c r="L210" i="1"/>
  <c r="M210" i="1"/>
  <c r="N210" i="1"/>
  <c r="V210" i="1"/>
  <c r="Y210" i="1"/>
  <c r="Z210" i="1"/>
  <c r="AB210" i="1"/>
  <c r="AC210" i="1"/>
  <c r="AD210" i="1"/>
  <c r="AE210" i="1"/>
  <c r="AF210" i="1"/>
  <c r="AH274" i="1"/>
  <c r="AM274" i="1"/>
  <c r="AN274" i="1"/>
  <c r="K281" i="1"/>
  <c r="L281" i="1"/>
  <c r="M281" i="1"/>
  <c r="N281" i="1" s="1"/>
  <c r="V281" i="1"/>
  <c r="Y281" i="1"/>
  <c r="Z281" i="1"/>
  <c r="AB281" i="1"/>
  <c r="AC281" i="1"/>
  <c r="AD281" i="1"/>
  <c r="T281" i="1" s="1"/>
  <c r="AE281" i="1"/>
  <c r="AF281" i="1"/>
  <c r="AH275" i="1"/>
  <c r="AM275" i="1"/>
  <c r="AN275" i="1"/>
  <c r="K226" i="1"/>
  <c r="L226" i="1"/>
  <c r="M226" i="1"/>
  <c r="N226" i="1" s="1"/>
  <c r="V226" i="1"/>
  <c r="X226" i="1"/>
  <c r="Y226" i="1"/>
  <c r="Z226" i="1"/>
  <c r="AB226" i="1"/>
  <c r="AC226" i="1"/>
  <c r="AD226" i="1"/>
  <c r="T226" i="1" s="1"/>
  <c r="AE226" i="1"/>
  <c r="AF226" i="1"/>
  <c r="AH276" i="1"/>
  <c r="AM276" i="1"/>
  <c r="AN276" i="1"/>
  <c r="K227" i="1"/>
  <c r="L227" i="1"/>
  <c r="M227" i="1"/>
  <c r="N227" i="1" s="1"/>
  <c r="V227" i="1"/>
  <c r="Y227" i="1"/>
  <c r="Z227" i="1"/>
  <c r="AB227" i="1"/>
  <c r="AC227" i="1"/>
  <c r="AD227" i="1"/>
  <c r="AE227" i="1"/>
  <c r="AF227" i="1"/>
  <c r="AH277" i="1"/>
  <c r="AM277" i="1"/>
  <c r="AN277" i="1"/>
  <c r="K228" i="1"/>
  <c r="L228" i="1"/>
  <c r="M228" i="1"/>
  <c r="V228" i="1"/>
  <c r="Y228" i="1"/>
  <c r="Z228" i="1"/>
  <c r="AB228" i="1"/>
  <c r="AC228" i="1"/>
  <c r="AD228" i="1"/>
  <c r="AE228" i="1"/>
  <c r="AF228" i="1"/>
  <c r="AH278" i="1"/>
  <c r="AM278" i="1"/>
  <c r="AN278" i="1"/>
  <c r="K229" i="1"/>
  <c r="L229" i="1"/>
  <c r="M229" i="1"/>
  <c r="N229" i="1" s="1"/>
  <c r="V229" i="1"/>
  <c r="Y229" i="1"/>
  <c r="Z229" i="1"/>
  <c r="AB229" i="1"/>
  <c r="AC229" i="1"/>
  <c r="AD229" i="1"/>
  <c r="AE229" i="1"/>
  <c r="AF229" i="1"/>
  <c r="AH279" i="1"/>
  <c r="AM279" i="1"/>
  <c r="AN279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AF230" i="1"/>
  <c r="AH280" i="1"/>
  <c r="AM280" i="1"/>
  <c r="AN280" i="1"/>
  <c r="K231" i="1"/>
  <c r="L231" i="1"/>
  <c r="M231" i="1"/>
  <c r="N231" i="1" s="1"/>
  <c r="V231" i="1"/>
  <c r="Y231" i="1"/>
  <c r="Z231" i="1"/>
  <c r="AB231" i="1"/>
  <c r="AC231" i="1"/>
  <c r="AD231" i="1"/>
  <c r="AE231" i="1"/>
  <c r="AF231" i="1"/>
  <c r="AH281" i="1"/>
  <c r="AM281" i="1"/>
  <c r="AN281" i="1"/>
  <c r="M36" i="3"/>
  <c r="R36" i="3"/>
  <c r="S36" i="3"/>
  <c r="U36" i="3"/>
  <c r="T36" i="3" s="1"/>
  <c r="V36" i="3"/>
  <c r="X36" i="3"/>
  <c r="M8" i="3"/>
  <c r="R8" i="3"/>
  <c r="S8" i="3"/>
  <c r="U8" i="3"/>
  <c r="AD8" i="3" s="1"/>
  <c r="V8" i="3"/>
  <c r="X8" i="3"/>
  <c r="M9" i="3"/>
  <c r="R9" i="3"/>
  <c r="S9" i="3"/>
  <c r="U9" i="3"/>
  <c r="V9" i="3"/>
  <c r="X9" i="3"/>
  <c r="M24" i="3"/>
  <c r="R24" i="3"/>
  <c r="S24" i="3"/>
  <c r="U24" i="3"/>
  <c r="T24" i="3" s="1"/>
  <c r="V24" i="3"/>
  <c r="X24" i="3"/>
  <c r="M33" i="3"/>
  <c r="R33" i="3"/>
  <c r="S33" i="3"/>
  <c r="U33" i="3"/>
  <c r="T33" i="3" s="1"/>
  <c r="V33" i="3"/>
  <c r="X33" i="3"/>
  <c r="M58" i="3"/>
  <c r="U58" i="3"/>
  <c r="V58" i="3"/>
  <c r="X58" i="3"/>
  <c r="M13" i="3"/>
  <c r="R13" i="3"/>
  <c r="U13" i="3"/>
  <c r="V13" i="3"/>
  <c r="X13" i="3"/>
  <c r="M30" i="3"/>
  <c r="S30" i="3"/>
  <c r="U30" i="3"/>
  <c r="T30" i="3" s="1"/>
  <c r="V30" i="3"/>
  <c r="X30" i="3"/>
  <c r="M37" i="3"/>
  <c r="S37" i="3"/>
  <c r="U37" i="3"/>
  <c r="T37" i="3" s="1"/>
  <c r="V37" i="3"/>
  <c r="X37" i="3"/>
  <c r="M32" i="3"/>
  <c r="R32" i="3"/>
  <c r="U32" i="3"/>
  <c r="V32" i="3"/>
  <c r="X32" i="3"/>
  <c r="M42" i="3"/>
  <c r="R42" i="3"/>
  <c r="S42" i="3"/>
  <c r="U42" i="3"/>
  <c r="AE42" i="3" s="1"/>
  <c r="V42" i="3"/>
  <c r="X42" i="3"/>
  <c r="M28" i="3"/>
  <c r="R28" i="3"/>
  <c r="U28" i="3"/>
  <c r="AD28" i="3" s="1"/>
  <c r="V28" i="3"/>
  <c r="X28" i="3"/>
  <c r="M18" i="3"/>
  <c r="S18" i="3"/>
  <c r="U18" i="3"/>
  <c r="T18" i="3" s="1"/>
  <c r="V18" i="3"/>
  <c r="X18" i="3"/>
  <c r="M61" i="3"/>
  <c r="U61" i="3"/>
  <c r="AC61" i="3" s="1"/>
  <c r="V61" i="3"/>
  <c r="X61" i="3"/>
  <c r="M71" i="3"/>
  <c r="U71" i="3"/>
  <c r="AD71" i="3" s="1"/>
  <c r="V71" i="3"/>
  <c r="AE71" i="3" s="1"/>
  <c r="X71" i="3"/>
  <c r="M23" i="3"/>
  <c r="R23" i="3"/>
  <c r="S23" i="3"/>
  <c r="U23" i="3"/>
  <c r="V23" i="3"/>
  <c r="X23" i="3"/>
  <c r="AD23" i="3"/>
  <c r="M54" i="3"/>
  <c r="U54" i="3"/>
  <c r="T54" i="3" s="1"/>
  <c r="V54" i="3"/>
  <c r="X54" i="3"/>
  <c r="AD24" i="3"/>
  <c r="M72" i="3"/>
  <c r="S72" i="3"/>
  <c r="U72" i="3"/>
  <c r="AC72" i="3" s="1"/>
  <c r="V72" i="3"/>
  <c r="X72" i="3"/>
  <c r="M73" i="3"/>
  <c r="U73" i="3"/>
  <c r="T73" i="3" s="1"/>
  <c r="V73" i="3"/>
  <c r="X73" i="3"/>
  <c r="M57" i="3"/>
  <c r="U57" i="3"/>
  <c r="V57" i="3"/>
  <c r="X57" i="3"/>
  <c r="M38" i="3"/>
  <c r="R38" i="3"/>
  <c r="S38" i="3"/>
  <c r="U38" i="3"/>
  <c r="V38" i="3"/>
  <c r="X38" i="3"/>
  <c r="AC38" i="3"/>
  <c r="M74" i="3"/>
  <c r="U74" i="3"/>
  <c r="T74" i="3" s="1"/>
  <c r="V74" i="3"/>
  <c r="X74" i="3"/>
  <c r="M45" i="3"/>
  <c r="U45" i="3"/>
  <c r="AC45" i="3" s="1"/>
  <c r="V45" i="3"/>
  <c r="X45" i="3"/>
  <c r="M46" i="3"/>
  <c r="R46" i="3"/>
  <c r="S46" i="3"/>
  <c r="U46" i="3"/>
  <c r="AC46" i="3" s="1"/>
  <c r="V46" i="3"/>
  <c r="X46" i="3"/>
  <c r="M75" i="3"/>
  <c r="U75" i="3"/>
  <c r="AD75" i="3" s="1"/>
  <c r="V75" i="3"/>
  <c r="X75" i="3"/>
  <c r="M76" i="3"/>
  <c r="U76" i="3"/>
  <c r="AD76" i="3" s="1"/>
  <c r="V76" i="3"/>
  <c r="X76" i="3"/>
  <c r="M29" i="3"/>
  <c r="S29" i="3"/>
  <c r="U29" i="3"/>
  <c r="AC29" i="3" s="1"/>
  <c r="V29" i="3"/>
  <c r="X29" i="3"/>
  <c r="M21" i="3"/>
  <c r="U21" i="3"/>
  <c r="T21" i="3" s="1"/>
  <c r="V21" i="3"/>
  <c r="X21" i="3"/>
  <c r="M63" i="3"/>
  <c r="U63" i="3"/>
  <c r="AC63" i="3" s="1"/>
  <c r="V63" i="3"/>
  <c r="X63" i="3"/>
  <c r="M69" i="3"/>
  <c r="U69" i="3"/>
  <c r="T69" i="3" s="1"/>
  <c r="V69" i="3"/>
  <c r="X69" i="3"/>
  <c r="M15" i="3"/>
  <c r="U15" i="3"/>
  <c r="AC15" i="3" s="1"/>
  <c r="V15" i="3"/>
  <c r="X15" i="3"/>
  <c r="M14" i="3"/>
  <c r="R14" i="3"/>
  <c r="U14" i="3"/>
  <c r="T14" i="3" s="1"/>
  <c r="V14" i="3"/>
  <c r="X14" i="3"/>
  <c r="M55" i="3"/>
  <c r="U55" i="3"/>
  <c r="AD55" i="3" s="1"/>
  <c r="V55" i="3"/>
  <c r="X55" i="3"/>
  <c r="M43" i="3"/>
  <c r="U43" i="3"/>
  <c r="V43" i="3"/>
  <c r="X43" i="3"/>
  <c r="M47" i="3"/>
  <c r="S47" i="3"/>
  <c r="U47" i="3"/>
  <c r="AC47" i="3" s="1"/>
  <c r="V47" i="3"/>
  <c r="X47" i="3"/>
  <c r="M59" i="3"/>
  <c r="U59" i="3"/>
  <c r="T59" i="3" s="1"/>
  <c r="V59" i="3"/>
  <c r="X59" i="3"/>
  <c r="M77" i="3"/>
  <c r="S77" i="3"/>
  <c r="U77" i="3"/>
  <c r="V77" i="3"/>
  <c r="X77" i="3"/>
  <c r="AC77" i="3"/>
  <c r="M64" i="3"/>
  <c r="T64" i="3"/>
  <c r="U64" i="3"/>
  <c r="V64" i="3"/>
  <c r="X64" i="3"/>
  <c r="AC64" i="3"/>
  <c r="M12" i="3"/>
  <c r="U12" i="3"/>
  <c r="AC12" i="3" s="1"/>
  <c r="V12" i="3"/>
  <c r="X12" i="3"/>
  <c r="M11" i="3"/>
  <c r="R11" i="3"/>
  <c r="U11" i="3"/>
  <c r="T11" i="3" s="1"/>
  <c r="V11" i="3"/>
  <c r="X11" i="3"/>
  <c r="M44" i="3"/>
  <c r="U44" i="3"/>
  <c r="AD44" i="3" s="1"/>
  <c r="V44" i="3"/>
  <c r="X44" i="3"/>
  <c r="M39" i="3"/>
  <c r="U39" i="3"/>
  <c r="V39" i="3"/>
  <c r="X39" i="3"/>
  <c r="M31" i="3"/>
  <c r="S31" i="3"/>
  <c r="U31" i="3"/>
  <c r="AC31" i="3" s="1"/>
  <c r="V31" i="3"/>
  <c r="X31" i="3"/>
  <c r="M48" i="3"/>
  <c r="U48" i="3"/>
  <c r="T48" i="3" s="1"/>
  <c r="V48" i="3"/>
  <c r="X48" i="3"/>
  <c r="M49" i="3"/>
  <c r="U49" i="3"/>
  <c r="AC49" i="3" s="1"/>
  <c r="V49" i="3"/>
  <c r="X49" i="3"/>
  <c r="M7" i="3"/>
  <c r="S7" i="3"/>
  <c r="U7" i="3"/>
  <c r="V7" i="3"/>
  <c r="X7" i="3"/>
  <c r="M50" i="3"/>
  <c r="T50" i="3"/>
  <c r="U50" i="3"/>
  <c r="AC50" i="3" s="1"/>
  <c r="V50" i="3"/>
  <c r="X50" i="3"/>
  <c r="M22" i="3"/>
  <c r="U22" i="3"/>
  <c r="T22" i="3" s="1"/>
  <c r="V22" i="3"/>
  <c r="X22" i="3"/>
  <c r="AE55" i="3"/>
  <c r="M70" i="3"/>
  <c r="U70" i="3"/>
  <c r="V70" i="3"/>
  <c r="X70" i="3"/>
  <c r="M26" i="3"/>
  <c r="U26" i="3"/>
  <c r="V26" i="3"/>
  <c r="X26" i="3"/>
  <c r="M17" i="3"/>
  <c r="U17" i="3"/>
  <c r="AC17" i="3" s="1"/>
  <c r="V17" i="3"/>
  <c r="X17" i="3"/>
  <c r="M19" i="3"/>
  <c r="S19" i="3"/>
  <c r="U19" i="3"/>
  <c r="T19" i="3" s="1"/>
  <c r="V19" i="3"/>
  <c r="X19" i="3"/>
  <c r="M27" i="3"/>
  <c r="U27" i="3"/>
  <c r="AD27" i="3" s="1"/>
  <c r="V27" i="3"/>
  <c r="X27" i="3"/>
  <c r="M51" i="3"/>
  <c r="U51" i="3"/>
  <c r="AD51" i="3" s="1"/>
  <c r="V51" i="3"/>
  <c r="X51" i="3"/>
  <c r="M20" i="3"/>
  <c r="S20" i="3"/>
  <c r="U20" i="3"/>
  <c r="AC20" i="3" s="1"/>
  <c r="V20" i="3"/>
  <c r="X20" i="3"/>
  <c r="M62" i="3"/>
  <c r="U62" i="3"/>
  <c r="T62" i="3" s="1"/>
  <c r="V62" i="3"/>
  <c r="X62" i="3"/>
  <c r="M52" i="3"/>
  <c r="U52" i="3"/>
  <c r="AD52" i="3" s="1"/>
  <c r="V52" i="3"/>
  <c r="X52" i="3"/>
  <c r="M25" i="3"/>
  <c r="U25" i="3"/>
  <c r="V25" i="3"/>
  <c r="X25" i="3"/>
  <c r="M53" i="3"/>
  <c r="U53" i="3"/>
  <c r="AC53" i="3" s="1"/>
  <c r="V53" i="3"/>
  <c r="X53" i="3"/>
  <c r="M16" i="3"/>
  <c r="R16" i="3"/>
  <c r="U16" i="3"/>
  <c r="T16" i="3" s="1"/>
  <c r="V16" i="3"/>
  <c r="X16" i="3"/>
  <c r="M56" i="3"/>
  <c r="U56" i="3"/>
  <c r="T56" i="3" s="1"/>
  <c r="V56" i="3"/>
  <c r="X56" i="3"/>
  <c r="M40" i="3"/>
  <c r="U40" i="3"/>
  <c r="AC40" i="3" s="1"/>
  <c r="V40" i="3"/>
  <c r="X40" i="3"/>
  <c r="M10" i="3"/>
  <c r="U10" i="3"/>
  <c r="AC10" i="3" s="1"/>
  <c r="V10" i="3"/>
  <c r="X10" i="3"/>
  <c r="M41" i="3"/>
  <c r="R41" i="3"/>
  <c r="U41" i="3"/>
  <c r="T41" i="3" s="1"/>
  <c r="V41" i="3"/>
  <c r="X41" i="3"/>
  <c r="M65" i="3"/>
  <c r="U65" i="3"/>
  <c r="T65" i="3" s="1"/>
  <c r="V65" i="3"/>
  <c r="X65" i="3"/>
  <c r="AD72" i="3"/>
  <c r="M60" i="3"/>
  <c r="U60" i="3"/>
  <c r="AC60" i="3" s="1"/>
  <c r="V60" i="3"/>
  <c r="X60" i="3"/>
  <c r="M68" i="3"/>
  <c r="U68" i="3"/>
  <c r="AC68" i="3" s="1"/>
  <c r="V68" i="3"/>
  <c r="X68" i="3"/>
  <c r="M66" i="3"/>
  <c r="R66" i="3"/>
  <c r="U66" i="3"/>
  <c r="T66" i="3" s="1"/>
  <c r="V66" i="3"/>
  <c r="X66" i="3"/>
  <c r="M35" i="3"/>
  <c r="S35" i="3"/>
  <c r="U35" i="3"/>
  <c r="T35" i="3" s="1"/>
  <c r="V35" i="3"/>
  <c r="X35" i="3"/>
  <c r="M67" i="3"/>
  <c r="R67" i="3"/>
  <c r="U67" i="3"/>
  <c r="AC67" i="3" s="1"/>
  <c r="V67" i="3"/>
  <c r="X67" i="3"/>
  <c r="W58" i="3"/>
  <c r="W74" i="3"/>
  <c r="W64" i="3"/>
  <c r="W51" i="3"/>
  <c r="W42" i="3"/>
  <c r="W30" i="3"/>
  <c r="W29" i="3"/>
  <c r="W31" i="3"/>
  <c r="W53" i="3"/>
  <c r="W35" i="3"/>
  <c r="W44" i="3"/>
  <c r="W60" i="3"/>
  <c r="W22" i="3"/>
  <c r="W23" i="3"/>
  <c r="W41" i="3"/>
  <c r="W45" i="3"/>
  <c r="W50" i="3"/>
  <c r="W49" i="3"/>
  <c r="W32" i="3"/>
  <c r="W76" i="3"/>
  <c r="W39" i="3"/>
  <c r="W25" i="3"/>
  <c r="W71" i="3"/>
  <c r="W28" i="3"/>
  <c r="W21" i="3"/>
  <c r="W48" i="3"/>
  <c r="W16" i="3"/>
  <c r="W18" i="3"/>
  <c r="W70" i="3"/>
  <c r="W67" i="3"/>
  <c r="W20" i="3"/>
  <c r="W38" i="3"/>
  <c r="W66" i="3"/>
  <c r="W46" i="3"/>
  <c r="W68" i="3"/>
  <c r="W61" i="3"/>
  <c r="W69" i="3"/>
  <c r="W7" i="3"/>
  <c r="W9" i="3"/>
  <c r="W73" i="3"/>
  <c r="W37" i="3"/>
  <c r="W47" i="3"/>
  <c r="W17" i="3"/>
  <c r="W56" i="3"/>
  <c r="W75" i="3"/>
  <c r="W52" i="3"/>
  <c r="W12" i="3"/>
  <c r="W62" i="3"/>
  <c r="W77" i="3"/>
  <c r="W36" i="3"/>
  <c r="W15" i="3"/>
  <c r="W33" i="3"/>
  <c r="W8" i="3"/>
  <c r="W72" i="3"/>
  <c r="W43" i="3"/>
  <c r="W26" i="3"/>
  <c r="W13" i="3"/>
  <c r="W24" i="3"/>
  <c r="W57" i="3"/>
  <c r="W59" i="3"/>
  <c r="W19" i="3"/>
  <c r="W65" i="3"/>
  <c r="W55" i="3"/>
  <c r="W40" i="3"/>
  <c r="W11" i="3"/>
  <c r="W10" i="3"/>
  <c r="W27" i="3"/>
  <c r="W54" i="3"/>
  <c r="W14" i="3"/>
  <c r="W63" i="3"/>
  <c r="AG16" i="1"/>
  <c r="AG34" i="1"/>
  <c r="AG43" i="1"/>
  <c r="AG110" i="1"/>
  <c r="AG96" i="1"/>
  <c r="AG45" i="1"/>
  <c r="AG102" i="1"/>
  <c r="AG139" i="1"/>
  <c r="AG154" i="1"/>
  <c r="AG220" i="1"/>
  <c r="AG237" i="1"/>
  <c r="AG252" i="1"/>
  <c r="AG29" i="1"/>
  <c r="AG65" i="1"/>
  <c r="AG162" i="1"/>
  <c r="AG32" i="1"/>
  <c r="AG49" i="1"/>
  <c r="AG25" i="1"/>
  <c r="AG67" i="1"/>
  <c r="AG63" i="1"/>
  <c r="AG124" i="1"/>
  <c r="AG28" i="1"/>
  <c r="AG40" i="1"/>
  <c r="AG87" i="1"/>
  <c r="AG122" i="1"/>
  <c r="AG59" i="1"/>
  <c r="AG217" i="1"/>
  <c r="AG116" i="1"/>
  <c r="AG236" i="1"/>
  <c r="AG187" i="1"/>
  <c r="AG270" i="1"/>
  <c r="AG195" i="1"/>
  <c r="AG106" i="1"/>
  <c r="AG97" i="1"/>
  <c r="AG168" i="1"/>
  <c r="AG261" i="1"/>
  <c r="AG265" i="1"/>
  <c r="AG259" i="1"/>
  <c r="AG19" i="1"/>
  <c r="AG66" i="1"/>
  <c r="AG69" i="1"/>
  <c r="AG89" i="1"/>
  <c r="AG103" i="1"/>
  <c r="AG225" i="1"/>
  <c r="AG128" i="1"/>
  <c r="AG238" i="1"/>
  <c r="AG273" i="1"/>
  <c r="AG233" i="1"/>
  <c r="AG190" i="1"/>
  <c r="AG256" i="1"/>
  <c r="AG149" i="1"/>
  <c r="AG188" i="1"/>
  <c r="AG274" i="1"/>
  <c r="AG41" i="1"/>
  <c r="AG52" i="1"/>
  <c r="AG109" i="1"/>
  <c r="AG235" i="1"/>
  <c r="AG216" i="1"/>
  <c r="AG211" i="1"/>
  <c r="AG222" i="1"/>
  <c r="AG219" i="1"/>
  <c r="AG279" i="1"/>
  <c r="AG159" i="1"/>
  <c r="AG180" i="1"/>
  <c r="AG22" i="1"/>
  <c r="AG73" i="1"/>
  <c r="AG138" i="1"/>
  <c r="AG271" i="1"/>
  <c r="AG266" i="1"/>
  <c r="AG155" i="1"/>
  <c r="AG192" i="1"/>
  <c r="AG166" i="1"/>
  <c r="AG203" i="1"/>
  <c r="AG21" i="1"/>
  <c r="AG71" i="1"/>
  <c r="AG64" i="1"/>
  <c r="AG88" i="1"/>
  <c r="AG127" i="1"/>
  <c r="AG183" i="1"/>
  <c r="AG178" i="1"/>
  <c r="AG95" i="1"/>
  <c r="AG184" i="1"/>
  <c r="AG173" i="1"/>
  <c r="AG18" i="1"/>
  <c r="AG50" i="1"/>
  <c r="AG79" i="1"/>
  <c r="AG94" i="1"/>
  <c r="AG61" i="1"/>
  <c r="AG100" i="1"/>
  <c r="AG26" i="1"/>
  <c r="AG17" i="1"/>
  <c r="AG82" i="1"/>
  <c r="AG92" i="1"/>
  <c r="AG111" i="1"/>
  <c r="AG120" i="1"/>
  <c r="AG136" i="1"/>
  <c r="AG164" i="1"/>
  <c r="AG212" i="1"/>
  <c r="AG181" i="1"/>
  <c r="AG231" i="1"/>
  <c r="AG115" i="1"/>
  <c r="AG137" i="1"/>
  <c r="AG228" i="1"/>
  <c r="AG160" i="1"/>
  <c r="AG255" i="1"/>
  <c r="AG226" i="1"/>
  <c r="AG37" i="1"/>
  <c r="AG75" i="1"/>
  <c r="AG114" i="1"/>
  <c r="AG44" i="1"/>
  <c r="AG147" i="1"/>
  <c r="AG134" i="1"/>
  <c r="AG152" i="1"/>
  <c r="AG172" i="1"/>
  <c r="AG272" i="1"/>
  <c r="AG167" i="1"/>
  <c r="AG161" i="1"/>
  <c r="AG269" i="1"/>
  <c r="AG243" i="1"/>
  <c r="AG207" i="1"/>
  <c r="AG229" i="1"/>
  <c r="AG70" i="1"/>
  <c r="AG118" i="1"/>
  <c r="AG135" i="1"/>
  <c r="AG113" i="1"/>
  <c r="AG175" i="1"/>
  <c r="AG171" i="1"/>
  <c r="AG177" i="1"/>
  <c r="AG193" i="1"/>
  <c r="AG210" i="1"/>
  <c r="AG189" i="1"/>
  <c r="AG275" i="1"/>
  <c r="AG83" i="1"/>
  <c r="AG105" i="1"/>
  <c r="AG153" i="1"/>
  <c r="AG276" i="1"/>
  <c r="AG244" i="1"/>
  <c r="AG227" i="1"/>
  <c r="AG257" i="1"/>
  <c r="AG251" i="1"/>
  <c r="AG35" i="1"/>
  <c r="AG58" i="1"/>
  <c r="AG68" i="1"/>
  <c r="AG93" i="1"/>
  <c r="AG221" i="1"/>
  <c r="AG214" i="1"/>
  <c r="AG72" i="1"/>
  <c r="AG224" i="1"/>
  <c r="AG268" i="1"/>
  <c r="AG62" i="1"/>
  <c r="AG107" i="1"/>
  <c r="AG57" i="1"/>
  <c r="AG123" i="1"/>
  <c r="AG142" i="1"/>
  <c r="AG179" i="1"/>
  <c r="AG241" i="1"/>
  <c r="AG239" i="1"/>
  <c r="AG158" i="1"/>
  <c r="AG232" i="1"/>
  <c r="AG200" i="1"/>
  <c r="AG20" i="1"/>
  <c r="AG48" i="1"/>
  <c r="AG99" i="1"/>
  <c r="AG150" i="1"/>
  <c r="AG78" i="1"/>
  <c r="AG54" i="1"/>
  <c r="AG47" i="1"/>
  <c r="AG223" i="1"/>
  <c r="AG191" i="1"/>
  <c r="AG14" i="1"/>
  <c r="AG131" i="1"/>
  <c r="AG254" i="1"/>
  <c r="AG263" i="1"/>
  <c r="AG281" i="1"/>
  <c r="AG38" i="1"/>
  <c r="AG101" i="1"/>
  <c r="AG260" i="1"/>
  <c r="AG230" i="1"/>
  <c r="AG80" i="1"/>
  <c r="AG125" i="1"/>
  <c r="AG145" i="1"/>
  <c r="AG15" i="1"/>
  <c r="AG77" i="1"/>
  <c r="AG264" i="1"/>
  <c r="AG117" i="1"/>
  <c r="AG112" i="1"/>
  <c r="AG151" i="1"/>
  <c r="AG24" i="1"/>
  <c r="AG176" i="1"/>
  <c r="AG126" i="1"/>
  <c r="AG56" i="1"/>
  <c r="AG31" i="1"/>
  <c r="AG60" i="1"/>
  <c r="AG194" i="1"/>
  <c r="AG146" i="1"/>
  <c r="AG204" i="1"/>
  <c r="AG108" i="1"/>
  <c r="AG215" i="1"/>
  <c r="AG163" i="1"/>
  <c r="AG240" i="1"/>
  <c r="AG165" i="1"/>
  <c r="AG23" i="1"/>
  <c r="AG76" i="1"/>
  <c r="AG104" i="1"/>
  <c r="AG280" i="1"/>
  <c r="AG208" i="1"/>
  <c r="AG156" i="1"/>
  <c r="AG98" i="1"/>
  <c r="AG258" i="1"/>
  <c r="AG185" i="1"/>
  <c r="AG201" i="1"/>
  <c r="AG30" i="1"/>
  <c r="AG86" i="1"/>
  <c r="AG130" i="1"/>
  <c r="AG245" i="1"/>
  <c r="AG196" i="1"/>
  <c r="AG249" i="1"/>
  <c r="AG242" i="1"/>
  <c r="AG209" i="1"/>
  <c r="AG277" i="1"/>
  <c r="AG262" i="1"/>
  <c r="AG36" i="1"/>
  <c r="AG85" i="1"/>
  <c r="AG132" i="1"/>
  <c r="AG199" i="1"/>
  <c r="AG27" i="1"/>
  <c r="AG53" i="1"/>
  <c r="AG133" i="1"/>
  <c r="AG186" i="1"/>
  <c r="AG42" i="1"/>
  <c r="AG267" i="1"/>
  <c r="AG182" i="1"/>
  <c r="AG169" i="1"/>
  <c r="AG55" i="1"/>
  <c r="AG206" i="1"/>
  <c r="AG121" i="1"/>
  <c r="AG174" i="1"/>
  <c r="AG213" i="1"/>
  <c r="AG253" i="1"/>
  <c r="AG278" i="1"/>
  <c r="AG33" i="1"/>
  <c r="AG250" i="1"/>
  <c r="AG170" i="1"/>
  <c r="AG39" i="1"/>
  <c r="AG46" i="1"/>
  <c r="AG81" i="1"/>
  <c r="AG246" i="1"/>
  <c r="AG84" i="1"/>
  <c r="AG144" i="1"/>
  <c r="AG90" i="1"/>
  <c r="AG141" i="1"/>
  <c r="AG202" i="1"/>
  <c r="AG140" i="1"/>
  <c r="AG218" i="1"/>
  <c r="AG205" i="1"/>
  <c r="AG74" i="1"/>
  <c r="AG119" i="1"/>
  <c r="AG234" i="1"/>
  <c r="AG247" i="1"/>
  <c r="AG248" i="1"/>
  <c r="AG51" i="1"/>
  <c r="AG129" i="1"/>
  <c r="AG148" i="1"/>
  <c r="AG197" i="1"/>
  <c r="AG91" i="1"/>
  <c r="AG143" i="1"/>
  <c r="AG198" i="1"/>
  <c r="AG157" i="1"/>
  <c r="S52" i="3" l="1"/>
  <c r="R77" i="3"/>
  <c r="R15" i="3"/>
  <c r="AA189" i="1"/>
  <c r="AA267" i="1"/>
  <c r="AA87" i="1"/>
  <c r="AA50" i="1"/>
  <c r="X158" i="1"/>
  <c r="X156" i="1"/>
  <c r="X154" i="1"/>
  <c r="R43" i="3"/>
  <c r="S73" i="3"/>
  <c r="AA224" i="1"/>
  <c r="AA69" i="1"/>
  <c r="AA67" i="1"/>
  <c r="T253" i="1"/>
  <c r="X254" i="1"/>
  <c r="T251" i="1"/>
  <c r="U251" i="1" s="1"/>
  <c r="S251" i="1" s="1"/>
  <c r="X251" i="1"/>
  <c r="T239" i="1"/>
  <c r="X239" i="1"/>
  <c r="X80" i="1"/>
  <c r="T80" i="1"/>
  <c r="R20" i="3"/>
  <c r="R27" i="3"/>
  <c r="S40" i="3"/>
  <c r="S16" i="3"/>
  <c r="S75" i="3"/>
  <c r="S76" i="3"/>
  <c r="S63" i="3"/>
  <c r="X157" i="1"/>
  <c r="S41" i="3"/>
  <c r="S10" i="3"/>
  <c r="S68" i="3"/>
  <c r="R76" i="3"/>
  <c r="AA276" i="1"/>
  <c r="X255" i="1"/>
  <c r="AA253" i="1"/>
  <c r="AA245" i="1"/>
  <c r="AA221" i="1"/>
  <c r="AA158" i="1"/>
  <c r="X147" i="1"/>
  <c r="AA80" i="1"/>
  <c r="X79" i="1"/>
  <c r="X76" i="1"/>
  <c r="X64" i="1"/>
  <c r="AA55" i="1"/>
  <c r="AA23" i="1"/>
  <c r="AA173" i="1"/>
  <c r="AA254" i="1"/>
  <c r="W254" i="1" s="1"/>
  <c r="AA248" i="1"/>
  <c r="AA237" i="1"/>
  <c r="AA72" i="1"/>
  <c r="AA24" i="1"/>
  <c r="X159" i="1"/>
  <c r="X155" i="1"/>
  <c r="X277" i="1"/>
  <c r="X174" i="1"/>
  <c r="AI173" i="1"/>
  <c r="U173" i="1"/>
  <c r="S173" i="1" s="1"/>
  <c r="W173" i="1"/>
  <c r="X173" i="1"/>
  <c r="R52" i="3"/>
  <c r="R19" i="3"/>
  <c r="R49" i="3"/>
  <c r="AE45" i="3"/>
  <c r="S21" i="3"/>
  <c r="T45" i="3"/>
  <c r="AC74" i="3"/>
  <c r="AE61" i="3"/>
  <c r="AD45" i="3"/>
  <c r="AE63" i="3"/>
  <c r="S28" i="3"/>
  <c r="AE58" i="3"/>
  <c r="H3" i="6"/>
  <c r="G3" i="6"/>
  <c r="I3" i="6"/>
  <c r="J3" i="6"/>
  <c r="R73" i="3"/>
  <c r="AA172" i="1"/>
  <c r="AA143" i="1"/>
  <c r="X110" i="1"/>
  <c r="X88" i="1"/>
  <c r="X47" i="1"/>
  <c r="X43" i="1"/>
  <c r="X24" i="1"/>
  <c r="X40" i="1"/>
  <c r="X36" i="1"/>
  <c r="S67" i="3"/>
  <c r="AC27" i="3"/>
  <c r="S12" i="3"/>
  <c r="S15" i="3"/>
  <c r="T46" i="3"/>
  <c r="AA242" i="1"/>
  <c r="W242" i="1" s="1"/>
  <c r="AD63" i="3"/>
  <c r="S43" i="3"/>
  <c r="AC14" i="3"/>
  <c r="T255" i="1"/>
  <c r="U255" i="1" s="1"/>
  <c r="S255" i="1" s="1"/>
  <c r="AA238" i="1"/>
  <c r="AA212" i="1"/>
  <c r="AA163" i="1"/>
  <c r="X135" i="1"/>
  <c r="AA125" i="1"/>
  <c r="AA119" i="1"/>
  <c r="X87" i="1"/>
  <c r="AA83" i="1"/>
  <c r="W83" i="1" s="1"/>
  <c r="AA76" i="1"/>
  <c r="X75" i="1"/>
  <c r="X72" i="1"/>
  <c r="AA66" i="1"/>
  <c r="AA57" i="1"/>
  <c r="X56" i="1"/>
  <c r="X54" i="1"/>
  <c r="X16" i="1"/>
  <c r="X39" i="1"/>
  <c r="AA229" i="1"/>
  <c r="AA206" i="1"/>
  <c r="X195" i="1"/>
  <c r="AC30" i="3"/>
  <c r="AC24" i="3"/>
  <c r="AA281" i="1"/>
  <c r="R63" i="3"/>
  <c r="R72" i="3"/>
  <c r="AC18" i="3"/>
  <c r="AA203" i="1"/>
  <c r="X198" i="1"/>
  <c r="T195" i="1"/>
  <c r="AA194" i="1"/>
  <c r="AA192" i="1"/>
  <c r="AA190" i="1"/>
  <c r="AA186" i="1"/>
  <c r="X183" i="1"/>
  <c r="X179" i="1"/>
  <c r="X262" i="1"/>
  <c r="AA167" i="1"/>
  <c r="AA261" i="1"/>
  <c r="AA247" i="1"/>
  <c r="X236" i="1"/>
  <c r="AA234" i="1"/>
  <c r="AA232" i="1"/>
  <c r="X223" i="1"/>
  <c r="X221" i="1"/>
  <c r="AA140" i="1"/>
  <c r="AA134" i="1"/>
  <c r="W134" i="1" s="1"/>
  <c r="X92" i="1"/>
  <c r="AA88" i="1"/>
  <c r="W88" i="1" s="1"/>
  <c r="AA86" i="1"/>
  <c r="X70" i="1"/>
  <c r="AA47" i="1"/>
  <c r="T24" i="1"/>
  <c r="X42" i="1"/>
  <c r="X38" i="1"/>
  <c r="AC51" i="3"/>
  <c r="T51" i="3"/>
  <c r="AD60" i="3"/>
  <c r="AD59" i="3"/>
  <c r="AD57" i="3"/>
  <c r="AC22" i="3"/>
  <c r="AD47" i="3"/>
  <c r="AE47" i="3"/>
  <c r="T15" i="3"/>
  <c r="AC69" i="3"/>
  <c r="AD36" i="3"/>
  <c r="AC21" i="3"/>
  <c r="AD33" i="3"/>
  <c r="AC54" i="3"/>
  <c r="AC8" i="3"/>
  <c r="AC36" i="3"/>
  <c r="AA205" i="1"/>
  <c r="AA197" i="1"/>
  <c r="W197" i="1" s="1"/>
  <c r="AA272" i="1"/>
  <c r="X191" i="1"/>
  <c r="X188" i="1"/>
  <c r="AA188" i="1"/>
  <c r="W188" i="1" s="1"/>
  <c r="AA185" i="1"/>
  <c r="AA271" i="1"/>
  <c r="W271" i="1" s="1"/>
  <c r="X268" i="1"/>
  <c r="AA264" i="1"/>
  <c r="W264" i="1" s="1"/>
  <c r="AA182" i="1"/>
  <c r="AA177" i="1"/>
  <c r="W177" i="1" s="1"/>
  <c r="AA171" i="1"/>
  <c r="X164" i="1"/>
  <c r="X246" i="1"/>
  <c r="X213" i="1"/>
  <c r="AA154" i="1"/>
  <c r="X144" i="1"/>
  <c r="X143" i="1"/>
  <c r="X120" i="1"/>
  <c r="X60" i="1"/>
  <c r="AA53" i="1"/>
  <c r="W53" i="1" s="1"/>
  <c r="AE39" i="3"/>
  <c r="AE75" i="3"/>
  <c r="X207" i="1"/>
  <c r="T262" i="1"/>
  <c r="U262" i="1" s="1"/>
  <c r="S262" i="1" s="1"/>
  <c r="X243" i="1"/>
  <c r="AA235" i="1"/>
  <c r="W235" i="1" s="1"/>
  <c r="AA220" i="1"/>
  <c r="X219" i="1"/>
  <c r="X214" i="1"/>
  <c r="X160" i="1"/>
  <c r="X152" i="1"/>
  <c r="AA142" i="1"/>
  <c r="X139" i="1"/>
  <c r="X136" i="1"/>
  <c r="AA133" i="1"/>
  <c r="AA131" i="1"/>
  <c r="W131" i="1" s="1"/>
  <c r="AA99" i="1"/>
  <c r="AA95" i="1"/>
  <c r="W95" i="1" s="1"/>
  <c r="AA93" i="1"/>
  <c r="X45" i="1"/>
  <c r="AA15" i="1"/>
  <c r="AA191" i="1"/>
  <c r="W191" i="1" s="1"/>
  <c r="X187" i="1"/>
  <c r="AA270" i="1"/>
  <c r="W270" i="1" s="1"/>
  <c r="AA178" i="1"/>
  <c r="X247" i="1"/>
  <c r="AA236" i="1"/>
  <c r="AA151" i="1"/>
  <c r="W151" i="1" s="1"/>
  <c r="AA138" i="1"/>
  <c r="AA135" i="1"/>
  <c r="W135" i="1" s="1"/>
  <c r="X131" i="1"/>
  <c r="AA106" i="1"/>
  <c r="W106" i="1" s="1"/>
  <c r="AA98" i="1"/>
  <c r="AA68" i="1"/>
  <c r="AA52" i="1"/>
  <c r="AA31" i="1"/>
  <c r="W31" i="1" s="1"/>
  <c r="AA209" i="1"/>
  <c r="AA202" i="1"/>
  <c r="X199" i="1"/>
  <c r="X278" i="1"/>
  <c r="AA278" i="1"/>
  <c r="AA273" i="1"/>
  <c r="T184" i="1"/>
  <c r="AA266" i="1"/>
  <c r="W266" i="1" s="1"/>
  <c r="AA183" i="1"/>
  <c r="AA181" i="1"/>
  <c r="W181" i="1" s="1"/>
  <c r="AA179" i="1"/>
  <c r="AA174" i="1"/>
  <c r="W174" i="1" s="1"/>
  <c r="X172" i="1"/>
  <c r="X169" i="1"/>
  <c r="X165" i="1"/>
  <c r="AA165" i="1"/>
  <c r="W165" i="1" s="1"/>
  <c r="AA260" i="1"/>
  <c r="X259" i="1"/>
  <c r="AA251" i="1"/>
  <c r="X250" i="1"/>
  <c r="AA225" i="1"/>
  <c r="AA222" i="1"/>
  <c r="W222" i="1" s="1"/>
  <c r="AA216" i="1"/>
  <c r="AA214" i="1"/>
  <c r="W214" i="1" s="1"/>
  <c r="AA213" i="1"/>
  <c r="AA162" i="1"/>
  <c r="T152" i="1"/>
  <c r="AA149" i="1"/>
  <c r="W149" i="1" s="1"/>
  <c r="AA147" i="1"/>
  <c r="AA136" i="1"/>
  <c r="W136" i="1" s="1"/>
  <c r="X132" i="1"/>
  <c r="AA132" i="1"/>
  <c r="X126" i="1"/>
  <c r="X124" i="1"/>
  <c r="AA122" i="1"/>
  <c r="X107" i="1"/>
  <c r="X106" i="1"/>
  <c r="X96" i="1"/>
  <c r="X71" i="1"/>
  <c r="T70" i="1"/>
  <c r="X62" i="1"/>
  <c r="X55" i="1"/>
  <c r="T54" i="1"/>
  <c r="AA48" i="1"/>
  <c r="W48" i="1" s="1"/>
  <c r="AA30" i="1"/>
  <c r="AA19" i="1"/>
  <c r="W19" i="1" s="1"/>
  <c r="AA210" i="1"/>
  <c r="AA204" i="1"/>
  <c r="W204" i="1" s="1"/>
  <c r="AA279" i="1"/>
  <c r="AA277" i="1"/>
  <c r="AA168" i="1"/>
  <c r="AA166" i="1"/>
  <c r="W166" i="1" s="1"/>
  <c r="AA164" i="1"/>
  <c r="AA257" i="1"/>
  <c r="W257" i="1" s="1"/>
  <c r="AA244" i="1"/>
  <c r="AA233" i="1"/>
  <c r="W233" i="1" s="1"/>
  <c r="AA152" i="1"/>
  <c r="AA123" i="1"/>
  <c r="AA105" i="1"/>
  <c r="X104" i="1"/>
  <c r="X99" i="1"/>
  <c r="AA97" i="1"/>
  <c r="W97" i="1" s="1"/>
  <c r="AA90" i="1"/>
  <c r="X84" i="1"/>
  <c r="AA82" i="1"/>
  <c r="AA74" i="1"/>
  <c r="AA49" i="1"/>
  <c r="AA32" i="1"/>
  <c r="T32" i="1"/>
  <c r="AA280" i="1"/>
  <c r="W280" i="1" s="1"/>
  <c r="X192" i="1"/>
  <c r="AA246" i="1"/>
  <c r="W246" i="1" s="1"/>
  <c r="AA241" i="1"/>
  <c r="AA146" i="1"/>
  <c r="W146" i="1" s="1"/>
  <c r="X140" i="1"/>
  <c r="AA228" i="1"/>
  <c r="X208" i="1"/>
  <c r="X204" i="1"/>
  <c r="X203" i="1"/>
  <c r="X274" i="1"/>
  <c r="AA274" i="1"/>
  <c r="AA187" i="1"/>
  <c r="W187" i="1" s="1"/>
  <c r="X267" i="1"/>
  <c r="X264" i="1"/>
  <c r="X180" i="1"/>
  <c r="AA180" i="1"/>
  <c r="X176" i="1"/>
  <c r="AA169" i="1"/>
  <c r="W169" i="1" s="1"/>
  <c r="X168" i="1"/>
  <c r="T243" i="1"/>
  <c r="U243" i="1" s="1"/>
  <c r="S243" i="1" s="1"/>
  <c r="AA219" i="1"/>
  <c r="X217" i="1"/>
  <c r="X215" i="1"/>
  <c r="X162" i="1"/>
  <c r="X148" i="1"/>
  <c r="AA148" i="1"/>
  <c r="W148" i="1" s="1"/>
  <c r="AA130" i="1"/>
  <c r="T128" i="1"/>
  <c r="U128" i="1" s="1"/>
  <c r="S128" i="1" s="1"/>
  <c r="AA126" i="1"/>
  <c r="X123" i="1"/>
  <c r="AA118" i="1"/>
  <c r="AA115" i="1"/>
  <c r="W115" i="1" s="1"/>
  <c r="AA113" i="1"/>
  <c r="X112" i="1"/>
  <c r="X111" i="1"/>
  <c r="AA109" i="1"/>
  <c r="AA107" i="1"/>
  <c r="AA101" i="1"/>
  <c r="W101" i="1" s="1"/>
  <c r="AA91" i="1"/>
  <c r="AA78" i="1"/>
  <c r="W78" i="1" s="1"/>
  <c r="AA71" i="1"/>
  <c r="AA65" i="1"/>
  <c r="AA62" i="1"/>
  <c r="X52" i="1"/>
  <c r="X50" i="1"/>
  <c r="X49" i="1"/>
  <c r="AA37" i="1"/>
  <c r="AA27" i="1"/>
  <c r="W27" i="1" s="1"/>
  <c r="X20" i="1"/>
  <c r="AA16" i="1"/>
  <c r="X228" i="1"/>
  <c r="T228" i="1"/>
  <c r="U228" i="1" s="1"/>
  <c r="S228" i="1" s="1"/>
  <c r="X229" i="1"/>
  <c r="T229" i="1"/>
  <c r="U229" i="1" s="1"/>
  <c r="S229" i="1" s="1"/>
  <c r="X202" i="1"/>
  <c r="T278" i="1"/>
  <c r="T274" i="1"/>
  <c r="AA193" i="1"/>
  <c r="W193" i="1" s="1"/>
  <c r="T188" i="1"/>
  <c r="X271" i="1"/>
  <c r="AA265" i="1"/>
  <c r="T180" i="1"/>
  <c r="U180" i="1" s="1"/>
  <c r="S180" i="1" s="1"/>
  <c r="X175" i="1"/>
  <c r="AA170" i="1"/>
  <c r="T165" i="1"/>
  <c r="X258" i="1"/>
  <c r="AA252" i="1"/>
  <c r="T247" i="1"/>
  <c r="U247" i="1" s="1"/>
  <c r="S247" i="1" s="1"/>
  <c r="X242" i="1"/>
  <c r="X235" i="1"/>
  <c r="X225" i="1"/>
  <c r="AA215" i="1"/>
  <c r="AA211" i="1"/>
  <c r="AA161" i="1"/>
  <c r="W161" i="1" s="1"/>
  <c r="AA156" i="1"/>
  <c r="AA155" i="1"/>
  <c r="W155" i="1" s="1"/>
  <c r="T277" i="1"/>
  <c r="T187" i="1"/>
  <c r="U187" i="1" s="1"/>
  <c r="S187" i="1" s="1"/>
  <c r="T179" i="1"/>
  <c r="T164" i="1"/>
  <c r="U164" i="1" s="1"/>
  <c r="S164" i="1" s="1"/>
  <c r="T246" i="1"/>
  <c r="T236" i="1"/>
  <c r="U236" i="1" s="1"/>
  <c r="S236" i="1" s="1"/>
  <c r="AA217" i="1"/>
  <c r="X211" i="1"/>
  <c r="T156" i="1"/>
  <c r="AA227" i="1"/>
  <c r="W227" i="1" s="1"/>
  <c r="AA200" i="1"/>
  <c r="AA199" i="1"/>
  <c r="W199" i="1" s="1"/>
  <c r="AA195" i="1"/>
  <c r="X273" i="1"/>
  <c r="AA184" i="1"/>
  <c r="AA176" i="1"/>
  <c r="AA259" i="1"/>
  <c r="AA243" i="1"/>
  <c r="AA157" i="1"/>
  <c r="AA231" i="1"/>
  <c r="AA226" i="1"/>
  <c r="X210" i="1"/>
  <c r="AA207" i="1"/>
  <c r="X206" i="1"/>
  <c r="AA201" i="1"/>
  <c r="AA269" i="1"/>
  <c r="W269" i="1" s="1"/>
  <c r="AA268" i="1"/>
  <c r="AA263" i="1"/>
  <c r="W263" i="1" s="1"/>
  <c r="AA262" i="1"/>
  <c r="AA256" i="1"/>
  <c r="W256" i="1" s="1"/>
  <c r="AA255" i="1"/>
  <c r="AA240" i="1"/>
  <c r="W240" i="1" s="1"/>
  <c r="AA239" i="1"/>
  <c r="X237" i="1"/>
  <c r="X233" i="1"/>
  <c r="AA218" i="1"/>
  <c r="W218" i="1" s="1"/>
  <c r="AA159" i="1"/>
  <c r="T148" i="1"/>
  <c r="U148" i="1" s="1"/>
  <c r="S148" i="1" s="1"/>
  <c r="AA137" i="1"/>
  <c r="T135" i="1"/>
  <c r="U135" i="1" s="1"/>
  <c r="S135" i="1" s="1"/>
  <c r="T132" i="1"/>
  <c r="T122" i="1"/>
  <c r="U122" i="1" s="1"/>
  <c r="S122" i="1" s="1"/>
  <c r="X98" i="1"/>
  <c r="X83" i="1"/>
  <c r="AA61" i="1"/>
  <c r="AA59" i="1"/>
  <c r="W59" i="1" s="1"/>
  <c r="T55" i="1"/>
  <c r="AA54" i="1"/>
  <c r="W54" i="1" s="1"/>
  <c r="T50" i="1"/>
  <c r="AA45" i="1"/>
  <c r="AA42" i="1"/>
  <c r="AA39" i="1"/>
  <c r="AA38" i="1"/>
  <c r="AA34" i="1"/>
  <c r="W34" i="1" s="1"/>
  <c r="AA29" i="1"/>
  <c r="X28" i="1"/>
  <c r="AA20" i="1"/>
  <c r="T20" i="1"/>
  <c r="U20" i="1" s="1"/>
  <c r="AA18" i="1"/>
  <c r="T147" i="1"/>
  <c r="U147" i="1" s="1"/>
  <c r="S147" i="1" s="1"/>
  <c r="T131" i="1"/>
  <c r="T107" i="1"/>
  <c r="U107" i="1" s="1"/>
  <c r="S107" i="1" s="1"/>
  <c r="AA70" i="1"/>
  <c r="X68" i="1"/>
  <c r="X67" i="1"/>
  <c r="X66" i="1"/>
  <c r="AA14" i="1"/>
  <c r="AA153" i="1"/>
  <c r="AA150" i="1"/>
  <c r="AA145" i="1"/>
  <c r="AA144" i="1"/>
  <c r="AA129" i="1"/>
  <c r="AA127" i="1"/>
  <c r="T124" i="1"/>
  <c r="U124" i="1" s="1"/>
  <c r="S124" i="1" s="1"/>
  <c r="AA121" i="1"/>
  <c r="AA117" i="1"/>
  <c r="W117" i="1" s="1"/>
  <c r="AA112" i="1"/>
  <c r="AA110" i="1"/>
  <c r="W110" i="1" s="1"/>
  <c r="AA104" i="1"/>
  <c r="AA102" i="1"/>
  <c r="AA94" i="1"/>
  <c r="AA89" i="1"/>
  <c r="AA85" i="1"/>
  <c r="AA81" i="1"/>
  <c r="AA79" i="1"/>
  <c r="AA77" i="1"/>
  <c r="W77" i="1" s="1"/>
  <c r="AA75" i="1"/>
  <c r="AA73" i="1"/>
  <c r="AA63" i="1"/>
  <c r="AA58" i="1"/>
  <c r="X51" i="1"/>
  <c r="AA46" i="1"/>
  <c r="W46" i="1" s="1"/>
  <c r="AA41" i="1"/>
  <c r="AA40" i="1"/>
  <c r="W40" i="1" s="1"/>
  <c r="T37" i="1"/>
  <c r="AA36" i="1"/>
  <c r="AA28" i="1"/>
  <c r="AA26" i="1"/>
  <c r="W26" i="1" s="1"/>
  <c r="AA21" i="1"/>
  <c r="X153" i="1"/>
  <c r="AA141" i="1"/>
  <c r="AA124" i="1"/>
  <c r="W124" i="1" s="1"/>
  <c r="AA120" i="1"/>
  <c r="AA114" i="1"/>
  <c r="W114" i="1" s="1"/>
  <c r="T100" i="1"/>
  <c r="T98" i="1"/>
  <c r="U98" i="1" s="1"/>
  <c r="S98" i="1" s="1"/>
  <c r="AA96" i="1"/>
  <c r="AA22" i="1"/>
  <c r="AI276" i="1"/>
  <c r="U226" i="1"/>
  <c r="S226" i="1" s="1"/>
  <c r="AI281" i="1"/>
  <c r="AI280" i="1"/>
  <c r="U230" i="1"/>
  <c r="S230" i="1" s="1"/>
  <c r="AI279" i="1"/>
  <c r="AI263" i="1"/>
  <c r="U199" i="1"/>
  <c r="S199" i="1" s="1"/>
  <c r="AI252" i="1"/>
  <c r="AI247" i="1"/>
  <c r="U192" i="1"/>
  <c r="S192" i="1" s="1"/>
  <c r="AI269" i="1"/>
  <c r="AI268" i="1"/>
  <c r="U204" i="1"/>
  <c r="S204" i="1" s="1"/>
  <c r="U203" i="1"/>
  <c r="S203" i="1" s="1"/>
  <c r="AI267" i="1"/>
  <c r="AI256" i="1"/>
  <c r="AI251" i="1"/>
  <c r="U274" i="1"/>
  <c r="S274" i="1" s="1"/>
  <c r="AI239" i="1"/>
  <c r="U184" i="1"/>
  <c r="S184" i="1" s="1"/>
  <c r="AI231" i="1"/>
  <c r="U264" i="1"/>
  <c r="S264" i="1" s="1"/>
  <c r="AI223" i="1"/>
  <c r="U176" i="1"/>
  <c r="S176" i="1" s="1"/>
  <c r="AI215" i="1"/>
  <c r="U169" i="1"/>
  <c r="S169" i="1" s="1"/>
  <c r="AI207" i="1"/>
  <c r="U259" i="1"/>
  <c r="S259" i="1" s="1"/>
  <c r="AI273" i="1"/>
  <c r="AI272" i="1"/>
  <c r="U207" i="1"/>
  <c r="S207" i="1" s="1"/>
  <c r="AI271" i="1"/>
  <c r="AI260" i="1"/>
  <c r="AI255" i="1"/>
  <c r="U278" i="1"/>
  <c r="S278" i="1" s="1"/>
  <c r="AI277" i="1"/>
  <c r="U281" i="1"/>
  <c r="S281" i="1" s="1"/>
  <c r="AI275" i="1"/>
  <c r="AI264" i="1"/>
  <c r="AI259" i="1"/>
  <c r="U195" i="1"/>
  <c r="S195" i="1" s="1"/>
  <c r="AI248" i="1"/>
  <c r="AI243" i="1"/>
  <c r="U188" i="1"/>
  <c r="S188" i="1" s="1"/>
  <c r="AI235" i="1"/>
  <c r="U268" i="1"/>
  <c r="S268" i="1" s="1"/>
  <c r="AI227" i="1"/>
  <c r="AI219" i="1"/>
  <c r="AI211" i="1"/>
  <c r="U165" i="1"/>
  <c r="S165" i="1" s="1"/>
  <c r="AI203" i="1"/>
  <c r="AI199" i="1"/>
  <c r="AI195" i="1"/>
  <c r="AI191" i="1"/>
  <c r="AI187" i="1"/>
  <c r="U239" i="1"/>
  <c r="S239" i="1" s="1"/>
  <c r="AI174" i="1"/>
  <c r="AI172" i="1"/>
  <c r="U219" i="1"/>
  <c r="S219" i="1" s="1"/>
  <c r="AI171" i="1"/>
  <c r="U218" i="1"/>
  <c r="S218" i="1" s="1"/>
  <c r="AI157" i="1"/>
  <c r="AI156" i="1"/>
  <c r="U156" i="1"/>
  <c r="S156" i="1" s="1"/>
  <c r="AI155" i="1"/>
  <c r="U155" i="1"/>
  <c r="S155" i="1" s="1"/>
  <c r="AI149" i="1"/>
  <c r="AI144" i="1"/>
  <c r="U144" i="1"/>
  <c r="S144" i="1" s="1"/>
  <c r="AI125" i="1"/>
  <c r="AI121" i="1"/>
  <c r="AI112" i="1"/>
  <c r="U112" i="1"/>
  <c r="S112" i="1" s="1"/>
  <c r="AI95" i="1"/>
  <c r="U95" i="1"/>
  <c r="S95" i="1" s="1"/>
  <c r="AI244" i="1"/>
  <c r="AI240" i="1"/>
  <c r="AI236" i="1"/>
  <c r="AI232" i="1"/>
  <c r="AI228" i="1"/>
  <c r="AI224" i="1"/>
  <c r="AI220" i="1"/>
  <c r="AI216" i="1"/>
  <c r="AI212" i="1"/>
  <c r="AI208" i="1"/>
  <c r="AI204" i="1"/>
  <c r="U256" i="1"/>
  <c r="S256" i="1" s="1"/>
  <c r="AI200" i="1"/>
  <c r="U252" i="1"/>
  <c r="S252" i="1" s="1"/>
  <c r="AI196" i="1"/>
  <c r="U248" i="1"/>
  <c r="S248" i="1" s="1"/>
  <c r="AI192" i="1"/>
  <c r="U244" i="1"/>
  <c r="S244" i="1" s="1"/>
  <c r="AI188" i="1"/>
  <c r="U240" i="1"/>
  <c r="S240" i="1" s="1"/>
  <c r="AI178" i="1"/>
  <c r="AI177" i="1"/>
  <c r="AI176" i="1"/>
  <c r="U222" i="1"/>
  <c r="S222" i="1" s="1"/>
  <c r="AI161" i="1"/>
  <c r="AI160" i="1"/>
  <c r="AI159" i="1"/>
  <c r="U159" i="1"/>
  <c r="S159" i="1" s="1"/>
  <c r="AI148" i="1"/>
  <c r="AI140" i="1"/>
  <c r="U140" i="1"/>
  <c r="S140" i="1" s="1"/>
  <c r="AI132" i="1"/>
  <c r="U132" i="1"/>
  <c r="S132" i="1" s="1"/>
  <c r="AI265" i="1"/>
  <c r="AI257" i="1"/>
  <c r="U190" i="1"/>
  <c r="S190" i="1" s="1"/>
  <c r="AI245" i="1"/>
  <c r="U186" i="1"/>
  <c r="S186" i="1" s="1"/>
  <c r="AI241" i="1"/>
  <c r="U270" i="1"/>
  <c r="S270" i="1" s="1"/>
  <c r="AI237" i="1"/>
  <c r="U266" i="1"/>
  <c r="S266" i="1" s="1"/>
  <c r="AI233" i="1"/>
  <c r="U182" i="1"/>
  <c r="S182" i="1" s="1"/>
  <c r="AI229" i="1"/>
  <c r="U178" i="1"/>
  <c r="S178" i="1" s="1"/>
  <c r="AI225" i="1"/>
  <c r="U174" i="1"/>
  <c r="S174" i="1" s="1"/>
  <c r="AI221" i="1"/>
  <c r="U171" i="1"/>
  <c r="S171" i="1" s="1"/>
  <c r="AI217" i="1"/>
  <c r="U167" i="1"/>
  <c r="S167" i="1" s="1"/>
  <c r="AI213" i="1"/>
  <c r="U261" i="1"/>
  <c r="S261" i="1" s="1"/>
  <c r="AI209" i="1"/>
  <c r="U257" i="1"/>
  <c r="S257" i="1" s="1"/>
  <c r="AI205" i="1"/>
  <c r="U253" i="1"/>
  <c r="S253" i="1" s="1"/>
  <c r="AI201" i="1"/>
  <c r="U249" i="1"/>
  <c r="S249" i="1" s="1"/>
  <c r="AI197" i="1"/>
  <c r="U245" i="1"/>
  <c r="S245" i="1" s="1"/>
  <c r="AI193" i="1"/>
  <c r="U241" i="1"/>
  <c r="S241" i="1" s="1"/>
  <c r="AI189" i="1"/>
  <c r="AI182" i="1"/>
  <c r="AI181" i="1"/>
  <c r="U232" i="1"/>
  <c r="S232" i="1" s="1"/>
  <c r="AI180" i="1"/>
  <c r="AI165" i="1"/>
  <c r="AI164" i="1"/>
  <c r="U163" i="1"/>
  <c r="S163" i="1" s="1"/>
  <c r="AI163" i="1"/>
  <c r="AI72" i="1"/>
  <c r="U72" i="1"/>
  <c r="S72" i="1" s="1"/>
  <c r="AI261" i="1"/>
  <c r="AI253" i="1"/>
  <c r="AI249" i="1"/>
  <c r="AI278" i="1"/>
  <c r="AI274" i="1"/>
  <c r="U206" i="1"/>
  <c r="S206" i="1" s="1"/>
  <c r="AI270" i="1"/>
  <c r="U202" i="1"/>
  <c r="S202" i="1" s="1"/>
  <c r="AI266" i="1"/>
  <c r="U198" i="1"/>
  <c r="S198" i="1" s="1"/>
  <c r="AI262" i="1"/>
  <c r="U194" i="1"/>
  <c r="S194" i="1" s="1"/>
  <c r="AI258" i="1"/>
  <c r="U277" i="1"/>
  <c r="S277" i="1" s="1"/>
  <c r="AI254" i="1"/>
  <c r="U273" i="1"/>
  <c r="S273" i="1" s="1"/>
  <c r="AI250" i="1"/>
  <c r="U191" i="1"/>
  <c r="S191" i="1" s="1"/>
  <c r="AI246" i="1"/>
  <c r="AI242" i="1"/>
  <c r="U271" i="1"/>
  <c r="S271" i="1"/>
  <c r="AI238" i="1"/>
  <c r="U267" i="1"/>
  <c r="S267" i="1" s="1"/>
  <c r="AI234" i="1"/>
  <c r="U183" i="1"/>
  <c r="S183" i="1" s="1"/>
  <c r="AI230" i="1"/>
  <c r="U179" i="1"/>
  <c r="S179" i="1" s="1"/>
  <c r="AI226" i="1"/>
  <c r="U175" i="1"/>
  <c r="S175" i="1" s="1"/>
  <c r="AI222" i="1"/>
  <c r="U172" i="1"/>
  <c r="S172" i="1" s="1"/>
  <c r="AI218" i="1"/>
  <c r="U168" i="1"/>
  <c r="S168" i="1" s="1"/>
  <c r="AI214" i="1"/>
  <c r="AI210" i="1"/>
  <c r="U258" i="1"/>
  <c r="S258" i="1" s="1"/>
  <c r="AI206" i="1"/>
  <c r="U254" i="1"/>
  <c r="S254" i="1" s="1"/>
  <c r="AI202" i="1"/>
  <c r="U250" i="1"/>
  <c r="S250" i="1" s="1"/>
  <c r="AI198" i="1"/>
  <c r="U246" i="1"/>
  <c r="S246" i="1" s="1"/>
  <c r="AI194" i="1"/>
  <c r="U242" i="1"/>
  <c r="S242" i="1" s="1"/>
  <c r="AI190" i="1"/>
  <c r="AI186" i="1"/>
  <c r="W238" i="1"/>
  <c r="AI185" i="1"/>
  <c r="AI184" i="1"/>
  <c r="AI169" i="1"/>
  <c r="W216" i="1"/>
  <c r="AI168" i="1"/>
  <c r="U214" i="1"/>
  <c r="S214" i="1" s="1"/>
  <c r="AI167" i="1"/>
  <c r="AI154" i="1"/>
  <c r="W154" i="1"/>
  <c r="AI153" i="1"/>
  <c r="U152" i="1"/>
  <c r="S152" i="1" s="1"/>
  <c r="AI152" i="1"/>
  <c r="AI145" i="1"/>
  <c r="AI136" i="1"/>
  <c r="U136" i="1"/>
  <c r="S136" i="1" s="1"/>
  <c r="AI104" i="1"/>
  <c r="U104" i="1"/>
  <c r="S104" i="1" s="1"/>
  <c r="AI141" i="1"/>
  <c r="AI137" i="1"/>
  <c r="AI133" i="1"/>
  <c r="AI129" i="1"/>
  <c r="AI128" i="1"/>
  <c r="AI127" i="1"/>
  <c r="U127" i="1"/>
  <c r="S127" i="1" s="1"/>
  <c r="AI116" i="1"/>
  <c r="AI113" i="1"/>
  <c r="AI150" i="1"/>
  <c r="AI146" i="1"/>
  <c r="AI142" i="1"/>
  <c r="W142" i="1"/>
  <c r="U138" i="1"/>
  <c r="S138" i="1" s="1"/>
  <c r="W138" i="1"/>
  <c r="AI138" i="1"/>
  <c r="U134" i="1"/>
  <c r="S134" i="1" s="1"/>
  <c r="AI134" i="1"/>
  <c r="U130" i="1"/>
  <c r="S130" i="1" s="1"/>
  <c r="W130" i="1"/>
  <c r="AI130" i="1"/>
  <c r="AI120" i="1"/>
  <c r="U119" i="1"/>
  <c r="S119" i="1" s="1"/>
  <c r="AI119" i="1"/>
  <c r="AI117" i="1"/>
  <c r="AI97" i="1"/>
  <c r="AI47" i="1"/>
  <c r="U47" i="1"/>
  <c r="S47" i="1" s="1"/>
  <c r="U235" i="1"/>
  <c r="S235" i="1" s="1"/>
  <c r="AI183" i="1"/>
  <c r="U225" i="1"/>
  <c r="S225" i="1" s="1"/>
  <c r="AI179" i="1"/>
  <c r="AI175" i="1"/>
  <c r="AI170" i="1"/>
  <c r="U213" i="1"/>
  <c r="S213" i="1" s="1"/>
  <c r="AI166" i="1"/>
  <c r="U162" i="1"/>
  <c r="S162" i="1" s="1"/>
  <c r="AI162" i="1"/>
  <c r="AI158" i="1"/>
  <c r="U151" i="1"/>
  <c r="S151" i="1" s="1"/>
  <c r="AI151" i="1"/>
  <c r="AI147" i="1"/>
  <c r="U143" i="1"/>
  <c r="S143" i="1" s="1"/>
  <c r="AI143" i="1"/>
  <c r="U139" i="1"/>
  <c r="S139" i="1" s="1"/>
  <c r="AI139" i="1"/>
  <c r="AI135" i="1"/>
  <c r="U131" i="1"/>
  <c r="S131" i="1" s="1"/>
  <c r="AI131" i="1"/>
  <c r="AI115" i="1"/>
  <c r="U115" i="1"/>
  <c r="S115" i="1" s="1"/>
  <c r="U111" i="1"/>
  <c r="S111" i="1" s="1"/>
  <c r="AI111" i="1"/>
  <c r="AI105" i="1"/>
  <c r="U103" i="1"/>
  <c r="S103" i="1" s="1"/>
  <c r="AI103" i="1"/>
  <c r="W103" i="1"/>
  <c r="AI96" i="1"/>
  <c r="U96" i="1"/>
  <c r="S96" i="1" s="1"/>
  <c r="AI88" i="1"/>
  <c r="U88" i="1"/>
  <c r="S88" i="1" s="1"/>
  <c r="AI60" i="1"/>
  <c r="U60" i="1"/>
  <c r="S60" i="1" s="1"/>
  <c r="AI101" i="1"/>
  <c r="AI100" i="1"/>
  <c r="U100" i="1"/>
  <c r="S100" i="1" s="1"/>
  <c r="AI99" i="1"/>
  <c r="U99" i="1"/>
  <c r="S99" i="1" s="1"/>
  <c r="AI84" i="1"/>
  <c r="U84" i="1"/>
  <c r="S84" i="1" s="1"/>
  <c r="AI59" i="1"/>
  <c r="U59" i="1"/>
  <c r="S59" i="1" s="1"/>
  <c r="U46" i="1"/>
  <c r="S46" i="1" s="1"/>
  <c r="AI46" i="1"/>
  <c r="AI80" i="1"/>
  <c r="U80" i="1"/>
  <c r="S80" i="1" s="1"/>
  <c r="AI44" i="1"/>
  <c r="AI126" i="1"/>
  <c r="AI124" i="1"/>
  <c r="U123" i="1"/>
  <c r="S123" i="1" s="1"/>
  <c r="AI123" i="1"/>
  <c r="AI109" i="1"/>
  <c r="W109" i="1"/>
  <c r="AI108" i="1"/>
  <c r="AI107" i="1"/>
  <c r="AI93" i="1"/>
  <c r="W93" i="1"/>
  <c r="AI92" i="1"/>
  <c r="AI76" i="1"/>
  <c r="U76" i="1"/>
  <c r="S76" i="1" s="1"/>
  <c r="AI61" i="1"/>
  <c r="AI89" i="1"/>
  <c r="AI85" i="1"/>
  <c r="AI81" i="1"/>
  <c r="AI77" i="1"/>
  <c r="AI73" i="1"/>
  <c r="AI65" i="1"/>
  <c r="AI64" i="1"/>
  <c r="AI63" i="1"/>
  <c r="U63" i="1"/>
  <c r="S63" i="1" s="1"/>
  <c r="AI122" i="1"/>
  <c r="AI118" i="1"/>
  <c r="W118" i="1"/>
  <c r="U114" i="1"/>
  <c r="S114" i="1" s="1"/>
  <c r="AI114" i="1"/>
  <c r="U110" i="1"/>
  <c r="S110" i="1" s="1"/>
  <c r="AI110" i="1"/>
  <c r="U106" i="1"/>
  <c r="S106" i="1" s="1"/>
  <c r="AI106" i="1"/>
  <c r="AI102" i="1"/>
  <c r="AI98" i="1"/>
  <c r="W98" i="1"/>
  <c r="AI94" i="1"/>
  <c r="AI90" i="1"/>
  <c r="U86" i="1"/>
  <c r="S86" i="1" s="1"/>
  <c r="AI86" i="1"/>
  <c r="W86" i="1"/>
  <c r="U82" i="1"/>
  <c r="S82" i="1" s="1"/>
  <c r="AI82" i="1"/>
  <c r="U78" i="1"/>
  <c r="S78" i="1" s="1"/>
  <c r="AI78" i="1"/>
  <c r="U74" i="1"/>
  <c r="S74" i="1" s="1"/>
  <c r="W74" i="1"/>
  <c r="AI74" i="1"/>
  <c r="AI69" i="1"/>
  <c r="AI68" i="1"/>
  <c r="U67" i="1"/>
  <c r="S67" i="1" s="1"/>
  <c r="AI67" i="1"/>
  <c r="AI53" i="1"/>
  <c r="AI52" i="1"/>
  <c r="AI48" i="1"/>
  <c r="AI43" i="1"/>
  <c r="U43" i="1"/>
  <c r="S43" i="1" s="1"/>
  <c r="U91" i="1"/>
  <c r="AI91" i="1"/>
  <c r="U87" i="1"/>
  <c r="S87" i="1" s="1"/>
  <c r="AI87" i="1"/>
  <c r="U83" i="1"/>
  <c r="S83" i="1" s="1"/>
  <c r="AI83" i="1"/>
  <c r="U79" i="1"/>
  <c r="S79" i="1" s="1"/>
  <c r="AI79" i="1"/>
  <c r="U75" i="1"/>
  <c r="S75" i="1" s="1"/>
  <c r="AI75" i="1"/>
  <c r="U71" i="1"/>
  <c r="S71" i="1" s="1"/>
  <c r="AI71" i="1"/>
  <c r="AI57" i="1"/>
  <c r="W57" i="1"/>
  <c r="AI56" i="1"/>
  <c r="U56" i="1"/>
  <c r="S56" i="1" s="1"/>
  <c r="U55" i="1"/>
  <c r="S55" i="1" s="1"/>
  <c r="AI55" i="1"/>
  <c r="AI42" i="1"/>
  <c r="U42" i="1"/>
  <c r="S42" i="1" s="1"/>
  <c r="AI33" i="1"/>
  <c r="U33" i="1"/>
  <c r="S33" i="1" s="1"/>
  <c r="AI25" i="1"/>
  <c r="U25" i="1"/>
  <c r="S25" i="1" s="1"/>
  <c r="AI17" i="1"/>
  <c r="U17" i="1"/>
  <c r="S17" i="1" s="1"/>
  <c r="U70" i="1"/>
  <c r="S70" i="1" s="1"/>
  <c r="AI70" i="1"/>
  <c r="U66" i="1"/>
  <c r="S66" i="1" s="1"/>
  <c r="AI66" i="1"/>
  <c r="AI62" i="1"/>
  <c r="W62" i="1"/>
  <c r="AI58" i="1"/>
  <c r="U54" i="1"/>
  <c r="S54" i="1" s="1"/>
  <c r="AI54" i="1"/>
  <c r="AI51" i="1"/>
  <c r="U50" i="1"/>
  <c r="S50" i="1" s="1"/>
  <c r="AI50" i="1"/>
  <c r="AI36" i="1"/>
  <c r="AI40" i="1"/>
  <c r="AI39" i="1"/>
  <c r="U39" i="1"/>
  <c r="U38" i="1"/>
  <c r="AI38" i="1"/>
  <c r="AI29" i="1"/>
  <c r="U29" i="1"/>
  <c r="S29" i="1" s="1"/>
  <c r="AI21" i="1"/>
  <c r="U21" i="1"/>
  <c r="S21" i="1" s="1"/>
  <c r="U49" i="1"/>
  <c r="S49" i="1" s="1"/>
  <c r="AI49" i="1"/>
  <c r="AI45" i="1"/>
  <c r="AI41" i="1"/>
  <c r="U37" i="1"/>
  <c r="S37" i="1" s="1"/>
  <c r="AI37" i="1"/>
  <c r="AI34" i="1"/>
  <c r="AI30" i="1"/>
  <c r="AI26" i="1"/>
  <c r="AI22" i="1"/>
  <c r="AI18" i="1"/>
  <c r="AI14" i="1"/>
  <c r="U35" i="1"/>
  <c r="S35" i="1" s="1"/>
  <c r="AI35" i="1"/>
  <c r="U31" i="1"/>
  <c r="AI31" i="1"/>
  <c r="U27" i="1"/>
  <c r="S27" i="1" s="1"/>
  <c r="AI27" i="1"/>
  <c r="U23" i="1"/>
  <c r="S23" i="1" s="1"/>
  <c r="AI23" i="1"/>
  <c r="U19" i="1"/>
  <c r="AI19" i="1"/>
  <c r="U15" i="1"/>
  <c r="S15" i="1" s="1"/>
  <c r="AI15" i="1"/>
  <c r="U32" i="1"/>
  <c r="S32" i="1" s="1"/>
  <c r="AI32" i="1"/>
  <c r="U28" i="1"/>
  <c r="S28" i="1" s="1"/>
  <c r="AI28" i="1"/>
  <c r="U24" i="1"/>
  <c r="S24" i="1" s="1"/>
  <c r="AI24" i="1"/>
  <c r="AI20" i="1"/>
  <c r="U16" i="1"/>
  <c r="S16" i="1" s="1"/>
  <c r="AI16" i="1"/>
  <c r="W281" i="1"/>
  <c r="W277" i="1"/>
  <c r="W273" i="1"/>
  <c r="W171" i="1"/>
  <c r="W229" i="1"/>
  <c r="W209" i="1"/>
  <c r="W198" i="1"/>
  <c r="W194" i="1"/>
  <c r="W272" i="1"/>
  <c r="W190" i="1"/>
  <c r="W182" i="1"/>
  <c r="W167" i="1"/>
  <c r="W210" i="1"/>
  <c r="W206" i="1"/>
  <c r="W202" i="1"/>
  <c r="W276" i="1"/>
  <c r="W186" i="1"/>
  <c r="W178" i="1"/>
  <c r="W261" i="1"/>
  <c r="W228" i="1"/>
  <c r="W231" i="1"/>
  <c r="W207" i="1"/>
  <c r="W205" i="1"/>
  <c r="W201" i="1"/>
  <c r="T231" i="1"/>
  <c r="U231" i="1" s="1"/>
  <c r="S231" i="1" s="1"/>
  <c r="X231" i="1"/>
  <c r="X230" i="1"/>
  <c r="X281" i="1"/>
  <c r="T210" i="1"/>
  <c r="U210" i="1" s="1"/>
  <c r="S210" i="1" s="1"/>
  <c r="AA208" i="1"/>
  <c r="W208" i="1" s="1"/>
  <c r="T205" i="1"/>
  <c r="U205" i="1" s="1"/>
  <c r="S205" i="1" s="1"/>
  <c r="X205" i="1"/>
  <c r="W203" i="1"/>
  <c r="AA196" i="1"/>
  <c r="W196" i="1" s="1"/>
  <c r="T279" i="1"/>
  <c r="U279" i="1" s="1"/>
  <c r="S279" i="1" s="1"/>
  <c r="X279" i="1"/>
  <c r="T276" i="1"/>
  <c r="U276" i="1" s="1"/>
  <c r="S276" i="1" s="1"/>
  <c r="X276" i="1"/>
  <c r="W274" i="1"/>
  <c r="T185" i="1"/>
  <c r="U185" i="1" s="1"/>
  <c r="S185" i="1" s="1"/>
  <c r="X185" i="1"/>
  <c r="W184" i="1"/>
  <c r="T265" i="1"/>
  <c r="U265" i="1" s="1"/>
  <c r="S265" i="1" s="1"/>
  <c r="X265" i="1"/>
  <c r="W183" i="1"/>
  <c r="T177" i="1"/>
  <c r="U177" i="1" s="1"/>
  <c r="S177" i="1" s="1"/>
  <c r="X177" i="1"/>
  <c r="W176" i="1"/>
  <c r="W175" i="1"/>
  <c r="T170" i="1"/>
  <c r="U170" i="1" s="1"/>
  <c r="S170" i="1" s="1"/>
  <c r="X170" i="1"/>
  <c r="W168" i="1"/>
  <c r="T260" i="1"/>
  <c r="U260" i="1" s="1"/>
  <c r="S260" i="1" s="1"/>
  <c r="X260" i="1"/>
  <c r="W259" i="1"/>
  <c r="W258" i="1"/>
  <c r="W253" i="1"/>
  <c r="W252" i="1"/>
  <c r="W251" i="1"/>
  <c r="W236" i="1"/>
  <c r="W220" i="1"/>
  <c r="W152" i="1"/>
  <c r="W147" i="1"/>
  <c r="W126" i="1"/>
  <c r="W107" i="1"/>
  <c r="T208" i="1"/>
  <c r="U208" i="1" s="1"/>
  <c r="S208" i="1" s="1"/>
  <c r="T196" i="1"/>
  <c r="U196" i="1" s="1"/>
  <c r="S196" i="1" s="1"/>
  <c r="X196" i="1"/>
  <c r="T280" i="1"/>
  <c r="U280" i="1" s="1"/>
  <c r="S280" i="1" s="1"/>
  <c r="X280" i="1"/>
  <c r="W278" i="1"/>
  <c r="W189" i="1"/>
  <c r="W249" i="1"/>
  <c r="W248" i="1"/>
  <c r="W247" i="1"/>
  <c r="W232" i="1"/>
  <c r="W225" i="1"/>
  <c r="W217" i="1"/>
  <c r="W212" i="1"/>
  <c r="W158" i="1"/>
  <c r="W143" i="1"/>
  <c r="W226" i="1"/>
  <c r="T209" i="1"/>
  <c r="U209" i="1" s="1"/>
  <c r="S209" i="1" s="1"/>
  <c r="X209" i="1"/>
  <c r="W200" i="1"/>
  <c r="AA230" i="1"/>
  <c r="W230" i="1" s="1"/>
  <c r="T227" i="1"/>
  <c r="U227" i="1" s="1"/>
  <c r="S227" i="1" s="1"/>
  <c r="X227" i="1"/>
  <c r="T200" i="1"/>
  <c r="U200" i="1" s="1"/>
  <c r="S200" i="1" s="1"/>
  <c r="X200" i="1"/>
  <c r="T197" i="1"/>
  <c r="U197" i="1" s="1"/>
  <c r="S197" i="1" s="1"/>
  <c r="X197" i="1"/>
  <c r="W195" i="1"/>
  <c r="X194" i="1"/>
  <c r="AA275" i="1"/>
  <c r="W275" i="1" s="1"/>
  <c r="T193" i="1"/>
  <c r="U193" i="1" s="1"/>
  <c r="S193" i="1" s="1"/>
  <c r="X193" i="1"/>
  <c r="T189" i="1"/>
  <c r="U189" i="1" s="1"/>
  <c r="S189" i="1" s="1"/>
  <c r="X189" i="1"/>
  <c r="T269" i="1"/>
  <c r="U269" i="1" s="1"/>
  <c r="S269" i="1" s="1"/>
  <c r="X269" i="1"/>
  <c r="W268" i="1"/>
  <c r="W267" i="1"/>
  <c r="T181" i="1"/>
  <c r="U181" i="1" s="1"/>
  <c r="S181" i="1" s="1"/>
  <c r="X181" i="1"/>
  <c r="W180" i="1"/>
  <c r="W179" i="1"/>
  <c r="T263" i="1"/>
  <c r="U263" i="1" s="1"/>
  <c r="S263" i="1" s="1"/>
  <c r="X263" i="1"/>
  <c r="W262" i="1"/>
  <c r="W172" i="1"/>
  <c r="T166" i="1"/>
  <c r="U166" i="1" s="1"/>
  <c r="S166" i="1" s="1"/>
  <c r="X166" i="1"/>
  <c r="W164" i="1"/>
  <c r="W245" i="1"/>
  <c r="W244" i="1"/>
  <c r="W243" i="1"/>
  <c r="W224" i="1"/>
  <c r="W157" i="1"/>
  <c r="W150" i="1"/>
  <c r="T201" i="1"/>
  <c r="U201" i="1" s="1"/>
  <c r="S201" i="1" s="1"/>
  <c r="X201" i="1"/>
  <c r="W279" i="1"/>
  <c r="T275" i="1"/>
  <c r="U275" i="1" s="1"/>
  <c r="S275" i="1" s="1"/>
  <c r="X275" i="1"/>
  <c r="T272" i="1"/>
  <c r="U272" i="1" s="1"/>
  <c r="S272" i="1" s="1"/>
  <c r="X272" i="1"/>
  <c r="W192" i="1"/>
  <c r="W185" i="1"/>
  <c r="W265" i="1"/>
  <c r="W170" i="1"/>
  <c r="W260" i="1"/>
  <c r="W255" i="1"/>
  <c r="W250" i="1"/>
  <c r="W241" i="1"/>
  <c r="W239" i="1"/>
  <c r="W234" i="1"/>
  <c r="W221" i="1"/>
  <c r="W213" i="1"/>
  <c r="W163" i="1"/>
  <c r="W162" i="1"/>
  <c r="W159" i="1"/>
  <c r="W122" i="1"/>
  <c r="T224" i="1"/>
  <c r="U224" i="1" s="1"/>
  <c r="S224" i="1" s="1"/>
  <c r="X224" i="1"/>
  <c r="T223" i="1"/>
  <c r="U223" i="1" s="1"/>
  <c r="S223" i="1" s="1"/>
  <c r="W211" i="1"/>
  <c r="T161" i="1"/>
  <c r="U161" i="1" s="1"/>
  <c r="S161" i="1" s="1"/>
  <c r="X161" i="1"/>
  <c r="T160" i="1"/>
  <c r="U160" i="1" s="1"/>
  <c r="S160" i="1" s="1"/>
  <c r="T150" i="1"/>
  <c r="U150" i="1" s="1"/>
  <c r="S150" i="1" s="1"/>
  <c r="X150" i="1"/>
  <c r="T141" i="1"/>
  <c r="U141" i="1" s="1"/>
  <c r="S141" i="1" s="1"/>
  <c r="X141" i="1"/>
  <c r="W140" i="1"/>
  <c r="W139" i="1"/>
  <c r="T133" i="1"/>
  <c r="U133" i="1" s="1"/>
  <c r="S133" i="1" s="1"/>
  <c r="X133" i="1"/>
  <c r="W132" i="1"/>
  <c r="W123" i="1"/>
  <c r="W120" i="1"/>
  <c r="X108" i="1"/>
  <c r="T108" i="1"/>
  <c r="U108" i="1" s="1"/>
  <c r="S108" i="1" s="1"/>
  <c r="T85" i="1"/>
  <c r="U85" i="1" s="1"/>
  <c r="S85" i="1" s="1"/>
  <c r="X85" i="1"/>
  <c r="W237" i="1"/>
  <c r="T234" i="1"/>
  <c r="U234" i="1" s="1"/>
  <c r="S234" i="1" s="1"/>
  <c r="X234" i="1"/>
  <c r="T233" i="1"/>
  <c r="U233" i="1" s="1"/>
  <c r="S233" i="1" s="1"/>
  <c r="X218" i="1"/>
  <c r="T217" i="1"/>
  <c r="U217" i="1" s="1"/>
  <c r="S217" i="1" s="1"/>
  <c r="W215" i="1"/>
  <c r="T212" i="1"/>
  <c r="U212" i="1" s="1"/>
  <c r="S212" i="1" s="1"/>
  <c r="X212" i="1"/>
  <c r="T211" i="1"/>
  <c r="U211" i="1" s="1"/>
  <c r="S211" i="1" s="1"/>
  <c r="W153" i="1"/>
  <c r="X151" i="1"/>
  <c r="W145" i="1"/>
  <c r="W137" i="1"/>
  <c r="W129" i="1"/>
  <c r="W119" i="1"/>
  <c r="W111" i="1"/>
  <c r="W67" i="1"/>
  <c r="W58" i="1"/>
  <c r="X256" i="1"/>
  <c r="X252" i="1"/>
  <c r="X248" i="1"/>
  <c r="X244" i="1"/>
  <c r="X240" i="1"/>
  <c r="T238" i="1"/>
  <c r="U238" i="1" s="1"/>
  <c r="S238" i="1" s="1"/>
  <c r="X238" i="1"/>
  <c r="T237" i="1"/>
  <c r="U237" i="1" s="1"/>
  <c r="S237" i="1" s="1"/>
  <c r="X222" i="1"/>
  <c r="T221" i="1"/>
  <c r="U221" i="1" s="1"/>
  <c r="S221" i="1" s="1"/>
  <c r="W219" i="1"/>
  <c r="T216" i="1"/>
  <c r="U216" i="1" s="1"/>
  <c r="S216" i="1" s="1"/>
  <c r="X216" i="1"/>
  <c r="T215" i="1"/>
  <c r="U215" i="1" s="1"/>
  <c r="S215" i="1" s="1"/>
  <c r="T158" i="1"/>
  <c r="U158" i="1" s="1"/>
  <c r="S158" i="1" s="1"/>
  <c r="W156" i="1"/>
  <c r="T154" i="1"/>
  <c r="U154" i="1" s="1"/>
  <c r="S154" i="1" s="1"/>
  <c r="T153" i="1"/>
  <c r="U153" i="1" s="1"/>
  <c r="S153" i="1" s="1"/>
  <c r="T145" i="1"/>
  <c r="U145" i="1" s="1"/>
  <c r="S145" i="1" s="1"/>
  <c r="X145" i="1"/>
  <c r="T142" i="1"/>
  <c r="U142" i="1" s="1"/>
  <c r="S142" i="1" s="1"/>
  <c r="X142" i="1"/>
  <c r="T137" i="1"/>
  <c r="U137" i="1" s="1"/>
  <c r="S137" i="1" s="1"/>
  <c r="X137" i="1"/>
  <c r="T129" i="1"/>
  <c r="U129" i="1" s="1"/>
  <c r="S129" i="1" s="1"/>
  <c r="X129" i="1"/>
  <c r="W127" i="1"/>
  <c r="X114" i="1"/>
  <c r="X115" i="1"/>
  <c r="W113" i="1"/>
  <c r="X190" i="1"/>
  <c r="X186" i="1"/>
  <c r="X270" i="1"/>
  <c r="X266" i="1"/>
  <c r="X182" i="1"/>
  <c r="X178" i="1"/>
  <c r="X171" i="1"/>
  <c r="X167" i="1"/>
  <c r="X261" i="1"/>
  <c r="X257" i="1"/>
  <c r="X253" i="1"/>
  <c r="X249" i="1"/>
  <c r="X245" i="1"/>
  <c r="X241" i="1"/>
  <c r="X232" i="1"/>
  <c r="AA223" i="1"/>
  <c r="W223" i="1" s="1"/>
  <c r="T220" i="1"/>
  <c r="U220" i="1" s="1"/>
  <c r="S220" i="1" s="1"/>
  <c r="X220" i="1"/>
  <c r="X163" i="1"/>
  <c r="AA160" i="1"/>
  <c r="W160" i="1" s="1"/>
  <c r="T157" i="1"/>
  <c r="U157" i="1" s="1"/>
  <c r="S157" i="1" s="1"/>
  <c r="T149" i="1"/>
  <c r="U149" i="1" s="1"/>
  <c r="S149" i="1" s="1"/>
  <c r="X149" i="1"/>
  <c r="T146" i="1"/>
  <c r="U146" i="1" s="1"/>
  <c r="S146" i="1" s="1"/>
  <c r="X146" i="1"/>
  <c r="W144" i="1"/>
  <c r="W141" i="1"/>
  <c r="W133" i="1"/>
  <c r="W125" i="1"/>
  <c r="W121" i="1"/>
  <c r="T116" i="1"/>
  <c r="U116" i="1" s="1"/>
  <c r="S116" i="1" s="1"/>
  <c r="X116" i="1"/>
  <c r="X94" i="1"/>
  <c r="T94" i="1"/>
  <c r="U94" i="1" s="1"/>
  <c r="S94" i="1" s="1"/>
  <c r="X95" i="1"/>
  <c r="W91" i="1"/>
  <c r="T120" i="1"/>
  <c r="U120" i="1" s="1"/>
  <c r="S120" i="1" s="1"/>
  <c r="T118" i="1"/>
  <c r="U118" i="1" s="1"/>
  <c r="S118" i="1" s="1"/>
  <c r="X119" i="1"/>
  <c r="T117" i="1"/>
  <c r="U117" i="1" s="1"/>
  <c r="S117" i="1" s="1"/>
  <c r="X117" i="1"/>
  <c r="W105" i="1"/>
  <c r="W102" i="1"/>
  <c r="W90" i="1"/>
  <c r="W36" i="1"/>
  <c r="X127" i="1"/>
  <c r="T126" i="1"/>
  <c r="U126" i="1" s="1"/>
  <c r="S126" i="1" s="1"/>
  <c r="W112" i="1"/>
  <c r="T109" i="1"/>
  <c r="U109" i="1" s="1"/>
  <c r="S109" i="1" s="1"/>
  <c r="X109" i="1"/>
  <c r="W104" i="1"/>
  <c r="T102" i="1"/>
  <c r="U102" i="1" s="1"/>
  <c r="S102" i="1" s="1"/>
  <c r="X103" i="1"/>
  <c r="W99" i="1"/>
  <c r="W80" i="1"/>
  <c r="W69" i="1"/>
  <c r="X138" i="1"/>
  <c r="X134" i="1"/>
  <c r="X130" i="1"/>
  <c r="AA128" i="1"/>
  <c r="W128" i="1" s="1"/>
  <c r="T125" i="1"/>
  <c r="U125" i="1" s="1"/>
  <c r="S125" i="1" s="1"/>
  <c r="X125" i="1"/>
  <c r="T121" i="1"/>
  <c r="U121" i="1" s="1"/>
  <c r="S121" i="1" s="1"/>
  <c r="X121" i="1"/>
  <c r="X118" i="1"/>
  <c r="AA108" i="1"/>
  <c r="W108" i="1" s="1"/>
  <c r="X102" i="1"/>
  <c r="T101" i="1"/>
  <c r="U101" i="1" s="1"/>
  <c r="S101" i="1" s="1"/>
  <c r="X101" i="1"/>
  <c r="W94" i="1"/>
  <c r="W82" i="1"/>
  <c r="W81" i="1"/>
  <c r="W71" i="1"/>
  <c r="W55" i="1"/>
  <c r="T105" i="1"/>
  <c r="U105" i="1" s="1"/>
  <c r="S105" i="1" s="1"/>
  <c r="X105" i="1"/>
  <c r="AA92" i="1"/>
  <c r="W92" i="1" s="1"/>
  <c r="T90" i="1"/>
  <c r="U90" i="1" s="1"/>
  <c r="S90" i="1" s="1"/>
  <c r="X90" i="1"/>
  <c r="T81" i="1"/>
  <c r="U81" i="1" s="1"/>
  <c r="S81" i="1" s="1"/>
  <c r="X81" i="1"/>
  <c r="W76" i="1"/>
  <c r="W65" i="1"/>
  <c r="W63" i="1"/>
  <c r="W61" i="1"/>
  <c r="X58" i="1"/>
  <c r="T58" i="1"/>
  <c r="U58" i="1" s="1"/>
  <c r="S58" i="1" s="1"/>
  <c r="X59" i="1"/>
  <c r="W50" i="1"/>
  <c r="W37" i="1"/>
  <c r="X19" i="1"/>
  <c r="T18" i="1"/>
  <c r="U18" i="1" s="1"/>
  <c r="S18" i="1" s="1"/>
  <c r="X18" i="1"/>
  <c r="W96" i="1"/>
  <c r="T93" i="1"/>
  <c r="U93" i="1" s="1"/>
  <c r="X93" i="1"/>
  <c r="T92" i="1"/>
  <c r="U92" i="1" s="1"/>
  <c r="W89" i="1"/>
  <c r="W79" i="1"/>
  <c r="X78" i="1"/>
  <c r="T77" i="1"/>
  <c r="U77" i="1" s="1"/>
  <c r="S77" i="1" s="1"/>
  <c r="X77" i="1"/>
  <c r="W73" i="1"/>
  <c r="W72" i="1"/>
  <c r="W66" i="1"/>
  <c r="T65" i="1"/>
  <c r="U65" i="1" s="1"/>
  <c r="S65" i="1" s="1"/>
  <c r="X65" i="1"/>
  <c r="W49" i="1"/>
  <c r="W45" i="1"/>
  <c r="W35" i="1"/>
  <c r="AA116" i="1"/>
  <c r="W116" i="1" s="1"/>
  <c r="T113" i="1"/>
  <c r="U113" i="1" s="1"/>
  <c r="S113" i="1" s="1"/>
  <c r="X113" i="1"/>
  <c r="AA100" i="1"/>
  <c r="W100" i="1" s="1"/>
  <c r="T97" i="1"/>
  <c r="U97" i="1" s="1"/>
  <c r="S97" i="1" s="1"/>
  <c r="X97" i="1"/>
  <c r="X91" i="1"/>
  <c r="T89" i="1"/>
  <c r="U89" i="1" s="1"/>
  <c r="S89" i="1" s="1"/>
  <c r="X89" i="1"/>
  <c r="W87" i="1"/>
  <c r="W85" i="1"/>
  <c r="AA84" i="1"/>
  <c r="W84" i="1" s="1"/>
  <c r="W75" i="1"/>
  <c r="X74" i="1"/>
  <c r="T73" i="1"/>
  <c r="U73" i="1" s="1"/>
  <c r="S73" i="1" s="1"/>
  <c r="X73" i="1"/>
  <c r="W70" i="1"/>
  <c r="W68" i="1"/>
  <c r="T64" i="1"/>
  <c r="U64" i="1" s="1"/>
  <c r="S64" i="1" s="1"/>
  <c r="W52" i="1"/>
  <c r="W23" i="1"/>
  <c r="T69" i="1"/>
  <c r="U69" i="1" s="1"/>
  <c r="S69" i="1" s="1"/>
  <c r="X69" i="1"/>
  <c r="T68" i="1"/>
  <c r="U68" i="1" s="1"/>
  <c r="S68" i="1" s="1"/>
  <c r="W56" i="1"/>
  <c r="T53" i="1"/>
  <c r="U53" i="1" s="1"/>
  <c r="S53" i="1" s="1"/>
  <c r="X53" i="1"/>
  <c r="T52" i="1"/>
  <c r="U52" i="1" s="1"/>
  <c r="S52" i="1" s="1"/>
  <c r="T48" i="1"/>
  <c r="U48" i="1" s="1"/>
  <c r="S48" i="1" s="1"/>
  <c r="X48" i="1"/>
  <c r="W38" i="1"/>
  <c r="W28" i="1"/>
  <c r="W15" i="1"/>
  <c r="X63" i="1"/>
  <c r="T62" i="1"/>
  <c r="U62" i="1" s="1"/>
  <c r="S62" i="1" s="1"/>
  <c r="AA60" i="1"/>
  <c r="W60" i="1" s="1"/>
  <c r="T57" i="1"/>
  <c r="U57" i="1" s="1"/>
  <c r="S57" i="1" s="1"/>
  <c r="X57" i="1"/>
  <c r="AA51" i="1"/>
  <c r="W51" i="1" s="1"/>
  <c r="T51" i="1"/>
  <c r="U51" i="1" s="1"/>
  <c r="S51" i="1" s="1"/>
  <c r="W47" i="1"/>
  <c r="AA44" i="1"/>
  <c r="W44" i="1" s="1"/>
  <c r="W42" i="1"/>
  <c r="W41" i="1"/>
  <c r="T34" i="1"/>
  <c r="U34" i="1" s="1"/>
  <c r="S34" i="1" s="1"/>
  <c r="X34" i="1"/>
  <c r="X35" i="1"/>
  <c r="W20" i="1"/>
  <c r="X86" i="1"/>
  <c r="X82" i="1"/>
  <c r="AA64" i="1"/>
  <c r="W64" i="1" s="1"/>
  <c r="T61" i="1"/>
  <c r="U61" i="1" s="1"/>
  <c r="S61" i="1" s="1"/>
  <c r="X61" i="1"/>
  <c r="T45" i="1"/>
  <c r="U45" i="1" s="1"/>
  <c r="S45" i="1" s="1"/>
  <c r="X46" i="1"/>
  <c r="T41" i="1"/>
  <c r="U41" i="1" s="1"/>
  <c r="S41" i="1" s="1"/>
  <c r="X27" i="1"/>
  <c r="T26" i="1"/>
  <c r="U26" i="1" s="1"/>
  <c r="S26" i="1" s="1"/>
  <c r="X26" i="1"/>
  <c r="W39" i="1"/>
  <c r="T36" i="1"/>
  <c r="U36" i="1" s="1"/>
  <c r="S36" i="1" s="1"/>
  <c r="W30" i="1"/>
  <c r="W29" i="1"/>
  <c r="W22" i="1"/>
  <c r="W21" i="1"/>
  <c r="W14" i="1"/>
  <c r="AA43" i="1"/>
  <c r="W43" i="1" s="1"/>
  <c r="T40" i="1"/>
  <c r="U40" i="1" s="1"/>
  <c r="S40" i="1" s="1"/>
  <c r="W32" i="1"/>
  <c r="X31" i="1"/>
  <c r="T30" i="1"/>
  <c r="U30" i="1" s="1"/>
  <c r="S30" i="1" s="1"/>
  <c r="X30" i="1"/>
  <c r="W24" i="1"/>
  <c r="X23" i="1"/>
  <c r="T22" i="1"/>
  <c r="U22" i="1" s="1"/>
  <c r="S22" i="1" s="1"/>
  <c r="X22" i="1"/>
  <c r="W16" i="1"/>
  <c r="X15" i="1"/>
  <c r="T14" i="1"/>
  <c r="U14" i="1" s="1"/>
  <c r="S14" i="1" s="1"/>
  <c r="T44" i="1"/>
  <c r="U44" i="1" s="1"/>
  <c r="S44" i="1" s="1"/>
  <c r="X44" i="1"/>
  <c r="AA33" i="1"/>
  <c r="W33" i="1" s="1"/>
  <c r="AA25" i="1"/>
  <c r="W25" i="1" s="1"/>
  <c r="W18" i="1"/>
  <c r="AA17" i="1"/>
  <c r="W17" i="1" s="1"/>
  <c r="X33" i="1"/>
  <c r="X29" i="1"/>
  <c r="X25" i="1"/>
  <c r="X21" i="1"/>
  <c r="X17" i="1"/>
  <c r="AD68" i="3"/>
  <c r="AD53" i="3"/>
  <c r="AD41" i="3"/>
  <c r="AE27" i="3"/>
  <c r="AD16" i="3"/>
  <c r="AC35" i="3"/>
  <c r="AC41" i="3"/>
  <c r="AC56" i="3"/>
  <c r="AD67" i="3"/>
  <c r="AE66" i="3"/>
  <c r="AC62" i="3"/>
  <c r="T20" i="3"/>
  <c r="AD61" i="3"/>
  <c r="AC7" i="3"/>
  <c r="T7" i="3"/>
  <c r="AD49" i="3"/>
  <c r="AD39" i="3"/>
  <c r="AE29" i="3"/>
  <c r="AD29" i="3"/>
  <c r="AC57" i="3"/>
  <c r="T57" i="3"/>
  <c r="AE23" i="3"/>
  <c r="AD20" i="3"/>
  <c r="AE19" i="3"/>
  <c r="AC37" i="3"/>
  <c r="AD15" i="3"/>
  <c r="AE15" i="3"/>
  <c r="AD13" i="3"/>
  <c r="AD43" i="3"/>
  <c r="AD35" i="3"/>
  <c r="AE31" i="3"/>
  <c r="AD19" i="3"/>
  <c r="AC58" i="3"/>
  <c r="AD12" i="3"/>
  <c r="AD11" i="3"/>
  <c r="AE11" i="3"/>
  <c r="AD9" i="3"/>
  <c r="AC66" i="3"/>
  <c r="AC65" i="3"/>
  <c r="AD65" i="3"/>
  <c r="AE53" i="3"/>
  <c r="AE50" i="3"/>
  <c r="AC11" i="3"/>
  <c r="T12" i="3"/>
  <c r="AE37" i="3"/>
  <c r="AD37" i="3"/>
  <c r="AD31" i="3"/>
  <c r="AE22" i="3"/>
  <c r="AD17" i="3"/>
  <c r="AE74" i="3"/>
  <c r="T68" i="3"/>
  <c r="AE70" i="3"/>
  <c r="T10" i="3"/>
  <c r="AE67" i="3"/>
  <c r="AD66" i="3"/>
  <c r="AC25" i="3"/>
  <c r="AE59" i="3"/>
  <c r="AD58" i="3"/>
  <c r="AC26" i="3"/>
  <c r="AE51" i="3"/>
  <c r="AD50" i="3"/>
  <c r="AC39" i="3"/>
  <c r="AE43" i="3"/>
  <c r="AD42" i="3"/>
  <c r="AC43" i="3"/>
  <c r="AE35" i="3"/>
  <c r="AC76" i="3"/>
  <c r="AE26" i="3"/>
  <c r="AC23" i="3"/>
  <c r="T23" i="3"/>
  <c r="AC28" i="3"/>
  <c r="T28" i="3"/>
  <c r="AC32" i="3"/>
  <c r="AC33" i="3"/>
  <c r="AC16" i="3"/>
  <c r="AC19" i="3"/>
  <c r="AC48" i="3"/>
  <c r="AC59" i="3"/>
  <c r="Y49" i="3"/>
  <c r="Y63" i="3"/>
  <c r="Y33" i="3"/>
  <c r="Y68" i="3"/>
  <c r="Y50" i="3"/>
  <c r="Y14" i="3"/>
  <c r="Y15" i="3"/>
  <c r="Y46" i="3"/>
  <c r="Y45" i="3"/>
  <c r="Y54" i="3"/>
  <c r="Y36" i="3"/>
  <c r="Y66" i="3"/>
  <c r="Y41" i="3"/>
  <c r="Y27" i="3"/>
  <c r="Y77" i="3"/>
  <c r="Y38" i="3"/>
  <c r="Y23" i="3"/>
  <c r="Y10" i="3"/>
  <c r="Y62" i="3"/>
  <c r="Y20" i="3"/>
  <c r="Y22" i="3"/>
  <c r="Y11" i="3"/>
  <c r="Y12" i="3"/>
  <c r="Y67" i="3"/>
  <c r="Y60" i="3"/>
  <c r="Y40" i="3"/>
  <c r="Y52" i="3"/>
  <c r="Y70" i="3"/>
  <c r="Y44" i="3"/>
  <c r="Y55" i="3"/>
  <c r="Y75" i="3"/>
  <c r="Y18" i="3"/>
  <c r="Y35" i="3"/>
  <c r="Y65" i="3"/>
  <c r="Y56" i="3"/>
  <c r="Y16" i="3"/>
  <c r="Y53" i="3"/>
  <c r="Y19" i="3"/>
  <c r="Y17" i="3"/>
  <c r="Y48" i="3"/>
  <c r="Y31" i="3"/>
  <c r="Y59" i="3"/>
  <c r="Y47" i="3"/>
  <c r="Y21" i="3"/>
  <c r="Y29" i="3"/>
  <c r="Y57" i="3"/>
  <c r="Y37" i="3"/>
  <c r="Y28" i="3"/>
  <c r="Y30" i="3"/>
  <c r="Y24" i="3"/>
  <c r="Y73" i="3"/>
  <c r="Y71" i="3"/>
  <c r="Y42" i="3"/>
  <c r="Y13" i="3"/>
  <c r="Y9" i="3"/>
  <c r="Y25" i="3"/>
  <c r="Y51" i="3"/>
  <c r="Y26" i="3"/>
  <c r="Y7" i="3"/>
  <c r="Y39" i="3"/>
  <c r="Y64" i="3"/>
  <c r="Y43" i="3"/>
  <c r="Y69" i="3"/>
  <c r="Y76" i="3"/>
  <c r="Y74" i="3"/>
  <c r="Y72" i="3"/>
  <c r="Y61" i="3"/>
  <c r="Y32" i="3"/>
  <c r="Y58" i="3"/>
  <c r="Y8" i="3"/>
  <c r="T44" i="3"/>
  <c r="AE48" i="3"/>
  <c r="AC71" i="3"/>
  <c r="AD22" i="3"/>
  <c r="AD74" i="3"/>
  <c r="AE69" i="3"/>
  <c r="T40" i="3"/>
  <c r="T26" i="3"/>
  <c r="T43" i="3"/>
  <c r="AE38" i="3"/>
  <c r="T76" i="3"/>
  <c r="AE30" i="3"/>
  <c r="AD25" i="3"/>
  <c r="T72" i="3"/>
  <c r="AE25" i="3"/>
  <c r="T71" i="3"/>
  <c r="AC9" i="3"/>
  <c r="AD10" i="3"/>
  <c r="T9" i="3"/>
  <c r="AE10" i="3"/>
  <c r="T52" i="3"/>
  <c r="AE64" i="3"/>
  <c r="T70" i="3"/>
  <c r="AE56" i="3"/>
  <c r="T55" i="3"/>
  <c r="AE40" i="3"/>
  <c r="T75" i="3"/>
  <c r="AE32" i="3"/>
  <c r="AC13" i="3"/>
  <c r="AD14" i="3"/>
  <c r="T13" i="3"/>
  <c r="AE14" i="3"/>
  <c r="AE77" i="3"/>
  <c r="T67" i="3"/>
  <c r="AE73" i="3"/>
  <c r="T60" i="3"/>
  <c r="AD70" i="3"/>
  <c r="T25" i="3"/>
  <c r="AE62" i="3"/>
  <c r="AE54" i="3"/>
  <c r="T39" i="3"/>
  <c r="AE46" i="3"/>
  <c r="AD77" i="3"/>
  <c r="AE76" i="3"/>
  <c r="AD73" i="3"/>
  <c r="AE72" i="3"/>
  <c r="AD69" i="3"/>
  <c r="AE68" i="3"/>
  <c r="T53" i="3"/>
  <c r="AD64" i="3"/>
  <c r="AD62" i="3"/>
  <c r="T27" i="3"/>
  <c r="AE60" i="3"/>
  <c r="T17" i="3"/>
  <c r="AD56" i="3"/>
  <c r="AD54" i="3"/>
  <c r="T49" i="3"/>
  <c r="AE52" i="3"/>
  <c r="T31" i="3"/>
  <c r="AD48" i="3"/>
  <c r="AD46" i="3"/>
  <c r="T77" i="3"/>
  <c r="AE44" i="3"/>
  <c r="T47" i="3"/>
  <c r="AD40" i="3"/>
  <c r="AD38" i="3"/>
  <c r="T63" i="3"/>
  <c r="AE36" i="3"/>
  <c r="T29" i="3"/>
  <c r="AD32" i="3"/>
  <c r="AD30" i="3"/>
  <c r="T38" i="3"/>
  <c r="AE28" i="3"/>
  <c r="AD21" i="3"/>
  <c r="T61" i="3"/>
  <c r="AE21" i="3"/>
  <c r="AE65" i="3"/>
  <c r="AC52" i="3"/>
  <c r="AE57" i="3"/>
  <c r="AC70" i="3"/>
  <c r="AE49" i="3"/>
  <c r="AC44" i="3"/>
  <c r="AE41" i="3"/>
  <c r="AC55" i="3"/>
  <c r="AE33" i="3"/>
  <c r="AC75" i="3"/>
  <c r="AC73" i="3"/>
  <c r="AD26" i="3"/>
  <c r="AC42" i="3"/>
  <c r="AD18" i="3"/>
  <c r="T42" i="3"/>
  <c r="AE18" i="3"/>
  <c r="AE17" i="3"/>
  <c r="T32" i="3"/>
  <c r="AE13" i="3"/>
  <c r="T58" i="3"/>
  <c r="AE9" i="3"/>
  <c r="T8" i="3"/>
  <c r="AE24" i="3"/>
  <c r="AE20" i="3"/>
  <c r="AE16" i="3"/>
  <c r="AE12" i="3"/>
  <c r="AE8" i="3"/>
  <c r="M34" i="3"/>
  <c r="R34" i="3"/>
  <c r="S34" i="3"/>
  <c r="U34" i="3"/>
  <c r="AD34" i="3" s="1"/>
  <c r="V34" i="3"/>
  <c r="X34" i="3"/>
  <c r="W34" i="3"/>
  <c r="S92" i="1" l="1"/>
  <c r="S38" i="1"/>
  <c r="S19" i="1"/>
  <c r="T34" i="3"/>
  <c r="AE34" i="3"/>
  <c r="Y34" i="3"/>
  <c r="AC34" i="3"/>
  <c r="K13" i="1" l="1"/>
  <c r="L13" i="1"/>
  <c r="M13" i="1"/>
  <c r="N13" i="1" s="1"/>
  <c r="V13" i="1"/>
  <c r="Y13" i="1"/>
  <c r="Z13" i="1"/>
  <c r="AB13" i="1"/>
  <c r="AC13" i="1"/>
  <c r="AD13" i="1"/>
  <c r="X14" i="1" s="1"/>
  <c r="AE13" i="1"/>
  <c r="AF13" i="1"/>
  <c r="AM13" i="1"/>
  <c r="AN13" i="1"/>
  <c r="AA13" i="1" l="1"/>
  <c r="AG13" i="1"/>
  <c r="T13" i="1" l="1"/>
  <c r="U13" i="1" s="1"/>
  <c r="S13" i="1" s="1"/>
  <c r="X13" i="1"/>
  <c r="AI13" i="1"/>
  <c r="W13" i="1"/>
  <c r="O2" i="3" l="1"/>
  <c r="M28" i="5" l="1"/>
  <c r="M23" i="5" l="1"/>
  <c r="AD7" i="3" l="1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4" i="6" l="1"/>
  <c r="B31" i="9"/>
  <c r="B32" i="9"/>
  <c r="C33" i="9" s="1"/>
  <c r="F4" i="6" l="1"/>
  <c r="G4" i="6"/>
  <c r="I4" i="6"/>
  <c r="J4" i="6"/>
  <c r="B5" i="6"/>
  <c r="C32" i="9"/>
  <c r="G5" i="6" l="1"/>
  <c r="I5" i="6"/>
  <c r="F5" i="6"/>
  <c r="H5" i="6"/>
  <c r="J5" i="6"/>
  <c r="B6" i="6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N36" i="3" s="1"/>
  <c r="G25" i="4"/>
  <c r="N24" i="3" s="1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N33" i="3" s="1"/>
  <c r="G41" i="4"/>
  <c r="G42" i="4"/>
  <c r="G43" i="4"/>
  <c r="G44" i="4"/>
  <c r="G45" i="4"/>
  <c r="N13" i="3" s="1"/>
  <c r="G46" i="4"/>
  <c r="G47" i="4"/>
  <c r="G48" i="4"/>
  <c r="N58" i="3" s="1"/>
  <c r="G49" i="4"/>
  <c r="G50" i="4"/>
  <c r="G51" i="4"/>
  <c r="G52" i="4"/>
  <c r="G53" i="4"/>
  <c r="G54" i="4"/>
  <c r="G55" i="4"/>
  <c r="G56" i="4"/>
  <c r="N30" i="3" s="1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N61" i="3" s="1"/>
  <c r="G73" i="4"/>
  <c r="G74" i="4"/>
  <c r="N18" i="3" s="1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N74" i="3" s="1"/>
  <c r="G89" i="4"/>
  <c r="G90" i="4"/>
  <c r="G91" i="4"/>
  <c r="G92" i="4"/>
  <c r="G93" i="4"/>
  <c r="G94" i="4"/>
  <c r="G95" i="4"/>
  <c r="G96" i="4"/>
  <c r="G97" i="4"/>
  <c r="G98" i="4"/>
  <c r="N23" i="3" s="1"/>
  <c r="G99" i="4"/>
  <c r="G100" i="4"/>
  <c r="N54" i="3" s="1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N38" i="3" s="1"/>
  <c r="G132" i="4"/>
  <c r="G133" i="4"/>
  <c r="N45" i="3" s="1"/>
  <c r="G134" i="4"/>
  <c r="G135" i="4"/>
  <c r="G136" i="4"/>
  <c r="G137" i="4"/>
  <c r="N57" i="3" s="1"/>
  <c r="G138" i="4"/>
  <c r="G139" i="4"/>
  <c r="N46" i="3" s="1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N29" i="3" s="1"/>
  <c r="G153" i="4"/>
  <c r="G154" i="4"/>
  <c r="G155" i="4"/>
  <c r="G156" i="4"/>
  <c r="G157" i="4"/>
  <c r="G158" i="4"/>
  <c r="N55" i="3" s="1"/>
  <c r="G159" i="4"/>
  <c r="G160" i="4"/>
  <c r="G161" i="4"/>
  <c r="N47" i="3" s="1"/>
  <c r="G162" i="4"/>
  <c r="N69" i="3" s="1"/>
  <c r="G163" i="4"/>
  <c r="G164" i="4"/>
  <c r="G165" i="4"/>
  <c r="G166" i="4"/>
  <c r="G167" i="4"/>
  <c r="G168" i="4"/>
  <c r="G169" i="4"/>
  <c r="N59" i="3" s="1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N44" i="3" s="1"/>
  <c r="G183" i="4"/>
  <c r="G184" i="4"/>
  <c r="G185" i="4"/>
  <c r="G186" i="4"/>
  <c r="N39" i="3" s="1"/>
  <c r="G187" i="4"/>
  <c r="N48" i="3" s="1"/>
  <c r="G188" i="4"/>
  <c r="G189" i="4"/>
  <c r="G190" i="4"/>
  <c r="N34" i="3" s="1"/>
  <c r="G191" i="4"/>
  <c r="G192" i="4"/>
  <c r="G193" i="4"/>
  <c r="G194" i="4"/>
  <c r="G195" i="4"/>
  <c r="G196" i="4"/>
  <c r="G197" i="4"/>
  <c r="N50" i="3" s="1"/>
  <c r="G198" i="4"/>
  <c r="G199" i="4"/>
  <c r="G200" i="4"/>
  <c r="G201" i="4"/>
  <c r="G202" i="4"/>
  <c r="N7" i="3" s="1"/>
  <c r="G203" i="4"/>
  <c r="G204" i="4"/>
  <c r="G205" i="4"/>
  <c r="G206" i="4"/>
  <c r="N22" i="3" s="1"/>
  <c r="G207" i="4"/>
  <c r="G208" i="4"/>
  <c r="G209" i="4"/>
  <c r="G210" i="4"/>
  <c r="G211" i="4"/>
  <c r="G212" i="4"/>
  <c r="G213" i="4"/>
  <c r="G214" i="4"/>
  <c r="N70" i="3" s="1"/>
  <c r="G215" i="4"/>
  <c r="N17" i="3" s="1"/>
  <c r="G216" i="4"/>
  <c r="N51" i="3" s="1"/>
  <c r="G217" i="4"/>
  <c r="G218" i="4"/>
  <c r="G219" i="4"/>
  <c r="N62" i="3" s="1"/>
  <c r="G220" i="4"/>
  <c r="G221" i="4"/>
  <c r="G222" i="4"/>
  <c r="G223" i="4"/>
  <c r="N25" i="3" s="1"/>
  <c r="G224" i="4"/>
  <c r="N53" i="3" s="1"/>
  <c r="G225" i="4"/>
  <c r="G226" i="4"/>
  <c r="G227" i="4"/>
  <c r="G228" i="4"/>
  <c r="G229" i="4"/>
  <c r="G230" i="4"/>
  <c r="G231" i="4"/>
  <c r="G232" i="4"/>
  <c r="G233" i="4"/>
  <c r="N56" i="3" s="1"/>
  <c r="G234" i="4"/>
  <c r="G235" i="4"/>
  <c r="G236" i="4"/>
  <c r="G237" i="4"/>
  <c r="G238" i="4"/>
  <c r="G239" i="4"/>
  <c r="G240" i="4"/>
  <c r="G241" i="4"/>
  <c r="G242" i="4"/>
  <c r="N65" i="3" s="1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N60" i="3" s="1"/>
  <c r="G256" i="4"/>
  <c r="G257" i="4"/>
  <c r="G258" i="4"/>
  <c r="G2" i="4"/>
  <c r="N49" i="3" l="1"/>
  <c r="N31" i="3"/>
  <c r="N77" i="3"/>
  <c r="N64" i="3"/>
  <c r="N68" i="3"/>
  <c r="N67" i="3"/>
  <c r="N66" i="3"/>
  <c r="N37" i="3"/>
  <c r="N42" i="3"/>
  <c r="N11" i="3"/>
  <c r="N12" i="3"/>
  <c r="N21" i="3"/>
  <c r="N15" i="3"/>
  <c r="N14" i="3"/>
  <c r="N43" i="3"/>
  <c r="N16" i="3"/>
  <c r="N40" i="3"/>
  <c r="N63" i="3"/>
  <c r="N76" i="3"/>
  <c r="N75" i="3"/>
  <c r="N73" i="3"/>
  <c r="N71" i="3"/>
  <c r="N72" i="3"/>
  <c r="N8" i="3"/>
  <c r="N9" i="3"/>
  <c r="N41" i="3"/>
  <c r="N10" i="3"/>
  <c r="N28" i="3"/>
  <c r="N32" i="3"/>
  <c r="N27" i="3"/>
  <c r="N20" i="3"/>
  <c r="N19" i="3"/>
  <c r="N52" i="3"/>
  <c r="N26" i="3"/>
  <c r="H4" i="6"/>
  <c r="F6" i="6"/>
  <c r="I6" i="6"/>
  <c r="G6" i="6"/>
  <c r="H6" i="6"/>
  <c r="J6" i="6"/>
  <c r="B7" i="6"/>
  <c r="G7" i="6" l="1"/>
  <c r="I7" i="6"/>
  <c r="J7" i="6"/>
  <c r="F7" i="6"/>
  <c r="H7" i="6"/>
  <c r="B8" i="6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F8" i="6" l="1"/>
  <c r="G8" i="6"/>
  <c r="I8" i="6"/>
  <c r="J8" i="6"/>
  <c r="H8" i="6"/>
  <c r="B9" i="6"/>
  <c r="C26" i="9"/>
  <c r="B1" i="9"/>
  <c r="C1" i="9" s="1"/>
  <c r="C4" i="9"/>
  <c r="C7" i="9"/>
  <c r="C24" i="9"/>
  <c r="C10" i="9"/>
  <c r="C15" i="9"/>
  <c r="C30" i="9"/>
  <c r="C16" i="9"/>
  <c r="C29" i="9"/>
  <c r="C12" i="9"/>
  <c r="C13" i="9"/>
  <c r="G9" i="6" l="1"/>
  <c r="H9" i="6"/>
  <c r="J9" i="6"/>
  <c r="I9" i="6"/>
  <c r="F9" i="6"/>
  <c r="B10" i="6"/>
  <c r="C25" i="9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B11" i="6" l="1"/>
  <c r="F10" i="6"/>
  <c r="G10" i="6"/>
  <c r="I10" i="6"/>
  <c r="H10" i="6"/>
  <c r="J10" i="6"/>
  <c r="M30" i="5"/>
  <c r="M29" i="5"/>
  <c r="M27" i="5"/>
  <c r="G11" i="6" l="1"/>
  <c r="I11" i="6"/>
  <c r="J11" i="6"/>
  <c r="H11" i="6"/>
  <c r="F11" i="6"/>
  <c r="B12" i="6"/>
  <c r="M26" i="5"/>
  <c r="AH13" i="1" l="1"/>
  <c r="B13" i="6"/>
  <c r="F12" i="6"/>
  <c r="G12" i="6"/>
  <c r="H12" i="6"/>
  <c r="J12" i="6"/>
  <c r="I12" i="6"/>
  <c r="J7" i="1"/>
  <c r="G13" i="6" l="1"/>
  <c r="F13" i="6"/>
  <c r="H13" i="6"/>
  <c r="J13" i="6"/>
  <c r="I13" i="6"/>
  <c r="B14" i="6"/>
  <c r="X6" i="1"/>
  <c r="W6" i="1"/>
  <c r="V6" i="1"/>
  <c r="S6" i="1"/>
  <c r="R2" i="1"/>
  <c r="I2" i="1"/>
  <c r="O6" i="1"/>
  <c r="N6" i="1"/>
  <c r="M6" i="1"/>
  <c r="J6" i="1"/>
  <c r="B15" i="6" l="1"/>
  <c r="I14" i="6"/>
  <c r="G14" i="6"/>
  <c r="H14" i="6"/>
  <c r="J14" i="6"/>
  <c r="F14" i="6"/>
  <c r="P3" i="5"/>
  <c r="G15" i="6" l="1"/>
  <c r="I15" i="6"/>
  <c r="J15" i="6"/>
  <c r="F15" i="6"/>
  <c r="H15" i="6"/>
  <c r="B16" i="6"/>
  <c r="M18" i="5"/>
  <c r="B17" i="6" l="1"/>
  <c r="F16" i="6"/>
  <c r="G16" i="6"/>
  <c r="I16" i="6"/>
  <c r="J16" i="6"/>
  <c r="H16" i="6"/>
  <c r="G282" i="4"/>
  <c r="G283" i="4"/>
  <c r="G284" i="4"/>
  <c r="G285" i="4"/>
  <c r="G286" i="4"/>
  <c r="G287" i="4"/>
  <c r="G288" i="4"/>
  <c r="G289" i="4"/>
  <c r="N35" i="3" s="1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G17" i="6" l="1"/>
  <c r="I17" i="6"/>
  <c r="J17" i="6"/>
  <c r="F17" i="6"/>
  <c r="H17" i="6"/>
  <c r="B18" i="6"/>
  <c r="V5" i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B19" i="6" l="1"/>
  <c r="F18" i="6"/>
  <c r="G18" i="6"/>
  <c r="I18" i="6"/>
  <c r="H18" i="6"/>
  <c r="J18" i="6"/>
  <c r="G259" i="4"/>
  <c r="G260" i="4"/>
  <c r="G261" i="4"/>
  <c r="G262" i="4"/>
  <c r="G263" i="4"/>
  <c r="G264" i="4"/>
  <c r="G265" i="4"/>
  <c r="B20" i="6" l="1"/>
  <c r="G19" i="6"/>
  <c r="I19" i="6"/>
  <c r="H19" i="6"/>
  <c r="J19" i="6"/>
  <c r="F19" i="6"/>
  <c r="M14" i="5"/>
  <c r="M13" i="5"/>
  <c r="M12" i="5"/>
  <c r="M11" i="5"/>
  <c r="M10" i="5"/>
  <c r="M9" i="5"/>
  <c r="M8" i="5"/>
  <c r="M7" i="5"/>
  <c r="M6" i="5"/>
  <c r="M5" i="5"/>
  <c r="M4" i="5"/>
  <c r="M3" i="5"/>
  <c r="F20" i="6" l="1"/>
  <c r="G20" i="6"/>
  <c r="I20" i="6"/>
  <c r="J20" i="6"/>
  <c r="H20" i="6"/>
  <c r="B21" i="6"/>
  <c r="O3" i="3"/>
  <c r="H21" i="6" l="1"/>
  <c r="I21" i="6"/>
  <c r="F21" i="6"/>
  <c r="G21" i="6"/>
  <c r="J21" i="6"/>
  <c r="B22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23" i="6" l="1"/>
  <c r="F23" i="6" s="1"/>
  <c r="F22" i="6"/>
  <c r="G22" i="6"/>
  <c r="I22" i="6"/>
  <c r="H22" i="6"/>
  <c r="J22" i="6"/>
  <c r="J8" i="1"/>
  <c r="J4" i="1"/>
  <c r="S8" i="1"/>
  <c r="S4" i="1"/>
  <c r="J23" i="6" l="1"/>
  <c r="I23" i="6"/>
  <c r="G23" i="6"/>
  <c r="H23" i="6"/>
  <c r="B24" i="6"/>
  <c r="S9" i="1"/>
  <c r="J9" i="1"/>
  <c r="B25" i="6" l="1"/>
  <c r="H24" i="6"/>
  <c r="J24" i="6"/>
  <c r="F24" i="6"/>
  <c r="G24" i="6"/>
  <c r="I24" i="6"/>
  <c r="S11" i="1"/>
  <c r="A11" i="1"/>
  <c r="B26" i="6" l="1"/>
  <c r="F25" i="6"/>
  <c r="I25" i="6"/>
  <c r="J25" i="6"/>
  <c r="G25" i="6"/>
  <c r="H25" i="6"/>
  <c r="B1" i="6"/>
  <c r="A5" i="3"/>
  <c r="B27" i="6" l="1"/>
  <c r="G26" i="6"/>
  <c r="H26" i="6"/>
  <c r="F26" i="6"/>
  <c r="I26" i="6"/>
  <c r="J26" i="6"/>
  <c r="G27" i="6" l="1"/>
  <c r="H27" i="6"/>
  <c r="I27" i="6"/>
  <c r="J27" i="6"/>
  <c r="F27" i="6"/>
  <c r="B28" i="6"/>
  <c r="H28" i="6" l="1"/>
  <c r="F28" i="6"/>
  <c r="G28" i="6"/>
  <c r="I28" i="6"/>
  <c r="J28" i="6"/>
  <c r="B29" i="6"/>
  <c r="B30" i="6" l="1"/>
  <c r="G29" i="6"/>
  <c r="H29" i="6"/>
  <c r="I29" i="6"/>
  <c r="J29" i="6"/>
  <c r="F29" i="6"/>
  <c r="B31" i="6" l="1"/>
  <c r="I30" i="6"/>
  <c r="G30" i="6"/>
  <c r="F30" i="6"/>
  <c r="H30" i="6"/>
  <c r="J30" i="6"/>
  <c r="G31" i="6" l="1"/>
  <c r="F31" i="6"/>
  <c r="H31" i="6"/>
  <c r="I31" i="6"/>
  <c r="J31" i="6"/>
  <c r="B32" i="6"/>
  <c r="H32" i="6" l="1"/>
  <c r="J32" i="6"/>
  <c r="F32" i="6"/>
  <c r="G32" i="6"/>
  <c r="I32" i="6"/>
  <c r="B33" i="6"/>
  <c r="B34" i="6" l="1"/>
  <c r="F33" i="6"/>
  <c r="G33" i="6"/>
  <c r="I33" i="6"/>
  <c r="H33" i="6"/>
  <c r="J33" i="6"/>
  <c r="F34" i="6" l="1"/>
  <c r="G34" i="6"/>
  <c r="J34" i="6"/>
  <c r="H34" i="6"/>
  <c r="I34" i="6"/>
  <c r="B35" i="6"/>
  <c r="G35" i="6" l="1"/>
  <c r="J35" i="6"/>
  <c r="F35" i="6"/>
  <c r="H35" i="6"/>
  <c r="I35" i="6"/>
  <c r="B36" i="6"/>
  <c r="B37" i="6" l="1"/>
  <c r="F36" i="6"/>
  <c r="G36" i="6"/>
  <c r="H36" i="6"/>
  <c r="I36" i="6"/>
  <c r="J36" i="6"/>
  <c r="B38" i="6" l="1"/>
  <c r="J37" i="6"/>
  <c r="F37" i="6"/>
  <c r="I37" i="6"/>
  <c r="G37" i="6"/>
  <c r="H37" i="6"/>
  <c r="B39" i="6" l="1"/>
  <c r="G38" i="6"/>
  <c r="H38" i="6"/>
  <c r="F38" i="6"/>
  <c r="I38" i="6"/>
  <c r="J38" i="6"/>
  <c r="G39" i="6" l="1"/>
  <c r="I39" i="6"/>
  <c r="J39" i="6"/>
  <c r="F39" i="6"/>
  <c r="H39" i="6"/>
  <c r="B40" i="6"/>
  <c r="B41" i="6" l="1"/>
  <c r="J40" i="6"/>
  <c r="F40" i="6"/>
  <c r="H40" i="6"/>
  <c r="G40" i="6"/>
  <c r="I40" i="6"/>
  <c r="B42" i="6" l="1"/>
  <c r="H41" i="6"/>
  <c r="F41" i="6"/>
  <c r="I41" i="6"/>
  <c r="J41" i="6"/>
  <c r="G41" i="6"/>
  <c r="B44" i="6" l="1"/>
  <c r="B43" i="6"/>
  <c r="G42" i="6"/>
  <c r="H42" i="6"/>
  <c r="F42" i="6"/>
  <c r="I42" i="6"/>
  <c r="J42" i="6"/>
  <c r="G43" i="6" l="1"/>
  <c r="H43" i="6"/>
  <c r="I43" i="6"/>
  <c r="J43" i="6"/>
  <c r="F43" i="6"/>
  <c r="H44" i="6"/>
  <c r="J44" i="6"/>
  <c r="G44" i="6"/>
  <c r="I44" i="6"/>
  <c r="F44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<sst xmlns="http://schemas.openxmlformats.org/spreadsheetml/2006/main" count="3319" uniqueCount="1095">
  <si>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</si>
  <si>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</si>
  <si>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</si>
  <si>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</si>
  <si>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</si>
  <si>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</si>
  <si>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</si>
  <si>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</si>
  <si>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</si>
  <si>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</si>
  <si>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</si>
  <si>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</si>
  <si>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</si>
  <si>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</si>
  <si>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</si>
  <si>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</si>
  <si>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</si>
  <si>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</si>
  <si>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</si>
  <si>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</si>
  <si>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</si>
  <si>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</si>
  <si>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</si>
  <si>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</si>
  <si>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</si>
  <si>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</si>
  <si>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</si>
  <si>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</si>
  <si>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</si>
  <si>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</si>
  <si>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</si>
  <si>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</si>
  <si>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</si>
  <si>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</si>
  <si>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</si>
  <si>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</si>
  <si>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</si>
  <si>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</si>
  <si>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</si>
  <si>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</si>
  <si>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</si>
  <si>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</si>
  <si>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</si>
  <si>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</si>
  <si>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</si>
  <si>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</si>
  <si>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</si>
  <si>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</si>
  <si>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</si>
  <si>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</si>
  <si>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</si>
  <si>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</si>
  <si>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</si>
  <si>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</si>
  <si>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</si>
  <si>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</si>
  <si>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</si>
  <si>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</si>
  <si>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</si>
  <si>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</si>
  <si>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</si>
  <si>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</si>
  <si>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</si>
  <si>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</si>
  <si>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</si>
  <si>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</si>
  <si>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</si>
  <si>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</si>
  <si>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</si>
  <si>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</si>
  <si>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</si>
  <si>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</si>
  <si>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</si>
  <si>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</si>
  <si>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</si>
  <si>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</si>
  <si>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</si>
  <si>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</si>
  <si>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</si>
  <si>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</si>
  <si>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</si>
  <si>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</si>
  <si>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</si>
  <si>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</si>
  <si>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</si>
  <si>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</si>
  <si>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</si>
  <si>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</si>
  <si>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</si>
  <si>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</si>
  <si>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</si>
  <si>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</si>
  <si>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</si>
  <si>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</si>
  <si>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</si>
  <si>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</si>
  <si>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</si>
  <si>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</si>
  <si>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</si>
  <si>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</si>
  <si>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</si>
  <si>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</si>
  <si>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</si>
  <si>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</si>
  <si>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</si>
  <si>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</si>
  <si>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</si>
  <si>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</si>
  <si>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</si>
  <si>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</si>
  <si>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</si>
  <si>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</si>
  <si>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</si>
  <si>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</si>
  <si>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</si>
  <si>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</si>
  <si>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</si>
  <si>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</si>
  <si>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</si>
  <si>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</si>
  <si>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</si>
  <si>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</si>
  <si>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</si>
  <si>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</si>
  <si>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</si>
  <si>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</si>
  <si>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</si>
  <si>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</si>
  <si>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</si>
  <si>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</si>
  <si>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</si>
  <si>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</si>
  <si>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</si>
  <si>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</si>
  <si>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</si>
  <si>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</si>
  <si>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</si>
  <si>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</si>
  <si>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</si>
  <si>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</si>
  <si>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</si>
  <si>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</si>
  <si>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</si>
  <si>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</si>
  <si>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</si>
  <si>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</si>
  <si>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</si>
  <si>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</si>
  <si>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</si>
  <si>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</si>
  <si>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</si>
  <si>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</si>
  <si>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</si>
  <si>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</si>
  <si>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</si>
  <si>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</si>
  <si>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</si>
  <si>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</si>
  <si>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</si>
  <si>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</si>
  <si>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</si>
  <si>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</si>
  <si>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</si>
  <si>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</si>
  <si>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</si>
  <si>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</si>
  <si>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</si>
  <si>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</si>
  <si>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</si>
  <si>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</si>
  <si>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</si>
  <si>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</si>
  <si>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</si>
  <si>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</si>
  <si>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</si>
  <si>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</si>
  <si>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</si>
  <si>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</si>
  <si>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</si>
  <si>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</si>
  <si>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</si>
  <si>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</si>
  <si>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</si>
  <si>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</si>
  <si>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</si>
  <si>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</si>
  <si>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</si>
  <si>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</si>
  <si>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</si>
  <si>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</si>
  <si>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</si>
  <si>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MICHAEL</t>
  </si>
  <si>
    <t>204:152</t>
  </si>
  <si>
    <t>AWS CP Parallel</t>
  </si>
  <si>
    <t>DownloadS3Logs</t>
  </si>
  <si>
    <t>%USERPROFILE%\Documents\GitHub\eaglep3\Utilities\DownloadLogsFromS3.py</t>
  </si>
  <si>
    <t>204:457</t>
  </si>
  <si>
    <t>204:460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</si>
  <si>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</si>
  <si>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</si>
  <si>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</si>
  <si>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</si>
  <si>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</si>
  <si>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</si>
  <si>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</si>
  <si>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</si>
  <si>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</si>
  <si>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</si>
  <si>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</si>
  <si>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</si>
  <si>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</si>
  <si>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</si>
  <si>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</si>
  <si>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</si>
  <si>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</si>
  <si>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</si>
  <si>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</si>
  <si>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</si>
  <si>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</si>
  <si>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</si>
  <si>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</si>
  <si>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</si>
  <si>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</si>
  <si>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</si>
  <si>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</si>
  <si>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</si>
  <si>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</si>
  <si>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</si>
  <si>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</si>
  <si>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</si>
  <si>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</si>
  <si>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</si>
  <si>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</si>
  <si>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</si>
  <si>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</si>
  <si>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</si>
  <si>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</si>
  <si>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</si>
  <si>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</si>
  <si>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</si>
  <si>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</si>
  <si>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</si>
  <si>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</si>
  <si>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</si>
  <si>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</si>
  <si>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</si>
  <si>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</si>
  <si>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</si>
  <si>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</si>
  <si>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</si>
  <si>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</si>
  <si>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</si>
  <si>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</si>
  <si>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</si>
  <si>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</si>
  <si>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</si>
  <si>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</si>
  <si>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</si>
  <si>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</si>
  <si>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</si>
  <si>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</si>
  <si>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</si>
  <si>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</si>
  <si>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</si>
  <si>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</si>
  <si>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</si>
  <si>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</si>
  <si>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</si>
  <si>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</si>
  <si>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</si>
  <si>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</si>
  <si>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</si>
  <si>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</si>
  <si>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</si>
  <si>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</si>
  <si>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</si>
  <si>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</si>
  <si>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</si>
  <si>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</si>
  <si>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</si>
  <si>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</si>
  <si>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</si>
  <si>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</si>
  <si>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</si>
  <si>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</si>
  <si>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</si>
  <si>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</si>
  <si>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</si>
  <si>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</si>
  <si>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</si>
  <si>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</si>
  <si>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</si>
  <si>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</si>
  <si>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</si>
  <si>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</si>
  <si>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</si>
  <si>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</si>
  <si>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</si>
  <si>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</si>
  <si>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</si>
  <si>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</si>
  <si>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</si>
  <si>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</si>
  <si>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</si>
  <si>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</si>
  <si>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</si>
  <si>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</si>
  <si>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</si>
  <si>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</si>
  <si>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</si>
  <si>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</si>
  <si>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</si>
  <si>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</si>
  <si>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</si>
  <si>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</si>
  <si>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</si>
  <si>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</si>
  <si>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</si>
  <si>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</si>
  <si>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</si>
  <si>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</si>
  <si>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</si>
  <si>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</si>
  <si>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</si>
  <si>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</si>
  <si>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</si>
  <si>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</si>
  <si>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</si>
  <si>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</si>
  <si>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</si>
  <si>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</si>
  <si>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</si>
  <si>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</si>
  <si>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</si>
  <si>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</si>
  <si>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</si>
  <si>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</si>
  <si>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rtdc.l.rtdc.4028:itc</t>
  </si>
  <si>
    <t>rtdc.l.rtdc.4027:itc</t>
  </si>
  <si>
    <t>rtdc.l.rtdc.4022:itc</t>
  </si>
  <si>
    <t>SMITH</t>
  </si>
  <si>
    <t>204:449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</si>
  <si>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</si>
  <si>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</si>
  <si>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</si>
  <si>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</si>
  <si>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</si>
  <si>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</si>
  <si>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</si>
  <si>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204:466</t>
  </si>
  <si>
    <t>204:451</t>
  </si>
  <si>
    <t>300:23346</t>
  </si>
  <si>
    <t>204:453</t>
  </si>
  <si>
    <t>204:447</t>
  </si>
  <si>
    <t>204:139</t>
  </si>
  <si>
    <t>rtdc.l.rtdc.4042:itc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</si>
  <si>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</si>
  <si>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</si>
  <si>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</si>
  <si>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SIGNAL</t>
  </si>
  <si>
    <t>Signal based authority (5)</t>
  </si>
  <si>
    <t>rtdc.l.rtdc.4033:itc</t>
  </si>
  <si>
    <t>rtdc.l.rtdc.4034:itc</t>
  </si>
  <si>
    <t>rtdc.l.rtdc.4021:itc</t>
  </si>
  <si>
    <t>THOMAS</t>
  </si>
  <si>
    <t>rtdc.l.rtdc.4013:itc</t>
  </si>
  <si>
    <t>rtdc.l.rtdc.4039:itc</t>
  </si>
  <si>
    <t>66-08</t>
  </si>
  <si>
    <t>72-08</t>
  </si>
  <si>
    <t>rtdc.l.rtdc.4040:itc</t>
  </si>
  <si>
    <t>244-08</t>
  </si>
  <si>
    <t>rtdc.l.rtdc.4014:itc</t>
  </si>
  <si>
    <t>LAMAR</t>
  </si>
  <si>
    <t>NEKESHA</t>
  </si>
  <si>
    <t>CHANDLER</t>
  </si>
  <si>
    <t>KELVIN</t>
  </si>
  <si>
    <t>GUZMAN</t>
  </si>
  <si>
    <t>DANNY</t>
  </si>
  <si>
    <t>BIRENBAUM</t>
  </si>
  <si>
    <t>WILLIAMS</t>
  </si>
  <si>
    <t>DONTE</t>
  </si>
  <si>
    <t>ZEWDU</t>
  </si>
  <si>
    <t>DEREJE</t>
  </si>
  <si>
    <t>242-08</t>
  </si>
  <si>
    <t>309-08</t>
  </si>
  <si>
    <t>311-08</t>
  </si>
  <si>
    <t>313-08</t>
  </si>
  <si>
    <t>204:462</t>
  </si>
  <si>
    <t>SULLIVAN</t>
  </si>
  <si>
    <t>BRANDON</t>
  </si>
  <si>
    <t>204:154</t>
  </si>
  <si>
    <t>rtdc.l.rtdc.4049:itc</t>
  </si>
  <si>
    <t>rtdc.l.rtdc.4050:itc</t>
  </si>
  <si>
    <t>rtdc.l.rtdc.4059:itc</t>
  </si>
  <si>
    <t>rtdc.l.rtdc.4060:itc</t>
  </si>
  <si>
    <t>Y</t>
  </si>
  <si>
    <t>DAVIS</t>
  </si>
  <si>
    <t>204:145</t>
  </si>
  <si>
    <t>rtdc.l.rtdc.4043:itc</t>
  </si>
  <si>
    <t>rtdc.l.rtdc.4019:itc</t>
  </si>
  <si>
    <t>rtdc.l.rtdc.4020:itc</t>
  </si>
  <si>
    <t>rtdc.l.rtdc.4044:itc</t>
  </si>
  <si>
    <t>FORTUNATO</t>
  </si>
  <si>
    <t>FRANK</t>
  </si>
  <si>
    <t>M - F = 49 trips</t>
  </si>
  <si>
    <t>Sat - Sun = 35 Trips</t>
  </si>
  <si>
    <t>204:467</t>
  </si>
  <si>
    <t>204:156</t>
  </si>
  <si>
    <t>rtdc.l.rtdc.4001:itc</t>
  </si>
  <si>
    <t>rtdc.l.rtdc.4002:itc</t>
  </si>
  <si>
    <t>204:232971</t>
  </si>
  <si>
    <t>204:232996</t>
  </si>
  <si>
    <t>204:469</t>
  </si>
  <si>
    <t>204:442</t>
  </si>
  <si>
    <t>clear-night</t>
  </si>
  <si>
    <t>Clear</t>
  </si>
  <si>
    <t>clear-day</t>
  </si>
  <si>
    <t>204:138</t>
  </si>
  <si>
    <t>rtdc.l.rtdc.4032:itc</t>
  </si>
  <si>
    <t>uvIndex</t>
  </si>
  <si>
    <t>windGust</t>
  </si>
  <si>
    <t>204:455</t>
  </si>
  <si>
    <t>204:464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</si>
  <si>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</si>
  <si>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</si>
  <si>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</si>
  <si>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</si>
  <si>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</si>
  <si>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</si>
  <si>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</si>
  <si>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</si>
  <si>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partly-cloudy-day</t>
  </si>
  <si>
    <t>Partly Cloudy</t>
  </si>
  <si>
    <t>204:232986</t>
  </si>
  <si>
    <t>204:161</t>
  </si>
  <si>
    <t>204:233305</t>
  </si>
  <si>
    <t>204:232977</t>
  </si>
  <si>
    <t>204:232978</t>
  </si>
  <si>
    <t>204:458</t>
  </si>
  <si>
    <t>204:473</t>
  </si>
  <si>
    <t>204:233000</t>
  </si>
  <si>
    <t>rtdc.l.rtdc.4010:itc</t>
  </si>
  <si>
    <t>204:233308</t>
  </si>
  <si>
    <t>204:974</t>
  </si>
  <si>
    <t>204:233312</t>
  </si>
  <si>
    <t>204:444</t>
  </si>
  <si>
    <t>204:232984</t>
  </si>
  <si>
    <t>204:440</t>
  </si>
  <si>
    <t>300:58634</t>
  </si>
  <si>
    <t>Early arrival</t>
  </si>
  <si>
    <t>204:163</t>
  </si>
  <si>
    <t>204:233289</t>
  </si>
  <si>
    <t>204:232973</t>
  </si>
  <si>
    <t>204:437</t>
  </si>
  <si>
    <t>204:475</t>
  </si>
  <si>
    <t>204:687</t>
  </si>
  <si>
    <t>Wi-MAX data drop</t>
  </si>
  <si>
    <t>rtdc.l.rtdc.4031:itc</t>
  </si>
  <si>
    <t>rtdc.l.rtdc.4057:itc</t>
  </si>
  <si>
    <t>rtdc.l.rtdc.4058:itc</t>
  </si>
  <si>
    <t>204:232989</t>
  </si>
  <si>
    <t>204:233293</t>
  </si>
  <si>
    <t>204:971</t>
  </si>
  <si>
    <t>300:58944</t>
  </si>
  <si>
    <t>300:58943</t>
  </si>
  <si>
    <t>300:23302</t>
  </si>
  <si>
    <t>204:429</t>
  </si>
  <si>
    <t>Onboard in-route failure</t>
  </si>
  <si>
    <t>BONDS</t>
  </si>
  <si>
    <t>REYNALDO</t>
  </si>
  <si>
    <t>STARKS</t>
  </si>
  <si>
    <t>ANGELINA</t>
  </si>
  <si>
    <t>HELVIE</t>
  </si>
  <si>
    <t>ADAM</t>
  </si>
  <si>
    <t>DE LA ROSA</t>
  </si>
  <si>
    <t>ALEX</t>
  </si>
  <si>
    <t>LEVERE</t>
  </si>
  <si>
    <t>CRAIG</t>
  </si>
  <si>
    <t>204:233291</t>
  </si>
  <si>
    <t>204:233319</t>
  </si>
  <si>
    <t>204:232980</t>
  </si>
  <si>
    <t>204:233282</t>
  </si>
  <si>
    <t>300:58621</t>
  </si>
  <si>
    <t>300:58946</t>
  </si>
  <si>
    <t>300:58632</t>
  </si>
  <si>
    <t>rtdc.l.rtdc.4011:itc</t>
  </si>
  <si>
    <t>SPECTOR</t>
  </si>
  <si>
    <t>rtdc.l.rtdc.4012:itc</t>
  </si>
  <si>
    <t>YANG</t>
  </si>
  <si>
    <t>JAN</t>
  </si>
  <si>
    <t>SANTIZO</t>
  </si>
  <si>
    <t>D. EDY</t>
  </si>
  <si>
    <t>STEWART</t>
  </si>
  <si>
    <t>LEVIN</t>
  </si>
  <si>
    <t>SCOTT</t>
  </si>
  <si>
    <t>precipType</t>
  </si>
  <si>
    <t>rain</t>
  </si>
  <si>
    <t>204:232992</t>
  </si>
  <si>
    <t>204:233297</t>
  </si>
  <si>
    <t>204:435</t>
  </si>
  <si>
    <t>204:233300</t>
  </si>
  <si>
    <t>204:233318</t>
  </si>
  <si>
    <t>204:233323</t>
  </si>
  <si>
    <t>204:232998</t>
  </si>
  <si>
    <t>204:233322</t>
  </si>
  <si>
    <t>204:233339</t>
  </si>
  <si>
    <t>204:233320</t>
  </si>
  <si>
    <t>204:233304</t>
  </si>
  <si>
    <t>300:23308</t>
  </si>
  <si>
    <t>204:678</t>
  </si>
  <si>
    <t>204:976</t>
  </si>
  <si>
    <t>204:988</t>
  </si>
  <si>
    <t>204:1013</t>
  </si>
  <si>
    <t>204:967</t>
  </si>
  <si>
    <t>300:58954</t>
  </si>
  <si>
    <t>Form C</t>
  </si>
  <si>
    <t>rtdc.l.rtdc.4061:itc</t>
  </si>
  <si>
    <t>rtdc.l.rtdc.4063:itc</t>
  </si>
  <si>
    <t>rtdc.l.rtdc.4062:itc</t>
  </si>
  <si>
    <t>rtdc.l.rtdc.4064:itc</t>
  </si>
  <si>
    <t>rtdc.l.rtdc.4003:itc</t>
  </si>
  <si>
    <t>WENDY</t>
  </si>
  <si>
    <t>rtdc.l.rtdc.4004:itc</t>
  </si>
  <si>
    <t>GEBRETEKLE</t>
  </si>
  <si>
    <t>DAGNEW</t>
  </si>
  <si>
    <t>YORK</t>
  </si>
  <si>
    <t>EDGAR</t>
  </si>
  <si>
    <t>DELGADO</t>
  </si>
  <si>
    <t>DIANAH</t>
  </si>
  <si>
    <t>HOLCOMB</t>
  </si>
  <si>
    <t>KAMDEN</t>
  </si>
  <si>
    <t>BERLING</t>
  </si>
  <si>
    <t>GARY</t>
  </si>
  <si>
    <t>Mostly Cloudy</t>
  </si>
  <si>
    <t>Light Rain</t>
  </si>
  <si>
    <t>partly-cloudy-night</t>
  </si>
  <si>
    <t>204:233321</t>
  </si>
  <si>
    <t>204:232993</t>
  </si>
  <si>
    <t>204:232967</t>
  </si>
  <si>
    <t>204:233295</t>
  </si>
  <si>
    <t>204:232964</t>
  </si>
  <si>
    <t>204:232981</t>
  </si>
  <si>
    <t>204:233306</t>
  </si>
  <si>
    <t>204:232994</t>
  </si>
  <si>
    <t>204:167</t>
  </si>
  <si>
    <t>204:233303</t>
  </si>
  <si>
    <t>204:233285</t>
  </si>
  <si>
    <t>204:232983</t>
  </si>
  <si>
    <t>204:478</t>
  </si>
  <si>
    <t>204:232990</t>
  </si>
  <si>
    <t>204:233332</t>
  </si>
  <si>
    <t>204:160</t>
  </si>
  <si>
    <t>204:233406</t>
  </si>
  <si>
    <t>204:233059</t>
  </si>
  <si>
    <t>204:165</t>
  </si>
  <si>
    <t>204:232963</t>
  </si>
  <si>
    <t>204:471</t>
  </si>
  <si>
    <t>204:232961</t>
  </si>
  <si>
    <t>300:23285</t>
  </si>
  <si>
    <t>300:112193</t>
  </si>
  <si>
    <t>300:112204</t>
  </si>
  <si>
    <t>300:112201</t>
  </si>
  <si>
    <t>300:112517</t>
  </si>
  <si>
    <t>300:23312</t>
  </si>
  <si>
    <t>300:58630</t>
  </si>
  <si>
    <t>300:58606</t>
  </si>
  <si>
    <t>300:58973</t>
  </si>
  <si>
    <t>300:58651</t>
  </si>
  <si>
    <t>204:957</t>
  </si>
  <si>
    <t>300:58924</t>
  </si>
  <si>
    <t>204:1156</t>
  </si>
  <si>
    <t>300:58611</t>
  </si>
  <si>
    <t>204:668</t>
  </si>
  <si>
    <t>204:670</t>
  </si>
  <si>
    <t>300:58967</t>
  </si>
  <si>
    <t>300:58653</t>
  </si>
  <si>
    <t>204:680</t>
  </si>
  <si>
    <t>300:58626</t>
  </si>
  <si>
    <t>204:964</t>
  </si>
  <si>
    <t>rtdc.l.rtdc.4023:itc</t>
  </si>
  <si>
    <t>102-30</t>
  </si>
  <si>
    <t>107-30</t>
  </si>
  <si>
    <t>104-30</t>
  </si>
  <si>
    <t>110-30</t>
  </si>
  <si>
    <t>802-30</t>
  </si>
  <si>
    <t>112-30</t>
  </si>
  <si>
    <t>rtdc.l.rtdc.4024:itc</t>
  </si>
  <si>
    <t>125-30</t>
  </si>
  <si>
    <t>124-30</t>
  </si>
  <si>
    <t>SWITCH UNKNOWN</t>
  </si>
  <si>
    <t>Track device (7)</t>
  </si>
  <si>
    <t>126-30</t>
  </si>
  <si>
    <t>rtdc.l.rtdc.4026:itc</t>
  </si>
  <si>
    <t>137-30</t>
  </si>
  <si>
    <t>rtdc.l.rtdc.4016:itc</t>
  </si>
  <si>
    <t>811-30</t>
  </si>
  <si>
    <t>61-30</t>
  </si>
  <si>
    <t>144-30</t>
  </si>
  <si>
    <t>815-30</t>
  </si>
  <si>
    <t>rtdc.l.rtdc.4015:itc</t>
  </si>
  <si>
    <t>820-30</t>
  </si>
  <si>
    <t>rtdc.l.rtdc.4041:itc</t>
  </si>
  <si>
    <t>162-30</t>
  </si>
  <si>
    <t>67-30</t>
  </si>
  <si>
    <t>171-30</t>
  </si>
  <si>
    <t>173-30</t>
  </si>
  <si>
    <t>69-30</t>
  </si>
  <si>
    <t>174-30</t>
  </si>
  <si>
    <t>176-30</t>
  </si>
  <si>
    <t>81-30</t>
  </si>
  <si>
    <t>823-30</t>
  </si>
  <si>
    <t>185-30</t>
  </si>
  <si>
    <t>824-30</t>
  </si>
  <si>
    <t>71-30</t>
  </si>
  <si>
    <t>188-30</t>
  </si>
  <si>
    <t>190-30</t>
  </si>
  <si>
    <t>192-30</t>
  </si>
  <si>
    <t>201-30</t>
  </si>
  <si>
    <t>199-30</t>
  </si>
  <si>
    <t>207-30</t>
  </si>
  <si>
    <t>203-30</t>
  </si>
  <si>
    <t>202-30</t>
  </si>
  <si>
    <t>60-30</t>
  </si>
  <si>
    <t>215-30</t>
  </si>
  <si>
    <t>206-30</t>
  </si>
  <si>
    <t>217-30</t>
  </si>
  <si>
    <t>213-30</t>
  </si>
  <si>
    <t>837-30</t>
  </si>
  <si>
    <t>212-30</t>
  </si>
  <si>
    <t>219-30</t>
  </si>
  <si>
    <t>216-30</t>
  </si>
  <si>
    <t>841-30</t>
  </si>
  <si>
    <t>218-30</t>
  </si>
  <si>
    <t>78-30</t>
  </si>
  <si>
    <t>844-30</t>
  </si>
  <si>
    <t>83-30</t>
  </si>
  <si>
    <t>244-30</t>
  </si>
  <si>
    <t>242-29</t>
  </si>
  <si>
    <t>PERKINS</t>
  </si>
  <si>
    <t>DARREN</t>
  </si>
  <si>
    <t>307-29</t>
  </si>
  <si>
    <t>244-29</t>
  </si>
  <si>
    <t>309-29</t>
  </si>
  <si>
    <t>311-29</t>
  </si>
  <si>
    <t>313-29</t>
  </si>
  <si>
    <t>rtdc.l.rtdc.4025:itc</t>
  </si>
  <si>
    <t>50-30</t>
  </si>
  <si>
    <t>300-30</t>
  </si>
  <si>
    <t>101-30</t>
  </si>
  <si>
    <t>302-30</t>
  </si>
  <si>
    <t>CUSHING</t>
  </si>
  <si>
    <t>HARRY</t>
  </si>
  <si>
    <t>103-30</t>
  </si>
  <si>
    <t>304-30</t>
  </si>
  <si>
    <t>306-30</t>
  </si>
  <si>
    <t>105-30</t>
  </si>
  <si>
    <t>308-30</t>
  </si>
  <si>
    <t>109-30</t>
  </si>
  <si>
    <t>310-30</t>
  </si>
  <si>
    <t>DAVIDSON</t>
  </si>
  <si>
    <t>DAVID</t>
  </si>
  <si>
    <t>901-30</t>
  </si>
  <si>
    <t>111-30</t>
  </si>
  <si>
    <t>106-30</t>
  </si>
  <si>
    <t>800-30</t>
  </si>
  <si>
    <t>113-30</t>
  </si>
  <si>
    <t>108-30</t>
  </si>
  <si>
    <t>312-30</t>
  </si>
  <si>
    <t>BEAM</t>
  </si>
  <si>
    <t>ROSS</t>
  </si>
  <si>
    <t>801-30</t>
  </si>
  <si>
    <t>115-30</t>
  </si>
  <si>
    <t>117-30</t>
  </si>
  <si>
    <t>902-30</t>
  </si>
  <si>
    <t>LALONDE</t>
  </si>
  <si>
    <t>GREGORY</t>
  </si>
  <si>
    <t>119-30</t>
  </si>
  <si>
    <t>114-30</t>
  </si>
  <si>
    <t>803-30</t>
  </si>
  <si>
    <t>121-30</t>
  </si>
  <si>
    <t>116-30</t>
  </si>
  <si>
    <t>123-30</t>
  </si>
  <si>
    <t>805-30</t>
  </si>
  <si>
    <t>118-30</t>
  </si>
  <si>
    <t>804-30</t>
  </si>
  <si>
    <t>120-30</t>
  </si>
  <si>
    <t>122-30</t>
  </si>
  <si>
    <t>127-30</t>
  </si>
  <si>
    <t>807-30</t>
  </si>
  <si>
    <t>806-30</t>
  </si>
  <si>
    <t>129-30</t>
  </si>
  <si>
    <t>131-30</t>
  </si>
  <si>
    <t>808-30</t>
  </si>
  <si>
    <t>133-30</t>
  </si>
  <si>
    <t>128-30</t>
  </si>
  <si>
    <t>51-30</t>
  </si>
  <si>
    <t>135-30</t>
  </si>
  <si>
    <t>810-30</t>
  </si>
  <si>
    <t>130-30</t>
  </si>
  <si>
    <t>132-30</t>
  </si>
  <si>
    <t>139-30</t>
  </si>
  <si>
    <t>812-30</t>
  </si>
  <si>
    <t>134-30</t>
  </si>
  <si>
    <t>136-30</t>
  </si>
  <si>
    <t>141-30</t>
  </si>
  <si>
    <t>143-30</t>
  </si>
  <si>
    <t>813-30</t>
  </si>
  <si>
    <t>138-30</t>
  </si>
  <si>
    <t>145-30</t>
  </si>
  <si>
    <t>ROCHA</t>
  </si>
  <si>
    <t>YAOTL</t>
  </si>
  <si>
    <t>140-30</t>
  </si>
  <si>
    <t>147-30</t>
  </si>
  <si>
    <t>142-30</t>
  </si>
  <si>
    <t>814-30</t>
  </si>
  <si>
    <t>149-30</t>
  </si>
  <si>
    <t>151-30</t>
  </si>
  <si>
    <t>153-30</t>
  </si>
  <si>
    <t>HAUSER</t>
  </si>
  <si>
    <t>146-30</t>
  </si>
  <si>
    <t>148-30</t>
  </si>
  <si>
    <t>150-30</t>
  </si>
  <si>
    <t>155-30</t>
  </si>
  <si>
    <t>816-30</t>
  </si>
  <si>
    <t>157-30</t>
  </si>
  <si>
    <t>52-30</t>
  </si>
  <si>
    <t>152-30</t>
  </si>
  <si>
    <t>154-30</t>
  </si>
  <si>
    <t>159-30</t>
  </si>
  <si>
    <t>817-30</t>
  </si>
  <si>
    <t>161-30</t>
  </si>
  <si>
    <t>BRANDNER</t>
  </si>
  <si>
    <t>MELINDA</t>
  </si>
  <si>
    <t>156-30</t>
  </si>
  <si>
    <t>53-30</t>
  </si>
  <si>
    <t>163-30</t>
  </si>
  <si>
    <t>65-30</t>
  </si>
  <si>
    <t>158-30</t>
  </si>
  <si>
    <t>818-30</t>
  </si>
  <si>
    <t>165-30</t>
  </si>
  <si>
    <t>62-30</t>
  </si>
  <si>
    <t>55-30</t>
  </si>
  <si>
    <t>160-30</t>
  </si>
  <si>
    <t>167-30</t>
  </si>
  <si>
    <t>819-30</t>
  </si>
  <si>
    <t>169-30</t>
  </si>
  <si>
    <t>164-30</t>
  </si>
  <si>
    <t>166-30</t>
  </si>
  <si>
    <t>168-30</t>
  </si>
  <si>
    <t>175-30</t>
  </si>
  <si>
    <t>821-30</t>
  </si>
  <si>
    <t>170-30</t>
  </si>
  <si>
    <t>177-30</t>
  </si>
  <si>
    <t>172-30</t>
  </si>
  <si>
    <t>179-30</t>
  </si>
  <si>
    <t>822-30</t>
  </si>
  <si>
    <t>181-30</t>
  </si>
  <si>
    <t>183-30</t>
  </si>
  <si>
    <t>178-30</t>
  </si>
  <si>
    <t>180-30</t>
  </si>
  <si>
    <t>187-30</t>
  </si>
  <si>
    <t>182-30</t>
  </si>
  <si>
    <t>189-30</t>
  </si>
  <si>
    <t>184-30</t>
  </si>
  <si>
    <t>191-30</t>
  </si>
  <si>
    <t>825-30</t>
  </si>
  <si>
    <t>186-30</t>
  </si>
  <si>
    <t>193-30</t>
  </si>
  <si>
    <t>904-30</t>
  </si>
  <si>
    <t>195-30</t>
  </si>
  <si>
    <t>826-30</t>
  </si>
  <si>
    <t>197-30</t>
  </si>
  <si>
    <t>827-30</t>
  </si>
  <si>
    <t>829-30</t>
  </si>
  <si>
    <t>194-30</t>
  </si>
  <si>
    <t>828-30</t>
  </si>
  <si>
    <t>75-30</t>
  </si>
  <si>
    <t>196-30</t>
  </si>
  <si>
    <t>831-30</t>
  </si>
  <si>
    <t>830-30</t>
  </si>
  <si>
    <t>198-30</t>
  </si>
  <si>
    <t>205-30</t>
  </si>
  <si>
    <t>200-30</t>
  </si>
  <si>
    <t>77-30</t>
  </si>
  <si>
    <t>833-30</t>
  </si>
  <si>
    <t>832-30</t>
  </si>
  <si>
    <t>209-30</t>
  </si>
  <si>
    <t>73-30</t>
  </si>
  <si>
    <t>204-30</t>
  </si>
  <si>
    <t>211-30</t>
  </si>
  <si>
    <t>835-30</t>
  </si>
  <si>
    <t>834-30</t>
  </si>
  <si>
    <t>76-30</t>
  </si>
  <si>
    <t>THOMPSON</t>
  </si>
  <si>
    <t>LESTER</t>
  </si>
  <si>
    <t>208-30</t>
  </si>
  <si>
    <t>836-30</t>
  </si>
  <si>
    <t>210-30</t>
  </si>
  <si>
    <t>88-30</t>
  </si>
  <si>
    <t>839-30</t>
  </si>
  <si>
    <t>838-30</t>
  </si>
  <si>
    <t>301-30</t>
  </si>
  <si>
    <t>214-30</t>
  </si>
  <si>
    <t>221-30</t>
  </si>
  <si>
    <t>906-30</t>
  </si>
  <si>
    <t>303-30</t>
  </si>
  <si>
    <t>220-30</t>
  </si>
  <si>
    <t>223-30</t>
  </si>
  <si>
    <t>305-30</t>
  </si>
  <si>
    <t>840-30</t>
  </si>
  <si>
    <t>222-30</t>
  </si>
  <si>
    <t>225-30</t>
  </si>
  <si>
    <t>843-30</t>
  </si>
  <si>
    <t>227-30</t>
  </si>
  <si>
    <t>224-30</t>
  </si>
  <si>
    <t>842-30</t>
  </si>
  <si>
    <t>226-30</t>
  </si>
  <si>
    <t>229-30</t>
  </si>
  <si>
    <t>82-30</t>
  </si>
  <si>
    <t>845-30</t>
  </si>
  <si>
    <t>LOPES</t>
  </si>
  <si>
    <t>KIMBERLY</t>
  </si>
  <si>
    <t>228-30</t>
  </si>
  <si>
    <t>231-30</t>
  </si>
  <si>
    <t>233-30</t>
  </si>
  <si>
    <t>230-30</t>
  </si>
  <si>
    <t>847-30</t>
  </si>
  <si>
    <t>235-30</t>
  </si>
  <si>
    <t>232-30</t>
  </si>
  <si>
    <t>908-30</t>
  </si>
  <si>
    <t>234-30</t>
  </si>
  <si>
    <t>237-30</t>
  </si>
  <si>
    <t>236-30</t>
  </si>
  <si>
    <t>239-30</t>
  </si>
  <si>
    <t>241-30</t>
  </si>
  <si>
    <t>238-30</t>
  </si>
  <si>
    <t>243-30</t>
  </si>
  <si>
    <t>240-30</t>
  </si>
  <si>
    <t>242-30</t>
  </si>
  <si>
    <t>245-30</t>
  </si>
  <si>
    <t>307-30</t>
  </si>
  <si>
    <t>309-30</t>
  </si>
  <si>
    <t>246-30</t>
  </si>
  <si>
    <t>311-30</t>
  </si>
  <si>
    <t>313-30</t>
  </si>
  <si>
    <t>55-01</t>
  </si>
  <si>
    <t>GRASTON</t>
  </si>
  <si>
    <t>MATHEU</t>
  </si>
  <si>
    <t>204:488</t>
  </si>
  <si>
    <t>204:233298</t>
  </si>
  <si>
    <t>204:64277</t>
  </si>
  <si>
    <t>204:86375</t>
  </si>
  <si>
    <t>204:233302</t>
  </si>
  <si>
    <t>204:233274</t>
  </si>
  <si>
    <t>204:37191</t>
  </si>
  <si>
    <t>204:1462</t>
  </si>
  <si>
    <t>204:233270</t>
  </si>
  <si>
    <t>204:232969</t>
  </si>
  <si>
    <t>204:132</t>
  </si>
  <si>
    <t>204:233344</t>
  </si>
  <si>
    <t>204:233002</t>
  </si>
  <si>
    <t>204:730</t>
  </si>
  <si>
    <t>204:233324</t>
  </si>
  <si>
    <t>204:233005</t>
  </si>
  <si>
    <t>204:56953</t>
  </si>
  <si>
    <t>204:36192</t>
  </si>
  <si>
    <t>204:910</t>
  </si>
  <si>
    <t>204:232988</t>
  </si>
  <si>
    <t>204:431</t>
  </si>
  <si>
    <t>204:233349</t>
  </si>
  <si>
    <t>204:233019</t>
  </si>
  <si>
    <t>204:233263</t>
  </si>
  <si>
    <t>204:2666</t>
  </si>
  <si>
    <t>204:232991</t>
  </si>
  <si>
    <t>204:482</t>
  </si>
  <si>
    <t>204:232985</t>
  </si>
  <si>
    <t>204:233336</t>
  </si>
  <si>
    <t>204:233311</t>
  </si>
  <si>
    <t>204:1147</t>
  </si>
  <si>
    <t>204:233013</t>
  </si>
  <si>
    <t>204:233378</t>
  </si>
  <si>
    <t>204:233299</t>
  </si>
  <si>
    <t>204:180</t>
  </si>
  <si>
    <t>204:233346</t>
  </si>
  <si>
    <t>204:233093</t>
  </si>
  <si>
    <t>204:233359</t>
  </si>
  <si>
    <t>204:233030</t>
  </si>
  <si>
    <t>204:130</t>
  </si>
  <si>
    <t>204:19134</t>
  </si>
  <si>
    <t>204:42957</t>
  </si>
  <si>
    <t>204:36778</t>
  </si>
  <si>
    <t>204:1024</t>
  </si>
  <si>
    <t>204:233317</t>
  </si>
  <si>
    <t>204:233284</t>
  </si>
  <si>
    <t>204:233405</t>
  </si>
  <si>
    <t>204:233090</t>
  </si>
  <si>
    <t>204:233281</t>
  </si>
  <si>
    <t>204:27384</t>
  </si>
  <si>
    <t>204:909</t>
  </si>
  <si>
    <t>204:232965</t>
  </si>
  <si>
    <t>204:233288</t>
  </si>
  <si>
    <t>204:233127</t>
  </si>
  <si>
    <t>204:233360</t>
  </si>
  <si>
    <t>204:233061</t>
  </si>
  <si>
    <t>204:233021</t>
  </si>
  <si>
    <t>204:233040</t>
  </si>
  <si>
    <t>204:232957</t>
  </si>
  <si>
    <t>204:233315</t>
  </si>
  <si>
    <t>204:233403</t>
  </si>
  <si>
    <t>204:233099</t>
  </si>
  <si>
    <t>204:233185</t>
  </si>
  <si>
    <t>204:232864</t>
  </si>
  <si>
    <t>204:233280</t>
  </si>
  <si>
    <t>204:232987</t>
  </si>
  <si>
    <t>204:191</t>
  </si>
  <si>
    <t>204:233355</t>
  </si>
  <si>
    <t>204:233009</t>
  </si>
  <si>
    <t>204:233334</t>
  </si>
  <si>
    <t>204:508</t>
  </si>
  <si>
    <t>204:233342</t>
  </si>
  <si>
    <t>204:233008</t>
  </si>
  <si>
    <t>204:116</t>
  </si>
  <si>
    <t>204:477</t>
  </si>
  <si>
    <t>204:233278</t>
  </si>
  <si>
    <t>204:232959</t>
  </si>
  <si>
    <t>204:427</t>
  </si>
  <si>
    <t>204:5134</t>
  </si>
  <si>
    <t>204:216</t>
  </si>
  <si>
    <t>300:25446</t>
  </si>
  <si>
    <t>300:20655</t>
  </si>
  <si>
    <t>300:23415</t>
  </si>
  <si>
    <t>300:23264</t>
  </si>
  <si>
    <t>300:23357</t>
  </si>
  <si>
    <t>300:23297</t>
  </si>
  <si>
    <t>300:23387</t>
  </si>
  <si>
    <t>300:23100</t>
  </si>
  <si>
    <t>300:23295</t>
  </si>
  <si>
    <t>300:21772</t>
  </si>
  <si>
    <t>204:502</t>
  </si>
  <si>
    <t>300:23440</t>
  </si>
  <si>
    <t>204:1164</t>
  </si>
  <si>
    <t>204:3261</t>
  </si>
  <si>
    <t>204:1481</t>
  </si>
  <si>
    <t>204:3565</t>
  </si>
  <si>
    <t>300:23574</t>
  </si>
  <si>
    <t>204:3318</t>
  </si>
  <si>
    <t>204:1469</t>
  </si>
  <si>
    <t>204:3626</t>
  </si>
  <si>
    <t>300:23495</t>
  </si>
  <si>
    <t>204:1218</t>
  </si>
  <si>
    <t>300:21034</t>
  </si>
  <si>
    <t>204:879</t>
  </si>
  <si>
    <t>300:112187</t>
  </si>
  <si>
    <t>300:26610</t>
  </si>
  <si>
    <t>300:29066</t>
  </si>
  <si>
    <t>300:26932</t>
  </si>
  <si>
    <t>300:112509</t>
  </si>
  <si>
    <t>300:29378</t>
  </si>
  <si>
    <t>300:112502</t>
  </si>
  <si>
    <t>300:30148</t>
  </si>
  <si>
    <t>300:112182</t>
  </si>
  <si>
    <t>204:350</t>
  </si>
  <si>
    <t>300:24271</t>
  </si>
  <si>
    <t>300:30792</t>
  </si>
  <si>
    <t>300:26629</t>
  </si>
  <si>
    <t>300:21833</t>
  </si>
  <si>
    <t>300:21625</t>
  </si>
  <si>
    <t>300:21928</t>
  </si>
  <si>
    <t>300:112506</t>
  </si>
  <si>
    <t>300:110885</t>
  </si>
  <si>
    <t>300:28581</t>
  </si>
  <si>
    <t>300:111629</t>
  </si>
  <si>
    <t>300:110881</t>
  </si>
  <si>
    <t>300:112058</t>
  </si>
  <si>
    <t>300:26946</t>
  </si>
  <si>
    <t>300:112470</t>
  </si>
  <si>
    <t>300:112197</t>
  </si>
  <si>
    <t>300:28780</t>
  </si>
  <si>
    <t>300:28907</t>
  </si>
  <si>
    <t>204:1232</t>
  </si>
  <si>
    <t>204:3322</t>
  </si>
  <si>
    <t>204:1328</t>
  </si>
  <si>
    <t>204:3608</t>
  </si>
  <si>
    <t>300:23237</t>
  </si>
  <si>
    <t>204:122</t>
  </si>
  <si>
    <t>204:1220</t>
  </si>
  <si>
    <t>300:22573</t>
  </si>
  <si>
    <t>204:4426</t>
  </si>
  <si>
    <t>300:58929</t>
  </si>
  <si>
    <t>204:717</t>
  </si>
  <si>
    <t>300:58963</t>
  </si>
  <si>
    <t>204:1020</t>
  </si>
  <si>
    <t>300:58941</t>
  </si>
  <si>
    <t>204:698</t>
  </si>
  <si>
    <t>300:58965</t>
  </si>
  <si>
    <t>300:58641</t>
  </si>
  <si>
    <t>204:710</t>
  </si>
  <si>
    <t>204:3288</t>
  </si>
  <si>
    <t>204:3612</t>
  </si>
  <si>
    <t>300:58619</t>
  </si>
  <si>
    <t>204:111</t>
  </si>
  <si>
    <t>300:58664</t>
  </si>
  <si>
    <t>204:981</t>
  </si>
  <si>
    <t>300:58961</t>
  </si>
  <si>
    <t>300:58647</t>
  </si>
  <si>
    <t>204:232953</t>
  </si>
  <si>
    <t>204:188937</t>
  </si>
  <si>
    <t>204:189126</t>
  </si>
  <si>
    <t>204:189631</t>
  </si>
  <si>
    <t>204:188932</t>
  </si>
  <si>
    <t>204:189399</t>
  </si>
  <si>
    <t>204:359</t>
  </si>
  <si>
    <t>204:154001</t>
  </si>
  <si>
    <t>204:160986</t>
  </si>
  <si>
    <t>204:682</t>
  </si>
  <si>
    <t>204:960</t>
  </si>
  <si>
    <t>204:677</t>
  </si>
  <si>
    <t>204:953</t>
  </si>
  <si>
    <t>300:58933</t>
  </si>
  <si>
    <t>300:58617</t>
  </si>
  <si>
    <t>204:741</t>
  </si>
  <si>
    <t>204:1134</t>
  </si>
  <si>
    <t>204:233316</t>
  </si>
  <si>
    <t>204:154266</t>
  </si>
  <si>
    <t>204:161346</t>
  </si>
  <si>
    <t>204:161862</t>
  </si>
  <si>
    <t>204:189240</t>
  </si>
  <si>
    <t>204:189252</t>
  </si>
  <si>
    <t>204:189436</t>
  </si>
  <si>
    <t>204:189711</t>
  </si>
  <si>
    <t>204:189942</t>
  </si>
  <si>
    <t>204:674</t>
  </si>
  <si>
    <t>204:664</t>
  </si>
  <si>
    <t>204:1030</t>
  </si>
  <si>
    <t>300:58937</t>
  </si>
  <si>
    <t>300:58615</t>
  </si>
  <si>
    <t>204:731</t>
  </si>
  <si>
    <t>204:671</t>
  </si>
  <si>
    <t>300:58931</t>
  </si>
  <si>
    <t>204:738</t>
  </si>
  <si>
    <t>204:929</t>
  </si>
  <si>
    <t>204:1021</t>
  </si>
  <si>
    <t>300:58918</t>
  </si>
  <si>
    <t>204:663</t>
  </si>
  <si>
    <t>204:939</t>
  </si>
  <si>
    <t>204:762</t>
  </si>
  <si>
    <t>204:951</t>
  </si>
  <si>
    <t>204:1048</t>
  </si>
  <si>
    <t>300:23007</t>
  </si>
  <si>
    <t>300:30328</t>
  </si>
  <si>
    <t>300:23394</t>
  </si>
  <si>
    <t>300:23279</t>
  </si>
  <si>
    <t>300:4948</t>
  </si>
  <si>
    <t>300:58604</t>
  </si>
  <si>
    <t>300:21373</t>
  </si>
  <si>
    <t>300:21547</t>
  </si>
  <si>
    <t>300:21852</t>
  </si>
  <si>
    <t>start /low /b %USERPROFILE%\Documents\GitHub\eaglep3\Utilities\DownloadLogsFromS3.py --loco 4002 --day 2017-06-30</t>
  </si>
  <si>
    <t>start /low /b %USERPROFILE%\Documents\GitHub\eaglep3\Utilities\DownloadLogsFromS3.py --loco 4040 --day 2017-06-30</t>
  </si>
  <si>
    <t>start /low /b %USERPROFILE%\Documents\GitHub\eaglep3\Utilities\DownloadLogsFromS3.py --loco 4022 --day 2017-06-30</t>
  </si>
  <si>
    <t>start /low /b %USERPROFILE%\Documents\GitHub\eaglep3\Utilities\DownloadLogsFromS3.py --loco 4021 --day 2017-06-30</t>
  </si>
  <si>
    <t>start /low /b %USERPROFILE%\Documents\GitHub\eaglep3\Utilities\DownloadLogsFromS3.py --loco 4042 --day 2017-06-30</t>
  </si>
  <si>
    <t>start /low /b %USERPROFILE%\Documents\GitHub\eaglep3\Utilities\DownloadLogsFromS3.py --loco 4041 --day 2017-06-30</t>
  </si>
  <si>
    <t>start /low /b %USERPROFILE%\Documents\GitHub\eaglep3\Utilities\DownloadLogsFromS3.py --loco 4023 --day 2017-06-30</t>
  </si>
  <si>
    <t>start /low /b %USERPROFILE%\Documents\GitHub\eaglep3\Utilities\DownloadLogsFromS3.py --loco 4039 --day 2017-06-30</t>
  </si>
  <si>
    <t>start /low /b %USERPROFILE%\Documents\GitHub\eaglep3\Utilities\DownloadLogsFromS3.py --loco 4001 --day 2017-07-01</t>
  </si>
  <si>
    <t>start /low /b %USERPROFILE%\Documents\GitHub\eaglep3\Utilities\DownloadLogsFromS3.py --loco 4024 --day 2017-06-30</t>
  </si>
  <si>
    <t>start /low /b %USERPROFILE%\Documents\GitHub\eaglep3\Utilities\DownloadLogsFromS3.py --loco 4041 --day 2017-07-01</t>
  </si>
  <si>
    <t>start /low /b %USERPROFILE%\Documents\GitHub\eaglep3\Utilities\DownloadLogsFromS3.py --loco 4039 --day 2017-07-01</t>
  </si>
  <si>
    <t>start /low /b %USERPROFILE%\Documents\GitHub\eaglep3\Utilities\DownloadLogsFromS3.py --loco 4026 --day 2017-06-30</t>
  </si>
  <si>
    <t>start /low /b %USERPROFILE%\Documents\GitHub\eaglep3\Utilities\DownloadLogsFromS3.py --loco 4040 --day 2017-07-01</t>
  </si>
  <si>
    <t>start /low /b %USERPROFILE%\Documents\GitHub\eaglep3\Utilities\DownloadLogsFromS3.py --loco 4042 --day 2017-07-01</t>
  </si>
  <si>
    <t>start /low /b %USERPROFILE%\Documents\GitHub\eaglep3\Utilities\DownloadLogsFromS3.py --loco 4031 --day 2017-06-30</t>
  </si>
  <si>
    <t>start /low /b %USERPROFILE%\Documents\GitHub\eaglep3\Utilities\DownloadLogsFromS3.py --loco 4043 --day 2017-07-01</t>
  </si>
  <si>
    <t>start /low /b %USERPROFILE%\Documents\GitHub\eaglep3\Utilities\DownloadLogsFromS3.py --loco 4001 --day 2017-06-30</t>
  </si>
  <si>
    <t>start /low /b %USERPROFILE%\Documents\GitHub\eaglep3\Utilities\DownloadLogsFromS3.py --loco 4013 --day 2017-06-30</t>
  </si>
  <si>
    <t>start /low /b %USERPROFILE%\Documents\GitHub\eaglep3\Utilities\DownloadLogsFromS3.py --loco 4032 --day 2017-06-30</t>
  </si>
  <si>
    <t>start /low /b %USERPROFILE%\Documents\GitHub\eaglep3\Utilities\DownloadLogsFromS3.py --loco 4032 --day 2017-07-01</t>
  </si>
  <si>
    <t>start /low /b %USERPROFILE%\Documents\GitHub\eaglep3\Utilities\DownloadLogsFromS3.py --loco 4002 --day 2017-07-01</t>
  </si>
  <si>
    <t>start /low /b %USERPROFILE%\Documents\GitHub\eaglep3\Utilities\DownloadLogsFromS3.py --loco 4016 --day 2017-06-30</t>
  </si>
  <si>
    <t>start /low /b %USERPROFILE%\Documents\GitHub\eaglep3\Utilities\DownloadLogsFromS3.py --loco 4016 --day 2017-07-01</t>
  </si>
  <si>
    <t>start /low /b %USERPROFILE%\Documents\GitHub\eaglep3\Utilities\DownloadLogsFromS3.py --loco 4015 --day 2017-06-30</t>
  </si>
  <si>
    <t>start /low /b %USERPROFILE%\Documents\GitHub\eaglep3\Utilities\DownloadLogsFromS3.py --loco 4057 --day 2017-06-30</t>
  </si>
  <si>
    <t>start /low /b %USERPROFILE%\Documents\GitHub\eaglep3\Utilities\DownloadLogsFromS3.py --loco 4015 --day 2017-07-01</t>
  </si>
  <si>
    <t>Poor GPS at DUS</t>
  </si>
  <si>
    <t>Successive early arrival enforcements using worst-case parameters</t>
  </si>
  <si>
    <t>Delayed by test train 83</t>
  </si>
  <si>
    <t>809-30</t>
  </si>
  <si>
    <t>Extended Onboard Wi-MAX outage</t>
  </si>
  <si>
    <t>Selected wrong track at first</t>
  </si>
  <si>
    <t>Delayed by onboard in-route failure</t>
  </si>
  <si>
    <t>Brief Wi-MAX data drop caused unhealthy crossing</t>
  </si>
  <si>
    <t>Slightly delayed by poor GPS at DUS</t>
  </si>
  <si>
    <t>Unhealthy at Chambers due to train stop</t>
  </si>
  <si>
    <t>Poor GPS under Wewatta St tunnel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</si>
</sst>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0" fontId="0" fillId="0" borderId="0" xfId="0" applyNumberFormat="1" applyFill="1"/>
    <xf numFmtId="0" fontId="0" fillId="0" borderId="0" xfId="2" applyNumberFormat="1" applyFont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2" fontId="0" fillId="0" borderId="5" xfId="0" applyNumberForma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81"/>
  <sheetViews>
    <sheetView tabSelected="1" zoomScaleNormal="100" workbookViewId="0"/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28.42578125" style="164" customWidth="1"/>
    <col min="19" max="19" width="6" style="210" customWidth="1"/>
    <col min="20" max="20" width="3.85546875" style="172" customWidth="1"/>
    <col min="21" max="21" width="5" style="172" customWidth="1"/>
    <col min="22" max="22" width="5.7109375" style="198" customWidth="1"/>
    <col min="23" max="23" width="3.85546875" style="191" customWidth="1"/>
    <col min="24" max="24" width="6.5703125" style="191" customWidth="1"/>
    <col min="25" max="25" width="11.5703125" style="191" bestFit="1" customWidth="1"/>
    <col min="26" max="26" width="7.28515625" style="191" customWidth="1"/>
    <col min="27" max="27" width="9.140625" style="191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72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9.140625" style="172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103</v>
      </c>
      <c r="J1" s="36"/>
      <c r="K1" s="27"/>
      <c r="L1" s="27"/>
      <c r="M1" s="35"/>
      <c r="N1" s="36"/>
      <c r="O1" s="2"/>
      <c r="P1" s="2"/>
      <c r="R1" s="163" t="s">
        <v>104</v>
      </c>
      <c r="S1" s="173"/>
      <c r="T1" s="174"/>
      <c r="U1" s="174"/>
      <c r="V1" s="175"/>
      <c r="W1" s="174"/>
      <c r="X1" s="172"/>
      <c r="Y1" s="191"/>
      <c r="Z1" s="191"/>
      <c r="AA1" s="191"/>
      <c r="AB1" s="52"/>
      <c r="AC1" s="49"/>
      <c r="AD1" s="2"/>
      <c r="AE1" s="1"/>
      <c r="AF1" s="1"/>
      <c r="AG1" s="209"/>
      <c r="AH1" s="47"/>
      <c r="AI1" s="1"/>
      <c r="AM1" s="142"/>
      <c r="AO1" s="172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42916</v>
      </c>
      <c r="J2" s="58"/>
      <c r="K2" s="59"/>
      <c r="L2" s="59"/>
      <c r="M2" s="60" t="s">
        <v>8</v>
      </c>
      <c r="N2" s="61"/>
      <c r="O2" s="62"/>
      <c r="P2" s="2"/>
      <c r="R2" s="57">
        <f>Variables!$A$2</f>
        <v>42916</v>
      </c>
      <c r="S2" s="176"/>
      <c r="T2" s="177"/>
      <c r="U2" s="177"/>
      <c r="V2" s="178" t="s">
        <v>8</v>
      </c>
      <c r="W2" s="179"/>
      <c r="X2" s="180"/>
      <c r="Y2" s="191"/>
      <c r="Z2" s="191"/>
      <c r="AA2" s="191"/>
      <c r="AB2" s="52"/>
      <c r="AC2" s="49"/>
      <c r="AD2" s="2"/>
      <c r="AE2" s="1"/>
      <c r="AF2" s="1"/>
      <c r="AG2" s="209"/>
      <c r="AH2" s="47"/>
      <c r="AI2" s="1"/>
      <c r="AM2" s="142"/>
      <c r="AO2" s="172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65"/>
      <c r="M3" s="37" t="s">
        <v>11</v>
      </c>
      <c r="N3" s="38" t="s">
        <v>12</v>
      </c>
      <c r="O3" s="3" t="s">
        <v>13</v>
      </c>
      <c r="P3" s="2"/>
      <c r="R3" s="165" t="s">
        <v>10</v>
      </c>
      <c r="S3" s="181"/>
      <c r="T3" s="182"/>
      <c r="U3" s="182"/>
      <c r="V3" s="183" t="s">
        <v>11</v>
      </c>
      <c r="W3" s="184" t="s">
        <v>12</v>
      </c>
      <c r="X3" s="185" t="s">
        <v>13</v>
      </c>
      <c r="Y3" s="191"/>
      <c r="Z3" s="191"/>
      <c r="AA3" s="191"/>
      <c r="AB3" s="52"/>
      <c r="AC3" s="49"/>
      <c r="AD3" s="2"/>
      <c r="AE3" s="1"/>
      <c r="AF3" s="1"/>
      <c r="AG3" s="209"/>
      <c r="AH3" s="47"/>
      <c r="AI3" s="1"/>
      <c r="AM3" s="142"/>
      <c r="AO3" s="172"/>
    </row>
    <row r="4" spans="1:91" s="20" customFormat="1" ht="15.75" thickBot="1" x14ac:dyDescent="0.3">
      <c r="A4" s="34"/>
      <c r="B4" s="36"/>
      <c r="C4" s="27"/>
      <c r="D4" s="27"/>
      <c r="E4" s="33"/>
      <c r="F4" s="163"/>
      <c r="G4" s="36"/>
      <c r="H4" s="33"/>
      <c r="I4" s="66" t="s">
        <v>14</v>
      </c>
      <c r="J4" s="48">
        <f>SUM(J5:J7)</f>
        <v>146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66" t="s">
        <v>14</v>
      </c>
      <c r="S4" s="186">
        <f>SUM(S5:S7)</f>
        <v>47</v>
      </c>
      <c r="T4" s="187"/>
      <c r="U4" s="187"/>
      <c r="V4" s="183" t="s">
        <v>15</v>
      </c>
      <c r="W4" s="184" t="s">
        <v>15</v>
      </c>
      <c r="X4" s="185" t="s">
        <v>15</v>
      </c>
      <c r="Y4" s="191"/>
      <c r="Z4" s="191"/>
      <c r="AA4" s="191"/>
      <c r="AB4" s="52"/>
      <c r="AC4" s="49"/>
      <c r="AD4" s="2"/>
      <c r="AE4" s="1"/>
      <c r="AF4" s="1"/>
      <c r="AG4" s="209"/>
      <c r="AH4" s="47"/>
      <c r="AI4" s="1"/>
      <c r="AM4" s="142"/>
      <c r="AO4" s="172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COUNTIFS($N$13:$N$9319,"&gt;0",$AG$13:$AG$9319,I1)</f>
        <v>140</v>
      </c>
      <c r="K5" s="39"/>
      <c r="L5" s="39"/>
      <c r="M5" s="40">
        <f>AVERAGEIFS($N$13:$N$9319,$AG$13:$AG$9319,I1)</f>
        <v>38.04607142804889</v>
      </c>
      <c r="N5" s="38">
        <f t="array" ref="N5">MIN(IF($AG$13:$AG$9319=I1,IF(ISNUMBER($N$13:$N$9319),IF($N$13:$N$9319&gt;0,$N$13:$N$9319))))</f>
        <v>34.283333332277834</v>
      </c>
      <c r="O5" s="3">
        <f t="array" ref="O5">MAX(IF($AG$13:$AG$9319=I1,IF(ISNUMBER($N$13:$N$9319),IF($N$13:$N$9319&gt;0,$N$13:$N$9319))))</f>
        <v>55.33333332859911</v>
      </c>
      <c r="P5" s="2"/>
      <c r="R5" s="166" t="s">
        <v>17</v>
      </c>
      <c r="S5" s="186">
        <f>COUNTIFS($N$13:$N$9319,"&gt;0",$AG$13:$AG$9319,R1)</f>
        <v>46</v>
      </c>
      <c r="T5" s="187"/>
      <c r="U5" s="187"/>
      <c r="V5" s="183">
        <f>AVERAGEIFS($N$13:$N$9319,$AG$13:$AG$9319,R1)</f>
        <v>14.786231884348165</v>
      </c>
      <c r="W5" s="184">
        <f t="array" ref="W5">MIN(IF($AG$13:$AG$9319=R1,IF(ISNUMBER($N$13:$N$9319),IF($N$13:$N$9319&gt;0,$N$13:$N$9319))))</f>
        <v>12.16666667140089</v>
      </c>
      <c r="X5" s="185">
        <f t="array" ref="X5">MAX(IF($AG$13:$AG$9319=R1,IF(ISNUMBER($N$13:$N$9319),IF($N$13:$N$9319&gt;0,$N$13:$N$9319))))</f>
        <v>18.066666667582467</v>
      </c>
      <c r="Y5" s="191"/>
      <c r="Z5" s="191"/>
      <c r="AA5" s="191"/>
      <c r="AB5" s="52"/>
      <c r="AC5" s="49"/>
      <c r="AD5" s="2"/>
      <c r="AE5" s="1"/>
      <c r="AF5" s="1"/>
      <c r="AG5" s="209"/>
      <c r="AH5" s="47"/>
      <c r="AI5" s="1"/>
      <c r="AM5" s="142"/>
      <c r="AO5" s="172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COUNT($O$13:$O$117)</f>
        <v>0</v>
      </c>
      <c r="K6" s="39"/>
      <c r="L6" s="39"/>
      <c r="M6" s="40">
        <f>IFERROR(AVERAGE($O$13:$O$117),0)</f>
        <v>0</v>
      </c>
      <c r="N6" s="38">
        <f>MIN($O$13:$O$117)</f>
        <v>0</v>
      </c>
      <c r="O6" s="3">
        <f>MAX($O$13:$O$117)</f>
        <v>0</v>
      </c>
      <c r="P6" s="2"/>
      <c r="R6" s="167" t="s">
        <v>43</v>
      </c>
      <c r="S6" s="186">
        <f>COUNT($O$13:$O$117)</f>
        <v>0</v>
      </c>
      <c r="T6" s="187"/>
      <c r="U6" s="187"/>
      <c r="V6" s="183">
        <f>IFERROR(AVERAGE($O$13:$O$117),0)</f>
        <v>0</v>
      </c>
      <c r="W6" s="184">
        <f>MIN($O$13:$O$117)</f>
        <v>0</v>
      </c>
      <c r="X6" s="185">
        <f>MAX($O$13:$O$117)</f>
        <v>0</v>
      </c>
      <c r="Y6" s="191"/>
      <c r="Z6" s="191"/>
      <c r="AA6" s="191"/>
      <c r="AB6" s="52"/>
      <c r="AC6" s="49"/>
      <c r="AD6" s="2"/>
      <c r="AE6" s="1"/>
      <c r="AF6" s="1"/>
      <c r="AG6" s="209"/>
      <c r="AH6" s="47"/>
      <c r="AI6" s="1"/>
      <c r="AM6" s="142"/>
      <c r="AO6" s="172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COUNTIFS($P$13:$P$9319,"&gt;0",$AG$13:$AG$9319,I1)</f>
        <v>6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68" t="s">
        <v>9</v>
      </c>
      <c r="S7" s="186">
        <f>COUNTIFS($P$13:$P$9319,"&gt;0",$AG$13:$AG$9319,R1)</f>
        <v>1</v>
      </c>
      <c r="T7" s="187"/>
      <c r="U7" s="187"/>
      <c r="V7" s="183" t="s">
        <v>15</v>
      </c>
      <c r="W7" s="184" t="s">
        <v>15</v>
      </c>
      <c r="X7" s="185" t="s">
        <v>15</v>
      </c>
      <c r="Y7" s="191"/>
      <c r="Z7" s="191"/>
      <c r="AA7" s="191"/>
      <c r="AB7" s="52"/>
      <c r="AC7" s="49"/>
      <c r="AD7" s="2"/>
      <c r="AE7" s="1"/>
      <c r="AF7" s="1"/>
      <c r="AG7" s="209"/>
      <c r="AH7" s="47"/>
      <c r="AI7" s="1"/>
      <c r="AM7" s="142"/>
      <c r="AO7" s="172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140</v>
      </c>
      <c r="K8" s="39"/>
      <c r="L8" s="39"/>
      <c r="M8" s="40">
        <f>M5</f>
        <v>38.04607142804889</v>
      </c>
      <c r="N8" s="38">
        <f>N5</f>
        <v>34.283333332277834</v>
      </c>
      <c r="O8" s="3">
        <f>O5</f>
        <v>55.33333332859911</v>
      </c>
      <c r="P8" s="2"/>
      <c r="R8" s="166" t="s">
        <v>16</v>
      </c>
      <c r="S8" s="186">
        <f>S5</f>
        <v>46</v>
      </c>
      <c r="T8" s="187"/>
      <c r="U8" s="187"/>
      <c r="V8" s="183">
        <f>V5</f>
        <v>14.786231884348165</v>
      </c>
      <c r="W8" s="184">
        <f>W5</f>
        <v>12.16666667140089</v>
      </c>
      <c r="X8" s="185">
        <f>X5</f>
        <v>18.066666667582467</v>
      </c>
      <c r="Y8" s="191"/>
      <c r="Z8" s="191"/>
      <c r="AA8" s="191"/>
      <c r="AB8" s="52"/>
      <c r="AC8" s="49"/>
      <c r="AD8" s="2"/>
      <c r="AE8" s="1"/>
      <c r="AF8" s="1"/>
      <c r="AG8" s="209"/>
      <c r="AH8" s="47"/>
      <c r="AI8" s="1"/>
      <c r="AM8" s="142"/>
      <c r="AO8" s="172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0.95890410958904104</v>
      </c>
      <c r="K9" s="41"/>
      <c r="L9" s="41"/>
      <c r="M9" s="69"/>
      <c r="N9" s="36"/>
      <c r="O9" s="70"/>
      <c r="P9" s="2"/>
      <c r="R9" s="166" t="s">
        <v>19</v>
      </c>
      <c r="S9" s="214">
        <f>S8/S4</f>
        <v>0.97872340425531912</v>
      </c>
      <c r="T9" s="174"/>
      <c r="U9" s="174"/>
      <c r="V9" s="188"/>
      <c r="W9" s="174"/>
      <c r="X9" s="189"/>
      <c r="Y9" s="191"/>
      <c r="Z9" s="191"/>
      <c r="AA9" s="191"/>
      <c r="AB9" s="52"/>
      <c r="AC9" s="49"/>
      <c r="AD9" s="2"/>
      <c r="AE9" s="1"/>
      <c r="AF9" s="1"/>
      <c r="AG9" s="209"/>
      <c r="AH9" s="47"/>
      <c r="AI9" s="1"/>
      <c r="AM9" s="142"/>
      <c r="AO9" s="172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4"/>
      <c r="S10" s="210"/>
      <c r="T10" s="172"/>
      <c r="U10" s="172"/>
      <c r="V10" s="190"/>
      <c r="W10" s="191"/>
      <c r="X10" s="191"/>
      <c r="Y10" s="191"/>
      <c r="Z10" s="191"/>
      <c r="AA10" s="191"/>
      <c r="AB10" s="52"/>
      <c r="AC10" s="49"/>
      <c r="AD10" s="2"/>
      <c r="AE10" s="1"/>
      <c r="AF10" s="1"/>
      <c r="AG10" s="209"/>
      <c r="AH10" s="47"/>
      <c r="AI10" s="1"/>
      <c r="AM10" s="142"/>
      <c r="AO10" s="172"/>
    </row>
    <row r="11" spans="1:91" ht="16.5" thickBot="1" x14ac:dyDescent="0.3">
      <c r="A11" s="216" t="str">
        <f>"Eagle P3 System Performance - "&amp;TEXT(Variables!A2,"yyyy-mm-dd")</f>
        <v>Eagle P3 System Performance - 2017-06-30</v>
      </c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  <c r="O11" s="216"/>
      <c r="P11" s="216"/>
      <c r="S11" s="211">
        <f>AVERAGE(S13:S92)</f>
        <v>0.99122807017543868</v>
      </c>
      <c r="V11" s="190"/>
      <c r="AE11" s="1"/>
      <c r="AF11" s="1"/>
      <c r="AG11" s="209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9" t="s">
        <v>24</v>
      </c>
      <c r="S12" s="212" t="s">
        <v>63</v>
      </c>
      <c r="T12" s="192" t="s">
        <v>64</v>
      </c>
      <c r="U12" s="192" t="s">
        <v>65</v>
      </c>
      <c r="V12" s="193" t="s">
        <v>45</v>
      </c>
      <c r="W12" s="194" t="s">
        <v>23</v>
      </c>
      <c r="X12" s="194" t="s">
        <v>48</v>
      </c>
      <c r="Y12" s="194" t="s">
        <v>20</v>
      </c>
      <c r="Z12" s="194" t="s">
        <v>21</v>
      </c>
      <c r="AA12" s="194" t="s">
        <v>22</v>
      </c>
      <c r="AB12" s="53" t="s">
        <v>39</v>
      </c>
      <c r="AC12" s="50" t="s">
        <v>40</v>
      </c>
      <c r="AD12" s="205" t="s">
        <v>82</v>
      </c>
      <c r="AE12" s="76" t="s">
        <v>89</v>
      </c>
      <c r="AF12" s="73" t="s">
        <v>94</v>
      </c>
      <c r="AG12" s="204" t="s">
        <v>105</v>
      </c>
      <c r="AH12" s="79" t="s">
        <v>107</v>
      </c>
      <c r="AI12" s="95" t="s">
        <v>143</v>
      </c>
      <c r="AJ12" s="46" t="s">
        <v>144</v>
      </c>
      <c r="AK12" s="46" t="s">
        <v>117</v>
      </c>
      <c r="AL12" s="46" t="s">
        <v>145</v>
      </c>
      <c r="AM12" s="143" t="s">
        <v>193</v>
      </c>
      <c r="AN12" s="46" t="s">
        <v>342</v>
      </c>
      <c r="AO12" s="20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648</v>
      </c>
      <c r="B13" s="7">
        <v>4024</v>
      </c>
      <c r="C13" s="21" t="s">
        <v>200</v>
      </c>
      <c r="D13" s="21" t="s">
        <v>413</v>
      </c>
      <c r="E13" s="13">
        <v>42916.130370370367</v>
      </c>
      <c r="F13" s="13">
        <v>42916.136064814818</v>
      </c>
      <c r="G13" s="7">
        <v>4</v>
      </c>
      <c r="H13" s="21" t="s">
        <v>500</v>
      </c>
      <c r="I13" s="13">
        <v>42916.162557870368</v>
      </c>
      <c r="J13" s="7">
        <v>0</v>
      </c>
      <c r="K13" s="89" t="str">
        <f t="shared" ref="K13:K76" si="0">IF(ISEVEN(B13),(B13-1)&amp;"/"&amp;B13,B13&amp;"/"&amp;(B13+1))</f>
        <v>4023/4024</v>
      </c>
      <c r="L13" s="21" t="str">
        <f>VLOOKUP(A13,'Trips&amp;Operators'!$C$1:$G$99999,5,FALSE)</f>
        <v>STARKS ANGELINA</v>
      </c>
      <c r="M13" s="6">
        <f t="shared" ref="M13:M76" si="1">I13-F13</f>
        <v>2.6493055549508426E-2</v>
      </c>
      <c r="N13" s="7">
        <f t="shared" ref="N13:N18" si="2">24*60*SUM($M13:$M13)</f>
        <v>38.149999991292134</v>
      </c>
      <c r="O13" s="7"/>
      <c r="P13" s="7"/>
      <c r="Q13" s="22"/>
      <c r="R13" s="170"/>
      <c r="S13" s="213">
        <f t="shared" ref="S13:S18" si="3">SUM(U13:U13)/IF(AG13="EC",12,1)</f>
        <v>1</v>
      </c>
      <c r="T13" s="195" t="str">
        <f t="shared" ref="T13:T76" si="4">IF(ISEVEN(LEFT(AD13,4)),"Southbound","NorthBound")</f>
        <v>NorthBound</v>
      </c>
      <c r="U13" s="19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6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-06-30T02:07:44-0600',mode:absolute,to:'2017-06-30T04:54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3" s="197" t="str">
        <f>IF(AA13&lt;VLOOKUP(AG13,Variables!$AC$3:$AD$8,2,FALSE),"Y","N")</f>
        <v>N</v>
      </c>
      <c r="X13" s="197" t="e">
        <f t="shared" ref="X13:X35" si="6">VALUE(LEFT(AD13,4))-VALUE(LEFT(AD12,4))</f>
        <v>#VALUE!</v>
      </c>
      <c r="Y13" s="197">
        <f t="shared" ref="Y13:Y44" si="7">RIGHT(D13,LEN(D13)-4)/10000</f>
        <v>4.4200000000000003E-2</v>
      </c>
      <c r="Z13" s="197">
        <f t="shared" ref="Z13:Z44" si="8">RIGHT(H13,LEN(H13)-4)/10000</f>
        <v>23.33</v>
      </c>
      <c r="AA13" s="197">
        <f t="shared" ref="AA13:AA76" si="9">ABS(Z13-Y13)</f>
        <v>23.285799999999998</v>
      </c>
      <c r="AB13" s="54" t="e">
        <f>VLOOKUP(A13,Enforcements!$C$7:$K$13,8,0)</f>
        <v>#N/A</v>
      </c>
      <c r="AC13" s="51" t="e">
        <f>VLOOKUP(A13,Enforcements!$C$7:$E$13,3,0)</f>
        <v>#N/A</v>
      </c>
      <c r="AD13" s="206">
        <f t="shared" ref="AD13:AD76" si="10">VALUE(LEFT(A13,LEN(A13)-3))</f>
        <v>101</v>
      </c>
      <c r="AE13" s="77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s3://rtdc.mdm.uploadarchive.raw/RTDC4024/ "%USERPROFILE%\AppData\Local\Temp\OnboardLogs"\RTDC4024\2017-06-30 --exclude "*" --recursive --include "*20170630*" &amp; "%USERPROFILE%\Documents\GitHub\mrs-test-scripts\Headless Mode &amp; Sideloading\WalkAndUnGZ.bat" "%USERPROFILE%\AppData\Local\Temp\OnboardLogs"\RTDC4024\2017-06-30 &amp; aws s3 cp s3://rtdc.mdm.uploadarchive.raw/RTDC4024/ "%USERPROFILE%\AppData\Local\Temp\OnboardLogs"\RTDC4024\2017-07-01 --exclude "*" --recursive --include "*20170701*" &amp; "%USERPROFILE%\Documents\GitHub\mrs-test-scripts\Headless Mode &amp; Sideloading\WalkAndUnGZ.bat" "%USERPROFILE%\AppData\Local\Temp\OnboardLogs"\RTDC4024\2017-07-01</v>
      </c>
      <c r="AF13" s="74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/stypes="app*4024*20170630*" /stext=" 09:.+((SYSTEM_STATE.+slice.+state.+changed )|(ment ac)|(multiple cpu faults)|(system.+state.+changed )|(\[timeout)|(PRM\|1\|D)|(kpr)|(kdp)|(train st.+moving)|(\|lc)|(penalty))"</v>
      </c>
      <c r="AG13" s="209" t="str">
        <f t="shared" ref="AG13:AG76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101-30 --locoid 4024 --swversion DE.1.0.9.0 --startMP 204:442 --initTime 2017-06-30T03:07:44 --startdatetime 2017-06-30T03:15:56 --delay 4 --endMP 204:233300 --enddatetime 2017-06-30T03:54:05 --enforcementcount 0 &gt;&gt;C:\Users\stu\Documents\GitHub\eaglep3-reporting\EC\2017-06-30-refined-times.txt</v>
      </c>
      <c r="AI13" s="9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{"issue":{"subject":"","project_id":79,"tracker_id":40,"status_id":1,"priority_id":2,"assigned_to_id":23,"start_date":"2017-06-30","description":"","custom_fields":[{"id":1,"name":"Subdivision","value":"EC"},{"id":4,"name":"Milepost","value":"23.33"},{"id":17,"name":"Train ID","value":"101-30"},{"id":16,"name":"Locomotive ID","value":"4024"},{"id":130,"name":"Impact","value":""},{"id":150,"name":"Time of Event (Mountain Time)","value":"03:54:05"},{"id":151,"name":"Denver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16">"start /low /b "&amp;dls3logs&amp;" --loco "&amp;B13&amp;" --day "&amp;TEXT(F13,"YYYY-MM-DD")</f>
        <v>start /low /b %USERPROFILE%\Documents\GitHub\eaglep3\Utilities\DownloadLogsFromS3.py --loco 4024 --day 2017-06-30</v>
      </c>
      <c r="AN13" s="151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09:54:05"},{"id":29,"name":"Sharepoint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72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580</v>
      </c>
      <c r="B14" s="7">
        <v>4023</v>
      </c>
      <c r="C14" s="21" t="s">
        <v>200</v>
      </c>
      <c r="D14" s="21" t="s">
        <v>541</v>
      </c>
      <c r="E14" s="13">
        <v>42916.173298611109</v>
      </c>
      <c r="F14" s="13">
        <v>42916.175844907404</v>
      </c>
      <c r="G14" s="7">
        <v>2</v>
      </c>
      <c r="H14" s="21" t="s">
        <v>397</v>
      </c>
      <c r="I14" s="13">
        <v>42916.204270833332</v>
      </c>
      <c r="J14" s="7">
        <v>0</v>
      </c>
      <c r="K14" s="89" t="str">
        <f t="shared" si="0"/>
        <v>4023/4024</v>
      </c>
      <c r="L14" s="21" t="str">
        <f>VLOOKUP(A14,'Trips&amp;Operators'!$C$1:$G$99999,5,FALSE)</f>
        <v>STARKS ANGELINA</v>
      </c>
      <c r="M14" s="6">
        <f t="shared" si="1"/>
        <v>2.842592592787696E-2</v>
      </c>
      <c r="N14" s="7">
        <f t="shared" si="2"/>
        <v>40.933333336142823</v>
      </c>
      <c r="O14" s="7"/>
      <c r="P14" s="7"/>
      <c r="Q14" s="22"/>
      <c r="R14" s="170"/>
      <c r="S14" s="213">
        <f t="shared" si="3"/>
        <v>1</v>
      </c>
      <c r="T14" s="195" t="str">
        <f t="shared" si="4"/>
        <v>Southbound</v>
      </c>
      <c r="U14" s="19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6" t="str">
        <f t="shared" si="5"/>
        <v>https://d0f6bd738d7f1b3e5a7ca70fe4ff75f0.us-east-1.aws.found.io/app/kibana#/discover/Steve-Slow-Train-Analysis-(2080s-and-2083s)?_g=(refreshInterval:(display:Off,pause:!f,section:0,value:0),time:(from:'2017-06-30T03:09:33-0600',mode:absolute,to:'2017-06-30T05:54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4" s="197" t="str">
        <f>IF(AA14&lt;VLOOKUP(AG14,Variables!$AC$3:$AD$8,2,FALSE),"Y","N")</f>
        <v>N</v>
      </c>
      <c r="X14" s="197">
        <f t="shared" si="6"/>
        <v>1</v>
      </c>
      <c r="Y14" s="197">
        <f t="shared" si="7"/>
        <v>23.298100000000002</v>
      </c>
      <c r="Z14" s="197">
        <f t="shared" si="8"/>
        <v>1.4500000000000001E-2</v>
      </c>
      <c r="AA14" s="197">
        <f t="shared" si="9"/>
        <v>23.2836</v>
      </c>
      <c r="AB14" s="54" t="str">
        <f>VLOOKUP(A14,Enforcements!$C$7:$K$13,8,0)</f>
        <v>Bulletin (2)</v>
      </c>
      <c r="AC14" s="51" t="str">
        <f>VLOOKUP(A14,Enforcements!$C$7:$E$13,3,0)</f>
        <v>GRADE CROSSING</v>
      </c>
      <c r="AD14" s="206">
        <f t="shared" si="10"/>
        <v>102</v>
      </c>
      <c r="AE14" s="77" t="str">
        <f t="shared" si="11"/>
        <v>aws s3 cp s3://rtdc.mdm.uploadarchive.raw/RTDC4023/ "%USERPROFILE%\AppData\Local\Temp\OnboardLogs"\RTDC4023\2017-06-30 --exclude "*" --recursive --include "*20170630*" &amp; "%USERPROFILE%\Documents\GitHub\mrs-test-scripts\Headless Mode &amp; Sideloading\WalkAndUnGZ.bat" "%USERPROFILE%\AppData\Local\Temp\OnboardLogs"\RTDC4023\2017-06-30 &amp; aws s3 cp s3://rtdc.mdm.uploadarchive.raw/RTDC4023/ "%USERPROFILE%\AppData\Local\Temp\OnboardLogs"\RTDC4023\2017-07-01 --exclude "*" --recursive --include "*20170701*" &amp; "%USERPROFILE%\Documents\GitHub\mrs-test-scripts\Headless Mode &amp; Sideloading\WalkAndUnGZ.bat" "%USERPROFILE%\AppData\Local\Temp\OnboardLogs"\RTDC4023\2017-07-01</v>
      </c>
      <c r="AF14" s="74" t="str">
        <f t="shared" si="12"/>
        <v>"C:\Program Files (x86)\AstroGrep\AstroGrep.exe" /e /r /s /spath="%USERPROFILE%\AppData\Local\Temp\OnboardLogs" /stypes="app*4023*20170630*" /stext=" 10:.+((SYSTEM_STATE.+slice.+state.+changed )|(ment ac)|(multiple cpu faults)|(system.+state.+changed )|(\[timeout)|(PRM\|1\|D)|(kpr)|(kdp)|(train st.+moving)|(\|lc)|(penalty))"</v>
      </c>
      <c r="AG14" s="209" t="str">
        <f t="shared" si="13"/>
        <v>EC</v>
      </c>
      <c r="AH14" s="78" t="str">
        <f t="shared" ref="AH14:AH76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102-30 --locoid 4023 --swversion DE.1.0.9.0 --startMP 204:232981 --initTime 2017-06-30T04:09:33 --startdatetime 2017-06-30T04:13:13 --delay 2 --endMP 204:145 --enddatetime 2017-06-30T04:54:09 --enforcementcount 0 &gt;&gt;C:\Users\stu\Documents\GitHub\eaglep3-reporting\EC\2017-06-30-refined-times.txt</v>
      </c>
      <c r="AI14" s="96" t="str">
        <f t="shared" ref="AI14:AI76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{"issue":{"subject":"","project_id":79,"tracker_id":40,"status_id":1,"priority_id":2,"assigned_to_id":23,"start_date":"2017-06-30","description":"","custom_fields":[{"id":1,"name":"Subdivision","value":"EC"},{"id":4,"name":"Milepost","value":"0.0145"},{"id":17,"name":"Train ID","value":"102-30"},{"id":16,"name":"Locomotive ID","value":"4023"},{"id":130,"name":"Impact","value":""},{"id":150,"name":"Time of Event (Mountain Time)","value":"04:54:09"},{"id":151,"name":"Denver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:AM76" si="20">"start /low /b "&amp;dls3logs&amp;" --loco "&amp;B14&amp;" --day "&amp;TEXT(F14,"YYYY-MM-DD")</f>
        <v>start /low /b %USERPROFILE%\Documents\GitHub\eaglep3\Utilities\DownloadLogsFromS3.py --loco 4023 --day 2017-06-30</v>
      </c>
      <c r="AN14" s="151" t="str">
        <f t="shared" ref="AN14:AN76" si="21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10:54:09"},{"id":29,"name":"Sharepoint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652</v>
      </c>
      <c r="B15" s="7">
        <v>4032</v>
      </c>
      <c r="C15" s="21" t="s">
        <v>200</v>
      </c>
      <c r="D15" s="21" t="s">
        <v>421</v>
      </c>
      <c r="E15" s="13">
        <v>42916.15253472222</v>
      </c>
      <c r="F15" s="13">
        <v>42916.156851851854</v>
      </c>
      <c r="G15" s="7">
        <v>1</v>
      </c>
      <c r="H15" s="21" t="s">
        <v>539</v>
      </c>
      <c r="I15" s="13">
        <v>42916.183125000003</v>
      </c>
      <c r="J15" s="7">
        <v>0</v>
      </c>
      <c r="K15" s="89" t="str">
        <f t="shared" si="0"/>
        <v>4031/4032</v>
      </c>
      <c r="L15" s="21" t="str">
        <f>VLOOKUP(A15,'Trips&amp;Operators'!$C$1:$G$99999,5,FALSE)</f>
        <v>CUSHING HARRY</v>
      </c>
      <c r="M15" s="6">
        <f t="shared" si="1"/>
        <v>2.6273148148902692E-2</v>
      </c>
      <c r="N15" s="7">
        <f t="shared" si="2"/>
        <v>37.833333334419876</v>
      </c>
      <c r="O15" s="7"/>
      <c r="P15" s="7"/>
      <c r="Q15" s="22"/>
      <c r="R15" s="170"/>
      <c r="S15" s="213">
        <f t="shared" si="3"/>
        <v>1</v>
      </c>
      <c r="T15" s="195" t="str">
        <f t="shared" si="4"/>
        <v>NorthBound</v>
      </c>
      <c r="U15" s="19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6" t="str">
        <f t="shared" si="5"/>
        <v>https://d0f6bd738d7f1b3e5a7ca70fe4ff75f0.us-east-1.aws.found.io/app/kibana#/discover/Steve-Slow-Train-Analysis-(2080s-and-2083s)?_g=(refreshInterval:(display:Off,pause:!f,section:0,value:0),time:(from:'2017-06-30T02:39:39-0600',mode:absolute,to:'2017-06-30T05:23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5" s="197" t="str">
        <f>IF(AA15&lt;VLOOKUP(AG15,Variables!$AC$3:$AD$8,2,FALSE),"Y","N")</f>
        <v>N</v>
      </c>
      <c r="X15" s="197">
        <f t="shared" si="6"/>
        <v>1</v>
      </c>
      <c r="Y15" s="197">
        <f t="shared" si="7"/>
        <v>4.5499999999999999E-2</v>
      </c>
      <c r="Z15" s="197">
        <f t="shared" si="8"/>
        <v>23.329499999999999</v>
      </c>
      <c r="AA15" s="197">
        <f t="shared" si="9"/>
        <v>23.283999999999999</v>
      </c>
      <c r="AB15" s="54" t="e">
        <f>VLOOKUP(A15,Enforcements!$C$7:$K$13,8,0)</f>
        <v>#N/A</v>
      </c>
      <c r="AC15" s="51" t="e">
        <f>VLOOKUP(A15,Enforcements!$C$7:$E$13,3,0)</f>
        <v>#N/A</v>
      </c>
      <c r="AD15" s="206">
        <f t="shared" si="10"/>
        <v>103</v>
      </c>
      <c r="AE15" s="77" t="str">
        <f t="shared" si="11"/>
        <v>aws s3 cp s3://rtdc.mdm.uploadarchive.raw/RTDC4032/ "%USERPROFILE%\AppData\Local\Temp\OnboardLogs"\RTDC4032\2017-06-30 --exclude "*" --recursive --include "*20170630*" &amp; "%USERPROFILE%\Documents\GitHub\mrs-test-scripts\Headless Mode &amp; Sideloading\WalkAndUnGZ.bat" "%USERPROFILE%\AppData\Local\Temp\OnboardLogs"\RTDC4032\2017-06-30 &amp; aws s3 cp s3://rtdc.mdm.uploadarchive.raw/RTDC4032/ "%USERPROFILE%\AppData\Local\Temp\OnboardLogs"\RTDC4032\2017-07-01 --exclude "*" --recursive --include "*20170701*" &amp; "%USERPROFILE%\Documents\GitHub\mrs-test-scripts\Headless Mode &amp; Sideloading\WalkAndUnGZ.bat" "%USERPROFILE%\AppData\Local\Temp\OnboardLogs"\RTDC4032\2017-07-01</v>
      </c>
      <c r="AF15" s="74" t="str">
        <f t="shared" si="12"/>
        <v>"C:\Program Files (x86)\AstroGrep\AstroGrep.exe" /e /r /s /spath="%USERPROFILE%\AppData\Local\Temp\OnboardLogs" /stypes="app*4032*20170630*" /stext=" 10:.+((SYSTEM_STATE.+slice.+state.+changed )|(ment ac)|(multiple cpu faults)|(system.+state.+changed )|(\[timeout)|(PRM\|1\|D)|(kpr)|(kdp)|(train st.+moving)|(\|lc)|(penalty))"</v>
      </c>
      <c r="AG15" s="209" t="str">
        <f t="shared" si="13"/>
        <v>EC</v>
      </c>
      <c r="AH15" s="78" t="str">
        <f t="shared" si="18"/>
        <v>"%USERPROFILE%\Documents\GitHub\eaglep3\Utilities\RefineRTDCRunTimes.py" --tripid 103-30 --locoid 4032 --swversion DE.1.0.9.0 --startMP 204:455 --initTime 2017-06-30T03:39:39 --startdatetime 2017-06-30T03:45:52 --delay 1 --endMP 204:233295 --enddatetime 2017-06-30T04:23:42 --enforcementcount 0 &gt;&gt;C:\Users\stu\Documents\GitHub\eaglep3-reporting\EC\2017-06-30-refined-times.txt</v>
      </c>
      <c r="AI15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{"issue":{"subject":"","project_id":79,"tracker_id":40,"status_id":1,"priority_id":2,"assigned_to_id":23,"start_date":"2017-06-30","description":"","custom_fields":[{"id":1,"name":"Subdivision","value":"EC"},{"id":4,"name":"Milepost","value":"23.3295"},{"id":17,"name":"Train ID","value":"103-30"},{"id":16,"name":"Locomotive ID","value":"4032"},{"id":130,"name":"Impact","value":""},{"id":150,"name":"Time of Event (Mountain Time)","value":"04:23:42"},{"id":151,"name":"Denver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20"/>
        <v>start /low /b %USERPROFILE%\Documents\GitHub\eaglep3\Utilities\DownloadLogsFromS3.py --loco 4032 --day 2017-06-30</v>
      </c>
      <c r="AN15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10:23:42"},{"id":29,"name":"Sharepoint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582</v>
      </c>
      <c r="B16" s="7">
        <v>4031</v>
      </c>
      <c r="C16" s="21" t="s">
        <v>200</v>
      </c>
      <c r="D16" s="21" t="s">
        <v>557</v>
      </c>
      <c r="E16" s="13">
        <v>42916.189837962964</v>
      </c>
      <c r="F16" s="13">
        <v>42916.196030092593</v>
      </c>
      <c r="G16" s="7">
        <v>1</v>
      </c>
      <c r="H16" s="21" t="s">
        <v>357</v>
      </c>
      <c r="I16" s="13">
        <v>42916.227013888885</v>
      </c>
      <c r="J16" s="7">
        <v>0</v>
      </c>
      <c r="K16" s="89" t="str">
        <f t="shared" si="0"/>
        <v>4031/4032</v>
      </c>
      <c r="L16" s="21" t="str">
        <f>VLOOKUP(A16,'Trips&amp;Operators'!$C$1:$G$99999,5,FALSE)</f>
        <v>CUSHING HARRY</v>
      </c>
      <c r="M16" s="6">
        <f t="shared" si="1"/>
        <v>3.0983796292275656E-2</v>
      </c>
      <c r="N16" s="7">
        <f t="shared" si="2"/>
        <v>44.616666660876945</v>
      </c>
      <c r="O16" s="7"/>
      <c r="P16" s="7"/>
      <c r="Q16" s="22"/>
      <c r="R16" s="170"/>
      <c r="S16" s="213">
        <f t="shared" si="3"/>
        <v>1</v>
      </c>
      <c r="T16" s="195" t="str">
        <f t="shared" si="4"/>
        <v>Southbound</v>
      </c>
      <c r="U16" s="19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6" t="str">
        <f t="shared" si="5"/>
        <v>https://d0f6bd738d7f1b3e5a7ca70fe4ff75f0.us-east-1.aws.found.io/app/kibana#/discover/Steve-Slow-Train-Analysis-(2080s-and-2083s)?_g=(refreshInterval:(display:Off,pause:!f,section:0,value:0),time:(from:'2017-06-30T03:33:22-0600',mode:absolute,to:'2017-06-30T06:26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" s="197" t="str">
        <f>IF(AA16&lt;VLOOKUP(AG16,Variables!$AC$3:$AD$8,2,FALSE),"Y","N")</f>
        <v>N</v>
      </c>
      <c r="X16" s="197">
        <f t="shared" si="6"/>
        <v>1</v>
      </c>
      <c r="Y16" s="197">
        <f t="shared" si="7"/>
        <v>23.296099999999999</v>
      </c>
      <c r="Z16" s="197">
        <f t="shared" si="8"/>
        <v>1.47E-2</v>
      </c>
      <c r="AA16" s="197">
        <f t="shared" si="9"/>
        <v>23.281399999999998</v>
      </c>
      <c r="AB16" s="54" t="e">
        <f>VLOOKUP(A16,Enforcements!$C$7:$K$13,8,0)</f>
        <v>#N/A</v>
      </c>
      <c r="AC16" s="51" t="e">
        <f>VLOOKUP(A16,Enforcements!$C$7:$E$13,3,0)</f>
        <v>#N/A</v>
      </c>
      <c r="AD16" s="206">
        <f t="shared" si="10"/>
        <v>104</v>
      </c>
      <c r="AE16" s="77" t="str">
        <f t="shared" si="11"/>
        <v>aws s3 cp s3://rtdc.mdm.uploadarchive.raw/RTDC4031/ "%USERPROFILE%\AppData\Local\Temp\OnboardLogs"\RTDC4031\2017-06-30 --exclude "*" --recursive --include "*20170630*" &amp; "%USERPROFILE%\Documents\GitHub\mrs-test-scripts\Headless Mode &amp; Sideloading\WalkAndUnGZ.bat" "%USERPROFILE%\AppData\Local\Temp\OnboardLogs"\RTDC4031\2017-06-30 &amp; aws s3 cp s3://rtdc.mdm.uploadarchive.raw/RTDC4031/ "%USERPROFILE%\AppData\Local\Temp\OnboardLogs"\RTDC4031\2017-07-01 --exclude "*" --recursive --include "*20170701*" &amp; "%USERPROFILE%\Documents\GitHub\mrs-test-scripts\Headless Mode &amp; Sideloading\WalkAndUnGZ.bat" "%USERPROFILE%\AppData\Local\Temp\OnboardLogs"\RTDC4031\2017-07-01</v>
      </c>
      <c r="AF16" s="74" t="str">
        <f t="shared" si="12"/>
        <v>"C:\Program Files (x86)\AstroGrep\AstroGrep.exe" /e /r /s /spath="%USERPROFILE%\AppData\Local\Temp\OnboardLogs" /stypes="app*4031*20170630*" /stext=" 11:.+((SYSTEM_STATE.+slice.+state.+changed )|(ment ac)|(multiple cpu faults)|(system.+state.+changed )|(\[timeout)|(PRM\|1\|D)|(kpr)|(kdp)|(train st.+moving)|(\|lc)|(penalty))"</v>
      </c>
      <c r="AG16" s="209" t="str">
        <f t="shared" si="13"/>
        <v>EC</v>
      </c>
      <c r="AH16" s="78" t="str">
        <f t="shared" si="18"/>
        <v>"%USERPROFILE%\Documents\GitHub\eaglep3\Utilities\RefineRTDCRunTimes.py" --tripid 104-30 --locoid 4031 --swversion DE.1.0.9.0 --startMP 204:232961 --initTime 2017-06-30T04:33:22 --startdatetime 2017-06-30T04:42:17 --delay 1 --endMP 204:147 --enddatetime 2017-06-30T05:26:54 --enforcementcount 0 &gt;&gt;C:\Users\stu\Documents\GitHub\eaglep3-reporting\EC\2017-06-30-refined-times.txt</v>
      </c>
      <c r="AI16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{"issue":{"subject":"","project_id":79,"tracker_id":40,"status_id":1,"priority_id":2,"assigned_to_id":23,"start_date":"2017-06-30","description":"","custom_fields":[{"id":1,"name":"Subdivision","value":"EC"},{"id":4,"name":"Milepost","value":"0.0147"},{"id":17,"name":"Train ID","value":"104-30"},{"id":16,"name":"Locomotive ID","value":"4031"},{"id":130,"name":"Impact","value":""},{"id":150,"name":"Time of Event (Mountain Time)","value":"05:26:54"},{"id":151,"name":"Denver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20"/>
        <v>start /low /b %USERPROFILE%\Documents\GitHub\eaglep3\Utilities\DownloadLogsFromS3.py --loco 4031 --day 2017-06-30</v>
      </c>
      <c r="AN16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11:26:54"},{"id":29,"name":"Sharepoint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655</v>
      </c>
      <c r="B17" s="7">
        <v>4042</v>
      </c>
      <c r="C17" s="21" t="s">
        <v>200</v>
      </c>
      <c r="D17" s="21" t="s">
        <v>848</v>
      </c>
      <c r="E17" s="13">
        <v>42916.17627314815</v>
      </c>
      <c r="F17" s="13">
        <v>42916.177800925929</v>
      </c>
      <c r="G17" s="7">
        <v>1</v>
      </c>
      <c r="H17" s="21" t="s">
        <v>849</v>
      </c>
      <c r="I17" s="13">
        <v>42916.206469907411</v>
      </c>
      <c r="J17" s="7">
        <v>0</v>
      </c>
      <c r="K17" s="89" t="str">
        <f t="shared" si="0"/>
        <v>4041/4042</v>
      </c>
      <c r="L17" s="21" t="str">
        <f>VLOOKUP(A17,'Trips&amp;Operators'!$C$1:$G$99999,5,FALSE)</f>
        <v>BONDS REYNALDO</v>
      </c>
      <c r="M17" s="6">
        <f t="shared" si="1"/>
        <v>2.8668981482042E-2</v>
      </c>
      <c r="N17" s="7">
        <f t="shared" si="2"/>
        <v>41.28333333414048</v>
      </c>
      <c r="O17" s="7"/>
      <c r="P17" s="7"/>
      <c r="Q17" s="22"/>
      <c r="R17" s="170"/>
      <c r="S17" s="213">
        <f t="shared" si="3"/>
        <v>1</v>
      </c>
      <c r="T17" s="195" t="str">
        <f t="shared" si="4"/>
        <v>NorthBound</v>
      </c>
      <c r="U17" s="19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6" t="str">
        <f t="shared" si="5"/>
        <v>https://d0f6bd738d7f1b3e5a7ca70fe4ff75f0.us-east-1.aws.found.io/app/kibana#/discover/Steve-Slow-Train-Analysis-(2080s-and-2083s)?_g=(refreshInterval:(display:Off,pause:!f,section:0,value:0),time:(from:'2017-06-30T03:13:50-0600',mode:absolute,to:'2017-06-30T05:57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7" s="197" t="str">
        <f>IF(AA17&lt;VLOOKUP(AG17,Variables!$AC$3:$AD$8,2,FALSE),"Y","N")</f>
        <v>N</v>
      </c>
      <c r="X17" s="197">
        <f t="shared" si="6"/>
        <v>1</v>
      </c>
      <c r="Y17" s="197">
        <f t="shared" si="7"/>
        <v>4.8800000000000003E-2</v>
      </c>
      <c r="Z17" s="197">
        <f t="shared" si="8"/>
        <v>23.329799999999999</v>
      </c>
      <c r="AA17" s="197">
        <f t="shared" si="9"/>
        <v>23.280999999999999</v>
      </c>
      <c r="AB17" s="54" t="e">
        <f>VLOOKUP(A17,Enforcements!$C$7:$K$13,8,0)</f>
        <v>#N/A</v>
      </c>
      <c r="AC17" s="51" t="e">
        <f>VLOOKUP(A17,Enforcements!$C$7:$E$13,3,0)</f>
        <v>#N/A</v>
      </c>
      <c r="AD17" s="206">
        <f t="shared" si="10"/>
        <v>105</v>
      </c>
      <c r="AE17" s="77" t="str">
        <f t="shared" si="11"/>
        <v>aws s3 cp s3://rtdc.mdm.uploadarchive.raw/RTDC4042/ "%USERPROFILE%\AppData\Local\Temp\OnboardLogs"\RTDC4042\2017-06-30 --exclude "*" --recursive --include "*20170630*" &amp; "%USERPROFILE%\Documents\GitHub\mrs-test-scripts\Headless Mode &amp; Sideloading\WalkAndUnGZ.bat" "%USERPROFILE%\AppData\Local\Temp\OnboardLogs"\RTDC4042\2017-06-30 &amp; aws s3 cp s3://rtdc.mdm.uploadarchive.raw/RTDC4042/ "%USERPROFILE%\AppData\Local\Temp\OnboardLogs"\RTDC4042\2017-07-01 --exclude "*" --recursive --include "*20170701*" &amp; "%USERPROFILE%\Documents\GitHub\mrs-test-scripts\Headless Mode &amp; Sideloading\WalkAndUnGZ.bat" "%USERPROFILE%\AppData\Local\Temp\OnboardLogs"\RTDC4042\2017-07-01</v>
      </c>
      <c r="AF17" s="74" t="str">
        <f t="shared" si="12"/>
        <v>"C:\Program Files (x86)\AstroGrep\AstroGrep.exe" /e /r /s /spath="%USERPROFILE%\AppData\Local\Temp\OnboardLogs" /stypes="app*4042*20170630*" /stext=" 10:.+((SYSTEM_STATE.+slice.+state.+changed )|(ment ac)|(multiple cpu faults)|(system.+state.+changed )|(\[timeout)|(PRM\|1\|D)|(kpr)|(kdp)|(train st.+moving)|(\|lc)|(penalty))"</v>
      </c>
      <c r="AG17" s="209" t="str">
        <f t="shared" si="13"/>
        <v>EC</v>
      </c>
      <c r="AH17" s="78" t="str">
        <f t="shared" si="18"/>
        <v>"%USERPROFILE%\Documents\GitHub\eaglep3\Utilities\RefineRTDCRunTimes.py" --tripid 105-30 --locoid 4042 --swversion DE.1.0.9.0 --startMP 204:488 --initTime 2017-06-30T04:13:50 --startdatetime 2017-06-30T04:16:02 --delay 1 --endMP 204:233298 --enddatetime 2017-06-30T04:57:19 --enforcementcount 0 &gt;&gt;C:\Users\stu\Documents\GitHub\eaglep3-reporting\EC\2017-06-30-refined-times.txt</v>
      </c>
      <c r="AI17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{"issue":{"subject":"","project_id":79,"tracker_id":40,"status_id":1,"priority_id":2,"assigned_to_id":23,"start_date":"2017-06-30","description":"","custom_fields":[{"id":1,"name":"Subdivision","value":"EC"},{"id":4,"name":"Milepost","value":"23.3298"},{"id":17,"name":"Train ID","value":"105-30"},{"id":16,"name":"Locomotive ID","value":"4042"},{"id":130,"name":"Impact","value":""},{"id":150,"name":"Time of Event (Mountain Time)","value":"04:57:19"},{"id":151,"name":"Denver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20"/>
        <v>start /low /b %USERPROFILE%\Documents\GitHub\eaglep3\Utilities\DownloadLogsFromS3.py --loco 4042 --day 2017-06-30</v>
      </c>
      <c r="AN17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10:57:19"},{"id":29,"name":"Sharepoint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663</v>
      </c>
      <c r="B18" s="7">
        <v>4041</v>
      </c>
      <c r="C18" s="21" t="s">
        <v>200</v>
      </c>
      <c r="D18" s="21" t="s">
        <v>436</v>
      </c>
      <c r="E18" s="13">
        <v>42916.210636574076</v>
      </c>
      <c r="F18" s="13">
        <v>42916.216851851852</v>
      </c>
      <c r="G18" s="7">
        <v>1</v>
      </c>
      <c r="H18" s="21" t="s">
        <v>347</v>
      </c>
      <c r="I18" s="13">
        <v>42916.24454861111</v>
      </c>
      <c r="J18" s="7">
        <v>0</v>
      </c>
      <c r="K18" s="89" t="str">
        <f t="shared" si="0"/>
        <v>4041/4042</v>
      </c>
      <c r="L18" s="21" t="str">
        <f>VLOOKUP(A18,'Trips&amp;Operators'!$C$1:$G$99999,5,FALSE)</f>
        <v>BONDS REYNALDO</v>
      </c>
      <c r="M18" s="6">
        <f t="shared" si="1"/>
        <v>2.7696759258105885E-2</v>
      </c>
      <c r="N18" s="7">
        <f t="shared" si="2"/>
        <v>39.883333331672475</v>
      </c>
      <c r="O18" s="7"/>
      <c r="P18" s="7"/>
      <c r="Q18" s="22"/>
      <c r="R18" s="170"/>
      <c r="S18" s="213">
        <f t="shared" si="3"/>
        <v>1</v>
      </c>
      <c r="T18" s="195" t="str">
        <f t="shared" si="4"/>
        <v>Southbound</v>
      </c>
      <c r="U18" s="19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6" t="str">
        <f t="shared" si="5"/>
        <v>https://d0f6bd738d7f1b3e5a7ca70fe4ff75f0.us-east-1.aws.found.io/app/kibana#/discover/Steve-Slow-Train-Analysis-(2080s-and-2083s)?_g=(refreshInterval:(display:Off,pause:!f,section:0,value:0),time:(from:'2017-06-30T04:03:19-0600',mode:absolute,to:'2017-06-30T06:52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8" s="197" t="str">
        <f>IF(AA18&lt;VLOOKUP(AG18,Variables!$AC$3:$AD$8,2,FALSE),"Y","N")</f>
        <v>N</v>
      </c>
      <c r="X18" s="197">
        <f t="shared" si="6"/>
        <v>1</v>
      </c>
      <c r="Y18" s="197">
        <f t="shared" si="7"/>
        <v>23.297699999999999</v>
      </c>
      <c r="Z18" s="197">
        <f t="shared" si="8"/>
        <v>1.49E-2</v>
      </c>
      <c r="AA18" s="197">
        <f t="shared" si="9"/>
        <v>23.282799999999998</v>
      </c>
      <c r="AB18" s="54" t="e">
        <f>VLOOKUP(A18,Enforcements!$C$7:$K$13,8,0)</f>
        <v>#N/A</v>
      </c>
      <c r="AC18" s="51" t="e">
        <f>VLOOKUP(A18,Enforcements!$C$7:$E$13,3,0)</f>
        <v>#N/A</v>
      </c>
      <c r="AD18" s="206">
        <f t="shared" si="10"/>
        <v>106</v>
      </c>
      <c r="AE18" s="77" t="str">
        <f t="shared" si="11"/>
        <v>aws s3 cp s3://rtdc.mdm.uploadarchive.raw/RTDC4041/ "%USERPROFILE%\AppData\Local\Temp\OnboardLogs"\RTDC4041\2017-06-30 --exclude "*" --recursive --include "*20170630*" &amp; "%USERPROFILE%\Documents\GitHub\mrs-test-scripts\Headless Mode &amp; Sideloading\WalkAndUnGZ.bat" "%USERPROFILE%\AppData\Local\Temp\OnboardLogs"\RTDC4041\2017-06-30 &amp; aws s3 cp s3://rtdc.mdm.uploadarchive.raw/RTDC4041/ "%USERPROFILE%\AppData\Local\Temp\OnboardLogs"\RTDC4041\2017-07-01 --exclude "*" --recursive --include "*20170701*" &amp; "%USERPROFILE%\Documents\GitHub\mrs-test-scripts\Headless Mode &amp; Sideloading\WalkAndUnGZ.bat" "%USERPROFILE%\AppData\Local\Temp\OnboardLogs"\RTDC4041\2017-07-01</v>
      </c>
      <c r="AF18" s="74" t="str">
        <f t="shared" si="12"/>
        <v>"C:\Program Files (x86)\AstroGrep\AstroGrep.exe" /e /r /s /spath="%USERPROFILE%\AppData\Local\Temp\OnboardLogs" /stypes="app*4041*20170630*" /stext=" 11:.+((SYSTEM_STATE.+slice.+state.+changed )|(ment ac)|(multiple cpu faults)|(system.+state.+changed )|(\[timeout)|(PRM\|1\|D)|(kpr)|(kdp)|(train st.+moving)|(\|lc)|(penalty))"</v>
      </c>
      <c r="AG18" s="209" t="str">
        <f t="shared" si="13"/>
        <v>EC</v>
      </c>
      <c r="AH18" s="78" t="str">
        <f t="shared" si="18"/>
        <v>"%USERPROFILE%\Documents\GitHub\eaglep3\Utilities\RefineRTDCRunTimes.py" --tripid 106-30 --locoid 4041 --swversion DE.1.0.9.0 --startMP 204:232977 --initTime 2017-06-30T05:03:19 --startdatetime 2017-06-30T05:12:16 --delay 1 --endMP 204:149 --enddatetime 2017-06-30T05:52:09 --enforcementcount 0 &gt;&gt;C:\Users\stu\Documents\GitHub\eaglep3-reporting\EC\2017-06-30-refined-times.txt</v>
      </c>
      <c r="AI18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{"issue":{"subject":"","project_id":79,"tracker_id":40,"status_id":1,"priority_id":2,"assigned_to_id":23,"start_date":"2017-06-30","description":"","custom_fields":[{"id":1,"name":"Subdivision","value":"EC"},{"id":4,"name":"Milepost","value":"0.0149"},{"id":17,"name":"Train ID","value":"106-30"},{"id":16,"name":"Locomotive ID","value":"4041"},{"id":130,"name":"Impact","value":""},{"id":150,"name":"Time of Event (Mountain Time)","value":"05:52:09"},{"id":151,"name":"Denver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20"/>
        <v>start /low /b %USERPROFILE%\Documents\GitHub\eaglep3\Utilities\DownloadLogsFromS3.py --loco 4041 --day 2017-06-30</v>
      </c>
      <c r="AN18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11:52:09"},{"id":29,"name":"Sharepoint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581</v>
      </c>
      <c r="B19" s="7">
        <v>4002</v>
      </c>
      <c r="C19" s="21" t="s">
        <v>200</v>
      </c>
      <c r="D19" s="21" t="s">
        <v>438</v>
      </c>
      <c r="E19" s="13">
        <v>42916.185706018521</v>
      </c>
      <c r="F19" s="13">
        <v>42916.202777777777</v>
      </c>
      <c r="G19" s="7">
        <v>1</v>
      </c>
      <c r="H19" s="21" t="s">
        <v>850</v>
      </c>
      <c r="I19" s="13">
        <v>42916.215069444443</v>
      </c>
      <c r="J19" s="7">
        <v>0</v>
      </c>
      <c r="K19" s="89" t="str">
        <f t="shared" si="0"/>
        <v>4001/4002</v>
      </c>
      <c r="L19" s="21" t="str">
        <f>VLOOKUP(A19,'Trips&amp;Operators'!$C$1:$G$99999,5,FALSE)</f>
        <v>GEBRETEKLE DAGNEW</v>
      </c>
      <c r="M19" s="6">
        <f t="shared" si="1"/>
        <v>1.2291666665987577E-2</v>
      </c>
      <c r="N19" s="7"/>
      <c r="O19" s="7"/>
      <c r="P19" s="7">
        <f>24*60*SUM($M19:$M19)</f>
        <v>17.699999999022111</v>
      </c>
      <c r="Q19" s="22"/>
      <c r="R19" s="170" t="s">
        <v>456</v>
      </c>
      <c r="S19" s="213">
        <f>SUM(U19:U20)/IF(AG19="EC",12,1)</f>
        <v>0.91666666666666663</v>
      </c>
      <c r="T19" s="195" t="str">
        <f t="shared" si="4"/>
        <v>NorthBound</v>
      </c>
      <c r="U19" s="19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9</v>
      </c>
      <c r="V19" s="196" t="str">
        <f t="shared" si="5"/>
        <v>https://d0f6bd738d7f1b3e5a7ca70fe4ff75f0.us-east-1.aws.found.io/app/kibana#/discover/Steve-Slow-Train-Analysis-(2080s-and-2083s)?_g=(refreshInterval:(display:Off,pause:!f,section:0,value:0),time:(from:'2017-06-30T03:27:25-0600',mode:absolute,to:'2017-06-30T06:09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9" s="197" t="str">
        <f>IF(AA19&lt;VLOOKUP(AG19,Variables!$AC$3:$AD$8,2,FALSE),"Y","N")</f>
        <v>Y</v>
      </c>
      <c r="X19" s="197">
        <f t="shared" si="6"/>
        <v>1</v>
      </c>
      <c r="Y19" s="197">
        <f t="shared" si="7"/>
        <v>4.58E-2</v>
      </c>
      <c r="Z19" s="197">
        <f t="shared" si="8"/>
        <v>6.4276999999999997</v>
      </c>
      <c r="AA19" s="197">
        <f t="shared" si="9"/>
        <v>6.3818999999999999</v>
      </c>
      <c r="AB19" s="54" t="e">
        <f>VLOOKUP(A19,Enforcements!$C$7:$K$13,8,0)</f>
        <v>#N/A</v>
      </c>
      <c r="AC19" s="51" t="e">
        <f>VLOOKUP(A19,Enforcements!$C$7:$E$13,3,0)</f>
        <v>#N/A</v>
      </c>
      <c r="AD19" s="206">
        <f t="shared" si="10"/>
        <v>107</v>
      </c>
      <c r="AE19" s="77" t="str">
        <f t="shared" si="11"/>
        <v>aws s3 cp s3://rtdc.mdm.uploadarchive.raw/RTDC4002/ "%USERPROFILE%\AppData\Local\Temp\OnboardLogs"\RTDC4002\2017-06-30 --exclude "*" --recursive --include "*20170630*" &amp; "%USERPROFILE%\Documents\GitHub\mrs-test-scripts\Headless Mode &amp; Sideloading\WalkAndUnGZ.bat" "%USERPROFILE%\AppData\Local\Temp\OnboardLogs"\RTDC4002\2017-06-30 &amp; aws s3 cp s3://rtdc.mdm.uploadarchive.raw/RTDC4002/ "%USERPROFILE%\AppData\Local\Temp\OnboardLogs"\RTDC4002\2017-07-01 --exclude "*" --recursive --include "*20170701*" &amp; "%USERPROFILE%\Documents\GitHub\mrs-test-scripts\Headless Mode &amp; Sideloading\WalkAndUnGZ.bat" "%USERPROFILE%\AppData\Local\Temp\OnboardLogs"\RTDC4002\2017-07-01</v>
      </c>
      <c r="AF19" s="74" t="str">
        <f t="shared" si="12"/>
        <v>"C:\Program Files (x86)\AstroGrep\AstroGrep.exe" /e /r /s /spath="%USERPROFILE%\AppData\Local\Temp\OnboardLogs" /stypes="app*4002*20170630*" /stext=" 11:.+((SYSTEM_STATE.+slice.+state.+changed )|(ment ac)|(multiple cpu faults)|(system.+state.+changed )|(\[timeout)|(PRM\|1\|D)|(kpr)|(kdp)|(train st.+moving)|(\|lc)|(penalty))"</v>
      </c>
      <c r="AG19" s="209" t="str">
        <f t="shared" si="13"/>
        <v>EC</v>
      </c>
      <c r="AH19" s="78" t="str">
        <f t="shared" si="18"/>
        <v>"%USERPROFILE%\Documents\GitHub\eaglep3\Utilities\RefineRTDCRunTimes.py" --tripid 107-30 --locoid 4002 --swversion DE.1.0.9.0 --startMP 204:458 --initTime 2017-06-30T04:27:25 --startdatetime 2017-06-30T04:52:00 --delay 1 --endMP 204:64277 --enddatetime 2017-06-30T05:09:42 --enforcementcount 0 &gt;&gt;C:\Users\stu\Documents\GitHub\eaglep3-reporting\EC\2017-06-30-refined-times.txt</v>
      </c>
      <c r="AI19" s="96" t="str">
        <f t="shared" si="19"/>
        <v>echo {"issue":{"subject":"Wi-MAX data drop","project_id":79,"tracker_id":40,"status_id":1,"priority_id":2,"assigned_to_id":23,"start_date":"2017-06-30","description":"","custom_fields":[{"id":1,"name":"Subdivision","value":"EC"},{"id":4,"name":"Milepost","value":"6.4277"},{"id":17,"name":"Train ID","value":"107-30"},{"id":16,"name":"Locomotive ID","value":"4002"},{"id":130,"name":"Impact","value":""},{"id":150,"name":"Time of Event (Mountain Time)","value":"05:09:42"},{"id":151,"name":"Denver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20"/>
        <v>start /low /b %USERPROFILE%\Documents\GitHub\eaglep3\Utilities\DownloadLogsFromS3.py --loco 4002 --day 2017-06-30</v>
      </c>
      <c r="AN19" s="151" t="str">
        <f t="shared" si="21"/>
        <v>echo {"issue":{"subject":"Wi-MAX data drop","project_id":30,"tracker_id":4,"status_id":1,"priority_id":1,"assigned_to_id":10,"start_date":"2017-06-30","description":"","custom_fields":[{"id":30,"name":"Category","value":"Issue"},{"id":3,"name":"Functional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11:09:42"},{"id":29,"name":"Sharepoint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581</v>
      </c>
      <c r="B20" s="7">
        <v>4002</v>
      </c>
      <c r="C20" s="21" t="s">
        <v>200</v>
      </c>
      <c r="D20" s="21" t="s">
        <v>851</v>
      </c>
      <c r="E20" s="13">
        <v>42916.201689814814</v>
      </c>
      <c r="F20" s="13">
        <v>42916.202777777777</v>
      </c>
      <c r="G20" s="7">
        <v>0</v>
      </c>
      <c r="H20" s="21" t="s">
        <v>504</v>
      </c>
      <c r="I20" s="13">
        <v>42916.215069444443</v>
      </c>
      <c r="J20" s="7">
        <v>0</v>
      </c>
      <c r="K20" s="89" t="str">
        <f t="shared" si="0"/>
        <v>4001/4002</v>
      </c>
      <c r="L20" s="21" t="str">
        <f>VLOOKUP(A20,'Trips&amp;Operators'!$C$1:$G$99999,5,FALSE)</f>
        <v>GEBRETEKLE DAGNEW</v>
      </c>
      <c r="M20" s="6">
        <f t="shared" si="1"/>
        <v>1.2291666665987577E-2</v>
      </c>
      <c r="N20" s="7"/>
      <c r="O20" s="7"/>
      <c r="P20" s="7"/>
      <c r="Q20" s="22"/>
      <c r="R20" s="170"/>
      <c r="S20" s="213"/>
      <c r="T20" s="195" t="str">
        <f t="shared" si="4"/>
        <v>NorthBound</v>
      </c>
      <c r="U20" s="19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2</v>
      </c>
      <c r="V20" s="196" t="str">
        <f t="shared" si="5"/>
        <v>https://d0f6bd738d7f1b3e5a7ca70fe4ff75f0.us-east-1.aws.found.io/app/kibana#/discover/Steve-Slow-Train-Analysis-(2080s-and-2083s)?_g=(refreshInterval:(display:Off,pause:!f,section:0,value:0),time:(from:'2017-06-30T03:50:26-0600',mode:absolute,to:'2017-06-30T06:09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" s="197" t="str">
        <f>IF(AA20&lt;VLOOKUP(AG20,Variables!$AC$3:$AD$8,2,FALSE),"Y","N")</f>
        <v>Y</v>
      </c>
      <c r="X20" s="197">
        <f t="shared" si="6"/>
        <v>0</v>
      </c>
      <c r="Y20" s="197">
        <f t="shared" si="7"/>
        <v>8.6374999999999993</v>
      </c>
      <c r="Z20" s="197">
        <f t="shared" si="8"/>
        <v>23.3322</v>
      </c>
      <c r="AA20" s="197">
        <f t="shared" si="9"/>
        <v>14.694700000000001</v>
      </c>
      <c r="AB20" s="54" t="e">
        <f>VLOOKUP(A20,Enforcements!$C$7:$K$13,8,0)</f>
        <v>#N/A</v>
      </c>
      <c r="AC20" s="51" t="e">
        <f>VLOOKUP(A20,Enforcements!$C$7:$E$13,3,0)</f>
        <v>#N/A</v>
      </c>
      <c r="AD20" s="206">
        <f t="shared" si="10"/>
        <v>107</v>
      </c>
      <c r="AE20" s="77" t="str">
        <f t="shared" si="11"/>
        <v>aws s3 cp s3://rtdc.mdm.uploadarchive.raw/RTDC4002/ "%USERPROFILE%\AppData\Local\Temp\OnboardLogs"\RTDC4002\2017-06-30 --exclude "*" --recursive --include "*20170630*" &amp; "%USERPROFILE%\Documents\GitHub\mrs-test-scripts\Headless Mode &amp; Sideloading\WalkAndUnGZ.bat" "%USERPROFILE%\AppData\Local\Temp\OnboardLogs"\RTDC4002\2017-06-30 &amp; aws s3 cp s3://rtdc.mdm.uploadarchive.raw/RTDC4002/ "%USERPROFILE%\AppData\Local\Temp\OnboardLogs"\RTDC4002\2017-07-01 --exclude "*" --recursive --include "*20170701*" &amp; "%USERPROFILE%\Documents\GitHub\mrs-test-scripts\Headless Mode &amp; Sideloading\WalkAndUnGZ.bat" "%USERPROFILE%\AppData\Local\Temp\OnboardLogs"\RTDC4002\2017-07-01</v>
      </c>
      <c r="AF20" s="74" t="str">
        <f t="shared" si="12"/>
        <v>"C:\Program Files (x86)\AstroGrep\AstroGrep.exe" /e /r /s /spath="%USERPROFILE%\AppData\Local\Temp\OnboardLogs" /stypes="app*4002*20170630*" /stext=" 11:.+((SYSTEM_STATE.+slice.+state.+changed )|(ment ac)|(multiple cpu faults)|(system.+state.+changed )|(\[timeout)|(PRM\|1\|D)|(kpr)|(kdp)|(train st.+moving)|(\|lc)|(penalty))"</v>
      </c>
      <c r="AG20" s="209" t="str">
        <f t="shared" si="13"/>
        <v>EC</v>
      </c>
      <c r="AH20" s="78" t="str">
        <f t="shared" si="18"/>
        <v>"%USERPROFILE%\Documents\GitHub\eaglep3\Utilities\RefineRTDCRunTimes.py" --tripid 107-30 --locoid 4002 --swversion DE.1.0.9.0 --startMP 204:86375 --initTime 2017-06-30T04:50:26 --startdatetime 2017-06-30T04:52:00 --delay 0 --endMP 204:233322 --enddatetime 2017-06-30T05:09:42 --enforcementcount 0 &gt;&gt;C:\Users\stu\Documents\GitHub\eaglep3-reporting\EC\2017-06-30-refined-times.txt</v>
      </c>
      <c r="AI20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{"issue":{"subject":"","project_id":79,"tracker_id":40,"status_id":1,"priority_id":2,"assigned_to_id":23,"start_date":"2017-06-30","description":"","custom_fields":[{"id":1,"name":"Subdivision","value":"EC"},{"id":4,"name":"Milepost","value":"23.3322"},{"id":17,"name":"Train ID","value":"107-30"},{"id":16,"name":"Locomotive ID","value":"4002"},{"id":130,"name":"Impact","value":""},{"id":150,"name":"Time of Event (Mountain Time)","value":"05:09:42"},{"id":151,"name":"Denver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20"/>
        <v>start /low /b %USERPROFILE%\Documents\GitHub\eaglep3\Utilities\DownloadLogsFromS3.py --loco 4002 --day 2017-06-30</v>
      </c>
      <c r="AN20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11:09:42"},{"id":29,"name":"Sharepoint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666</v>
      </c>
      <c r="B21" s="7">
        <v>4001</v>
      </c>
      <c r="C21" s="21" t="s">
        <v>200</v>
      </c>
      <c r="D21" s="21" t="s">
        <v>436</v>
      </c>
      <c r="E21" s="13">
        <v>42916.220995370371</v>
      </c>
      <c r="F21" s="13">
        <v>42916.227280092593</v>
      </c>
      <c r="G21" s="7">
        <v>1</v>
      </c>
      <c r="H21" s="21" t="s">
        <v>390</v>
      </c>
      <c r="I21" s="13">
        <v>42916.253587962965</v>
      </c>
      <c r="J21" s="7">
        <v>0</v>
      </c>
      <c r="K21" s="89" t="str">
        <f t="shared" si="0"/>
        <v>4001/4002</v>
      </c>
      <c r="L21" s="21" t="str">
        <f>VLOOKUP(A21,'Trips&amp;Operators'!$C$1:$G$99999,5,FALSE)</f>
        <v>GEBRETEKLE DAGNEW</v>
      </c>
      <c r="M21" s="6">
        <f t="shared" si="1"/>
        <v>2.6307870371965691E-2</v>
      </c>
      <c r="N21" s="7">
        <f t="shared" ref="N21:N29" si="22">24*60*SUM($M21:$M21)</f>
        <v>37.883333335630596</v>
      </c>
      <c r="O21" s="7"/>
      <c r="P21" s="7"/>
      <c r="Q21" s="22"/>
      <c r="R21" s="170"/>
      <c r="S21" s="213">
        <f t="shared" ref="S21:S30" si="23">SUM(U21:U21)/IF(AG21="EC",12,1)</f>
        <v>1</v>
      </c>
      <c r="T21" s="195" t="str">
        <f t="shared" si="4"/>
        <v>Southbound</v>
      </c>
      <c r="U21" s="19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6" t="str">
        <f t="shared" si="5"/>
        <v>https://d0f6bd738d7f1b3e5a7ca70fe4ff75f0.us-east-1.aws.found.io/app/kibana#/discover/Steve-Slow-Train-Analysis-(2080s-and-2083s)?_g=(refreshInterval:(display:Off,pause:!f,section:0,value:0),time:(from:'2017-06-30T04:18:14-0600',mode:absolute,to:'2017-06-30T07:05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1" s="197" t="str">
        <f>IF(AA21&lt;VLOOKUP(AG21,Variables!$AC$3:$AD$8,2,FALSE),"Y","N")</f>
        <v>N</v>
      </c>
      <c r="X21" s="197">
        <f t="shared" si="6"/>
        <v>1</v>
      </c>
      <c r="Y21" s="197">
        <f t="shared" si="7"/>
        <v>23.297699999999999</v>
      </c>
      <c r="Z21" s="197">
        <f t="shared" si="8"/>
        <v>1.54E-2</v>
      </c>
      <c r="AA21" s="197">
        <f t="shared" si="9"/>
        <v>23.282299999999999</v>
      </c>
      <c r="AB21" s="54" t="e">
        <f>VLOOKUP(A21,Enforcements!$C$7:$K$13,8,0)</f>
        <v>#N/A</v>
      </c>
      <c r="AC21" s="51" t="e">
        <f>VLOOKUP(A21,Enforcements!$C$7:$E$13,3,0)</f>
        <v>#N/A</v>
      </c>
      <c r="AD21" s="206">
        <f t="shared" si="10"/>
        <v>108</v>
      </c>
      <c r="AE21" s="77" t="str">
        <f t="shared" si="11"/>
        <v>aws s3 cp s3://rtdc.mdm.uploadarchive.raw/RTDC4001/ "%USERPROFILE%\AppData\Local\Temp\OnboardLogs"\RTDC4001\2017-06-30 --exclude "*" --recursive --include "*20170630*" &amp; "%USERPROFILE%\Documents\GitHub\mrs-test-scripts\Headless Mode &amp; Sideloading\WalkAndUnGZ.bat" "%USERPROFILE%\AppData\Local\Temp\OnboardLogs"\RTDC4001\2017-06-30 &amp; aws s3 cp s3://rtdc.mdm.uploadarchive.raw/RTDC4001/ "%USERPROFILE%\AppData\Local\Temp\OnboardLogs"\RTDC4001\2017-07-01 --exclude "*" --recursive --include "*20170701*" &amp; "%USERPROFILE%\Documents\GitHub\mrs-test-scripts\Headless Mode &amp; Sideloading\WalkAndUnGZ.bat" "%USERPROFILE%\AppData\Local\Temp\OnboardLogs"\RTDC4001\2017-07-01</v>
      </c>
      <c r="AF21" s="74" t="str">
        <f t="shared" si="12"/>
        <v>"C:\Program Files (x86)\AstroGrep\AstroGrep.exe" /e /r /s /spath="%USERPROFILE%\AppData\Local\Temp\OnboardLogs" /stypes="app*4001*20170630*" /stext=" 12:.+((SYSTEM_STATE.+slice.+state.+changed )|(ment ac)|(multiple cpu faults)|(system.+state.+changed )|(\[timeout)|(PRM\|1\|D)|(kpr)|(kdp)|(train st.+moving)|(\|lc)|(penalty))"</v>
      </c>
      <c r="AG21" s="209" t="str">
        <f t="shared" si="13"/>
        <v>EC</v>
      </c>
      <c r="AH21" s="78" t="str">
        <f t="shared" si="18"/>
        <v>"%USERPROFILE%\Documents\GitHub\eaglep3\Utilities\RefineRTDCRunTimes.py" --tripid 108-30 --locoid 4001 --swversion DE.1.0.9.0 --startMP 204:232977 --initTime 2017-06-30T05:18:14 --startdatetime 2017-06-30T05:27:17 --delay 1 --endMP 204:154 --enddatetime 2017-06-30T06:05:10 --enforcementcount 0 &gt;&gt;C:\Users\stu\Documents\GitHub\eaglep3-reporting\EC\2017-06-30-refined-times.txt</v>
      </c>
      <c r="AI21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{"issue":{"subject":"","project_id":79,"tracker_id":40,"status_id":1,"priority_id":2,"assigned_to_id":23,"start_date":"2017-06-30","description":"","custom_fields":[{"id":1,"name":"Subdivision","value":"EC"},{"id":4,"name":"Milepost","value":"0.0154"},{"id":17,"name":"Train ID","value":"108-30"},{"id":16,"name":"Locomotive ID","value":"4001"},{"id":130,"name":"Impact","value":""},{"id":150,"name":"Time of Event (Mountain Time)","value":"06:05:10"},{"id":151,"name":"Denver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20"/>
        <v>start /low /b %USERPROFILE%\Documents\GitHub\eaglep3\Utilities\DownloadLogsFromS3.py --loco 4001 --day 2017-06-30</v>
      </c>
      <c r="AN21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12:05:10"},{"id":29,"name":"Sharepoint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657</v>
      </c>
      <c r="B22" s="7">
        <v>4022</v>
      </c>
      <c r="C22" s="21" t="s">
        <v>200</v>
      </c>
      <c r="D22" s="21" t="s">
        <v>341</v>
      </c>
      <c r="E22" s="13">
        <v>42916.193599537037</v>
      </c>
      <c r="F22" s="13">
        <v>42916.198425925926</v>
      </c>
      <c r="G22" s="7">
        <v>1</v>
      </c>
      <c r="H22" s="21" t="s">
        <v>479</v>
      </c>
      <c r="I22" s="13">
        <v>42916.22515046296</v>
      </c>
      <c r="J22" s="7">
        <v>0</v>
      </c>
      <c r="K22" s="89" t="str">
        <f t="shared" si="0"/>
        <v>4021/4022</v>
      </c>
      <c r="L22" s="21" t="str">
        <f>VLOOKUP(A22,'Trips&amp;Operators'!$C$1:$G$99999,5,FALSE)</f>
        <v>DAVIS WENDY</v>
      </c>
      <c r="M22" s="6">
        <f t="shared" si="1"/>
        <v>2.6724537034169771E-2</v>
      </c>
      <c r="N22" s="7">
        <f t="shared" si="22"/>
        <v>38.48333332920447</v>
      </c>
      <c r="O22" s="7"/>
      <c r="P22" s="7"/>
      <c r="Q22" s="22"/>
      <c r="R22" s="170"/>
      <c r="S22" s="213">
        <f t="shared" si="23"/>
        <v>1</v>
      </c>
      <c r="T22" s="195" t="str">
        <f t="shared" si="4"/>
        <v>NorthBound</v>
      </c>
      <c r="U22" s="19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6" t="str">
        <f t="shared" si="5"/>
        <v>https://d0f6bd738d7f1b3e5a7ca70fe4ff75f0.us-east-1.aws.found.io/app/kibana#/discover/Steve-Slow-Train-Analysis-(2080s-and-2083s)?_g=(refreshInterval:(display:Off,pause:!f,section:0,value:0),time:(from:'2017-06-30T03:38:47-0600',mode:absolute,to:'2017-06-30T06:24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2" s="197" t="str">
        <f>IF(AA22&lt;VLOOKUP(AG22,Variables!$AC$3:$AD$8,2,FALSE),"Y","N")</f>
        <v>N</v>
      </c>
      <c r="X22" s="197">
        <f t="shared" si="6"/>
        <v>1</v>
      </c>
      <c r="Y22" s="197">
        <f t="shared" si="7"/>
        <v>4.4900000000000002E-2</v>
      </c>
      <c r="Z22" s="197">
        <f t="shared" si="8"/>
        <v>23.331900000000001</v>
      </c>
      <c r="AA22" s="197">
        <f t="shared" si="9"/>
        <v>23.287000000000003</v>
      </c>
      <c r="AB22" s="54" t="e">
        <f>VLOOKUP(A22,Enforcements!$C$7:$K$13,8,0)</f>
        <v>#N/A</v>
      </c>
      <c r="AC22" s="51" t="e">
        <f>VLOOKUP(A22,Enforcements!$C$7:$E$13,3,0)</f>
        <v>#N/A</v>
      </c>
      <c r="AD22" s="206">
        <f t="shared" si="10"/>
        <v>109</v>
      </c>
      <c r="AE22" s="77" t="str">
        <f t="shared" si="11"/>
        <v>aws s3 cp s3://rtdc.mdm.uploadarchive.raw/RTDC4022/ "%USERPROFILE%\AppData\Local\Temp\OnboardLogs"\RTDC4022\2017-06-30 --exclude "*" --recursive --include "*20170630*" &amp; "%USERPROFILE%\Documents\GitHub\mrs-test-scripts\Headless Mode &amp; Sideloading\WalkAndUnGZ.bat" "%USERPROFILE%\AppData\Local\Temp\OnboardLogs"\RTDC4022\2017-06-30 &amp; aws s3 cp s3://rtdc.mdm.uploadarchive.raw/RTDC4022/ "%USERPROFILE%\AppData\Local\Temp\OnboardLogs"\RTDC4022\2017-07-01 --exclude "*" --recursive --include "*20170701*" &amp; "%USERPROFILE%\Documents\GitHub\mrs-test-scripts\Headless Mode &amp; Sideloading\WalkAndUnGZ.bat" "%USERPROFILE%\AppData\Local\Temp\OnboardLogs"\RTDC4022\2017-07-01</v>
      </c>
      <c r="AF22" s="74" t="str">
        <f t="shared" si="12"/>
        <v>"C:\Program Files (x86)\AstroGrep\AstroGrep.exe" /e /r /s /spath="%USERPROFILE%\AppData\Local\Temp\OnboardLogs" /stypes="app*4022*20170630*" /stext=" 11:.+((SYSTEM_STATE.+slice.+state.+changed )|(ment ac)|(multiple cpu faults)|(system.+state.+changed )|(\[timeout)|(PRM\|1\|D)|(kpr)|(kdp)|(train st.+moving)|(\|lc)|(penalty))"</v>
      </c>
      <c r="AG22" s="209" t="str">
        <f t="shared" si="13"/>
        <v>EC</v>
      </c>
      <c r="AH22" s="78" t="str">
        <f t="shared" si="18"/>
        <v>"%USERPROFILE%\Documents\GitHub\eaglep3\Utilities\RefineRTDCRunTimes.py" --tripid 109-30 --locoid 4022 --swversion DE.1.0.9.0 --startMP 204:449 --initTime 2017-06-30T04:38:47 --startdatetime 2017-06-30T04:45:44 --delay 1 --endMP 204:233319 --enddatetime 2017-06-30T05:24:13 --enforcementcount 0 &gt;&gt;C:\Users\stu\Documents\GitHub\eaglep3-reporting\EC\2017-06-30-refined-times.txt</v>
      </c>
      <c r="AI22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{"issue":{"subject":"","project_id":79,"tracker_id":40,"status_id":1,"priority_id":2,"assigned_to_id":23,"start_date":"2017-06-30","description":"","custom_fields":[{"id":1,"name":"Subdivision","value":"EC"},{"id":4,"name":"Milepost","value":"23.3319"},{"id":17,"name":"Train ID","value":"109-30"},{"id":16,"name":"Locomotive ID","value":"4022"},{"id":130,"name":"Impact","value":""},{"id":150,"name":"Time of Event (Mountain Time)","value":"05:24:13"},{"id":151,"name":"Denver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20"/>
        <v>start /low /b %USERPROFILE%\Documents\GitHub\eaglep3\Utilities\DownloadLogsFromS3.py --loco 4022 --day 2017-06-30</v>
      </c>
      <c r="AN22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11:24:13"},{"id":29,"name":"Sharepoint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583</v>
      </c>
      <c r="B23" s="7">
        <v>4021</v>
      </c>
      <c r="C23" s="21" t="s">
        <v>200</v>
      </c>
      <c r="D23" s="21" t="s">
        <v>503</v>
      </c>
      <c r="E23" s="13">
        <v>42916.235069444447</v>
      </c>
      <c r="F23" s="13">
        <v>42916.237673611111</v>
      </c>
      <c r="G23" s="7">
        <v>1</v>
      </c>
      <c r="H23" s="21" t="s">
        <v>390</v>
      </c>
      <c r="I23" s="13">
        <v>42916.265104166669</v>
      </c>
      <c r="J23" s="7">
        <v>0</v>
      </c>
      <c r="K23" s="89" t="str">
        <f t="shared" si="0"/>
        <v>4021/4022</v>
      </c>
      <c r="L23" s="21" t="str">
        <f>VLOOKUP(A23,'Trips&amp;Operators'!$C$1:$G$99999,5,FALSE)</f>
        <v>DAVIS WENDY</v>
      </c>
      <c r="M23" s="6">
        <f t="shared" si="1"/>
        <v>2.7430555557657499E-2</v>
      </c>
      <c r="N23" s="7">
        <f t="shared" si="22"/>
        <v>39.500000003026798</v>
      </c>
      <c r="O23" s="7"/>
      <c r="P23" s="7"/>
      <c r="Q23" s="22"/>
      <c r="R23" s="170"/>
      <c r="S23" s="213">
        <f t="shared" si="23"/>
        <v>1</v>
      </c>
      <c r="T23" s="195" t="str">
        <f t="shared" si="4"/>
        <v>Southbound</v>
      </c>
      <c r="U23" s="19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6" t="str">
        <f t="shared" si="5"/>
        <v>https://d0f6bd738d7f1b3e5a7ca70fe4ff75f0.us-east-1.aws.found.io/app/kibana#/discover/Steve-Slow-Train-Analysis-(2080s-and-2083s)?_g=(refreshInterval:(display:Off,pause:!f,section:0,value:0),time:(from:'2017-06-30T04:38:30-0600',mode:absolute,to:'2017-06-30T07:21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3" s="197" t="str">
        <f>IF(AA23&lt;VLOOKUP(AG23,Variables!$AC$3:$AD$8,2,FALSE),"Y","N")</f>
        <v>N</v>
      </c>
      <c r="X23" s="197">
        <f t="shared" si="6"/>
        <v>1</v>
      </c>
      <c r="Y23" s="197">
        <f t="shared" si="7"/>
        <v>23.299800000000001</v>
      </c>
      <c r="Z23" s="197">
        <f t="shared" si="8"/>
        <v>1.54E-2</v>
      </c>
      <c r="AA23" s="197">
        <f t="shared" si="9"/>
        <v>23.284400000000002</v>
      </c>
      <c r="AB23" s="54" t="e">
        <f>VLOOKUP(A23,Enforcements!$C$7:$K$13,8,0)</f>
        <v>#N/A</v>
      </c>
      <c r="AC23" s="51" t="e">
        <f>VLOOKUP(A23,Enforcements!$C$7:$E$13,3,0)</f>
        <v>#N/A</v>
      </c>
      <c r="AD23" s="206">
        <f t="shared" si="10"/>
        <v>110</v>
      </c>
      <c r="AE23" s="77" t="str">
        <f t="shared" si="11"/>
        <v>aws s3 cp s3://rtdc.mdm.uploadarchive.raw/RTDC4021/ "%USERPROFILE%\AppData\Local\Temp\OnboardLogs"\RTDC4021\2017-06-30 --exclude "*" --recursive --include "*20170630*" &amp; "%USERPROFILE%\Documents\GitHub\mrs-test-scripts\Headless Mode &amp; Sideloading\WalkAndUnGZ.bat" "%USERPROFILE%\AppData\Local\Temp\OnboardLogs"\RTDC4021\2017-06-30 &amp; aws s3 cp s3://rtdc.mdm.uploadarchive.raw/RTDC4021/ "%USERPROFILE%\AppData\Local\Temp\OnboardLogs"\RTDC4021\2017-07-01 --exclude "*" --recursive --include "*20170701*" &amp; "%USERPROFILE%\Documents\GitHub\mrs-test-scripts\Headless Mode &amp; Sideloading\WalkAndUnGZ.bat" "%USERPROFILE%\AppData\Local\Temp\OnboardLogs"\RTDC4021\2017-07-01</v>
      </c>
      <c r="AF23" s="74" t="str">
        <f t="shared" si="12"/>
        <v>"C:\Program Files (x86)\AstroGrep\AstroGrep.exe" /e /r /s /spath="%USERPROFILE%\AppData\Local\Temp\OnboardLogs" /stypes="app*4021*20170630*" /stext=" 12:.+((SYSTEM_STATE.+slice.+state.+changed )|(ment ac)|(multiple cpu faults)|(system.+state.+changed )|(\[timeout)|(PRM\|1\|D)|(kpr)|(kdp)|(train st.+moving)|(\|lc)|(penalty))"</v>
      </c>
      <c r="AG23" s="209" t="str">
        <f t="shared" si="13"/>
        <v>EC</v>
      </c>
      <c r="AH23" s="78" t="str">
        <f t="shared" si="18"/>
        <v>"%USERPROFILE%\Documents\GitHub\eaglep3\Utilities\RefineRTDCRunTimes.py" --tripid 110-30 --locoid 4021 --swversion DE.1.0.9.0 --startMP 204:232998 --initTime 2017-06-30T05:38:30 --startdatetime 2017-06-30T05:42:15 --delay 1 --endMP 204:154 --enddatetime 2017-06-30T06:21:45 --enforcementcount 0 &gt;&gt;C:\Users\stu\Documents\GitHub\eaglep3-reporting\EC\2017-06-30-refined-times.txt</v>
      </c>
      <c r="AI23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{"issue":{"subject":"","project_id":79,"tracker_id":40,"status_id":1,"priority_id":2,"assigned_to_id":23,"start_date":"2017-06-30","description":"","custom_fields":[{"id":1,"name":"Subdivision","value":"EC"},{"id":4,"name":"Milepost","value":"0.0154"},{"id":17,"name":"Train ID","value":"110-30"},{"id":16,"name":"Locomotive ID","value":"4021"},{"id":130,"name":"Impact","value":""},{"id":150,"name":"Time of Event (Mountain Time)","value":"06:21:45"},{"id":151,"name":"Denver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20"/>
        <v>start /low /b %USERPROFILE%\Documents\GitHub\eaglep3\Utilities\DownloadLogsFromS3.py --loco 4021 --day 2017-06-30</v>
      </c>
      <c r="AN23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12:21:45"},{"id":29,"name":"Sharepoint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662</v>
      </c>
      <c r="B24" s="7">
        <v>4024</v>
      </c>
      <c r="C24" s="21" t="s">
        <v>200</v>
      </c>
      <c r="D24" s="21" t="s">
        <v>438</v>
      </c>
      <c r="E24" s="13">
        <v>42916.20621527778</v>
      </c>
      <c r="F24" s="13">
        <v>42916.209861111114</v>
      </c>
      <c r="G24" s="7">
        <v>1</v>
      </c>
      <c r="H24" s="21" t="s">
        <v>550</v>
      </c>
      <c r="I24" s="13">
        <v>42916.234849537039</v>
      </c>
      <c r="J24" s="7">
        <v>0</v>
      </c>
      <c r="K24" s="89" t="str">
        <f t="shared" si="0"/>
        <v>4023/4024</v>
      </c>
      <c r="L24" s="21" t="str">
        <f>VLOOKUP(A24,'Trips&amp;Operators'!$C$1:$G$99999,5,FALSE)</f>
        <v>STARKS ANGELINA</v>
      </c>
      <c r="M24" s="6">
        <f t="shared" si="1"/>
        <v>2.4988425924675539E-2</v>
      </c>
      <c r="N24" s="7">
        <f t="shared" si="22"/>
        <v>35.983333331532776</v>
      </c>
      <c r="O24" s="7"/>
      <c r="P24" s="7"/>
      <c r="Q24" s="22"/>
      <c r="R24" s="170"/>
      <c r="S24" s="213">
        <f t="shared" si="23"/>
        <v>1</v>
      </c>
      <c r="T24" s="195" t="str">
        <f t="shared" si="4"/>
        <v>NorthBound</v>
      </c>
      <c r="U24" s="19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6" t="str">
        <f t="shared" si="5"/>
        <v>https://d0f6bd738d7f1b3e5a7ca70fe4ff75f0.us-east-1.aws.found.io/app/kibana#/discover/Steve-Slow-Train-Analysis-(2080s-and-2083s)?_g=(refreshInterval:(display:Off,pause:!f,section:0,value:0),time:(from:'2017-06-30T03:56:57-0600',mode:absolute,to:'2017-06-30T06:38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4" s="197" t="str">
        <f>IF(AA24&lt;VLOOKUP(AG24,Variables!$AC$3:$AD$8,2,FALSE),"Y","N")</f>
        <v>N</v>
      </c>
      <c r="X24" s="197">
        <f t="shared" si="6"/>
        <v>1</v>
      </c>
      <c r="Y24" s="197">
        <f t="shared" si="7"/>
        <v>4.58E-2</v>
      </c>
      <c r="Z24" s="197">
        <f t="shared" si="8"/>
        <v>23.333200000000001</v>
      </c>
      <c r="AA24" s="197">
        <f t="shared" si="9"/>
        <v>23.287400000000002</v>
      </c>
      <c r="AB24" s="54" t="e">
        <f>VLOOKUP(A24,Enforcements!$C$7:$K$13,8,0)</f>
        <v>#N/A</v>
      </c>
      <c r="AC24" s="51" t="e">
        <f>VLOOKUP(A24,Enforcements!$C$7:$E$13,3,0)</f>
        <v>#N/A</v>
      </c>
      <c r="AD24" s="206">
        <f t="shared" si="10"/>
        <v>111</v>
      </c>
      <c r="AE24" s="77" t="str">
        <f t="shared" si="11"/>
        <v>aws s3 cp s3://rtdc.mdm.uploadarchive.raw/RTDC4024/ "%USERPROFILE%\AppData\Local\Temp\OnboardLogs"\RTDC4024\2017-06-30 --exclude "*" --recursive --include "*20170630*" &amp; "%USERPROFILE%\Documents\GitHub\mrs-test-scripts\Headless Mode &amp; Sideloading\WalkAndUnGZ.bat" "%USERPROFILE%\AppData\Local\Temp\OnboardLogs"\RTDC4024\2017-06-30 &amp; aws s3 cp s3://rtdc.mdm.uploadarchive.raw/RTDC4024/ "%USERPROFILE%\AppData\Local\Temp\OnboardLogs"\RTDC4024\2017-07-01 --exclude "*" --recursive --include "*20170701*" &amp; "%USERPROFILE%\Documents\GitHub\mrs-test-scripts\Headless Mode &amp; Sideloading\WalkAndUnGZ.bat" "%USERPROFILE%\AppData\Local\Temp\OnboardLogs"\RTDC4024\2017-07-01</v>
      </c>
      <c r="AF24" s="74" t="str">
        <f t="shared" si="12"/>
        <v>"C:\Program Files (x86)\AstroGrep\AstroGrep.exe" /e /r /s /spath="%USERPROFILE%\AppData\Local\Temp\OnboardLogs" /stypes="app*4024*20170630*" /stext=" 11:.+((SYSTEM_STATE.+slice.+state.+changed )|(ment ac)|(multiple cpu faults)|(system.+state.+changed )|(\[timeout)|(PRM\|1\|D)|(kpr)|(kdp)|(train st.+moving)|(\|lc)|(penalty))"</v>
      </c>
      <c r="AG24" s="209" t="str">
        <f t="shared" si="13"/>
        <v>EC</v>
      </c>
      <c r="AH24" s="78" t="str">
        <f t="shared" si="18"/>
        <v>"%USERPROFILE%\Documents\GitHub\eaglep3\Utilities\RefineRTDCRunTimes.py" --tripid 111-30 --locoid 4024 --swversion DE.1.0.9.0 --startMP 204:458 --initTime 2017-06-30T04:56:57 --startdatetime 2017-06-30T05:02:12 --delay 1 --endMP 204:233332 --enddatetime 2017-06-30T05:38:11 --enforcementcount 0 &gt;&gt;C:\Users\stu\Documents\GitHub\eaglep3-reporting\EC\2017-06-30-refined-times.txt</v>
      </c>
      <c r="AI24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{"issue":{"subject":"","project_id":79,"tracker_id":40,"status_id":1,"priority_id":2,"assigned_to_id":23,"start_date":"2017-06-30","description":"","custom_fields":[{"id":1,"name":"Subdivision","value":"EC"},{"id":4,"name":"Milepost","value":"23.3332"},{"id":17,"name":"Train ID","value":"111-30"},{"id":16,"name":"Locomotive ID","value":"4024"},{"id":130,"name":"Impact","value":""},{"id":150,"name":"Time of Event (Mountain Time)","value":"05:38:11"},{"id":151,"name":"Denver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20"/>
        <v>start /low /b %USERPROFILE%\Documents\GitHub\eaglep3\Utilities\DownloadLogsFromS3.py --loco 4024 --day 2017-06-30</v>
      </c>
      <c r="AN24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11:38:11"},{"id":29,"name":"Sharepoint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585</v>
      </c>
      <c r="B25" s="7">
        <v>4023</v>
      </c>
      <c r="C25" s="21" t="s">
        <v>200</v>
      </c>
      <c r="D25" s="21" t="s">
        <v>543</v>
      </c>
      <c r="E25" s="13">
        <v>42916.247361111113</v>
      </c>
      <c r="F25" s="13">
        <v>42916.249513888892</v>
      </c>
      <c r="G25" s="7">
        <v>0</v>
      </c>
      <c r="H25" s="21" t="s">
        <v>347</v>
      </c>
      <c r="I25" s="13">
        <v>42916.276192129626</v>
      </c>
      <c r="J25" s="7">
        <v>0</v>
      </c>
      <c r="K25" s="89" t="str">
        <f t="shared" si="0"/>
        <v>4023/4024</v>
      </c>
      <c r="L25" s="21" t="str">
        <f>VLOOKUP(A25,'Trips&amp;Operators'!$C$1:$G$99999,5,FALSE)</f>
        <v>STARKS ANGELINA</v>
      </c>
      <c r="M25" s="6">
        <f t="shared" si="1"/>
        <v>2.6678240734327119E-2</v>
      </c>
      <c r="N25" s="7">
        <f t="shared" si="22"/>
        <v>38.416666657431051</v>
      </c>
      <c r="O25" s="7"/>
      <c r="P25" s="7"/>
      <c r="Q25" s="22"/>
      <c r="R25" s="170"/>
      <c r="S25" s="213">
        <f t="shared" si="23"/>
        <v>1</v>
      </c>
      <c r="T25" s="195" t="str">
        <f t="shared" si="4"/>
        <v>Southbound</v>
      </c>
      <c r="U25" s="19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6" t="str">
        <f t="shared" si="5"/>
        <v>https://d0f6bd738d7f1b3e5a7ca70fe4ff75f0.us-east-1.aws.found.io/app/kibana#/discover/Steve-Slow-Train-Analysis-(2080s-and-2083s)?_g=(refreshInterval:(display:Off,pause:!f,section:0,value:0),time:(from:'2017-06-30T04:56:12-0600',mode:absolute,to:'2017-06-30T07:37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5" s="197" t="str">
        <f>IF(AA25&lt;VLOOKUP(AG25,Variables!$AC$3:$AD$8,2,FALSE),"Y","N")</f>
        <v>N</v>
      </c>
      <c r="X25" s="197">
        <f t="shared" si="6"/>
        <v>1</v>
      </c>
      <c r="Y25" s="197">
        <f t="shared" si="7"/>
        <v>23.299399999999999</v>
      </c>
      <c r="Z25" s="197">
        <f t="shared" si="8"/>
        <v>1.49E-2</v>
      </c>
      <c r="AA25" s="197">
        <f t="shared" si="9"/>
        <v>23.284499999999998</v>
      </c>
      <c r="AB25" s="54" t="str">
        <f>VLOOKUP(A25,Enforcements!$C$7:$K$13,8,0)</f>
        <v>Bulletin (2)</v>
      </c>
      <c r="AC25" s="51" t="str">
        <f>VLOOKUP(A25,Enforcements!$C$7:$E$13,3,0)</f>
        <v>GRADE CROSSING</v>
      </c>
      <c r="AD25" s="206">
        <f t="shared" si="10"/>
        <v>112</v>
      </c>
      <c r="AE25" s="77" t="str">
        <f t="shared" si="11"/>
        <v>aws s3 cp s3://rtdc.mdm.uploadarchive.raw/RTDC4023/ "%USERPROFILE%\AppData\Local\Temp\OnboardLogs"\RTDC4023\2017-06-30 --exclude "*" --recursive --include "*20170630*" &amp; "%USERPROFILE%\Documents\GitHub\mrs-test-scripts\Headless Mode &amp; Sideloading\WalkAndUnGZ.bat" "%USERPROFILE%\AppData\Local\Temp\OnboardLogs"\RTDC4023\2017-06-30 &amp; aws s3 cp s3://rtdc.mdm.uploadarchive.raw/RTDC4023/ "%USERPROFILE%\AppData\Local\Temp\OnboardLogs"\RTDC4023\2017-07-01 --exclude "*" --recursive --include "*20170701*" &amp; "%USERPROFILE%\Documents\GitHub\mrs-test-scripts\Headless Mode &amp; Sideloading\WalkAndUnGZ.bat" "%USERPROFILE%\AppData\Local\Temp\OnboardLogs"\RTDC4023\2017-07-01</v>
      </c>
      <c r="AF25" s="74" t="str">
        <f t="shared" si="12"/>
        <v>"C:\Program Files (x86)\AstroGrep\AstroGrep.exe" /e /r /s /spath="%USERPROFILE%\AppData\Local\Temp\OnboardLogs" /stypes="app*4023*20170630*" /stext=" 12:.+((SYSTEM_STATE.+slice.+state.+changed )|(ment ac)|(multiple cpu faults)|(system.+state.+changed )|(\[timeout)|(PRM\|1\|D)|(kpr)|(kdp)|(train st.+moving)|(\|lc)|(penalty))"</v>
      </c>
      <c r="AG25" s="209" t="str">
        <f t="shared" si="13"/>
        <v>EC</v>
      </c>
      <c r="AH25" s="78" t="str">
        <f t="shared" si="18"/>
        <v>"%USERPROFILE%\Documents\GitHub\eaglep3\Utilities\RefineRTDCRunTimes.py" --tripid 112-30 --locoid 4023 --swversion DE.1.0.9.0 --startMP 204:232994 --initTime 2017-06-30T05:56:12 --startdatetime 2017-06-30T05:59:18 --delay 0 --endMP 204:149 --enddatetime 2017-06-30T06:37:43 --enforcementcount 0 &gt;&gt;C:\Users\stu\Documents\GitHub\eaglep3-reporting\EC\2017-06-30-refined-times.txt</v>
      </c>
      <c r="AI25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{"issue":{"subject":"","project_id":79,"tracker_id":40,"status_id":1,"priority_id":2,"assigned_to_id":23,"start_date":"2017-06-30","description":"","custom_fields":[{"id":1,"name":"Subdivision","value":"EC"},{"id":4,"name":"Milepost","value":"0.0149"},{"id":17,"name":"Train ID","value":"112-30"},{"id":16,"name":"Locomotive ID","value":"4023"},{"id":130,"name":"Impact","value":""},{"id":150,"name":"Time of Event (Mountain Time)","value":"06:37:43"},{"id":151,"name":"Denver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20"/>
        <v>start /low /b %USERPROFILE%\Documents\GitHub\eaglep3\Utilities\DownloadLogsFromS3.py --loco 4023 --day 2017-06-30</v>
      </c>
      <c r="AN25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12:37:43"},{"id":29,"name":"Sharepoint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665</v>
      </c>
      <c r="B26" s="7">
        <v>4044</v>
      </c>
      <c r="C26" s="21" t="s">
        <v>200</v>
      </c>
      <c r="D26" s="21" t="s">
        <v>349</v>
      </c>
      <c r="E26" s="13">
        <v>42916.213148148148</v>
      </c>
      <c r="F26" s="13">
        <v>42916.219351851854</v>
      </c>
      <c r="G26" s="7">
        <v>2</v>
      </c>
      <c r="H26" s="21" t="s">
        <v>852</v>
      </c>
      <c r="I26" s="13">
        <v>42916.245567129627</v>
      </c>
      <c r="J26" s="7">
        <v>0</v>
      </c>
      <c r="K26" s="89" t="str">
        <f t="shared" si="0"/>
        <v>4043/4044</v>
      </c>
      <c r="L26" s="21" t="str">
        <f>VLOOKUP(A26,'Trips&amp;Operators'!$C$1:$G$99999,5,FALSE)</f>
        <v>DAVIDSON DAVID</v>
      </c>
      <c r="M26" s="6">
        <f t="shared" si="1"/>
        <v>2.6215277772280388E-2</v>
      </c>
      <c r="N26" s="7">
        <f t="shared" si="22"/>
        <v>37.749999992083758</v>
      </c>
      <c r="O26" s="7"/>
      <c r="P26" s="7"/>
      <c r="Q26" s="22"/>
      <c r="R26" s="170"/>
      <c r="S26" s="213">
        <f t="shared" si="23"/>
        <v>1</v>
      </c>
      <c r="T26" s="195" t="str">
        <f t="shared" si="4"/>
        <v>NorthBound</v>
      </c>
      <c r="U26" s="19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6" t="str">
        <f t="shared" si="5"/>
        <v>https://d0f6bd738d7f1b3e5a7ca70fe4ff75f0.us-east-1.aws.found.io/app/kibana#/discover/Steve-Slow-Train-Analysis-(2080s-and-2083s)?_g=(refreshInterval:(display:Off,pause:!f,section:0,value:0),time:(from:'2017-06-30T04:06:56-0600',mode:absolute,to:'2017-06-30T06:53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6" s="197" t="str">
        <f>IF(AA26&lt;VLOOKUP(AG26,Variables!$AC$3:$AD$8,2,FALSE),"Y","N")</f>
        <v>N</v>
      </c>
      <c r="X26" s="197">
        <f t="shared" si="6"/>
        <v>1</v>
      </c>
      <c r="Y26" s="197">
        <f t="shared" si="7"/>
        <v>4.6600000000000003E-2</v>
      </c>
      <c r="Z26" s="197">
        <f t="shared" si="8"/>
        <v>23.330200000000001</v>
      </c>
      <c r="AA26" s="197">
        <f t="shared" si="9"/>
        <v>23.2836</v>
      </c>
      <c r="AB26" s="54" t="e">
        <f>VLOOKUP(A26,Enforcements!$C$7:$K$13,8,0)</f>
        <v>#N/A</v>
      </c>
      <c r="AC26" s="51" t="e">
        <f>VLOOKUP(A26,Enforcements!$C$7:$E$13,3,0)</f>
        <v>#N/A</v>
      </c>
      <c r="AD26" s="206">
        <f t="shared" si="10"/>
        <v>113</v>
      </c>
      <c r="AE26" s="77" t="str">
        <f t="shared" si="11"/>
        <v>aws s3 cp s3://rtdc.mdm.uploadarchive.raw/RTDC4044/ "%USERPROFILE%\AppData\Local\Temp\OnboardLogs"\RTDC4044\2017-06-30 --exclude "*" --recursive --include "*20170630*" &amp; "%USERPROFILE%\Documents\GitHub\mrs-test-scripts\Headless Mode &amp; Sideloading\WalkAndUnGZ.bat" "%USERPROFILE%\AppData\Local\Temp\OnboardLogs"\RTDC4044\2017-06-30 &amp; aws s3 cp s3://rtdc.mdm.uploadarchive.raw/RTDC4044/ "%USERPROFILE%\AppData\Local\Temp\OnboardLogs"\RTDC4044\2017-07-01 --exclude "*" --recursive --include "*20170701*" &amp; "%USERPROFILE%\Documents\GitHub\mrs-test-scripts\Headless Mode &amp; Sideloading\WalkAndUnGZ.bat" "%USERPROFILE%\AppData\Local\Temp\OnboardLogs"\RTDC4044\2017-07-01</v>
      </c>
      <c r="AF26" s="74" t="str">
        <f t="shared" si="12"/>
        <v>"C:\Program Files (x86)\AstroGrep\AstroGrep.exe" /e /r /s /spath="%USERPROFILE%\AppData\Local\Temp\OnboardLogs" /stypes="app*4044*20170630*" /stext=" 11:.+((SYSTEM_STATE.+slice.+state.+changed )|(ment ac)|(multiple cpu faults)|(system.+state.+changed )|(\[timeout)|(PRM\|1\|D)|(kpr)|(kdp)|(train st.+moving)|(\|lc)|(penalty))"</v>
      </c>
      <c r="AG26" s="209" t="str">
        <f t="shared" si="13"/>
        <v>EC</v>
      </c>
      <c r="AH26" s="78" t="str">
        <f t="shared" si="18"/>
        <v>"%USERPROFILE%\Documents\GitHub\eaglep3\Utilities\RefineRTDCRunTimes.py" --tripid 113-30 --locoid 4044 --swversion DE.1.0.9.0 --startMP 204:466 --initTime 2017-06-30T05:06:56 --startdatetime 2017-06-30T05:15:52 --delay 2 --endMP 204:233302 --enddatetime 2017-06-30T05:53:37 --enforcementcount 0 &gt;&gt;C:\Users\stu\Documents\GitHub\eaglep3-reporting\EC\2017-06-30-refined-times.txt</v>
      </c>
      <c r="AI26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{"issue":{"subject":"","project_id":79,"tracker_id":40,"status_id":1,"priority_id":2,"assigned_to_id":23,"start_date":"2017-06-30","description":"","custom_fields":[{"id":1,"name":"Subdivision","value":"EC"},{"id":4,"name":"Milepost","value":"23.3302"},{"id":17,"name":"Train ID","value":"113-30"},{"id":16,"name":"Locomotive ID","value":"4044"},{"id":130,"name":"Impact","value":""},{"id":150,"name":"Time of Event (Mountain Time)","value":"05:53:37"},{"id":151,"name":"Denver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20"/>
        <v>start /low /b %USERPROFILE%\Documents\GitHub\eaglep3\Utilities\DownloadLogsFromS3.py --loco 4044 --day 2017-06-30</v>
      </c>
      <c r="AN26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11:53:37"},{"id":29,"name":"Sharepoint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677</v>
      </c>
      <c r="B27" s="7">
        <v>4043</v>
      </c>
      <c r="C27" s="21" t="s">
        <v>200</v>
      </c>
      <c r="D27" s="21" t="s">
        <v>537</v>
      </c>
      <c r="E27" s="13">
        <v>42916.247662037036</v>
      </c>
      <c r="F27" s="13">
        <v>42916.25854166667</v>
      </c>
      <c r="G27" s="7">
        <v>1</v>
      </c>
      <c r="H27" s="21" t="s">
        <v>434</v>
      </c>
      <c r="I27" s="13">
        <v>42916.286192129628</v>
      </c>
      <c r="J27" s="7">
        <v>0</v>
      </c>
      <c r="K27" s="89" t="str">
        <f t="shared" si="0"/>
        <v>4043/4044</v>
      </c>
      <c r="L27" s="21" t="str">
        <f>VLOOKUP(A27,'Trips&amp;Operators'!$C$1:$G$99999,5,FALSE)</f>
        <v>DAVIDSON DAVID</v>
      </c>
      <c r="M27" s="6">
        <f t="shared" si="1"/>
        <v>2.7650462958263233E-2</v>
      </c>
      <c r="N27" s="7">
        <f t="shared" si="22"/>
        <v>39.816666659899056</v>
      </c>
      <c r="O27" s="7"/>
      <c r="P27" s="7"/>
      <c r="Q27" s="22"/>
      <c r="R27" s="170"/>
      <c r="S27" s="213">
        <f t="shared" si="23"/>
        <v>1</v>
      </c>
      <c r="T27" s="195" t="str">
        <f t="shared" si="4"/>
        <v>Southbound</v>
      </c>
      <c r="U27" s="19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6" t="str">
        <f t="shared" si="5"/>
        <v>https://d0f6bd738d7f1b3e5a7ca70fe4ff75f0.us-east-1.aws.found.io/app/kibana#/discover/Steve-Slow-Train-Analysis-(2080s-and-2083s)?_g=(refreshInterval:(display:Off,pause:!f,section:0,value:0),time:(from:'2017-06-30T04:56:38-0600',mode:absolute,to:'2017-06-30T07:52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7" s="197" t="str">
        <f>IF(AA27&lt;VLOOKUP(AG27,Variables!$AC$3:$AD$8,2,FALSE),"Y","N")</f>
        <v>N</v>
      </c>
      <c r="X27" s="197">
        <f t="shared" si="6"/>
        <v>1</v>
      </c>
      <c r="Y27" s="197">
        <f t="shared" si="7"/>
        <v>23.299299999999999</v>
      </c>
      <c r="Z27" s="197">
        <f t="shared" si="8"/>
        <v>1.61E-2</v>
      </c>
      <c r="AA27" s="197">
        <f t="shared" si="9"/>
        <v>23.283199999999997</v>
      </c>
      <c r="AB27" s="54" t="e">
        <f>VLOOKUP(A27,Enforcements!$C$7:$K$13,8,0)</f>
        <v>#N/A</v>
      </c>
      <c r="AC27" s="51" t="e">
        <f>VLOOKUP(A27,Enforcements!$C$7:$E$13,3,0)</f>
        <v>#N/A</v>
      </c>
      <c r="AD27" s="206">
        <f t="shared" si="10"/>
        <v>114</v>
      </c>
      <c r="AE27" s="77" t="str">
        <f t="shared" si="11"/>
        <v>aws s3 cp s3://rtdc.mdm.uploadarchive.raw/RTDC4043/ "%USERPROFILE%\AppData\Local\Temp\OnboardLogs"\RTDC4043\2017-06-30 --exclude "*" --recursive --include "*20170630*" &amp; "%USERPROFILE%\Documents\GitHub\mrs-test-scripts\Headless Mode &amp; Sideloading\WalkAndUnGZ.bat" "%USERPROFILE%\AppData\Local\Temp\OnboardLogs"\RTDC4043\2017-06-30 &amp; aws s3 cp s3://rtdc.mdm.uploadarchive.raw/RTDC4043/ "%USERPROFILE%\AppData\Local\Temp\OnboardLogs"\RTDC4043\2017-07-01 --exclude "*" --recursive --include "*20170701*" &amp; "%USERPROFILE%\Documents\GitHub\mrs-test-scripts\Headless Mode &amp; Sideloading\WalkAndUnGZ.bat" "%USERPROFILE%\AppData\Local\Temp\OnboardLogs"\RTDC4043\2017-07-01</v>
      </c>
      <c r="AF27" s="74" t="str">
        <f t="shared" si="12"/>
        <v>"C:\Program Files (x86)\AstroGrep\AstroGrep.exe" /e /r /s /spath="%USERPROFILE%\AppData\Local\Temp\OnboardLogs" /stypes="app*4043*20170630*" /stext=" 12:.+((SYSTEM_STATE.+slice.+state.+changed )|(ment ac)|(multiple cpu faults)|(system.+state.+changed )|(\[timeout)|(PRM\|1\|D)|(kpr)|(kdp)|(train st.+moving)|(\|lc)|(penalty))"</v>
      </c>
      <c r="AG27" s="209" t="str">
        <f t="shared" si="13"/>
        <v>EC</v>
      </c>
      <c r="AH27" s="78" t="str">
        <f t="shared" si="18"/>
        <v>"%USERPROFILE%\Documents\GitHub\eaglep3\Utilities\RefineRTDCRunTimes.py" --tripid 114-30 --locoid 4043 --swversion DE.1.0.9.0 --startMP 204:232993 --initTime 2017-06-30T05:56:38 --startdatetime 2017-06-30T06:12:18 --delay 1 --endMP 204:161 --enddatetime 2017-06-30T06:52:07 --enforcementcount 0 &gt;&gt;C:\Users\stu\Documents\GitHub\eaglep3-reporting\EC\2017-06-30-refined-times.txt</v>
      </c>
      <c r="AI27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{"issue":{"subject":"","project_id":79,"tracker_id":40,"status_id":1,"priority_id":2,"assigned_to_id":23,"start_date":"2017-06-30","description":"","custom_fields":[{"id":1,"name":"Subdivision","value":"EC"},{"id":4,"name":"Milepost","value":"0.0161"},{"id":17,"name":"Train ID","value":"114-30"},{"id":16,"name":"Locomotive ID","value":"4043"},{"id":130,"name":"Impact","value":""},{"id":150,"name":"Time of Event (Mountain Time)","value":"06:52:07"},{"id":151,"name":"Denver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20"/>
        <v>start /low /b %USERPROFILE%\Documents\GitHub\eaglep3\Utilities\DownloadLogsFromS3.py --loco 4043 --day 2017-06-30</v>
      </c>
      <c r="AN27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12:52:07"},{"id":29,"name":"Sharepoint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671</v>
      </c>
      <c r="B28" s="7">
        <v>4032</v>
      </c>
      <c r="C28" s="21" t="s">
        <v>200</v>
      </c>
      <c r="D28" s="21" t="s">
        <v>445</v>
      </c>
      <c r="E28" s="13">
        <v>42916.228668981479</v>
      </c>
      <c r="F28" s="13">
        <v>42916.230173611111</v>
      </c>
      <c r="G28" s="7">
        <v>1</v>
      </c>
      <c r="H28" s="21" t="s">
        <v>853</v>
      </c>
      <c r="I28" s="13">
        <v>42916.257152777776</v>
      </c>
      <c r="J28" s="7">
        <v>0</v>
      </c>
      <c r="K28" s="89" t="str">
        <f t="shared" si="0"/>
        <v>4031/4032</v>
      </c>
      <c r="L28" s="21" t="str">
        <f>VLOOKUP(A28,'Trips&amp;Operators'!$C$1:$G$99999,5,FALSE)</f>
        <v>CUSHING HARRY</v>
      </c>
      <c r="M28" s="6">
        <f t="shared" si="1"/>
        <v>2.6979166665114462E-2</v>
      </c>
      <c r="N28" s="7">
        <f t="shared" si="22"/>
        <v>38.849999997764826</v>
      </c>
      <c r="O28" s="7"/>
      <c r="P28" s="7"/>
      <c r="Q28" s="22"/>
      <c r="R28" s="170"/>
      <c r="S28" s="213">
        <f t="shared" si="23"/>
        <v>1</v>
      </c>
      <c r="T28" s="195" t="str">
        <f t="shared" si="4"/>
        <v>NorthBound</v>
      </c>
      <c r="U28" s="19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6" t="str">
        <f t="shared" si="5"/>
        <v>https://d0f6bd738d7f1b3e5a7ca70fe4ff75f0.us-east-1.aws.found.io/app/kibana#/discover/Steve-Slow-Train-Analysis-(2080s-and-2083s)?_g=(refreshInterval:(display:Off,pause:!f,section:0,value:0),time:(from:'2017-06-30T04:29:17-0600',mode:absolute,to:'2017-06-30T07:10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8" s="197" t="str">
        <f>IF(AA28&lt;VLOOKUP(AG28,Variables!$AC$3:$AD$8,2,FALSE),"Y","N")</f>
        <v>N</v>
      </c>
      <c r="X28" s="197">
        <f t="shared" si="6"/>
        <v>1</v>
      </c>
      <c r="Y28" s="197">
        <f t="shared" si="7"/>
        <v>4.4400000000000002E-2</v>
      </c>
      <c r="Z28" s="197">
        <f t="shared" si="8"/>
        <v>23.327400000000001</v>
      </c>
      <c r="AA28" s="197">
        <f t="shared" si="9"/>
        <v>23.283000000000001</v>
      </c>
      <c r="AB28" s="54" t="e">
        <f>VLOOKUP(A28,Enforcements!$C$7:$K$13,8,0)</f>
        <v>#N/A</v>
      </c>
      <c r="AC28" s="51" t="e">
        <f>VLOOKUP(A28,Enforcements!$C$7:$E$13,3,0)</f>
        <v>#N/A</v>
      </c>
      <c r="AD28" s="206">
        <f t="shared" si="10"/>
        <v>115</v>
      </c>
      <c r="AE28" s="77" t="str">
        <f t="shared" si="11"/>
        <v>aws s3 cp s3://rtdc.mdm.uploadarchive.raw/RTDC4032/ "%USERPROFILE%\AppData\Local\Temp\OnboardLogs"\RTDC4032\2017-06-30 --exclude "*" --recursive --include "*20170630*" &amp; "%USERPROFILE%\Documents\GitHub\mrs-test-scripts\Headless Mode &amp; Sideloading\WalkAndUnGZ.bat" "%USERPROFILE%\AppData\Local\Temp\OnboardLogs"\RTDC4032\2017-06-30 &amp; aws s3 cp s3://rtdc.mdm.uploadarchive.raw/RTDC4032/ "%USERPROFILE%\AppData\Local\Temp\OnboardLogs"\RTDC4032\2017-07-01 --exclude "*" --recursive --include "*20170701*" &amp; "%USERPROFILE%\Documents\GitHub\mrs-test-scripts\Headless Mode &amp; Sideloading\WalkAndUnGZ.bat" "%USERPROFILE%\AppData\Local\Temp\OnboardLogs"\RTDC4032\2017-07-01</v>
      </c>
      <c r="AF28" s="74" t="str">
        <f t="shared" si="12"/>
        <v>"C:\Program Files (x86)\AstroGrep\AstroGrep.exe" /e /r /s /spath="%USERPROFILE%\AppData\Local\Temp\OnboardLogs" /stypes="app*4032*20170630*" /stext=" 12:.+((SYSTEM_STATE.+slice.+state.+changed )|(ment ac)|(multiple cpu faults)|(system.+state.+changed )|(\[timeout)|(PRM\|1\|D)|(kpr)|(kdp)|(train st.+moving)|(\|lc)|(penalty))"</v>
      </c>
      <c r="AG28" s="209" t="str">
        <f t="shared" si="13"/>
        <v>EC</v>
      </c>
      <c r="AH28" s="78" t="str">
        <f t="shared" si="18"/>
        <v>"%USERPROFILE%\Documents\GitHub\eaglep3\Utilities\RefineRTDCRunTimes.py" --tripid 115-30 --locoid 4032 --swversion DE.1.0.9.0 --startMP 204:444 --initTime 2017-06-30T05:29:17 --startdatetime 2017-06-30T05:31:27 --delay 1 --endMP 204:233274 --enddatetime 2017-06-30T06:10:18 --enforcementcount 0 &gt;&gt;C:\Users\stu\Documents\GitHub\eaglep3-reporting\EC\2017-06-30-refined-times.txt</v>
      </c>
      <c r="AI28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{"issue":{"subject":"","project_id":79,"tracker_id":40,"status_id":1,"priority_id":2,"assigned_to_id":23,"start_date":"2017-06-30","description":"","custom_fields":[{"id":1,"name":"Subdivision","value":"EC"},{"id":4,"name":"Milepost","value":"23.3274"},{"id":17,"name":"Train ID","value":"115-30"},{"id":16,"name":"Locomotive ID","value":"4032"},{"id":130,"name":"Impact","value":""},{"id":150,"name":"Time of Event (Mountain Time)","value":"06:10:18"},{"id":151,"name":"Denver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20"/>
        <v>start /low /b %USERPROFILE%\Documents\GitHub\eaglep3\Utilities\DownloadLogsFromS3.py --loco 4032 --day 2017-06-30</v>
      </c>
      <c r="AN28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12:10:18"},{"id":29,"name":"Sharepoint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680</v>
      </c>
      <c r="B29" s="7">
        <v>4031</v>
      </c>
      <c r="C29" s="21" t="s">
        <v>200</v>
      </c>
      <c r="D29" s="21" t="s">
        <v>410</v>
      </c>
      <c r="E29" s="13">
        <v>42916.265173611115</v>
      </c>
      <c r="F29" s="13">
        <v>42916.268912037034</v>
      </c>
      <c r="G29" s="7">
        <v>1</v>
      </c>
      <c r="H29" s="21" t="s">
        <v>390</v>
      </c>
      <c r="I29" s="13">
        <v>42916.296215277776</v>
      </c>
      <c r="J29" s="7">
        <v>0</v>
      </c>
      <c r="K29" s="89" t="str">
        <f t="shared" si="0"/>
        <v>4031/4032</v>
      </c>
      <c r="L29" s="21" t="str">
        <f>VLOOKUP(A29,'Trips&amp;Operators'!$C$1:$G$99999,5,FALSE)</f>
        <v>CUSHING HARRY</v>
      </c>
      <c r="M29" s="6">
        <f t="shared" si="1"/>
        <v>2.7303240742185153E-2</v>
      </c>
      <c r="N29" s="7">
        <f t="shared" si="22"/>
        <v>39.31666666874662</v>
      </c>
      <c r="O29" s="7"/>
      <c r="P29" s="7"/>
      <c r="Q29" s="22"/>
      <c r="R29" s="170"/>
      <c r="S29" s="213">
        <f t="shared" si="23"/>
        <v>1</v>
      </c>
      <c r="T29" s="195" t="str">
        <f t="shared" si="4"/>
        <v>Southbound</v>
      </c>
      <c r="U29" s="19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6" t="str">
        <f t="shared" si="5"/>
        <v>https://d0f6bd738d7f1b3e5a7ca70fe4ff75f0.us-east-1.aws.found.io/app/kibana#/discover/Steve-Slow-Train-Analysis-(2080s-and-2083s)?_g=(refreshInterval:(display:Off,pause:!f,section:0,value:0),time:(from:'2017-06-30T05:21:51-0600',mode:absolute,to:'2017-06-30T08:06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9" s="197" t="str">
        <f>IF(AA29&lt;VLOOKUP(AG29,Variables!$AC$3:$AD$8,2,FALSE),"Y","N")</f>
        <v>N</v>
      </c>
      <c r="X29" s="197">
        <f t="shared" si="6"/>
        <v>1</v>
      </c>
      <c r="Y29" s="197">
        <f t="shared" si="7"/>
        <v>23.2971</v>
      </c>
      <c r="Z29" s="197">
        <f t="shared" si="8"/>
        <v>1.54E-2</v>
      </c>
      <c r="AA29" s="197">
        <f t="shared" si="9"/>
        <v>23.281700000000001</v>
      </c>
      <c r="AB29" s="54" t="e">
        <f>VLOOKUP(A29,Enforcements!$C$7:$K$13,8,0)</f>
        <v>#N/A</v>
      </c>
      <c r="AC29" s="51" t="e">
        <f>VLOOKUP(A29,Enforcements!$C$7:$E$13,3,0)</f>
        <v>#N/A</v>
      </c>
      <c r="AD29" s="206">
        <f t="shared" si="10"/>
        <v>116</v>
      </c>
      <c r="AE29" s="77" t="str">
        <f t="shared" si="11"/>
        <v>aws s3 cp s3://rtdc.mdm.uploadarchive.raw/RTDC4031/ "%USERPROFILE%\AppData\Local\Temp\OnboardLogs"\RTDC4031\2017-06-30 --exclude "*" --recursive --include "*20170630*" &amp; "%USERPROFILE%\Documents\GitHub\mrs-test-scripts\Headless Mode &amp; Sideloading\WalkAndUnGZ.bat" "%USERPROFILE%\AppData\Local\Temp\OnboardLogs"\RTDC4031\2017-06-30 &amp; aws s3 cp s3://rtdc.mdm.uploadarchive.raw/RTDC4031/ "%USERPROFILE%\AppData\Local\Temp\OnboardLogs"\RTDC4031\2017-07-01 --exclude "*" --recursive --include "*20170701*" &amp; "%USERPROFILE%\Documents\GitHub\mrs-test-scripts\Headless Mode &amp; Sideloading\WalkAndUnGZ.bat" "%USERPROFILE%\AppData\Local\Temp\OnboardLogs"\RTDC4031\2017-07-01</v>
      </c>
      <c r="AF29" s="74" t="str">
        <f t="shared" si="12"/>
        <v>"C:\Program Files (x86)\AstroGrep\AstroGrep.exe" /e /r /s /spath="%USERPROFILE%\AppData\Local\Temp\OnboardLogs" /stypes="app*4031*20170630*" /stext=" 13:.+((SYSTEM_STATE.+slice.+state.+changed )|(ment ac)|(multiple cpu faults)|(system.+state.+changed )|(\[timeout)|(PRM\|1\|D)|(kpr)|(kdp)|(train st.+moving)|(\|lc)|(penalty))"</v>
      </c>
      <c r="AG29" s="209" t="str">
        <f t="shared" si="13"/>
        <v>EC</v>
      </c>
      <c r="AH29" s="78" t="str">
        <f t="shared" si="18"/>
        <v>"%USERPROFILE%\Documents\GitHub\eaglep3\Utilities\RefineRTDCRunTimes.py" --tripid 116-30 --locoid 4031 --swversion DE.1.0.9.0 --startMP 204:232971 --initTime 2017-06-30T06:21:51 --startdatetime 2017-06-30T06:27:14 --delay 1 --endMP 204:154 --enddatetime 2017-06-30T07:06:33 --enforcementcount 0 &gt;&gt;C:\Users\stu\Documents\GitHub\eaglep3-reporting\EC\2017-06-30-refined-times.txt</v>
      </c>
      <c r="AI29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{"issue":{"subject":"","project_id":79,"tracker_id":40,"status_id":1,"priority_id":2,"assigned_to_id":23,"start_date":"2017-06-30","description":"","custom_fields":[{"id":1,"name":"Subdivision","value":"EC"},{"id":4,"name":"Milepost","value":"0.0154"},{"id":17,"name":"Train ID","value":"116-30"},{"id":16,"name":"Locomotive ID","value":"4031"},{"id":130,"name":"Impact","value":""},{"id":150,"name":"Time of Event (Mountain Time)","value":"07:06:33"},{"id":151,"name":"Denver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20"/>
        <v>start /low /b %USERPROFILE%\Documents\GitHub\eaglep3\Utilities\DownloadLogsFromS3.py --loco 4031 --day 2017-06-30</v>
      </c>
      <c r="AN29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13:06:33"},{"id":29,"name":"Sharepoint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672</v>
      </c>
      <c r="B30" s="7">
        <v>4040</v>
      </c>
      <c r="C30" s="21" t="s">
        <v>200</v>
      </c>
      <c r="D30" s="21" t="s">
        <v>854</v>
      </c>
      <c r="E30" s="13">
        <v>42916.246770833335</v>
      </c>
      <c r="F30" s="13">
        <v>42916.247743055559</v>
      </c>
      <c r="G30" s="7">
        <v>0</v>
      </c>
      <c r="H30" s="21" t="s">
        <v>444</v>
      </c>
      <c r="I30" s="13">
        <v>42916.265810185185</v>
      </c>
      <c r="J30" s="7">
        <v>0</v>
      </c>
      <c r="K30" s="89" t="str">
        <f t="shared" si="0"/>
        <v>4039/4040</v>
      </c>
      <c r="L30" s="21" t="str">
        <f>VLOOKUP(A30,'Trips&amp;Operators'!$C$1:$G$99999,5,FALSE)</f>
        <v>BEAM ROSS</v>
      </c>
      <c r="M30" s="6">
        <f t="shared" si="1"/>
        <v>1.8067129625706002E-2</v>
      </c>
      <c r="N30" s="7"/>
      <c r="O30" s="7"/>
      <c r="P30" s="7">
        <f>24*60*SUM($M30:$M30)</f>
        <v>26.016666661016643</v>
      </c>
      <c r="Q30" s="22"/>
      <c r="R30" s="170" t="s">
        <v>1084</v>
      </c>
      <c r="S30" s="213">
        <f t="shared" si="23"/>
        <v>0.75</v>
      </c>
      <c r="T30" s="195" t="str">
        <f t="shared" si="4"/>
        <v>NorthBound</v>
      </c>
      <c r="U30" s="19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9</v>
      </c>
      <c r="V30" s="196" t="str">
        <f t="shared" si="5"/>
        <v>https://d0f6bd738d7f1b3e5a7ca70fe4ff75f0.us-east-1.aws.found.io/app/kibana#/discover/Steve-Slow-Train-Analysis-(2080s-and-2083s)?_g=(refreshInterval:(display:Off,pause:!f,section:0,value:0),time:(from:'2017-06-30T04:55:21-0600',mode:absolute,to:'2017-06-30T07:22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30" s="197" t="str">
        <f>IF(AA30&lt;VLOOKUP(AG30,Variables!$AC$3:$AD$8,2,FALSE),"Y","N")</f>
        <v>Y</v>
      </c>
      <c r="X30" s="197">
        <f t="shared" si="6"/>
        <v>1</v>
      </c>
      <c r="Y30" s="197">
        <f t="shared" si="7"/>
        <v>3.7191000000000001</v>
      </c>
      <c r="Z30" s="197">
        <f t="shared" si="8"/>
        <v>23.331199999999999</v>
      </c>
      <c r="AA30" s="197">
        <f t="shared" si="9"/>
        <v>19.612099999999998</v>
      </c>
      <c r="AB30" s="54" t="e">
        <f>VLOOKUP(A30,Enforcements!$C$7:$K$13,8,0)</f>
        <v>#N/A</v>
      </c>
      <c r="AC30" s="51" t="e">
        <f>VLOOKUP(A30,Enforcements!$C$7:$E$13,3,0)</f>
        <v>#N/A</v>
      </c>
      <c r="AD30" s="206">
        <f t="shared" si="10"/>
        <v>117</v>
      </c>
      <c r="AE30" s="77" t="str">
        <f t="shared" si="11"/>
        <v>aws s3 cp s3://rtdc.mdm.uploadarchive.raw/RTDC4040/ "%USERPROFILE%\AppData\Local\Temp\OnboardLogs"\RTDC4040\2017-06-30 --exclude "*" --recursive --include "*20170630*" &amp; "%USERPROFILE%\Documents\GitHub\mrs-test-scripts\Headless Mode &amp; Sideloading\WalkAndUnGZ.bat" "%USERPROFILE%\AppData\Local\Temp\OnboardLogs"\RTDC4040\2017-06-30 &amp; aws s3 cp s3://rtdc.mdm.uploadarchive.raw/RTDC4040/ "%USERPROFILE%\AppData\Local\Temp\OnboardLogs"\RTDC4040\2017-07-01 --exclude "*" --recursive --include "*20170701*" &amp; "%USERPROFILE%\Documents\GitHub\mrs-test-scripts\Headless Mode &amp; Sideloading\WalkAndUnGZ.bat" "%USERPROFILE%\AppData\Local\Temp\OnboardLogs"\RTDC4040\2017-07-01</v>
      </c>
      <c r="AF30" s="74" t="str">
        <f t="shared" si="12"/>
        <v>"C:\Program Files (x86)\AstroGrep\AstroGrep.exe" /e /r /s /spath="%USERPROFILE%\AppData\Local\Temp\OnboardLogs" /stypes="app*4040*20170630*" /stext=" 12:.+((SYSTEM_STATE.+slice.+state.+changed )|(ment ac)|(multiple cpu faults)|(system.+state.+changed )|(\[timeout)|(PRM\|1\|D)|(kpr)|(kdp)|(train st.+moving)|(\|lc)|(penalty))"</v>
      </c>
      <c r="AG30" s="209" t="str">
        <f t="shared" si="13"/>
        <v>EC</v>
      </c>
      <c r="AH30" s="78" t="str">
        <f t="shared" si="18"/>
        <v>"%USERPROFILE%\Documents\GitHub\eaglep3\Utilities\RefineRTDCRunTimes.py" --tripid 117-30 --locoid 4040 --swversion DE.1.0.9.0 --startMP 204:37191 --initTime 2017-06-30T05:55:21 --startdatetime 2017-06-30T05:56:45 --delay 0 --endMP 204:233312 --enddatetime 2017-06-30T06:22:46 --enforcementcount 0 &gt;&gt;C:\Users\stu\Documents\GitHub\eaglep3-reporting\EC\2017-06-30-refined-times.txt</v>
      </c>
      <c r="AI30" s="96" t="str">
        <f t="shared" si="19"/>
        <v>echo {"issue":{"subject":"Poor GPS at DUS","project_id":79,"tracker_id":40,"status_id":1,"priority_id":2,"assigned_to_id":23,"start_date":"2017-06-30","description":"","custom_fields":[{"id":1,"name":"Subdivision","value":"EC"},{"id":4,"name":"Milepost","value":"23.3312"},{"id":17,"name":"Train ID","value":"117-30"},{"id":16,"name":"Locomotive ID","value":"4040"},{"id":130,"name":"Impact","value":""},{"id":150,"name":"Time of Event (Mountain Time)","value":"06:22:46"},{"id":151,"name":"Denver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20"/>
        <v>start /low /b %USERPROFILE%\Documents\GitHub\eaglep3\Utilities\DownloadLogsFromS3.py --loco 4040 --day 2017-06-30</v>
      </c>
      <c r="AN30" s="151" t="str">
        <f t="shared" si="21"/>
        <v>echo {"issue":{"subject":"Poor GPS at DUS","project_id":30,"tracker_id":4,"status_id":1,"priority_id":1,"assigned_to_id":10,"start_date":"2017-06-30","description":"","custom_fields":[{"id":30,"name":"Category","value":"Issue"},{"id":3,"name":"Functional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12:22:46"},{"id":29,"name":"Sharepoint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672</v>
      </c>
      <c r="B31" s="7">
        <v>4040</v>
      </c>
      <c r="C31" s="21" t="s">
        <v>200</v>
      </c>
      <c r="D31" s="21" t="s">
        <v>447</v>
      </c>
      <c r="E31" s="13">
        <v>42916.237025462964</v>
      </c>
      <c r="F31" s="13">
        <v>42916.247743055559</v>
      </c>
      <c r="G31" s="7">
        <v>1</v>
      </c>
      <c r="H31" s="21" t="s">
        <v>855</v>
      </c>
      <c r="I31" s="13">
        <v>42916.265810185185</v>
      </c>
      <c r="J31" s="7">
        <v>0</v>
      </c>
      <c r="K31" s="89" t="str">
        <f t="shared" si="0"/>
        <v>4039/4040</v>
      </c>
      <c r="L31" s="21" t="str">
        <f>VLOOKUP(A31,'Trips&amp;Operators'!$C$1:$G$99999,5,FALSE)</f>
        <v>BEAM ROSS</v>
      </c>
      <c r="M31" s="6">
        <f t="shared" si="1"/>
        <v>1.8067129625706002E-2</v>
      </c>
      <c r="N31" s="7"/>
      <c r="O31" s="7"/>
      <c r="P31" s="7"/>
      <c r="Q31" s="22"/>
      <c r="R31" s="170"/>
      <c r="S31" s="213"/>
      <c r="T31" s="195" t="str">
        <f t="shared" si="4"/>
        <v>NorthBound</v>
      </c>
      <c r="U31" s="19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0</v>
      </c>
      <c r="V31" s="196" t="str">
        <f t="shared" si="5"/>
        <v>https://d0f6bd738d7f1b3e5a7ca70fe4ff75f0.us-east-1.aws.found.io/app/kibana#/discover/Steve-Slow-Train-Analysis-(2080s-and-2083s)?_g=(refreshInterval:(display:Off,pause:!f,section:0,value:0),time:(from:'2017-06-30T04:41:19-0600',mode:absolute,to:'2017-06-30T07:22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31" s="197" t="str">
        <f>IF(AA31&lt;VLOOKUP(AG31,Variables!$AC$3:$AD$8,2,FALSE),"Y","N")</f>
        <v>Y</v>
      </c>
      <c r="X31" s="197">
        <f t="shared" si="6"/>
        <v>0</v>
      </c>
      <c r="Y31" s="197">
        <f t="shared" si="7"/>
        <v>4.3999999999999997E-2</v>
      </c>
      <c r="Z31" s="197">
        <f t="shared" si="8"/>
        <v>0.1462</v>
      </c>
      <c r="AA31" s="197">
        <f t="shared" si="9"/>
        <v>0.1022</v>
      </c>
      <c r="AB31" s="54" t="e">
        <f>VLOOKUP(A31,Enforcements!$C$7:$K$13,8,0)</f>
        <v>#N/A</v>
      </c>
      <c r="AC31" s="51" t="e">
        <f>VLOOKUP(A31,Enforcements!$C$7:$E$13,3,0)</f>
        <v>#N/A</v>
      </c>
      <c r="AD31" s="206">
        <f t="shared" si="10"/>
        <v>117</v>
      </c>
      <c r="AE31" s="77" t="str">
        <f t="shared" si="11"/>
        <v>aws s3 cp s3://rtdc.mdm.uploadarchive.raw/RTDC4040/ "%USERPROFILE%\AppData\Local\Temp\OnboardLogs"\RTDC4040\2017-06-30 --exclude "*" --recursive --include "*20170630*" &amp; "%USERPROFILE%\Documents\GitHub\mrs-test-scripts\Headless Mode &amp; Sideloading\WalkAndUnGZ.bat" "%USERPROFILE%\AppData\Local\Temp\OnboardLogs"\RTDC4040\2017-06-30 &amp; aws s3 cp s3://rtdc.mdm.uploadarchive.raw/RTDC4040/ "%USERPROFILE%\AppData\Local\Temp\OnboardLogs"\RTDC4040\2017-07-01 --exclude "*" --recursive --include "*20170701*" &amp; "%USERPROFILE%\Documents\GitHub\mrs-test-scripts\Headless Mode &amp; Sideloading\WalkAndUnGZ.bat" "%USERPROFILE%\AppData\Local\Temp\OnboardLogs"\RTDC4040\2017-07-01</v>
      </c>
      <c r="AF31" s="74" t="str">
        <f t="shared" si="12"/>
        <v>"C:\Program Files (x86)\AstroGrep\AstroGrep.exe" /e /r /s /spath="%USERPROFILE%\AppData\Local\Temp\OnboardLogs" /stypes="app*4040*20170630*" /stext=" 12:.+((SYSTEM_STATE.+slice.+state.+changed )|(ment ac)|(multiple cpu faults)|(system.+state.+changed )|(\[timeout)|(PRM\|1\|D)|(kpr)|(kdp)|(train st.+moving)|(\|lc)|(penalty))"</v>
      </c>
      <c r="AG31" s="209" t="str">
        <f t="shared" si="13"/>
        <v>EC</v>
      </c>
      <c r="AH31" s="78" t="str">
        <f t="shared" si="18"/>
        <v>"%USERPROFILE%\Documents\GitHub\eaglep3\Utilities\RefineRTDCRunTimes.py" --tripid 117-30 --locoid 4040 --swversion DE.1.0.9.0 --startMP 204:440 --initTime 2017-06-30T05:41:19 --startdatetime 2017-06-30T05:56:45 --delay 1 --endMP 204:1462 --enddatetime 2017-06-30T06:22:46 --enforcementcount 0 &gt;&gt;C:\Users\stu\Documents\GitHub\eaglep3-reporting\EC\2017-06-30-refined-times.txt</v>
      </c>
      <c r="AI31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{"issue":{"subject":"","project_id":79,"tracker_id":40,"status_id":1,"priority_id":2,"assigned_to_id":23,"start_date":"2017-06-30","description":"","custom_fields":[{"id":1,"name":"Subdivision","value":"EC"},{"id":4,"name":"Milepost","value":"0.1462"},{"id":17,"name":"Train ID","value":"117-30"},{"id":16,"name":"Locomotive ID","value":"4040"},{"id":130,"name":"Impact","value":""},{"id":150,"name":"Time of Event (Mountain Time)","value":"06:22:46"},{"id":151,"name":"Denver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20"/>
        <v>start /low /b %USERPROFILE%\Documents\GitHub\eaglep3\Utilities\DownloadLogsFromS3.py --loco 4040 --day 2017-06-30</v>
      </c>
      <c r="AN31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12:22:46"},{"id":29,"name":"Sharepoint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683</v>
      </c>
      <c r="B32" s="7">
        <v>4039</v>
      </c>
      <c r="C32" s="21" t="s">
        <v>200</v>
      </c>
      <c r="D32" s="21" t="s">
        <v>460</v>
      </c>
      <c r="E32" s="13">
        <v>42916.273715277777</v>
      </c>
      <c r="F32" s="13">
        <v>42916.279328703706</v>
      </c>
      <c r="G32" s="7">
        <v>1</v>
      </c>
      <c r="H32" s="21" t="s">
        <v>192</v>
      </c>
      <c r="I32" s="13">
        <v>42916.305393518516</v>
      </c>
      <c r="J32" s="7">
        <v>0</v>
      </c>
      <c r="K32" s="89" t="str">
        <f t="shared" si="0"/>
        <v>4039/4040</v>
      </c>
      <c r="L32" s="21" t="str">
        <f>VLOOKUP(A32,'Trips&amp;Operators'!$C$1:$G$99999,5,FALSE)</f>
        <v>BEAM ROSS</v>
      </c>
      <c r="M32" s="6">
        <f t="shared" si="1"/>
        <v>2.6064814810524695E-2</v>
      </c>
      <c r="N32" s="7">
        <f t="shared" ref="N32:N37" si="24">24*60*SUM($M32:$M32)</f>
        <v>37.53333332715556</v>
      </c>
      <c r="O32" s="7"/>
      <c r="P32" s="7"/>
      <c r="Q32" s="22"/>
      <c r="R32" s="170"/>
      <c r="S32" s="213">
        <f t="shared" ref="S32:S37" si="25">SUM(U32:U32)/IF(AG32="EC",12,1)</f>
        <v>1</v>
      </c>
      <c r="T32" s="195" t="str">
        <f t="shared" si="4"/>
        <v>Southbound</v>
      </c>
      <c r="U32" s="19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6" t="str">
        <f t="shared" si="5"/>
        <v>https://d0f6bd738d7f1b3e5a7ca70fe4ff75f0.us-east-1.aws.found.io/app/kibana#/discover/Steve-Slow-Train-Analysis-(2080s-and-2083s)?_g=(refreshInterval:(display:Off,pause:!f,section:0,value:0),time:(from:'2017-06-30T05:34:09-0600',mode:absolute,to:'2017-06-30T08:19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32" s="197" t="str">
        <f>IF(AA32&lt;VLOOKUP(AG32,Variables!$AC$3:$AD$8,2,FALSE),"Y","N")</f>
        <v>N</v>
      </c>
      <c r="X32" s="197">
        <f t="shared" si="6"/>
        <v>1</v>
      </c>
      <c r="Y32" s="197">
        <f t="shared" si="7"/>
        <v>23.2989</v>
      </c>
      <c r="Z32" s="197">
        <f t="shared" si="8"/>
        <v>1.52E-2</v>
      </c>
      <c r="AA32" s="197">
        <f t="shared" si="9"/>
        <v>23.2837</v>
      </c>
      <c r="AB32" s="54" t="e">
        <f>VLOOKUP(A32,Enforcements!$C$7:$K$13,8,0)</f>
        <v>#N/A</v>
      </c>
      <c r="AC32" s="51" t="e">
        <f>VLOOKUP(A32,Enforcements!$C$7:$E$13,3,0)</f>
        <v>#N/A</v>
      </c>
      <c r="AD32" s="206">
        <f t="shared" si="10"/>
        <v>118</v>
      </c>
      <c r="AE32" s="77" t="str">
        <f t="shared" si="11"/>
        <v>aws s3 cp s3://rtdc.mdm.uploadarchive.raw/RTDC4039/ "%USERPROFILE%\AppData\Local\Temp\OnboardLogs"\RTDC4039\2017-06-30 --exclude "*" --recursive --include "*20170630*" &amp; "%USERPROFILE%\Documents\GitHub\mrs-test-scripts\Headless Mode &amp; Sideloading\WalkAndUnGZ.bat" "%USERPROFILE%\AppData\Local\Temp\OnboardLogs"\RTDC4039\2017-06-30 &amp; aws s3 cp s3://rtdc.mdm.uploadarchive.raw/RTDC4039/ "%USERPROFILE%\AppData\Local\Temp\OnboardLogs"\RTDC4039\2017-07-01 --exclude "*" --recursive --include "*20170701*" &amp; "%USERPROFILE%\Documents\GitHub\mrs-test-scripts\Headless Mode &amp; Sideloading\WalkAndUnGZ.bat" "%USERPROFILE%\AppData\Local\Temp\OnboardLogs"\RTDC4039\2017-07-01</v>
      </c>
      <c r="AF32" s="74" t="str">
        <f t="shared" si="12"/>
        <v>"C:\Program Files (x86)\AstroGrep\AstroGrep.exe" /e /r /s /spath="%USERPROFILE%\AppData\Local\Temp\OnboardLogs" /stypes="app*4039*20170630*" /stext=" 13:.+((SYSTEM_STATE.+slice.+state.+changed )|(ment ac)|(multiple cpu faults)|(system.+state.+changed )|(\[timeout)|(PRM\|1\|D)|(kpr)|(kdp)|(train st.+moving)|(\|lc)|(penalty))"</v>
      </c>
      <c r="AG32" s="209" t="str">
        <f t="shared" si="13"/>
        <v>EC</v>
      </c>
      <c r="AH32" s="78" t="str">
        <f t="shared" si="18"/>
        <v>"%USERPROFILE%\Documents\GitHub\eaglep3\Utilities\RefineRTDCRunTimes.py" --tripid 118-30 --locoid 4039 --swversion DE.1.0.9.0 --startMP 204:232989 --initTime 2017-06-30T06:34:09 --startdatetime 2017-06-30T06:42:14 --delay 1 --endMP 204:152 --enddatetime 2017-06-30T07:19:46 --enforcementcount 0 &gt;&gt;C:\Users\stu\Documents\GitHub\eaglep3-reporting\EC\2017-06-30-refined-times.txt</v>
      </c>
      <c r="AI32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{"issue":{"subject":"","project_id":79,"tracker_id":40,"status_id":1,"priority_id":2,"assigned_to_id":23,"start_date":"2017-06-30","description":"","custom_fields":[{"id":1,"name":"Subdivision","value":"EC"},{"id":4,"name":"Milepost","value":"0.0152"},{"id":17,"name":"Train ID","value":"118-30"},{"id":16,"name":"Locomotive ID","value":"4039"},{"id":130,"name":"Impact","value":""},{"id":150,"name":"Time of Event (Mountain Time)","value":"07:19:46"},{"id":151,"name":"Denver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20"/>
        <v>start /low /b %USERPROFILE%\Documents\GitHub\eaglep3\Utilities\DownloadLogsFromS3.py --loco 4039 --day 2017-06-30</v>
      </c>
      <c r="AN32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13:19:46"},{"id":29,"name":"Sharepoint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676</v>
      </c>
      <c r="B33" s="7">
        <v>4042</v>
      </c>
      <c r="C33" s="21" t="s">
        <v>200</v>
      </c>
      <c r="D33" s="21" t="s">
        <v>438</v>
      </c>
      <c r="E33" s="13">
        <v>42916.246041666665</v>
      </c>
      <c r="F33" s="13">
        <v>42916.250509259262</v>
      </c>
      <c r="G33" s="7">
        <v>0</v>
      </c>
      <c r="H33" s="21" t="s">
        <v>856</v>
      </c>
      <c r="I33" s="13">
        <v>42916.27553240741</v>
      </c>
      <c r="J33" s="7">
        <v>0</v>
      </c>
      <c r="K33" s="89" t="str">
        <f t="shared" si="0"/>
        <v>4041/4042</v>
      </c>
      <c r="L33" s="21" t="str">
        <f>VLOOKUP(A33,'Trips&amp;Operators'!$C$1:$G$99999,5,FALSE)</f>
        <v>BONDS REYNALDO</v>
      </c>
      <c r="M33" s="6">
        <f t="shared" si="1"/>
        <v>2.5023148147738539E-2</v>
      </c>
      <c r="N33" s="7">
        <f t="shared" si="24"/>
        <v>36.033333332743496</v>
      </c>
      <c r="O33" s="7"/>
      <c r="P33" s="7"/>
      <c r="Q33" s="22"/>
      <c r="R33" s="170"/>
      <c r="S33" s="213">
        <f t="shared" si="25"/>
        <v>1</v>
      </c>
      <c r="T33" s="195" t="str">
        <f t="shared" si="4"/>
        <v>NorthBound</v>
      </c>
      <c r="U33" s="19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6" t="str">
        <f t="shared" si="5"/>
        <v>https://d0f6bd738d7f1b3e5a7ca70fe4ff75f0.us-east-1.aws.found.io/app/kibana#/discover/Steve-Slow-Train-Analysis-(2080s-and-2083s)?_g=(refreshInterval:(display:Off,pause:!f,section:0,value:0),time:(from:'2017-06-30T04:54:18-0600',mode:absolute,to:'2017-06-30T07:36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33" s="197" t="str">
        <f>IF(AA33&lt;VLOOKUP(AG33,Variables!$AC$3:$AD$8,2,FALSE),"Y","N")</f>
        <v>N</v>
      </c>
      <c r="X33" s="197">
        <f t="shared" si="6"/>
        <v>1</v>
      </c>
      <c r="Y33" s="197">
        <f t="shared" si="7"/>
        <v>4.58E-2</v>
      </c>
      <c r="Z33" s="197">
        <f t="shared" si="8"/>
        <v>23.327000000000002</v>
      </c>
      <c r="AA33" s="197">
        <f t="shared" si="9"/>
        <v>23.281200000000002</v>
      </c>
      <c r="AB33" s="54" t="e">
        <f>VLOOKUP(A33,Enforcements!$C$7:$K$13,8,0)</f>
        <v>#N/A</v>
      </c>
      <c r="AC33" s="51" t="e">
        <f>VLOOKUP(A33,Enforcements!$C$7:$E$13,3,0)</f>
        <v>#N/A</v>
      </c>
      <c r="AD33" s="206">
        <f t="shared" si="10"/>
        <v>119</v>
      </c>
      <c r="AE33" s="77" t="str">
        <f t="shared" si="11"/>
        <v>aws s3 cp s3://rtdc.mdm.uploadarchive.raw/RTDC4042/ "%USERPROFILE%\AppData\Local\Temp\OnboardLogs"\RTDC4042\2017-06-30 --exclude "*" --recursive --include "*20170630*" &amp; "%USERPROFILE%\Documents\GitHub\mrs-test-scripts\Headless Mode &amp; Sideloading\WalkAndUnGZ.bat" "%USERPROFILE%\AppData\Local\Temp\OnboardLogs"\RTDC4042\2017-06-30 &amp; aws s3 cp s3://rtdc.mdm.uploadarchive.raw/RTDC4042/ "%USERPROFILE%\AppData\Local\Temp\OnboardLogs"\RTDC4042\2017-07-01 --exclude "*" --recursive --include "*20170701*" &amp; "%USERPROFILE%\Documents\GitHub\mrs-test-scripts\Headless Mode &amp; Sideloading\WalkAndUnGZ.bat" "%USERPROFILE%\AppData\Local\Temp\OnboardLogs"\RTDC4042\2017-07-01</v>
      </c>
      <c r="AF33" s="74" t="str">
        <f t="shared" si="12"/>
        <v>"C:\Program Files (x86)\AstroGrep\AstroGrep.exe" /e /r /s /spath="%USERPROFILE%\AppData\Local\Temp\OnboardLogs" /stypes="app*4042*20170630*" /stext=" 12:.+((SYSTEM_STATE.+slice.+state.+changed )|(ment ac)|(multiple cpu faults)|(system.+state.+changed )|(\[timeout)|(PRM\|1\|D)|(kpr)|(kdp)|(train st.+moving)|(\|lc)|(penalty))"</v>
      </c>
      <c r="AG33" s="209" t="str">
        <f t="shared" si="13"/>
        <v>EC</v>
      </c>
      <c r="AH33" s="78" t="str">
        <f t="shared" si="18"/>
        <v>"%USERPROFILE%\Documents\GitHub\eaglep3\Utilities\RefineRTDCRunTimes.py" --tripid 119-30 --locoid 4042 --swversion DE.1.0.9.0 --startMP 204:458 --initTime 2017-06-30T05:54:18 --startdatetime 2017-06-30T06:00:44 --delay 0 --endMP 204:233270 --enddatetime 2017-06-30T06:36:46 --enforcementcount 0 &gt;&gt;C:\Users\stu\Documents\GitHub\eaglep3-reporting\EC\2017-06-30-refined-times.txt</v>
      </c>
      <c r="AI33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{"issue":{"subject":"","project_id":79,"tracker_id":40,"status_id":1,"priority_id":2,"assigned_to_id":23,"start_date":"2017-06-30","description":"","custom_fields":[{"id":1,"name":"Subdivision","value":"EC"},{"id":4,"name":"Milepost","value":"23.327"},{"id":17,"name":"Train ID","value":"119-30"},{"id":16,"name":"Locomotive ID","value":"4042"},{"id":130,"name":"Impact","value":""},{"id":150,"name":"Time of Event (Mountain Time)","value":"06:36:46"},{"id":151,"name":"Denver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20"/>
        <v>start /low /b %USERPROFILE%\Documents\GitHub\eaglep3\Utilities\DownloadLogsFromS3.py --loco 4042 --day 2017-06-30</v>
      </c>
      <c r="AN33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12:36:46"},{"id":29,"name":"Sharepoint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685</v>
      </c>
      <c r="B34" s="7">
        <v>4041</v>
      </c>
      <c r="C34" s="21" t="s">
        <v>200</v>
      </c>
      <c r="D34" s="21" t="s">
        <v>857</v>
      </c>
      <c r="E34" s="13">
        <v>42916.284733796296</v>
      </c>
      <c r="F34" s="13">
        <v>42916.289768518516</v>
      </c>
      <c r="G34" s="7">
        <v>1</v>
      </c>
      <c r="H34" s="21" t="s">
        <v>858</v>
      </c>
      <c r="I34" s="13">
        <v>42916.316990740743</v>
      </c>
      <c r="J34" s="7">
        <v>0</v>
      </c>
      <c r="K34" s="89" t="str">
        <f t="shared" si="0"/>
        <v>4041/4042</v>
      </c>
      <c r="L34" s="21" t="str">
        <f>VLOOKUP(A34,'Trips&amp;Operators'!$C$1:$G$99999,5,FALSE)</f>
        <v>BONDS REYNALDO</v>
      </c>
      <c r="M34" s="6">
        <f t="shared" si="1"/>
        <v>2.7222222226555459E-2</v>
      </c>
      <c r="N34" s="7">
        <f t="shared" si="24"/>
        <v>39.200000006239861</v>
      </c>
      <c r="O34" s="7"/>
      <c r="P34" s="7"/>
      <c r="Q34" s="22"/>
      <c r="R34" s="170"/>
      <c r="S34" s="213">
        <f t="shared" si="25"/>
        <v>1</v>
      </c>
      <c r="T34" s="195" t="str">
        <f t="shared" si="4"/>
        <v>Southbound</v>
      </c>
      <c r="U34" s="19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6" t="str">
        <f t="shared" si="5"/>
        <v>https://d0f6bd738d7f1b3e5a7ca70fe4ff75f0.us-east-1.aws.found.io/app/kibana#/discover/Steve-Slow-Train-Analysis-(2080s-and-2083s)?_g=(refreshInterval:(display:Off,pause:!f,section:0,value:0),time:(from:'2017-06-30T05:50:01-0600',mode:absolute,to:'2017-06-30T08:36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34" s="197" t="str">
        <f>IF(AA34&lt;VLOOKUP(AG34,Variables!$AC$3:$AD$8,2,FALSE),"Y","N")</f>
        <v>N</v>
      </c>
      <c r="X34" s="197">
        <f t="shared" si="6"/>
        <v>1</v>
      </c>
      <c r="Y34" s="197">
        <f t="shared" si="7"/>
        <v>23.296900000000001</v>
      </c>
      <c r="Z34" s="197">
        <f t="shared" si="8"/>
        <v>1.32E-2</v>
      </c>
      <c r="AA34" s="197">
        <f t="shared" si="9"/>
        <v>23.2837</v>
      </c>
      <c r="AB34" s="54" t="e">
        <f>VLOOKUP(A34,Enforcements!$C$7:$K$13,8,0)</f>
        <v>#N/A</v>
      </c>
      <c r="AC34" s="51" t="e">
        <f>VLOOKUP(A34,Enforcements!$C$7:$E$13,3,0)</f>
        <v>#N/A</v>
      </c>
      <c r="AD34" s="206">
        <f t="shared" si="10"/>
        <v>120</v>
      </c>
      <c r="AE34" s="77" t="str">
        <f t="shared" si="11"/>
        <v>aws s3 cp s3://rtdc.mdm.uploadarchive.raw/RTDC4041/ "%USERPROFILE%\AppData\Local\Temp\OnboardLogs"\RTDC4041\2017-06-30 --exclude "*" --recursive --include "*20170630*" &amp; "%USERPROFILE%\Documents\GitHub\mrs-test-scripts\Headless Mode &amp; Sideloading\WalkAndUnGZ.bat" "%USERPROFILE%\AppData\Local\Temp\OnboardLogs"\RTDC4041\2017-06-30 &amp; aws s3 cp s3://rtdc.mdm.uploadarchive.raw/RTDC4041/ "%USERPROFILE%\AppData\Local\Temp\OnboardLogs"\RTDC4041\2017-07-01 --exclude "*" --recursive --include "*20170701*" &amp; "%USERPROFILE%\Documents\GitHub\mrs-test-scripts\Headless Mode &amp; Sideloading\WalkAndUnGZ.bat" "%USERPROFILE%\AppData\Local\Temp\OnboardLogs"\RTDC4041\2017-07-01</v>
      </c>
      <c r="AF34" s="74" t="str">
        <f t="shared" si="12"/>
        <v>"C:\Program Files (x86)\AstroGrep\AstroGrep.exe" /e /r /s /spath="%USERPROFILE%\AppData\Local\Temp\OnboardLogs" /stypes="app*4041*20170630*" /stext=" 13:.+((SYSTEM_STATE.+slice.+state.+changed )|(ment ac)|(multiple cpu faults)|(system.+state.+changed )|(\[timeout)|(PRM\|1\|D)|(kpr)|(kdp)|(train st.+moving)|(\|lc)|(penalty))"</v>
      </c>
      <c r="AG34" s="209" t="str">
        <f t="shared" si="13"/>
        <v>EC</v>
      </c>
      <c r="AH34" s="78" t="str">
        <f t="shared" si="18"/>
        <v>"%USERPROFILE%\Documents\GitHub\eaglep3\Utilities\RefineRTDCRunTimes.py" --tripid 120-30 --locoid 4041 --swversion DE.1.0.9.0 --startMP 204:232969 --initTime 2017-06-30T06:50:01 --startdatetime 2017-06-30T06:57:16 --delay 1 --endMP 204:132 --enddatetime 2017-06-30T07:36:28 --enforcementcount 0 &gt;&gt;C:\Users\stu\Documents\GitHub\eaglep3-reporting\EC\2017-06-30-refined-times.txt</v>
      </c>
      <c r="AI34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{"issue":{"subject":"","project_id":79,"tracker_id":40,"status_id":1,"priority_id":2,"assigned_to_id":23,"start_date":"2017-06-30","description":"","custom_fields":[{"id":1,"name":"Subdivision","value":"EC"},{"id":4,"name":"Milepost","value":"0.0132"},{"id":17,"name":"Train ID","value":"120-30"},{"id":16,"name":"Locomotive ID","value":"4041"},{"id":130,"name":"Impact","value":""},{"id":150,"name":"Time of Event (Mountain Time)","value":"07:36:28"},{"id":151,"name":"Denver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20"/>
        <v>start /low /b %USERPROFILE%\Documents\GitHub\eaglep3\Utilities\DownloadLogsFromS3.py --loco 4041 --day 2017-06-30</v>
      </c>
      <c r="AN34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13:36:28"},{"id":29,"name":"Sharepoint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679</v>
      </c>
      <c r="B35" s="7">
        <v>4002</v>
      </c>
      <c r="C35" s="21" t="s">
        <v>200</v>
      </c>
      <c r="D35" s="21" t="s">
        <v>421</v>
      </c>
      <c r="E35" s="13">
        <v>42916.256840277776</v>
      </c>
      <c r="F35" s="13">
        <v>42916.260960648149</v>
      </c>
      <c r="G35" s="7">
        <v>2</v>
      </c>
      <c r="H35" s="21" t="s">
        <v>859</v>
      </c>
      <c r="I35" s="13">
        <v>42916.285231481481</v>
      </c>
      <c r="J35" s="7">
        <v>0</v>
      </c>
      <c r="K35" s="89" t="str">
        <f t="shared" si="0"/>
        <v>4001/4002</v>
      </c>
      <c r="L35" s="21" t="str">
        <f>VLOOKUP(A35,'Trips&amp;Operators'!$C$1:$G$99999,5,FALSE)</f>
        <v>GEBRETEKLE DAGNEW</v>
      </c>
      <c r="M35" s="6">
        <f t="shared" si="1"/>
        <v>2.4270833331684116E-2</v>
      </c>
      <c r="N35" s="7">
        <f t="shared" si="24"/>
        <v>34.949999997625127</v>
      </c>
      <c r="O35" s="7"/>
      <c r="P35" s="7"/>
      <c r="Q35" s="22"/>
      <c r="R35" s="170"/>
      <c r="S35" s="213">
        <f t="shared" si="25"/>
        <v>1</v>
      </c>
      <c r="T35" s="195" t="str">
        <f t="shared" si="4"/>
        <v>NorthBound</v>
      </c>
      <c r="U35" s="19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6" t="str">
        <f t="shared" si="5"/>
        <v>https://d0f6bd738d7f1b3e5a7ca70fe4ff75f0.us-east-1.aws.found.io/app/kibana#/discover/Steve-Slow-Train-Analysis-(2080s-and-2083s)?_g=(refreshInterval:(display:Off,pause:!f,section:0,value:0),time:(from:'2017-06-30T05:09:51-0600',mode:absolute,to:'2017-06-30T07:50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35" s="197" t="str">
        <f>IF(AA35&lt;VLOOKUP(AG35,Variables!$AC$3:$AD$8,2,FALSE),"Y","N")</f>
        <v>N</v>
      </c>
      <c r="X35" s="197">
        <f t="shared" si="6"/>
        <v>1</v>
      </c>
      <c r="Y35" s="197">
        <f t="shared" si="7"/>
        <v>4.5499999999999999E-2</v>
      </c>
      <c r="Z35" s="197">
        <f t="shared" si="8"/>
        <v>23.334399999999999</v>
      </c>
      <c r="AA35" s="197">
        <f t="shared" si="9"/>
        <v>23.288899999999998</v>
      </c>
      <c r="AB35" s="54" t="e">
        <f>VLOOKUP(A35,Enforcements!$C$7:$K$13,8,0)</f>
        <v>#N/A</v>
      </c>
      <c r="AC35" s="51" t="e">
        <f>VLOOKUP(A35,Enforcements!$C$7:$E$13,3,0)</f>
        <v>#N/A</v>
      </c>
      <c r="AD35" s="206">
        <f t="shared" si="10"/>
        <v>121</v>
      </c>
      <c r="AE35" s="77" t="str">
        <f t="shared" si="11"/>
        <v>aws s3 cp s3://rtdc.mdm.uploadarchive.raw/RTDC4002/ "%USERPROFILE%\AppData\Local\Temp\OnboardLogs"\RTDC4002\2017-06-30 --exclude "*" --recursive --include "*20170630*" &amp; "%USERPROFILE%\Documents\GitHub\mrs-test-scripts\Headless Mode &amp; Sideloading\WalkAndUnGZ.bat" "%USERPROFILE%\AppData\Local\Temp\OnboardLogs"\RTDC4002\2017-06-30 &amp; aws s3 cp s3://rtdc.mdm.uploadarchive.raw/RTDC4002/ "%USERPROFILE%\AppData\Local\Temp\OnboardLogs"\RTDC4002\2017-07-01 --exclude "*" --recursive --include "*20170701*" &amp; "%USERPROFILE%\Documents\GitHub\mrs-test-scripts\Headless Mode &amp; Sideloading\WalkAndUnGZ.bat" "%USERPROFILE%\AppData\Local\Temp\OnboardLogs"\RTDC4002\2017-07-01</v>
      </c>
      <c r="AF35" s="74" t="str">
        <f t="shared" si="12"/>
        <v>"C:\Program Files (x86)\AstroGrep\AstroGrep.exe" /e /r /s /spath="%USERPROFILE%\AppData\Local\Temp\OnboardLogs" /stypes="app*4002*20170630*" /stext=" 12:.+((SYSTEM_STATE.+slice.+state.+changed )|(ment ac)|(multiple cpu faults)|(system.+state.+changed )|(\[timeout)|(PRM\|1\|D)|(kpr)|(kdp)|(train st.+moving)|(\|lc)|(penalty))"</v>
      </c>
      <c r="AG35" s="209" t="str">
        <f t="shared" si="13"/>
        <v>EC</v>
      </c>
      <c r="AH35" s="78" t="str">
        <f t="shared" si="18"/>
        <v>"%USERPROFILE%\Documents\GitHub\eaglep3\Utilities\RefineRTDCRunTimes.py" --tripid 121-30 --locoid 4002 --swversion DE.1.0.9.0 --startMP 204:455 --initTime 2017-06-30T06:09:51 --startdatetime 2017-06-30T06:15:47 --delay 2 --endMP 204:233344 --enddatetime 2017-06-30T06:50:44 --enforcementcount 0 &gt;&gt;C:\Users\stu\Documents\GitHub\eaglep3-reporting\EC\2017-06-30-refined-times.txt</v>
      </c>
      <c r="AI35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{"issue":{"subject":"","project_id":79,"tracker_id":40,"status_id":1,"priority_id":2,"assigned_to_id":23,"start_date":"2017-06-30","description":"","custom_fields":[{"id":1,"name":"Subdivision","value":"EC"},{"id":4,"name":"Milepost","value":"23.3344"},{"id":17,"name":"Train ID","value":"121-30"},{"id":16,"name":"Locomotive ID","value":"4002"},{"id":130,"name":"Impact","value":""},{"id":150,"name":"Time of Event (Mountain Time)","value":"06:50:44"},{"id":151,"name":"Denver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20"/>
        <v>start /low /b %USERPROFILE%\Documents\GitHub\eaglep3\Utilities\DownloadLogsFromS3.py --loco 4002 --day 2017-06-30</v>
      </c>
      <c r="AN35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12:50:44"},{"id":29,"name":"Sharepoint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686</v>
      </c>
      <c r="B36" s="7">
        <v>4001</v>
      </c>
      <c r="C36" s="21" t="s">
        <v>200</v>
      </c>
      <c r="D36" s="21" t="s">
        <v>860</v>
      </c>
      <c r="E36" s="13">
        <v>42916.286539351851</v>
      </c>
      <c r="F36" s="13">
        <v>42916.300185185188</v>
      </c>
      <c r="G36" s="7">
        <v>1</v>
      </c>
      <c r="H36" s="21" t="s">
        <v>390</v>
      </c>
      <c r="I36" s="13">
        <v>42916.326874999999</v>
      </c>
      <c r="J36" s="7">
        <v>0</v>
      </c>
      <c r="K36" s="89" t="str">
        <f t="shared" si="0"/>
        <v>4001/4002</v>
      </c>
      <c r="L36" s="21" t="str">
        <f>VLOOKUP(A36,'Trips&amp;Operators'!$C$1:$G$99999,5,FALSE)</f>
        <v>GEBRETEKLE DAGNEW</v>
      </c>
      <c r="M36" s="6">
        <f t="shared" si="1"/>
        <v>2.6689814811106771E-2</v>
      </c>
      <c r="N36" s="7">
        <f t="shared" si="24"/>
        <v>38.433333327993751</v>
      </c>
      <c r="O36" s="7"/>
      <c r="P36" s="7"/>
      <c r="Q36" s="22"/>
      <c r="R36" s="170"/>
      <c r="S36" s="213">
        <f t="shared" si="25"/>
        <v>1</v>
      </c>
      <c r="T36" s="195" t="str">
        <f t="shared" si="4"/>
        <v>Southbound</v>
      </c>
      <c r="U36" s="19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6" t="str">
        <f t="shared" si="5"/>
        <v>https://d0f6bd738d7f1b3e5a7ca70fe4ff75f0.us-east-1.aws.found.io/app/kibana#/discover/Steve-Slow-Train-Analysis-(2080s-and-2083s)?_g=(refreshInterval:(display:Off,pause:!f,section:0,value:0),time:(from:'2017-06-30T05:52:37-0600',mode:absolute,to:'2017-06-30T08:50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36" s="197" t="str">
        <f>IF(AA36&lt;VLOOKUP(AG36,Variables!$AC$3:$AD$8,2,FALSE),"Y","N")</f>
        <v>N</v>
      </c>
      <c r="X36" s="197">
        <f t="shared" ref="X36:X42" si="26">VALUE(LEFT(AD36,4))-VALUE(LEFT(AD35,4))</f>
        <v>1</v>
      </c>
      <c r="Y36" s="197">
        <f t="shared" si="7"/>
        <v>23.3002</v>
      </c>
      <c r="Z36" s="197">
        <f t="shared" si="8"/>
        <v>1.54E-2</v>
      </c>
      <c r="AA36" s="197">
        <f t="shared" si="9"/>
        <v>23.284800000000001</v>
      </c>
      <c r="AB36" s="54" t="e">
        <f>VLOOKUP(A36,Enforcements!$C$7:$K$13,8,0)</f>
        <v>#N/A</v>
      </c>
      <c r="AC36" s="51" t="e">
        <f>VLOOKUP(A36,Enforcements!$C$7:$E$13,3,0)</f>
        <v>#N/A</v>
      </c>
      <c r="AD36" s="206">
        <f t="shared" si="10"/>
        <v>122</v>
      </c>
      <c r="AE36" s="77" t="str">
        <f t="shared" si="11"/>
        <v>aws s3 cp s3://rtdc.mdm.uploadarchive.raw/RTDC4001/ "%USERPROFILE%\AppData\Local\Temp\OnboardLogs"\RTDC4001\2017-06-30 --exclude "*" --recursive --include "*20170630*" &amp; "%USERPROFILE%\Documents\GitHub\mrs-test-scripts\Headless Mode &amp; Sideloading\WalkAndUnGZ.bat" "%USERPROFILE%\AppData\Local\Temp\OnboardLogs"\RTDC4001\2017-06-30 &amp; aws s3 cp s3://rtdc.mdm.uploadarchive.raw/RTDC4001/ "%USERPROFILE%\AppData\Local\Temp\OnboardLogs"\RTDC4001\2017-07-01 --exclude "*" --recursive --include "*20170701*" &amp; "%USERPROFILE%\Documents\GitHub\mrs-test-scripts\Headless Mode &amp; Sideloading\WalkAndUnGZ.bat" "%USERPROFILE%\AppData\Local\Temp\OnboardLogs"\RTDC4001\2017-07-01</v>
      </c>
      <c r="AF36" s="74" t="str">
        <f t="shared" si="12"/>
        <v>"C:\Program Files (x86)\AstroGrep\AstroGrep.exe" /e /r /s /spath="%USERPROFILE%\AppData\Local\Temp\OnboardLogs" /stypes="app*4001*20170630*" /stext=" 13:.+((SYSTEM_STATE.+slice.+state.+changed )|(ment ac)|(multiple cpu faults)|(system.+state.+changed )|(\[timeout)|(PRM\|1\|D)|(kpr)|(kdp)|(train st.+moving)|(\|lc)|(penalty))"</v>
      </c>
      <c r="AG36" s="209" t="str">
        <f t="shared" si="13"/>
        <v>EC</v>
      </c>
      <c r="AH36" s="78" t="str">
        <f t="shared" si="18"/>
        <v>"%USERPROFILE%\Documents\GitHub\eaglep3\Utilities\RefineRTDCRunTimes.py" --tripid 122-30 --locoid 4001 --swversion DE.1.0.9.0 --startMP 204:233002 --initTime 2017-06-30T06:52:37 --startdatetime 2017-06-30T07:12:16 --delay 1 --endMP 204:154 --enddatetime 2017-06-30T07:50:42 --enforcementcount 0 &gt;&gt;C:\Users\stu\Documents\GitHub\eaglep3-reporting\EC\2017-06-30-refined-times.txt</v>
      </c>
      <c r="AI36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{"issue":{"subject":"","project_id":79,"tracker_id":40,"status_id":1,"priority_id":2,"assigned_to_id":23,"start_date":"2017-06-30","description":"","custom_fields":[{"id":1,"name":"Subdivision","value":"EC"},{"id":4,"name":"Milepost","value":"0.0154"},{"id":17,"name":"Train ID","value":"122-30"},{"id":16,"name":"Locomotive ID","value":"4001"},{"id":130,"name":"Impact","value":""},{"id":150,"name":"Time of Event (Mountain Time)","value":"07:50:42"},{"id":151,"name":"Denver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20"/>
        <v>start /low /b %USERPROFILE%\Documents\GitHub\eaglep3\Utilities\DownloadLogsFromS3.py --loco 4001 --day 2017-06-30</v>
      </c>
      <c r="AN36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13:50:42"},{"id":29,"name":"Sharepoint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681</v>
      </c>
      <c r="B37" s="7">
        <v>4022</v>
      </c>
      <c r="C37" s="21" t="s">
        <v>200</v>
      </c>
      <c r="D37" s="21" t="s">
        <v>861</v>
      </c>
      <c r="E37" s="13">
        <v>42916.272083333337</v>
      </c>
      <c r="F37" s="13">
        <v>42916.272858796299</v>
      </c>
      <c r="G37" s="7">
        <v>0</v>
      </c>
      <c r="H37" s="21" t="s">
        <v>862</v>
      </c>
      <c r="I37" s="13">
        <v>42916.297060185185</v>
      </c>
      <c r="J37" s="7">
        <v>0</v>
      </c>
      <c r="K37" s="89" t="str">
        <f t="shared" si="0"/>
        <v>4021/4022</v>
      </c>
      <c r="L37" s="21" t="str">
        <f>VLOOKUP(A37,'Trips&amp;Operators'!$C$1:$G$99999,5,FALSE)</f>
        <v>DAVIS WENDY</v>
      </c>
      <c r="M37" s="6">
        <f t="shared" si="1"/>
        <v>2.4201388885558117E-2</v>
      </c>
      <c r="N37" s="7">
        <f t="shared" si="24"/>
        <v>34.849999995203689</v>
      </c>
      <c r="O37" s="7"/>
      <c r="P37" s="7"/>
      <c r="Q37" s="22"/>
      <c r="R37" s="170" t="s">
        <v>1089</v>
      </c>
      <c r="S37" s="213">
        <f t="shared" si="25"/>
        <v>1</v>
      </c>
      <c r="T37" s="195" t="str">
        <f t="shared" si="4"/>
        <v>NorthBound</v>
      </c>
      <c r="U37" s="19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6" t="str">
        <f t="shared" si="5"/>
        <v>https://d0f6bd738d7f1b3e5a7ca70fe4ff75f0.us-east-1.aws.found.io/app/kibana#/discover/Steve-Slow-Train-Analysis-(2080s-and-2083s)?_g=(refreshInterval:(display:Off,pause:!f,section:0,value:0),time:(from:'2017-06-30T05:31:48-0600',mode:absolute,to:'2017-06-30T08:07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37" s="197" t="str">
        <f>IF(AA37&lt;VLOOKUP(AG37,Variables!$AC$3:$AD$8,2,FALSE),"Y","N")</f>
        <v>N</v>
      </c>
      <c r="X37" s="197">
        <f t="shared" si="26"/>
        <v>1</v>
      </c>
      <c r="Y37" s="197">
        <f t="shared" si="7"/>
        <v>7.2999999999999995E-2</v>
      </c>
      <c r="Z37" s="197">
        <f t="shared" si="8"/>
        <v>23.3324</v>
      </c>
      <c r="AA37" s="197">
        <f t="shared" si="9"/>
        <v>23.259399999999999</v>
      </c>
      <c r="AB37" s="54" t="e">
        <f>VLOOKUP(A37,Enforcements!$C$7:$K$13,8,0)</f>
        <v>#N/A</v>
      </c>
      <c r="AC37" s="51" t="e">
        <f>VLOOKUP(A37,Enforcements!$C$7:$E$13,3,0)</f>
        <v>#N/A</v>
      </c>
      <c r="AD37" s="206">
        <f t="shared" si="10"/>
        <v>123</v>
      </c>
      <c r="AE37" s="77" t="str">
        <f t="shared" si="11"/>
        <v>aws s3 cp s3://rtdc.mdm.uploadarchive.raw/RTDC4022/ "%USERPROFILE%\AppData\Local\Temp\OnboardLogs"\RTDC4022\2017-06-30 --exclude "*" --recursive --include "*20170630*" &amp; "%USERPROFILE%\Documents\GitHub\mrs-test-scripts\Headless Mode &amp; Sideloading\WalkAndUnGZ.bat" "%USERPROFILE%\AppData\Local\Temp\OnboardLogs"\RTDC4022\2017-06-30 &amp; aws s3 cp s3://rtdc.mdm.uploadarchive.raw/RTDC4022/ "%USERPROFILE%\AppData\Local\Temp\OnboardLogs"\RTDC4022\2017-07-01 --exclude "*" --recursive --include "*20170701*" &amp; "%USERPROFILE%\Documents\GitHub\mrs-test-scripts\Headless Mode &amp; Sideloading\WalkAndUnGZ.bat" "%USERPROFILE%\AppData\Local\Temp\OnboardLogs"\RTDC4022\2017-07-01</v>
      </c>
      <c r="AF37" s="74" t="str">
        <f t="shared" si="12"/>
        <v>"C:\Program Files (x86)\AstroGrep\AstroGrep.exe" /e /r /s /spath="%USERPROFILE%\AppData\Local\Temp\OnboardLogs" /stypes="app*4022*20170630*" /stext=" 13:.+((SYSTEM_STATE.+slice.+state.+changed )|(ment ac)|(multiple cpu faults)|(system.+state.+changed )|(\[timeout)|(PRM\|1\|D)|(kpr)|(kdp)|(train st.+moving)|(\|lc)|(penalty))"</v>
      </c>
      <c r="AG37" s="209" t="str">
        <f t="shared" si="13"/>
        <v>EC</v>
      </c>
      <c r="AH37" s="78" t="str">
        <f t="shared" si="18"/>
        <v>"%USERPROFILE%\Documents\GitHub\eaglep3\Utilities\RefineRTDCRunTimes.py" --tripid 123-30 --locoid 4022 --swversion DE.1.0.9.0 --startMP 204:730 --initTime 2017-06-30T06:31:48 --startdatetime 2017-06-30T06:32:55 --delay 0 --endMP 204:233324 --enddatetime 2017-06-30T07:07:46 --enforcementcount 0 &gt;&gt;C:\Users\stu\Documents\GitHub\eaglep3-reporting\EC\2017-06-30-refined-times.txt</v>
      </c>
      <c r="AI37" s="96" t="str">
        <f t="shared" si="19"/>
        <v>echo {"issue":{"subject":"Selected wrong track at first","project_id":79,"tracker_id":40,"status_id":1,"priority_id":2,"assigned_to_id":23,"start_date":"2017-06-30","description":"","custom_fields":[{"id":1,"name":"Subdivision","value":"EC"},{"id":4,"name":"Milepost","value":"23.3324"},{"id":17,"name":"Train ID","value":"123-30"},{"id":16,"name":"Locomotive ID","value":"4022"},{"id":130,"name":"Impact","value":""},{"id":150,"name":"Time of Event (Mountain Time)","value":"07:07:46"},{"id":151,"name":"Denver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20"/>
        <v>start /low /b %USERPROFILE%\Documents\GitHub\eaglep3\Utilities\DownloadLogsFromS3.py --loco 4022 --day 2017-06-30</v>
      </c>
      <c r="AN37" s="151" t="str">
        <f t="shared" si="21"/>
        <v>echo {"issue":{"subject":"Selected wrong track at first","project_id":30,"tracker_id":4,"status_id":1,"priority_id":1,"assigned_to_id":10,"start_date":"2017-06-30","description":"","custom_fields":[{"id":30,"name":"Category","value":"Issue"},{"id":3,"name":"Functional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13:07:46"},{"id":29,"name":"Sharepoint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588</v>
      </c>
      <c r="B38" s="7">
        <v>4021</v>
      </c>
      <c r="C38" s="21" t="s">
        <v>200</v>
      </c>
      <c r="D38" s="21" t="s">
        <v>863</v>
      </c>
      <c r="E38" s="13">
        <v>42916.308368055557</v>
      </c>
      <c r="F38" s="13">
        <v>42916.334687499999</v>
      </c>
      <c r="G38" s="7">
        <v>1</v>
      </c>
      <c r="H38" s="21" t="s">
        <v>864</v>
      </c>
      <c r="I38" s="13">
        <v>42916.342233796298</v>
      </c>
      <c r="J38" s="7">
        <v>0</v>
      </c>
      <c r="K38" s="89" t="str">
        <f t="shared" si="0"/>
        <v>4021/4022</v>
      </c>
      <c r="L38" s="21" t="str">
        <f>VLOOKUP(A38,'Trips&amp;Operators'!$C$1:$G$99999,5,FALSE)</f>
        <v>DAVIS WENDY</v>
      </c>
      <c r="M38" s="6">
        <f t="shared" si="1"/>
        <v>7.5462962995516136E-3</v>
      </c>
      <c r="N38" s="7"/>
      <c r="O38" s="7"/>
      <c r="P38" s="7">
        <f>24*60*SUM($M38:$M38)</f>
        <v>10.866666671354324</v>
      </c>
      <c r="Q38" s="22"/>
      <c r="R38" s="170" t="s">
        <v>456</v>
      </c>
      <c r="S38" s="213">
        <f>SUM(U38:U39)/IF(AG38="EC",12,1)</f>
        <v>0.75</v>
      </c>
      <c r="T38" s="195" t="str">
        <f t="shared" si="4"/>
        <v>Southbound</v>
      </c>
      <c r="U38" s="19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6</v>
      </c>
      <c r="V38" s="196" t="str">
        <f t="shared" si="5"/>
        <v>https://d0f6bd738d7f1b3e5a7ca70fe4ff75f0.us-east-1.aws.found.io/app/kibana#/discover/Steve-Slow-Train-Analysis-(2080s-and-2083s)?_g=(refreshInterval:(display:Off,pause:!f,section:0,value:0),time:(from:'2017-06-30T06:24:03-0600',mode:absolute,to:'2017-06-30T09:12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38" s="197" t="str">
        <f>IF(AA38&lt;VLOOKUP(AG38,Variables!$AC$3:$AD$8,2,FALSE),"Y","N")</f>
        <v>Y</v>
      </c>
      <c r="X38" s="197">
        <f t="shared" si="26"/>
        <v>1</v>
      </c>
      <c r="Y38" s="197">
        <f t="shared" si="7"/>
        <v>23.3005</v>
      </c>
      <c r="Z38" s="197">
        <f t="shared" si="8"/>
        <v>5.6952999999999996</v>
      </c>
      <c r="AA38" s="197">
        <f t="shared" si="9"/>
        <v>17.6052</v>
      </c>
      <c r="AB38" s="54" t="e">
        <f>VLOOKUP(A38,Enforcements!$C$7:$K$13,8,0)</f>
        <v>#N/A</v>
      </c>
      <c r="AC38" s="51" t="e">
        <f>VLOOKUP(A38,Enforcements!$C$7:$E$13,3,0)</f>
        <v>#N/A</v>
      </c>
      <c r="AD38" s="206">
        <f t="shared" si="10"/>
        <v>124</v>
      </c>
      <c r="AE38" s="77" t="str">
        <f t="shared" si="11"/>
        <v>aws s3 cp s3://rtdc.mdm.uploadarchive.raw/RTDC4021/ "%USERPROFILE%\AppData\Local\Temp\OnboardLogs"\RTDC4021\2017-06-30 --exclude "*" --recursive --include "*20170630*" &amp; "%USERPROFILE%\Documents\GitHub\mrs-test-scripts\Headless Mode &amp; Sideloading\WalkAndUnGZ.bat" "%USERPROFILE%\AppData\Local\Temp\OnboardLogs"\RTDC4021\2017-06-30 &amp; aws s3 cp s3://rtdc.mdm.uploadarchive.raw/RTDC4021/ "%USERPROFILE%\AppData\Local\Temp\OnboardLogs"\RTDC4021\2017-07-01 --exclude "*" --recursive --include "*20170701*" &amp; "%USERPROFILE%\Documents\GitHub\mrs-test-scripts\Headless Mode &amp; Sideloading\WalkAndUnGZ.bat" "%USERPROFILE%\AppData\Local\Temp\OnboardLogs"\RTDC4021\2017-07-01</v>
      </c>
      <c r="AF38" s="74" t="str">
        <f t="shared" si="12"/>
        <v>"C:\Program Files (x86)\AstroGrep\AstroGrep.exe" /e /r /s /spath="%USERPROFILE%\AppData\Local\Temp\OnboardLogs" /stypes="app*4021*20170630*" /stext=" 14:.+((SYSTEM_STATE.+slice.+state.+changed )|(ment ac)|(multiple cpu faults)|(system.+state.+changed )|(\[timeout)|(PRM\|1\|D)|(kpr)|(kdp)|(train st.+moving)|(\|lc)|(penalty))"</v>
      </c>
      <c r="AG38" s="209" t="str">
        <f t="shared" si="13"/>
        <v>EC</v>
      </c>
      <c r="AH38" s="78" t="str">
        <f t="shared" si="18"/>
        <v>"%USERPROFILE%\Documents\GitHub\eaglep3\Utilities\RefineRTDCRunTimes.py" --tripid 124-30 --locoid 4021 --swversion DE.1.0.9.0 --startMP 204:233005 --initTime 2017-06-30T07:24:03 --startdatetime 2017-06-30T08:01:57 --delay 1 --endMP 204:56953 --enddatetime 2017-06-30T08:12:49 --enforcementcount 0 &gt;&gt;C:\Users\stu\Documents\GitHub\eaglep3-reporting\EC\2017-06-30-refined-times.txt</v>
      </c>
      <c r="AI38" s="96" t="str">
        <f t="shared" si="19"/>
        <v>echo {"issue":{"subject":"Wi-MAX data drop","project_id":79,"tracker_id":40,"status_id":1,"priority_id":2,"assigned_to_id":23,"start_date":"2017-06-30","description":"","custom_fields":[{"id":1,"name":"Subdivision","value":"EC"},{"id":4,"name":"Milepost","value":"5.6953"},{"id":17,"name":"Train ID","value":"124-30"},{"id":16,"name":"Locomotive ID","value":"4021"},{"id":130,"name":"Impact","value":""},{"id":150,"name":"Time of Event (Mountain Time)","value":"08:12:49"},{"id":151,"name":"Denver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20"/>
        <v>start /low /b %USERPROFILE%\Documents\GitHub\eaglep3\Utilities\DownloadLogsFromS3.py --loco 4021 --day 2017-06-30</v>
      </c>
      <c r="AN38" s="151" t="str">
        <f t="shared" si="21"/>
        <v>echo {"issue":{"subject":"Wi-MAX data drop","project_id":30,"tracker_id":4,"status_id":1,"priority_id":1,"assigned_to_id":10,"start_date":"2017-06-30","description":"","custom_fields":[{"id":30,"name":"Category","value":"Issue"},{"id":3,"name":"Functional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14:12:49"},{"id":29,"name":"Sharepoint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588</v>
      </c>
      <c r="B39" s="7">
        <v>4021</v>
      </c>
      <c r="C39" s="21" t="s">
        <v>200</v>
      </c>
      <c r="D39" s="21" t="s">
        <v>865</v>
      </c>
      <c r="E39" s="13">
        <v>42916.33388888889</v>
      </c>
      <c r="F39" s="13">
        <v>42916.334687499999</v>
      </c>
      <c r="G39" s="7">
        <v>1</v>
      </c>
      <c r="H39" s="21" t="s">
        <v>866</v>
      </c>
      <c r="I39" s="13">
        <v>42916.342233796298</v>
      </c>
      <c r="J39" s="7">
        <v>0</v>
      </c>
      <c r="K39" s="89" t="str">
        <f t="shared" si="0"/>
        <v>4021/4022</v>
      </c>
      <c r="L39" s="21" t="str">
        <f>VLOOKUP(A39,'Trips&amp;Operators'!$C$1:$G$99999,5,FALSE)</f>
        <v>DAVIS WENDY</v>
      </c>
      <c r="M39" s="6">
        <f t="shared" si="1"/>
        <v>7.5462962995516136E-3</v>
      </c>
      <c r="N39" s="7"/>
      <c r="O39" s="7"/>
      <c r="P39" s="7"/>
      <c r="Q39" s="22"/>
      <c r="R39" s="170"/>
      <c r="S39" s="213"/>
      <c r="T39" s="195" t="str">
        <f t="shared" si="4"/>
        <v>Southbound</v>
      </c>
      <c r="U39" s="19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3</v>
      </c>
      <c r="V39" s="196" t="str">
        <f t="shared" si="5"/>
        <v>https://d0f6bd738d7f1b3e5a7ca70fe4ff75f0.us-east-1.aws.found.io/app/kibana#/discover/Steve-Slow-Train-Analysis-(2080s-and-2083s)?_g=(refreshInterval:(display:Off,pause:!f,section:0,value:0),time:(from:'2017-06-30T07:00:48-0600',mode:absolute,to:'2017-06-30T09:12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39" s="197" t="str">
        <f>IF(AA39&lt;VLOOKUP(AG39,Variables!$AC$3:$AD$8,2,FALSE),"Y","N")</f>
        <v>Y</v>
      </c>
      <c r="X39" s="197">
        <f t="shared" si="26"/>
        <v>0</v>
      </c>
      <c r="Y39" s="197">
        <f t="shared" si="7"/>
        <v>3.6192000000000002</v>
      </c>
      <c r="Z39" s="197">
        <f t="shared" si="8"/>
        <v>9.0999999999999998E-2</v>
      </c>
      <c r="AA39" s="197">
        <f t="shared" si="9"/>
        <v>3.5282</v>
      </c>
      <c r="AB39" s="54" t="e">
        <f>VLOOKUP(A39,Enforcements!$C$7:$K$13,8,0)</f>
        <v>#N/A</v>
      </c>
      <c r="AC39" s="51" t="e">
        <f>VLOOKUP(A39,Enforcements!$C$7:$E$13,3,0)</f>
        <v>#N/A</v>
      </c>
      <c r="AD39" s="206">
        <f t="shared" si="10"/>
        <v>124</v>
      </c>
      <c r="AE39" s="77" t="str">
        <f t="shared" si="11"/>
        <v>aws s3 cp s3://rtdc.mdm.uploadarchive.raw/RTDC4021/ "%USERPROFILE%\AppData\Local\Temp\OnboardLogs"\RTDC4021\2017-06-30 --exclude "*" --recursive --include "*20170630*" &amp; "%USERPROFILE%\Documents\GitHub\mrs-test-scripts\Headless Mode &amp; Sideloading\WalkAndUnGZ.bat" "%USERPROFILE%\AppData\Local\Temp\OnboardLogs"\RTDC4021\2017-06-30 &amp; aws s3 cp s3://rtdc.mdm.uploadarchive.raw/RTDC4021/ "%USERPROFILE%\AppData\Local\Temp\OnboardLogs"\RTDC4021\2017-07-01 --exclude "*" --recursive --include "*20170701*" &amp; "%USERPROFILE%\Documents\GitHub\mrs-test-scripts\Headless Mode &amp; Sideloading\WalkAndUnGZ.bat" "%USERPROFILE%\AppData\Local\Temp\OnboardLogs"\RTDC4021\2017-07-01</v>
      </c>
      <c r="AF39" s="74" t="str">
        <f t="shared" si="12"/>
        <v>"C:\Program Files (x86)\AstroGrep\AstroGrep.exe" /e /r /s /spath="%USERPROFILE%\AppData\Local\Temp\OnboardLogs" /stypes="app*4021*20170630*" /stext=" 14:.+((SYSTEM_STATE.+slice.+state.+changed )|(ment ac)|(multiple cpu faults)|(system.+state.+changed )|(\[timeout)|(PRM\|1\|D)|(kpr)|(kdp)|(train st.+moving)|(\|lc)|(penalty))"</v>
      </c>
      <c r="AG39" s="209" t="str">
        <f t="shared" si="13"/>
        <v>EC</v>
      </c>
      <c r="AH39" s="78" t="str">
        <f t="shared" si="18"/>
        <v>"%USERPROFILE%\Documents\GitHub\eaglep3\Utilities\RefineRTDCRunTimes.py" --tripid 124-30 --locoid 4021 --swversion DE.1.0.9.0 --startMP 204:36192 --initTime 2017-06-30T08:00:48 --startdatetime 2017-06-30T08:01:57 --delay 1 --endMP 204:910 --enddatetime 2017-06-30T08:12:49 --enforcementcount 0 &gt;&gt;C:\Users\stu\Documents\GitHub\eaglep3-reporting\EC\2017-06-30-refined-times.txt</v>
      </c>
      <c r="AI39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{"issue":{"subject":"","project_id":79,"tracker_id":40,"status_id":1,"priority_id":2,"assigned_to_id":23,"start_date":"2017-06-30","description":"","custom_fields":[{"id":1,"name":"Subdivision","value":"EC"},{"id":4,"name":"Milepost","value":"0.091"},{"id":17,"name":"Train ID","value":"124-30"},{"id":16,"name":"Locomotive ID","value":"4021"},{"id":130,"name":"Impact","value":""},{"id":150,"name":"Time of Event (Mountain Time)","value":"08:12:49"},{"id":151,"name":"Denver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20"/>
        <v>start /low /b %USERPROFILE%\Documents\GitHub\eaglep3\Utilities\DownloadLogsFromS3.py --loco 4021 --day 2017-06-30</v>
      </c>
      <c r="AN39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14:12:49"},{"id":29,"name":"Sharepoint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587</v>
      </c>
      <c r="B40" s="7">
        <v>4024</v>
      </c>
      <c r="C40" s="21" t="s">
        <v>200</v>
      </c>
      <c r="D40" s="21" t="s">
        <v>438</v>
      </c>
      <c r="E40" s="13">
        <v>42916.279004629629</v>
      </c>
      <c r="F40" s="13">
        <v>42916.281793981485</v>
      </c>
      <c r="G40" s="7">
        <v>1</v>
      </c>
      <c r="H40" s="21" t="s">
        <v>539</v>
      </c>
      <c r="I40" s="13">
        <v>42916.307511574072</v>
      </c>
      <c r="J40" s="7">
        <v>0</v>
      </c>
      <c r="K40" s="89" t="str">
        <f t="shared" si="0"/>
        <v>4023/4024</v>
      </c>
      <c r="L40" s="21" t="str">
        <f>VLOOKUP(A40,'Trips&amp;Operators'!$C$1:$G$99999,5,FALSE)</f>
        <v>STARKS ANGELINA</v>
      </c>
      <c r="M40" s="6">
        <f t="shared" si="1"/>
        <v>2.5717592587170657E-2</v>
      </c>
      <c r="N40" s="7">
        <f t="shared" ref="N40:N71" si="27">24*60*SUM($M40:$M40)</f>
        <v>37.033333325525746</v>
      </c>
      <c r="O40" s="7"/>
      <c r="P40" s="7"/>
      <c r="Q40" s="22"/>
      <c r="R40" s="170"/>
      <c r="S40" s="213">
        <f t="shared" ref="S40:S71" si="28">SUM(U40:U40)/IF(AG40="EC",12,1)</f>
        <v>1</v>
      </c>
      <c r="T40" s="195" t="str">
        <f t="shared" si="4"/>
        <v>NorthBound</v>
      </c>
      <c r="U40" s="19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6" t="str">
        <f t="shared" si="5"/>
        <v>https://d0f6bd738d7f1b3e5a7ca70fe4ff75f0.us-east-1.aws.found.io/app/kibana#/discover/Steve-Slow-Train-Analysis-(2080s-and-2083s)?_g=(refreshInterval:(display:Off,pause:!f,section:0,value:0),time:(from:'2017-06-30T05:41:46-0600',mode:absolute,to:'2017-06-30T08:22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40" s="197" t="str">
        <f>IF(AA40&lt;VLOOKUP(AG40,Variables!$AC$3:$AD$8,2,FALSE),"Y","N")</f>
        <v>N</v>
      </c>
      <c r="X40" s="197">
        <f t="shared" si="26"/>
        <v>1</v>
      </c>
      <c r="Y40" s="197">
        <f t="shared" si="7"/>
        <v>4.58E-2</v>
      </c>
      <c r="Z40" s="197">
        <f t="shared" si="8"/>
        <v>23.329499999999999</v>
      </c>
      <c r="AA40" s="197">
        <f t="shared" si="9"/>
        <v>23.2837</v>
      </c>
      <c r="AB40" s="54" t="e">
        <f>VLOOKUP(A40,Enforcements!$C$7:$K$13,8,0)</f>
        <v>#N/A</v>
      </c>
      <c r="AC40" s="51" t="e">
        <f>VLOOKUP(A40,Enforcements!$C$7:$E$13,3,0)</f>
        <v>#N/A</v>
      </c>
      <c r="AD40" s="206">
        <f t="shared" si="10"/>
        <v>125</v>
      </c>
      <c r="AE40" s="77" t="str">
        <f t="shared" si="11"/>
        <v>aws s3 cp s3://rtdc.mdm.uploadarchive.raw/RTDC4024/ "%USERPROFILE%\AppData\Local\Temp\OnboardLogs"\RTDC4024\2017-06-30 --exclude "*" --recursive --include "*20170630*" &amp; "%USERPROFILE%\Documents\GitHub\mrs-test-scripts\Headless Mode &amp; Sideloading\WalkAndUnGZ.bat" "%USERPROFILE%\AppData\Local\Temp\OnboardLogs"\RTDC4024\2017-06-30 &amp; aws s3 cp s3://rtdc.mdm.uploadarchive.raw/RTDC4024/ "%USERPROFILE%\AppData\Local\Temp\OnboardLogs"\RTDC4024\2017-07-01 --exclude "*" --recursive --include "*20170701*" &amp; "%USERPROFILE%\Documents\GitHub\mrs-test-scripts\Headless Mode &amp; Sideloading\WalkAndUnGZ.bat" "%USERPROFILE%\AppData\Local\Temp\OnboardLogs"\RTDC4024\2017-07-01</v>
      </c>
      <c r="AF40" s="74" t="str">
        <f t="shared" si="12"/>
        <v>"C:\Program Files (x86)\AstroGrep\AstroGrep.exe" /e /r /s /spath="%USERPROFILE%\AppData\Local\Temp\OnboardLogs" /stypes="app*4024*20170630*" /stext=" 13:.+((SYSTEM_STATE.+slice.+state.+changed )|(ment ac)|(multiple cpu faults)|(system.+state.+changed )|(\[timeout)|(PRM\|1\|D)|(kpr)|(kdp)|(train st.+moving)|(\|lc)|(penalty))"</v>
      </c>
      <c r="AG40" s="209" t="str">
        <f t="shared" si="13"/>
        <v>EC</v>
      </c>
      <c r="AH40" s="78" t="str">
        <f t="shared" si="18"/>
        <v>"%USERPROFILE%\Documents\GitHub\eaglep3\Utilities\RefineRTDCRunTimes.py" --tripid 125-30 --locoid 4024 --swversion DE.1.0.9.0 --startMP 204:458 --initTime 2017-06-30T06:41:46 --startdatetime 2017-06-30T06:45:47 --delay 1 --endMP 204:233295 --enddatetime 2017-06-30T07:22:49 --enforcementcount 0 &gt;&gt;C:\Users\stu\Documents\GitHub\eaglep3-reporting\EC\2017-06-30-refined-times.txt</v>
      </c>
      <c r="AI40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{"issue":{"subject":"","project_id":79,"tracker_id":40,"status_id":1,"priority_id":2,"assigned_to_id":23,"start_date":"2017-06-30","description":"","custom_fields":[{"id":1,"name":"Subdivision","value":"EC"},{"id":4,"name":"Milepost","value":"23.3295"},{"id":17,"name":"Train ID","value":"125-30"},{"id":16,"name":"Locomotive ID","value":"4024"},{"id":130,"name":"Impact","value":""},{"id":150,"name":"Time of Event (Mountain Time)","value":"07:22:49"},{"id":151,"name":"Denver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20"/>
        <v>start /low /b %USERPROFILE%\Documents\GitHub\eaglep3\Utilities\DownloadLogsFromS3.py --loco 4024 --day 2017-06-30</v>
      </c>
      <c r="AN40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13:22:49"},{"id":29,"name":"Sharepoint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591</v>
      </c>
      <c r="B41" s="7">
        <v>4023</v>
      </c>
      <c r="C41" s="21" t="s">
        <v>200</v>
      </c>
      <c r="D41" s="21" t="s">
        <v>460</v>
      </c>
      <c r="E41" s="13">
        <v>42916.308564814812</v>
      </c>
      <c r="F41" s="13">
        <v>42916.32099537037</v>
      </c>
      <c r="G41" s="7">
        <v>1</v>
      </c>
      <c r="H41" s="21" t="s">
        <v>192</v>
      </c>
      <c r="I41" s="13">
        <v>42916.349861111114</v>
      </c>
      <c r="J41" s="7">
        <v>0</v>
      </c>
      <c r="K41" s="89" t="str">
        <f t="shared" si="0"/>
        <v>4023/4024</v>
      </c>
      <c r="L41" s="21" t="str">
        <f>VLOOKUP(A41,'Trips&amp;Operators'!$C$1:$G$99999,5,FALSE)</f>
        <v>STARKS ANGELINA</v>
      </c>
      <c r="M41" s="6">
        <f t="shared" si="1"/>
        <v>2.8865740743640345E-2</v>
      </c>
      <c r="N41" s="7">
        <f t="shared" si="27"/>
        <v>41.566666670842096</v>
      </c>
      <c r="O41" s="7"/>
      <c r="P41" s="7"/>
      <c r="Q41" s="22"/>
      <c r="R41" s="170"/>
      <c r="S41" s="213">
        <f t="shared" si="28"/>
        <v>1</v>
      </c>
      <c r="T41" s="195" t="str">
        <f t="shared" si="4"/>
        <v>Southbound</v>
      </c>
      <c r="U41" s="19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6" t="str">
        <f t="shared" si="5"/>
        <v>https://d0f6bd738d7f1b3e5a7ca70fe4ff75f0.us-east-1.aws.found.io/app/kibana#/discover/Steve-Slow-Train-Analysis-(2080s-and-2083s)?_g=(refreshInterval:(display:Off,pause:!f,section:0,value:0),time:(from:'2017-06-30T06:24:20-0600',mode:absolute,to:'2017-06-30T09:23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41" s="197" t="str">
        <f>IF(AA41&lt;VLOOKUP(AG41,Variables!$AC$3:$AD$8,2,FALSE),"Y","N")</f>
        <v>N</v>
      </c>
      <c r="X41" s="197">
        <f t="shared" si="26"/>
        <v>1</v>
      </c>
      <c r="Y41" s="197">
        <f t="shared" si="7"/>
        <v>23.2989</v>
      </c>
      <c r="Z41" s="197">
        <f t="shared" si="8"/>
        <v>1.52E-2</v>
      </c>
      <c r="AA41" s="197">
        <f t="shared" si="9"/>
        <v>23.2837</v>
      </c>
      <c r="AB41" s="54" t="e">
        <f>VLOOKUP(A41,Enforcements!$C$7:$K$13,8,0)</f>
        <v>#N/A</v>
      </c>
      <c r="AC41" s="51" t="e">
        <f>VLOOKUP(A41,Enforcements!$C$7:$E$13,3,0)</f>
        <v>#N/A</v>
      </c>
      <c r="AD41" s="206">
        <f t="shared" si="10"/>
        <v>126</v>
      </c>
      <c r="AE41" s="77" t="str">
        <f t="shared" si="11"/>
        <v>aws s3 cp s3://rtdc.mdm.uploadarchive.raw/RTDC4023/ "%USERPROFILE%\AppData\Local\Temp\OnboardLogs"\RTDC4023\2017-06-30 --exclude "*" --recursive --include "*20170630*" &amp; "%USERPROFILE%\Documents\GitHub\mrs-test-scripts\Headless Mode &amp; Sideloading\WalkAndUnGZ.bat" "%USERPROFILE%\AppData\Local\Temp\OnboardLogs"\RTDC4023\2017-06-30 &amp; aws s3 cp s3://rtdc.mdm.uploadarchive.raw/RTDC4023/ "%USERPROFILE%\AppData\Local\Temp\OnboardLogs"\RTDC4023\2017-07-01 --exclude "*" --recursive --include "*20170701*" &amp; "%USERPROFILE%\Documents\GitHub\mrs-test-scripts\Headless Mode &amp; Sideloading\WalkAndUnGZ.bat" "%USERPROFILE%\AppData\Local\Temp\OnboardLogs"\RTDC4023\2017-07-01</v>
      </c>
      <c r="AF41" s="74" t="str">
        <f t="shared" si="12"/>
        <v>"C:\Program Files (x86)\AstroGrep\AstroGrep.exe" /e /r /s /spath="%USERPROFILE%\AppData\Local\Temp\OnboardLogs" /stypes="app*4023*20170630*" /stext=" 14:.+((SYSTEM_STATE.+slice.+state.+changed )|(ment ac)|(multiple cpu faults)|(system.+state.+changed )|(\[timeout)|(PRM\|1\|D)|(kpr)|(kdp)|(train st.+moving)|(\|lc)|(penalty))"</v>
      </c>
      <c r="AG41" s="209" t="str">
        <f t="shared" si="13"/>
        <v>EC</v>
      </c>
      <c r="AH41" s="78" t="str">
        <f t="shared" si="18"/>
        <v>"%USERPROFILE%\Documents\GitHub\eaglep3\Utilities\RefineRTDCRunTimes.py" --tripid 126-30 --locoid 4023 --swversion DE.1.0.9.0 --startMP 204:232989 --initTime 2017-06-30T07:24:20 --startdatetime 2017-06-30T07:42:14 --delay 1 --endMP 204:152 --enddatetime 2017-06-30T08:23:48 --enforcementcount 0 &gt;&gt;C:\Users\stu\Documents\GitHub\eaglep3-reporting\EC\2017-06-30-refined-times.txt</v>
      </c>
      <c r="AI41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{"issue":{"subject":"","project_id":79,"tracker_id":40,"status_id":1,"priority_id":2,"assigned_to_id":23,"start_date":"2017-06-30","description":"","custom_fields":[{"id":1,"name":"Subdivision","value":"EC"},{"id":4,"name":"Milepost","value":"0.0152"},{"id":17,"name":"Train ID","value":"126-30"},{"id":16,"name":"Locomotive ID","value":"4023"},{"id":130,"name":"Impact","value":""},{"id":150,"name":"Time of Event (Mountain Time)","value":"08:23:48"},{"id":151,"name":"Denver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20"/>
        <v>start /low /b %USERPROFILE%\Documents\GitHub\eaglep3\Utilities\DownloadLogsFromS3.py --loco 4023 --day 2017-06-30</v>
      </c>
      <c r="AN41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14:23:48"},{"id":29,"name":"Sharepoint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687</v>
      </c>
      <c r="B42" s="7">
        <v>4044</v>
      </c>
      <c r="C42" s="21" t="s">
        <v>200</v>
      </c>
      <c r="D42" s="21" t="s">
        <v>445</v>
      </c>
      <c r="E42" s="13">
        <v>42916.287372685183</v>
      </c>
      <c r="F42" s="13">
        <v>42916.292210648149</v>
      </c>
      <c r="G42" s="7">
        <v>1</v>
      </c>
      <c r="H42" s="21" t="s">
        <v>539</v>
      </c>
      <c r="I42" s="13">
        <v>42916.317372685182</v>
      </c>
      <c r="J42" s="7">
        <v>0</v>
      </c>
      <c r="K42" s="89" t="str">
        <f t="shared" si="0"/>
        <v>4043/4044</v>
      </c>
      <c r="L42" s="21" t="str">
        <f>VLOOKUP(A42,'Trips&amp;Operators'!$C$1:$G$99999,5,FALSE)</f>
        <v>DAVIDSON DAVID</v>
      </c>
      <c r="M42" s="6">
        <f t="shared" si="1"/>
        <v>2.5162037032714579E-2</v>
      </c>
      <c r="N42" s="7">
        <f t="shared" si="27"/>
        <v>36.233333327108994</v>
      </c>
      <c r="O42" s="7"/>
      <c r="P42" s="7"/>
      <c r="Q42" s="22"/>
      <c r="R42" s="170"/>
      <c r="S42" s="213">
        <f t="shared" si="28"/>
        <v>1</v>
      </c>
      <c r="T42" s="195" t="str">
        <f t="shared" si="4"/>
        <v>NorthBound</v>
      </c>
      <c r="U42" s="19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6" t="str">
        <f t="shared" si="5"/>
        <v>https://d0f6bd738d7f1b3e5a7ca70fe4ff75f0.us-east-1.aws.found.io/app/kibana#/discover/Steve-Slow-Train-Analysis-(2080s-and-2083s)?_g=(refreshInterval:(display:Off,pause:!f,section:0,value:0),time:(from:'2017-06-30T05:53:49-0600',mode:absolute,to:'2017-06-30T08:37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42" s="197" t="str">
        <f>IF(AA42&lt;VLOOKUP(AG42,Variables!$AC$3:$AD$8,2,FALSE),"Y","N")</f>
        <v>N</v>
      </c>
      <c r="X42" s="197">
        <f t="shared" si="26"/>
        <v>1</v>
      </c>
      <c r="Y42" s="197">
        <f t="shared" si="7"/>
        <v>4.4400000000000002E-2</v>
      </c>
      <c r="Z42" s="197">
        <f t="shared" si="8"/>
        <v>23.329499999999999</v>
      </c>
      <c r="AA42" s="197">
        <f t="shared" si="9"/>
        <v>23.2851</v>
      </c>
      <c r="AB42" s="54" t="e">
        <f>VLOOKUP(A42,Enforcements!$C$7:$K$13,8,0)</f>
        <v>#N/A</v>
      </c>
      <c r="AC42" s="51" t="e">
        <f>VLOOKUP(A42,Enforcements!$C$7:$E$13,3,0)</f>
        <v>#N/A</v>
      </c>
      <c r="AD42" s="206">
        <f t="shared" si="10"/>
        <v>127</v>
      </c>
      <c r="AE42" s="77" t="str">
        <f t="shared" si="11"/>
        <v>aws s3 cp s3://rtdc.mdm.uploadarchive.raw/RTDC4044/ "%USERPROFILE%\AppData\Local\Temp\OnboardLogs"\RTDC4044\2017-06-30 --exclude "*" --recursive --include "*20170630*" &amp; "%USERPROFILE%\Documents\GitHub\mrs-test-scripts\Headless Mode &amp; Sideloading\WalkAndUnGZ.bat" "%USERPROFILE%\AppData\Local\Temp\OnboardLogs"\RTDC4044\2017-06-30 &amp; aws s3 cp s3://rtdc.mdm.uploadarchive.raw/RTDC4044/ "%USERPROFILE%\AppData\Local\Temp\OnboardLogs"\RTDC4044\2017-07-01 --exclude "*" --recursive --include "*20170701*" &amp; "%USERPROFILE%\Documents\GitHub\mrs-test-scripts\Headless Mode &amp; Sideloading\WalkAndUnGZ.bat" "%USERPROFILE%\AppData\Local\Temp\OnboardLogs"\RTDC4044\2017-07-01</v>
      </c>
      <c r="AF42" s="74" t="str">
        <f t="shared" si="12"/>
        <v>"C:\Program Files (x86)\AstroGrep\AstroGrep.exe" /e /r /s /spath="%USERPROFILE%\AppData\Local\Temp\OnboardLogs" /stypes="app*4044*20170630*" /stext=" 13:.+((SYSTEM_STATE.+slice.+state.+changed )|(ment ac)|(multiple cpu faults)|(system.+state.+changed )|(\[timeout)|(PRM\|1\|D)|(kpr)|(kdp)|(train st.+moving)|(\|lc)|(penalty))"</v>
      </c>
      <c r="AG42" s="209" t="str">
        <f t="shared" si="13"/>
        <v>EC</v>
      </c>
      <c r="AH42" s="78" t="str">
        <f t="shared" si="18"/>
        <v>"%USERPROFILE%\Documents\GitHub\eaglep3\Utilities\RefineRTDCRunTimes.py" --tripid 127-30 --locoid 4044 --swversion DE.1.0.9.0 --startMP 204:444 --initTime 2017-06-30T06:53:49 --startdatetime 2017-06-30T07:00:47 --delay 1 --endMP 204:233295 --enddatetime 2017-06-30T07:37:01 --enforcementcount 0 &gt;&gt;C:\Users\stu\Documents\GitHub\eaglep3-reporting\EC\2017-06-30-refined-times.txt</v>
      </c>
      <c r="AI42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{"issue":{"subject":"","project_id":79,"tracker_id":40,"status_id":1,"priority_id":2,"assigned_to_id":23,"start_date":"2017-06-30","description":"","custom_fields":[{"id":1,"name":"Subdivision","value":"EC"},{"id":4,"name":"Milepost","value":"23.3295"},{"id":17,"name":"Train ID","value":"127-30"},{"id":16,"name":"Locomotive ID","value":"4044"},{"id":130,"name":"Impact","value":""},{"id":150,"name":"Time of Event (Mountain Time)","value":"07:37:01"},{"id":151,"name":"Denver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20"/>
        <v>start /low /b %USERPROFILE%\Documents\GitHub\eaglep3\Utilities\DownloadLogsFromS3.py --loco 4044 --day 2017-06-30</v>
      </c>
      <c r="AN42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13:37:01"},{"id":29,"name":"Sharepoint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694</v>
      </c>
      <c r="B43" s="7">
        <v>4043</v>
      </c>
      <c r="C43" s="21" t="s">
        <v>200</v>
      </c>
      <c r="D43" s="21" t="s">
        <v>433</v>
      </c>
      <c r="E43" s="13">
        <v>42916.319212962961</v>
      </c>
      <c r="F43" s="13">
        <v>42916.331446759257</v>
      </c>
      <c r="G43" s="7">
        <v>1</v>
      </c>
      <c r="H43" s="21" t="s">
        <v>192</v>
      </c>
      <c r="I43" s="13">
        <v>42916.359780092593</v>
      </c>
      <c r="J43" s="7">
        <v>0</v>
      </c>
      <c r="K43" s="89" t="str">
        <f t="shared" si="0"/>
        <v>4043/4044</v>
      </c>
      <c r="L43" s="21" t="str">
        <f>VLOOKUP(A43,'Trips&amp;Operators'!$C$1:$G$99999,5,FALSE)</f>
        <v>DAVIDSON DAVID</v>
      </c>
      <c r="M43" s="6">
        <f t="shared" si="1"/>
        <v>2.8333333335467614E-2</v>
      </c>
      <c r="N43" s="7">
        <f t="shared" si="27"/>
        <v>40.800000003073364</v>
      </c>
      <c r="O43" s="7"/>
      <c r="P43" s="7"/>
      <c r="Q43" s="22"/>
      <c r="R43" s="170"/>
      <c r="S43" s="213">
        <f t="shared" si="28"/>
        <v>1</v>
      </c>
      <c r="T43" s="195" t="str">
        <f t="shared" si="4"/>
        <v>Southbound</v>
      </c>
      <c r="U43" s="19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6" t="str">
        <f t="shared" si="5"/>
        <v>https://d0f6bd738d7f1b3e5a7ca70fe4ff75f0.us-east-1.aws.found.io/app/kibana#/discover/Steve-Slow-Train-Analysis-(2080s-and-2083s)?_g=(refreshInterval:(display:Off,pause:!f,section:0,value:0),time:(from:'2017-06-30T06:39:40-0600',mode:absolute,to:'2017-06-30T09:38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43" s="197" t="str">
        <f>IF(AA43&lt;VLOOKUP(AG43,Variables!$AC$3:$AD$8,2,FALSE),"Y","N")</f>
        <v>N</v>
      </c>
      <c r="X43" s="197">
        <f t="shared" ref="X43:X74" si="29">VALUE(LEFT(AD43,4))-VALUE(LEFT(AD42,4))</f>
        <v>1</v>
      </c>
      <c r="Y43" s="197">
        <f t="shared" si="7"/>
        <v>23.2986</v>
      </c>
      <c r="Z43" s="197">
        <f t="shared" si="8"/>
        <v>1.52E-2</v>
      </c>
      <c r="AA43" s="197">
        <f t="shared" si="9"/>
        <v>23.2834</v>
      </c>
      <c r="AB43" s="54" t="e">
        <f>VLOOKUP(A43,Enforcements!$C$7:$K$13,8,0)</f>
        <v>#N/A</v>
      </c>
      <c r="AC43" s="51" t="e">
        <f>VLOOKUP(A43,Enforcements!$C$7:$E$13,3,0)</f>
        <v>#N/A</v>
      </c>
      <c r="AD43" s="206">
        <f t="shared" si="10"/>
        <v>128</v>
      </c>
      <c r="AE43" s="77" t="str">
        <f t="shared" si="11"/>
        <v>aws s3 cp s3://rtdc.mdm.uploadarchive.raw/RTDC4043/ "%USERPROFILE%\AppData\Local\Temp\OnboardLogs"\RTDC4043\2017-06-30 --exclude "*" --recursive --include "*20170630*" &amp; "%USERPROFILE%\Documents\GitHub\mrs-test-scripts\Headless Mode &amp; Sideloading\WalkAndUnGZ.bat" "%USERPROFILE%\AppData\Local\Temp\OnboardLogs"\RTDC4043\2017-06-30 &amp; aws s3 cp s3://rtdc.mdm.uploadarchive.raw/RTDC4043/ "%USERPROFILE%\AppData\Local\Temp\OnboardLogs"\RTDC4043\2017-07-01 --exclude "*" --recursive --include "*20170701*" &amp; "%USERPROFILE%\Documents\GitHub\mrs-test-scripts\Headless Mode &amp; Sideloading\WalkAndUnGZ.bat" "%USERPROFILE%\AppData\Local\Temp\OnboardLogs"\RTDC4043\2017-07-01</v>
      </c>
      <c r="AF43" s="74" t="str">
        <f t="shared" si="12"/>
        <v>"C:\Program Files (x86)\AstroGrep\AstroGrep.exe" /e /r /s /spath="%USERPROFILE%\AppData\Local\Temp\OnboardLogs" /stypes="app*4043*20170630*" /stext=" 14:.+((SYSTEM_STATE.+slice.+state.+changed )|(ment ac)|(multiple cpu faults)|(system.+state.+changed )|(\[timeout)|(PRM\|1\|D)|(kpr)|(kdp)|(train st.+moving)|(\|lc)|(penalty))"</v>
      </c>
      <c r="AG43" s="209" t="str">
        <f t="shared" si="13"/>
        <v>EC</v>
      </c>
      <c r="AH43" s="78" t="str">
        <f t="shared" si="18"/>
        <v>"%USERPROFILE%\Documents\GitHub\eaglep3\Utilities\RefineRTDCRunTimes.py" --tripid 128-30 --locoid 4043 --swversion DE.1.0.9.0 --startMP 204:232986 --initTime 2017-06-30T07:39:40 --startdatetime 2017-06-30T07:57:17 --delay 1 --endMP 204:152 --enddatetime 2017-06-30T08:38:05 --enforcementcount 0 &gt;&gt;C:\Users\stu\Documents\GitHub\eaglep3-reporting\EC\2017-06-30-refined-times.txt</v>
      </c>
      <c r="AI43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{"issue":{"subject":"","project_id":79,"tracker_id":40,"status_id":1,"priority_id":2,"assigned_to_id":23,"start_date":"2017-06-30","description":"","custom_fields":[{"id":1,"name":"Subdivision","value":"EC"},{"id":4,"name":"Milepost","value":"0.0152"},{"id":17,"name":"Train ID","value":"128-30"},{"id":16,"name":"Locomotive ID","value":"4043"},{"id":130,"name":"Impact","value":""},{"id":150,"name":"Time of Event (Mountain Time)","value":"08:38:05"},{"id":151,"name":"Denver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20"/>
        <v>start /low /b %USERPROFILE%\Documents\GitHub\eaglep3\Utilities\DownloadLogsFromS3.py --loco 4043 --day 2017-06-30</v>
      </c>
      <c r="AN43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14:38:05"},{"id":29,"name":"Sharepoint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690</v>
      </c>
      <c r="B44" s="7">
        <v>4032</v>
      </c>
      <c r="C44" s="21" t="s">
        <v>200</v>
      </c>
      <c r="D44" s="21" t="s">
        <v>387</v>
      </c>
      <c r="E44" s="13">
        <v>42916.299016203702</v>
      </c>
      <c r="F44" s="13">
        <v>42916.302789351852</v>
      </c>
      <c r="G44" s="7">
        <v>1</v>
      </c>
      <c r="H44" s="21" t="s">
        <v>507</v>
      </c>
      <c r="I44" s="13">
        <v>42916.329293981478</v>
      </c>
      <c r="J44" s="7">
        <v>0</v>
      </c>
      <c r="K44" s="89" t="str">
        <f t="shared" si="0"/>
        <v>4031/4032</v>
      </c>
      <c r="L44" s="21" t="str">
        <f>VLOOKUP(A44,'Trips&amp;Operators'!$C$1:$G$99999,5,FALSE)</f>
        <v>CUSHING HARRY</v>
      </c>
      <c r="M44" s="6">
        <f t="shared" si="1"/>
        <v>2.6504629626288079E-2</v>
      </c>
      <c r="N44" s="7">
        <f t="shared" si="27"/>
        <v>38.166666661854833</v>
      </c>
      <c r="O44" s="7"/>
      <c r="P44" s="7"/>
      <c r="Q44" s="22"/>
      <c r="R44" s="170"/>
      <c r="S44" s="213">
        <f t="shared" si="28"/>
        <v>1</v>
      </c>
      <c r="T44" s="195" t="str">
        <f t="shared" si="4"/>
        <v>NorthBound</v>
      </c>
      <c r="U44" s="19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6" t="str">
        <f t="shared" si="5"/>
        <v>https://d0f6bd738d7f1b3e5a7ca70fe4ff75f0.us-east-1.aws.found.io/app/kibana#/discover/Steve-Slow-Train-Analysis-(2080s-and-2083s)?_g=(refreshInterval:(display:Off,pause:!f,section:0,value:0),time:(from:'2017-06-30T06:10:35-0600',mode:absolute,to:'2017-06-30T08:54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44" s="197" t="str">
        <f>IF(AA44&lt;VLOOKUP(AG44,Variables!$AC$3:$AD$8,2,FALSE),"Y","N")</f>
        <v>N</v>
      </c>
      <c r="X44" s="197">
        <f t="shared" si="29"/>
        <v>1</v>
      </c>
      <c r="Y44" s="197">
        <f t="shared" si="7"/>
        <v>4.6199999999999998E-2</v>
      </c>
      <c r="Z44" s="197">
        <f t="shared" si="8"/>
        <v>23.330400000000001</v>
      </c>
      <c r="AA44" s="197">
        <f t="shared" si="9"/>
        <v>23.284200000000002</v>
      </c>
      <c r="AB44" s="54" t="e">
        <f>VLOOKUP(A44,Enforcements!$C$7:$K$13,8,0)</f>
        <v>#N/A</v>
      </c>
      <c r="AC44" s="51" t="e">
        <f>VLOOKUP(A44,Enforcements!$C$7:$E$13,3,0)</f>
        <v>#N/A</v>
      </c>
      <c r="AD44" s="206">
        <f t="shared" si="10"/>
        <v>129</v>
      </c>
      <c r="AE44" s="77" t="str">
        <f t="shared" si="11"/>
        <v>aws s3 cp s3://rtdc.mdm.uploadarchive.raw/RTDC4032/ "%USERPROFILE%\AppData\Local\Temp\OnboardLogs"\RTDC4032\2017-06-30 --exclude "*" --recursive --include "*20170630*" &amp; "%USERPROFILE%\Documents\GitHub\mrs-test-scripts\Headless Mode &amp; Sideloading\WalkAndUnGZ.bat" "%USERPROFILE%\AppData\Local\Temp\OnboardLogs"\RTDC4032\2017-06-30 &amp; aws s3 cp s3://rtdc.mdm.uploadarchive.raw/RTDC4032/ "%USERPROFILE%\AppData\Local\Temp\OnboardLogs"\RTDC4032\2017-07-01 --exclude "*" --recursive --include "*20170701*" &amp; "%USERPROFILE%\Documents\GitHub\mrs-test-scripts\Headless Mode &amp; Sideloading\WalkAndUnGZ.bat" "%USERPROFILE%\AppData\Local\Temp\OnboardLogs"\RTDC4032\2017-07-01</v>
      </c>
      <c r="AF44" s="74" t="str">
        <f t="shared" si="12"/>
        <v>"C:\Program Files (x86)\AstroGrep\AstroGrep.exe" /e /r /s /spath="%USERPROFILE%\AppData\Local\Temp\OnboardLogs" /stypes="app*4032*20170630*" /stext=" 13:.+((SYSTEM_STATE.+slice.+state.+changed )|(ment ac)|(multiple cpu faults)|(system.+state.+changed )|(\[timeout)|(PRM\|1\|D)|(kpr)|(kdp)|(train st.+moving)|(\|lc)|(penalty))"</v>
      </c>
      <c r="AG44" s="209" t="str">
        <f t="shared" si="13"/>
        <v>EC</v>
      </c>
      <c r="AH44" s="78" t="str">
        <f t="shared" si="18"/>
        <v>"%USERPROFILE%\Documents\GitHub\eaglep3\Utilities\RefineRTDCRunTimes.py" --tripid 129-30 --locoid 4032 --swversion DE.1.0.9.0 --startMP 204:462 --initTime 2017-06-30T07:10:35 --startdatetime 2017-06-30T07:16:01 --delay 1 --endMP 204:233304 --enddatetime 2017-06-30T07:54:11 --enforcementcount 0 &gt;&gt;C:\Users\stu\Documents\GitHub\eaglep3-reporting\EC\2017-06-30-refined-times.txt</v>
      </c>
      <c r="AI44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{"issue":{"subject":"","project_id":79,"tracker_id":40,"status_id":1,"priority_id":2,"assigned_to_id":23,"start_date":"2017-06-30","description":"","custom_fields":[{"id":1,"name":"Subdivision","value":"EC"},{"id":4,"name":"Milepost","value":"23.3304"},{"id":17,"name":"Train ID","value":"129-30"},{"id":16,"name":"Locomotive ID","value":"4032"},{"id":130,"name":"Impact","value":""},{"id":150,"name":"Time of Event (Mountain Time)","value":"07:54:11"},{"id":151,"name":"Denver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20"/>
        <v>start /low /b %USERPROFILE%\Documents\GitHub\eaglep3\Utilities\DownloadLogsFromS3.py --loco 4032 --day 2017-06-30</v>
      </c>
      <c r="AN44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13:54:11"},{"id":29,"name":"Sharepoint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698</v>
      </c>
      <c r="B45" s="7">
        <v>4031</v>
      </c>
      <c r="C45" s="21" t="s">
        <v>200</v>
      </c>
      <c r="D45" s="21" t="s">
        <v>460</v>
      </c>
      <c r="E45" s="13">
        <v>42916.337905092594</v>
      </c>
      <c r="F45" s="13">
        <v>42916.341990740744</v>
      </c>
      <c r="G45" s="7">
        <v>2</v>
      </c>
      <c r="H45" s="21" t="s">
        <v>354</v>
      </c>
      <c r="I45" s="13">
        <v>42916.368935185186</v>
      </c>
      <c r="J45" s="7">
        <v>0</v>
      </c>
      <c r="K45" s="89" t="str">
        <f t="shared" si="0"/>
        <v>4031/4032</v>
      </c>
      <c r="L45" s="21" t="str">
        <f>VLOOKUP(A45,'Trips&amp;Operators'!$C$1:$G$99999,5,FALSE)</f>
        <v>CUSHING HARRY</v>
      </c>
      <c r="M45" s="6">
        <f t="shared" si="1"/>
        <v>2.6944444442051463E-2</v>
      </c>
      <c r="N45" s="7">
        <f t="shared" si="27"/>
        <v>38.799999996554106</v>
      </c>
      <c r="O45" s="7"/>
      <c r="P45" s="7"/>
      <c r="Q45" s="22"/>
      <c r="R45" s="170"/>
      <c r="S45" s="213">
        <f t="shared" si="28"/>
        <v>1</v>
      </c>
      <c r="T45" s="195" t="str">
        <f t="shared" si="4"/>
        <v>Southbound</v>
      </c>
      <c r="U45" s="19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6" t="str">
        <f t="shared" si="5"/>
        <v>https://d0f6bd738d7f1b3e5a7ca70fe4ff75f0.us-east-1.aws.found.io/app/kibana#/discover/Steve-Slow-Train-Analysis-(2080s-and-2083s)?_g=(refreshInterval:(display:Off,pause:!f,section:0,value:0),time:(from:'2017-06-30T07:06:35-0600',mode:absolute,to:'2017-06-30T09:51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45" s="197" t="str">
        <f>IF(AA45&lt;VLOOKUP(AG45,Variables!$AC$3:$AD$8,2,FALSE),"Y","N")</f>
        <v>N</v>
      </c>
      <c r="X45" s="197">
        <f t="shared" si="29"/>
        <v>1</v>
      </c>
      <c r="Y45" s="197">
        <f t="shared" ref="Y45:Y76" si="30">RIGHT(D45,LEN(D45)-4)/10000</f>
        <v>23.2989</v>
      </c>
      <c r="Z45" s="197">
        <f t="shared" ref="Z45:Z76" si="31">RIGHT(H45,LEN(H45)-4)/10000</f>
        <v>1.3899999999999999E-2</v>
      </c>
      <c r="AA45" s="197">
        <f t="shared" si="9"/>
        <v>23.285</v>
      </c>
      <c r="AB45" s="54" t="e">
        <f>VLOOKUP(A45,Enforcements!$C$7:$K$13,8,0)</f>
        <v>#N/A</v>
      </c>
      <c r="AC45" s="51" t="e">
        <f>VLOOKUP(A45,Enforcements!$C$7:$E$13,3,0)</f>
        <v>#N/A</v>
      </c>
      <c r="AD45" s="206">
        <f t="shared" si="10"/>
        <v>130</v>
      </c>
      <c r="AE45" s="77" t="str">
        <f t="shared" si="11"/>
        <v>aws s3 cp s3://rtdc.mdm.uploadarchive.raw/RTDC4031/ "%USERPROFILE%\AppData\Local\Temp\OnboardLogs"\RTDC4031\2017-06-30 --exclude "*" --recursive --include "*20170630*" &amp; "%USERPROFILE%\Documents\GitHub\mrs-test-scripts\Headless Mode &amp; Sideloading\WalkAndUnGZ.bat" "%USERPROFILE%\AppData\Local\Temp\OnboardLogs"\RTDC4031\2017-06-30 &amp; aws s3 cp s3://rtdc.mdm.uploadarchive.raw/RTDC4031/ "%USERPROFILE%\AppData\Local\Temp\OnboardLogs"\RTDC4031\2017-07-01 --exclude "*" --recursive --include "*20170701*" &amp; "%USERPROFILE%\Documents\GitHub\mrs-test-scripts\Headless Mode &amp; Sideloading\WalkAndUnGZ.bat" "%USERPROFILE%\AppData\Local\Temp\OnboardLogs"\RTDC4031\2017-07-01</v>
      </c>
      <c r="AF45" s="74" t="str">
        <f t="shared" si="12"/>
        <v>"C:\Program Files (x86)\AstroGrep\AstroGrep.exe" /e /r /s /spath="%USERPROFILE%\AppData\Local\Temp\OnboardLogs" /stypes="app*4031*20170630*" /stext=" 14:.+((SYSTEM_STATE.+slice.+state.+changed )|(ment ac)|(multiple cpu faults)|(system.+state.+changed )|(\[timeout)|(PRM\|1\|D)|(kpr)|(kdp)|(train st.+moving)|(\|lc)|(penalty))"</v>
      </c>
      <c r="AG45" s="209" t="str">
        <f t="shared" si="13"/>
        <v>EC</v>
      </c>
      <c r="AH45" s="78" t="str">
        <f t="shared" si="18"/>
        <v>"%USERPROFILE%\Documents\GitHub\eaglep3\Utilities\RefineRTDCRunTimes.py" --tripid 130-30 --locoid 4031 --swversion DE.1.0.9.0 --startMP 204:232989 --initTime 2017-06-30T08:06:35 --startdatetime 2017-06-30T08:12:28 --delay 2 --endMP 204:139 --enddatetime 2017-06-30T08:51:16 --enforcementcount 0 &gt;&gt;C:\Users\stu\Documents\GitHub\eaglep3-reporting\EC\2017-06-30-refined-times.txt</v>
      </c>
      <c r="AI45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{"issue":{"subject":"","project_id":79,"tracker_id":40,"status_id":1,"priority_id":2,"assigned_to_id":23,"start_date":"2017-06-30","description":"","custom_fields":[{"id":1,"name":"Subdivision","value":"EC"},{"id":4,"name":"Milepost","value":"0.0139"},{"id":17,"name":"Train ID","value":"130-30"},{"id":16,"name":"Locomotive ID","value":"4031"},{"id":130,"name":"Impact","value":""},{"id":150,"name":"Time of Event (Mountain Time)","value":"08:51:16"},{"id":151,"name":"Denver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20"/>
        <v>start /low /b %USERPROFILE%\Documents\GitHub\eaglep3\Utilities\DownloadLogsFromS3.py --loco 4031 --day 2017-06-30</v>
      </c>
      <c r="AN45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14:51:16"},{"id":29,"name":"Sharepoint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691</v>
      </c>
      <c r="B46" s="7">
        <v>4040</v>
      </c>
      <c r="C46" s="21" t="s">
        <v>200</v>
      </c>
      <c r="D46" s="21" t="s">
        <v>453</v>
      </c>
      <c r="E46" s="13">
        <v>42916.310162037036</v>
      </c>
      <c r="F46" s="13">
        <v>42916.312974537039</v>
      </c>
      <c r="G46" s="7">
        <v>1</v>
      </c>
      <c r="H46" s="21" t="s">
        <v>435</v>
      </c>
      <c r="I46" s="13">
        <v>42916.336898148147</v>
      </c>
      <c r="J46" s="7">
        <v>0</v>
      </c>
      <c r="K46" s="89" t="str">
        <f t="shared" si="0"/>
        <v>4039/4040</v>
      </c>
      <c r="L46" s="21" t="str">
        <f>VLOOKUP(A46,'Trips&amp;Operators'!$C$1:$G$99999,5,FALSE)</f>
        <v>BEAM ROSS</v>
      </c>
      <c r="M46" s="6">
        <f t="shared" si="1"/>
        <v>2.3923611108330078E-2</v>
      </c>
      <c r="N46" s="7">
        <f t="shared" si="27"/>
        <v>34.449999995995313</v>
      </c>
      <c r="O46" s="7"/>
      <c r="P46" s="7"/>
      <c r="Q46" s="22"/>
      <c r="R46" s="170"/>
      <c r="S46" s="213">
        <f t="shared" si="28"/>
        <v>1</v>
      </c>
      <c r="T46" s="195" t="str">
        <f t="shared" si="4"/>
        <v>NorthBound</v>
      </c>
      <c r="U46" s="19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6" t="str">
        <f t="shared" si="5"/>
        <v>https://d0f6bd738d7f1b3e5a7ca70fe4ff75f0.us-east-1.aws.found.io/app/kibana#/discover/Steve-Slow-Train-Analysis-(2080s-and-2083s)?_g=(refreshInterval:(display:Off,pause:!f,section:0,value:0),time:(from:'2017-06-30T06:26:38-0600',mode:absolute,to:'2017-06-30T09:05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46" s="197" t="str">
        <f>IF(AA46&lt;VLOOKUP(AG46,Variables!$AC$3:$AD$8,2,FALSE),"Y","N")</f>
        <v>N</v>
      </c>
      <c r="X46" s="197">
        <f t="shared" si="29"/>
        <v>1</v>
      </c>
      <c r="Y46" s="197">
        <f t="shared" si="30"/>
        <v>4.3700000000000003E-2</v>
      </c>
      <c r="Z46" s="197">
        <f t="shared" si="31"/>
        <v>23.330500000000001</v>
      </c>
      <c r="AA46" s="197">
        <f t="shared" si="9"/>
        <v>23.286799999999999</v>
      </c>
      <c r="AB46" s="54" t="e">
        <f>VLOOKUP(A46,Enforcements!$C$7:$K$13,8,0)</f>
        <v>#N/A</v>
      </c>
      <c r="AC46" s="51" t="e">
        <f>VLOOKUP(A46,Enforcements!$C$7:$E$13,3,0)</f>
        <v>#N/A</v>
      </c>
      <c r="AD46" s="206">
        <f t="shared" si="10"/>
        <v>131</v>
      </c>
      <c r="AE46" s="77" t="str">
        <f t="shared" si="11"/>
        <v>aws s3 cp s3://rtdc.mdm.uploadarchive.raw/RTDC4040/ "%USERPROFILE%\AppData\Local\Temp\OnboardLogs"\RTDC4040\2017-06-30 --exclude "*" --recursive --include "*20170630*" &amp; "%USERPROFILE%\Documents\GitHub\mrs-test-scripts\Headless Mode &amp; Sideloading\WalkAndUnGZ.bat" "%USERPROFILE%\AppData\Local\Temp\OnboardLogs"\RTDC4040\2017-06-30 &amp; aws s3 cp s3://rtdc.mdm.uploadarchive.raw/RTDC4040/ "%USERPROFILE%\AppData\Local\Temp\OnboardLogs"\RTDC4040\2017-07-01 --exclude "*" --recursive --include "*20170701*" &amp; "%USERPROFILE%\Documents\GitHub\mrs-test-scripts\Headless Mode &amp; Sideloading\WalkAndUnGZ.bat" "%USERPROFILE%\AppData\Local\Temp\OnboardLogs"\RTDC4040\2017-07-01</v>
      </c>
      <c r="AF46" s="74" t="str">
        <f t="shared" si="12"/>
        <v>"C:\Program Files (x86)\AstroGrep\AstroGrep.exe" /e /r /s /spath="%USERPROFILE%\AppData\Local\Temp\OnboardLogs" /stypes="app*4040*20170630*" /stext=" 14:.+((SYSTEM_STATE.+slice.+state.+changed )|(ment ac)|(multiple cpu faults)|(system.+state.+changed )|(\[timeout)|(PRM\|1\|D)|(kpr)|(kdp)|(train st.+moving)|(\|lc)|(penalty))"</v>
      </c>
      <c r="AG46" s="209" t="str">
        <f t="shared" si="13"/>
        <v>EC</v>
      </c>
      <c r="AH46" s="78" t="str">
        <f t="shared" si="18"/>
        <v>"%USERPROFILE%\Documents\GitHub\eaglep3\Utilities\RefineRTDCRunTimes.py" --tripid 131-30 --locoid 4040 --swversion DE.1.0.9.0 --startMP 204:437 --initTime 2017-06-30T07:26:38 --startdatetime 2017-06-30T07:30:41 --delay 1 --endMP 204:233305 --enddatetime 2017-06-30T08:05:08 --enforcementcount 0 &gt;&gt;C:\Users\stu\Documents\GitHub\eaglep3-reporting\EC\2017-06-30-refined-times.txt</v>
      </c>
      <c r="AI46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{"issue":{"subject":"","project_id":79,"tracker_id":40,"status_id":1,"priority_id":2,"assigned_to_id":23,"start_date":"2017-06-30","description":"","custom_fields":[{"id":1,"name":"Subdivision","value":"EC"},{"id":4,"name":"Milepost","value":"23.3305"},{"id":17,"name":"Train ID","value":"131-30"},{"id":16,"name":"Locomotive ID","value":"4040"},{"id":130,"name":"Impact","value":""},{"id":150,"name":"Time of Event (Mountain Time)","value":"08:05:08"},{"id":151,"name":"Denver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20"/>
        <v>start /low /b %USERPROFILE%\Documents\GitHub\eaglep3\Utilities\DownloadLogsFromS3.py --loco 4040 --day 2017-06-30</v>
      </c>
      <c r="AN46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14:05:08"},{"id":29,"name":"Sharepoint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699</v>
      </c>
      <c r="B47" s="7">
        <v>4039</v>
      </c>
      <c r="C47" s="21" t="s">
        <v>200</v>
      </c>
      <c r="D47" s="21" t="s">
        <v>867</v>
      </c>
      <c r="E47" s="13">
        <v>42916.349062499998</v>
      </c>
      <c r="F47" s="13">
        <v>42916.352256944447</v>
      </c>
      <c r="G47" s="7">
        <v>1</v>
      </c>
      <c r="H47" s="21" t="s">
        <v>192</v>
      </c>
      <c r="I47" s="13">
        <v>42916.379004629627</v>
      </c>
      <c r="J47" s="7">
        <v>0</v>
      </c>
      <c r="K47" s="89" t="str">
        <f t="shared" si="0"/>
        <v>4039/4040</v>
      </c>
      <c r="L47" s="21" t="str">
        <f>VLOOKUP(A47,'Trips&amp;Operators'!$C$1:$G$99999,5,FALSE)</f>
        <v>BEAM ROSS</v>
      </c>
      <c r="M47" s="6">
        <f t="shared" si="1"/>
        <v>2.6747685180453118E-2</v>
      </c>
      <c r="N47" s="7">
        <f t="shared" si="27"/>
        <v>38.51666665985249</v>
      </c>
      <c r="O47" s="7"/>
      <c r="P47" s="7"/>
      <c r="Q47" s="22"/>
      <c r="R47" s="170"/>
      <c r="S47" s="213">
        <f t="shared" si="28"/>
        <v>1</v>
      </c>
      <c r="T47" s="195" t="str">
        <f t="shared" si="4"/>
        <v>Southbound</v>
      </c>
      <c r="U47" s="19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6" t="str">
        <f t="shared" si="5"/>
        <v>https://d0f6bd738d7f1b3e5a7ca70fe4ff75f0.us-east-1.aws.found.io/app/kibana#/discover/Steve-Slow-Train-Analysis-(2080s-and-2083s)?_g=(refreshInterval:(display:Off,pause:!f,section:0,value:0),time:(from:'2017-06-30T07:22:39-0600',mode:absolute,to:'2017-06-30T10:05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47" s="197" t="str">
        <f>IF(AA47&lt;VLOOKUP(AG47,Variables!$AC$3:$AD$8,2,FALSE),"Y","N")</f>
        <v>N</v>
      </c>
      <c r="X47" s="197">
        <f t="shared" si="29"/>
        <v>1</v>
      </c>
      <c r="Y47" s="197">
        <f t="shared" si="30"/>
        <v>23.2988</v>
      </c>
      <c r="Z47" s="197">
        <f t="shared" si="31"/>
        <v>1.52E-2</v>
      </c>
      <c r="AA47" s="197">
        <f t="shared" si="9"/>
        <v>23.2836</v>
      </c>
      <c r="AB47" s="54" t="e">
        <f>VLOOKUP(A47,Enforcements!$C$7:$K$13,8,0)</f>
        <v>#N/A</v>
      </c>
      <c r="AC47" s="51" t="e">
        <f>VLOOKUP(A47,Enforcements!$C$7:$E$13,3,0)</f>
        <v>#N/A</v>
      </c>
      <c r="AD47" s="206">
        <f t="shared" si="10"/>
        <v>132</v>
      </c>
      <c r="AE47" s="77" t="str">
        <f t="shared" si="11"/>
        <v>aws s3 cp s3://rtdc.mdm.uploadarchive.raw/RTDC4039/ "%USERPROFILE%\AppData\Local\Temp\OnboardLogs"\RTDC4039\2017-06-30 --exclude "*" --recursive --include "*20170630*" &amp; "%USERPROFILE%\Documents\GitHub\mrs-test-scripts\Headless Mode &amp; Sideloading\WalkAndUnGZ.bat" "%USERPROFILE%\AppData\Local\Temp\OnboardLogs"\RTDC4039\2017-06-30 &amp; aws s3 cp s3://rtdc.mdm.uploadarchive.raw/RTDC4039/ "%USERPROFILE%\AppData\Local\Temp\OnboardLogs"\RTDC4039\2017-07-01 --exclude "*" --recursive --include "*20170701*" &amp; "%USERPROFILE%\Documents\GitHub\mrs-test-scripts\Headless Mode &amp; Sideloading\WalkAndUnGZ.bat" "%USERPROFILE%\AppData\Local\Temp\OnboardLogs"\RTDC4039\2017-07-01</v>
      </c>
      <c r="AF47" s="74" t="str">
        <f t="shared" si="12"/>
        <v>"C:\Program Files (x86)\AstroGrep\AstroGrep.exe" /e /r /s /spath="%USERPROFILE%\AppData\Local\Temp\OnboardLogs" /stypes="app*4039*20170630*" /stext=" 15:.+((SYSTEM_STATE.+slice.+state.+changed )|(ment ac)|(multiple cpu faults)|(system.+state.+changed )|(\[timeout)|(PRM\|1\|D)|(kpr)|(kdp)|(train st.+moving)|(\|lc)|(penalty))"</v>
      </c>
      <c r="AG47" s="209" t="str">
        <f t="shared" si="13"/>
        <v>EC</v>
      </c>
      <c r="AH47" s="78" t="str">
        <f t="shared" si="18"/>
        <v>"%USERPROFILE%\Documents\GitHub\eaglep3\Utilities\RefineRTDCRunTimes.py" --tripid 132-30 --locoid 4039 --swversion DE.1.0.9.0 --startMP 204:232988 --initTime 2017-06-30T08:22:39 --startdatetime 2017-06-30T08:27:15 --delay 1 --endMP 204:152 --enddatetime 2017-06-30T09:05:46 --enforcementcount 0 &gt;&gt;C:\Users\stu\Documents\GitHub\eaglep3-reporting\EC\2017-06-30-refined-times.txt</v>
      </c>
      <c r="AI47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{"issue":{"subject":"","project_id":79,"tracker_id":40,"status_id":1,"priority_id":2,"assigned_to_id":23,"start_date":"2017-06-30","description":"","custom_fields":[{"id":1,"name":"Subdivision","value":"EC"},{"id":4,"name":"Milepost","value":"0.0152"},{"id":17,"name":"Train ID","value":"132-30"},{"id":16,"name":"Locomotive ID","value":"4039"},{"id":130,"name":"Impact","value":""},{"id":150,"name":"Time of Event (Mountain Time)","value":"09:05:46"},{"id":151,"name":"Denver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20"/>
        <v>start /low /b %USERPROFILE%\Documents\GitHub\eaglep3\Utilities\DownloadLogsFromS3.py --loco 4039 --day 2017-06-30</v>
      </c>
      <c r="AN47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15:05:46"},{"id":29,"name":"Sharepoint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693</v>
      </c>
      <c r="B48" s="7">
        <v>4042</v>
      </c>
      <c r="C48" s="21" t="s">
        <v>200</v>
      </c>
      <c r="D48" s="21" t="s">
        <v>868</v>
      </c>
      <c r="E48" s="13">
        <v>42916.318495370368</v>
      </c>
      <c r="F48" s="13">
        <v>42916.326377314814</v>
      </c>
      <c r="G48" s="7">
        <v>0</v>
      </c>
      <c r="H48" s="21" t="s">
        <v>542</v>
      </c>
      <c r="I48" s="13">
        <v>42916.35565972222</v>
      </c>
      <c r="J48" s="7">
        <v>0</v>
      </c>
      <c r="K48" s="89" t="str">
        <f t="shared" si="0"/>
        <v>4041/4042</v>
      </c>
      <c r="L48" s="21" t="str">
        <f>VLOOKUP(A48,'Trips&amp;Operators'!$C$1:$G$99999,5,FALSE)</f>
        <v>BONDS REYNALDO</v>
      </c>
      <c r="M48" s="6">
        <f t="shared" si="1"/>
        <v>2.9282407405844424E-2</v>
      </c>
      <c r="N48" s="7">
        <f t="shared" si="27"/>
        <v>42.16666666441597</v>
      </c>
      <c r="O48" s="7"/>
      <c r="P48" s="7"/>
      <c r="Q48" s="22"/>
      <c r="R48" s="170"/>
      <c r="S48" s="213">
        <f t="shared" si="28"/>
        <v>1</v>
      </c>
      <c r="T48" s="195" t="str">
        <f t="shared" si="4"/>
        <v>NorthBound</v>
      </c>
      <c r="U48" s="19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6" t="str">
        <f t="shared" si="5"/>
        <v>https://d0f6bd738d7f1b3e5a7ca70fe4ff75f0.us-east-1.aws.found.io/app/kibana#/discover/Steve-Slow-Train-Analysis-(2080s-and-2083s)?_g=(refreshInterval:(display:Off,pause:!f,section:0,value:0),time:(from:'2017-06-30T06:38:38-0600',mode:absolute,to:'2017-06-30T09:32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48" s="197" t="str">
        <f>IF(AA48&lt;VLOOKUP(AG48,Variables!$AC$3:$AD$8,2,FALSE),"Y","N")</f>
        <v>N</v>
      </c>
      <c r="X48" s="197">
        <f t="shared" si="29"/>
        <v>1</v>
      </c>
      <c r="Y48" s="197">
        <f t="shared" si="30"/>
        <v>4.3099999999999999E-2</v>
      </c>
      <c r="Z48" s="197">
        <f t="shared" si="31"/>
        <v>23.3306</v>
      </c>
      <c r="AA48" s="197">
        <f t="shared" si="9"/>
        <v>23.287500000000001</v>
      </c>
      <c r="AB48" s="54" t="e">
        <f>VLOOKUP(A48,Enforcements!$C$7:$K$13,8,0)</f>
        <v>#N/A</v>
      </c>
      <c r="AC48" s="51" t="e">
        <f>VLOOKUP(A48,Enforcements!$C$7:$E$13,3,0)</f>
        <v>#N/A</v>
      </c>
      <c r="AD48" s="206">
        <f t="shared" si="10"/>
        <v>133</v>
      </c>
      <c r="AE48" s="77" t="str">
        <f t="shared" si="11"/>
        <v>aws s3 cp s3://rtdc.mdm.uploadarchive.raw/RTDC4042/ "%USERPROFILE%\AppData\Local\Temp\OnboardLogs"\RTDC4042\2017-06-30 --exclude "*" --recursive --include "*20170630*" &amp; "%USERPROFILE%\Documents\GitHub\mrs-test-scripts\Headless Mode &amp; Sideloading\WalkAndUnGZ.bat" "%USERPROFILE%\AppData\Local\Temp\OnboardLogs"\RTDC4042\2017-06-30 &amp; aws s3 cp s3://rtdc.mdm.uploadarchive.raw/RTDC4042/ "%USERPROFILE%\AppData\Local\Temp\OnboardLogs"\RTDC4042\2017-07-01 --exclude "*" --recursive --include "*20170701*" &amp; "%USERPROFILE%\Documents\GitHub\mrs-test-scripts\Headless Mode &amp; Sideloading\WalkAndUnGZ.bat" "%USERPROFILE%\AppData\Local\Temp\OnboardLogs"\RTDC4042\2017-07-01</v>
      </c>
      <c r="AF48" s="74" t="str">
        <f t="shared" si="12"/>
        <v>"C:\Program Files (x86)\AstroGrep\AstroGrep.exe" /e /r /s /spath="%USERPROFILE%\AppData\Local\Temp\OnboardLogs" /stypes="app*4042*20170630*" /stext=" 14:.+((SYSTEM_STATE.+slice.+state.+changed )|(ment ac)|(multiple cpu faults)|(system.+state.+changed )|(\[timeout)|(PRM\|1\|D)|(kpr)|(kdp)|(train st.+moving)|(\|lc)|(penalty))"</v>
      </c>
      <c r="AG48" s="209" t="str">
        <f t="shared" si="13"/>
        <v>EC</v>
      </c>
      <c r="AH48" s="78" t="str">
        <f t="shared" si="18"/>
        <v>"%USERPROFILE%\Documents\GitHub\eaglep3\Utilities\RefineRTDCRunTimes.py" --tripid 133-30 --locoid 4042 --swversion DE.1.0.9.0 --startMP 204:431 --initTime 2017-06-30T07:38:38 --startdatetime 2017-06-30T07:49:59 --delay 0 --endMP 204:233306 --enddatetime 2017-06-30T08:32:09 --enforcementcount 0 &gt;&gt;C:\Users\stu\Documents\GitHub\eaglep3-reporting\EC\2017-06-30-refined-times.txt</v>
      </c>
      <c r="AI48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{"issue":{"subject":"","project_id":79,"tracker_id":40,"status_id":1,"priority_id":2,"assigned_to_id":23,"start_date":"2017-06-30","description":"","custom_fields":[{"id":1,"name":"Subdivision","value":"EC"},{"id":4,"name":"Milepost","value":"23.3306"},{"id":17,"name":"Train ID","value":"133-30"},{"id":16,"name":"Locomotive ID","value":"4042"},{"id":130,"name":"Impact","value":""},{"id":150,"name":"Time of Event (Mountain Time)","value":"08:32:09"},{"id":151,"name":"Denver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20"/>
        <v>start /low /b %USERPROFILE%\Documents\GitHub\eaglep3\Utilities\DownloadLogsFromS3.py --loco 4042 --day 2017-06-30</v>
      </c>
      <c r="AN48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14:32:09"},{"id":29,"name":"Sharepoint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702</v>
      </c>
      <c r="B49" s="7">
        <v>4041</v>
      </c>
      <c r="C49" s="21" t="s">
        <v>200</v>
      </c>
      <c r="D49" s="21" t="s">
        <v>440</v>
      </c>
      <c r="E49" s="13">
        <v>42916.358078703706</v>
      </c>
      <c r="F49" s="13">
        <v>42916.362673611111</v>
      </c>
      <c r="G49" s="7">
        <v>1</v>
      </c>
      <c r="H49" s="21" t="s">
        <v>192</v>
      </c>
      <c r="I49" s="13">
        <v>42916.390729166669</v>
      </c>
      <c r="J49" s="7">
        <v>0</v>
      </c>
      <c r="K49" s="89" t="str">
        <f t="shared" si="0"/>
        <v>4041/4042</v>
      </c>
      <c r="L49" s="21" t="str">
        <f>VLOOKUP(A49,'Trips&amp;Operators'!$C$1:$G$99999,5,FALSE)</f>
        <v>BONDS REYNALDO</v>
      </c>
      <c r="M49" s="6">
        <f t="shared" si="1"/>
        <v>2.8055555558239575E-2</v>
      </c>
      <c r="N49" s="7">
        <f t="shared" si="27"/>
        <v>40.400000003864989</v>
      </c>
      <c r="O49" s="7"/>
      <c r="P49" s="7"/>
      <c r="Q49" s="22"/>
      <c r="R49" s="170"/>
      <c r="S49" s="213">
        <f t="shared" si="28"/>
        <v>1</v>
      </c>
      <c r="T49" s="195" t="str">
        <f t="shared" si="4"/>
        <v>Southbound</v>
      </c>
      <c r="U49" s="19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6" t="str">
        <f t="shared" si="5"/>
        <v>https://d0f6bd738d7f1b3e5a7ca70fe4ff75f0.us-east-1.aws.found.io/app/kibana#/discover/Steve-Slow-Train-Analysis-(2080s-and-2083s)?_g=(refreshInterval:(display:Off,pause:!f,section:0,value:0),time:(from:'2017-06-30T07:35:38-0600',mode:absolute,to:'2017-06-30T10:22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49" s="197" t="str">
        <f>IF(AA49&lt;VLOOKUP(AG49,Variables!$AC$3:$AD$8,2,FALSE),"Y","N")</f>
        <v>N</v>
      </c>
      <c r="X49" s="197">
        <f t="shared" si="29"/>
        <v>1</v>
      </c>
      <c r="Y49" s="197">
        <f t="shared" si="30"/>
        <v>23.3</v>
      </c>
      <c r="Z49" s="197">
        <f t="shared" si="31"/>
        <v>1.52E-2</v>
      </c>
      <c r="AA49" s="197">
        <f t="shared" si="9"/>
        <v>23.284800000000001</v>
      </c>
      <c r="AB49" s="54" t="e">
        <f>VLOOKUP(A49,Enforcements!$C$7:$K$13,8,0)</f>
        <v>#N/A</v>
      </c>
      <c r="AC49" s="51" t="e">
        <f>VLOOKUP(A49,Enforcements!$C$7:$E$13,3,0)</f>
        <v>#N/A</v>
      </c>
      <c r="AD49" s="206">
        <f t="shared" si="10"/>
        <v>134</v>
      </c>
      <c r="AE49" s="77" t="str">
        <f t="shared" si="11"/>
        <v>aws s3 cp s3://rtdc.mdm.uploadarchive.raw/RTDC4041/ "%USERPROFILE%\AppData\Local\Temp\OnboardLogs"\RTDC4041\2017-06-30 --exclude "*" --recursive --include "*20170630*" &amp; "%USERPROFILE%\Documents\GitHub\mrs-test-scripts\Headless Mode &amp; Sideloading\WalkAndUnGZ.bat" "%USERPROFILE%\AppData\Local\Temp\OnboardLogs"\RTDC4041\2017-06-30 &amp; aws s3 cp s3://rtdc.mdm.uploadarchive.raw/RTDC4041/ "%USERPROFILE%\AppData\Local\Temp\OnboardLogs"\RTDC4041\2017-07-01 --exclude "*" --recursive --include "*20170701*" &amp; "%USERPROFILE%\Documents\GitHub\mrs-test-scripts\Headless Mode &amp; Sideloading\WalkAndUnGZ.bat" "%USERPROFILE%\AppData\Local\Temp\OnboardLogs"\RTDC4041\2017-07-01</v>
      </c>
      <c r="AF49" s="74" t="str">
        <f t="shared" si="12"/>
        <v>"C:\Program Files (x86)\AstroGrep\AstroGrep.exe" /e /r /s /spath="%USERPROFILE%\AppData\Local\Temp\OnboardLogs" /stypes="app*4041*20170630*" /stext=" 15:.+((SYSTEM_STATE.+slice.+state.+changed )|(ment ac)|(multiple cpu faults)|(system.+state.+changed )|(\[timeout)|(PRM\|1\|D)|(kpr)|(kdp)|(train st.+moving)|(\|lc)|(penalty))"</v>
      </c>
      <c r="AG49" s="209" t="str">
        <f t="shared" si="13"/>
        <v>EC</v>
      </c>
      <c r="AH49" s="78" t="str">
        <f t="shared" si="18"/>
        <v>"%USERPROFILE%\Documents\GitHub\eaglep3\Utilities\RefineRTDCRunTimes.py" --tripid 134-30 --locoid 4041 --swversion DE.1.0.9.0 --startMP 204:233000 --initTime 2017-06-30T08:35:38 --startdatetime 2017-06-30T08:42:15 --delay 1 --endMP 204:152 --enddatetime 2017-06-30T09:22:39 --enforcementcount 0 &gt;&gt;C:\Users\stu\Documents\GitHub\eaglep3-reporting\EC\2017-06-30-refined-times.txt</v>
      </c>
      <c r="AI49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{"issue":{"subject":"","project_id":79,"tracker_id":40,"status_id":1,"priority_id":2,"assigned_to_id":23,"start_date":"2017-06-30","description":"","custom_fields":[{"id":1,"name":"Subdivision","value":"EC"},{"id":4,"name":"Milepost","value":"0.0152"},{"id":17,"name":"Train ID","value":"134-30"},{"id":16,"name":"Locomotive ID","value":"4041"},{"id":130,"name":"Impact","value":""},{"id":150,"name":"Time of Event (Mountain Time)","value":"09:22:39"},{"id":151,"name":"Denver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20"/>
        <v>start /low /b %USERPROFILE%\Documents\GitHub\eaglep3\Utilities\DownloadLogsFromS3.py --loco 4041 --day 2017-06-30</v>
      </c>
      <c r="AN49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15:22:39"},{"id":29,"name":"Sharepoint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696</v>
      </c>
      <c r="B50" s="7">
        <v>4002</v>
      </c>
      <c r="C50" s="21" t="s">
        <v>200</v>
      </c>
      <c r="D50" s="21" t="s">
        <v>345</v>
      </c>
      <c r="E50" s="13">
        <v>42916.329710648148</v>
      </c>
      <c r="F50" s="13">
        <v>42916.333877314813</v>
      </c>
      <c r="G50" s="7">
        <v>2</v>
      </c>
      <c r="H50" s="21" t="s">
        <v>506</v>
      </c>
      <c r="I50" s="13">
        <v>42916.358981481484</v>
      </c>
      <c r="J50" s="7">
        <v>0</v>
      </c>
      <c r="K50" s="89" t="str">
        <f t="shared" si="0"/>
        <v>4001/4002</v>
      </c>
      <c r="L50" s="21" t="str">
        <f>VLOOKUP(A50,'Trips&amp;Operators'!$C$1:$G$99999,5,FALSE)</f>
        <v>GEBRETEKLE DAGNEW</v>
      </c>
      <c r="M50" s="6">
        <f t="shared" si="1"/>
        <v>2.510416667064419E-2</v>
      </c>
      <c r="N50" s="7">
        <f t="shared" si="27"/>
        <v>36.150000005727634</v>
      </c>
      <c r="O50" s="7"/>
      <c r="P50" s="7"/>
      <c r="Q50" s="22"/>
      <c r="R50" s="170"/>
      <c r="S50" s="213">
        <f t="shared" si="28"/>
        <v>1</v>
      </c>
      <c r="T50" s="195" t="str">
        <f t="shared" si="4"/>
        <v>NorthBound</v>
      </c>
      <c r="U50" s="19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6" t="str">
        <f t="shared" si="5"/>
        <v>https://d0f6bd738d7f1b3e5a7ca70fe4ff75f0.us-east-1.aws.found.io/app/kibana#/discover/Steve-Slow-Train-Analysis-(2080s-and-2083s)?_g=(refreshInterval:(display:Off,pause:!f,section:0,value:0),time:(from:'2017-06-30T06:54:47-0600',mode:absolute,to:'2017-06-30T09:36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50" s="197" t="str">
        <f>IF(AA50&lt;VLOOKUP(AG50,Variables!$AC$3:$AD$8,2,FALSE),"Y","N")</f>
        <v>N</v>
      </c>
      <c r="X50" s="197">
        <f t="shared" si="29"/>
        <v>1</v>
      </c>
      <c r="Y50" s="197">
        <f t="shared" si="30"/>
        <v>4.4600000000000001E-2</v>
      </c>
      <c r="Z50" s="197">
        <f t="shared" si="31"/>
        <v>23.332000000000001</v>
      </c>
      <c r="AA50" s="197">
        <f t="shared" si="9"/>
        <v>23.287400000000002</v>
      </c>
      <c r="AB50" s="54" t="e">
        <f>VLOOKUP(A50,Enforcements!$C$7:$K$13,8,0)</f>
        <v>#N/A</v>
      </c>
      <c r="AC50" s="51" t="e">
        <f>VLOOKUP(A50,Enforcements!$C$7:$E$13,3,0)</f>
        <v>#N/A</v>
      </c>
      <c r="AD50" s="206">
        <f t="shared" si="10"/>
        <v>135</v>
      </c>
      <c r="AE50" s="77" t="str">
        <f t="shared" si="11"/>
        <v>aws s3 cp s3://rtdc.mdm.uploadarchive.raw/RTDC4002/ "%USERPROFILE%\AppData\Local\Temp\OnboardLogs"\RTDC4002\2017-06-30 --exclude "*" --recursive --include "*20170630*" &amp; "%USERPROFILE%\Documents\GitHub\mrs-test-scripts\Headless Mode &amp; Sideloading\WalkAndUnGZ.bat" "%USERPROFILE%\AppData\Local\Temp\OnboardLogs"\RTDC4002\2017-06-30 &amp; aws s3 cp s3://rtdc.mdm.uploadarchive.raw/RTDC4002/ "%USERPROFILE%\AppData\Local\Temp\OnboardLogs"\RTDC4002\2017-07-01 --exclude "*" --recursive --include "*20170701*" &amp; "%USERPROFILE%\Documents\GitHub\mrs-test-scripts\Headless Mode &amp; Sideloading\WalkAndUnGZ.bat" "%USERPROFILE%\AppData\Local\Temp\OnboardLogs"\RTDC4002\2017-07-01</v>
      </c>
      <c r="AF50" s="74" t="str">
        <f t="shared" si="12"/>
        <v>"C:\Program Files (x86)\AstroGrep\AstroGrep.exe" /e /r /s /spath="%USERPROFILE%\AppData\Local\Temp\OnboardLogs" /stypes="app*4002*20170630*" /stext=" 14:.+((SYSTEM_STATE.+slice.+state.+changed )|(ment ac)|(multiple cpu faults)|(system.+state.+changed )|(\[timeout)|(PRM\|1\|D)|(kpr)|(kdp)|(train st.+moving)|(\|lc)|(penalty))"</v>
      </c>
      <c r="AG50" s="209" t="str">
        <f t="shared" si="13"/>
        <v>EC</v>
      </c>
      <c r="AH50" s="78" t="str">
        <f t="shared" si="18"/>
        <v>"%USERPROFILE%\Documents\GitHub\eaglep3\Utilities\RefineRTDCRunTimes.py" --tripid 135-30 --locoid 4002 --swversion DE.1.0.9.0 --startMP 204:446 --initTime 2017-06-30T07:54:47 --startdatetime 2017-06-30T08:00:47 --delay 2 --endMP 204:233320 --enddatetime 2017-06-30T08:36:56 --enforcementcount 0 &gt;&gt;C:\Users\stu\Documents\GitHub\eaglep3-reporting\EC\2017-06-30-refined-times.txt</v>
      </c>
      <c r="AI50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{"issue":{"subject":"","project_id":79,"tracker_id":40,"status_id":1,"priority_id":2,"assigned_to_id":23,"start_date":"2017-06-30","description":"","custom_fields":[{"id":1,"name":"Subdivision","value":"EC"},{"id":4,"name":"Milepost","value":"23.332"},{"id":17,"name":"Train ID","value":"135-30"},{"id":16,"name":"Locomotive ID","value":"4002"},{"id":130,"name":"Impact","value":""},{"id":150,"name":"Time of Event (Mountain Time)","value":"08:36:56"},{"id":151,"name":"Denver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20"/>
        <v>start /low /b %USERPROFILE%\Documents\GitHub\eaglep3\Utilities\DownloadLogsFromS3.py --loco 4002 --day 2017-06-30</v>
      </c>
      <c r="AN50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14:36:56"},{"id":29,"name":"Sharepoint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703</v>
      </c>
      <c r="B51" s="7">
        <v>4001</v>
      </c>
      <c r="C51" s="21" t="s">
        <v>200</v>
      </c>
      <c r="D51" s="21" t="s">
        <v>549</v>
      </c>
      <c r="E51" s="13">
        <v>42916.360381944447</v>
      </c>
      <c r="F51" s="13">
        <v>42916.373182870368</v>
      </c>
      <c r="G51" s="7">
        <v>0</v>
      </c>
      <c r="H51" s="21" t="s">
        <v>346</v>
      </c>
      <c r="I51" s="13">
        <v>42916.399409722224</v>
      </c>
      <c r="J51" s="7">
        <v>0</v>
      </c>
      <c r="K51" s="89" t="str">
        <f t="shared" si="0"/>
        <v>4001/4002</v>
      </c>
      <c r="L51" s="21" t="str">
        <f>VLOOKUP(A51,'Trips&amp;Operators'!$C$1:$G$99999,5,FALSE)</f>
        <v>GEBRETEKLE DAGNEW</v>
      </c>
      <c r="M51" s="6">
        <f t="shared" si="1"/>
        <v>2.6226851856335998E-2</v>
      </c>
      <c r="N51" s="7">
        <f t="shared" si="27"/>
        <v>37.766666673123837</v>
      </c>
      <c r="O51" s="7"/>
      <c r="P51" s="7"/>
      <c r="Q51" s="22"/>
      <c r="R51" s="170"/>
      <c r="S51" s="213">
        <f t="shared" si="28"/>
        <v>1</v>
      </c>
      <c r="T51" s="195" t="str">
        <f t="shared" si="4"/>
        <v>Southbound</v>
      </c>
      <c r="U51" s="19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6" t="str">
        <f t="shared" si="5"/>
        <v>https://d0f6bd738d7f1b3e5a7ca70fe4ff75f0.us-east-1.aws.found.io/app/kibana#/discover/Steve-Slow-Train-Analysis-(2080s-and-2083s)?_g=(refreshInterval:(display:Off,pause:!f,section:0,value:0),time:(from:'2017-06-30T07:38:57-0600',mode:absolute,to:'2017-06-30T10:35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51" s="197" t="str">
        <f>IF(AA51&lt;VLOOKUP(AG51,Variables!$AC$3:$AD$8,2,FALSE),"Y","N")</f>
        <v>N</v>
      </c>
      <c r="X51" s="197">
        <f t="shared" si="29"/>
        <v>1</v>
      </c>
      <c r="Y51" s="197">
        <f t="shared" si="30"/>
        <v>23.298999999999999</v>
      </c>
      <c r="Z51" s="197">
        <f t="shared" si="31"/>
        <v>1.4999999999999999E-2</v>
      </c>
      <c r="AA51" s="197">
        <f t="shared" si="9"/>
        <v>23.283999999999999</v>
      </c>
      <c r="AB51" s="54" t="e">
        <f>VLOOKUP(A51,Enforcements!$C$7:$K$13,8,0)</f>
        <v>#N/A</v>
      </c>
      <c r="AC51" s="51" t="e">
        <f>VLOOKUP(A51,Enforcements!$C$7:$E$13,3,0)</f>
        <v>#N/A</v>
      </c>
      <c r="AD51" s="206">
        <f t="shared" si="10"/>
        <v>136</v>
      </c>
      <c r="AE51" s="77" t="str">
        <f t="shared" si="11"/>
        <v>aws s3 cp s3://rtdc.mdm.uploadarchive.raw/RTDC4001/ "%USERPROFILE%\AppData\Local\Temp\OnboardLogs"\RTDC4001\2017-06-30 --exclude "*" --recursive --include "*20170630*" &amp; "%USERPROFILE%\Documents\GitHub\mrs-test-scripts\Headless Mode &amp; Sideloading\WalkAndUnGZ.bat" "%USERPROFILE%\AppData\Local\Temp\OnboardLogs"\RTDC4001\2017-06-30 &amp; aws s3 cp s3://rtdc.mdm.uploadarchive.raw/RTDC4001/ "%USERPROFILE%\AppData\Local\Temp\OnboardLogs"\RTDC4001\2017-07-01 --exclude "*" --recursive --include "*20170701*" &amp; "%USERPROFILE%\Documents\GitHub\mrs-test-scripts\Headless Mode &amp; Sideloading\WalkAndUnGZ.bat" "%USERPROFILE%\AppData\Local\Temp\OnboardLogs"\RTDC4001\2017-07-01</v>
      </c>
      <c r="AF51" s="74" t="str">
        <f t="shared" si="12"/>
        <v>"C:\Program Files (x86)\AstroGrep\AstroGrep.exe" /e /r /s /spath="%USERPROFILE%\AppData\Local\Temp\OnboardLogs" /stypes="app*4001*20170630*" /stext=" 15:.+((SYSTEM_STATE.+slice.+state.+changed )|(ment ac)|(multiple cpu faults)|(system.+state.+changed )|(\[timeout)|(PRM\|1\|D)|(kpr)|(kdp)|(train st.+moving)|(\|lc)|(penalty))"</v>
      </c>
      <c r="AG51" s="209" t="str">
        <f t="shared" si="13"/>
        <v>EC</v>
      </c>
      <c r="AH51" s="78" t="str">
        <f t="shared" si="18"/>
        <v>"%USERPROFILE%\Documents\GitHub\eaglep3\Utilities\RefineRTDCRunTimes.py" --tripid 136-30 --locoid 4001 --swversion DE.1.0.9.0 --startMP 204:232990 --initTime 2017-06-30T08:38:57 --startdatetime 2017-06-30T08:57:23 --delay 0 --endMP 204:150 --enddatetime 2017-06-30T09:35:09 --enforcementcount 0 &gt;&gt;C:\Users\stu\Documents\GitHub\eaglep3-reporting\EC\2017-06-30-refined-times.txt</v>
      </c>
      <c r="AI51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{"issue":{"subject":"","project_id":79,"tracker_id":40,"status_id":1,"priority_id":2,"assigned_to_id":23,"start_date":"2017-06-30","description":"","custom_fields":[{"id":1,"name":"Subdivision","value":"EC"},{"id":4,"name":"Milepost","value":"0.015"},{"id":17,"name":"Train ID","value":"136-30"},{"id":16,"name":"Locomotive ID","value":"4001"},{"id":130,"name":"Impact","value":""},{"id":150,"name":"Time of Event (Mountain Time)","value":"09:35:09"},{"id":151,"name":"Denver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20"/>
        <v>start /low /b %USERPROFILE%\Documents\GitHub\eaglep3\Utilities\DownloadLogsFromS3.py --loco 4001 --day 2017-06-30</v>
      </c>
      <c r="AN51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15:35:09"},{"id":29,"name":"Sharepoint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593</v>
      </c>
      <c r="B52" s="7">
        <v>4026</v>
      </c>
      <c r="C52" s="21" t="s">
        <v>200</v>
      </c>
      <c r="D52" s="21" t="s">
        <v>353</v>
      </c>
      <c r="E52" s="13">
        <v>42916.33625</v>
      </c>
      <c r="F52" s="13">
        <v>42916.344548611109</v>
      </c>
      <c r="G52" s="7">
        <v>1</v>
      </c>
      <c r="H52" s="21" t="s">
        <v>869</v>
      </c>
      <c r="I52" s="13">
        <v>42916.371168981481</v>
      </c>
      <c r="J52" s="7">
        <v>0</v>
      </c>
      <c r="K52" s="89" t="str">
        <f t="shared" si="0"/>
        <v>4025/4026</v>
      </c>
      <c r="L52" s="21" t="str">
        <f>VLOOKUP(A52,'Trips&amp;Operators'!$C$1:$G$99999,5,FALSE)</f>
        <v>SPECTOR MICHAEL</v>
      </c>
      <c r="M52" s="6">
        <f t="shared" si="1"/>
        <v>2.662037037225673E-2</v>
      </c>
      <c r="N52" s="7">
        <f t="shared" si="27"/>
        <v>38.333333336049691</v>
      </c>
      <c r="O52" s="7"/>
      <c r="P52" s="7"/>
      <c r="Q52" s="22"/>
      <c r="R52" s="170"/>
      <c r="S52" s="213">
        <f t="shared" si="28"/>
        <v>1</v>
      </c>
      <c r="T52" s="195" t="str">
        <f t="shared" si="4"/>
        <v>NorthBound</v>
      </c>
      <c r="U52" s="19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6" t="str">
        <f t="shared" si="5"/>
        <v>https://d0f6bd738d7f1b3e5a7ca70fe4ff75f0.us-east-1.aws.found.io/app/kibana#/discover/Steve-Slow-Train-Analysis-(2080s-and-2083s)?_g=(refreshInterval:(display:Off,pause:!f,section:0,value:0),time:(from:'2017-06-30T07:04:12-0600',mode:absolute,to:'2017-06-30T09:54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52" s="197" t="str">
        <f>IF(AA52&lt;VLOOKUP(AG52,Variables!$AC$3:$AD$8,2,FALSE),"Y","N")</f>
        <v>N</v>
      </c>
      <c r="X52" s="197">
        <f t="shared" si="29"/>
        <v>1</v>
      </c>
      <c r="Y52" s="197">
        <f t="shared" si="30"/>
        <v>4.4699999999999997E-2</v>
      </c>
      <c r="Z52" s="197">
        <f t="shared" si="31"/>
        <v>23.334900000000001</v>
      </c>
      <c r="AA52" s="197">
        <f t="shared" si="9"/>
        <v>23.290200000000002</v>
      </c>
      <c r="AB52" s="54" t="e">
        <f>VLOOKUP(A52,Enforcements!$C$7:$K$13,8,0)</f>
        <v>#N/A</v>
      </c>
      <c r="AC52" s="51" t="e">
        <f>VLOOKUP(A52,Enforcements!$C$7:$E$13,3,0)</f>
        <v>#N/A</v>
      </c>
      <c r="AD52" s="206">
        <f t="shared" si="10"/>
        <v>137</v>
      </c>
      <c r="AE52" s="77" t="str">
        <f t="shared" si="11"/>
        <v>aws s3 cp s3://rtdc.mdm.uploadarchive.raw/RTDC4026/ "%USERPROFILE%\AppData\Local\Temp\OnboardLogs"\RTDC4026\2017-06-30 --exclude "*" --recursive --include "*20170630*" &amp; "%USERPROFILE%\Documents\GitHub\mrs-test-scripts\Headless Mode &amp; Sideloading\WalkAndUnGZ.bat" "%USERPROFILE%\AppData\Local\Temp\OnboardLogs"\RTDC4026\2017-06-30 &amp; aws s3 cp s3://rtdc.mdm.uploadarchive.raw/RTDC4026/ "%USERPROFILE%\AppData\Local\Temp\OnboardLogs"\RTDC4026\2017-07-01 --exclude "*" --recursive --include "*20170701*" &amp; "%USERPROFILE%\Documents\GitHub\mrs-test-scripts\Headless Mode &amp; Sideloading\WalkAndUnGZ.bat" "%USERPROFILE%\AppData\Local\Temp\OnboardLogs"\RTDC4026\2017-07-01</v>
      </c>
      <c r="AF52" s="74" t="str">
        <f t="shared" si="12"/>
        <v>"C:\Program Files (x86)\AstroGrep\AstroGrep.exe" /e /r /s /spath="%USERPROFILE%\AppData\Local\Temp\OnboardLogs" /stypes="app*4026*20170630*" /stext=" 14:.+((SYSTEM_STATE.+slice.+state.+changed )|(ment ac)|(multiple cpu faults)|(system.+state.+changed )|(\[timeout)|(PRM\|1\|D)|(kpr)|(kdp)|(train st.+moving)|(\|lc)|(penalty))"</v>
      </c>
      <c r="AG52" s="209" t="str">
        <f t="shared" si="13"/>
        <v>EC</v>
      </c>
      <c r="AH52" s="78" t="str">
        <f t="shared" si="18"/>
        <v>"%USERPROFILE%\Documents\GitHub\eaglep3\Utilities\RefineRTDCRunTimes.py" --tripid 137-30 --locoid 4026 --swversion DE.1.0.9.0 --startMP 204:447 --initTime 2017-06-30T08:04:12 --startdatetime 2017-06-30T08:16:09 --delay 1 --endMP 204:233349 --enddatetime 2017-06-30T08:54:29 --enforcementcount 0 &gt;&gt;C:\Users\stu\Documents\GitHub\eaglep3-reporting\EC\2017-06-30-refined-times.txt</v>
      </c>
      <c r="AI52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{"issue":{"subject":"","project_id":79,"tracker_id":40,"status_id":1,"priority_id":2,"assigned_to_id":23,"start_date":"2017-06-30","description":"","custom_fields":[{"id":1,"name":"Subdivision","value":"EC"},{"id":4,"name":"Milepost","value":"23.3349"},{"id":17,"name":"Train ID","value":"137-30"},{"id":16,"name":"Locomotive ID","value":"4026"},{"id":130,"name":"Impact","value":""},{"id":150,"name":"Time of Event (Mountain Time)","value":"08:54:29"},{"id":151,"name":"Denver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20"/>
        <v>start /low /b %USERPROFILE%\Documents\GitHub\eaglep3\Utilities\DownloadLogsFromS3.py --loco 4026 --day 2017-06-30</v>
      </c>
      <c r="AN52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14:54:29"},{"id":29,"name":"Sharepoint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707</v>
      </c>
      <c r="B53" s="7">
        <v>4025</v>
      </c>
      <c r="C53" s="21" t="s">
        <v>200</v>
      </c>
      <c r="D53" s="21" t="s">
        <v>870</v>
      </c>
      <c r="E53" s="13">
        <v>42916.379328703704</v>
      </c>
      <c r="F53" s="13">
        <v>42916.383518518516</v>
      </c>
      <c r="G53" s="7">
        <v>1</v>
      </c>
      <c r="H53" s="21" t="s">
        <v>356</v>
      </c>
      <c r="I53" s="13">
        <v>42916.413124999999</v>
      </c>
      <c r="J53" s="7">
        <v>0</v>
      </c>
      <c r="K53" s="89" t="str">
        <f t="shared" si="0"/>
        <v>4025/4026</v>
      </c>
      <c r="L53" s="21" t="str">
        <f>VLOOKUP(A53,'Trips&amp;Operators'!$C$1:$G$99999,5,FALSE)</f>
        <v>SPECTOR MICHAEL</v>
      </c>
      <c r="M53" s="6">
        <f t="shared" si="1"/>
        <v>2.9606481482915115E-2</v>
      </c>
      <c r="N53" s="7">
        <f t="shared" si="27"/>
        <v>42.633333335397765</v>
      </c>
      <c r="O53" s="7"/>
      <c r="P53" s="7"/>
      <c r="Q53" s="22"/>
      <c r="R53" s="170"/>
      <c r="S53" s="213">
        <f t="shared" si="28"/>
        <v>1</v>
      </c>
      <c r="T53" s="195" t="str">
        <f t="shared" si="4"/>
        <v>Southbound</v>
      </c>
      <c r="U53" s="19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6" t="str">
        <f t="shared" si="5"/>
        <v>https://d0f6bd738d7f1b3e5a7ca70fe4ff75f0.us-east-1.aws.found.io/app/kibana#/discover/Steve-Slow-Train-Analysis-(2080s-and-2083s)?_g=(refreshInterval:(display:Off,pause:!f,section:0,value:0),time:(from:'2017-06-30T08:06:14-0600',mode:absolute,to:'2017-06-30T10:54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53" s="197" t="str">
        <f>IF(AA53&lt;VLOOKUP(AG53,Variables!$AC$3:$AD$8,2,FALSE),"Y","N")</f>
        <v>N</v>
      </c>
      <c r="X53" s="197">
        <f t="shared" si="29"/>
        <v>1</v>
      </c>
      <c r="Y53" s="197">
        <f t="shared" si="30"/>
        <v>23.3019</v>
      </c>
      <c r="Z53" s="197">
        <f t="shared" si="31"/>
        <v>1.41E-2</v>
      </c>
      <c r="AA53" s="197">
        <f t="shared" si="9"/>
        <v>23.287800000000001</v>
      </c>
      <c r="AB53" s="54" t="e">
        <f>VLOOKUP(A53,Enforcements!$C$7:$K$13,8,0)</f>
        <v>#N/A</v>
      </c>
      <c r="AC53" s="51" t="e">
        <f>VLOOKUP(A53,Enforcements!$C$7:$E$13,3,0)</f>
        <v>#N/A</v>
      </c>
      <c r="AD53" s="206">
        <f t="shared" si="10"/>
        <v>138</v>
      </c>
      <c r="AE53" s="77" t="str">
        <f t="shared" si="11"/>
        <v>aws s3 cp s3://rtdc.mdm.uploadarchive.raw/RTDC4025/ "%USERPROFILE%\AppData\Local\Temp\OnboardLogs"\RTDC4025\2017-06-30 --exclude "*" --recursive --include "*20170630*" &amp; "%USERPROFILE%\Documents\GitHub\mrs-test-scripts\Headless Mode &amp; Sideloading\WalkAndUnGZ.bat" "%USERPROFILE%\AppData\Local\Temp\OnboardLogs"\RTDC4025\2017-06-30 &amp; aws s3 cp s3://rtdc.mdm.uploadarchive.raw/RTDC4025/ "%USERPROFILE%\AppData\Local\Temp\OnboardLogs"\RTDC4025\2017-07-01 --exclude "*" --recursive --include "*20170701*" &amp; "%USERPROFILE%\Documents\GitHub\mrs-test-scripts\Headless Mode &amp; Sideloading\WalkAndUnGZ.bat" "%USERPROFILE%\AppData\Local\Temp\OnboardLogs"\RTDC4025\2017-07-01</v>
      </c>
      <c r="AF53" s="74" t="str">
        <f t="shared" si="12"/>
        <v>"C:\Program Files (x86)\AstroGrep\AstroGrep.exe" /e /r /s /spath="%USERPROFILE%\AppData\Local\Temp\OnboardLogs" /stypes="app*4025*20170630*" /stext=" 15:.+((SYSTEM_STATE.+slice.+state.+changed )|(ment ac)|(multiple cpu faults)|(system.+state.+changed )|(\[timeout)|(PRM\|1\|D)|(kpr)|(kdp)|(train st.+moving)|(\|lc)|(penalty))"</v>
      </c>
      <c r="AG53" s="209" t="str">
        <f t="shared" si="13"/>
        <v>EC</v>
      </c>
      <c r="AH53" s="78" t="str">
        <f t="shared" si="18"/>
        <v>"%USERPROFILE%\Documents\GitHub\eaglep3\Utilities\RefineRTDCRunTimes.py" --tripid 138-30 --locoid 4025 --swversion DE.1.0.9.0 --startMP 204:233019 --initTime 2017-06-30T09:06:14 --startdatetime 2017-06-30T09:12:16 --delay 1 --endMP 204:141 --enddatetime 2017-06-30T09:54:54 --enforcementcount 0 &gt;&gt;C:\Users\stu\Documents\GitHub\eaglep3-reporting\EC\2017-06-30-refined-times.txt</v>
      </c>
      <c r="AI53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{"issue":{"subject":"","project_id":79,"tracker_id":40,"status_id":1,"priority_id":2,"assigned_to_id":23,"start_date":"2017-06-30","description":"","custom_fields":[{"id":1,"name":"Subdivision","value":"EC"},{"id":4,"name":"Milepost","value":"0.0141"},{"id":17,"name":"Train ID","value":"138-30"},{"id":16,"name":"Locomotive ID","value":"4025"},{"id":130,"name":"Impact","value":""},{"id":150,"name":"Time of Event (Mountain Time)","value":"09:54:54"},{"id":151,"name":"Denver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20"/>
        <v>start /low /b %USERPROFILE%\Documents\GitHub\eaglep3\Utilities\DownloadLogsFromS3.py --loco 4025 --day 2017-06-30</v>
      </c>
      <c r="AN53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15:54:54"},{"id":29,"name":"Sharepoint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700</v>
      </c>
      <c r="B54" s="7">
        <v>4024</v>
      </c>
      <c r="C54" s="21" t="s">
        <v>200</v>
      </c>
      <c r="D54" s="21" t="s">
        <v>353</v>
      </c>
      <c r="E54" s="13">
        <v>42916.352916666663</v>
      </c>
      <c r="F54" s="13">
        <v>42916.354699074072</v>
      </c>
      <c r="G54" s="7">
        <v>1</v>
      </c>
      <c r="H54" s="21" t="s">
        <v>871</v>
      </c>
      <c r="I54" s="13">
        <v>42916.379490740743</v>
      </c>
      <c r="J54" s="7">
        <v>0</v>
      </c>
      <c r="K54" s="89" t="str">
        <f t="shared" si="0"/>
        <v>4023/4024</v>
      </c>
      <c r="L54" s="21" t="str">
        <f>VLOOKUP(A54,'Trips&amp;Operators'!$C$1:$G$99999,5,FALSE)</f>
        <v>STARKS ANGELINA</v>
      </c>
      <c r="M54" s="6">
        <f t="shared" si="1"/>
        <v>2.4791666670353152E-2</v>
      </c>
      <c r="N54" s="7">
        <f t="shared" si="27"/>
        <v>35.700000005308539</v>
      </c>
      <c r="O54" s="7"/>
      <c r="P54" s="7"/>
      <c r="Q54" s="22"/>
      <c r="R54" s="170"/>
      <c r="S54" s="213">
        <f t="shared" si="28"/>
        <v>1</v>
      </c>
      <c r="T54" s="195" t="str">
        <f t="shared" si="4"/>
        <v>NorthBound</v>
      </c>
      <c r="U54" s="19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6" t="str">
        <f t="shared" si="5"/>
        <v>https://d0f6bd738d7f1b3e5a7ca70fe4ff75f0.us-east-1.aws.found.io/app/kibana#/discover/Steve-Slow-Train-Analysis-(2080s-and-2083s)?_g=(refreshInterval:(display:Off,pause:!f,section:0,value:0),time:(from:'2017-06-30T07:28:12-0600',mode:absolute,to:'2017-06-30T10:06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54" s="197" t="str">
        <f>IF(AA54&lt;VLOOKUP(AG54,Variables!$AC$3:$AD$8,2,FALSE),"Y","N")</f>
        <v>N</v>
      </c>
      <c r="X54" s="197">
        <f t="shared" si="29"/>
        <v>1</v>
      </c>
      <c r="Y54" s="197">
        <f t="shared" si="30"/>
        <v>4.4699999999999997E-2</v>
      </c>
      <c r="Z54" s="197">
        <f t="shared" si="31"/>
        <v>23.3263</v>
      </c>
      <c r="AA54" s="197">
        <f t="shared" si="9"/>
        <v>23.281600000000001</v>
      </c>
      <c r="AB54" s="54" t="e">
        <f>VLOOKUP(A54,Enforcements!$C$7:$K$13,8,0)</f>
        <v>#N/A</v>
      </c>
      <c r="AC54" s="51" t="e">
        <f>VLOOKUP(A54,Enforcements!$C$7:$E$13,3,0)</f>
        <v>#N/A</v>
      </c>
      <c r="AD54" s="206">
        <f t="shared" si="10"/>
        <v>139</v>
      </c>
      <c r="AE54" s="77" t="str">
        <f t="shared" si="11"/>
        <v>aws s3 cp s3://rtdc.mdm.uploadarchive.raw/RTDC4024/ "%USERPROFILE%\AppData\Local\Temp\OnboardLogs"\RTDC4024\2017-06-30 --exclude "*" --recursive --include "*20170630*" &amp; "%USERPROFILE%\Documents\GitHub\mrs-test-scripts\Headless Mode &amp; Sideloading\WalkAndUnGZ.bat" "%USERPROFILE%\AppData\Local\Temp\OnboardLogs"\RTDC4024\2017-06-30 &amp; aws s3 cp s3://rtdc.mdm.uploadarchive.raw/RTDC4024/ "%USERPROFILE%\AppData\Local\Temp\OnboardLogs"\RTDC4024\2017-07-01 --exclude "*" --recursive --include "*20170701*" &amp; "%USERPROFILE%\Documents\GitHub\mrs-test-scripts\Headless Mode &amp; Sideloading\WalkAndUnGZ.bat" "%USERPROFILE%\AppData\Local\Temp\OnboardLogs"\RTDC4024\2017-07-01</v>
      </c>
      <c r="AF54" s="74" t="str">
        <f t="shared" si="12"/>
        <v>"C:\Program Files (x86)\AstroGrep\AstroGrep.exe" /e /r /s /spath="%USERPROFILE%\AppData\Local\Temp\OnboardLogs" /stypes="app*4024*20170630*" /stext=" 15:.+((SYSTEM_STATE.+slice.+state.+changed )|(ment ac)|(multiple cpu faults)|(system.+state.+changed )|(\[timeout)|(PRM\|1\|D)|(kpr)|(kdp)|(train st.+moving)|(\|lc)|(penalty))"</v>
      </c>
      <c r="AG54" s="209" t="str">
        <f t="shared" si="13"/>
        <v>EC</v>
      </c>
      <c r="AH54" s="78" t="str">
        <f t="shared" si="18"/>
        <v>"%USERPROFILE%\Documents\GitHub\eaglep3\Utilities\RefineRTDCRunTimes.py" --tripid 139-30 --locoid 4024 --swversion DE.1.0.9.0 --startMP 204:447 --initTime 2017-06-30T08:28:12 --startdatetime 2017-06-30T08:30:46 --delay 1 --endMP 204:233263 --enddatetime 2017-06-30T09:06:28 --enforcementcount 0 &gt;&gt;C:\Users\stu\Documents\GitHub\eaglep3-reporting\EC\2017-06-30-refined-times.txt</v>
      </c>
      <c r="AI54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{"issue":{"subject":"","project_id":79,"tracker_id":40,"status_id":1,"priority_id":2,"assigned_to_id":23,"start_date":"2017-06-30","description":"","custom_fields":[{"id":1,"name":"Subdivision","value":"EC"},{"id":4,"name":"Milepost","value":"23.3263"},{"id":17,"name":"Train ID","value":"139-30"},{"id":16,"name":"Locomotive ID","value":"4024"},{"id":130,"name":"Impact","value":""},{"id":150,"name":"Time of Event (Mountain Time)","value":"09:06:28"},{"id":151,"name":"Denver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20"/>
        <v>start /low /b %USERPROFILE%\Documents\GitHub\eaglep3\Utilities\DownloadLogsFromS3.py --loco 4024 --day 2017-06-30</v>
      </c>
      <c r="AN54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15:06:28"},{"id":29,"name":"Sharepoint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711</v>
      </c>
      <c r="B55" s="7">
        <v>4023</v>
      </c>
      <c r="C55" s="21" t="s">
        <v>200</v>
      </c>
      <c r="D55" s="21" t="s">
        <v>436</v>
      </c>
      <c r="E55" s="13">
        <v>42916.392465277779</v>
      </c>
      <c r="F55" s="13">
        <v>42916.394131944442</v>
      </c>
      <c r="G55" s="7">
        <v>1</v>
      </c>
      <c r="H55" s="21" t="s">
        <v>872</v>
      </c>
      <c r="I55" s="13">
        <v>42916.422534722224</v>
      </c>
      <c r="J55" s="7">
        <v>0</v>
      </c>
      <c r="K55" s="89" t="str">
        <f t="shared" si="0"/>
        <v>4023/4024</v>
      </c>
      <c r="L55" s="21" t="str">
        <f>VLOOKUP(A55,'Trips&amp;Operators'!$C$1:$G$99999,5,FALSE)</f>
        <v>STARKS ANGELINA</v>
      </c>
      <c r="M55" s="6">
        <f t="shared" si="1"/>
        <v>2.8402777781593613E-2</v>
      </c>
      <c r="N55" s="7">
        <f t="shared" si="27"/>
        <v>40.900000005494803</v>
      </c>
      <c r="O55" s="7"/>
      <c r="P55" s="7"/>
      <c r="Q55" s="22"/>
      <c r="R55" s="170"/>
      <c r="S55" s="213">
        <f t="shared" si="28"/>
        <v>1</v>
      </c>
      <c r="T55" s="195" t="str">
        <f t="shared" si="4"/>
        <v>Southbound</v>
      </c>
      <c r="U55" s="19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6" t="str">
        <f t="shared" si="5"/>
        <v>https://d0f6bd738d7f1b3e5a7ca70fe4ff75f0.us-east-1.aws.found.io/app/kibana#/discover/Steve-Slow-Train-Analysis-(2080s-and-2083s)?_g=(refreshInterval:(display:Off,pause:!f,section:0,value:0),time:(from:'2017-06-30T08:25:09-0600',mode:absolute,to:'2017-06-30T11:08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55" s="197" t="str">
        <f>IF(AA55&lt;VLOOKUP(AG55,Variables!$AC$3:$AD$8,2,FALSE),"Y","N")</f>
        <v>N</v>
      </c>
      <c r="X55" s="197">
        <f t="shared" si="29"/>
        <v>1</v>
      </c>
      <c r="Y55" s="197">
        <f t="shared" si="30"/>
        <v>23.297699999999999</v>
      </c>
      <c r="Z55" s="197">
        <f t="shared" si="31"/>
        <v>0.2666</v>
      </c>
      <c r="AA55" s="197">
        <f t="shared" si="9"/>
        <v>23.031099999999999</v>
      </c>
      <c r="AB55" s="54" t="e">
        <f>VLOOKUP(A55,Enforcements!$C$7:$K$13,8,0)</f>
        <v>#N/A</v>
      </c>
      <c r="AC55" s="51" t="e">
        <f>VLOOKUP(A55,Enforcements!$C$7:$E$13,3,0)</f>
        <v>#N/A</v>
      </c>
      <c r="AD55" s="206">
        <f t="shared" si="10"/>
        <v>140</v>
      </c>
      <c r="AE55" s="77" t="str">
        <f t="shared" si="11"/>
        <v>aws s3 cp s3://rtdc.mdm.uploadarchive.raw/RTDC4023/ "%USERPROFILE%\AppData\Local\Temp\OnboardLogs"\RTDC4023\2017-06-30 --exclude "*" --recursive --include "*20170630*" &amp; "%USERPROFILE%\Documents\GitHub\mrs-test-scripts\Headless Mode &amp; Sideloading\WalkAndUnGZ.bat" "%USERPROFILE%\AppData\Local\Temp\OnboardLogs"\RTDC4023\2017-06-30 &amp; aws s3 cp s3://rtdc.mdm.uploadarchive.raw/RTDC4023/ "%USERPROFILE%\AppData\Local\Temp\OnboardLogs"\RTDC4023\2017-07-01 --exclude "*" --recursive --include "*20170701*" &amp; "%USERPROFILE%\Documents\GitHub\mrs-test-scripts\Headless Mode &amp; Sideloading\WalkAndUnGZ.bat" "%USERPROFILE%\AppData\Local\Temp\OnboardLogs"\RTDC4023\2017-07-01</v>
      </c>
      <c r="AF55" s="74" t="str">
        <f t="shared" si="12"/>
        <v>"C:\Program Files (x86)\AstroGrep\AstroGrep.exe" /e /r /s /spath="%USERPROFILE%\AppData\Local\Temp\OnboardLogs" /stypes="app*4023*20170630*" /stext=" 16:.+((SYSTEM_STATE.+slice.+state.+changed )|(ment ac)|(multiple cpu faults)|(system.+state.+changed )|(\[timeout)|(PRM\|1\|D)|(kpr)|(kdp)|(train st.+moving)|(\|lc)|(penalty))"</v>
      </c>
      <c r="AG55" s="209" t="str">
        <f t="shared" si="13"/>
        <v>EC</v>
      </c>
      <c r="AH55" s="78" t="str">
        <f t="shared" si="18"/>
        <v>"%USERPROFILE%\Documents\GitHub\eaglep3\Utilities\RefineRTDCRunTimes.py" --tripid 140-30 --locoid 4023 --swversion DE.1.0.9.0 --startMP 204:232977 --initTime 2017-06-30T09:25:09 --startdatetime 2017-06-30T09:27:33 --delay 1 --endMP 204:2666 --enddatetime 2017-06-30T10:08:27 --enforcementcount 0 &gt;&gt;C:\Users\stu\Documents\GitHub\eaglep3-reporting\EC\2017-06-30-refined-times.txt</v>
      </c>
      <c r="AI55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{"issue":{"subject":"","project_id":79,"tracker_id":40,"status_id":1,"priority_id":2,"assigned_to_id":23,"start_date":"2017-06-30","description":"","custom_fields":[{"id":1,"name":"Subdivision","value":"EC"},{"id":4,"name":"Milepost","value":"0.2666"},{"id":17,"name":"Train ID","value":"140-30"},{"id":16,"name":"Locomotive ID","value":"4023"},{"id":130,"name":"Impact","value":""},{"id":150,"name":"Time of Event (Mountain Time)","value":"10:08:27"},{"id":151,"name":"Denver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20"/>
        <v>start /low /b %USERPROFILE%\Documents\GitHub\eaglep3\Utilities\DownloadLogsFromS3.py --loco 4023 --day 2017-06-30</v>
      </c>
      <c r="AN55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16:08:27"},{"id":29,"name":"Sharepoint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704</v>
      </c>
      <c r="B56" s="7">
        <v>4044</v>
      </c>
      <c r="C56" s="21" t="s">
        <v>200</v>
      </c>
      <c r="D56" s="21" t="s">
        <v>341</v>
      </c>
      <c r="E56" s="13">
        <v>42916.361180555556</v>
      </c>
      <c r="F56" s="13">
        <v>42916.36513888889</v>
      </c>
      <c r="G56" s="7">
        <v>1</v>
      </c>
      <c r="H56" s="21" t="s">
        <v>442</v>
      </c>
      <c r="I56" s="13">
        <v>42916.390879629631</v>
      </c>
      <c r="J56" s="7">
        <v>0</v>
      </c>
      <c r="K56" s="89" t="str">
        <f t="shared" si="0"/>
        <v>4043/4044</v>
      </c>
      <c r="L56" s="21" t="str">
        <f>VLOOKUP(A56,'Trips&amp;Operators'!$C$1:$G$99999,5,FALSE)</f>
        <v>DAVIDSON DAVID</v>
      </c>
      <c r="M56" s="6">
        <f t="shared" si="1"/>
        <v>2.5740740740729962E-2</v>
      </c>
      <c r="N56" s="7">
        <f t="shared" si="27"/>
        <v>37.066666666651145</v>
      </c>
      <c r="O56" s="7"/>
      <c r="P56" s="7"/>
      <c r="Q56" s="22"/>
      <c r="R56" s="170"/>
      <c r="S56" s="213">
        <f t="shared" si="28"/>
        <v>1</v>
      </c>
      <c r="T56" s="195" t="str">
        <f t="shared" si="4"/>
        <v>NorthBound</v>
      </c>
      <c r="U56" s="19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6" t="str">
        <f t="shared" si="5"/>
        <v>https://d0f6bd738d7f1b3e5a7ca70fe4ff75f0.us-east-1.aws.found.io/app/kibana#/discover/Steve-Slow-Train-Analysis-(2080s-and-2083s)?_g=(refreshInterval:(display:Off,pause:!f,section:0,value:0),time:(from:'2017-06-30T07:40:06-0600',mode:absolute,to:'2017-06-30T10:22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56" s="197" t="str">
        <f>IF(AA56&lt;VLOOKUP(AG56,Variables!$AC$3:$AD$8,2,FALSE),"Y","N")</f>
        <v>N</v>
      </c>
      <c r="X56" s="197">
        <f t="shared" si="29"/>
        <v>1</v>
      </c>
      <c r="Y56" s="197">
        <f t="shared" si="30"/>
        <v>4.4900000000000002E-2</v>
      </c>
      <c r="Z56" s="197">
        <f t="shared" si="31"/>
        <v>23.3308</v>
      </c>
      <c r="AA56" s="197">
        <f t="shared" si="9"/>
        <v>23.285900000000002</v>
      </c>
      <c r="AB56" s="54" t="e">
        <f>VLOOKUP(A56,Enforcements!$C$7:$K$13,8,0)</f>
        <v>#N/A</v>
      </c>
      <c r="AC56" s="51" t="e">
        <f>VLOOKUP(A56,Enforcements!$C$7:$E$13,3,0)</f>
        <v>#N/A</v>
      </c>
      <c r="AD56" s="206">
        <f t="shared" si="10"/>
        <v>141</v>
      </c>
      <c r="AE56" s="77" t="str">
        <f t="shared" si="11"/>
        <v>aws s3 cp s3://rtdc.mdm.uploadarchive.raw/RTDC4044/ "%USERPROFILE%\AppData\Local\Temp\OnboardLogs"\RTDC4044\2017-06-30 --exclude "*" --recursive --include "*20170630*" &amp; "%USERPROFILE%\Documents\GitHub\mrs-test-scripts\Headless Mode &amp; Sideloading\WalkAndUnGZ.bat" "%USERPROFILE%\AppData\Local\Temp\OnboardLogs"\RTDC4044\2017-06-30 &amp; aws s3 cp s3://rtdc.mdm.uploadarchive.raw/RTDC4044/ "%USERPROFILE%\AppData\Local\Temp\OnboardLogs"\RTDC4044\2017-07-01 --exclude "*" --recursive --include "*20170701*" &amp; "%USERPROFILE%\Documents\GitHub\mrs-test-scripts\Headless Mode &amp; Sideloading\WalkAndUnGZ.bat" "%USERPROFILE%\AppData\Local\Temp\OnboardLogs"\RTDC4044\2017-07-01</v>
      </c>
      <c r="AF56" s="74" t="str">
        <f t="shared" si="12"/>
        <v>"C:\Program Files (x86)\AstroGrep\AstroGrep.exe" /e /r /s /spath="%USERPROFILE%\AppData\Local\Temp\OnboardLogs" /stypes="app*4044*20170630*" /stext=" 15:.+((SYSTEM_STATE.+slice.+state.+changed )|(ment ac)|(multiple cpu faults)|(system.+state.+changed )|(\[timeout)|(PRM\|1\|D)|(kpr)|(kdp)|(train st.+moving)|(\|lc)|(penalty))"</v>
      </c>
      <c r="AG56" s="209" t="str">
        <f t="shared" si="13"/>
        <v>EC</v>
      </c>
      <c r="AH56" s="78" t="str">
        <f t="shared" si="18"/>
        <v>"%USERPROFILE%\Documents\GitHub\eaglep3\Utilities\RefineRTDCRunTimes.py" --tripid 141-30 --locoid 4044 --swversion DE.1.0.9.0 --startMP 204:449 --initTime 2017-06-30T08:40:06 --startdatetime 2017-06-30T08:45:48 --delay 1 --endMP 204:233308 --enddatetime 2017-06-30T09:22:52 --enforcementcount 0 &gt;&gt;C:\Users\stu\Documents\GitHub\eaglep3-reporting\EC\2017-06-30-refined-times.txt</v>
      </c>
      <c r="AI56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{"issue":{"subject":"","project_id":79,"tracker_id":40,"status_id":1,"priority_id":2,"assigned_to_id":23,"start_date":"2017-06-30","description":"","custom_fields":[{"id":1,"name":"Subdivision","value":"EC"},{"id":4,"name":"Milepost","value":"23.3308"},{"id":17,"name":"Train ID","value":"141-30"},{"id":16,"name":"Locomotive ID","value":"4044"},{"id":130,"name":"Impact","value":""},{"id":150,"name":"Time of Event (Mountain Time)","value":"09:22:52"},{"id":151,"name":"Denver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20"/>
        <v>start /low /b %USERPROFILE%\Documents\GitHub\eaglep3\Utilities\DownloadLogsFromS3.py --loco 4044 --day 2017-06-30</v>
      </c>
      <c r="AN56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15:22:52"},{"id":29,"name":"Sharepoint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713</v>
      </c>
      <c r="B57" s="7">
        <v>4043</v>
      </c>
      <c r="C57" s="21" t="s">
        <v>200</v>
      </c>
      <c r="D57" s="21" t="s">
        <v>873</v>
      </c>
      <c r="E57" s="13">
        <v>42916.399004629631</v>
      </c>
      <c r="F57" s="13">
        <v>42916.404421296298</v>
      </c>
      <c r="G57" s="7">
        <v>1</v>
      </c>
      <c r="H57" s="21" t="s">
        <v>554</v>
      </c>
      <c r="I57" s="13">
        <v>42916.431944444441</v>
      </c>
      <c r="J57" s="7">
        <v>0</v>
      </c>
      <c r="K57" s="89" t="str">
        <f t="shared" si="0"/>
        <v>4043/4044</v>
      </c>
      <c r="L57" s="21" t="str">
        <f>VLOOKUP(A57,'Trips&amp;Operators'!$C$1:$G$99999,5,FALSE)</f>
        <v>DAVIDSON DAVID</v>
      </c>
      <c r="M57" s="6">
        <f t="shared" si="1"/>
        <v>2.7523148142790888E-2</v>
      </c>
      <c r="N57" s="7">
        <f t="shared" si="27"/>
        <v>39.633333325618878</v>
      </c>
      <c r="O57" s="7"/>
      <c r="P57" s="7"/>
      <c r="Q57" s="22"/>
      <c r="R57" s="170"/>
      <c r="S57" s="213">
        <f t="shared" si="28"/>
        <v>1</v>
      </c>
      <c r="T57" s="195" t="str">
        <f t="shared" si="4"/>
        <v>Southbound</v>
      </c>
      <c r="U57" s="19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6" t="str">
        <f t="shared" si="5"/>
        <v>https://d0f6bd738d7f1b3e5a7ca70fe4ff75f0.us-east-1.aws.found.io/app/kibana#/discover/Steve-Slow-Train-Analysis-(2080s-and-2083s)?_g=(refreshInterval:(display:Off,pause:!f,section:0,value:0),time:(from:'2017-06-30T08:34:34-0600',mode:absolute,to:'2017-06-30T11:22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57" s="197" t="str">
        <f>IF(AA57&lt;VLOOKUP(AG57,Variables!$AC$3:$AD$8,2,FALSE),"Y","N")</f>
        <v>N</v>
      </c>
      <c r="X57" s="197">
        <f t="shared" si="29"/>
        <v>1</v>
      </c>
      <c r="Y57" s="197">
        <f t="shared" si="30"/>
        <v>23.299099999999999</v>
      </c>
      <c r="Z57" s="197">
        <f t="shared" si="31"/>
        <v>1.6500000000000001E-2</v>
      </c>
      <c r="AA57" s="197">
        <f t="shared" si="9"/>
        <v>23.282599999999999</v>
      </c>
      <c r="AB57" s="54" t="e">
        <f>VLOOKUP(A57,Enforcements!$C$7:$K$13,8,0)</f>
        <v>#N/A</v>
      </c>
      <c r="AC57" s="51" t="e">
        <f>VLOOKUP(A57,Enforcements!$C$7:$E$13,3,0)</f>
        <v>#N/A</v>
      </c>
      <c r="AD57" s="206">
        <f t="shared" si="10"/>
        <v>142</v>
      </c>
      <c r="AE57" s="77" t="str">
        <f t="shared" si="11"/>
        <v>aws s3 cp s3://rtdc.mdm.uploadarchive.raw/RTDC4043/ "%USERPROFILE%\AppData\Local\Temp\OnboardLogs"\RTDC4043\2017-06-30 --exclude "*" --recursive --include "*20170630*" &amp; "%USERPROFILE%\Documents\GitHub\mrs-test-scripts\Headless Mode &amp; Sideloading\WalkAndUnGZ.bat" "%USERPROFILE%\AppData\Local\Temp\OnboardLogs"\RTDC4043\2017-06-30 &amp; aws s3 cp s3://rtdc.mdm.uploadarchive.raw/RTDC4043/ "%USERPROFILE%\AppData\Local\Temp\OnboardLogs"\RTDC4043\2017-07-01 --exclude "*" --recursive --include "*20170701*" &amp; "%USERPROFILE%\Documents\GitHub\mrs-test-scripts\Headless Mode &amp; Sideloading\WalkAndUnGZ.bat" "%USERPROFILE%\AppData\Local\Temp\OnboardLogs"\RTDC4043\2017-07-01</v>
      </c>
      <c r="AF57" s="74" t="str">
        <f t="shared" si="12"/>
        <v>"C:\Program Files (x86)\AstroGrep\AstroGrep.exe" /e /r /s /spath="%USERPROFILE%\AppData\Local\Temp\OnboardLogs" /stypes="app*4043*20170630*" /stext=" 16:.+((SYSTEM_STATE.+slice.+state.+changed )|(ment ac)|(multiple cpu faults)|(system.+state.+changed )|(\[timeout)|(PRM\|1\|D)|(kpr)|(kdp)|(train st.+moving)|(\|lc)|(penalty))"</v>
      </c>
      <c r="AG57" s="209" t="str">
        <f t="shared" si="13"/>
        <v>EC</v>
      </c>
      <c r="AH57" s="78" t="str">
        <f t="shared" si="18"/>
        <v>"%USERPROFILE%\Documents\GitHub\eaglep3\Utilities\RefineRTDCRunTimes.py" --tripid 142-30 --locoid 4043 --swversion DE.1.0.9.0 --startMP 204:232991 --initTime 2017-06-30T09:34:34 --startdatetime 2017-06-30T09:42:22 --delay 1 --endMP 204:165 --enddatetime 2017-06-30T10:22:00 --enforcementcount 0 &gt;&gt;C:\Users\stu\Documents\GitHub\eaglep3-reporting\EC\2017-06-30-refined-times.txt</v>
      </c>
      <c r="AI57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{"issue":{"subject":"","project_id":79,"tracker_id":40,"status_id":1,"priority_id":2,"assigned_to_id":23,"start_date":"2017-06-30","description":"","custom_fields":[{"id":1,"name":"Subdivision","value":"EC"},{"id":4,"name":"Milepost","value":"0.0165"},{"id":17,"name":"Train ID","value":"142-30"},{"id":16,"name":"Locomotive ID","value":"4043"},{"id":130,"name":"Impact","value":""},{"id":150,"name":"Time of Event (Mountain Time)","value":"10:22:00"},{"id":151,"name":"Denver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20"/>
        <v>start /low /b %USERPROFILE%\Documents\GitHub\eaglep3\Utilities\DownloadLogsFromS3.py --loco 4043 --day 2017-06-30</v>
      </c>
      <c r="AN57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16:22:00"},{"id":29,"name":"Sharepoint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705</v>
      </c>
      <c r="B58" s="7">
        <v>4032</v>
      </c>
      <c r="C58" s="21" t="s">
        <v>200</v>
      </c>
      <c r="D58" s="21" t="s">
        <v>874</v>
      </c>
      <c r="E58" s="13">
        <v>42916.371793981481</v>
      </c>
      <c r="F58" s="13">
        <v>42916.375243055554</v>
      </c>
      <c r="G58" s="7">
        <v>1</v>
      </c>
      <c r="H58" s="21" t="s">
        <v>498</v>
      </c>
      <c r="I58" s="13">
        <v>42916.400694444441</v>
      </c>
      <c r="J58" s="7">
        <v>0</v>
      </c>
      <c r="K58" s="89" t="str">
        <f t="shared" si="0"/>
        <v>4031/4032</v>
      </c>
      <c r="L58" s="21" t="str">
        <f>VLOOKUP(A58,'Trips&amp;Operators'!$C$1:$G$99999,5,FALSE)</f>
        <v>CUSHING HARRY</v>
      </c>
      <c r="M58" s="6">
        <f t="shared" si="1"/>
        <v>2.545138888672227E-2</v>
      </c>
      <c r="N58" s="7">
        <f t="shared" si="27"/>
        <v>36.649999996880069</v>
      </c>
      <c r="O58" s="7"/>
      <c r="P58" s="7"/>
      <c r="Q58" s="22"/>
      <c r="R58" s="170"/>
      <c r="S58" s="213">
        <f t="shared" si="28"/>
        <v>1</v>
      </c>
      <c r="T58" s="195" t="str">
        <f t="shared" si="4"/>
        <v>NorthBound</v>
      </c>
      <c r="U58" s="19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6" t="str">
        <f t="shared" si="5"/>
        <v>https://d0f6bd738d7f1b3e5a7ca70fe4ff75f0.us-east-1.aws.found.io/app/kibana#/discover/Steve-Slow-Train-Analysis-(2080s-and-2083s)?_g=(refreshInterval:(display:Off,pause:!f,section:0,value:0),time:(from:'2017-06-30T07:55:23-0600',mode:absolute,to:'2017-06-30T10:37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58" s="197" t="str">
        <f>IF(AA58&lt;VLOOKUP(AG58,Variables!$AC$3:$AD$8,2,FALSE),"Y","N")</f>
        <v>N</v>
      </c>
      <c r="X58" s="197">
        <f t="shared" si="29"/>
        <v>1</v>
      </c>
      <c r="Y58" s="197">
        <f t="shared" si="30"/>
        <v>4.82E-2</v>
      </c>
      <c r="Z58" s="197">
        <f t="shared" si="31"/>
        <v>23.329699999999999</v>
      </c>
      <c r="AA58" s="197">
        <f t="shared" si="9"/>
        <v>23.281499999999998</v>
      </c>
      <c r="AB58" s="54" t="e">
        <f>VLOOKUP(A58,Enforcements!$C$7:$K$13,8,0)</f>
        <v>#N/A</v>
      </c>
      <c r="AC58" s="51" t="e">
        <f>VLOOKUP(A58,Enforcements!$C$7:$E$13,3,0)</f>
        <v>#N/A</v>
      </c>
      <c r="AD58" s="206">
        <f t="shared" si="10"/>
        <v>143</v>
      </c>
      <c r="AE58" s="77" t="str">
        <f t="shared" si="11"/>
        <v>aws s3 cp s3://rtdc.mdm.uploadarchive.raw/RTDC4032/ "%USERPROFILE%\AppData\Local\Temp\OnboardLogs"\RTDC4032\2017-06-30 --exclude "*" --recursive --include "*20170630*" &amp; "%USERPROFILE%\Documents\GitHub\mrs-test-scripts\Headless Mode &amp; Sideloading\WalkAndUnGZ.bat" "%USERPROFILE%\AppData\Local\Temp\OnboardLogs"\RTDC4032\2017-06-30 &amp; aws s3 cp s3://rtdc.mdm.uploadarchive.raw/RTDC4032/ "%USERPROFILE%\AppData\Local\Temp\OnboardLogs"\RTDC4032\2017-07-01 --exclude "*" --recursive --include "*20170701*" &amp; "%USERPROFILE%\Documents\GitHub\mrs-test-scripts\Headless Mode &amp; Sideloading\WalkAndUnGZ.bat" "%USERPROFILE%\AppData\Local\Temp\OnboardLogs"\RTDC4032\2017-07-01</v>
      </c>
      <c r="AF58" s="74" t="str">
        <f t="shared" si="12"/>
        <v>"C:\Program Files (x86)\AstroGrep\AstroGrep.exe" /e /r /s /spath="%USERPROFILE%\AppData\Local\Temp\OnboardLogs" /stypes="app*4032*20170630*" /stext=" 15:.+((SYSTEM_STATE.+slice.+state.+changed )|(ment ac)|(multiple cpu faults)|(system.+state.+changed )|(\[timeout)|(PRM\|1\|D)|(kpr)|(kdp)|(train st.+moving)|(\|lc)|(penalty))"</v>
      </c>
      <c r="AG58" s="209" t="str">
        <f t="shared" si="13"/>
        <v>EC</v>
      </c>
      <c r="AH58" s="78" t="str">
        <f t="shared" si="18"/>
        <v>"%USERPROFILE%\Documents\GitHub\eaglep3\Utilities\RefineRTDCRunTimes.py" --tripid 143-30 --locoid 4032 --swversion DE.1.0.9.0 --startMP 204:482 --initTime 2017-06-30T08:55:23 --startdatetime 2017-06-30T09:00:21 --delay 1 --endMP 204:233297 --enddatetime 2017-06-30T09:37:00 --enforcementcount 0 &gt;&gt;C:\Users\stu\Documents\GitHub\eaglep3-reporting\EC\2017-06-30-refined-times.txt</v>
      </c>
      <c r="AI58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{"issue":{"subject":"","project_id":79,"tracker_id":40,"status_id":1,"priority_id":2,"assigned_to_id":23,"start_date":"2017-06-30","description":"","custom_fields":[{"id":1,"name":"Subdivision","value":"EC"},{"id":4,"name":"Milepost","value":"23.3297"},{"id":17,"name":"Train ID","value":"143-30"},{"id":16,"name":"Locomotive ID","value":"4032"},{"id":130,"name":"Impact","value":""},{"id":150,"name":"Time of Event (Mountain Time)","value":"09:37:00"},{"id":151,"name":"Denver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20"/>
        <v>start /low /b %USERPROFILE%\Documents\GitHub\eaglep3\Utilities\DownloadLogsFromS3.py --loco 4032 --day 2017-06-30</v>
      </c>
      <c r="AN58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15:37:00"},{"id":29,"name":"Sharepoint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597</v>
      </c>
      <c r="B59" s="7">
        <v>4031</v>
      </c>
      <c r="C59" s="21" t="s">
        <v>200</v>
      </c>
      <c r="D59" s="21" t="s">
        <v>452</v>
      </c>
      <c r="E59" s="13">
        <v>42916.411539351851</v>
      </c>
      <c r="F59" s="13">
        <v>42916.414861111109</v>
      </c>
      <c r="G59" s="7">
        <v>1</v>
      </c>
      <c r="H59" s="21" t="s">
        <v>357</v>
      </c>
      <c r="I59" s="13">
        <v>42916.44332175926</v>
      </c>
      <c r="J59" s="7">
        <v>0</v>
      </c>
      <c r="K59" s="89" t="str">
        <f t="shared" si="0"/>
        <v>4031/4032</v>
      </c>
      <c r="L59" s="21" t="str">
        <f>VLOOKUP(A59,'Trips&amp;Operators'!$C$1:$G$99999,5,FALSE)</f>
        <v>CUSHING HARRY</v>
      </c>
      <c r="M59" s="6">
        <f t="shared" si="1"/>
        <v>2.846064815093996E-2</v>
      </c>
      <c r="N59" s="7">
        <f t="shared" si="27"/>
        <v>40.983333337353542</v>
      </c>
      <c r="O59" s="7"/>
      <c r="P59" s="7"/>
      <c r="Q59" s="22"/>
      <c r="R59" s="170"/>
      <c r="S59" s="213">
        <f t="shared" si="28"/>
        <v>1</v>
      </c>
      <c r="T59" s="195" t="str">
        <f t="shared" si="4"/>
        <v>Southbound</v>
      </c>
      <c r="U59" s="19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6" t="str">
        <f t="shared" si="5"/>
        <v>https://d0f6bd738d7f1b3e5a7ca70fe4ff75f0.us-east-1.aws.found.io/app/kibana#/discover/Steve-Slow-Train-Analysis-(2080s-and-2083s)?_g=(refreshInterval:(display:Off,pause:!f,section:0,value:0),time:(from:'2017-06-30T08:52:37-0600',mode:absolute,to:'2017-06-30T11:38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59" s="197" t="str">
        <f>IF(AA59&lt;VLOOKUP(AG59,Variables!$AC$3:$AD$8,2,FALSE),"Y","N")</f>
        <v>N</v>
      </c>
      <c r="X59" s="197">
        <f t="shared" si="29"/>
        <v>1</v>
      </c>
      <c r="Y59" s="197">
        <f t="shared" si="30"/>
        <v>23.2973</v>
      </c>
      <c r="Z59" s="197">
        <f t="shared" si="31"/>
        <v>1.47E-2</v>
      </c>
      <c r="AA59" s="197">
        <f t="shared" si="9"/>
        <v>23.282599999999999</v>
      </c>
      <c r="AB59" s="54" t="e">
        <f>VLOOKUP(A59,Enforcements!$C$7:$K$13,8,0)</f>
        <v>#N/A</v>
      </c>
      <c r="AC59" s="51" t="e">
        <f>VLOOKUP(A59,Enforcements!$C$7:$E$13,3,0)</f>
        <v>#N/A</v>
      </c>
      <c r="AD59" s="206">
        <f t="shared" si="10"/>
        <v>144</v>
      </c>
      <c r="AE59" s="77" t="str">
        <f t="shared" si="11"/>
        <v>aws s3 cp s3://rtdc.mdm.uploadarchive.raw/RTDC4031/ "%USERPROFILE%\AppData\Local\Temp\OnboardLogs"\RTDC4031\2017-06-30 --exclude "*" --recursive --include "*20170630*" &amp; "%USERPROFILE%\Documents\GitHub\mrs-test-scripts\Headless Mode &amp; Sideloading\WalkAndUnGZ.bat" "%USERPROFILE%\AppData\Local\Temp\OnboardLogs"\RTDC4031\2017-06-30 &amp; aws s3 cp s3://rtdc.mdm.uploadarchive.raw/RTDC4031/ "%USERPROFILE%\AppData\Local\Temp\OnboardLogs"\RTDC4031\2017-07-01 --exclude "*" --recursive --include "*20170701*" &amp; "%USERPROFILE%\Documents\GitHub\mrs-test-scripts\Headless Mode &amp; Sideloading\WalkAndUnGZ.bat" "%USERPROFILE%\AppData\Local\Temp\OnboardLogs"\RTDC4031\2017-07-01</v>
      </c>
      <c r="AF59" s="74" t="str">
        <f t="shared" si="12"/>
        <v>"C:\Program Files (x86)\AstroGrep\AstroGrep.exe" /e /r /s /spath="%USERPROFILE%\AppData\Local\Temp\OnboardLogs" /stypes="app*4031*20170630*" /stext=" 16:.+((SYSTEM_STATE.+slice.+state.+changed )|(ment ac)|(multiple cpu faults)|(system.+state.+changed )|(\[timeout)|(PRM\|1\|D)|(kpr)|(kdp)|(train st.+moving)|(\|lc)|(penalty))"</v>
      </c>
      <c r="AG59" s="209" t="str">
        <f t="shared" si="13"/>
        <v>EC</v>
      </c>
      <c r="AH59" s="78" t="str">
        <f t="shared" si="18"/>
        <v>"%USERPROFILE%\Documents\GitHub\eaglep3\Utilities\RefineRTDCRunTimes.py" --tripid 144-30 --locoid 4031 --swversion DE.1.0.9.0 --startMP 204:232973 --initTime 2017-06-30T09:52:37 --startdatetime 2017-06-30T09:57:24 --delay 1 --endMP 204:147 --enddatetime 2017-06-30T10:38:23 --enforcementcount 0 &gt;&gt;C:\Users\stu\Documents\GitHub\eaglep3-reporting\EC\2017-06-30-refined-times.txt</v>
      </c>
      <c r="AI59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{"issue":{"subject":"","project_id":79,"tracker_id":40,"status_id":1,"priority_id":2,"assigned_to_id":23,"start_date":"2017-06-30","description":"","custom_fields":[{"id":1,"name":"Subdivision","value":"EC"},{"id":4,"name":"Milepost","value":"0.0147"},{"id":17,"name":"Train ID","value":"144-30"},{"id":16,"name":"Locomotive ID","value":"4031"},{"id":130,"name":"Impact","value":""},{"id":150,"name":"Time of Event (Mountain Time)","value":"10:38:23"},{"id":151,"name":"Denver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20"/>
        <v>start /low /b %USERPROFILE%\Documents\GitHub\eaglep3\Utilities\DownloadLogsFromS3.py --loco 4031 --day 2017-06-30</v>
      </c>
      <c r="AN59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16:38:23"},{"id":29,"name":"Sharepoint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708</v>
      </c>
      <c r="B60" s="7">
        <v>4040</v>
      </c>
      <c r="C60" s="21" t="s">
        <v>200</v>
      </c>
      <c r="D60" s="21" t="s">
        <v>341</v>
      </c>
      <c r="E60" s="13">
        <v>42916.383738425924</v>
      </c>
      <c r="F60" s="13">
        <v>42916.385937500003</v>
      </c>
      <c r="G60" s="7">
        <v>1</v>
      </c>
      <c r="H60" s="21" t="s">
        <v>539</v>
      </c>
      <c r="I60" s="13">
        <v>42916.410451388889</v>
      </c>
      <c r="J60" s="7">
        <v>0</v>
      </c>
      <c r="K60" s="89" t="str">
        <f t="shared" si="0"/>
        <v>4039/4040</v>
      </c>
      <c r="L60" s="21" t="str">
        <f>VLOOKUP(A60,'Trips&amp;Operators'!$C$1:$G$99999,5,FALSE)</f>
        <v>BEAM ROSS</v>
      </c>
      <c r="M60" s="6">
        <f t="shared" si="1"/>
        <v>2.4513888885849155E-2</v>
      </c>
      <c r="N60" s="7">
        <f t="shared" si="27"/>
        <v>35.299999995622784</v>
      </c>
      <c r="O60" s="7"/>
      <c r="P60" s="7"/>
      <c r="Q60" s="22"/>
      <c r="R60" s="170"/>
      <c r="S60" s="213">
        <f t="shared" si="28"/>
        <v>1</v>
      </c>
      <c r="T60" s="195" t="str">
        <f t="shared" si="4"/>
        <v>NorthBound</v>
      </c>
      <c r="U60" s="19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6" t="str">
        <f t="shared" si="5"/>
        <v>https://d0f6bd738d7f1b3e5a7ca70fe4ff75f0.us-east-1.aws.found.io/app/kibana#/discover/Steve-Slow-Train-Analysis-(2080s-and-2083s)?_g=(refreshInterval:(display:Off,pause:!f,section:0,value:0),time:(from:'2017-06-30T08:12:35-0600',mode:absolute,to:'2017-06-30T10:51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60" s="197" t="str">
        <f>IF(AA60&lt;VLOOKUP(AG60,Variables!$AC$3:$AD$8,2,FALSE),"Y","N")</f>
        <v>N</v>
      </c>
      <c r="X60" s="197">
        <f t="shared" si="29"/>
        <v>1</v>
      </c>
      <c r="Y60" s="197">
        <f t="shared" si="30"/>
        <v>4.4900000000000002E-2</v>
      </c>
      <c r="Z60" s="197">
        <f t="shared" si="31"/>
        <v>23.329499999999999</v>
      </c>
      <c r="AA60" s="197">
        <f t="shared" si="9"/>
        <v>23.284600000000001</v>
      </c>
      <c r="AB60" s="54" t="e">
        <f>VLOOKUP(A60,Enforcements!$C$7:$K$13,8,0)</f>
        <v>#N/A</v>
      </c>
      <c r="AC60" s="51" t="e">
        <f>VLOOKUP(A60,Enforcements!$C$7:$E$13,3,0)</f>
        <v>#N/A</v>
      </c>
      <c r="AD60" s="206">
        <f t="shared" si="10"/>
        <v>145</v>
      </c>
      <c r="AE60" s="77" t="str">
        <f t="shared" si="11"/>
        <v>aws s3 cp s3://rtdc.mdm.uploadarchive.raw/RTDC4040/ "%USERPROFILE%\AppData\Local\Temp\OnboardLogs"\RTDC4040\2017-06-30 --exclude "*" --recursive --include "*20170630*" &amp; "%USERPROFILE%\Documents\GitHub\mrs-test-scripts\Headless Mode &amp; Sideloading\WalkAndUnGZ.bat" "%USERPROFILE%\AppData\Local\Temp\OnboardLogs"\RTDC4040\2017-06-30 &amp; aws s3 cp s3://rtdc.mdm.uploadarchive.raw/RTDC4040/ "%USERPROFILE%\AppData\Local\Temp\OnboardLogs"\RTDC4040\2017-07-01 --exclude "*" --recursive --include "*20170701*" &amp; "%USERPROFILE%\Documents\GitHub\mrs-test-scripts\Headless Mode &amp; Sideloading\WalkAndUnGZ.bat" "%USERPROFILE%\AppData\Local\Temp\OnboardLogs"\RTDC4040\2017-07-01</v>
      </c>
      <c r="AF60" s="74" t="str">
        <f t="shared" si="12"/>
        <v>"C:\Program Files (x86)\AstroGrep\AstroGrep.exe" /e /r /s /spath="%USERPROFILE%\AppData\Local\Temp\OnboardLogs" /stypes="app*4040*20170630*" /stext=" 15:.+((SYSTEM_STATE.+slice.+state.+changed )|(ment ac)|(multiple cpu faults)|(system.+state.+changed )|(\[timeout)|(PRM\|1\|D)|(kpr)|(kdp)|(train st.+moving)|(\|lc)|(penalty))"</v>
      </c>
      <c r="AG60" s="209" t="str">
        <f t="shared" si="13"/>
        <v>EC</v>
      </c>
      <c r="AH60" s="78" t="str">
        <f t="shared" si="18"/>
        <v>"%USERPROFILE%\Documents\GitHub\eaglep3\Utilities\RefineRTDCRunTimes.py" --tripid 145-30 --locoid 4040 --swversion DE.1.0.9.0 --startMP 204:449 --initTime 2017-06-30T09:12:35 --startdatetime 2017-06-30T09:15:45 --delay 1 --endMP 204:233295 --enddatetime 2017-06-30T09:51:03 --enforcementcount 0 &gt;&gt;C:\Users\stu\Documents\GitHub\eaglep3-reporting\EC\2017-06-30-refined-times.txt</v>
      </c>
      <c r="AI60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{"issue":{"subject":"","project_id":79,"tracker_id":40,"status_id":1,"priority_id":2,"assigned_to_id":23,"start_date":"2017-06-30","description":"","custom_fields":[{"id":1,"name":"Subdivision","value":"EC"},{"id":4,"name":"Milepost","value":"23.3295"},{"id":17,"name":"Train ID","value":"145-30"},{"id":16,"name":"Locomotive ID","value":"4040"},{"id":130,"name":"Impact","value":""},{"id":150,"name":"Time of Event (Mountain Time)","value":"09:51:03"},{"id":151,"name":"Denver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20"/>
        <v>start /low /b %USERPROFILE%\Documents\GitHub\eaglep3\Utilities\DownloadLogsFromS3.py --loco 4040 --day 2017-06-30</v>
      </c>
      <c r="AN60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15:51:03"},{"id":29,"name":"Sharepoint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719</v>
      </c>
      <c r="B61" s="7">
        <v>4039</v>
      </c>
      <c r="C61" s="21" t="s">
        <v>200</v>
      </c>
      <c r="D61" s="21" t="s">
        <v>875</v>
      </c>
      <c r="E61" s="13">
        <v>42916.421296296299</v>
      </c>
      <c r="F61" s="13">
        <v>42916.425578703704</v>
      </c>
      <c r="G61" s="7">
        <v>1</v>
      </c>
      <c r="H61" s="21" t="s">
        <v>390</v>
      </c>
      <c r="I61" s="13">
        <v>42916.451215277775</v>
      </c>
      <c r="J61" s="7">
        <v>0</v>
      </c>
      <c r="K61" s="89" t="str">
        <f t="shared" si="0"/>
        <v>4039/4040</v>
      </c>
      <c r="L61" s="21" t="str">
        <f>VLOOKUP(A61,'Trips&amp;Operators'!$C$1:$G$99999,5,FALSE)</f>
        <v>BEAM ROSS</v>
      </c>
      <c r="M61" s="6">
        <f t="shared" si="1"/>
        <v>2.5636574071540963E-2</v>
      </c>
      <c r="N61" s="7">
        <f t="shared" si="27"/>
        <v>36.916666663018987</v>
      </c>
      <c r="O61" s="7"/>
      <c r="P61" s="7"/>
      <c r="Q61" s="22"/>
      <c r="R61" s="170"/>
      <c r="S61" s="213">
        <f t="shared" si="28"/>
        <v>1</v>
      </c>
      <c r="T61" s="195" t="str">
        <f t="shared" si="4"/>
        <v>Southbound</v>
      </c>
      <c r="U61" s="19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6" t="str">
        <f t="shared" si="5"/>
        <v>https://d0f6bd738d7f1b3e5a7ca70fe4ff75f0.us-east-1.aws.found.io/app/kibana#/discover/Steve-Slow-Train-Analysis-(2080s-and-2083s)?_g=(refreshInterval:(display:Off,pause:!f,section:0,value:0),time:(from:'2017-06-30T09:06:40-0600',mode:absolute,to:'2017-06-30T11:49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61" s="197" t="str">
        <f>IF(AA61&lt;VLOOKUP(AG61,Variables!$AC$3:$AD$8,2,FALSE),"Y","N")</f>
        <v>N</v>
      </c>
      <c r="X61" s="197">
        <f t="shared" si="29"/>
        <v>1</v>
      </c>
      <c r="Y61" s="197">
        <f t="shared" si="30"/>
        <v>23.298500000000001</v>
      </c>
      <c r="Z61" s="197">
        <f t="shared" si="31"/>
        <v>1.54E-2</v>
      </c>
      <c r="AA61" s="197">
        <f t="shared" si="9"/>
        <v>23.283100000000001</v>
      </c>
      <c r="AB61" s="54" t="e">
        <f>VLOOKUP(A61,Enforcements!$C$7:$K$13,8,0)</f>
        <v>#N/A</v>
      </c>
      <c r="AC61" s="51" t="e">
        <f>VLOOKUP(A61,Enforcements!$C$7:$E$13,3,0)</f>
        <v>#N/A</v>
      </c>
      <c r="AD61" s="206">
        <f t="shared" si="10"/>
        <v>146</v>
      </c>
      <c r="AE61" s="77" t="str">
        <f t="shared" si="11"/>
        <v>aws s3 cp s3://rtdc.mdm.uploadarchive.raw/RTDC4039/ "%USERPROFILE%\AppData\Local\Temp\OnboardLogs"\RTDC4039\2017-06-30 --exclude "*" --recursive --include "*20170630*" &amp; "%USERPROFILE%\Documents\GitHub\mrs-test-scripts\Headless Mode &amp; Sideloading\WalkAndUnGZ.bat" "%USERPROFILE%\AppData\Local\Temp\OnboardLogs"\RTDC4039\2017-06-30 &amp; aws s3 cp s3://rtdc.mdm.uploadarchive.raw/RTDC4039/ "%USERPROFILE%\AppData\Local\Temp\OnboardLogs"\RTDC4039\2017-07-01 --exclude "*" --recursive --include "*20170701*" &amp; "%USERPROFILE%\Documents\GitHub\mrs-test-scripts\Headless Mode &amp; Sideloading\WalkAndUnGZ.bat" "%USERPROFILE%\AppData\Local\Temp\OnboardLogs"\RTDC4039\2017-07-01</v>
      </c>
      <c r="AF61" s="74" t="str">
        <f t="shared" si="12"/>
        <v>"C:\Program Files (x86)\AstroGrep\AstroGrep.exe" /e /r /s /spath="%USERPROFILE%\AppData\Local\Temp\OnboardLogs" /stypes="app*4039*20170630*" /stext=" 16:.+((SYSTEM_STATE.+slice.+state.+changed )|(ment ac)|(multiple cpu faults)|(system.+state.+changed )|(\[timeout)|(PRM\|1\|D)|(kpr)|(kdp)|(train st.+moving)|(\|lc)|(penalty))"</v>
      </c>
      <c r="AG61" s="209" t="str">
        <f t="shared" si="13"/>
        <v>EC</v>
      </c>
      <c r="AH61" s="78" t="str">
        <f t="shared" si="18"/>
        <v>"%USERPROFILE%\Documents\GitHub\eaglep3\Utilities\RefineRTDCRunTimes.py" --tripid 146-30 --locoid 4039 --swversion DE.1.0.9.0 --startMP 204:232985 --initTime 2017-06-30T10:06:40 --startdatetime 2017-06-30T10:12:50 --delay 1 --endMP 204:154 --enddatetime 2017-06-30T10:49:45 --enforcementcount 0 &gt;&gt;C:\Users\stu\Documents\GitHub\eaglep3-reporting\EC\2017-06-30-refined-times.txt</v>
      </c>
      <c r="AI61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{"issue":{"subject":"","project_id":79,"tracker_id":40,"status_id":1,"priority_id":2,"assigned_to_id":23,"start_date":"2017-06-30","description":"","custom_fields":[{"id":1,"name":"Subdivision","value":"EC"},{"id":4,"name":"Milepost","value":"0.0154"},{"id":17,"name":"Train ID","value":"146-30"},{"id":16,"name":"Locomotive ID","value":"4039"},{"id":130,"name":"Impact","value":""},{"id":150,"name":"Time of Event (Mountain Time)","value":"10:49:45"},{"id":151,"name":"Denver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20"/>
        <v>start /low /b %USERPROFILE%\Documents\GitHub\eaglep3\Utilities\DownloadLogsFromS3.py --loco 4039 --day 2017-06-30</v>
      </c>
      <c r="AN61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16:49:45"},{"id":29,"name":"Sharepoint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712</v>
      </c>
      <c r="B62" s="7">
        <v>4042</v>
      </c>
      <c r="C62" s="21" t="s">
        <v>200</v>
      </c>
      <c r="D62" s="21" t="s">
        <v>196</v>
      </c>
      <c r="E62" s="13">
        <v>42916.392534722225</v>
      </c>
      <c r="F62" s="13">
        <v>42916.396701388891</v>
      </c>
      <c r="G62" s="7">
        <v>1</v>
      </c>
      <c r="H62" s="21" t="s">
        <v>876</v>
      </c>
      <c r="I62" s="13">
        <v>42916.421655092592</v>
      </c>
      <c r="J62" s="7">
        <v>0</v>
      </c>
      <c r="K62" s="89" t="str">
        <f t="shared" si="0"/>
        <v>4041/4042</v>
      </c>
      <c r="L62" s="21" t="str">
        <f>VLOOKUP(A62,'Trips&amp;Operators'!$C$1:$G$99999,5,FALSE)</f>
        <v>BONDS REYNALDO</v>
      </c>
      <c r="M62" s="6">
        <f t="shared" si="1"/>
        <v>2.495370370161254E-2</v>
      </c>
      <c r="N62" s="7">
        <f t="shared" si="27"/>
        <v>35.933333330322057</v>
      </c>
      <c r="O62" s="7"/>
      <c r="P62" s="7"/>
      <c r="Q62" s="22"/>
      <c r="R62" s="170"/>
      <c r="S62" s="213">
        <f t="shared" si="28"/>
        <v>1</v>
      </c>
      <c r="T62" s="195" t="str">
        <f t="shared" si="4"/>
        <v>NorthBound</v>
      </c>
      <c r="U62" s="19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6" t="str">
        <f t="shared" si="5"/>
        <v>https://d0f6bd738d7f1b3e5a7ca70fe4ff75f0.us-east-1.aws.found.io/app/kibana#/discover/Steve-Slow-Train-Analysis-(2080s-and-2083s)?_g=(refreshInterval:(display:Off,pause:!f,section:0,value:0),time:(from:'2017-06-30T08:25:15-0600',mode:absolute,to:'2017-06-30T11:07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62" s="197" t="str">
        <f>IF(AA62&lt;VLOOKUP(AG62,Variables!$AC$3:$AD$8,2,FALSE),"Y","N")</f>
        <v>N</v>
      </c>
      <c r="X62" s="197">
        <f t="shared" si="29"/>
        <v>1</v>
      </c>
      <c r="Y62" s="197">
        <f t="shared" si="30"/>
        <v>4.5699999999999998E-2</v>
      </c>
      <c r="Z62" s="197">
        <f t="shared" si="31"/>
        <v>23.333600000000001</v>
      </c>
      <c r="AA62" s="197">
        <f t="shared" si="9"/>
        <v>23.2879</v>
      </c>
      <c r="AB62" s="54" t="e">
        <f>VLOOKUP(A62,Enforcements!$C$7:$K$13,8,0)</f>
        <v>#N/A</v>
      </c>
      <c r="AC62" s="51" t="e">
        <f>VLOOKUP(A62,Enforcements!$C$7:$E$13,3,0)</f>
        <v>#N/A</v>
      </c>
      <c r="AD62" s="206">
        <f t="shared" si="10"/>
        <v>147</v>
      </c>
      <c r="AE62" s="77" t="str">
        <f t="shared" si="11"/>
        <v>aws s3 cp s3://rtdc.mdm.uploadarchive.raw/RTDC4042/ "%USERPROFILE%\AppData\Local\Temp\OnboardLogs"\RTDC4042\2017-06-30 --exclude "*" --recursive --include "*20170630*" &amp; "%USERPROFILE%\Documents\GitHub\mrs-test-scripts\Headless Mode &amp; Sideloading\WalkAndUnGZ.bat" "%USERPROFILE%\AppData\Local\Temp\OnboardLogs"\RTDC4042\2017-06-30 &amp; aws s3 cp s3://rtdc.mdm.uploadarchive.raw/RTDC4042/ "%USERPROFILE%\AppData\Local\Temp\OnboardLogs"\RTDC4042\2017-07-01 --exclude "*" --recursive --include "*20170701*" &amp; "%USERPROFILE%\Documents\GitHub\mrs-test-scripts\Headless Mode &amp; Sideloading\WalkAndUnGZ.bat" "%USERPROFILE%\AppData\Local\Temp\OnboardLogs"\RTDC4042\2017-07-01</v>
      </c>
      <c r="AF62" s="74" t="str">
        <f t="shared" si="12"/>
        <v>"C:\Program Files (x86)\AstroGrep\AstroGrep.exe" /e /r /s /spath="%USERPROFILE%\AppData\Local\Temp\OnboardLogs" /stypes="app*4042*20170630*" /stext=" 16:.+((SYSTEM_STATE.+slice.+state.+changed )|(ment ac)|(multiple cpu faults)|(system.+state.+changed )|(\[timeout)|(PRM\|1\|D)|(kpr)|(kdp)|(train st.+moving)|(\|lc)|(penalty))"</v>
      </c>
      <c r="AG62" s="209" t="str">
        <f t="shared" si="13"/>
        <v>EC</v>
      </c>
      <c r="AH62" s="78" t="str">
        <f t="shared" si="18"/>
        <v>"%USERPROFILE%\Documents\GitHub\eaglep3\Utilities\RefineRTDCRunTimes.py" --tripid 147-30 --locoid 4042 --swversion DE.1.0.9.0 --startMP 204:457 --initTime 2017-06-30T09:25:15 --startdatetime 2017-06-30T09:31:15 --delay 1 --endMP 204:233336 --enddatetime 2017-06-30T10:07:11 --enforcementcount 0 &gt;&gt;C:\Users\stu\Documents\GitHub\eaglep3-reporting\EC\2017-06-30-refined-times.txt</v>
      </c>
      <c r="AI62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{"issue":{"subject":"","project_id":79,"tracker_id":40,"status_id":1,"priority_id":2,"assigned_to_id":23,"start_date":"2017-06-30","description":"","custom_fields":[{"id":1,"name":"Subdivision","value":"EC"},{"id":4,"name":"Milepost","value":"23.3336"},{"id":17,"name":"Train ID","value":"147-30"},{"id":16,"name":"Locomotive ID","value":"4042"},{"id":130,"name":"Impact","value":""},{"id":150,"name":"Time of Event (Mountain Time)","value":"10:07:11"},{"id":151,"name":"Denver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20"/>
        <v>start /low /b %USERPROFILE%\Documents\GitHub\eaglep3\Utilities\DownloadLogsFromS3.py --loco 4042 --day 2017-06-30</v>
      </c>
      <c r="AN62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16:07:11"},{"id":29,"name":"Sharepoint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720</v>
      </c>
      <c r="B63" s="7">
        <v>4041</v>
      </c>
      <c r="C63" s="21" t="s">
        <v>200</v>
      </c>
      <c r="D63" s="21" t="s">
        <v>543</v>
      </c>
      <c r="E63" s="13">
        <v>42916.43172453704</v>
      </c>
      <c r="F63" s="13">
        <v>42916.435752314814</v>
      </c>
      <c r="G63" s="7">
        <v>1</v>
      </c>
      <c r="H63" s="21" t="s">
        <v>354</v>
      </c>
      <c r="I63" s="13">
        <v>42916.462893518517</v>
      </c>
      <c r="J63" s="7">
        <v>0</v>
      </c>
      <c r="K63" s="89" t="str">
        <f t="shared" si="0"/>
        <v>4041/4042</v>
      </c>
      <c r="L63" s="21" t="str">
        <f>VLOOKUP(A63,'Trips&amp;Operators'!$C$1:$G$99999,5,FALSE)</f>
        <v>BONDS REYNALDO</v>
      </c>
      <c r="M63" s="6">
        <f t="shared" si="1"/>
        <v>2.7141203703649808E-2</v>
      </c>
      <c r="N63" s="7">
        <f t="shared" si="27"/>
        <v>39.083333333255723</v>
      </c>
      <c r="O63" s="7"/>
      <c r="P63" s="7"/>
      <c r="Q63" s="22"/>
      <c r="R63" s="170"/>
      <c r="S63" s="213">
        <f t="shared" si="28"/>
        <v>1</v>
      </c>
      <c r="T63" s="195" t="str">
        <f t="shared" si="4"/>
        <v>Southbound</v>
      </c>
      <c r="U63" s="19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6" t="str">
        <f t="shared" si="5"/>
        <v>https://d0f6bd738d7f1b3e5a7ca70fe4ff75f0.us-east-1.aws.found.io/app/kibana#/discover/Steve-Slow-Train-Analysis-(2080s-and-2083s)?_g=(refreshInterval:(display:Off,pause:!f,section:0,value:0),time:(from:'2017-06-30T09:21:41-0600',mode:absolute,to:'2017-06-30T12:06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63" s="197" t="str">
        <f>IF(AA63&lt;VLOOKUP(AG63,Variables!$AC$3:$AD$8,2,FALSE),"Y","N")</f>
        <v>N</v>
      </c>
      <c r="X63" s="197">
        <f t="shared" si="29"/>
        <v>1</v>
      </c>
      <c r="Y63" s="197">
        <f t="shared" si="30"/>
        <v>23.299399999999999</v>
      </c>
      <c r="Z63" s="197">
        <f t="shared" si="31"/>
        <v>1.3899999999999999E-2</v>
      </c>
      <c r="AA63" s="197">
        <f t="shared" si="9"/>
        <v>23.285499999999999</v>
      </c>
      <c r="AB63" s="54" t="e">
        <f>VLOOKUP(A63,Enforcements!$C$7:$K$13,8,0)</f>
        <v>#N/A</v>
      </c>
      <c r="AC63" s="51" t="e">
        <f>VLOOKUP(A63,Enforcements!$C$7:$E$13,3,0)</f>
        <v>#N/A</v>
      </c>
      <c r="AD63" s="206">
        <f t="shared" si="10"/>
        <v>148</v>
      </c>
      <c r="AE63" s="77" t="str">
        <f t="shared" si="11"/>
        <v>aws s3 cp s3://rtdc.mdm.uploadarchive.raw/RTDC4041/ "%USERPROFILE%\AppData\Local\Temp\OnboardLogs"\RTDC4041\2017-06-30 --exclude "*" --recursive --include "*20170630*" &amp; "%USERPROFILE%\Documents\GitHub\mrs-test-scripts\Headless Mode &amp; Sideloading\WalkAndUnGZ.bat" "%USERPROFILE%\AppData\Local\Temp\OnboardLogs"\RTDC4041\2017-06-30 &amp; aws s3 cp s3://rtdc.mdm.uploadarchive.raw/RTDC4041/ "%USERPROFILE%\AppData\Local\Temp\OnboardLogs"\RTDC4041\2017-07-01 --exclude "*" --recursive --include "*20170701*" &amp; "%USERPROFILE%\Documents\GitHub\mrs-test-scripts\Headless Mode &amp; Sideloading\WalkAndUnGZ.bat" "%USERPROFILE%\AppData\Local\Temp\OnboardLogs"\RTDC4041\2017-07-01</v>
      </c>
      <c r="AF63" s="74" t="str">
        <f t="shared" si="12"/>
        <v>"C:\Program Files (x86)\AstroGrep\AstroGrep.exe" /e /r /s /spath="%USERPROFILE%\AppData\Local\Temp\OnboardLogs" /stypes="app*4041*20170630*" /stext=" 17:.+((SYSTEM_STATE.+slice.+state.+changed )|(ment ac)|(multiple cpu faults)|(system.+state.+changed )|(\[timeout)|(PRM\|1\|D)|(kpr)|(kdp)|(train st.+moving)|(\|lc)|(penalty))"</v>
      </c>
      <c r="AG63" s="209" t="str">
        <f t="shared" si="13"/>
        <v>EC</v>
      </c>
      <c r="AH63" s="78" t="str">
        <f t="shared" si="18"/>
        <v>"%USERPROFILE%\Documents\GitHub\eaglep3\Utilities\RefineRTDCRunTimes.py" --tripid 148-30 --locoid 4041 --swversion DE.1.0.9.0 --startMP 204:232994 --initTime 2017-06-30T10:21:41 --startdatetime 2017-06-30T10:27:29 --delay 1 --endMP 204:139 --enddatetime 2017-06-30T11:06:34 --enforcementcount 0 &gt;&gt;C:\Users\stu\Documents\GitHub\eaglep3-reporting\EC\2017-06-30-refined-times.txt</v>
      </c>
      <c r="AI63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{"issue":{"subject":"","project_id":79,"tracker_id":40,"status_id":1,"priority_id":2,"assigned_to_id":23,"start_date":"2017-06-30","description":"","custom_fields":[{"id":1,"name":"Subdivision","value":"EC"},{"id":4,"name":"Milepost","value":"0.0139"},{"id":17,"name":"Train ID","value":"148-30"},{"id":16,"name":"Locomotive ID","value":"4041"},{"id":130,"name":"Impact","value":""},{"id":150,"name":"Time of Event (Mountain Time)","value":"11:06:34"},{"id":151,"name":"Denver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20"/>
        <v>start /low /b %USERPROFILE%\Documents\GitHub\eaglep3\Utilities\DownloadLogsFromS3.py --loco 4041 --day 2017-06-30</v>
      </c>
      <c r="AN63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17:06:34"},{"id":29,"name":"Sharepoint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715</v>
      </c>
      <c r="B64" s="7">
        <v>4002</v>
      </c>
      <c r="C64" s="21" t="s">
        <v>200</v>
      </c>
      <c r="D64" s="21" t="s">
        <v>345</v>
      </c>
      <c r="E64" s="13">
        <v>42916.401273148149</v>
      </c>
      <c r="F64" s="13">
        <v>42916.406793981485</v>
      </c>
      <c r="G64" s="7">
        <v>1</v>
      </c>
      <c r="H64" s="21" t="s">
        <v>444</v>
      </c>
      <c r="I64" s="13">
        <v>42916.431180555555</v>
      </c>
      <c r="J64" s="7">
        <v>0</v>
      </c>
      <c r="K64" s="89" t="str">
        <f t="shared" si="0"/>
        <v>4001/4002</v>
      </c>
      <c r="L64" s="21" t="str">
        <f>VLOOKUP(A64,'Trips&amp;Operators'!$C$1:$G$99999,5,FALSE)</f>
        <v>GEBRETEKLE DAGNEW</v>
      </c>
      <c r="M64" s="6">
        <f t="shared" si="1"/>
        <v>2.438657407037681E-2</v>
      </c>
      <c r="N64" s="7">
        <f t="shared" si="27"/>
        <v>35.116666661342606</v>
      </c>
      <c r="O64" s="7"/>
      <c r="P64" s="7"/>
      <c r="Q64" s="22"/>
      <c r="R64" s="170"/>
      <c r="S64" s="213">
        <f t="shared" si="28"/>
        <v>1</v>
      </c>
      <c r="T64" s="195" t="str">
        <f t="shared" si="4"/>
        <v>NorthBound</v>
      </c>
      <c r="U64" s="19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6" t="str">
        <f t="shared" si="5"/>
        <v>https://d0f6bd738d7f1b3e5a7ca70fe4ff75f0.us-east-1.aws.found.io/app/kibana#/discover/Steve-Slow-Train-Analysis-(2080s-and-2083s)?_g=(refreshInterval:(display:Off,pause:!f,section:0,value:0),time:(from:'2017-06-30T08:37:50-0600',mode:absolute,to:'2017-06-30T11:20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64" s="197" t="str">
        <f>IF(AA64&lt;VLOOKUP(AG64,Variables!$AC$3:$AD$8,2,FALSE),"Y","N")</f>
        <v>N</v>
      </c>
      <c r="X64" s="197">
        <f t="shared" si="29"/>
        <v>1</v>
      </c>
      <c r="Y64" s="197">
        <f t="shared" si="30"/>
        <v>4.4600000000000001E-2</v>
      </c>
      <c r="Z64" s="197">
        <f t="shared" si="31"/>
        <v>23.331199999999999</v>
      </c>
      <c r="AA64" s="197">
        <f t="shared" si="9"/>
        <v>23.2866</v>
      </c>
      <c r="AB64" s="54" t="e">
        <f>VLOOKUP(A64,Enforcements!$C$7:$K$13,8,0)</f>
        <v>#N/A</v>
      </c>
      <c r="AC64" s="51" t="e">
        <f>VLOOKUP(A64,Enforcements!$C$7:$E$13,3,0)</f>
        <v>#N/A</v>
      </c>
      <c r="AD64" s="206">
        <f t="shared" si="10"/>
        <v>149</v>
      </c>
      <c r="AE64" s="77" t="str">
        <f t="shared" si="11"/>
        <v>aws s3 cp s3://rtdc.mdm.uploadarchive.raw/RTDC4002/ "%USERPROFILE%\AppData\Local\Temp\OnboardLogs"\RTDC4002\2017-06-30 --exclude "*" --recursive --include "*20170630*" &amp; "%USERPROFILE%\Documents\GitHub\mrs-test-scripts\Headless Mode &amp; Sideloading\WalkAndUnGZ.bat" "%USERPROFILE%\AppData\Local\Temp\OnboardLogs"\RTDC4002\2017-06-30 &amp; aws s3 cp s3://rtdc.mdm.uploadarchive.raw/RTDC4002/ "%USERPROFILE%\AppData\Local\Temp\OnboardLogs"\RTDC4002\2017-07-01 --exclude "*" --recursive --include "*20170701*" &amp; "%USERPROFILE%\Documents\GitHub\mrs-test-scripts\Headless Mode &amp; Sideloading\WalkAndUnGZ.bat" "%USERPROFILE%\AppData\Local\Temp\OnboardLogs"\RTDC4002\2017-07-01</v>
      </c>
      <c r="AF64" s="74" t="str">
        <f t="shared" si="12"/>
        <v>"C:\Program Files (x86)\AstroGrep\AstroGrep.exe" /e /r /s /spath="%USERPROFILE%\AppData\Local\Temp\OnboardLogs" /stypes="app*4002*20170630*" /stext=" 16:.+((SYSTEM_STATE.+slice.+state.+changed )|(ment ac)|(multiple cpu faults)|(system.+state.+changed )|(\[timeout)|(PRM\|1\|D)|(kpr)|(kdp)|(train st.+moving)|(\|lc)|(penalty))"</v>
      </c>
      <c r="AG64" s="209" t="str">
        <f t="shared" si="13"/>
        <v>EC</v>
      </c>
      <c r="AH64" s="78" t="str">
        <f t="shared" si="18"/>
        <v>"%USERPROFILE%\Documents\GitHub\eaglep3\Utilities\RefineRTDCRunTimes.py" --tripid 149-30 --locoid 4002 --swversion DE.1.0.9.0 --startMP 204:446 --initTime 2017-06-30T09:37:50 --startdatetime 2017-06-30T09:45:47 --delay 1 --endMP 204:233312 --enddatetime 2017-06-30T10:20:54 --enforcementcount 0 &gt;&gt;C:\Users\stu\Documents\GitHub\eaglep3-reporting\EC\2017-06-30-refined-times.txt</v>
      </c>
      <c r="AI64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{"issue":{"subject":"","project_id":79,"tracker_id":40,"status_id":1,"priority_id":2,"assigned_to_id":23,"start_date":"2017-06-30","description":"","custom_fields":[{"id":1,"name":"Subdivision","value":"EC"},{"id":4,"name":"Milepost","value":"23.3312"},{"id":17,"name":"Train ID","value":"149-30"},{"id":16,"name":"Locomotive ID","value":"4002"},{"id":130,"name":"Impact","value":""},{"id":150,"name":"Time of Event (Mountain Time)","value":"10:20:54"},{"id":151,"name":"Denver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20"/>
        <v>start /low /b %USERPROFILE%\Documents\GitHub\eaglep3\Utilities\DownloadLogsFromS3.py --loco 4002 --day 2017-06-30</v>
      </c>
      <c r="AN64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16:20:54"},{"id":29,"name":"Sharepoint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721</v>
      </c>
      <c r="B65" s="7">
        <v>4001</v>
      </c>
      <c r="C65" s="21" t="s">
        <v>200</v>
      </c>
      <c r="D65" s="21" t="s">
        <v>503</v>
      </c>
      <c r="E65" s="13">
        <v>42916.433379629627</v>
      </c>
      <c r="F65" s="13">
        <v>42916.446018518516</v>
      </c>
      <c r="G65" s="7">
        <v>1</v>
      </c>
      <c r="H65" s="21" t="s">
        <v>858</v>
      </c>
      <c r="I65" s="13">
        <v>42916.472210648149</v>
      </c>
      <c r="J65" s="7">
        <v>0</v>
      </c>
      <c r="K65" s="89" t="str">
        <f t="shared" si="0"/>
        <v>4001/4002</v>
      </c>
      <c r="L65" s="21" t="str">
        <f>VLOOKUP(A65,'Trips&amp;Operators'!$C$1:$G$99999,5,FALSE)</f>
        <v>GEBRETEKLE DAGNEW</v>
      </c>
      <c r="M65" s="6">
        <f t="shared" si="1"/>
        <v>2.6192129633272998E-2</v>
      </c>
      <c r="N65" s="7">
        <f t="shared" si="27"/>
        <v>37.716666671913117</v>
      </c>
      <c r="O65" s="7"/>
      <c r="P65" s="7"/>
      <c r="Q65" s="22"/>
      <c r="R65" s="170"/>
      <c r="S65" s="213">
        <f t="shared" si="28"/>
        <v>1</v>
      </c>
      <c r="T65" s="195" t="str">
        <f t="shared" si="4"/>
        <v>Southbound</v>
      </c>
      <c r="U65" s="19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6" t="str">
        <f t="shared" si="5"/>
        <v>https://d0f6bd738d7f1b3e5a7ca70fe4ff75f0.us-east-1.aws.found.io/app/kibana#/discover/Steve-Slow-Train-Analysis-(2080s-and-2083s)?_g=(refreshInterval:(display:Off,pause:!f,section:0,value:0),time:(from:'2017-06-30T09:24:04-0600',mode:absolute,to:'2017-06-30T12:19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65" s="197" t="str">
        <f>IF(AA65&lt;VLOOKUP(AG65,Variables!$AC$3:$AD$8,2,FALSE),"Y","N")</f>
        <v>N</v>
      </c>
      <c r="X65" s="197">
        <f t="shared" si="29"/>
        <v>1</v>
      </c>
      <c r="Y65" s="197">
        <f t="shared" si="30"/>
        <v>23.299800000000001</v>
      </c>
      <c r="Z65" s="197">
        <f t="shared" si="31"/>
        <v>1.32E-2</v>
      </c>
      <c r="AA65" s="197">
        <f t="shared" si="9"/>
        <v>23.2866</v>
      </c>
      <c r="AB65" s="54" t="e">
        <f>VLOOKUP(A65,Enforcements!$C$7:$K$13,8,0)</f>
        <v>#N/A</v>
      </c>
      <c r="AC65" s="51" t="e">
        <f>VLOOKUP(A65,Enforcements!$C$7:$E$13,3,0)</f>
        <v>#N/A</v>
      </c>
      <c r="AD65" s="206">
        <f t="shared" si="10"/>
        <v>150</v>
      </c>
      <c r="AE65" s="77" t="str">
        <f t="shared" si="11"/>
        <v>aws s3 cp s3://rtdc.mdm.uploadarchive.raw/RTDC4001/ "%USERPROFILE%\AppData\Local\Temp\OnboardLogs"\RTDC4001\2017-06-30 --exclude "*" --recursive --include "*20170630*" &amp; "%USERPROFILE%\Documents\GitHub\mrs-test-scripts\Headless Mode &amp; Sideloading\WalkAndUnGZ.bat" "%USERPROFILE%\AppData\Local\Temp\OnboardLogs"\RTDC4001\2017-06-30 &amp; aws s3 cp s3://rtdc.mdm.uploadarchive.raw/RTDC4001/ "%USERPROFILE%\AppData\Local\Temp\OnboardLogs"\RTDC4001\2017-07-01 --exclude "*" --recursive --include "*20170701*" &amp; "%USERPROFILE%\Documents\GitHub\mrs-test-scripts\Headless Mode &amp; Sideloading\WalkAndUnGZ.bat" "%USERPROFILE%\AppData\Local\Temp\OnboardLogs"\RTDC4001\2017-07-01</v>
      </c>
      <c r="AF65" s="74" t="str">
        <f t="shared" si="12"/>
        <v>"C:\Program Files (x86)\AstroGrep\AstroGrep.exe" /e /r /s /spath="%USERPROFILE%\AppData\Local\Temp\OnboardLogs" /stypes="app*4001*20170630*" /stext=" 17:.+((SYSTEM_STATE.+slice.+state.+changed )|(ment ac)|(multiple cpu faults)|(system.+state.+changed )|(\[timeout)|(PRM\|1\|D)|(kpr)|(kdp)|(train st.+moving)|(\|lc)|(penalty))"</v>
      </c>
      <c r="AG65" s="209" t="str">
        <f t="shared" si="13"/>
        <v>EC</v>
      </c>
      <c r="AH65" s="78" t="str">
        <f t="shared" si="18"/>
        <v>"%USERPROFILE%\Documents\GitHub\eaglep3\Utilities\RefineRTDCRunTimes.py" --tripid 150-30 --locoid 4001 --swversion DE.1.0.9.0 --startMP 204:232998 --initTime 2017-06-30T10:24:04 --startdatetime 2017-06-30T10:42:16 --delay 1 --endMP 204:132 --enddatetime 2017-06-30T11:19:59 --enforcementcount 0 &gt;&gt;C:\Users\stu\Documents\GitHub\eaglep3-reporting\EC\2017-06-30-refined-times.txt</v>
      </c>
      <c r="AI65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{"issue":{"subject":"","project_id":79,"tracker_id":40,"status_id":1,"priority_id":2,"assigned_to_id":23,"start_date":"2017-06-30","description":"","custom_fields":[{"id":1,"name":"Subdivision","value":"EC"},{"id":4,"name":"Milepost","value":"0.0132"},{"id":17,"name":"Train ID","value":"150-30"},{"id":16,"name":"Locomotive ID","value":"4001"},{"id":130,"name":"Impact","value":""},{"id":150,"name":"Time of Event (Mountain Time)","value":"11:19:59"},{"id":151,"name":"Denver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20"/>
        <v>start /low /b %USERPROFILE%\Documents\GitHub\eaglep3\Utilities\DownloadLogsFromS3.py --loco 4001 --day 2017-06-30</v>
      </c>
      <c r="AN65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17:19:59"},{"id":29,"name":"Sharepoint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716</v>
      </c>
      <c r="B66" s="7">
        <v>4028</v>
      </c>
      <c r="C66" s="21" t="s">
        <v>200</v>
      </c>
      <c r="D66" s="21" t="s">
        <v>349</v>
      </c>
      <c r="E66" s="13">
        <v>42916.411840277775</v>
      </c>
      <c r="F66" s="13">
        <v>42916.417222222219</v>
      </c>
      <c r="G66" s="7">
        <v>1</v>
      </c>
      <c r="H66" s="21" t="s">
        <v>877</v>
      </c>
      <c r="I66" s="13">
        <v>42916.441157407404</v>
      </c>
      <c r="J66" s="7">
        <v>0</v>
      </c>
      <c r="K66" s="89" t="str">
        <f t="shared" si="0"/>
        <v>4027/4028</v>
      </c>
      <c r="L66" s="21" t="str">
        <f>VLOOKUP(A66,'Trips&amp;Operators'!$C$1:$G$99999,5,FALSE)</f>
        <v>ROCHA YAOTL</v>
      </c>
      <c r="M66" s="6">
        <f t="shared" si="1"/>
        <v>2.3935185185109731E-2</v>
      </c>
      <c r="N66" s="7">
        <f t="shared" si="27"/>
        <v>34.466666666558012</v>
      </c>
      <c r="O66" s="7"/>
      <c r="P66" s="7"/>
      <c r="Q66" s="22"/>
      <c r="R66" s="170"/>
      <c r="S66" s="213">
        <f t="shared" si="28"/>
        <v>1</v>
      </c>
      <c r="T66" s="195" t="str">
        <f t="shared" si="4"/>
        <v>NorthBound</v>
      </c>
      <c r="U66" s="19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6" t="str">
        <f t="shared" si="5"/>
        <v>https://d0f6bd738d7f1b3e5a7ca70fe4ff75f0.us-east-1.aws.found.io/app/kibana#/discover/Steve-Slow-Train-Analysis-(2080s-and-2083s)?_g=(refreshInterval:(display:Off,pause:!f,section:0,value:0),time:(from:'2017-06-30T08:53:03-0600',mode:absolute,to:'2017-06-30T11:35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66" s="197" t="str">
        <f>IF(AA66&lt;VLOOKUP(AG66,Variables!$AC$3:$AD$8,2,FALSE),"Y","N")</f>
        <v>N</v>
      </c>
      <c r="X66" s="197">
        <f t="shared" si="29"/>
        <v>1</v>
      </c>
      <c r="Y66" s="197">
        <f t="shared" si="30"/>
        <v>4.6600000000000003E-2</v>
      </c>
      <c r="Z66" s="197">
        <f t="shared" si="31"/>
        <v>23.331099999999999</v>
      </c>
      <c r="AA66" s="197">
        <f t="shared" si="9"/>
        <v>23.284499999999998</v>
      </c>
      <c r="AB66" s="54" t="e">
        <f>VLOOKUP(A66,Enforcements!$C$7:$K$13,8,0)</f>
        <v>#N/A</v>
      </c>
      <c r="AC66" s="51" t="e">
        <f>VLOOKUP(A66,Enforcements!$C$7:$E$13,3,0)</f>
        <v>#N/A</v>
      </c>
      <c r="AD66" s="206">
        <f t="shared" si="10"/>
        <v>151</v>
      </c>
      <c r="AE66" s="77" t="str">
        <f t="shared" si="11"/>
        <v>aws s3 cp s3://rtdc.mdm.uploadarchive.raw/RTDC4028/ "%USERPROFILE%\AppData\Local\Temp\OnboardLogs"\RTDC4028\2017-06-30 --exclude "*" --recursive --include "*20170630*" &amp; "%USERPROFILE%\Documents\GitHub\mrs-test-scripts\Headless Mode &amp; Sideloading\WalkAndUnGZ.bat" "%USERPROFILE%\AppData\Local\Temp\OnboardLogs"\RTDC4028\2017-06-30 &amp; aws s3 cp s3://rtdc.mdm.uploadarchive.raw/RTDC4028/ "%USERPROFILE%\AppData\Local\Temp\OnboardLogs"\RTDC4028\2017-07-01 --exclude "*" --recursive --include "*20170701*" &amp; "%USERPROFILE%\Documents\GitHub\mrs-test-scripts\Headless Mode &amp; Sideloading\WalkAndUnGZ.bat" "%USERPROFILE%\AppData\Local\Temp\OnboardLogs"\RTDC4028\2017-07-01</v>
      </c>
      <c r="AF66" s="74" t="str">
        <f t="shared" si="12"/>
        <v>"C:\Program Files (x86)\AstroGrep\AstroGrep.exe" /e /r /s /spath="%USERPROFILE%\AppData\Local\Temp\OnboardLogs" /stypes="app*4028*20170630*" /stext=" 16:.+((SYSTEM_STATE.+slice.+state.+changed )|(ment ac)|(multiple cpu faults)|(system.+state.+changed )|(\[timeout)|(PRM\|1\|D)|(kpr)|(kdp)|(train st.+moving)|(\|lc)|(penalty))"</v>
      </c>
      <c r="AG66" s="209" t="str">
        <f t="shared" si="13"/>
        <v>EC</v>
      </c>
      <c r="AH66" s="78" t="str">
        <f t="shared" si="18"/>
        <v>"%USERPROFILE%\Documents\GitHub\eaglep3\Utilities\RefineRTDCRunTimes.py" --tripid 151-30 --locoid 4028 --swversion DE.1.0.9.0 --startMP 204:466 --initTime 2017-06-30T09:53:03 --startdatetime 2017-06-30T10:00:48 --delay 1 --endMP 204:233311 --enddatetime 2017-06-30T10:35:16 --enforcementcount 0 &gt;&gt;C:\Users\stu\Documents\GitHub\eaglep3-reporting\EC\2017-06-30-refined-times.txt</v>
      </c>
      <c r="AI66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{"issue":{"subject":"","project_id":79,"tracker_id":40,"status_id":1,"priority_id":2,"assigned_to_id":23,"start_date":"2017-06-30","description":"","custom_fields":[{"id":1,"name":"Subdivision","value":"EC"},{"id":4,"name":"Milepost","value":"23.3311"},{"id":17,"name":"Train ID","value":"151-30"},{"id":16,"name":"Locomotive ID","value":"4028"},{"id":130,"name":"Impact","value":""},{"id":150,"name":"Time of Event (Mountain Time)","value":"10:35:16"},{"id":151,"name":"Denver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20"/>
        <v>start /low /b %USERPROFILE%\Documents\GitHub\eaglep3\Utilities\DownloadLogsFromS3.py --loco 4028 --day 2017-06-30</v>
      </c>
      <c r="AN66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16:35:16"},{"id":29,"name":"Sharepoint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726</v>
      </c>
      <c r="B67" s="7">
        <v>4027</v>
      </c>
      <c r="C67" s="21" t="s">
        <v>200</v>
      </c>
      <c r="D67" s="21" t="s">
        <v>867</v>
      </c>
      <c r="E67" s="13">
        <v>42916.454421296294</v>
      </c>
      <c r="F67" s="13">
        <v>42916.456446759257</v>
      </c>
      <c r="G67" s="7">
        <v>1</v>
      </c>
      <c r="H67" s="21" t="s">
        <v>878</v>
      </c>
      <c r="I67" s="13">
        <v>42916.482245370367</v>
      </c>
      <c r="J67" s="7">
        <v>0</v>
      </c>
      <c r="K67" s="89" t="str">
        <f t="shared" si="0"/>
        <v>4027/4028</v>
      </c>
      <c r="L67" s="21" t="str">
        <f>VLOOKUP(A67,'Trips&amp;Operators'!$C$1:$G$99999,5,FALSE)</f>
        <v>ROCHA YAOTL</v>
      </c>
      <c r="M67" s="6">
        <f t="shared" si="1"/>
        <v>2.5798611110076308E-2</v>
      </c>
      <c r="N67" s="7">
        <f t="shared" si="27"/>
        <v>37.149999998509884</v>
      </c>
      <c r="O67" s="7"/>
      <c r="P67" s="7"/>
      <c r="Q67" s="22"/>
      <c r="R67" s="170"/>
      <c r="S67" s="213">
        <f t="shared" si="28"/>
        <v>1</v>
      </c>
      <c r="T67" s="195" t="str">
        <f t="shared" si="4"/>
        <v>Southbound</v>
      </c>
      <c r="U67" s="19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6" t="str">
        <f t="shared" si="5"/>
        <v>https://d0f6bd738d7f1b3e5a7ca70fe4ff75f0.us-east-1.aws.found.io/app/kibana#/discover/Steve-Slow-Train-Analysis-(2080s-and-2083s)?_g=(refreshInterval:(display:Off,pause:!f,section:0,value:0),time:(from:'2017-06-30T09:54:22-0600',mode:absolute,to:'2017-06-30T12:34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67" s="197" t="str">
        <f>IF(AA67&lt;VLOOKUP(AG67,Variables!$AC$3:$AD$8,2,FALSE),"Y","N")</f>
        <v>N</v>
      </c>
      <c r="X67" s="197">
        <f t="shared" si="29"/>
        <v>1</v>
      </c>
      <c r="Y67" s="197">
        <f t="shared" si="30"/>
        <v>23.2988</v>
      </c>
      <c r="Z67" s="197">
        <f t="shared" si="31"/>
        <v>0.1147</v>
      </c>
      <c r="AA67" s="197">
        <f t="shared" si="9"/>
        <v>23.184100000000001</v>
      </c>
      <c r="AB67" s="54" t="e">
        <f>VLOOKUP(A67,Enforcements!$C$7:$K$13,8,0)</f>
        <v>#N/A</v>
      </c>
      <c r="AC67" s="51" t="e">
        <f>VLOOKUP(A67,Enforcements!$C$7:$E$13,3,0)</f>
        <v>#N/A</v>
      </c>
      <c r="AD67" s="206">
        <f t="shared" si="10"/>
        <v>152</v>
      </c>
      <c r="AE67" s="77" t="str">
        <f t="shared" si="11"/>
        <v>aws s3 cp s3://rtdc.mdm.uploadarchive.raw/RTDC4027/ "%USERPROFILE%\AppData\Local\Temp\OnboardLogs"\RTDC4027\2017-06-30 --exclude "*" --recursive --include "*20170630*" &amp; "%USERPROFILE%\Documents\GitHub\mrs-test-scripts\Headless Mode &amp; Sideloading\WalkAndUnGZ.bat" "%USERPROFILE%\AppData\Local\Temp\OnboardLogs"\RTDC4027\2017-06-30 &amp; aws s3 cp s3://rtdc.mdm.uploadarchive.raw/RTDC4027/ "%USERPROFILE%\AppData\Local\Temp\OnboardLogs"\RTDC4027\2017-07-01 --exclude "*" --recursive --include "*20170701*" &amp; "%USERPROFILE%\Documents\GitHub\mrs-test-scripts\Headless Mode &amp; Sideloading\WalkAndUnGZ.bat" "%USERPROFILE%\AppData\Local\Temp\OnboardLogs"\RTDC4027\2017-07-01</v>
      </c>
      <c r="AF67" s="74" t="str">
        <f t="shared" si="12"/>
        <v>"C:\Program Files (x86)\AstroGrep\AstroGrep.exe" /e /r /s /spath="%USERPROFILE%\AppData\Local\Temp\OnboardLogs" /stypes="app*4027*20170630*" /stext=" 17:.+((SYSTEM_STATE.+slice.+state.+changed )|(ment ac)|(multiple cpu faults)|(system.+state.+changed )|(\[timeout)|(PRM\|1\|D)|(kpr)|(kdp)|(train st.+moving)|(\|lc)|(penalty))"</v>
      </c>
      <c r="AG67" s="209" t="str">
        <f t="shared" si="13"/>
        <v>EC</v>
      </c>
      <c r="AH67" s="78" t="str">
        <f t="shared" si="18"/>
        <v>"%USERPROFILE%\Documents\GitHub\eaglep3\Utilities\RefineRTDCRunTimes.py" --tripid 152-30 --locoid 4027 --swversion DE.1.0.9.0 --startMP 204:232988 --initTime 2017-06-30T10:54:22 --startdatetime 2017-06-30T10:57:17 --delay 1 --endMP 204:1147 --enddatetime 2017-06-30T11:34:26 --enforcementcount 0 &gt;&gt;C:\Users\stu\Documents\GitHub\eaglep3-reporting\EC\2017-06-30-refined-times.txt</v>
      </c>
      <c r="AI67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{"issue":{"subject":"","project_id":79,"tracker_id":40,"status_id":1,"priority_id":2,"assigned_to_id":23,"start_date":"2017-06-30","description":"","custom_fields":[{"id":1,"name":"Subdivision","value":"EC"},{"id":4,"name":"Milepost","value":"0.1147"},{"id":17,"name":"Train ID","value":"152-30"},{"id":16,"name":"Locomotive ID","value":"4027"},{"id":130,"name":"Impact","value":""},{"id":150,"name":"Time of Event (Mountain Time)","value":"11:34:26"},{"id":151,"name":"Denver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20"/>
        <v>start /low /b %USERPROFILE%\Documents\GitHub\eaglep3\Utilities\DownloadLogsFromS3.py --loco 4027 --day 2017-06-30</v>
      </c>
      <c r="AN67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17:34:26"},{"id":29,"name":"Sharepoint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717</v>
      </c>
      <c r="B68" s="7">
        <v>4026</v>
      </c>
      <c r="C68" s="21" t="s">
        <v>200</v>
      </c>
      <c r="D68" s="21" t="s">
        <v>353</v>
      </c>
      <c r="E68" s="13">
        <v>42916.418680555558</v>
      </c>
      <c r="F68" s="13">
        <v>42916.42759259259</v>
      </c>
      <c r="G68" s="7">
        <v>4</v>
      </c>
      <c r="H68" s="21" t="s">
        <v>442</v>
      </c>
      <c r="I68" s="13">
        <v>42916.452650462961</v>
      </c>
      <c r="J68" s="7">
        <v>0</v>
      </c>
      <c r="K68" s="89" t="str">
        <f t="shared" si="0"/>
        <v>4025/4026</v>
      </c>
      <c r="L68" s="21" t="str">
        <f>VLOOKUP(A68,'Trips&amp;Operators'!$C$1:$G$99999,5,FALSE)</f>
        <v>HAUSER FRANK</v>
      </c>
      <c r="M68" s="6">
        <f t="shared" si="1"/>
        <v>2.5057870370801538E-2</v>
      </c>
      <c r="N68" s="7">
        <f t="shared" si="27"/>
        <v>36.083333333954215</v>
      </c>
      <c r="O68" s="7"/>
      <c r="P68" s="7"/>
      <c r="Q68" s="22"/>
      <c r="R68" s="170"/>
      <c r="S68" s="213">
        <f t="shared" si="28"/>
        <v>1</v>
      </c>
      <c r="T68" s="195" t="str">
        <f t="shared" si="4"/>
        <v>NorthBound</v>
      </c>
      <c r="U68" s="19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6" t="str">
        <f t="shared" si="5"/>
        <v>https://d0f6bd738d7f1b3e5a7ca70fe4ff75f0.us-east-1.aws.found.io/app/kibana#/discover/Steve-Slow-Train-Analysis-(2080s-and-2083s)?_g=(refreshInterval:(display:Off,pause:!f,section:0,value:0),time:(from:'2017-06-30T09:02:54-0600',mode:absolute,to:'2017-06-30T11:51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68" s="197" t="str">
        <f>IF(AA68&lt;VLOOKUP(AG68,Variables!$AC$3:$AD$8,2,FALSE),"Y","N")</f>
        <v>N</v>
      </c>
      <c r="X68" s="197">
        <f t="shared" si="29"/>
        <v>1</v>
      </c>
      <c r="Y68" s="197">
        <f t="shared" si="30"/>
        <v>4.4699999999999997E-2</v>
      </c>
      <c r="Z68" s="197">
        <f t="shared" si="31"/>
        <v>23.3308</v>
      </c>
      <c r="AA68" s="197">
        <f t="shared" si="9"/>
        <v>23.286100000000001</v>
      </c>
      <c r="AB68" s="54" t="e">
        <f>VLOOKUP(A68,Enforcements!$C$7:$K$13,8,0)</f>
        <v>#N/A</v>
      </c>
      <c r="AC68" s="51" t="e">
        <f>VLOOKUP(A68,Enforcements!$C$7:$E$13,3,0)</f>
        <v>#N/A</v>
      </c>
      <c r="AD68" s="206">
        <f t="shared" si="10"/>
        <v>153</v>
      </c>
      <c r="AE68" s="77" t="str">
        <f t="shared" si="11"/>
        <v>aws s3 cp s3://rtdc.mdm.uploadarchive.raw/RTDC4026/ "%USERPROFILE%\AppData\Local\Temp\OnboardLogs"\RTDC4026\2017-06-30 --exclude "*" --recursive --include "*20170630*" &amp; "%USERPROFILE%\Documents\GitHub\mrs-test-scripts\Headless Mode &amp; Sideloading\WalkAndUnGZ.bat" "%USERPROFILE%\AppData\Local\Temp\OnboardLogs"\RTDC4026\2017-06-30 &amp; aws s3 cp s3://rtdc.mdm.uploadarchive.raw/RTDC4026/ "%USERPROFILE%\AppData\Local\Temp\OnboardLogs"\RTDC4026\2017-07-01 --exclude "*" --recursive --include "*20170701*" &amp; "%USERPROFILE%\Documents\GitHub\mrs-test-scripts\Headless Mode &amp; Sideloading\WalkAndUnGZ.bat" "%USERPROFILE%\AppData\Local\Temp\OnboardLogs"\RTDC4026\2017-07-01</v>
      </c>
      <c r="AF68" s="74" t="str">
        <f t="shared" si="12"/>
        <v>"C:\Program Files (x86)\AstroGrep\AstroGrep.exe" /e /r /s /spath="%USERPROFILE%\AppData\Local\Temp\OnboardLogs" /stypes="app*4026*20170630*" /stext=" 16:.+((SYSTEM_STATE.+slice.+state.+changed )|(ment ac)|(multiple cpu faults)|(system.+state.+changed )|(\[timeout)|(PRM\|1\|D)|(kpr)|(kdp)|(train st.+moving)|(\|lc)|(penalty))"</v>
      </c>
      <c r="AG68" s="209" t="str">
        <f t="shared" si="13"/>
        <v>EC</v>
      </c>
      <c r="AH68" s="78" t="str">
        <f t="shared" si="18"/>
        <v>"%USERPROFILE%\Documents\GitHub\eaglep3\Utilities\RefineRTDCRunTimes.py" --tripid 153-30 --locoid 4026 --swversion DE.1.0.9.0 --startMP 204:447 --initTime 2017-06-30T10:02:54 --startdatetime 2017-06-30T10:15:44 --delay 4 --endMP 204:233308 --enddatetime 2017-06-30T10:51:49 --enforcementcount 0 &gt;&gt;C:\Users\stu\Documents\GitHub\eaglep3-reporting\EC\2017-06-30-refined-times.txt</v>
      </c>
      <c r="AI68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{"issue":{"subject":"","project_id":79,"tracker_id":40,"status_id":1,"priority_id":2,"assigned_to_id":23,"start_date":"2017-06-30","description":"","custom_fields":[{"id":1,"name":"Subdivision","value":"EC"},{"id":4,"name":"Milepost","value":"23.3308"},{"id":17,"name":"Train ID","value":"153-30"},{"id":16,"name":"Locomotive ID","value":"4026"},{"id":130,"name":"Impact","value":""},{"id":150,"name":"Time of Event (Mountain Time)","value":"10:51:49"},{"id":151,"name":"Denver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20"/>
        <v>start /low /b %USERPROFILE%\Documents\GitHub\eaglep3\Utilities\DownloadLogsFromS3.py --loco 4026 --day 2017-06-30</v>
      </c>
      <c r="AN68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16:51:49"},{"id":29,"name":"Sharepoint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727</v>
      </c>
      <c r="B69" s="7">
        <v>4025</v>
      </c>
      <c r="C69" s="21" t="s">
        <v>200</v>
      </c>
      <c r="D69" s="21" t="s">
        <v>879</v>
      </c>
      <c r="E69" s="13">
        <v>42916.45516203704</v>
      </c>
      <c r="F69" s="13">
        <v>42916.466967592591</v>
      </c>
      <c r="G69" s="7">
        <v>1</v>
      </c>
      <c r="H69" s="21" t="s">
        <v>417</v>
      </c>
      <c r="I69" s="13">
        <v>42916.493460648147</v>
      </c>
      <c r="J69" s="7">
        <v>0</v>
      </c>
      <c r="K69" s="89" t="str">
        <f t="shared" si="0"/>
        <v>4025/4026</v>
      </c>
      <c r="L69" s="21" t="str">
        <f>VLOOKUP(A69,'Trips&amp;Operators'!$C$1:$G$99999,5,FALSE)</f>
        <v>GUZMAN DANNY</v>
      </c>
      <c r="M69" s="6">
        <f t="shared" si="1"/>
        <v>2.6493055556784384E-2</v>
      </c>
      <c r="N69" s="7">
        <f t="shared" si="27"/>
        <v>38.150000001769513</v>
      </c>
      <c r="O69" s="7"/>
      <c r="P69" s="7"/>
      <c r="Q69" s="22"/>
      <c r="R69" s="170"/>
      <c r="S69" s="213">
        <f t="shared" si="28"/>
        <v>1</v>
      </c>
      <c r="T69" s="195" t="str">
        <f t="shared" si="4"/>
        <v>Southbound</v>
      </c>
      <c r="U69" s="19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6" t="str">
        <f t="shared" si="5"/>
        <v>https://d0f6bd738d7f1b3e5a7ca70fe4ff75f0.us-east-1.aws.found.io/app/kibana#/discover/Steve-Slow-Train-Analysis-(2080s-and-2083s)?_g=(refreshInterval:(display:Off,pause:!f,section:0,value:0),time:(from:'2017-06-30T09:55:26-0600',mode:absolute,to:'2017-06-30T12:50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69" s="197" t="str">
        <f>IF(AA69&lt;VLOOKUP(AG69,Variables!$AC$3:$AD$8,2,FALSE),"Y","N")</f>
        <v>N</v>
      </c>
      <c r="X69" s="197">
        <f t="shared" si="29"/>
        <v>1</v>
      </c>
      <c r="Y69" s="197">
        <f t="shared" si="30"/>
        <v>23.301300000000001</v>
      </c>
      <c r="Z69" s="197">
        <f t="shared" si="31"/>
        <v>1.38E-2</v>
      </c>
      <c r="AA69" s="197">
        <f t="shared" si="9"/>
        <v>23.287500000000001</v>
      </c>
      <c r="AB69" s="54" t="e">
        <f>VLOOKUP(A69,Enforcements!$C$7:$K$13,8,0)</f>
        <v>#N/A</v>
      </c>
      <c r="AC69" s="51" t="e">
        <f>VLOOKUP(A69,Enforcements!$C$7:$E$13,3,0)</f>
        <v>#N/A</v>
      </c>
      <c r="AD69" s="206">
        <f t="shared" si="10"/>
        <v>154</v>
      </c>
      <c r="AE69" s="77" t="str">
        <f t="shared" si="11"/>
        <v>aws s3 cp s3://rtdc.mdm.uploadarchive.raw/RTDC4025/ "%USERPROFILE%\AppData\Local\Temp\OnboardLogs"\RTDC4025\2017-06-30 --exclude "*" --recursive --include "*20170630*" &amp; "%USERPROFILE%\Documents\GitHub\mrs-test-scripts\Headless Mode &amp; Sideloading\WalkAndUnGZ.bat" "%USERPROFILE%\AppData\Local\Temp\OnboardLogs"\RTDC4025\2017-06-30 &amp; aws s3 cp s3://rtdc.mdm.uploadarchive.raw/RTDC4025/ "%USERPROFILE%\AppData\Local\Temp\OnboardLogs"\RTDC4025\2017-07-01 --exclude "*" --recursive --include "*20170701*" &amp; "%USERPROFILE%\Documents\GitHub\mrs-test-scripts\Headless Mode &amp; Sideloading\WalkAndUnGZ.bat" "%USERPROFILE%\AppData\Local\Temp\OnboardLogs"\RTDC4025\2017-07-01</v>
      </c>
      <c r="AF69" s="74" t="str">
        <f t="shared" si="12"/>
        <v>"C:\Program Files (x86)\AstroGrep\AstroGrep.exe" /e /r /s /spath="%USERPROFILE%\AppData\Local\Temp\OnboardLogs" /stypes="app*4025*20170630*" /stext=" 17:.+((SYSTEM_STATE.+slice.+state.+changed )|(ment ac)|(multiple cpu faults)|(system.+state.+changed )|(\[timeout)|(PRM\|1\|D)|(kpr)|(kdp)|(train st.+moving)|(\|lc)|(penalty))"</v>
      </c>
      <c r="AG69" s="209" t="str">
        <f t="shared" si="13"/>
        <v>EC</v>
      </c>
      <c r="AH69" s="78" t="str">
        <f t="shared" si="18"/>
        <v>"%USERPROFILE%\Documents\GitHub\eaglep3\Utilities\RefineRTDCRunTimes.py" --tripid 154-30 --locoid 4025 --swversion DE.1.0.9.0 --startMP 204:233013 --initTime 2017-06-30T10:55:26 --startdatetime 2017-06-30T11:12:26 --delay 1 --endMP 204:138 --enddatetime 2017-06-30T11:50:35 --enforcementcount 0 &gt;&gt;C:\Users\stu\Documents\GitHub\eaglep3-reporting\EC\2017-06-30-refined-times.txt</v>
      </c>
      <c r="AI69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{"issue":{"subject":"","project_id":79,"tracker_id":40,"status_id":1,"priority_id":2,"assigned_to_id":23,"start_date":"2017-06-30","description":"","custom_fields":[{"id":1,"name":"Subdivision","value":"EC"},{"id":4,"name":"Milepost","value":"0.0138"},{"id":17,"name":"Train ID","value":"154-30"},{"id":16,"name":"Locomotive ID","value":"4025"},{"id":130,"name":"Impact","value":""},{"id":150,"name":"Time of Event (Mountain Time)","value":"11:50:35"},{"id":151,"name":"Denver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20"/>
        <v>start /low /b %USERPROFILE%\Documents\GitHub\eaglep3\Utilities\DownloadLogsFromS3.py --loco 4025 --day 2017-06-30</v>
      </c>
      <c r="AN69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17:50:35"},{"id":29,"name":"Sharepoint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722</v>
      </c>
      <c r="B70" s="7">
        <v>4044</v>
      </c>
      <c r="C70" s="21" t="s">
        <v>200</v>
      </c>
      <c r="D70" s="21" t="s">
        <v>349</v>
      </c>
      <c r="E70" s="13">
        <v>42916.433530092596</v>
      </c>
      <c r="F70" s="13">
        <v>42916.438020833331</v>
      </c>
      <c r="G70" s="7">
        <v>1</v>
      </c>
      <c r="H70" s="21" t="s">
        <v>545</v>
      </c>
      <c r="I70" s="13">
        <v>42916.463263888887</v>
      </c>
      <c r="J70" s="7">
        <v>0</v>
      </c>
      <c r="K70" s="89" t="str">
        <f t="shared" si="0"/>
        <v>4043/4044</v>
      </c>
      <c r="L70" s="21" t="str">
        <f>VLOOKUP(A70,'Trips&amp;Operators'!$C$1:$G$99999,5,FALSE)</f>
        <v>DAVIDSON DAVID</v>
      </c>
      <c r="M70" s="6">
        <f t="shared" si="1"/>
        <v>2.5243055555620231E-2</v>
      </c>
      <c r="N70" s="7">
        <f t="shared" si="27"/>
        <v>36.350000000093132</v>
      </c>
      <c r="O70" s="7"/>
      <c r="P70" s="7"/>
      <c r="Q70" s="22"/>
      <c r="R70" s="170"/>
      <c r="S70" s="213">
        <f t="shared" si="28"/>
        <v>1</v>
      </c>
      <c r="T70" s="195" t="str">
        <f t="shared" si="4"/>
        <v>NorthBound</v>
      </c>
      <c r="U70" s="19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6" t="str">
        <f t="shared" si="5"/>
        <v>https://d0f6bd738d7f1b3e5a7ca70fe4ff75f0.us-east-1.aws.found.io/app/kibana#/discover/Steve-Slow-Train-Analysis-(2080s-and-2083s)?_g=(refreshInterval:(display:Off,pause:!f,section:0,value:0),time:(from:'2017-06-30T09:24:17-0600',mode:absolute,to:'2017-06-30T12:07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70" s="197" t="str">
        <f>IF(AA70&lt;VLOOKUP(AG70,Variables!$AC$3:$AD$8,2,FALSE),"Y","N")</f>
        <v>N</v>
      </c>
      <c r="X70" s="197">
        <f t="shared" si="29"/>
        <v>1</v>
      </c>
      <c r="Y70" s="197">
        <f t="shared" si="30"/>
        <v>4.6600000000000003E-2</v>
      </c>
      <c r="Z70" s="197">
        <f t="shared" si="31"/>
        <v>23.330300000000001</v>
      </c>
      <c r="AA70" s="197">
        <f t="shared" si="9"/>
        <v>23.2837</v>
      </c>
      <c r="AB70" s="54" t="e">
        <f>VLOOKUP(A70,Enforcements!$C$7:$K$13,8,0)</f>
        <v>#N/A</v>
      </c>
      <c r="AC70" s="51" t="e">
        <f>VLOOKUP(A70,Enforcements!$C$7:$E$13,3,0)</f>
        <v>#N/A</v>
      </c>
      <c r="AD70" s="206">
        <f t="shared" si="10"/>
        <v>155</v>
      </c>
      <c r="AE70" s="77" t="str">
        <f t="shared" si="11"/>
        <v>aws s3 cp s3://rtdc.mdm.uploadarchive.raw/RTDC4044/ "%USERPROFILE%\AppData\Local\Temp\OnboardLogs"\RTDC4044\2017-06-30 --exclude "*" --recursive --include "*20170630*" &amp; "%USERPROFILE%\Documents\GitHub\mrs-test-scripts\Headless Mode &amp; Sideloading\WalkAndUnGZ.bat" "%USERPROFILE%\AppData\Local\Temp\OnboardLogs"\RTDC4044\2017-06-30 &amp; aws s3 cp s3://rtdc.mdm.uploadarchive.raw/RTDC4044/ "%USERPROFILE%\AppData\Local\Temp\OnboardLogs"\RTDC4044\2017-07-01 --exclude "*" --recursive --include "*20170701*" &amp; "%USERPROFILE%\Documents\GitHub\mrs-test-scripts\Headless Mode &amp; Sideloading\WalkAndUnGZ.bat" "%USERPROFILE%\AppData\Local\Temp\OnboardLogs"\RTDC4044\2017-07-01</v>
      </c>
      <c r="AF70" s="74" t="str">
        <f t="shared" si="12"/>
        <v>"C:\Program Files (x86)\AstroGrep\AstroGrep.exe" /e /r /s /spath="%USERPROFILE%\AppData\Local\Temp\OnboardLogs" /stypes="app*4044*20170630*" /stext=" 17:.+((SYSTEM_STATE.+slice.+state.+changed )|(ment ac)|(multiple cpu faults)|(system.+state.+changed )|(\[timeout)|(PRM\|1\|D)|(kpr)|(kdp)|(train st.+moving)|(\|lc)|(penalty))"</v>
      </c>
      <c r="AG70" s="209" t="str">
        <f t="shared" si="13"/>
        <v>EC</v>
      </c>
      <c r="AH70" s="78" t="str">
        <f t="shared" si="18"/>
        <v>"%USERPROFILE%\Documents\GitHub\eaglep3\Utilities\RefineRTDCRunTimes.py" --tripid 155-30 --locoid 4044 --swversion DE.1.0.9.0 --startMP 204:466 --initTime 2017-06-30T10:24:17 --startdatetime 2017-06-30T10:30:45 --delay 1 --endMP 204:233303 --enddatetime 2017-06-30T11:07:06 --enforcementcount 0 &gt;&gt;C:\Users\stu\Documents\GitHub\eaglep3-reporting\EC\2017-06-30-refined-times.txt</v>
      </c>
      <c r="AI70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{"issue":{"subject":"","project_id":79,"tracker_id":40,"status_id":1,"priority_id":2,"assigned_to_id":23,"start_date":"2017-06-30","description":"","custom_fields":[{"id":1,"name":"Subdivision","value":"EC"},{"id":4,"name":"Milepost","value":"23.3303"},{"id":17,"name":"Train ID","value":"155-30"},{"id":16,"name":"Locomotive ID","value":"4044"},{"id":130,"name":"Impact","value":""},{"id":150,"name":"Time of Event (Mountain Time)","value":"11:07:06"},{"id":151,"name":"Denver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20"/>
        <v>start /low /b %USERPROFILE%\Documents\GitHub\eaglep3\Utilities\DownloadLogsFromS3.py --loco 4044 --day 2017-06-30</v>
      </c>
      <c r="AN70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17:07:06"},{"id":29,"name":"Sharepoint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733</v>
      </c>
      <c r="B71" s="7">
        <v>4043</v>
      </c>
      <c r="C71" s="21" t="s">
        <v>200</v>
      </c>
      <c r="D71" s="21" t="s">
        <v>411</v>
      </c>
      <c r="E71" s="13">
        <v>42916.466111111113</v>
      </c>
      <c r="F71" s="13">
        <v>42916.477280092593</v>
      </c>
      <c r="G71" s="7">
        <v>1</v>
      </c>
      <c r="H71" s="21" t="s">
        <v>417</v>
      </c>
      <c r="I71" s="13">
        <v>42916.504189814812</v>
      </c>
      <c r="J71" s="7">
        <v>0</v>
      </c>
      <c r="K71" s="89" t="str">
        <f t="shared" si="0"/>
        <v>4043/4044</v>
      </c>
      <c r="L71" s="21" t="str">
        <f>VLOOKUP(A71,'Trips&amp;Operators'!$C$1:$G$99999,5,FALSE)</f>
        <v>DAVIDSON DAVID</v>
      </c>
      <c r="M71" s="6">
        <f t="shared" si="1"/>
        <v>2.6909722218988463E-2</v>
      </c>
      <c r="N71" s="7">
        <f t="shared" si="27"/>
        <v>38.749999995343387</v>
      </c>
      <c r="O71" s="7"/>
      <c r="P71" s="7"/>
      <c r="Q71" s="22"/>
      <c r="R71" s="170"/>
      <c r="S71" s="213">
        <f t="shared" si="28"/>
        <v>1</v>
      </c>
      <c r="T71" s="195" t="str">
        <f t="shared" si="4"/>
        <v>Southbound</v>
      </c>
      <c r="U71" s="19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6" t="str">
        <f t="shared" si="5"/>
        <v>https://d0f6bd738d7f1b3e5a7ca70fe4ff75f0.us-east-1.aws.found.io/app/kibana#/discover/Steve-Slow-Train-Analysis-(2080s-and-2083s)?_g=(refreshInterval:(display:Off,pause:!f,section:0,value:0),time:(from:'2017-06-30T10:11:12-0600',mode:absolute,to:'2017-06-30T13:06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71" s="197" t="str">
        <f>IF(AA71&lt;VLOOKUP(AG71,Variables!$AC$3:$AD$8,2,FALSE),"Y","N")</f>
        <v>N</v>
      </c>
      <c r="X71" s="197">
        <f t="shared" si="29"/>
        <v>1</v>
      </c>
      <c r="Y71" s="197">
        <f t="shared" si="30"/>
        <v>23.299600000000002</v>
      </c>
      <c r="Z71" s="197">
        <f t="shared" si="31"/>
        <v>1.38E-2</v>
      </c>
      <c r="AA71" s="197">
        <f t="shared" si="9"/>
        <v>23.285800000000002</v>
      </c>
      <c r="AB71" s="54" t="e">
        <f>VLOOKUP(A71,Enforcements!$C$7:$K$13,8,0)</f>
        <v>#N/A</v>
      </c>
      <c r="AC71" s="51" t="e">
        <f>VLOOKUP(A71,Enforcements!$C$7:$E$13,3,0)</f>
        <v>#N/A</v>
      </c>
      <c r="AD71" s="206">
        <f t="shared" si="10"/>
        <v>156</v>
      </c>
      <c r="AE71" s="77" t="str">
        <f t="shared" si="11"/>
        <v>aws s3 cp s3://rtdc.mdm.uploadarchive.raw/RTDC4043/ "%USERPROFILE%\AppData\Local\Temp\OnboardLogs"\RTDC4043\2017-06-30 --exclude "*" --recursive --include "*20170630*" &amp; "%USERPROFILE%\Documents\GitHub\mrs-test-scripts\Headless Mode &amp; Sideloading\WalkAndUnGZ.bat" "%USERPROFILE%\AppData\Local\Temp\OnboardLogs"\RTDC4043\2017-06-30 &amp; aws s3 cp s3://rtdc.mdm.uploadarchive.raw/RTDC4043/ "%USERPROFILE%\AppData\Local\Temp\OnboardLogs"\RTDC4043\2017-07-01 --exclude "*" --recursive --include "*20170701*" &amp; "%USERPROFILE%\Documents\GitHub\mrs-test-scripts\Headless Mode &amp; Sideloading\WalkAndUnGZ.bat" "%USERPROFILE%\AppData\Local\Temp\OnboardLogs"\RTDC4043\2017-07-01</v>
      </c>
      <c r="AF71" s="74" t="str">
        <f t="shared" si="12"/>
        <v>"C:\Program Files (x86)\AstroGrep\AstroGrep.exe" /e /r /s /spath="%USERPROFILE%\AppData\Local\Temp\OnboardLogs" /stypes="app*4043*20170630*" /stext=" 18:.+((SYSTEM_STATE.+slice.+state.+changed )|(ment ac)|(multiple cpu faults)|(system.+state.+changed )|(\[timeout)|(PRM\|1\|D)|(kpr)|(kdp)|(train st.+moving)|(\|lc)|(penalty))"</v>
      </c>
      <c r="AG71" s="209" t="str">
        <f t="shared" si="13"/>
        <v>EC</v>
      </c>
      <c r="AH71" s="78" t="str">
        <f t="shared" si="18"/>
        <v>"%USERPROFILE%\Documents\GitHub\eaglep3\Utilities\RefineRTDCRunTimes.py" --tripid 156-30 --locoid 4043 --swversion DE.1.0.9.0 --startMP 204:232996 --initTime 2017-06-30T11:11:12 --startdatetime 2017-06-30T11:27:17 --delay 1 --endMP 204:138 --enddatetime 2017-06-30T12:06:02 --enforcementcount 0 &gt;&gt;C:\Users\stu\Documents\GitHub\eaglep3-reporting\EC\2017-06-30-refined-times.txt</v>
      </c>
      <c r="AI71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{"issue":{"subject":"","project_id":79,"tracker_id":40,"status_id":1,"priority_id":2,"assigned_to_id":23,"start_date":"2017-06-30","description":"","custom_fields":[{"id":1,"name":"Subdivision","value":"EC"},{"id":4,"name":"Milepost","value":"0.0138"},{"id":17,"name":"Train ID","value":"156-30"},{"id":16,"name":"Locomotive ID","value":"4043"},{"id":130,"name":"Impact","value":""},{"id":150,"name":"Time of Event (Mountain Time)","value":"12:06:02"},{"id":151,"name":"Denver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20"/>
        <v>start /low /b %USERPROFILE%\Documents\GitHub\eaglep3\Utilities\DownloadLogsFromS3.py --loco 4043 --day 2017-06-30</v>
      </c>
      <c r="AN71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18:06:02"},{"id":29,"name":"Sharepoint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724</v>
      </c>
      <c r="B72" s="7">
        <v>4032</v>
      </c>
      <c r="C72" s="21" t="s">
        <v>200</v>
      </c>
      <c r="D72" s="21" t="s">
        <v>345</v>
      </c>
      <c r="E72" s="13">
        <v>42916.445856481485</v>
      </c>
      <c r="F72" s="13">
        <v>42916.448425925926</v>
      </c>
      <c r="G72" s="7">
        <v>1</v>
      </c>
      <c r="H72" s="21" t="s">
        <v>880</v>
      </c>
      <c r="I72" s="13">
        <v>42916.473402777781</v>
      </c>
      <c r="J72" s="7">
        <v>0</v>
      </c>
      <c r="K72" s="89" t="str">
        <f t="shared" si="0"/>
        <v>4031/4032</v>
      </c>
      <c r="L72" s="21" t="str">
        <f>VLOOKUP(A72,'Trips&amp;Operators'!$C$1:$G$99999,5,FALSE)</f>
        <v>SULLIVAN BRANDON</v>
      </c>
      <c r="M72" s="6">
        <f t="shared" si="1"/>
        <v>2.4976851855171844E-2</v>
      </c>
      <c r="N72" s="7">
        <f t="shared" ref="N72:N89" si="32">24*60*SUM($M72:$M72)</f>
        <v>35.966666671447456</v>
      </c>
      <c r="O72" s="7"/>
      <c r="P72" s="7"/>
      <c r="Q72" s="22"/>
      <c r="R72" s="170"/>
      <c r="S72" s="213">
        <f t="shared" ref="S72:S90" si="33">SUM(U72:U72)/IF(AG72="EC",12,1)</f>
        <v>1</v>
      </c>
      <c r="T72" s="195" t="str">
        <f t="shared" si="4"/>
        <v>NorthBound</v>
      </c>
      <c r="U72" s="19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6" t="str">
        <f t="shared" si="5"/>
        <v>https://d0f6bd738d7f1b3e5a7ca70fe4ff75f0.us-east-1.aws.found.io/app/kibana#/discover/Steve-Slow-Train-Analysis-(2080s-and-2083s)?_g=(refreshInterval:(display:Off,pause:!f,section:0,value:0),time:(from:'2017-06-30T09:42:02-0600',mode:absolute,to:'2017-06-30T12:21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72" s="197" t="str">
        <f>IF(AA72&lt;VLOOKUP(AG72,Variables!$AC$3:$AD$8,2,FALSE),"Y","N")</f>
        <v>N</v>
      </c>
      <c r="X72" s="197">
        <f t="shared" si="29"/>
        <v>1</v>
      </c>
      <c r="Y72" s="197">
        <f t="shared" si="30"/>
        <v>4.4600000000000001E-2</v>
      </c>
      <c r="Z72" s="197">
        <f t="shared" si="31"/>
        <v>23.337800000000001</v>
      </c>
      <c r="AA72" s="197">
        <f t="shared" si="9"/>
        <v>23.293200000000002</v>
      </c>
      <c r="AB72" s="54" t="e">
        <f>VLOOKUP(A72,Enforcements!$C$7:$K$13,8,0)</f>
        <v>#N/A</v>
      </c>
      <c r="AC72" s="51" t="e">
        <f>VLOOKUP(A72,Enforcements!$C$7:$E$13,3,0)</f>
        <v>#N/A</v>
      </c>
      <c r="AD72" s="206">
        <f t="shared" si="10"/>
        <v>157</v>
      </c>
      <c r="AE72" s="77" t="str">
        <f t="shared" si="11"/>
        <v>aws s3 cp s3://rtdc.mdm.uploadarchive.raw/RTDC4032/ "%USERPROFILE%\AppData\Local\Temp\OnboardLogs"\RTDC4032\2017-06-30 --exclude "*" --recursive --include "*20170630*" &amp; "%USERPROFILE%\Documents\GitHub\mrs-test-scripts\Headless Mode &amp; Sideloading\WalkAndUnGZ.bat" "%USERPROFILE%\AppData\Local\Temp\OnboardLogs"\RTDC4032\2017-06-30 &amp; aws s3 cp s3://rtdc.mdm.uploadarchive.raw/RTDC4032/ "%USERPROFILE%\AppData\Local\Temp\OnboardLogs"\RTDC4032\2017-07-01 --exclude "*" --recursive --include "*20170701*" &amp; "%USERPROFILE%\Documents\GitHub\mrs-test-scripts\Headless Mode &amp; Sideloading\WalkAndUnGZ.bat" "%USERPROFILE%\AppData\Local\Temp\OnboardLogs"\RTDC4032\2017-07-01</v>
      </c>
      <c r="AF72" s="74" t="str">
        <f t="shared" si="12"/>
        <v>"C:\Program Files (x86)\AstroGrep\AstroGrep.exe" /e /r /s /spath="%USERPROFILE%\AppData\Local\Temp\OnboardLogs" /stypes="app*4032*20170630*" /stext=" 17:.+((SYSTEM_STATE.+slice.+state.+changed )|(ment ac)|(multiple cpu faults)|(system.+state.+changed )|(\[timeout)|(PRM\|1\|D)|(kpr)|(kdp)|(train st.+moving)|(\|lc)|(penalty))"</v>
      </c>
      <c r="AG72" s="209" t="str">
        <f t="shared" si="13"/>
        <v>EC</v>
      </c>
      <c r="AH72" s="78" t="str">
        <f t="shared" si="18"/>
        <v>"%USERPROFILE%\Documents\GitHub\eaglep3\Utilities\RefineRTDCRunTimes.py" --tripid 157-30 --locoid 4032 --swversion DE.1.0.9.0 --startMP 204:446 --initTime 2017-06-30T10:42:02 --startdatetime 2017-06-30T10:45:44 --delay 1 --endMP 204:233378 --enddatetime 2017-06-30T11:21:42 --enforcementcount 0 &gt;&gt;C:\Users\stu\Documents\GitHub\eaglep3-reporting\EC\2017-06-30-refined-times.txt</v>
      </c>
      <c r="AI72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{"issue":{"subject":"","project_id":79,"tracker_id":40,"status_id":1,"priority_id":2,"assigned_to_id":23,"start_date":"2017-06-30","description":"","custom_fields":[{"id":1,"name":"Subdivision","value":"EC"},{"id":4,"name":"Milepost","value":"23.3378"},{"id":17,"name":"Train ID","value":"157-30"},{"id":16,"name":"Locomotive ID","value":"4032"},{"id":130,"name":"Impact","value":""},{"id":150,"name":"Time of Event (Mountain Time)","value":"11:21:42"},{"id":151,"name":"Denver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20"/>
        <v>start /low /b %USERPROFILE%\Documents\GitHub\eaglep3\Utilities\DownloadLogsFromS3.py --loco 4032 --day 2017-06-30</v>
      </c>
      <c r="AN72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17:21:42"},{"id":29,"name":"Sharepoint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737</v>
      </c>
      <c r="B73" s="7">
        <v>4031</v>
      </c>
      <c r="C73" s="21" t="s">
        <v>200</v>
      </c>
      <c r="D73" s="21" t="s">
        <v>553</v>
      </c>
      <c r="E73" s="13">
        <v>42916.481435185182</v>
      </c>
      <c r="F73" s="13">
        <v>42916.487685185188</v>
      </c>
      <c r="G73" s="7">
        <v>1</v>
      </c>
      <c r="H73" s="21" t="s">
        <v>347</v>
      </c>
      <c r="I73" s="13">
        <v>42916.514328703706</v>
      </c>
      <c r="J73" s="7">
        <v>0</v>
      </c>
      <c r="K73" s="89" t="str">
        <f t="shared" si="0"/>
        <v>4031/4032</v>
      </c>
      <c r="L73" s="21" t="str">
        <f>VLOOKUP(A73,'Trips&amp;Operators'!$C$1:$G$99999,5,FALSE)</f>
        <v>SULLIVAN BRANDON</v>
      </c>
      <c r="M73" s="6">
        <f t="shared" si="1"/>
        <v>2.6643518518540077E-2</v>
      </c>
      <c r="N73" s="7">
        <f t="shared" si="32"/>
        <v>38.366666666697711</v>
      </c>
      <c r="O73" s="7"/>
      <c r="P73" s="7"/>
      <c r="Q73" s="22"/>
      <c r="R73" s="170"/>
      <c r="S73" s="213">
        <f t="shared" si="33"/>
        <v>1</v>
      </c>
      <c r="T73" s="195" t="str">
        <f t="shared" si="4"/>
        <v>Southbound</v>
      </c>
      <c r="U73" s="19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6" t="str">
        <f t="shared" si="5"/>
        <v>https://d0f6bd738d7f1b3e5a7ca70fe4ff75f0.us-east-1.aws.found.io/app/kibana#/discover/Steve-Slow-Train-Analysis-(2080s-and-2083s)?_g=(refreshInterval:(display:Off,pause:!f,section:0,value:0),time:(from:'2017-06-30T10:33:16-0600',mode:absolute,to:'2017-06-30T13:20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73" s="197" t="str">
        <f>IF(AA73&lt;VLOOKUP(AG73,Variables!$AC$3:$AD$8,2,FALSE),"Y","N")</f>
        <v>N</v>
      </c>
      <c r="X73" s="197">
        <f t="shared" si="29"/>
        <v>1</v>
      </c>
      <c r="Y73" s="197">
        <f t="shared" si="30"/>
        <v>23.305900000000001</v>
      </c>
      <c r="Z73" s="197">
        <f t="shared" si="31"/>
        <v>1.49E-2</v>
      </c>
      <c r="AA73" s="197">
        <f t="shared" si="9"/>
        <v>23.291</v>
      </c>
      <c r="AB73" s="54" t="e">
        <f>VLOOKUP(A73,Enforcements!$C$7:$K$13,8,0)</f>
        <v>#N/A</v>
      </c>
      <c r="AC73" s="51" t="e">
        <f>VLOOKUP(A73,Enforcements!$C$7:$E$13,3,0)</f>
        <v>#N/A</v>
      </c>
      <c r="AD73" s="206">
        <f t="shared" si="10"/>
        <v>158</v>
      </c>
      <c r="AE73" s="77" t="str">
        <f t="shared" si="11"/>
        <v>aws s3 cp s3://rtdc.mdm.uploadarchive.raw/RTDC4031/ "%USERPROFILE%\AppData\Local\Temp\OnboardLogs"\RTDC4031\2017-06-30 --exclude "*" --recursive --include "*20170630*" &amp; "%USERPROFILE%\Documents\GitHub\mrs-test-scripts\Headless Mode &amp; Sideloading\WalkAndUnGZ.bat" "%USERPROFILE%\AppData\Local\Temp\OnboardLogs"\RTDC4031\2017-06-30 &amp; aws s3 cp s3://rtdc.mdm.uploadarchive.raw/RTDC4031/ "%USERPROFILE%\AppData\Local\Temp\OnboardLogs"\RTDC4031\2017-07-01 --exclude "*" --recursive --include "*20170701*" &amp; "%USERPROFILE%\Documents\GitHub\mrs-test-scripts\Headless Mode &amp; Sideloading\WalkAndUnGZ.bat" "%USERPROFILE%\AppData\Local\Temp\OnboardLogs"\RTDC4031\2017-07-01</v>
      </c>
      <c r="AF73" s="74" t="str">
        <f t="shared" si="12"/>
        <v>"C:\Program Files (x86)\AstroGrep\AstroGrep.exe" /e /r /s /spath="%USERPROFILE%\AppData\Local\Temp\OnboardLogs" /stypes="app*4031*20170630*" /stext=" 18:.+((SYSTEM_STATE.+slice.+state.+changed )|(ment ac)|(multiple cpu faults)|(system.+state.+changed )|(\[timeout)|(PRM\|1\|D)|(kpr)|(kdp)|(train st.+moving)|(\|lc)|(penalty))"</v>
      </c>
      <c r="AG73" s="209" t="str">
        <f t="shared" si="13"/>
        <v>EC</v>
      </c>
      <c r="AH73" s="78" t="str">
        <f t="shared" si="18"/>
        <v>"%USERPROFILE%\Documents\GitHub\eaglep3\Utilities\RefineRTDCRunTimes.py" --tripid 158-30 --locoid 4031 --swversion DE.1.0.9.0 --startMP 204:233059 --initTime 2017-06-30T11:33:16 --startdatetime 2017-06-30T11:42:16 --delay 1 --endMP 204:149 --enddatetime 2017-06-30T12:20:38 --enforcementcount 0 &gt;&gt;C:\Users\stu\Documents\GitHub\eaglep3-reporting\EC\2017-06-30-refined-times.txt</v>
      </c>
      <c r="AI73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{"issue":{"subject":"","project_id":79,"tracker_id":40,"status_id":1,"priority_id":2,"assigned_to_id":23,"start_date":"2017-06-30","description":"","custom_fields":[{"id":1,"name":"Subdivision","value":"EC"},{"id":4,"name":"Milepost","value":"0.0149"},{"id":17,"name":"Train ID","value":"158-30"},{"id":16,"name":"Locomotive ID","value":"4031"},{"id":130,"name":"Impact","value":""},{"id":150,"name":"Time of Event (Mountain Time)","value":"12:20:38"},{"id":151,"name":"Denver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20"/>
        <v>start /low /b %USERPROFILE%\Documents\GitHub\eaglep3\Utilities\DownloadLogsFromS3.py --loco 4031 --day 2017-06-30</v>
      </c>
      <c r="AN73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18:20:38"},{"id":29,"name":"Sharepoint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728</v>
      </c>
      <c r="B74" s="7">
        <v>4040</v>
      </c>
      <c r="C74" s="21" t="s">
        <v>200</v>
      </c>
      <c r="D74" s="21" t="s">
        <v>341</v>
      </c>
      <c r="E74" s="13">
        <v>42916.455925925926</v>
      </c>
      <c r="F74" s="13">
        <v>42916.45894675926</v>
      </c>
      <c r="G74" s="7">
        <v>1</v>
      </c>
      <c r="H74" s="21" t="s">
        <v>881</v>
      </c>
      <c r="I74" s="13">
        <v>42916.482754629629</v>
      </c>
      <c r="J74" s="7">
        <v>0</v>
      </c>
      <c r="K74" s="89" t="str">
        <f t="shared" si="0"/>
        <v>4039/4040</v>
      </c>
      <c r="L74" s="21" t="str">
        <f>VLOOKUP(A74,'Trips&amp;Operators'!$C$1:$G$99999,5,FALSE)</f>
        <v>BEAM ROSS</v>
      </c>
      <c r="M74" s="6">
        <f t="shared" si="1"/>
        <v>2.3807870369637385E-2</v>
      </c>
      <c r="N74" s="7">
        <f t="shared" si="32"/>
        <v>34.283333332277834</v>
      </c>
      <c r="O74" s="7"/>
      <c r="P74" s="7"/>
      <c r="Q74" s="22"/>
      <c r="R74" s="170"/>
      <c r="S74" s="213">
        <f t="shared" si="33"/>
        <v>1</v>
      </c>
      <c r="T74" s="195" t="str">
        <f t="shared" si="4"/>
        <v>NorthBound</v>
      </c>
      <c r="U74" s="19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6" t="str">
        <f t="shared" si="5"/>
        <v>https://d0f6bd738d7f1b3e5a7ca70fe4ff75f0.us-east-1.aws.found.io/app/kibana#/discover/Steve-Slow-Train-Analysis-(2080s-and-2083s)?_g=(refreshInterval:(display:Off,pause:!f,section:0,value:0),time:(from:'2017-06-30T09:56:32-0600',mode:absolute,to:'2017-06-30T12:35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74" s="197" t="str">
        <f>IF(AA74&lt;VLOOKUP(AG74,Variables!$AC$3:$AD$8,2,FALSE),"Y","N")</f>
        <v>N</v>
      </c>
      <c r="X74" s="197">
        <f t="shared" si="29"/>
        <v>1</v>
      </c>
      <c r="Y74" s="197">
        <f t="shared" si="30"/>
        <v>4.4900000000000002E-2</v>
      </c>
      <c r="Z74" s="197">
        <f t="shared" si="31"/>
        <v>23.329899999999999</v>
      </c>
      <c r="AA74" s="197">
        <f t="shared" si="9"/>
        <v>23.285</v>
      </c>
      <c r="AB74" s="54" t="e">
        <f>VLOOKUP(A74,Enforcements!$C$7:$K$13,8,0)</f>
        <v>#N/A</v>
      </c>
      <c r="AC74" s="51" t="e">
        <f>VLOOKUP(A74,Enforcements!$C$7:$E$13,3,0)</f>
        <v>#N/A</v>
      </c>
      <c r="AD74" s="206">
        <f t="shared" si="10"/>
        <v>159</v>
      </c>
      <c r="AE74" s="77" t="str">
        <f t="shared" si="11"/>
        <v>aws s3 cp s3://rtdc.mdm.uploadarchive.raw/RTDC4040/ "%USERPROFILE%\AppData\Local\Temp\OnboardLogs"\RTDC4040\2017-06-30 --exclude "*" --recursive --include "*20170630*" &amp; "%USERPROFILE%\Documents\GitHub\mrs-test-scripts\Headless Mode &amp; Sideloading\WalkAndUnGZ.bat" "%USERPROFILE%\AppData\Local\Temp\OnboardLogs"\RTDC4040\2017-06-30 &amp; aws s3 cp s3://rtdc.mdm.uploadarchive.raw/RTDC4040/ "%USERPROFILE%\AppData\Local\Temp\OnboardLogs"\RTDC4040\2017-07-01 --exclude "*" --recursive --include "*20170701*" &amp; "%USERPROFILE%\Documents\GitHub\mrs-test-scripts\Headless Mode &amp; Sideloading\WalkAndUnGZ.bat" "%USERPROFILE%\AppData\Local\Temp\OnboardLogs"\RTDC4040\2017-07-01</v>
      </c>
      <c r="AF74" s="74" t="str">
        <f t="shared" si="12"/>
        <v>"C:\Program Files (x86)\AstroGrep\AstroGrep.exe" /e /r /s /spath="%USERPROFILE%\AppData\Local\Temp\OnboardLogs" /stypes="app*4040*20170630*" /stext=" 17:.+((SYSTEM_STATE.+slice.+state.+changed )|(ment ac)|(multiple cpu faults)|(system.+state.+changed )|(\[timeout)|(PRM\|1\|D)|(kpr)|(kdp)|(train st.+moving)|(\|lc)|(penalty))"</v>
      </c>
      <c r="AG74" s="209" t="str">
        <f t="shared" si="13"/>
        <v>EC</v>
      </c>
      <c r="AH74" s="78" t="str">
        <f t="shared" si="18"/>
        <v>"%USERPROFILE%\Documents\GitHub\eaglep3\Utilities\RefineRTDCRunTimes.py" --tripid 159-30 --locoid 4040 --swversion DE.1.0.9.0 --startMP 204:449 --initTime 2017-06-30T10:56:32 --startdatetime 2017-06-30T11:00:53 --delay 1 --endMP 204:233299 --enddatetime 2017-06-30T11:35:10 --enforcementcount 0 &gt;&gt;C:\Users\stu\Documents\GitHub\eaglep3-reporting\EC\2017-06-30-refined-times.txt</v>
      </c>
      <c r="AI74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{"issue":{"subject":"","project_id":79,"tracker_id":40,"status_id":1,"priority_id":2,"assigned_to_id":23,"start_date":"2017-06-30","description":"","custom_fields":[{"id":1,"name":"Subdivision","value":"EC"},{"id":4,"name":"Milepost","value":"23.3299"},{"id":17,"name":"Train ID","value":"159-30"},{"id":16,"name":"Locomotive ID","value":"4040"},{"id":130,"name":"Impact","value":""},{"id":150,"name":"Time of Event (Mountain Time)","value":"11:35:10"},{"id":151,"name":"Denver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20"/>
        <v>start /low /b %USERPROFILE%\Documents\GitHub\eaglep3\Utilities\DownloadLogsFromS3.py --loco 4040 --day 2017-06-30</v>
      </c>
      <c r="AN74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17:35:10"},{"id":29,"name":"Sharepoint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742</v>
      </c>
      <c r="B75" s="7">
        <v>4039</v>
      </c>
      <c r="C75" s="21" t="s">
        <v>200</v>
      </c>
      <c r="D75" s="21" t="s">
        <v>452</v>
      </c>
      <c r="E75" s="13">
        <v>42916.493831018517</v>
      </c>
      <c r="F75" s="13">
        <v>42916.498136574075</v>
      </c>
      <c r="G75" s="7">
        <v>1</v>
      </c>
      <c r="H75" s="21" t="s">
        <v>348</v>
      </c>
      <c r="I75" s="13">
        <v>42916.523888888885</v>
      </c>
      <c r="J75" s="7">
        <v>0</v>
      </c>
      <c r="K75" s="89" t="str">
        <f t="shared" si="0"/>
        <v>4039/4040</v>
      </c>
      <c r="L75" s="21" t="str">
        <f>VLOOKUP(A75,'Trips&amp;Operators'!$C$1:$G$99999,5,FALSE)</f>
        <v>BEAM ROSS</v>
      </c>
      <c r="M75" s="6">
        <f t="shared" si="1"/>
        <v>2.5752314810233656E-2</v>
      </c>
      <c r="N75" s="7">
        <f t="shared" si="32"/>
        <v>37.083333326736465</v>
      </c>
      <c r="O75" s="7"/>
      <c r="P75" s="7"/>
      <c r="Q75" s="22"/>
      <c r="R75" s="170"/>
      <c r="S75" s="213">
        <f t="shared" si="33"/>
        <v>1</v>
      </c>
      <c r="T75" s="195" t="str">
        <f t="shared" si="4"/>
        <v>Southbound</v>
      </c>
      <c r="U75" s="19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6" t="str">
        <f t="shared" si="5"/>
        <v>https://d0f6bd738d7f1b3e5a7ca70fe4ff75f0.us-east-1.aws.found.io/app/kibana#/discover/Steve-Slow-Train-Analysis-(2080s-and-2083s)?_g=(refreshInterval:(display:Off,pause:!f,section:0,value:0),time:(from:'2017-06-30T10:51:07-0600',mode:absolute,to:'2017-06-30T13:34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75" s="197" t="str">
        <f>IF(AA75&lt;VLOOKUP(AG75,Variables!$AC$3:$AD$8,2,FALSE),"Y","N")</f>
        <v>N</v>
      </c>
      <c r="X75" s="197">
        <f t="shared" ref="X75:X106" si="34">VALUE(LEFT(AD75,4))-VALUE(LEFT(AD74,4))</f>
        <v>1</v>
      </c>
      <c r="Y75" s="197">
        <f t="shared" si="30"/>
        <v>23.2973</v>
      </c>
      <c r="Z75" s="197">
        <f t="shared" si="31"/>
        <v>1.43E-2</v>
      </c>
      <c r="AA75" s="197">
        <f t="shared" si="9"/>
        <v>23.283000000000001</v>
      </c>
      <c r="AB75" s="54" t="e">
        <f>VLOOKUP(A75,Enforcements!$C$7:$K$13,8,0)</f>
        <v>#N/A</v>
      </c>
      <c r="AC75" s="51" t="e">
        <f>VLOOKUP(A75,Enforcements!$C$7:$E$13,3,0)</f>
        <v>#N/A</v>
      </c>
      <c r="AD75" s="206">
        <f t="shared" si="10"/>
        <v>160</v>
      </c>
      <c r="AE75" s="77" t="str">
        <f t="shared" si="11"/>
        <v>aws s3 cp s3://rtdc.mdm.uploadarchive.raw/RTDC4039/ "%USERPROFILE%\AppData\Local\Temp\OnboardLogs"\RTDC4039\2017-06-30 --exclude "*" --recursive --include "*20170630*" &amp; "%USERPROFILE%\Documents\GitHub\mrs-test-scripts\Headless Mode &amp; Sideloading\WalkAndUnGZ.bat" "%USERPROFILE%\AppData\Local\Temp\OnboardLogs"\RTDC4039\2017-06-30 &amp; aws s3 cp s3://rtdc.mdm.uploadarchive.raw/RTDC4039/ "%USERPROFILE%\AppData\Local\Temp\OnboardLogs"\RTDC4039\2017-07-01 --exclude "*" --recursive --include "*20170701*" &amp; "%USERPROFILE%\Documents\GitHub\mrs-test-scripts\Headless Mode &amp; Sideloading\WalkAndUnGZ.bat" "%USERPROFILE%\AppData\Local\Temp\OnboardLogs"\RTDC4039\2017-07-01</v>
      </c>
      <c r="AF75" s="74" t="str">
        <f t="shared" si="12"/>
        <v>"C:\Program Files (x86)\AstroGrep\AstroGrep.exe" /e /r /s /spath="%USERPROFILE%\AppData\Local\Temp\OnboardLogs" /stypes="app*4039*20170630*" /stext=" 18:.+((SYSTEM_STATE.+slice.+state.+changed )|(ment ac)|(multiple cpu faults)|(system.+state.+changed )|(\[timeout)|(PRM\|1\|D)|(kpr)|(kdp)|(train st.+moving)|(\|lc)|(penalty))"</v>
      </c>
      <c r="AG75" s="209" t="str">
        <f t="shared" si="13"/>
        <v>EC</v>
      </c>
      <c r="AH75" s="78" t="str">
        <f t="shared" si="18"/>
        <v>"%USERPROFILE%\Documents\GitHub\eaglep3\Utilities\RefineRTDCRunTimes.py" --tripid 160-30 --locoid 4039 --swversion DE.1.0.9.0 --startMP 204:232973 --initTime 2017-06-30T11:51:07 --startdatetime 2017-06-30T11:57:19 --delay 1 --endMP 204:143 --enddatetime 2017-06-30T12:34:24 --enforcementcount 0 &gt;&gt;C:\Users\stu\Documents\GitHub\eaglep3-reporting\EC\2017-06-30-refined-times.txt</v>
      </c>
      <c r="AI75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{"issue":{"subject":"","project_id":79,"tracker_id":40,"status_id":1,"priority_id":2,"assigned_to_id":23,"start_date":"2017-06-30","description":"","custom_fields":[{"id":1,"name":"Subdivision","value":"EC"},{"id":4,"name":"Milepost","value":"0.0143"},{"id":17,"name":"Train ID","value":"160-30"},{"id":16,"name":"Locomotive ID","value":"4039"},{"id":130,"name":"Impact","value":""},{"id":150,"name":"Time of Event (Mountain Time)","value":"12:34:24"},{"id":151,"name":"Denver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20"/>
        <v>start /low /b %USERPROFILE%\Documents\GitHub\eaglep3\Utilities\DownloadLogsFromS3.py --loco 4039 --day 2017-06-30</v>
      </c>
      <c r="AN75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18:34:24"},{"id":29,"name":"Sharepoint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730</v>
      </c>
      <c r="B76" s="7">
        <v>4042</v>
      </c>
      <c r="C76" s="21" t="s">
        <v>200</v>
      </c>
      <c r="D76" s="21" t="s">
        <v>353</v>
      </c>
      <c r="E76" s="13">
        <v>42916.464965277781</v>
      </c>
      <c r="F76" s="13">
        <v>42916.469178240739</v>
      </c>
      <c r="G76" s="7">
        <v>2</v>
      </c>
      <c r="H76" s="21" t="s">
        <v>451</v>
      </c>
      <c r="I76" s="13">
        <v>42916.495127314818</v>
      </c>
      <c r="J76" s="7">
        <v>0</v>
      </c>
      <c r="K76" s="89" t="str">
        <f t="shared" si="0"/>
        <v>4041/4042</v>
      </c>
      <c r="L76" s="21" t="str">
        <f>VLOOKUP(A76,'Trips&amp;Operators'!$C$1:$G$99999,5,FALSE)</f>
        <v>BRANDNER MELINDA</v>
      </c>
      <c r="M76" s="6">
        <f t="shared" si="1"/>
        <v>2.5949074079107959E-2</v>
      </c>
      <c r="N76" s="7">
        <f t="shared" si="32"/>
        <v>37.366666673915461</v>
      </c>
      <c r="O76" s="7"/>
      <c r="P76" s="7"/>
      <c r="Q76" s="22"/>
      <c r="R76" s="170"/>
      <c r="S76" s="213">
        <f t="shared" si="33"/>
        <v>1</v>
      </c>
      <c r="T76" s="195" t="str">
        <f t="shared" si="4"/>
        <v>NorthBound</v>
      </c>
      <c r="U76" s="19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6" t="str">
        <f t="shared" si="5"/>
        <v>https://d0f6bd738d7f1b3e5a7ca70fe4ff75f0.us-east-1.aws.found.io/app/kibana#/discover/Steve-Slow-Train-Analysis-(2080s-and-2083s)?_g=(refreshInterval:(display:Off,pause:!f,section:0,value:0),time:(from:'2017-06-30T10:09:33-0600',mode:absolute,to:'2017-06-30T12:52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76" s="197" t="str">
        <f>IF(AA76&lt;VLOOKUP(AG76,Variables!$AC$3:$AD$8,2,FALSE),"Y","N")</f>
        <v>N</v>
      </c>
      <c r="X76" s="197">
        <f t="shared" si="34"/>
        <v>1</v>
      </c>
      <c r="Y76" s="197">
        <f t="shared" si="30"/>
        <v>4.4699999999999997E-2</v>
      </c>
      <c r="Z76" s="197">
        <f t="shared" si="31"/>
        <v>23.328900000000001</v>
      </c>
      <c r="AA76" s="197">
        <f t="shared" si="9"/>
        <v>23.284200000000002</v>
      </c>
      <c r="AB76" s="54" t="e">
        <f>VLOOKUP(A76,Enforcements!$C$7:$K$13,8,0)</f>
        <v>#N/A</v>
      </c>
      <c r="AC76" s="51" t="e">
        <f>VLOOKUP(A76,Enforcements!$C$7:$E$13,3,0)</f>
        <v>#N/A</v>
      </c>
      <c r="AD76" s="206">
        <f t="shared" si="10"/>
        <v>161</v>
      </c>
      <c r="AE76" s="77" t="str">
        <f t="shared" si="11"/>
        <v>aws s3 cp s3://rtdc.mdm.uploadarchive.raw/RTDC4042/ "%USERPROFILE%\AppData\Local\Temp\OnboardLogs"\RTDC4042\2017-06-30 --exclude "*" --recursive --include "*20170630*" &amp; "%USERPROFILE%\Documents\GitHub\mrs-test-scripts\Headless Mode &amp; Sideloading\WalkAndUnGZ.bat" "%USERPROFILE%\AppData\Local\Temp\OnboardLogs"\RTDC4042\2017-06-30 &amp; aws s3 cp s3://rtdc.mdm.uploadarchive.raw/RTDC4042/ "%USERPROFILE%\AppData\Local\Temp\OnboardLogs"\RTDC4042\2017-07-01 --exclude "*" --recursive --include "*20170701*" &amp; "%USERPROFILE%\Documents\GitHub\mrs-test-scripts\Headless Mode &amp; Sideloading\WalkAndUnGZ.bat" "%USERPROFILE%\AppData\Local\Temp\OnboardLogs"\RTDC4042\2017-07-01</v>
      </c>
      <c r="AF76" s="74" t="str">
        <f t="shared" si="12"/>
        <v>"C:\Program Files (x86)\AstroGrep\AstroGrep.exe" /e /r /s /spath="%USERPROFILE%\AppData\Local\Temp\OnboardLogs" /stypes="app*4042*20170630*" /stext=" 17:.+((SYSTEM_STATE.+slice.+state.+changed )|(ment ac)|(multiple cpu faults)|(system.+state.+changed )|(\[timeout)|(PRM\|1\|D)|(kpr)|(kdp)|(train st.+moving)|(\|lc)|(penalty))"</v>
      </c>
      <c r="AG76" s="209" t="str">
        <f t="shared" si="13"/>
        <v>EC</v>
      </c>
      <c r="AH76" s="78" t="str">
        <f t="shared" si="18"/>
        <v>"%USERPROFILE%\Documents\GitHub\eaglep3\Utilities\RefineRTDCRunTimes.py" --tripid 161-30 --locoid 4042 --swversion DE.1.0.9.0 --startMP 204:447 --initTime 2017-06-30T11:09:33 --startdatetime 2017-06-30T11:15:37 --delay 2 --endMP 204:233289 --enddatetime 2017-06-30T11:52:59 --enforcementcount 0 &gt;&gt;C:\Users\stu\Documents\GitHub\eaglep3-reporting\EC\2017-06-30-refined-times.txt</v>
      </c>
      <c r="AI76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{"issue":{"subject":"","project_id":79,"tracker_id":40,"status_id":1,"priority_id":2,"assigned_to_id":23,"start_date":"2017-06-30","description":"","custom_fields":[{"id":1,"name":"Subdivision","value":"EC"},{"id":4,"name":"Milepost","value":"23.3289"},{"id":17,"name":"Train ID","value":"161-30"},{"id":16,"name":"Locomotive ID","value":"4042"},{"id":130,"name":"Impact","value":""},{"id":150,"name":"Time of Event (Mountain Time)","value":"11:52:59"},{"id":151,"name":"Denver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20"/>
        <v>start /low /b %USERPROFILE%\Documents\GitHub\eaglep3\Utilities\DownloadLogsFromS3.py --loco 4042 --day 2017-06-30</v>
      </c>
      <c r="AN76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17:52:59"},{"id":29,"name":"Sharepoint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602</v>
      </c>
      <c r="B77" s="7">
        <v>4041</v>
      </c>
      <c r="C77" s="21" t="s">
        <v>200</v>
      </c>
      <c r="D77" s="21" t="s">
        <v>436</v>
      </c>
      <c r="E77" s="13">
        <v>42916.505243055559</v>
      </c>
      <c r="F77" s="13">
        <v>42916.508553240739</v>
      </c>
      <c r="G77" s="7">
        <v>1</v>
      </c>
      <c r="H77" s="21" t="s">
        <v>407</v>
      </c>
      <c r="I77" s="13">
        <v>42916.536354166667</v>
      </c>
      <c r="J77" s="7">
        <v>0</v>
      </c>
      <c r="K77" s="89" t="str">
        <f t="shared" ref="K77:K140" si="35">IF(ISEVEN(B77),(B77-1)&amp;"/"&amp;B77,B77&amp;"/"&amp;(B77+1))</f>
        <v>4041/4042</v>
      </c>
      <c r="L77" s="21" t="str">
        <f>VLOOKUP(A77,'Trips&amp;Operators'!$C$1:$G$99999,5,FALSE)</f>
        <v>BRANDNER MELINDA</v>
      </c>
      <c r="M77" s="6">
        <f t="shared" ref="M77:M140" si="36">I77-F77</f>
        <v>2.7800925927294884E-2</v>
      </c>
      <c r="N77" s="7">
        <f t="shared" si="32"/>
        <v>40.033333335304633</v>
      </c>
      <c r="O77" s="7"/>
      <c r="P77" s="7"/>
      <c r="Q77" s="22"/>
      <c r="R77" s="170"/>
      <c r="S77" s="213">
        <f t="shared" si="33"/>
        <v>1</v>
      </c>
      <c r="T77" s="195" t="str">
        <f t="shared" ref="T77:T140" si="37">IF(ISEVEN(LEFT(AD77,4)),"Southbound","NorthBound")</f>
        <v>Southbound</v>
      </c>
      <c r="U77" s="19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6" t="str">
        <f t="shared" ref="V77:V140" si="38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-06-30T11:07:33-0600',mode:absolute,to:'2017-06-30T13:52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77" s="197" t="str">
        <f>IF(AA77&lt;VLOOKUP(AG77,Variables!$AC$3:$AD$8,2,FALSE),"Y","N")</f>
        <v>N</v>
      </c>
      <c r="X77" s="197">
        <f t="shared" si="34"/>
        <v>1</v>
      </c>
      <c r="Y77" s="197">
        <f t="shared" ref="Y77:Y96" si="39">RIGHT(D77,LEN(D77)-4)/10000</f>
        <v>23.297699999999999</v>
      </c>
      <c r="Z77" s="197">
        <f t="shared" ref="Z77:Z96" si="40">RIGHT(H77,LEN(H77)-4)/10000</f>
        <v>1.5599999999999999E-2</v>
      </c>
      <c r="AA77" s="197">
        <f t="shared" ref="AA77:AA140" si="41">ABS(Z77-Y77)</f>
        <v>23.2821</v>
      </c>
      <c r="AB77" s="54" t="e">
        <f>VLOOKUP(A77,Enforcements!$C$7:$K$13,8,0)</f>
        <v>#N/A</v>
      </c>
      <c r="AC77" s="51" t="e">
        <f>VLOOKUP(A77,Enforcements!$C$7:$E$13,3,0)</f>
        <v>#N/A</v>
      </c>
      <c r="AD77" s="206">
        <f t="shared" ref="AD77:AD140" si="42">VALUE(LEFT(A77,LEN(A77)-3))</f>
        <v>162</v>
      </c>
      <c r="AE77" s="77" t="str">
        <f t="shared" ref="AE77:AE140" si="43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s3://rtdc.mdm.uploadarchive.raw/RTDC4041/ "%USERPROFILE%\AppData\Local\Temp\OnboardLogs"\RTDC4041\2017-06-30 --exclude "*" --recursive --include "*20170630*" &amp; "%USERPROFILE%\Documents\GitHub\mrs-test-scripts\Headless Mode &amp; Sideloading\WalkAndUnGZ.bat" "%USERPROFILE%\AppData\Local\Temp\OnboardLogs"\RTDC4041\2017-06-30 &amp; aws s3 cp s3://rtdc.mdm.uploadarchive.raw/RTDC4041/ "%USERPROFILE%\AppData\Local\Temp\OnboardLogs"\RTDC4041\2017-07-01 --exclude "*" --recursive --include "*20170701*" &amp; "%USERPROFILE%\Documents\GitHub\mrs-test-scripts\Headless Mode &amp; Sideloading\WalkAndUnGZ.bat" "%USERPROFILE%\AppData\Local\Temp\OnboardLogs"\RTDC4041\2017-07-01</v>
      </c>
      <c r="AF77" s="74" t="str">
        <f t="shared" ref="AF77:AF140" si="44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/stypes="app*4041*20170630*" /stext=" 18:.+((SYSTEM_STATE.+slice.+state.+changed )|(ment ac)|(multiple cpu faults)|(system.+state.+changed )|(\[timeout)|(PRM\|1\|D)|(kpr)|(kdp)|(train st.+moving)|(\|lc)|(penalty))"</v>
      </c>
      <c r="AG77" s="209" t="str">
        <f t="shared" ref="AG77:AG140" si="45">DetSubdiv(A77)</f>
        <v>EC</v>
      </c>
      <c r="AH77" s="78" t="str">
        <f t="shared" ref="AH77:AH140" si="46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162-30 --locoid 4041 --swversion DE.1.0.9.0 --startMP 204:232977 --initTime 2017-06-30T12:07:33 --startdatetime 2017-06-30T12:12:19 --delay 1 --endMP 204:156 --enddatetime 2017-06-30T12:52:21 --enforcementcount 0 &gt;&gt;C:\Users\stu\Documents\GitHub\eaglep3-reporting\EC\2017-06-30-refined-times.txt</v>
      </c>
      <c r="AI77" s="96" t="str">
        <f t="shared" ref="AI77:AI140" si="47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{"issue":{"subject":"","project_id":79,"tracker_id":40,"status_id":1,"priority_id":2,"assigned_to_id":23,"start_date":"2017-06-30","description":"","custom_fields":[{"id":1,"name":"Subdivision","value":"EC"},{"id":4,"name":"Milepost","value":"0.0156"},{"id":17,"name":"Train ID","value":"162-30"},{"id":16,"name":"Locomotive ID","value":"4041"},{"id":130,"name":"Impact","value":""},{"id":150,"name":"Time of Event (Mountain Time)","value":"12:52:21"},{"id":151,"name":"Denver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ref="AM77:AM140" si="48">"start /low /b "&amp;dls3logs&amp;" --loco "&amp;B77&amp;" --day "&amp;TEXT(F77,"YYYY-MM-DD")</f>
        <v>start /low /b %USERPROFILE%\Documents\GitHub\eaglep3\Utilities\DownloadLogsFromS3.py --loco 4041 --day 2017-06-30</v>
      </c>
      <c r="AN77" s="151" t="str">
        <f t="shared" ref="AN77:AN140" si="49">"echo {""issue"":{""subject"":"""&amp;R77&amp;""",""project_id"":30,""tracker_id"":4,""status_id"":"&amp;redmine_status_wcr&amp;",""priority_id"":"&amp;redmine_priority_wcr&amp;",""assigned_to_id"":"&amp;redmine_assignee_wcr&amp;",""start_date"":"""&amp;TEXT(I77-utc_offset/24,"YYYY-mm-dd")&amp;""",""description"":"""&amp;AJ77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18:52:21"},{"id":29,"name":"Sharepoint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735</v>
      </c>
      <c r="B78" s="7">
        <v>4002</v>
      </c>
      <c r="C78" s="21" t="s">
        <v>200</v>
      </c>
      <c r="D78" s="21" t="s">
        <v>421</v>
      </c>
      <c r="E78" s="13">
        <v>42916.474710648145</v>
      </c>
      <c r="F78" s="13">
        <v>42916.479687500003</v>
      </c>
      <c r="G78" s="7">
        <v>1</v>
      </c>
      <c r="H78" s="21" t="s">
        <v>853</v>
      </c>
      <c r="I78" s="13">
        <v>42916.504108796296</v>
      </c>
      <c r="J78" s="7">
        <v>0</v>
      </c>
      <c r="K78" s="89" t="str">
        <f t="shared" si="35"/>
        <v>4001/4002</v>
      </c>
      <c r="L78" s="21" t="str">
        <f>VLOOKUP(A78,'Trips&amp;Operators'!$C$1:$G$99999,5,FALSE)</f>
        <v>STEWART MICHAEL</v>
      </c>
      <c r="M78" s="6">
        <f t="shared" si="36"/>
        <v>2.4421296293439809E-2</v>
      </c>
      <c r="N78" s="7">
        <f t="shared" si="32"/>
        <v>35.166666662553325</v>
      </c>
      <c r="O78" s="7"/>
      <c r="P78" s="7"/>
      <c r="Q78" s="22"/>
      <c r="R78" s="170"/>
      <c r="S78" s="213">
        <f t="shared" si="33"/>
        <v>1</v>
      </c>
      <c r="T78" s="195" t="str">
        <f t="shared" si="37"/>
        <v>NorthBound</v>
      </c>
      <c r="U78" s="19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6" t="str">
        <f t="shared" si="38"/>
        <v>https://d0f6bd738d7f1b3e5a7ca70fe4ff75f0.us-east-1.aws.found.io/app/kibana#/discover/Steve-Slow-Train-Analysis-(2080s-and-2083s)?_g=(refreshInterval:(display:Off,pause:!f,section:0,value:0),time:(from:'2017-06-30T10:23:35-0600',mode:absolute,to:'2017-06-30T13:05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78" s="197" t="str">
        <f>IF(AA78&lt;VLOOKUP(AG78,Variables!$AC$3:$AD$8,2,FALSE),"Y","N")</f>
        <v>N</v>
      </c>
      <c r="X78" s="197">
        <f t="shared" si="34"/>
        <v>1</v>
      </c>
      <c r="Y78" s="197">
        <f t="shared" si="39"/>
        <v>4.5499999999999999E-2</v>
      </c>
      <c r="Z78" s="197">
        <f t="shared" si="40"/>
        <v>23.327400000000001</v>
      </c>
      <c r="AA78" s="197">
        <f t="shared" si="41"/>
        <v>23.2819</v>
      </c>
      <c r="AB78" s="54" t="e">
        <f>VLOOKUP(A78,Enforcements!$C$7:$K$13,8,0)</f>
        <v>#N/A</v>
      </c>
      <c r="AC78" s="51" t="e">
        <f>VLOOKUP(A78,Enforcements!$C$7:$E$13,3,0)</f>
        <v>#N/A</v>
      </c>
      <c r="AD78" s="206">
        <f t="shared" si="42"/>
        <v>163</v>
      </c>
      <c r="AE78" s="77" t="str">
        <f t="shared" si="43"/>
        <v>aws s3 cp s3://rtdc.mdm.uploadarchive.raw/RTDC4002/ "%USERPROFILE%\AppData\Local\Temp\OnboardLogs"\RTDC4002\2017-06-30 --exclude "*" --recursive --include "*20170630*" &amp; "%USERPROFILE%\Documents\GitHub\mrs-test-scripts\Headless Mode &amp; Sideloading\WalkAndUnGZ.bat" "%USERPROFILE%\AppData\Local\Temp\OnboardLogs"\RTDC4002\2017-06-30 &amp; aws s3 cp s3://rtdc.mdm.uploadarchive.raw/RTDC4002/ "%USERPROFILE%\AppData\Local\Temp\OnboardLogs"\RTDC4002\2017-07-01 --exclude "*" --recursive --include "*20170701*" &amp; "%USERPROFILE%\Documents\GitHub\mrs-test-scripts\Headless Mode &amp; Sideloading\WalkAndUnGZ.bat" "%USERPROFILE%\AppData\Local\Temp\OnboardLogs"\RTDC4002\2017-07-01</v>
      </c>
      <c r="AF78" s="74" t="str">
        <f t="shared" si="44"/>
        <v>"C:\Program Files (x86)\AstroGrep\AstroGrep.exe" /e /r /s /spath="%USERPROFILE%\AppData\Local\Temp\OnboardLogs" /stypes="app*4002*20170630*" /stext=" 18:.+((SYSTEM_STATE.+slice.+state.+changed )|(ment ac)|(multiple cpu faults)|(system.+state.+changed )|(\[timeout)|(PRM\|1\|D)|(kpr)|(kdp)|(train st.+moving)|(\|lc)|(penalty))"</v>
      </c>
      <c r="AG78" s="209" t="str">
        <f t="shared" si="45"/>
        <v>EC</v>
      </c>
      <c r="AH78" s="78" t="str">
        <f t="shared" si="46"/>
        <v>"%USERPROFILE%\Documents\GitHub\eaglep3\Utilities\RefineRTDCRunTimes.py" --tripid 163-30 --locoid 4002 --swversion DE.1.0.9.0 --startMP 204:455 --initTime 2017-06-30T11:23:35 --startdatetime 2017-06-30T11:30:45 --delay 1 --endMP 204:233274 --enddatetime 2017-06-30T12:05:55 --enforcementcount 0 &gt;&gt;C:\Users\stu\Documents\GitHub\eaglep3-reporting\EC\2017-06-30-refined-times.txt</v>
      </c>
      <c r="AI78" s="96" t="str">
        <f t="shared" si="47"/>
        <v>echo {"issue":{"subject":"","project_id":79,"tracker_id":40,"status_id":1,"priority_id":2,"assigned_to_id":23,"start_date":"2017-06-30","description":"","custom_fields":[{"id":1,"name":"Subdivision","value":"EC"},{"id":4,"name":"Milepost","value":"23.3274"},{"id":17,"name":"Train ID","value":"163-30"},{"id":16,"name":"Locomotive ID","value":"4002"},{"id":130,"name":"Impact","value":""},{"id":150,"name":"Time of Event (Mountain Time)","value":"12:05:55"},{"id":151,"name":"Denver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si="48"/>
        <v>start /low /b %USERPROFILE%\Documents\GitHub\eaglep3\Utilities\DownloadLogsFromS3.py --loco 4002 --day 2017-06-30</v>
      </c>
      <c r="AN78" s="151" t="str">
        <f t="shared" si="49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18:05:55"},{"id":29,"name":"Sharepoint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746</v>
      </c>
      <c r="B79" s="7">
        <v>4001</v>
      </c>
      <c r="C79" s="21" t="s">
        <v>200</v>
      </c>
      <c r="D79" s="21" t="s">
        <v>555</v>
      </c>
      <c r="E79" s="13">
        <v>42916.516145833331</v>
      </c>
      <c r="F79" s="13">
        <v>42916.518946759257</v>
      </c>
      <c r="G79" s="7">
        <v>1</v>
      </c>
      <c r="H79" s="21" t="s">
        <v>544</v>
      </c>
      <c r="I79" s="13">
        <v>42916.545925925922</v>
      </c>
      <c r="J79" s="7">
        <v>0</v>
      </c>
      <c r="K79" s="89" t="str">
        <f t="shared" si="35"/>
        <v>4001/4002</v>
      </c>
      <c r="L79" s="21" t="str">
        <f>VLOOKUP(A79,'Trips&amp;Operators'!$C$1:$G$99999,5,FALSE)</f>
        <v>STEWART MICHAEL</v>
      </c>
      <c r="M79" s="6">
        <f t="shared" si="36"/>
        <v>2.6979166665114462E-2</v>
      </c>
      <c r="N79" s="7">
        <f t="shared" si="32"/>
        <v>38.849999997764826</v>
      </c>
      <c r="O79" s="7"/>
      <c r="P79" s="7"/>
      <c r="Q79" s="22"/>
      <c r="R79" s="170"/>
      <c r="S79" s="213">
        <f t="shared" si="33"/>
        <v>1</v>
      </c>
      <c r="T79" s="195" t="str">
        <f t="shared" si="37"/>
        <v>Southbound</v>
      </c>
      <c r="U79" s="19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6" t="str">
        <f t="shared" si="38"/>
        <v>https://d0f6bd738d7f1b3e5a7ca70fe4ff75f0.us-east-1.aws.found.io/app/kibana#/discover/Steve-Slow-Train-Analysis-(2080s-and-2083s)?_g=(refreshInterval:(display:Off,pause:!f,section:0,value:0),time:(from:'2017-06-30T11:23:15-0600',mode:absolute,to:'2017-06-30T14:06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79" s="197" t="str">
        <f>IF(AA79&lt;VLOOKUP(AG79,Variables!$AC$3:$AD$8,2,FALSE),"Y","N")</f>
        <v>N</v>
      </c>
      <c r="X79" s="197">
        <f t="shared" si="34"/>
        <v>1</v>
      </c>
      <c r="Y79" s="197">
        <f t="shared" si="39"/>
        <v>23.296299999999999</v>
      </c>
      <c r="Z79" s="197">
        <f t="shared" si="40"/>
        <v>1.67E-2</v>
      </c>
      <c r="AA79" s="197">
        <f t="shared" si="41"/>
        <v>23.279599999999999</v>
      </c>
      <c r="AB79" s="54" t="e">
        <f>VLOOKUP(A79,Enforcements!$C$7:$K$13,8,0)</f>
        <v>#N/A</v>
      </c>
      <c r="AC79" s="51" t="e">
        <f>VLOOKUP(A79,Enforcements!$C$7:$E$13,3,0)</f>
        <v>#N/A</v>
      </c>
      <c r="AD79" s="206">
        <f t="shared" si="42"/>
        <v>164</v>
      </c>
      <c r="AE79" s="77" t="str">
        <f t="shared" si="43"/>
        <v>aws s3 cp s3://rtdc.mdm.uploadarchive.raw/RTDC4001/ "%USERPROFILE%\AppData\Local\Temp\OnboardLogs"\RTDC4001\2017-06-30 --exclude "*" --recursive --include "*20170630*" &amp; "%USERPROFILE%\Documents\GitHub\mrs-test-scripts\Headless Mode &amp; Sideloading\WalkAndUnGZ.bat" "%USERPROFILE%\AppData\Local\Temp\OnboardLogs"\RTDC4001\2017-06-30 &amp; aws s3 cp s3://rtdc.mdm.uploadarchive.raw/RTDC4001/ "%USERPROFILE%\AppData\Local\Temp\OnboardLogs"\RTDC4001\2017-07-01 --exclude "*" --recursive --include "*20170701*" &amp; "%USERPROFILE%\Documents\GitHub\mrs-test-scripts\Headless Mode &amp; Sideloading\WalkAndUnGZ.bat" "%USERPROFILE%\AppData\Local\Temp\OnboardLogs"\RTDC4001\2017-07-01</v>
      </c>
      <c r="AF79" s="74" t="str">
        <f t="shared" si="44"/>
        <v>"C:\Program Files (x86)\AstroGrep\AstroGrep.exe" /e /r /s /spath="%USERPROFILE%\AppData\Local\Temp\OnboardLogs" /stypes="app*4001*20170630*" /stext=" 19:.+((SYSTEM_STATE.+slice.+state.+changed )|(ment ac)|(multiple cpu faults)|(system.+state.+changed )|(\[timeout)|(PRM\|1\|D)|(kpr)|(kdp)|(train st.+moving)|(\|lc)|(penalty))"</v>
      </c>
      <c r="AG79" s="209" t="str">
        <f t="shared" si="45"/>
        <v>EC</v>
      </c>
      <c r="AH79" s="78" t="str">
        <f t="shared" si="46"/>
        <v>"%USERPROFILE%\Documents\GitHub\eaglep3\Utilities\RefineRTDCRunTimes.py" --tripid 164-30 --locoid 4001 --swversion DE.1.0.9.0 --startMP 204:232963 --initTime 2017-06-30T12:23:15 --startdatetime 2017-06-30T12:27:17 --delay 1 --endMP 204:167 --enddatetime 2017-06-30T13:06:08 --enforcementcount 0 &gt;&gt;C:\Users\stu\Documents\GitHub\eaglep3-reporting\EC\2017-06-30-refined-times.txt</v>
      </c>
      <c r="AI79" s="96" t="str">
        <f t="shared" si="47"/>
        <v>echo {"issue":{"subject":"","project_id":79,"tracker_id":40,"status_id":1,"priority_id":2,"assigned_to_id":23,"start_date":"2017-06-30","description":"","custom_fields":[{"id":1,"name":"Subdivision","value":"EC"},{"id":4,"name":"Milepost","value":"0.0167"},{"id":17,"name":"Train ID","value":"164-30"},{"id":16,"name":"Locomotive ID","value":"4001"},{"id":130,"name":"Impact","value":""},{"id":150,"name":"Time of Event (Mountain Time)","value":"13:06:08"},{"id":151,"name":"Denver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si="48"/>
        <v>start /low /b %USERPROFILE%\Documents\GitHub\eaglep3\Utilities\DownloadLogsFromS3.py --loco 4001 --day 2017-06-30</v>
      </c>
      <c r="AN79" s="151" t="str">
        <f t="shared" si="49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19:06:08"},{"id":29,"name":"Sharepoint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739</v>
      </c>
      <c r="B80" s="7">
        <v>4024</v>
      </c>
      <c r="C80" s="21" t="s">
        <v>200</v>
      </c>
      <c r="D80" s="21" t="s">
        <v>422</v>
      </c>
      <c r="E80" s="13">
        <v>42916.483599537038</v>
      </c>
      <c r="F80" s="13">
        <v>42916.490104166667</v>
      </c>
      <c r="G80" s="7">
        <v>1</v>
      </c>
      <c r="H80" s="21" t="s">
        <v>444</v>
      </c>
      <c r="I80" s="13">
        <v>42916.5156712963</v>
      </c>
      <c r="J80" s="7">
        <v>0</v>
      </c>
      <c r="K80" s="89" t="str">
        <f t="shared" si="35"/>
        <v>4023/4024</v>
      </c>
      <c r="L80" s="21" t="str">
        <f>VLOOKUP(A80,'Trips&amp;Operators'!$C$1:$G$99999,5,FALSE)</f>
        <v>LEVERE CRAIG</v>
      </c>
      <c r="M80" s="6">
        <f t="shared" si="36"/>
        <v>2.5567129632690921E-2</v>
      </c>
      <c r="N80" s="7">
        <f t="shared" si="32"/>
        <v>36.816666671074927</v>
      </c>
      <c r="O80" s="7"/>
      <c r="P80" s="7"/>
      <c r="Q80" s="22"/>
      <c r="R80" s="170"/>
      <c r="S80" s="213">
        <f t="shared" si="33"/>
        <v>1</v>
      </c>
      <c r="T80" s="195" t="str">
        <f t="shared" si="37"/>
        <v>NorthBound</v>
      </c>
      <c r="U80" s="19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6" t="str">
        <f t="shared" si="38"/>
        <v>https://d0f6bd738d7f1b3e5a7ca70fe4ff75f0.us-east-1.aws.found.io/app/kibana#/discover/Steve-Slow-Train-Analysis-(2080s-and-2083s)?_g=(refreshInterval:(display:Off,pause:!f,section:0,value:0),time:(from:'2017-06-30T10:36:23-0600',mode:absolute,to:'2017-06-30T13:22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80" s="197" t="str">
        <f>IF(AA80&lt;VLOOKUP(AG80,Variables!$AC$3:$AD$8,2,FALSE),"Y","N")</f>
        <v>N</v>
      </c>
      <c r="X80" s="197">
        <f t="shared" si="34"/>
        <v>1</v>
      </c>
      <c r="Y80" s="197">
        <f t="shared" si="39"/>
        <v>4.6399999999999997E-2</v>
      </c>
      <c r="Z80" s="197">
        <f t="shared" si="40"/>
        <v>23.331199999999999</v>
      </c>
      <c r="AA80" s="197">
        <f t="shared" si="41"/>
        <v>23.284800000000001</v>
      </c>
      <c r="AB80" s="54" t="e">
        <f>VLOOKUP(A80,Enforcements!$C$7:$K$13,8,0)</f>
        <v>#N/A</v>
      </c>
      <c r="AC80" s="51" t="e">
        <f>VLOOKUP(A80,Enforcements!$C$7:$E$13,3,0)</f>
        <v>#N/A</v>
      </c>
      <c r="AD80" s="206">
        <f t="shared" si="42"/>
        <v>165</v>
      </c>
      <c r="AE80" s="77" t="str">
        <f t="shared" si="43"/>
        <v>aws s3 cp s3://rtdc.mdm.uploadarchive.raw/RTDC4024/ "%USERPROFILE%\AppData\Local\Temp\OnboardLogs"\RTDC4024\2017-06-30 --exclude "*" --recursive --include "*20170630*" &amp; "%USERPROFILE%\Documents\GitHub\mrs-test-scripts\Headless Mode &amp; Sideloading\WalkAndUnGZ.bat" "%USERPROFILE%\AppData\Local\Temp\OnboardLogs"\RTDC4024\2017-06-30 &amp; aws s3 cp s3://rtdc.mdm.uploadarchive.raw/RTDC4024/ "%USERPROFILE%\AppData\Local\Temp\OnboardLogs"\RTDC4024\2017-07-01 --exclude "*" --recursive --include "*20170701*" &amp; "%USERPROFILE%\Documents\GitHub\mrs-test-scripts\Headless Mode &amp; Sideloading\WalkAndUnGZ.bat" "%USERPROFILE%\AppData\Local\Temp\OnboardLogs"\RTDC4024\2017-07-01</v>
      </c>
      <c r="AF80" s="74" t="str">
        <f t="shared" si="44"/>
        <v>"C:\Program Files (x86)\AstroGrep\AstroGrep.exe" /e /r /s /spath="%USERPROFILE%\AppData\Local\Temp\OnboardLogs" /stypes="app*4024*20170630*" /stext=" 18:.+((SYSTEM_STATE.+slice.+state.+changed )|(ment ac)|(multiple cpu faults)|(system.+state.+changed )|(\[timeout)|(PRM\|1\|D)|(kpr)|(kdp)|(train st.+moving)|(\|lc)|(penalty))"</v>
      </c>
      <c r="AG80" s="209" t="str">
        <f t="shared" si="45"/>
        <v>EC</v>
      </c>
      <c r="AH80" s="78" t="str">
        <f t="shared" si="46"/>
        <v>"%USERPROFILE%\Documents\GitHub\eaglep3\Utilities\RefineRTDCRunTimes.py" --tripid 165-30 --locoid 4024 --swversion DE.1.0.9.0 --startMP 204:464 --initTime 2017-06-30T11:36:23 --startdatetime 2017-06-30T11:45:45 --delay 1 --endMP 204:233312 --enddatetime 2017-06-30T12:22:34 --enforcementcount 0 &gt;&gt;C:\Users\stu\Documents\GitHub\eaglep3-reporting\EC\2017-06-30-refined-times.txt</v>
      </c>
      <c r="AI80" s="96" t="str">
        <f t="shared" si="47"/>
        <v>echo {"issue":{"subject":"","project_id":79,"tracker_id":40,"status_id":1,"priority_id":2,"assigned_to_id":23,"start_date":"2017-06-30","description":"","custom_fields":[{"id":1,"name":"Subdivision","value":"EC"},{"id":4,"name":"Milepost","value":"23.3312"},{"id":17,"name":"Train ID","value":"165-30"},{"id":16,"name":"Locomotive ID","value":"4024"},{"id":130,"name":"Impact","value":""},{"id":150,"name":"Time of Event (Mountain Time)","value":"12:22:34"},{"id":151,"name":"Denver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si="48"/>
        <v>start /low /b %USERPROFILE%\Documents\GitHub\eaglep3\Utilities\DownloadLogsFromS3.py --loco 4024 --day 2017-06-30</v>
      </c>
      <c r="AN80" s="151" t="str">
        <f t="shared" si="49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18:22:34"},{"id":29,"name":"Sharepoint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747</v>
      </c>
      <c r="B81" s="7">
        <v>4023</v>
      </c>
      <c r="C81" s="21" t="s">
        <v>200</v>
      </c>
      <c r="D81" s="21" t="s">
        <v>547</v>
      </c>
      <c r="E81" s="13">
        <v>42916.525196759256</v>
      </c>
      <c r="F81" s="13">
        <v>42916.529791666668</v>
      </c>
      <c r="G81" s="7">
        <v>1</v>
      </c>
      <c r="H81" s="21" t="s">
        <v>882</v>
      </c>
      <c r="I81" s="13">
        <v>42916.556006944447</v>
      </c>
      <c r="J81" s="7">
        <v>0</v>
      </c>
      <c r="K81" s="89" t="str">
        <f t="shared" si="35"/>
        <v>4023/4024</v>
      </c>
      <c r="L81" s="21" t="str">
        <f>VLOOKUP(A81,'Trips&amp;Operators'!$C$1:$G$99999,5,FALSE)</f>
        <v>LEVERE CRAIG</v>
      </c>
      <c r="M81" s="6">
        <f t="shared" si="36"/>
        <v>2.6215277779556345E-2</v>
      </c>
      <c r="N81" s="7">
        <f t="shared" si="32"/>
        <v>37.750000002561137</v>
      </c>
      <c r="O81" s="7"/>
      <c r="P81" s="7"/>
      <c r="Q81" s="22"/>
      <c r="R81" s="170"/>
      <c r="S81" s="213">
        <f t="shared" si="33"/>
        <v>1</v>
      </c>
      <c r="T81" s="195" t="str">
        <f t="shared" si="37"/>
        <v>Southbound</v>
      </c>
      <c r="U81" s="19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6" t="str">
        <f t="shared" si="38"/>
        <v>https://d0f6bd738d7f1b3e5a7ca70fe4ff75f0.us-east-1.aws.found.io/app/kibana#/discover/Steve-Slow-Train-Analysis-(2080s-and-2083s)?_g=(refreshInterval:(display:Off,pause:!f,section:0,value:0),time:(from:'2017-06-30T11:36:17-0600',mode:absolute,to:'2017-06-30T14:20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81" s="197" t="str">
        <f>IF(AA81&lt;VLOOKUP(AG81,Variables!$AC$3:$AD$8,2,FALSE),"Y","N")</f>
        <v>N</v>
      </c>
      <c r="X81" s="197">
        <f t="shared" si="34"/>
        <v>1</v>
      </c>
      <c r="Y81" s="197">
        <f t="shared" si="39"/>
        <v>23.298300000000001</v>
      </c>
      <c r="Z81" s="197">
        <f t="shared" si="40"/>
        <v>1.7999999999999999E-2</v>
      </c>
      <c r="AA81" s="197">
        <f t="shared" si="41"/>
        <v>23.2803</v>
      </c>
      <c r="AB81" s="54" t="e">
        <f>VLOOKUP(A81,Enforcements!$C$7:$K$13,8,0)</f>
        <v>#N/A</v>
      </c>
      <c r="AC81" s="51" t="e">
        <f>VLOOKUP(A81,Enforcements!$C$7:$E$13,3,0)</f>
        <v>#N/A</v>
      </c>
      <c r="AD81" s="206">
        <f t="shared" si="42"/>
        <v>166</v>
      </c>
      <c r="AE81" s="77" t="str">
        <f t="shared" si="43"/>
        <v>aws s3 cp s3://rtdc.mdm.uploadarchive.raw/RTDC4023/ "%USERPROFILE%\AppData\Local\Temp\OnboardLogs"\RTDC4023\2017-06-30 --exclude "*" --recursive --include "*20170630*" &amp; "%USERPROFILE%\Documents\GitHub\mrs-test-scripts\Headless Mode &amp; Sideloading\WalkAndUnGZ.bat" "%USERPROFILE%\AppData\Local\Temp\OnboardLogs"\RTDC4023\2017-06-30 &amp; aws s3 cp s3://rtdc.mdm.uploadarchive.raw/RTDC4023/ "%USERPROFILE%\AppData\Local\Temp\OnboardLogs"\RTDC4023\2017-07-01 --exclude "*" --recursive --include "*20170701*" &amp; "%USERPROFILE%\Documents\GitHub\mrs-test-scripts\Headless Mode &amp; Sideloading\WalkAndUnGZ.bat" "%USERPROFILE%\AppData\Local\Temp\OnboardLogs"\RTDC4023\2017-07-01</v>
      </c>
      <c r="AF81" s="74" t="str">
        <f t="shared" si="44"/>
        <v>"C:\Program Files (x86)\AstroGrep\AstroGrep.exe" /e /r /s /spath="%USERPROFILE%\AppData\Local\Temp\OnboardLogs" /stypes="app*4023*20170630*" /stext=" 19:.+((SYSTEM_STATE.+slice.+state.+changed )|(ment ac)|(multiple cpu faults)|(system.+state.+changed )|(\[timeout)|(PRM\|1\|D)|(kpr)|(kdp)|(train st.+moving)|(\|lc)|(penalty))"</v>
      </c>
      <c r="AG81" s="209" t="str">
        <f t="shared" si="45"/>
        <v>EC</v>
      </c>
      <c r="AH81" s="78" t="str">
        <f t="shared" si="46"/>
        <v>"%USERPROFILE%\Documents\GitHub\eaglep3\Utilities\RefineRTDCRunTimes.py" --tripid 166-30 --locoid 4023 --swversion DE.1.0.9.0 --startMP 204:232983 --initTime 2017-06-30T12:36:17 --startdatetime 2017-06-30T12:42:54 --delay 1 --endMP 204:180 --enddatetime 2017-06-30T13:20:39 --enforcementcount 0 &gt;&gt;C:\Users\stu\Documents\GitHub\eaglep3-reporting\EC\2017-06-30-refined-times.txt</v>
      </c>
      <c r="AI81" s="96" t="str">
        <f t="shared" si="47"/>
        <v>echo {"issue":{"subject":"","project_id":79,"tracker_id":40,"status_id":1,"priority_id":2,"assigned_to_id":23,"start_date":"2017-06-30","description":"","custom_fields":[{"id":1,"name":"Subdivision","value":"EC"},{"id":4,"name":"Milepost","value":"0.018"},{"id":17,"name":"Train ID","value":"166-30"},{"id":16,"name":"Locomotive ID","value":"4023"},{"id":130,"name":"Impact","value":""},{"id":150,"name":"Time of Event (Mountain Time)","value":"13:20:39"},{"id":151,"name":"Denver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48"/>
        <v>start /low /b %USERPROFILE%\Documents\GitHub\eaglep3\Utilities\DownloadLogsFromS3.py --loco 4023 --day 2017-06-30</v>
      </c>
      <c r="AN81" s="151" t="str">
        <f t="shared" si="49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19:20:39"},{"id":29,"name":"Sharepoint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743</v>
      </c>
      <c r="B82" s="7">
        <v>4026</v>
      </c>
      <c r="C82" s="21" t="s">
        <v>200</v>
      </c>
      <c r="D82" s="21" t="s">
        <v>422</v>
      </c>
      <c r="E82" s="13">
        <v>42916.496550925927</v>
      </c>
      <c r="F82" s="13">
        <v>42916.500520833331</v>
      </c>
      <c r="G82" s="7">
        <v>1</v>
      </c>
      <c r="H82" s="21" t="s">
        <v>501</v>
      </c>
      <c r="I82" s="13">
        <v>42916.52579861111</v>
      </c>
      <c r="J82" s="7">
        <v>0</v>
      </c>
      <c r="K82" s="89" t="str">
        <f t="shared" si="35"/>
        <v>4025/4026</v>
      </c>
      <c r="L82" s="21" t="str">
        <f>VLOOKUP(A82,'Trips&amp;Operators'!$C$1:$G$99999,5,FALSE)</f>
        <v>YANG JAN</v>
      </c>
      <c r="M82" s="6">
        <f t="shared" si="36"/>
        <v>2.527777777868323E-2</v>
      </c>
      <c r="N82" s="7">
        <f t="shared" si="32"/>
        <v>36.400000001303852</v>
      </c>
      <c r="O82" s="7"/>
      <c r="P82" s="7"/>
      <c r="Q82" s="22"/>
      <c r="R82" s="170"/>
      <c r="S82" s="213">
        <f t="shared" si="33"/>
        <v>1</v>
      </c>
      <c r="T82" s="195" t="str">
        <f t="shared" si="37"/>
        <v>NorthBound</v>
      </c>
      <c r="U82" s="19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6" t="str">
        <f t="shared" si="38"/>
        <v>https://d0f6bd738d7f1b3e5a7ca70fe4ff75f0.us-east-1.aws.found.io/app/kibana#/discover/Steve-Slow-Train-Analysis-(2080s-and-2083s)?_g=(refreshInterval:(display:Off,pause:!f,section:0,value:0),time:(from:'2017-06-30T10:55:02-0600',mode:absolute,to:'2017-06-30T13:37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82" s="197" t="str">
        <f>IF(AA82&lt;VLOOKUP(AG82,Variables!$AC$3:$AD$8,2,FALSE),"Y","N")</f>
        <v>N</v>
      </c>
      <c r="X82" s="197">
        <f t="shared" si="34"/>
        <v>1</v>
      </c>
      <c r="Y82" s="197">
        <f t="shared" si="39"/>
        <v>4.6399999999999997E-2</v>
      </c>
      <c r="Z82" s="197">
        <f t="shared" si="40"/>
        <v>23.331800000000001</v>
      </c>
      <c r="AA82" s="197">
        <f t="shared" si="41"/>
        <v>23.285400000000003</v>
      </c>
      <c r="AB82" s="54" t="e">
        <f>VLOOKUP(A82,Enforcements!$C$7:$K$13,8,0)</f>
        <v>#N/A</v>
      </c>
      <c r="AC82" s="51" t="e">
        <f>VLOOKUP(A82,Enforcements!$C$7:$E$13,3,0)</f>
        <v>#N/A</v>
      </c>
      <c r="AD82" s="206">
        <f t="shared" si="42"/>
        <v>167</v>
      </c>
      <c r="AE82" s="77" t="str">
        <f t="shared" si="43"/>
        <v>aws s3 cp s3://rtdc.mdm.uploadarchive.raw/RTDC4026/ "%USERPROFILE%\AppData\Local\Temp\OnboardLogs"\RTDC4026\2017-06-30 --exclude "*" --recursive --include "*20170630*" &amp; "%USERPROFILE%\Documents\GitHub\mrs-test-scripts\Headless Mode &amp; Sideloading\WalkAndUnGZ.bat" "%USERPROFILE%\AppData\Local\Temp\OnboardLogs"\RTDC4026\2017-06-30 &amp; aws s3 cp s3://rtdc.mdm.uploadarchive.raw/RTDC4026/ "%USERPROFILE%\AppData\Local\Temp\OnboardLogs"\RTDC4026\2017-07-01 --exclude "*" --recursive --include "*20170701*" &amp; "%USERPROFILE%\Documents\GitHub\mrs-test-scripts\Headless Mode &amp; Sideloading\WalkAndUnGZ.bat" "%USERPROFILE%\AppData\Local\Temp\OnboardLogs"\RTDC4026\2017-07-01</v>
      </c>
      <c r="AF82" s="74" t="str">
        <f t="shared" si="44"/>
        <v>"C:\Program Files (x86)\AstroGrep\AstroGrep.exe" /e /r /s /spath="%USERPROFILE%\AppData\Local\Temp\OnboardLogs" /stypes="app*4026*20170630*" /stext=" 18:.+((SYSTEM_STATE.+slice.+state.+changed )|(ment ac)|(multiple cpu faults)|(system.+state.+changed )|(\[timeout)|(PRM\|1\|D)|(kpr)|(kdp)|(train st.+moving)|(\|lc)|(penalty))"</v>
      </c>
      <c r="AG82" s="209" t="str">
        <f t="shared" si="45"/>
        <v>EC</v>
      </c>
      <c r="AH82" s="78" t="str">
        <f t="shared" si="46"/>
        <v>"%USERPROFILE%\Documents\GitHub\eaglep3\Utilities\RefineRTDCRunTimes.py" --tripid 167-30 --locoid 4026 --swversion DE.1.0.9.0 --startMP 204:464 --initTime 2017-06-30T11:55:02 --startdatetime 2017-06-30T12:00:45 --delay 1 --endMP 204:233318 --enddatetime 2017-06-30T12:37:09 --enforcementcount 0 &gt;&gt;C:\Users\stu\Documents\GitHub\eaglep3-reporting\EC\2017-06-30-refined-times.txt</v>
      </c>
      <c r="AI82" s="96" t="str">
        <f t="shared" si="47"/>
        <v>echo {"issue":{"subject":"","project_id":79,"tracker_id":40,"status_id":1,"priority_id":2,"assigned_to_id":23,"start_date":"2017-06-30","description":"","custom_fields":[{"id":1,"name":"Subdivision","value":"EC"},{"id":4,"name":"Milepost","value":"23.3318"},{"id":17,"name":"Train ID","value":"167-30"},{"id":16,"name":"Locomotive ID","value":"4026"},{"id":130,"name":"Impact","value":""},{"id":150,"name":"Time of Event (Mountain Time)","value":"12:37:09"},{"id":151,"name":"Denver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48"/>
        <v>start /low /b %USERPROFILE%\Documents\GitHub\eaglep3\Utilities\DownloadLogsFromS3.py --loco 4026 --day 2017-06-30</v>
      </c>
      <c r="AN82" s="151" t="str">
        <f t="shared" si="49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18:37:09"},{"id":29,"name":"Sharepoint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748</v>
      </c>
      <c r="B83" s="7">
        <v>4025</v>
      </c>
      <c r="C83" s="21" t="s">
        <v>200</v>
      </c>
      <c r="D83" s="21" t="s">
        <v>857</v>
      </c>
      <c r="E83" s="13">
        <v>42916.536643518521</v>
      </c>
      <c r="F83" s="13">
        <v>42916.539942129632</v>
      </c>
      <c r="G83" s="7">
        <v>1</v>
      </c>
      <c r="H83" s="21" t="s">
        <v>348</v>
      </c>
      <c r="I83" s="13">
        <v>42916.566469907404</v>
      </c>
      <c r="J83" s="7">
        <v>0</v>
      </c>
      <c r="K83" s="89" t="str">
        <f t="shared" si="35"/>
        <v>4025/4026</v>
      </c>
      <c r="L83" s="21" t="str">
        <f>VLOOKUP(A83,'Trips&amp;Operators'!$C$1:$G$99999,5,FALSE)</f>
        <v>YANG JAN</v>
      </c>
      <c r="M83" s="6">
        <f t="shared" si="36"/>
        <v>2.6527777772571426E-2</v>
      </c>
      <c r="N83" s="7">
        <f t="shared" si="32"/>
        <v>38.199999992502853</v>
      </c>
      <c r="O83" s="7"/>
      <c r="P83" s="7"/>
      <c r="Q83" s="22"/>
      <c r="R83" s="170"/>
      <c r="S83" s="213">
        <f t="shared" si="33"/>
        <v>1</v>
      </c>
      <c r="T83" s="195" t="str">
        <f t="shared" si="37"/>
        <v>Southbound</v>
      </c>
      <c r="U83" s="19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6" t="str">
        <f t="shared" si="38"/>
        <v>https://d0f6bd738d7f1b3e5a7ca70fe4ff75f0.us-east-1.aws.found.io/app/kibana#/discover/Steve-Slow-Train-Analysis-(2080s-and-2083s)?_g=(refreshInterval:(display:Off,pause:!f,section:0,value:0),time:(from:'2017-06-30T11:52:46-0600',mode:absolute,to:'2017-06-30T14:35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83" s="197" t="str">
        <f>IF(AA83&lt;VLOOKUP(AG83,Variables!$AC$3:$AD$8,2,FALSE),"Y","N")</f>
        <v>N</v>
      </c>
      <c r="X83" s="197">
        <f t="shared" si="34"/>
        <v>1</v>
      </c>
      <c r="Y83" s="197">
        <f t="shared" si="39"/>
        <v>23.296900000000001</v>
      </c>
      <c r="Z83" s="197">
        <f t="shared" si="40"/>
        <v>1.43E-2</v>
      </c>
      <c r="AA83" s="197">
        <f t="shared" si="41"/>
        <v>23.282600000000002</v>
      </c>
      <c r="AB83" s="54" t="e">
        <f>VLOOKUP(A83,Enforcements!$C$7:$K$13,8,0)</f>
        <v>#N/A</v>
      </c>
      <c r="AC83" s="51" t="e">
        <f>VLOOKUP(A83,Enforcements!$C$7:$E$13,3,0)</f>
        <v>#N/A</v>
      </c>
      <c r="AD83" s="206">
        <f t="shared" si="42"/>
        <v>168</v>
      </c>
      <c r="AE83" s="77" t="str">
        <f t="shared" si="43"/>
        <v>aws s3 cp s3://rtdc.mdm.uploadarchive.raw/RTDC4025/ "%USERPROFILE%\AppData\Local\Temp\OnboardLogs"\RTDC4025\2017-06-30 --exclude "*" --recursive --include "*20170630*" &amp; "%USERPROFILE%\Documents\GitHub\mrs-test-scripts\Headless Mode &amp; Sideloading\WalkAndUnGZ.bat" "%USERPROFILE%\AppData\Local\Temp\OnboardLogs"\RTDC4025\2017-06-30 &amp; aws s3 cp s3://rtdc.mdm.uploadarchive.raw/RTDC4025/ "%USERPROFILE%\AppData\Local\Temp\OnboardLogs"\RTDC4025\2017-07-01 --exclude "*" --recursive --include "*20170701*" &amp; "%USERPROFILE%\Documents\GitHub\mrs-test-scripts\Headless Mode &amp; Sideloading\WalkAndUnGZ.bat" "%USERPROFILE%\AppData\Local\Temp\OnboardLogs"\RTDC4025\2017-07-01</v>
      </c>
      <c r="AF83" s="74" t="str">
        <f t="shared" si="44"/>
        <v>"C:\Program Files (x86)\AstroGrep\AstroGrep.exe" /e /r /s /spath="%USERPROFILE%\AppData\Local\Temp\OnboardLogs" /stypes="app*4025*20170630*" /stext=" 19:.+((SYSTEM_STATE.+slice.+state.+changed )|(ment ac)|(multiple cpu faults)|(system.+state.+changed )|(\[timeout)|(PRM\|1\|D)|(kpr)|(kdp)|(train st.+moving)|(\|lc)|(penalty))"</v>
      </c>
      <c r="AG83" s="209" t="str">
        <f t="shared" si="45"/>
        <v>EC</v>
      </c>
      <c r="AH83" s="78" t="str">
        <f t="shared" si="46"/>
        <v>"%USERPROFILE%\Documents\GitHub\eaglep3\Utilities\RefineRTDCRunTimes.py" --tripid 168-30 --locoid 4025 --swversion DE.1.0.9.0 --startMP 204:232969 --initTime 2017-06-30T12:52:46 --startdatetime 2017-06-30T12:57:31 --delay 1 --endMP 204:143 --enddatetime 2017-06-30T13:35:43 --enforcementcount 0 &gt;&gt;C:\Users\stu\Documents\GitHub\eaglep3-reporting\EC\2017-06-30-refined-times.txt</v>
      </c>
      <c r="AI83" s="96" t="str">
        <f t="shared" si="47"/>
        <v>echo {"issue":{"subject":"","project_id":79,"tracker_id":40,"status_id":1,"priority_id":2,"assigned_to_id":23,"start_date":"2017-06-30","description":"","custom_fields":[{"id":1,"name":"Subdivision","value":"EC"},{"id":4,"name":"Milepost","value":"0.0143"},{"id":17,"name":"Train ID","value":"168-30"},{"id":16,"name":"Locomotive ID","value":"4025"},{"id":130,"name":"Impact","value":""},{"id":150,"name":"Time of Event (Mountain Time)","value":"13:35:43"},{"id":151,"name":"Denver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48"/>
        <v>start /low /b %USERPROFILE%\Documents\GitHub\eaglep3\Utilities\DownloadLogsFromS3.py --loco 4025 --day 2017-06-30</v>
      </c>
      <c r="AN83" s="151" t="str">
        <f t="shared" si="49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19:35:43"},{"id":29,"name":"Sharepoint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745</v>
      </c>
      <c r="B84" s="7">
        <v>4044</v>
      </c>
      <c r="C84" s="21" t="s">
        <v>200</v>
      </c>
      <c r="D84" s="21" t="s">
        <v>438</v>
      </c>
      <c r="E84" s="13">
        <v>42916.506249999999</v>
      </c>
      <c r="F84" s="13">
        <v>42916.510613425926</v>
      </c>
      <c r="G84" s="7">
        <v>2</v>
      </c>
      <c r="H84" s="21" t="s">
        <v>883</v>
      </c>
      <c r="I84" s="13">
        <v>42916.536203703705</v>
      </c>
      <c r="J84" s="7">
        <v>0</v>
      </c>
      <c r="K84" s="89" t="str">
        <f t="shared" si="35"/>
        <v>4043/4044</v>
      </c>
      <c r="L84" s="21" t="str">
        <f>VLOOKUP(A84,'Trips&amp;Operators'!$C$1:$G$99999,5,FALSE)</f>
        <v>LEVIN SCOTT</v>
      </c>
      <c r="M84" s="6">
        <f t="shared" si="36"/>
        <v>2.5590277778974269E-2</v>
      </c>
      <c r="N84" s="7">
        <f t="shared" si="32"/>
        <v>36.850000001722947</v>
      </c>
      <c r="O84" s="7"/>
      <c r="P84" s="7"/>
      <c r="Q84" s="22"/>
      <c r="R84" s="170"/>
      <c r="S84" s="213">
        <f t="shared" si="33"/>
        <v>1</v>
      </c>
      <c r="T84" s="195" t="str">
        <f t="shared" si="37"/>
        <v>NorthBound</v>
      </c>
      <c r="U84" s="19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6" t="str">
        <f t="shared" si="38"/>
        <v>https://d0f6bd738d7f1b3e5a7ca70fe4ff75f0.us-east-1.aws.found.io/app/kibana#/discover/Steve-Slow-Train-Analysis-(2080s-and-2083s)?_g=(refreshInterval:(display:Off,pause:!f,section:0,value:0),time:(from:'2017-06-30T11:09:00-0600',mode:absolute,to:'2017-06-30T13:52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84" s="197" t="str">
        <f>IF(AA84&lt;VLOOKUP(AG84,Variables!$AC$3:$AD$8,2,FALSE),"Y","N")</f>
        <v>N</v>
      </c>
      <c r="X84" s="197">
        <f t="shared" si="34"/>
        <v>1</v>
      </c>
      <c r="Y84" s="197">
        <f t="shared" si="39"/>
        <v>4.58E-2</v>
      </c>
      <c r="Z84" s="197">
        <f t="shared" si="40"/>
        <v>23.334599999999998</v>
      </c>
      <c r="AA84" s="197">
        <f t="shared" si="41"/>
        <v>23.288799999999998</v>
      </c>
      <c r="AB84" s="54" t="e">
        <f>VLOOKUP(A84,Enforcements!$C$7:$K$13,8,0)</f>
        <v>#N/A</v>
      </c>
      <c r="AC84" s="51" t="e">
        <f>VLOOKUP(A84,Enforcements!$C$7:$E$13,3,0)</f>
        <v>#N/A</v>
      </c>
      <c r="AD84" s="206">
        <f t="shared" si="42"/>
        <v>169</v>
      </c>
      <c r="AE84" s="77" t="str">
        <f t="shared" si="43"/>
        <v>aws s3 cp s3://rtdc.mdm.uploadarchive.raw/RTDC4044/ "%USERPROFILE%\AppData\Local\Temp\OnboardLogs"\RTDC4044\2017-06-30 --exclude "*" --recursive --include "*20170630*" &amp; "%USERPROFILE%\Documents\GitHub\mrs-test-scripts\Headless Mode &amp; Sideloading\WalkAndUnGZ.bat" "%USERPROFILE%\AppData\Local\Temp\OnboardLogs"\RTDC4044\2017-06-30 &amp; aws s3 cp s3://rtdc.mdm.uploadarchive.raw/RTDC4044/ "%USERPROFILE%\AppData\Local\Temp\OnboardLogs"\RTDC4044\2017-07-01 --exclude "*" --recursive --include "*20170701*" &amp; "%USERPROFILE%\Documents\GitHub\mrs-test-scripts\Headless Mode &amp; Sideloading\WalkAndUnGZ.bat" "%USERPROFILE%\AppData\Local\Temp\OnboardLogs"\RTDC4044\2017-07-01</v>
      </c>
      <c r="AF84" s="74" t="str">
        <f t="shared" si="44"/>
        <v>"C:\Program Files (x86)\AstroGrep\AstroGrep.exe" /e /r /s /spath="%USERPROFILE%\AppData\Local\Temp\OnboardLogs" /stypes="app*4044*20170630*" /stext=" 18:.+((SYSTEM_STATE.+slice.+state.+changed )|(ment ac)|(multiple cpu faults)|(system.+state.+changed )|(\[timeout)|(PRM\|1\|D)|(kpr)|(kdp)|(train st.+moving)|(\|lc)|(penalty))"</v>
      </c>
      <c r="AG84" s="209" t="str">
        <f t="shared" si="45"/>
        <v>EC</v>
      </c>
      <c r="AH84" s="78" t="str">
        <f t="shared" si="46"/>
        <v>"%USERPROFILE%\Documents\GitHub\eaglep3\Utilities\RefineRTDCRunTimes.py" --tripid 169-30 --locoid 4044 --swversion DE.1.0.9.0 --startMP 204:458 --initTime 2017-06-30T12:09:00 --startdatetime 2017-06-30T12:15:17 --delay 2 --endMP 204:233346 --enddatetime 2017-06-30T12:52:08 --enforcementcount 0 &gt;&gt;C:\Users\stu\Documents\GitHub\eaglep3-reporting\EC\2017-06-30-refined-times.txt</v>
      </c>
      <c r="AI84" s="96" t="str">
        <f t="shared" si="47"/>
        <v>echo {"issue":{"subject":"","project_id":79,"tracker_id":40,"status_id":1,"priority_id":2,"assigned_to_id":23,"start_date":"2017-06-30","description":"","custom_fields":[{"id":1,"name":"Subdivision","value":"EC"},{"id":4,"name":"Milepost","value":"23.3346"},{"id":17,"name":"Train ID","value":"169-30"},{"id":16,"name":"Locomotive ID","value":"4044"},{"id":130,"name":"Impact","value":""},{"id":150,"name":"Time of Event (Mountain Time)","value":"12:52:08"},{"id":151,"name":"Denver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48"/>
        <v>start /low /b %USERPROFILE%\Documents\GitHub\eaglep3\Utilities\DownloadLogsFromS3.py --loco 4044 --day 2017-06-30</v>
      </c>
      <c r="AN84" s="151" t="str">
        <f t="shared" si="49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18:52:08"},{"id":29,"name":"Sharepoint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751</v>
      </c>
      <c r="B85" s="7">
        <v>4043</v>
      </c>
      <c r="C85" s="21" t="s">
        <v>200</v>
      </c>
      <c r="D85" s="21" t="s">
        <v>884</v>
      </c>
      <c r="E85" s="13">
        <v>42916.548206018517</v>
      </c>
      <c r="F85" s="13">
        <v>42916.550173611111</v>
      </c>
      <c r="G85" s="7">
        <v>1</v>
      </c>
      <c r="H85" s="21" t="s">
        <v>348</v>
      </c>
      <c r="I85" s="13">
        <v>42916.576284722221</v>
      </c>
      <c r="J85" s="7">
        <v>0</v>
      </c>
      <c r="K85" s="89" t="str">
        <f t="shared" si="35"/>
        <v>4043/4044</v>
      </c>
      <c r="L85" s="21" t="str">
        <f>VLOOKUP(A85,'Trips&amp;Operators'!$C$1:$G$99999,5,FALSE)</f>
        <v>LEVIN SCOTT</v>
      </c>
      <c r="M85" s="6">
        <f t="shared" si="36"/>
        <v>2.6111111110367347E-2</v>
      </c>
      <c r="N85" s="7">
        <f t="shared" si="32"/>
        <v>37.599999998928979</v>
      </c>
      <c r="O85" s="7"/>
      <c r="P85" s="7"/>
      <c r="Q85" s="22"/>
      <c r="R85" s="170"/>
      <c r="S85" s="213">
        <f t="shared" si="33"/>
        <v>1</v>
      </c>
      <c r="T85" s="195" t="str">
        <f t="shared" si="37"/>
        <v>Southbound</v>
      </c>
      <c r="U85" s="19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6" t="str">
        <f t="shared" si="38"/>
        <v>https://d0f6bd738d7f1b3e5a7ca70fe4ff75f0.us-east-1.aws.found.io/app/kibana#/discover/Steve-Slow-Train-Analysis-(2080s-and-2083s)?_g=(refreshInterval:(display:Off,pause:!f,section:0,value:0),time:(from:'2017-06-30T12:09:25-0600',mode:absolute,to:'2017-06-30T14:49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85" s="197" t="str">
        <f>IF(AA85&lt;VLOOKUP(AG85,Variables!$AC$3:$AD$8,2,FALSE),"Y","N")</f>
        <v>N</v>
      </c>
      <c r="X85" s="197">
        <f t="shared" si="34"/>
        <v>1</v>
      </c>
      <c r="Y85" s="197">
        <f t="shared" si="39"/>
        <v>23.3093</v>
      </c>
      <c r="Z85" s="197">
        <f t="shared" si="40"/>
        <v>1.43E-2</v>
      </c>
      <c r="AA85" s="197">
        <f t="shared" si="41"/>
        <v>23.295000000000002</v>
      </c>
      <c r="AB85" s="54" t="e">
        <f>VLOOKUP(A85,Enforcements!$C$7:$K$13,8,0)</f>
        <v>#N/A</v>
      </c>
      <c r="AC85" s="51" t="e">
        <f>VLOOKUP(A85,Enforcements!$C$7:$E$13,3,0)</f>
        <v>#N/A</v>
      </c>
      <c r="AD85" s="206">
        <f t="shared" si="42"/>
        <v>170</v>
      </c>
      <c r="AE85" s="77" t="str">
        <f t="shared" si="43"/>
        <v>aws s3 cp s3://rtdc.mdm.uploadarchive.raw/RTDC4043/ "%USERPROFILE%\AppData\Local\Temp\OnboardLogs"\RTDC4043\2017-06-30 --exclude "*" --recursive --include "*20170630*" &amp; "%USERPROFILE%\Documents\GitHub\mrs-test-scripts\Headless Mode &amp; Sideloading\WalkAndUnGZ.bat" "%USERPROFILE%\AppData\Local\Temp\OnboardLogs"\RTDC4043\2017-06-30 &amp; aws s3 cp s3://rtdc.mdm.uploadarchive.raw/RTDC4043/ "%USERPROFILE%\AppData\Local\Temp\OnboardLogs"\RTDC4043\2017-07-01 --exclude "*" --recursive --include "*20170701*" &amp; "%USERPROFILE%\Documents\GitHub\mrs-test-scripts\Headless Mode &amp; Sideloading\WalkAndUnGZ.bat" "%USERPROFILE%\AppData\Local\Temp\OnboardLogs"\RTDC4043\2017-07-01</v>
      </c>
      <c r="AF85" s="74" t="str">
        <f t="shared" si="44"/>
        <v>"C:\Program Files (x86)\AstroGrep\AstroGrep.exe" /e /r /s /spath="%USERPROFILE%\AppData\Local\Temp\OnboardLogs" /stypes="app*4043*20170630*" /stext=" 19:.+((SYSTEM_STATE.+slice.+state.+changed )|(ment ac)|(multiple cpu faults)|(system.+state.+changed )|(\[timeout)|(PRM\|1\|D)|(kpr)|(kdp)|(train st.+moving)|(\|lc)|(penalty))"</v>
      </c>
      <c r="AG85" s="209" t="str">
        <f t="shared" si="45"/>
        <v>EC</v>
      </c>
      <c r="AH85" s="78" t="str">
        <f t="shared" si="46"/>
        <v>"%USERPROFILE%\Documents\GitHub\eaglep3\Utilities\RefineRTDCRunTimes.py" --tripid 170-30 --locoid 4043 --swversion DE.1.0.9.0 --startMP 204:233093 --initTime 2017-06-30T13:09:25 --startdatetime 2017-06-30T13:12:15 --delay 1 --endMP 204:143 --enddatetime 2017-06-30T13:49:51 --enforcementcount 0 &gt;&gt;C:\Users\stu\Documents\GitHub\eaglep3-reporting\EC\2017-06-30-refined-times.txt</v>
      </c>
      <c r="AI85" s="96" t="str">
        <f t="shared" si="47"/>
        <v>echo {"issue":{"subject":"","project_id":79,"tracker_id":40,"status_id":1,"priority_id":2,"assigned_to_id":23,"start_date":"2017-06-30","description":"","custom_fields":[{"id":1,"name":"Subdivision","value":"EC"},{"id":4,"name":"Milepost","value":"0.0143"},{"id":17,"name":"Train ID","value":"170-30"},{"id":16,"name":"Locomotive ID","value":"4043"},{"id":130,"name":"Impact","value":""},{"id":150,"name":"Time of Event (Mountain Time)","value":"13:49:51"},{"id":151,"name":"Denver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48"/>
        <v>start /low /b %USERPROFILE%\Documents\GitHub\eaglep3\Utilities\DownloadLogsFromS3.py --loco 4043 --day 2017-06-30</v>
      </c>
      <c r="AN85" s="151" t="str">
        <f t="shared" si="49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19:49:51"},{"id":29,"name":"Sharepoint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604</v>
      </c>
      <c r="B86" s="7">
        <v>4032</v>
      </c>
      <c r="C86" s="21" t="s">
        <v>200</v>
      </c>
      <c r="D86" s="21" t="s">
        <v>196</v>
      </c>
      <c r="E86" s="13">
        <v>42916.515706018516</v>
      </c>
      <c r="F86" s="13">
        <v>42916.521331018521</v>
      </c>
      <c r="G86" s="7">
        <v>1</v>
      </c>
      <c r="H86" s="21" t="s">
        <v>885</v>
      </c>
      <c r="I86" s="13">
        <v>42916.546273148146</v>
      </c>
      <c r="J86" s="7">
        <v>0</v>
      </c>
      <c r="K86" s="89" t="str">
        <f t="shared" si="35"/>
        <v>4031/4032</v>
      </c>
      <c r="L86" s="21" t="str">
        <f>VLOOKUP(A86,'Trips&amp;Operators'!$C$1:$G$99999,5,FALSE)</f>
        <v>SULLIVAN BRANDON</v>
      </c>
      <c r="M86" s="6">
        <f t="shared" si="36"/>
        <v>2.4942129624832887E-2</v>
      </c>
      <c r="N86" s="7">
        <f t="shared" si="32"/>
        <v>35.916666659759358</v>
      </c>
      <c r="O86" s="7"/>
      <c r="P86" s="7"/>
      <c r="Q86" s="22"/>
      <c r="R86" s="170"/>
      <c r="S86" s="213">
        <f t="shared" si="33"/>
        <v>1</v>
      </c>
      <c r="T86" s="195" t="str">
        <f t="shared" si="37"/>
        <v>NorthBound</v>
      </c>
      <c r="U86" s="19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6" t="str">
        <f t="shared" si="38"/>
        <v>https://d0f6bd738d7f1b3e5a7ca70fe4ff75f0.us-east-1.aws.found.io/app/kibana#/discover/Steve-Slow-Train-Analysis-(2080s-and-2083s)?_g=(refreshInterval:(display:Off,pause:!f,section:0,value:0),time:(from:'2017-06-30T11:22:37-0600',mode:absolute,to:'2017-06-30T14:06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86" s="197" t="str">
        <f>IF(AA86&lt;VLOOKUP(AG86,Variables!$AC$3:$AD$8,2,FALSE),"Y","N")</f>
        <v>N</v>
      </c>
      <c r="X86" s="197">
        <f t="shared" si="34"/>
        <v>1</v>
      </c>
      <c r="Y86" s="197">
        <f t="shared" si="39"/>
        <v>4.5699999999999998E-2</v>
      </c>
      <c r="Z86" s="197">
        <f t="shared" si="40"/>
        <v>23.335899999999999</v>
      </c>
      <c r="AA86" s="197">
        <f t="shared" si="41"/>
        <v>23.290199999999999</v>
      </c>
      <c r="AB86" s="54" t="e">
        <f>VLOOKUP(A86,Enforcements!$C$7:$K$13,8,0)</f>
        <v>#N/A</v>
      </c>
      <c r="AC86" s="51" t="e">
        <f>VLOOKUP(A86,Enforcements!$C$7:$E$13,3,0)</f>
        <v>#N/A</v>
      </c>
      <c r="AD86" s="206">
        <f t="shared" si="42"/>
        <v>171</v>
      </c>
      <c r="AE86" s="77" t="str">
        <f t="shared" si="43"/>
        <v>aws s3 cp s3://rtdc.mdm.uploadarchive.raw/RTDC4032/ "%USERPROFILE%\AppData\Local\Temp\OnboardLogs"\RTDC4032\2017-06-30 --exclude "*" --recursive --include "*20170630*" &amp; "%USERPROFILE%\Documents\GitHub\mrs-test-scripts\Headless Mode &amp; Sideloading\WalkAndUnGZ.bat" "%USERPROFILE%\AppData\Local\Temp\OnboardLogs"\RTDC4032\2017-06-30 &amp; aws s3 cp s3://rtdc.mdm.uploadarchive.raw/RTDC4032/ "%USERPROFILE%\AppData\Local\Temp\OnboardLogs"\RTDC4032\2017-07-01 --exclude "*" --recursive --include "*20170701*" &amp; "%USERPROFILE%\Documents\GitHub\mrs-test-scripts\Headless Mode &amp; Sideloading\WalkAndUnGZ.bat" "%USERPROFILE%\AppData\Local\Temp\OnboardLogs"\RTDC4032\2017-07-01</v>
      </c>
      <c r="AF86" s="74" t="str">
        <f t="shared" si="44"/>
        <v>"C:\Program Files (x86)\AstroGrep\AstroGrep.exe" /e /r /s /spath="%USERPROFILE%\AppData\Local\Temp\OnboardLogs" /stypes="app*4032*20170630*" /stext=" 19:.+((SYSTEM_STATE.+slice.+state.+changed )|(ment ac)|(multiple cpu faults)|(system.+state.+changed )|(\[timeout)|(PRM\|1\|D)|(kpr)|(kdp)|(train st.+moving)|(\|lc)|(penalty))"</v>
      </c>
      <c r="AG86" s="209" t="str">
        <f t="shared" si="45"/>
        <v>EC</v>
      </c>
      <c r="AH86" s="78" t="str">
        <f t="shared" si="46"/>
        <v>"%USERPROFILE%\Documents\GitHub\eaglep3\Utilities\RefineRTDCRunTimes.py" --tripid 171-30 --locoid 4032 --swversion DE.1.0.9.0 --startMP 204:457 --initTime 2017-06-30T12:22:37 --startdatetime 2017-06-30T12:30:43 --delay 1 --endMP 204:233359 --enddatetime 2017-06-30T13:06:38 --enforcementcount 0 &gt;&gt;C:\Users\stu\Documents\GitHub\eaglep3-reporting\EC\2017-06-30-refined-times.txt</v>
      </c>
      <c r="AI86" s="96" t="str">
        <f t="shared" si="47"/>
        <v>echo {"issue":{"subject":"","project_id":79,"tracker_id":40,"status_id":1,"priority_id":2,"assigned_to_id":23,"start_date":"2017-06-30","description":"","custom_fields":[{"id":1,"name":"Subdivision","value":"EC"},{"id":4,"name":"Milepost","value":"23.3359"},{"id":17,"name":"Train ID","value":"171-30"},{"id":16,"name":"Locomotive ID","value":"4032"},{"id":130,"name":"Impact","value":""},{"id":150,"name":"Time of Event (Mountain Time)","value":"13:06:38"},{"id":151,"name":"Denver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48"/>
        <v>start /low /b %USERPROFILE%\Documents\GitHub\eaglep3\Utilities\DownloadLogsFromS3.py --loco 4032 --day 2017-06-30</v>
      </c>
      <c r="AN86" s="151" t="str">
        <f t="shared" si="49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19:06:38"},{"id":29,"name":"Sharepoint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753</v>
      </c>
      <c r="B87" s="7">
        <v>4031</v>
      </c>
      <c r="C87" s="21" t="s">
        <v>200</v>
      </c>
      <c r="D87" s="21" t="s">
        <v>886</v>
      </c>
      <c r="E87" s="13">
        <v>42916.554155092592</v>
      </c>
      <c r="F87" s="13">
        <v>42916.560590277775</v>
      </c>
      <c r="G87" s="7">
        <v>1</v>
      </c>
      <c r="H87" s="21" t="s">
        <v>356</v>
      </c>
      <c r="I87" s="13">
        <v>42916.588240740741</v>
      </c>
      <c r="J87" s="7">
        <v>0</v>
      </c>
      <c r="K87" s="89" t="str">
        <f t="shared" si="35"/>
        <v>4031/4032</v>
      </c>
      <c r="L87" s="21" t="str">
        <f>VLOOKUP(A87,'Trips&amp;Operators'!$C$1:$G$99999,5,FALSE)</f>
        <v>SULLIVAN BRANDON</v>
      </c>
      <c r="M87" s="6">
        <f t="shared" si="36"/>
        <v>2.7650462965539191E-2</v>
      </c>
      <c r="N87" s="7">
        <f t="shared" si="32"/>
        <v>39.816666670376435</v>
      </c>
      <c r="O87" s="7"/>
      <c r="P87" s="7"/>
      <c r="Q87" s="22"/>
      <c r="R87" s="170"/>
      <c r="S87" s="213">
        <f t="shared" si="33"/>
        <v>1</v>
      </c>
      <c r="T87" s="195" t="str">
        <f t="shared" si="37"/>
        <v>Southbound</v>
      </c>
      <c r="U87" s="19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6" t="str">
        <f t="shared" si="38"/>
        <v>https://d0f6bd738d7f1b3e5a7ca70fe4ff75f0.us-east-1.aws.found.io/app/kibana#/discover/Steve-Slow-Train-Analysis-(2080s-and-2083s)?_g=(refreshInterval:(display:Off,pause:!f,section:0,value:0),time:(from:'2017-06-30T12:17:59-0600',mode:absolute,to:'2017-06-30T15:07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87" s="197" t="str">
        <f>IF(AA87&lt;VLOOKUP(AG87,Variables!$AC$3:$AD$8,2,FALSE),"Y","N")</f>
        <v>N</v>
      </c>
      <c r="X87" s="197">
        <f t="shared" si="34"/>
        <v>1</v>
      </c>
      <c r="Y87" s="197">
        <f t="shared" si="39"/>
        <v>23.303000000000001</v>
      </c>
      <c r="Z87" s="197">
        <f t="shared" si="40"/>
        <v>1.41E-2</v>
      </c>
      <c r="AA87" s="197">
        <f t="shared" si="41"/>
        <v>23.288900000000002</v>
      </c>
      <c r="AB87" s="54" t="e">
        <f>VLOOKUP(A87,Enforcements!$C$7:$K$13,8,0)</f>
        <v>#N/A</v>
      </c>
      <c r="AC87" s="51" t="e">
        <f>VLOOKUP(A87,Enforcements!$C$7:$E$13,3,0)</f>
        <v>#N/A</v>
      </c>
      <c r="AD87" s="206">
        <f t="shared" si="42"/>
        <v>172</v>
      </c>
      <c r="AE87" s="77" t="str">
        <f t="shared" si="43"/>
        <v>aws s3 cp s3://rtdc.mdm.uploadarchive.raw/RTDC4031/ "%USERPROFILE%\AppData\Local\Temp\OnboardLogs"\RTDC4031\2017-06-30 --exclude "*" --recursive --include "*20170630*" &amp; "%USERPROFILE%\Documents\GitHub\mrs-test-scripts\Headless Mode &amp; Sideloading\WalkAndUnGZ.bat" "%USERPROFILE%\AppData\Local\Temp\OnboardLogs"\RTDC4031\2017-06-30 &amp; aws s3 cp s3://rtdc.mdm.uploadarchive.raw/RTDC4031/ "%USERPROFILE%\AppData\Local\Temp\OnboardLogs"\RTDC4031\2017-07-01 --exclude "*" --recursive --include "*20170701*" &amp; "%USERPROFILE%\Documents\GitHub\mrs-test-scripts\Headless Mode &amp; Sideloading\WalkAndUnGZ.bat" "%USERPROFILE%\AppData\Local\Temp\OnboardLogs"\RTDC4031\2017-07-01</v>
      </c>
      <c r="AF87" s="74" t="str">
        <f t="shared" si="44"/>
        <v>"C:\Program Files (x86)\AstroGrep\AstroGrep.exe" /e /r /s /spath="%USERPROFILE%\AppData\Local\Temp\OnboardLogs" /stypes="app*4031*20170630*" /stext=" 20:.+((SYSTEM_STATE.+slice.+state.+changed )|(ment ac)|(multiple cpu faults)|(system.+state.+changed )|(\[timeout)|(PRM\|1\|D)|(kpr)|(kdp)|(train st.+moving)|(\|lc)|(penalty))"</v>
      </c>
      <c r="AG87" s="209" t="str">
        <f t="shared" si="45"/>
        <v>EC</v>
      </c>
      <c r="AH87" s="78" t="str">
        <f t="shared" si="46"/>
        <v>"%USERPROFILE%\Documents\GitHub\eaglep3\Utilities\RefineRTDCRunTimes.py" --tripid 172-30 --locoid 4031 --swversion DE.1.0.9.0 --startMP 204:233030 --initTime 2017-06-30T13:17:59 --startdatetime 2017-06-30T13:27:15 --delay 1 --endMP 204:141 --enddatetime 2017-06-30T14:07:04 --enforcementcount 0 &gt;&gt;C:\Users\stu\Documents\GitHub\eaglep3-reporting\EC\2017-06-30-refined-times.txt</v>
      </c>
      <c r="AI87" s="96" t="str">
        <f t="shared" si="47"/>
        <v>echo {"issue":{"subject":"","project_id":79,"tracker_id":40,"status_id":1,"priority_id":2,"assigned_to_id":23,"start_date":"2017-06-30","description":"","custom_fields":[{"id":1,"name":"Subdivision","value":"EC"},{"id":4,"name":"Milepost","value":"0.0141"},{"id":17,"name":"Train ID","value":"172-30"},{"id":16,"name":"Locomotive ID","value":"4031"},{"id":130,"name":"Impact","value":""},{"id":150,"name":"Time of Event (Mountain Time)","value":"14:07:04"},{"id":151,"name":"Denver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48"/>
        <v>start /low /b %USERPROFILE%\Documents\GitHub\eaglep3\Utilities\DownloadLogsFromS3.py --loco 4031 --day 2017-06-30</v>
      </c>
      <c r="AN87" s="151" t="str">
        <f t="shared" si="49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20:07:04"},{"id":29,"name":"Sharepoint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x14ac:dyDescent="0.25">
      <c r="A88" s="32" t="s">
        <v>605</v>
      </c>
      <c r="B88" s="7">
        <v>4040</v>
      </c>
      <c r="C88" s="21" t="s">
        <v>200</v>
      </c>
      <c r="D88" s="21" t="s">
        <v>387</v>
      </c>
      <c r="E88" s="13">
        <v>42916.525925925926</v>
      </c>
      <c r="F88" s="13">
        <v>42916.531539351854</v>
      </c>
      <c r="G88" s="7">
        <v>1</v>
      </c>
      <c r="H88" s="21" t="s">
        <v>502</v>
      </c>
      <c r="I88" s="13">
        <v>42916.556250000001</v>
      </c>
      <c r="J88" s="7">
        <v>0</v>
      </c>
      <c r="K88" s="89" t="str">
        <f t="shared" si="35"/>
        <v>4039/4040</v>
      </c>
      <c r="L88" s="21" t="str">
        <f>VLOOKUP(A88,'Trips&amp;Operators'!$C$1:$G$99999,5,FALSE)</f>
        <v>HOLCOMB KAMDEN</v>
      </c>
      <c r="M88" s="6">
        <f t="shared" si="36"/>
        <v>2.47106481474475E-2</v>
      </c>
      <c r="N88" s="7">
        <f t="shared" si="32"/>
        <v>35.583333332324401</v>
      </c>
      <c r="O88" s="7"/>
      <c r="P88" s="7"/>
      <c r="Q88" s="22"/>
      <c r="R88" s="170"/>
      <c r="S88" s="213">
        <f t="shared" si="33"/>
        <v>1</v>
      </c>
      <c r="T88" s="195" t="str">
        <f t="shared" si="37"/>
        <v>NorthBound</v>
      </c>
      <c r="U88" s="19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6" t="str">
        <f t="shared" si="38"/>
        <v>https://d0f6bd738d7f1b3e5a7ca70fe4ff75f0.us-east-1.aws.found.io/app/kibana#/discover/Steve-Slow-Train-Analysis-(2080s-and-2083s)?_g=(refreshInterval:(display:Off,pause:!f,section:0,value:0),time:(from:'2017-06-30T11:37:20-0600',mode:absolute,to:'2017-06-30T14:21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88" s="197" t="str">
        <f>IF(AA88&lt;VLOOKUP(AG88,Variables!$AC$3:$AD$8,2,FALSE),"Y","N")</f>
        <v>N</v>
      </c>
      <c r="X88" s="197">
        <f t="shared" si="34"/>
        <v>1</v>
      </c>
      <c r="Y88" s="197">
        <f t="shared" si="39"/>
        <v>4.6199999999999998E-2</v>
      </c>
      <c r="Z88" s="197">
        <f t="shared" si="40"/>
        <v>23.3323</v>
      </c>
      <c r="AA88" s="197">
        <f t="shared" si="41"/>
        <v>23.286100000000001</v>
      </c>
      <c r="AB88" s="54" t="e">
        <f>VLOOKUP(A88,Enforcements!$C$7:$K$13,8,0)</f>
        <v>#N/A</v>
      </c>
      <c r="AC88" s="51" t="e">
        <f>VLOOKUP(A88,Enforcements!$C$7:$E$13,3,0)</f>
        <v>#N/A</v>
      </c>
      <c r="AD88" s="206">
        <f t="shared" si="42"/>
        <v>173</v>
      </c>
      <c r="AE88" s="77" t="str">
        <f t="shared" si="43"/>
        <v>aws s3 cp s3://rtdc.mdm.uploadarchive.raw/RTDC4040/ "%USERPROFILE%\AppData\Local\Temp\OnboardLogs"\RTDC4040\2017-06-30 --exclude "*" --recursive --include "*20170630*" &amp; "%USERPROFILE%\Documents\GitHub\mrs-test-scripts\Headless Mode &amp; Sideloading\WalkAndUnGZ.bat" "%USERPROFILE%\AppData\Local\Temp\OnboardLogs"\RTDC4040\2017-06-30 &amp; aws s3 cp s3://rtdc.mdm.uploadarchive.raw/RTDC4040/ "%USERPROFILE%\AppData\Local\Temp\OnboardLogs"\RTDC4040\2017-07-01 --exclude "*" --recursive --include "*20170701*" &amp; "%USERPROFILE%\Documents\GitHub\mrs-test-scripts\Headless Mode &amp; Sideloading\WalkAndUnGZ.bat" "%USERPROFILE%\AppData\Local\Temp\OnboardLogs"\RTDC4040\2017-07-01</v>
      </c>
      <c r="AF88" s="74" t="str">
        <f t="shared" si="44"/>
        <v>"C:\Program Files (x86)\AstroGrep\AstroGrep.exe" /e /r /s /spath="%USERPROFILE%\AppData\Local\Temp\OnboardLogs" /stypes="app*4040*20170630*" /stext=" 19:.+((SYSTEM_STATE.+slice.+state.+changed )|(ment ac)|(multiple cpu faults)|(system.+state.+changed )|(\[timeout)|(PRM\|1\|D)|(kpr)|(kdp)|(train st.+moving)|(\|lc)|(penalty))"</v>
      </c>
      <c r="AG88" s="209" t="str">
        <f t="shared" si="45"/>
        <v>EC</v>
      </c>
      <c r="AH88" s="78" t="str">
        <f t="shared" si="46"/>
        <v>"%USERPROFILE%\Documents\GitHub\eaglep3\Utilities\RefineRTDCRunTimes.py" --tripid 173-30 --locoid 4040 --swversion DE.1.0.9.0 --startMP 204:462 --initTime 2017-06-30T12:37:20 --startdatetime 2017-06-30T12:45:25 --delay 1 --endMP 204:233323 --enddatetime 2017-06-30T13:21:00 --enforcementcount 0 &gt;&gt;C:\Users\stu\Documents\GitHub\eaglep3-reporting\EC\2017-06-30-refined-times.txt</v>
      </c>
      <c r="AI88" s="96" t="str">
        <f t="shared" si="47"/>
        <v>echo {"issue":{"subject":"","project_id":79,"tracker_id":40,"status_id":1,"priority_id":2,"assigned_to_id":23,"start_date":"2017-06-30","description":"","custom_fields":[{"id":1,"name":"Subdivision","value":"EC"},{"id":4,"name":"Milepost","value":"23.3323"},{"id":17,"name":"Train ID","value":"173-30"},{"id":16,"name":"Locomotive ID","value":"4040"},{"id":130,"name":"Impact","value":""},{"id":150,"name":"Time of Event (Mountain Time)","value":"13:21:00"},{"id":151,"name":"Denver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48"/>
        <v>start /low /b %USERPROFILE%\Documents\GitHub\eaglep3\Utilities\DownloadLogsFromS3.py --loco 4040 --day 2017-06-30</v>
      </c>
      <c r="AN88" s="151" t="str">
        <f t="shared" si="49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19:21:00"},{"id":29,"name":"Sharepoint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</row>
    <row r="89" spans="1:91" s="20" customFormat="1" x14ac:dyDescent="0.25">
      <c r="A89" s="32" t="s">
        <v>607</v>
      </c>
      <c r="B89" s="7">
        <v>4039</v>
      </c>
      <c r="C89" s="21" t="s">
        <v>200</v>
      </c>
      <c r="D89" s="21" t="s">
        <v>860</v>
      </c>
      <c r="E89" s="13">
        <v>42916.568252314813</v>
      </c>
      <c r="F89" s="13">
        <v>42916.571157407408</v>
      </c>
      <c r="G89" s="7">
        <v>1</v>
      </c>
      <c r="H89" s="21" t="s">
        <v>887</v>
      </c>
      <c r="I89" s="13">
        <v>42916.597326388888</v>
      </c>
      <c r="J89" s="7">
        <v>0</v>
      </c>
      <c r="K89" s="89" t="str">
        <f t="shared" si="35"/>
        <v>4039/4040</v>
      </c>
      <c r="L89" s="21" t="str">
        <f>VLOOKUP(A89,'Trips&amp;Operators'!$C$1:$G$99999,5,FALSE)</f>
        <v>HOLCOMB KAMDEN</v>
      </c>
      <c r="M89" s="6">
        <f t="shared" si="36"/>
        <v>2.6168981479713693E-2</v>
      </c>
      <c r="N89" s="7">
        <f t="shared" si="32"/>
        <v>37.683333330787718</v>
      </c>
      <c r="O89" s="7"/>
      <c r="P89" s="7"/>
      <c r="Q89" s="22"/>
      <c r="R89" s="170"/>
      <c r="S89" s="213">
        <f t="shared" si="33"/>
        <v>1</v>
      </c>
      <c r="T89" s="195" t="str">
        <f t="shared" si="37"/>
        <v>Southbound</v>
      </c>
      <c r="U89" s="19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6" t="str">
        <f t="shared" si="38"/>
        <v>https://d0f6bd738d7f1b3e5a7ca70fe4ff75f0.us-east-1.aws.found.io/app/kibana#/discover/Steve-Slow-Train-Analysis-(2080s-and-2083s)?_g=(refreshInterval:(display:Off,pause:!f,section:0,value:0),time:(from:'2017-06-30T12:38:17-0600',mode:absolute,to:'2017-06-30T15:20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89" s="197" t="str">
        <f>IF(AA89&lt;VLOOKUP(AG89,Variables!$AC$3:$AD$8,2,FALSE),"Y","N")</f>
        <v>N</v>
      </c>
      <c r="X89" s="197">
        <f t="shared" si="34"/>
        <v>1</v>
      </c>
      <c r="Y89" s="197">
        <f t="shared" si="39"/>
        <v>23.3002</v>
      </c>
      <c r="Z89" s="197">
        <f t="shared" si="40"/>
        <v>1.2999999999999999E-2</v>
      </c>
      <c r="AA89" s="197">
        <f t="shared" si="41"/>
        <v>23.287199999999999</v>
      </c>
      <c r="AB89" s="54" t="e">
        <f>VLOOKUP(A89,Enforcements!$C$7:$K$13,8,0)</f>
        <v>#N/A</v>
      </c>
      <c r="AC89" s="51" t="e">
        <f>VLOOKUP(A89,Enforcements!$C$7:$E$13,3,0)</f>
        <v>#N/A</v>
      </c>
      <c r="AD89" s="206">
        <f t="shared" si="42"/>
        <v>174</v>
      </c>
      <c r="AE89" s="77" t="str">
        <f t="shared" si="43"/>
        <v>aws s3 cp s3://rtdc.mdm.uploadarchive.raw/RTDC4039/ "%USERPROFILE%\AppData\Local\Temp\OnboardLogs"\RTDC4039\2017-06-30 --exclude "*" --recursive --include "*20170630*" &amp; "%USERPROFILE%\Documents\GitHub\mrs-test-scripts\Headless Mode &amp; Sideloading\WalkAndUnGZ.bat" "%USERPROFILE%\AppData\Local\Temp\OnboardLogs"\RTDC4039\2017-06-30 &amp; aws s3 cp s3://rtdc.mdm.uploadarchive.raw/RTDC4039/ "%USERPROFILE%\AppData\Local\Temp\OnboardLogs"\RTDC4039\2017-07-01 --exclude "*" --recursive --include "*20170701*" &amp; "%USERPROFILE%\Documents\GitHub\mrs-test-scripts\Headless Mode &amp; Sideloading\WalkAndUnGZ.bat" "%USERPROFILE%\AppData\Local\Temp\OnboardLogs"\RTDC4039\2017-07-01</v>
      </c>
      <c r="AF89" s="74" t="str">
        <f t="shared" si="44"/>
        <v>"C:\Program Files (x86)\AstroGrep\AstroGrep.exe" /e /r /s /spath="%USERPROFILE%\AppData\Local\Temp\OnboardLogs" /stypes="app*4039*20170630*" /stext=" 20:.+((SYSTEM_STATE.+slice.+state.+changed )|(ment ac)|(multiple cpu faults)|(system.+state.+changed )|(\[timeout)|(PRM\|1\|D)|(kpr)|(kdp)|(train st.+moving)|(\|lc)|(penalty))"</v>
      </c>
      <c r="AG89" s="209" t="str">
        <f t="shared" si="45"/>
        <v>EC</v>
      </c>
      <c r="AH89" s="78" t="str">
        <f t="shared" si="46"/>
        <v>"%USERPROFILE%\Documents\GitHub\eaglep3\Utilities\RefineRTDCRunTimes.py" --tripid 174-30 --locoid 4039 --swversion DE.1.0.9.0 --startMP 204:233002 --initTime 2017-06-30T13:38:17 --startdatetime 2017-06-30T13:42:28 --delay 1 --endMP 204:130 --enddatetime 2017-06-30T14:20:09 --enforcementcount 0 &gt;&gt;C:\Users\stu\Documents\GitHub\eaglep3-reporting\EC\2017-06-30-refined-times.txt</v>
      </c>
      <c r="AI89" s="96" t="str">
        <f t="shared" si="47"/>
        <v>echo {"issue":{"subject":"","project_id":79,"tracker_id":40,"status_id":1,"priority_id":2,"assigned_to_id":23,"start_date":"2017-06-30","description":"","custom_fields":[{"id":1,"name":"Subdivision","value":"EC"},{"id":4,"name":"Milepost","value":"0.013"},{"id":17,"name":"Train ID","value":"174-30"},{"id":16,"name":"Locomotive ID","value":"4039"},{"id":130,"name":"Impact","value":""},{"id":150,"name":"Time of Event (Mountain Time)","value":"14:20:09"},{"id":151,"name":"Denver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9" s="47"/>
      <c r="AL89" s="47"/>
      <c r="AM89" s="142" t="str">
        <f t="shared" si="48"/>
        <v>start /low /b %USERPROFILE%\Documents\GitHub\eaglep3\Utilities\DownloadLogsFromS3.py --loco 4039 --day 2017-06-30</v>
      </c>
      <c r="AN89" s="151" t="str">
        <f t="shared" si="49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20:20:09"},{"id":29,"name":"Sharepoint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2" t="s">
        <v>749</v>
      </c>
      <c r="B90" s="7">
        <v>4042</v>
      </c>
      <c r="C90" s="21" t="s">
        <v>200</v>
      </c>
      <c r="D90" s="21" t="s">
        <v>888</v>
      </c>
      <c r="E90" s="13">
        <v>42916.545682870368</v>
      </c>
      <c r="F90" s="13">
        <v>42916.546863425923</v>
      </c>
      <c r="G90" s="7">
        <v>1</v>
      </c>
      <c r="H90" s="21" t="s">
        <v>504</v>
      </c>
      <c r="I90" s="13">
        <v>42916.570925925924</v>
      </c>
      <c r="J90" s="7">
        <v>0</v>
      </c>
      <c r="K90" s="89" t="str">
        <f t="shared" si="35"/>
        <v>4041/4042</v>
      </c>
      <c r="L90" s="21" t="str">
        <f>VLOOKUP(A90,'Trips&amp;Operators'!$C$1:$G$99999,5,FALSE)</f>
        <v>BRANDNER MELINDA</v>
      </c>
      <c r="M90" s="6">
        <f t="shared" si="36"/>
        <v>2.4062500000582077E-2</v>
      </c>
      <c r="N90" s="7"/>
      <c r="O90" s="7"/>
      <c r="P90" s="7">
        <f>24*60*SUM($M90:$M90)</f>
        <v>34.65000000083819</v>
      </c>
      <c r="Q90" s="22"/>
      <c r="R90" s="170" t="s">
        <v>467</v>
      </c>
      <c r="S90" s="213">
        <f t="shared" si="33"/>
        <v>1</v>
      </c>
      <c r="T90" s="195" t="str">
        <f t="shared" si="37"/>
        <v>NorthBound</v>
      </c>
      <c r="U90" s="19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6" t="str">
        <f t="shared" si="38"/>
        <v>https://d0f6bd738d7f1b3e5a7ca70fe4ff75f0.us-east-1.aws.found.io/app/kibana#/discover/Steve-Slow-Train-Analysis-(2080s-and-2083s)?_g=(refreshInterval:(display:Off,pause:!f,section:0,value:0),time:(from:'2017-06-30T12:05:47-0600',mode:absolute,to:'2017-06-30T14:42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90" s="197" t="str">
        <f>IF(AA90&lt;VLOOKUP(AG90,Variables!$AC$3:$AD$8,2,FALSE),"Y","N")</f>
        <v>Y</v>
      </c>
      <c r="X90" s="197">
        <f t="shared" si="34"/>
        <v>1</v>
      </c>
      <c r="Y90" s="197">
        <f t="shared" si="39"/>
        <v>1.9134</v>
      </c>
      <c r="Z90" s="197">
        <f t="shared" si="40"/>
        <v>23.3322</v>
      </c>
      <c r="AA90" s="197">
        <f t="shared" si="41"/>
        <v>21.418800000000001</v>
      </c>
      <c r="AB90" s="54" t="e">
        <f>VLOOKUP(A90,Enforcements!$C$7:$K$13,8,0)</f>
        <v>#N/A</v>
      </c>
      <c r="AC90" s="51" t="e">
        <f>VLOOKUP(A90,Enforcements!$C$7:$E$13,3,0)</f>
        <v>#N/A</v>
      </c>
      <c r="AD90" s="206">
        <f t="shared" si="42"/>
        <v>175</v>
      </c>
      <c r="AE90" s="77" t="str">
        <f t="shared" si="43"/>
        <v>aws s3 cp s3://rtdc.mdm.uploadarchive.raw/RTDC4042/ "%USERPROFILE%\AppData\Local\Temp\OnboardLogs"\RTDC4042\2017-06-30 --exclude "*" --recursive --include "*20170630*" &amp; "%USERPROFILE%\Documents\GitHub\mrs-test-scripts\Headless Mode &amp; Sideloading\WalkAndUnGZ.bat" "%USERPROFILE%\AppData\Local\Temp\OnboardLogs"\RTDC4042\2017-06-30 &amp; aws s3 cp s3://rtdc.mdm.uploadarchive.raw/RTDC4042/ "%USERPROFILE%\AppData\Local\Temp\OnboardLogs"\RTDC4042\2017-07-01 --exclude "*" --recursive --include "*20170701*" &amp; "%USERPROFILE%\Documents\GitHub\mrs-test-scripts\Headless Mode &amp; Sideloading\WalkAndUnGZ.bat" "%USERPROFILE%\AppData\Local\Temp\OnboardLogs"\RTDC4042\2017-07-01</v>
      </c>
      <c r="AF90" s="74" t="str">
        <f t="shared" si="44"/>
        <v>"C:\Program Files (x86)\AstroGrep\AstroGrep.exe" /e /r /s /spath="%USERPROFILE%\AppData\Local\Temp\OnboardLogs" /stypes="app*4042*20170630*" /stext=" 19:.+((SYSTEM_STATE.+slice.+state.+changed )|(ment ac)|(multiple cpu faults)|(system.+state.+changed )|(\[timeout)|(PRM\|1\|D)|(kpr)|(kdp)|(train st.+moving)|(\|lc)|(penalty))"</v>
      </c>
      <c r="AG90" s="209" t="str">
        <f t="shared" si="45"/>
        <v>EC</v>
      </c>
      <c r="AH90" s="78" t="str">
        <f t="shared" si="46"/>
        <v>"%USERPROFILE%\Documents\GitHub\eaglep3\Utilities\RefineRTDCRunTimes.py" --tripid 175-30 --locoid 4042 --swversion DE.1.0.9.0 --startMP 204:19134 --initTime 2017-06-30T13:05:47 --startdatetime 2017-06-30T13:07:29 --delay 1 --endMP 204:233322 --enddatetime 2017-06-30T13:42:08 --enforcementcount 0 &gt;&gt;C:\Users\stu\Documents\GitHub\eaglep3-reporting\EC\2017-06-30-refined-times.txt</v>
      </c>
      <c r="AI90" s="96" t="str">
        <f t="shared" si="47"/>
        <v>echo {"issue":{"subject":"Onboard in-route failure","project_id":79,"tracker_id":40,"status_id":1,"priority_id":2,"assigned_to_id":23,"start_date":"2017-06-30","description":"","custom_fields":[{"id":1,"name":"Subdivision","value":"EC"},{"id":4,"name":"Milepost","value":"23.3322"},{"id":17,"name":"Train ID","value":"175-30"},{"id":16,"name":"Locomotive ID","value":"4042"},{"id":130,"name":"Impact","value":""},{"id":150,"name":"Time of Event (Mountain Time)","value":"13:42:08"},{"id":151,"name":"Denver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0" s="47"/>
      <c r="AL90" s="47"/>
      <c r="AM90" s="142" t="str">
        <f t="shared" si="48"/>
        <v>start /low /b %USERPROFILE%\Documents\GitHub\eaglep3\Utilities\DownloadLogsFromS3.py --loco 4042 --day 2017-06-30</v>
      </c>
      <c r="AN90" s="151" t="str">
        <f t="shared" si="49"/>
        <v>echo {"issue":{"subject":"Onboard in-route failure","project_id":30,"tracker_id":4,"status_id":1,"priority_id":1,"assigned_to_id":10,"start_date":"2017-06-30","description":"","custom_fields":[{"id":30,"name":"Category","value":"Issue"},{"id":3,"name":"Functional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19:42:08"},{"id":29,"name":"Sharepoint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2" t="s">
        <v>749</v>
      </c>
      <c r="B91" s="7">
        <v>4042</v>
      </c>
      <c r="C91" s="21" t="s">
        <v>200</v>
      </c>
      <c r="D91" s="21" t="s">
        <v>345</v>
      </c>
      <c r="E91" s="13">
        <v>42916.539537037039</v>
      </c>
      <c r="F91" s="13">
        <v>42916.546863425923</v>
      </c>
      <c r="G91" s="7">
        <v>2</v>
      </c>
      <c r="H91" s="21" t="s">
        <v>504</v>
      </c>
      <c r="I91" s="13">
        <v>42916.570925925924</v>
      </c>
      <c r="J91" s="7">
        <v>0</v>
      </c>
      <c r="K91" s="89" t="str">
        <f t="shared" si="35"/>
        <v>4041/4042</v>
      </c>
      <c r="L91" s="21" t="str">
        <f>VLOOKUP(A91,'Trips&amp;Operators'!$C$1:$G$99999,5,FALSE)</f>
        <v>BRANDNER MELINDA</v>
      </c>
      <c r="M91" s="6">
        <f t="shared" si="36"/>
        <v>2.4062500000582077E-2</v>
      </c>
      <c r="N91" s="7"/>
      <c r="O91" s="7"/>
      <c r="P91" s="7"/>
      <c r="Q91" s="22"/>
      <c r="R91" s="170"/>
      <c r="S91" s="213"/>
      <c r="T91" s="195" t="str">
        <f t="shared" si="37"/>
        <v>NorthBound</v>
      </c>
      <c r="U91" s="19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6" t="str">
        <f t="shared" si="38"/>
        <v>https://d0f6bd738d7f1b3e5a7ca70fe4ff75f0.us-east-1.aws.found.io/app/kibana#/discover/Steve-Slow-Train-Analysis-(2080s-and-2083s)?_g=(refreshInterval:(display:Off,pause:!f,section:0,value:0),time:(from:'2017-06-30T11:56:56-0600',mode:absolute,to:'2017-06-30T14:42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91" s="197" t="str">
        <f>IF(AA91&lt;VLOOKUP(AG91,Variables!$AC$3:$AD$8,2,FALSE),"Y","N")</f>
        <v>N</v>
      </c>
      <c r="X91" s="197">
        <f t="shared" si="34"/>
        <v>0</v>
      </c>
      <c r="Y91" s="197">
        <f t="shared" si="39"/>
        <v>4.4600000000000001E-2</v>
      </c>
      <c r="Z91" s="197">
        <f t="shared" si="40"/>
        <v>23.3322</v>
      </c>
      <c r="AA91" s="197">
        <f t="shared" si="41"/>
        <v>23.287600000000001</v>
      </c>
      <c r="AB91" s="54" t="e">
        <f>VLOOKUP(A91,Enforcements!$C$7:$K$13,8,0)</f>
        <v>#N/A</v>
      </c>
      <c r="AC91" s="51" t="e">
        <f>VLOOKUP(A91,Enforcements!$C$7:$E$13,3,0)</f>
        <v>#N/A</v>
      </c>
      <c r="AD91" s="206">
        <f t="shared" si="42"/>
        <v>175</v>
      </c>
      <c r="AE91" s="77" t="str">
        <f t="shared" si="43"/>
        <v>aws s3 cp s3://rtdc.mdm.uploadarchive.raw/RTDC4042/ "%USERPROFILE%\AppData\Local\Temp\OnboardLogs"\RTDC4042\2017-06-30 --exclude "*" --recursive --include "*20170630*" &amp; "%USERPROFILE%\Documents\GitHub\mrs-test-scripts\Headless Mode &amp; Sideloading\WalkAndUnGZ.bat" "%USERPROFILE%\AppData\Local\Temp\OnboardLogs"\RTDC4042\2017-06-30 &amp; aws s3 cp s3://rtdc.mdm.uploadarchive.raw/RTDC4042/ "%USERPROFILE%\AppData\Local\Temp\OnboardLogs"\RTDC4042\2017-07-01 --exclude "*" --recursive --include "*20170701*" &amp; "%USERPROFILE%\Documents\GitHub\mrs-test-scripts\Headless Mode &amp; Sideloading\WalkAndUnGZ.bat" "%USERPROFILE%\AppData\Local\Temp\OnboardLogs"\RTDC4042\2017-07-01</v>
      </c>
      <c r="AF91" s="74" t="str">
        <f t="shared" si="44"/>
        <v>"C:\Program Files (x86)\AstroGrep\AstroGrep.exe" /e /r /s /spath="%USERPROFILE%\AppData\Local\Temp\OnboardLogs" /stypes="app*4042*20170630*" /stext=" 19:.+((SYSTEM_STATE.+slice.+state.+changed )|(ment ac)|(multiple cpu faults)|(system.+state.+changed )|(\[timeout)|(PRM\|1\|D)|(kpr)|(kdp)|(train st.+moving)|(\|lc)|(penalty))"</v>
      </c>
      <c r="AG91" s="209" t="str">
        <f t="shared" si="45"/>
        <v>EC</v>
      </c>
      <c r="AH91" s="78" t="str">
        <f t="shared" si="46"/>
        <v>"%USERPROFILE%\Documents\GitHub\eaglep3\Utilities\RefineRTDCRunTimes.py" --tripid 175-30 --locoid 4042 --swversion DE.1.0.9.0 --startMP 204:446 --initTime 2017-06-30T12:56:56 --startdatetime 2017-06-30T13:07:29 --delay 2 --endMP 204:233322 --enddatetime 2017-06-30T13:42:08 --enforcementcount 0 &gt;&gt;C:\Users\stu\Documents\GitHub\eaglep3-reporting\EC\2017-06-30-refined-times.txt</v>
      </c>
      <c r="AI91" s="96" t="str">
        <f t="shared" si="47"/>
        <v>echo {"issue":{"subject":"","project_id":79,"tracker_id":40,"status_id":1,"priority_id":2,"assigned_to_id":23,"start_date":"2017-06-30","description":"","custom_fields":[{"id":1,"name":"Subdivision","value":"EC"},{"id":4,"name":"Milepost","value":"23.3322"},{"id":17,"name":"Train ID","value":"175-30"},{"id":16,"name":"Locomotive ID","value":"4042"},{"id":130,"name":"Impact","value":""},{"id":150,"name":"Time of Event (Mountain Time)","value":"13:42:08"},{"id":151,"name":"Denver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1" s="47"/>
      <c r="AL91" s="47"/>
      <c r="AM91" s="142" t="str">
        <f t="shared" si="48"/>
        <v>start /low /b %USERPROFILE%\Documents\GitHub\eaglep3\Utilities\DownloadLogsFromS3.py --loco 4042 --day 2017-06-30</v>
      </c>
      <c r="AN91" s="151" t="str">
        <f t="shared" si="49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19:42:08"},{"id":29,"name":"Sharepoint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2" t="s">
        <v>608</v>
      </c>
      <c r="B92" s="7">
        <v>4041</v>
      </c>
      <c r="C92" s="21" t="s">
        <v>200</v>
      </c>
      <c r="D92" s="21" t="s">
        <v>411</v>
      </c>
      <c r="E92" s="13">
        <v>42916.581967592596</v>
      </c>
      <c r="F92" s="13">
        <v>42916.606493055559</v>
      </c>
      <c r="G92" s="7">
        <v>0</v>
      </c>
      <c r="H92" s="21" t="s">
        <v>889</v>
      </c>
      <c r="I92" s="13">
        <v>42916.613599537035</v>
      </c>
      <c r="J92" s="7">
        <v>0</v>
      </c>
      <c r="K92" s="89" t="str">
        <f t="shared" si="35"/>
        <v>4041/4042</v>
      </c>
      <c r="L92" s="21" t="str">
        <f>VLOOKUP(A92,'Trips&amp;Operators'!$C$1:$G$99999,5,FALSE)</f>
        <v>BRANDNER MELINDA</v>
      </c>
      <c r="M92" s="6">
        <f t="shared" si="36"/>
        <v>7.1064814765122719E-3</v>
      </c>
      <c r="N92" s="7"/>
      <c r="O92" s="7"/>
      <c r="P92" s="7">
        <f>24*60*SUM($M92:$M92)</f>
        <v>10.233333326177672</v>
      </c>
      <c r="Q92" s="22"/>
      <c r="R92" s="170" t="s">
        <v>1085</v>
      </c>
      <c r="S92" s="213">
        <f>SUM(U92:U93)/IF(AG92="EC",12,1)</f>
        <v>0.91666666666666663</v>
      </c>
      <c r="T92" s="195" t="str">
        <f t="shared" si="37"/>
        <v>Southbound</v>
      </c>
      <c r="U92" s="19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8</v>
      </c>
      <c r="V92" s="196" t="str">
        <f t="shared" si="38"/>
        <v>https://d0f6bd738d7f1b3e5a7ca70fe4ff75f0.us-east-1.aws.found.io/app/kibana#/discover/Steve-Slow-Train-Analysis-(2080s-and-2083s)?_g=(refreshInterval:(display:Off,pause:!f,section:0,value:0),time:(from:'2017-06-30T12:58:02-0600',mode:absolute,to:'2017-06-30T15:43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92" s="197" t="str">
        <f>IF(AA92&lt;VLOOKUP(AG92,Variables!$AC$3:$AD$8,2,FALSE),"Y","N")</f>
        <v>Y</v>
      </c>
      <c r="X92" s="197">
        <f t="shared" si="34"/>
        <v>1</v>
      </c>
      <c r="Y92" s="197">
        <f t="shared" si="39"/>
        <v>23.299600000000002</v>
      </c>
      <c r="Z92" s="197">
        <f t="shared" si="40"/>
        <v>4.2957000000000001</v>
      </c>
      <c r="AA92" s="197">
        <f t="shared" si="41"/>
        <v>19.003900000000002</v>
      </c>
      <c r="AB92" s="54" t="e">
        <f>VLOOKUP(A92,Enforcements!$C$7:$K$13,8,0)</f>
        <v>#N/A</v>
      </c>
      <c r="AC92" s="51" t="e">
        <f>VLOOKUP(A92,Enforcements!$C$7:$E$13,3,0)</f>
        <v>#N/A</v>
      </c>
      <c r="AD92" s="206">
        <f t="shared" si="42"/>
        <v>176</v>
      </c>
      <c r="AE92" s="77" t="str">
        <f t="shared" si="43"/>
        <v>aws s3 cp s3://rtdc.mdm.uploadarchive.raw/RTDC4041/ "%USERPROFILE%\AppData\Local\Temp\OnboardLogs"\RTDC4041\2017-06-30 --exclude "*" --recursive --include "*20170630*" &amp; "%USERPROFILE%\Documents\GitHub\mrs-test-scripts\Headless Mode &amp; Sideloading\WalkAndUnGZ.bat" "%USERPROFILE%\AppData\Local\Temp\OnboardLogs"\RTDC4041\2017-06-30 &amp; aws s3 cp s3://rtdc.mdm.uploadarchive.raw/RTDC4041/ "%USERPROFILE%\AppData\Local\Temp\OnboardLogs"\RTDC4041\2017-07-01 --exclude "*" --recursive --include "*20170701*" &amp; "%USERPROFILE%\Documents\GitHub\mrs-test-scripts\Headless Mode &amp; Sideloading\WalkAndUnGZ.bat" "%USERPROFILE%\AppData\Local\Temp\OnboardLogs"\RTDC4041\2017-07-01</v>
      </c>
      <c r="AF92" s="74" t="str">
        <f t="shared" si="44"/>
        <v>"C:\Program Files (x86)\AstroGrep\AstroGrep.exe" /e /r /s /spath="%USERPROFILE%\AppData\Local\Temp\OnboardLogs" /stypes="app*4041*20170630*" /stext=" 20:.+((SYSTEM_STATE.+slice.+state.+changed )|(ment ac)|(multiple cpu faults)|(system.+state.+changed )|(\[timeout)|(PRM\|1\|D)|(kpr)|(kdp)|(train st.+moving)|(\|lc)|(penalty))"</v>
      </c>
      <c r="AG92" s="209" t="str">
        <f t="shared" si="45"/>
        <v>EC</v>
      </c>
      <c r="AH92" s="78" t="str">
        <f t="shared" si="46"/>
        <v>"%USERPROFILE%\Documents\GitHub\eaglep3\Utilities\RefineRTDCRunTimes.py" --tripid 176-30 --locoid 4041 --swversion DE.1.0.9.0 --startMP 204:232996 --initTime 2017-06-30T13:58:02 --startdatetime 2017-06-30T14:33:21 --delay 0 --endMP 204:42957 --enddatetime 2017-06-30T14:43:35 --enforcementcount 0 &gt;&gt;C:\Users\stu\Documents\GitHub\eaglep3-reporting\EC\2017-06-30-refined-times.txt</v>
      </c>
      <c r="AI92" s="96" t="str">
        <f t="shared" si="47"/>
        <v>echo {"issue":{"subject":"Successive early arrival enforcements using worst-case parameters","project_id":79,"tracker_id":40,"status_id":1,"priority_id":2,"assigned_to_id":23,"start_date":"2017-06-30","description":"","custom_fields":[{"id":1,"name":"Subdivision","value":"EC"},{"id":4,"name":"Milepost","value":"4.2957"},{"id":17,"name":"Train ID","value":"176-30"},{"id":16,"name":"Locomotive ID","value":"4041"},{"id":130,"name":"Impact","value":""},{"id":150,"name":"Time of Event (Mountain Time)","value":"14:43:35"},{"id":151,"name":"Denver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2" s="47"/>
      <c r="AL92" s="47"/>
      <c r="AM92" s="142" t="str">
        <f t="shared" si="48"/>
        <v>start /low /b %USERPROFILE%\Documents\GitHub\eaglep3\Utilities\DownloadLogsFromS3.py --loco 4041 --day 2017-06-30</v>
      </c>
      <c r="AN92" s="151" t="str">
        <f t="shared" si="49"/>
        <v>echo {"issue":{"subject":"Successive early arrival enforcements using worst-case parameters","project_id":30,"tracker_id":4,"status_id":1,"priority_id":1,"assigned_to_id":10,"start_date":"2017-06-30","description":"","custom_fields":[{"id":30,"name":"Category","value":"Issue"},{"id":3,"name":"Functional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20:43:35"},{"id":29,"name":"Sharepoint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2" t="s">
        <v>608</v>
      </c>
      <c r="B93" s="7">
        <v>4041</v>
      </c>
      <c r="C93" s="21" t="s">
        <v>200</v>
      </c>
      <c r="D93" s="21" t="s">
        <v>890</v>
      </c>
      <c r="E93" s="13">
        <v>42916.60560185185</v>
      </c>
      <c r="F93" s="13">
        <v>42916.606493055559</v>
      </c>
      <c r="G93" s="7">
        <v>1</v>
      </c>
      <c r="H93" s="21" t="s">
        <v>891</v>
      </c>
      <c r="I93" s="13">
        <v>42916.613599537035</v>
      </c>
      <c r="J93" s="7">
        <v>0</v>
      </c>
      <c r="K93" s="89" t="str">
        <f t="shared" si="35"/>
        <v>4041/4042</v>
      </c>
      <c r="L93" s="21" t="str">
        <f>VLOOKUP(A93,'Trips&amp;Operators'!$C$1:$G$99999,5,FALSE)</f>
        <v>BRANDNER MELINDA</v>
      </c>
      <c r="M93" s="6">
        <f t="shared" si="36"/>
        <v>7.1064814765122719E-3</v>
      </c>
      <c r="N93" s="7"/>
      <c r="O93" s="7"/>
      <c r="P93" s="7"/>
      <c r="Q93" s="22"/>
      <c r="R93" s="170"/>
      <c r="S93" s="213"/>
      <c r="T93" s="195" t="str">
        <f t="shared" si="37"/>
        <v>Southbound</v>
      </c>
      <c r="U93" s="19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3</v>
      </c>
      <c r="V93" s="196" t="str">
        <f t="shared" si="38"/>
        <v>https://d0f6bd738d7f1b3e5a7ca70fe4ff75f0.us-east-1.aws.found.io/app/kibana#/discover/Steve-Slow-Train-Analysis-(2080s-and-2083s)?_g=(refreshInterval:(display:Off,pause:!f,section:0,value:0),time:(from:'2017-06-30T13:32:04-0600',mode:absolute,to:'2017-06-30T15:43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93" s="197" t="str">
        <f>IF(AA93&lt;VLOOKUP(AG93,Variables!$AC$3:$AD$8,2,FALSE),"Y","N")</f>
        <v>Y</v>
      </c>
      <c r="X93" s="197">
        <f t="shared" si="34"/>
        <v>0</v>
      </c>
      <c r="Y93" s="197">
        <f t="shared" si="39"/>
        <v>3.6778</v>
      </c>
      <c r="Z93" s="197">
        <f t="shared" si="40"/>
        <v>0.1024</v>
      </c>
      <c r="AA93" s="197">
        <f t="shared" si="41"/>
        <v>3.5754000000000001</v>
      </c>
      <c r="AB93" s="54" t="e">
        <f>VLOOKUP(A93,Enforcements!$C$7:$K$13,8,0)</f>
        <v>#N/A</v>
      </c>
      <c r="AC93" s="51" t="e">
        <f>VLOOKUP(A93,Enforcements!$C$7:$E$13,3,0)</f>
        <v>#N/A</v>
      </c>
      <c r="AD93" s="206">
        <f t="shared" si="42"/>
        <v>176</v>
      </c>
      <c r="AE93" s="77" t="str">
        <f t="shared" si="43"/>
        <v>aws s3 cp s3://rtdc.mdm.uploadarchive.raw/RTDC4041/ "%USERPROFILE%\AppData\Local\Temp\OnboardLogs"\RTDC4041\2017-06-30 --exclude "*" --recursive --include "*20170630*" &amp; "%USERPROFILE%\Documents\GitHub\mrs-test-scripts\Headless Mode &amp; Sideloading\WalkAndUnGZ.bat" "%USERPROFILE%\AppData\Local\Temp\OnboardLogs"\RTDC4041\2017-06-30 &amp; aws s3 cp s3://rtdc.mdm.uploadarchive.raw/RTDC4041/ "%USERPROFILE%\AppData\Local\Temp\OnboardLogs"\RTDC4041\2017-07-01 --exclude "*" --recursive --include "*20170701*" &amp; "%USERPROFILE%\Documents\GitHub\mrs-test-scripts\Headless Mode &amp; Sideloading\WalkAndUnGZ.bat" "%USERPROFILE%\AppData\Local\Temp\OnboardLogs"\RTDC4041\2017-07-01</v>
      </c>
      <c r="AF93" s="74" t="str">
        <f t="shared" si="44"/>
        <v>"C:\Program Files (x86)\AstroGrep\AstroGrep.exe" /e /r /s /spath="%USERPROFILE%\AppData\Local\Temp\OnboardLogs" /stypes="app*4041*20170630*" /stext=" 20:.+((SYSTEM_STATE.+slice.+state.+changed )|(ment ac)|(multiple cpu faults)|(system.+state.+changed )|(\[timeout)|(PRM\|1\|D)|(kpr)|(kdp)|(train st.+moving)|(\|lc)|(penalty))"</v>
      </c>
      <c r="AG93" s="209" t="str">
        <f t="shared" si="45"/>
        <v>EC</v>
      </c>
      <c r="AH93" s="78" t="str">
        <f t="shared" si="46"/>
        <v>"%USERPROFILE%\Documents\GitHub\eaglep3\Utilities\RefineRTDCRunTimes.py" --tripid 176-30 --locoid 4041 --swversion DE.1.0.9.0 --startMP 204:36778 --initTime 2017-06-30T14:32:04 --startdatetime 2017-06-30T14:33:21 --delay 1 --endMP 204:1024 --enddatetime 2017-06-30T14:43:35 --enforcementcount 0 &gt;&gt;C:\Users\stu\Documents\GitHub\eaglep3-reporting\EC\2017-06-30-refined-times.txt</v>
      </c>
      <c r="AI93" s="96" t="str">
        <f t="shared" si="47"/>
        <v>echo {"issue":{"subject":"","project_id":79,"tracker_id":40,"status_id":1,"priority_id":2,"assigned_to_id":23,"start_date":"2017-06-30","description":"","custom_fields":[{"id":1,"name":"Subdivision","value":"EC"},{"id":4,"name":"Milepost","value":"0.1024"},{"id":17,"name":"Train ID","value":"176-30"},{"id":16,"name":"Locomotive ID","value":"4041"},{"id":130,"name":"Impact","value":""},{"id":150,"name":"Time of Event (Mountain Time)","value":"14:43:35"},{"id":151,"name":"Denver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3" s="47"/>
      <c r="AL93" s="47"/>
      <c r="AM93" s="142" t="str">
        <f t="shared" si="48"/>
        <v>start /low /b %USERPROFILE%\Documents\GitHub\eaglep3\Utilities\DownloadLogsFromS3.py --loco 4041 --day 2017-06-30</v>
      </c>
      <c r="AN93" s="151" t="str">
        <f t="shared" si="49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20:43:35"},{"id":29,"name":"Sharepoint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2" t="s">
        <v>752</v>
      </c>
      <c r="B94" s="7">
        <v>4002</v>
      </c>
      <c r="C94" s="21" t="s">
        <v>200</v>
      </c>
      <c r="D94" s="21" t="s">
        <v>196</v>
      </c>
      <c r="E94" s="13">
        <v>42916.548773148148</v>
      </c>
      <c r="F94" s="13">
        <v>42916.552581018521</v>
      </c>
      <c r="G94" s="7">
        <v>1</v>
      </c>
      <c r="H94" s="21" t="s">
        <v>892</v>
      </c>
      <c r="I94" s="13">
        <v>42916.577638888892</v>
      </c>
      <c r="J94" s="7">
        <v>0</v>
      </c>
      <c r="K94" s="89" t="str">
        <f t="shared" si="35"/>
        <v>4001/4002</v>
      </c>
      <c r="L94" s="21" t="str">
        <f>VLOOKUP(A94,'Trips&amp;Operators'!$C$1:$G$99999,5,FALSE)</f>
        <v>STEWART MICHAEL</v>
      </c>
      <c r="M94" s="6">
        <f t="shared" si="36"/>
        <v>2.5057870370801538E-2</v>
      </c>
      <c r="N94" s="7">
        <f t="shared" ref="N94:N104" si="50">24*60*SUM($M94:$M94)</f>
        <v>36.083333333954215</v>
      </c>
      <c r="O94" s="7"/>
      <c r="P94" s="7"/>
      <c r="Q94" s="22"/>
      <c r="R94" s="170"/>
      <c r="S94" s="213">
        <f t="shared" ref="S94:S125" si="51">SUM(U94:U94)/IF(AG94="EC",12,1)</f>
        <v>1</v>
      </c>
      <c r="T94" s="195" t="str">
        <f t="shared" si="37"/>
        <v>NorthBound</v>
      </c>
      <c r="U94" s="19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6" t="str">
        <f t="shared" si="38"/>
        <v>https://d0f6bd738d7f1b3e5a7ca70fe4ff75f0.us-east-1.aws.found.io/app/kibana#/discover/Steve-Slow-Train-Analysis-(2080s-and-2083s)?_g=(refreshInterval:(display:Off,pause:!f,section:0,value:0),time:(from:'2017-06-30T12:10:14-0600',mode:absolute,to:'2017-06-30T14:51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94" s="197" t="str">
        <f>IF(AA94&lt;VLOOKUP(AG94,Variables!$AC$3:$AD$8,2,FALSE),"Y","N")</f>
        <v>N</v>
      </c>
      <c r="X94" s="197">
        <f t="shared" si="34"/>
        <v>1</v>
      </c>
      <c r="Y94" s="197">
        <f t="shared" si="39"/>
        <v>4.5699999999999998E-2</v>
      </c>
      <c r="Z94" s="197">
        <f t="shared" si="40"/>
        <v>23.331700000000001</v>
      </c>
      <c r="AA94" s="197">
        <f t="shared" si="41"/>
        <v>23.286000000000001</v>
      </c>
      <c r="AB94" s="54" t="e">
        <f>VLOOKUP(A94,Enforcements!$C$7:$K$13,8,0)</f>
        <v>#N/A</v>
      </c>
      <c r="AC94" s="51" t="e">
        <f>VLOOKUP(A94,Enforcements!$C$7:$E$13,3,0)</f>
        <v>#N/A</v>
      </c>
      <c r="AD94" s="206">
        <f t="shared" si="42"/>
        <v>177</v>
      </c>
      <c r="AE94" s="77" t="str">
        <f t="shared" si="43"/>
        <v>aws s3 cp s3://rtdc.mdm.uploadarchive.raw/RTDC4002/ "%USERPROFILE%\AppData\Local\Temp\OnboardLogs"\RTDC4002\2017-06-30 --exclude "*" --recursive --include "*20170630*" &amp; "%USERPROFILE%\Documents\GitHub\mrs-test-scripts\Headless Mode &amp; Sideloading\WalkAndUnGZ.bat" "%USERPROFILE%\AppData\Local\Temp\OnboardLogs"\RTDC4002\2017-06-30 &amp; aws s3 cp s3://rtdc.mdm.uploadarchive.raw/RTDC4002/ "%USERPROFILE%\AppData\Local\Temp\OnboardLogs"\RTDC4002\2017-07-01 --exclude "*" --recursive --include "*20170701*" &amp; "%USERPROFILE%\Documents\GitHub\mrs-test-scripts\Headless Mode &amp; Sideloading\WalkAndUnGZ.bat" "%USERPROFILE%\AppData\Local\Temp\OnboardLogs"\RTDC4002\2017-07-01</v>
      </c>
      <c r="AF94" s="74" t="str">
        <f t="shared" si="44"/>
        <v>"C:\Program Files (x86)\AstroGrep\AstroGrep.exe" /e /r /s /spath="%USERPROFILE%\AppData\Local\Temp\OnboardLogs" /stypes="app*4002*20170630*" /stext=" 19:.+((SYSTEM_STATE.+slice.+state.+changed )|(ment ac)|(multiple cpu faults)|(system.+state.+changed )|(\[timeout)|(PRM\|1\|D)|(kpr)|(kdp)|(train st.+moving)|(\|lc)|(penalty))"</v>
      </c>
      <c r="AG94" s="209" t="str">
        <f t="shared" si="45"/>
        <v>EC</v>
      </c>
      <c r="AH94" s="78" t="str">
        <f t="shared" si="46"/>
        <v>"%USERPROFILE%\Documents\GitHub\eaglep3\Utilities\RefineRTDCRunTimes.py" --tripid 177-30 --locoid 4002 --swversion DE.1.0.9.0 --startMP 204:457 --initTime 2017-06-30T13:10:14 --startdatetime 2017-06-30T13:15:43 --delay 1 --endMP 204:233317 --enddatetime 2017-06-30T13:51:48 --enforcementcount 0 &gt;&gt;C:\Users\stu\Documents\GitHub\eaglep3-reporting\EC\2017-06-30-refined-times.txt</v>
      </c>
      <c r="AI94" s="96" t="str">
        <f t="shared" si="47"/>
        <v>echo {"issue":{"subject":"","project_id":79,"tracker_id":40,"status_id":1,"priority_id":2,"assigned_to_id":23,"start_date":"2017-06-30","description":"","custom_fields":[{"id":1,"name":"Subdivision","value":"EC"},{"id":4,"name":"Milepost","value":"23.3317"},{"id":17,"name":"Train ID","value":"177-30"},{"id":16,"name":"Locomotive ID","value":"4002"},{"id":130,"name":"Impact","value":""},{"id":150,"name":"Time of Event (Mountain Time)","value":"13:51:48"},{"id":151,"name":"Denver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7"/>
      <c r="AL94" s="47"/>
      <c r="AM94" s="142" t="str">
        <f t="shared" si="48"/>
        <v>start /low /b %USERPROFILE%\Documents\GitHub\eaglep3\Utilities\DownloadLogsFromS3.py --loco 4002 --day 2017-06-30</v>
      </c>
      <c r="AN94" s="151" t="str">
        <f t="shared" si="49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19:51:48"},{"id":29,"name":"Sharepoint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2" t="s">
        <v>758</v>
      </c>
      <c r="B95" s="7">
        <v>4001</v>
      </c>
      <c r="C95" s="21" t="s">
        <v>200</v>
      </c>
      <c r="D95" s="21" t="s">
        <v>440</v>
      </c>
      <c r="E95" s="13">
        <v>42916.589444444442</v>
      </c>
      <c r="F95" s="13">
        <v>42916.591886574075</v>
      </c>
      <c r="G95" s="7">
        <v>1</v>
      </c>
      <c r="H95" s="21" t="s">
        <v>356</v>
      </c>
      <c r="I95" s="13">
        <v>42916.618900462963</v>
      </c>
      <c r="J95" s="7">
        <v>0</v>
      </c>
      <c r="K95" s="89" t="str">
        <f t="shared" si="35"/>
        <v>4001/4002</v>
      </c>
      <c r="L95" s="21" t="str">
        <f>VLOOKUP(A95,'Trips&amp;Operators'!$C$1:$G$99999,5,FALSE)</f>
        <v>STEWART MICHAEL</v>
      </c>
      <c r="M95" s="6">
        <f t="shared" si="36"/>
        <v>2.7013888888177462E-2</v>
      </c>
      <c r="N95" s="7">
        <f t="shared" si="50"/>
        <v>38.899999998975545</v>
      </c>
      <c r="O95" s="7"/>
      <c r="P95" s="7"/>
      <c r="Q95" s="22"/>
      <c r="R95" s="170"/>
      <c r="S95" s="213">
        <f t="shared" si="51"/>
        <v>1</v>
      </c>
      <c r="T95" s="195" t="str">
        <f t="shared" si="37"/>
        <v>Southbound</v>
      </c>
      <c r="U95" s="19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6" t="str">
        <f t="shared" si="38"/>
        <v>https://d0f6bd738d7f1b3e5a7ca70fe4ff75f0.us-east-1.aws.found.io/app/kibana#/discover/Steve-Slow-Train-Analysis-(2080s-and-2083s)?_g=(refreshInterval:(display:Off,pause:!f,section:0,value:0),time:(from:'2017-06-30T13:08:48-0600',mode:absolute,to:'2017-06-30T15:51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95" s="197" t="str">
        <f>IF(AA95&lt;VLOOKUP(AG95,Variables!$AC$3:$AD$8,2,FALSE),"Y","N")</f>
        <v>N</v>
      </c>
      <c r="X95" s="197">
        <f t="shared" si="34"/>
        <v>1</v>
      </c>
      <c r="Y95" s="197">
        <f t="shared" si="39"/>
        <v>23.3</v>
      </c>
      <c r="Z95" s="197">
        <f t="shared" si="40"/>
        <v>1.41E-2</v>
      </c>
      <c r="AA95" s="197">
        <f t="shared" si="41"/>
        <v>23.285900000000002</v>
      </c>
      <c r="AB95" s="54" t="e">
        <f>VLOOKUP(A95,Enforcements!$C$7:$K$13,8,0)</f>
        <v>#N/A</v>
      </c>
      <c r="AC95" s="51" t="e">
        <f>VLOOKUP(A95,Enforcements!$C$7:$E$13,3,0)</f>
        <v>#N/A</v>
      </c>
      <c r="AD95" s="206">
        <f t="shared" si="42"/>
        <v>178</v>
      </c>
      <c r="AE95" s="77" t="str">
        <f t="shared" si="43"/>
        <v>aws s3 cp s3://rtdc.mdm.uploadarchive.raw/RTDC4001/ "%USERPROFILE%\AppData\Local\Temp\OnboardLogs"\RTDC4001\2017-06-30 --exclude "*" --recursive --include "*20170630*" &amp; "%USERPROFILE%\Documents\GitHub\mrs-test-scripts\Headless Mode &amp; Sideloading\WalkAndUnGZ.bat" "%USERPROFILE%\AppData\Local\Temp\OnboardLogs"\RTDC4001\2017-06-30 &amp; aws s3 cp s3://rtdc.mdm.uploadarchive.raw/RTDC4001/ "%USERPROFILE%\AppData\Local\Temp\OnboardLogs"\RTDC4001\2017-07-01 --exclude "*" --recursive --include "*20170701*" &amp; "%USERPROFILE%\Documents\GitHub\mrs-test-scripts\Headless Mode &amp; Sideloading\WalkAndUnGZ.bat" "%USERPROFILE%\AppData\Local\Temp\OnboardLogs"\RTDC4001\2017-07-01</v>
      </c>
      <c r="AF95" s="74" t="str">
        <f t="shared" si="44"/>
        <v>"C:\Program Files (x86)\AstroGrep\AstroGrep.exe" /e /r /s /spath="%USERPROFILE%\AppData\Local\Temp\OnboardLogs" /stypes="app*4001*20170630*" /stext=" 20:.+((SYSTEM_STATE.+slice.+state.+changed )|(ment ac)|(multiple cpu faults)|(system.+state.+changed )|(\[timeout)|(PRM\|1\|D)|(kpr)|(kdp)|(train st.+moving)|(\|lc)|(penalty))"</v>
      </c>
      <c r="AG95" s="209" t="str">
        <f t="shared" si="45"/>
        <v>EC</v>
      </c>
      <c r="AH95" s="78" t="str">
        <f t="shared" si="46"/>
        <v>"%USERPROFILE%\Documents\GitHub\eaglep3\Utilities\RefineRTDCRunTimes.py" --tripid 178-30 --locoid 4001 --swversion DE.1.0.9.0 --startMP 204:233000 --initTime 2017-06-30T14:08:48 --startdatetime 2017-06-30T14:12:19 --delay 1 --endMP 204:141 --enddatetime 2017-06-30T14:51:13 --enforcementcount 0 &gt;&gt;C:\Users\stu\Documents\GitHub\eaglep3-reporting\EC\2017-06-30-refined-times.txt</v>
      </c>
      <c r="AI95" s="96" t="str">
        <f t="shared" si="47"/>
        <v>echo {"issue":{"subject":"","project_id":79,"tracker_id":40,"status_id":1,"priority_id":2,"assigned_to_id":23,"start_date":"2017-06-30","description":"","custom_fields":[{"id":1,"name":"Subdivision","value":"EC"},{"id":4,"name":"Milepost","value":"0.0141"},{"id":17,"name":"Train ID","value":"178-30"},{"id":16,"name":"Locomotive ID","value":"4001"},{"id":130,"name":"Impact","value":""},{"id":150,"name":"Time of Event (Mountain Time)","value":"14:51:13"},{"id":151,"name":"Denver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7"/>
      <c r="AL95" s="47"/>
      <c r="AM95" s="142" t="str">
        <f t="shared" si="48"/>
        <v>start /low /b %USERPROFILE%\Documents\GitHub\eaglep3\Utilities\DownloadLogsFromS3.py --loco 4001 --day 2017-06-30</v>
      </c>
      <c r="AN95" s="151" t="str">
        <f t="shared" si="49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20:51:13"},{"id":29,"name":"Sharepoint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2" t="s">
        <v>754</v>
      </c>
      <c r="B96" s="7">
        <v>4024</v>
      </c>
      <c r="C96" s="21" t="s">
        <v>200</v>
      </c>
      <c r="D96" s="21" t="s">
        <v>548</v>
      </c>
      <c r="E96" s="13">
        <v>42916.557384259257</v>
      </c>
      <c r="F96" s="13">
        <v>42916.563298611109</v>
      </c>
      <c r="G96" s="7">
        <v>1</v>
      </c>
      <c r="H96" s="21" t="s">
        <v>893</v>
      </c>
      <c r="I96" s="13">
        <v>42916.58829861111</v>
      </c>
      <c r="J96" s="7">
        <v>0</v>
      </c>
      <c r="K96" s="89" t="str">
        <f t="shared" si="35"/>
        <v>4023/4024</v>
      </c>
      <c r="L96" s="21" t="str">
        <f>VLOOKUP(A96,'Trips&amp;Operators'!$C$1:$G$99999,5,FALSE)</f>
        <v>LEVERE CRAIG</v>
      </c>
      <c r="M96" s="6">
        <f t="shared" si="36"/>
        <v>2.5000000001455192E-2</v>
      </c>
      <c r="N96" s="7">
        <f t="shared" si="50"/>
        <v>36.000000002095476</v>
      </c>
      <c r="O96" s="7"/>
      <c r="P96" s="7"/>
      <c r="Q96" s="22"/>
      <c r="R96" s="170"/>
      <c r="S96" s="213">
        <f t="shared" si="51"/>
        <v>1</v>
      </c>
      <c r="T96" s="195" t="str">
        <f t="shared" si="37"/>
        <v>NorthBound</v>
      </c>
      <c r="U96" s="19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6" t="str">
        <f t="shared" si="38"/>
        <v>https://d0f6bd738d7f1b3e5a7ca70fe4ff75f0.us-east-1.aws.found.io/app/kibana#/discover/Steve-Slow-Train-Analysis-(2080s-and-2083s)?_g=(refreshInterval:(display:Off,pause:!f,section:0,value:0),time:(from:'2017-06-30T12:22:38-0600',mode:absolute,to:'2017-06-30T15:07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96" s="197" t="str">
        <f>IF(AA96&lt;VLOOKUP(AG96,Variables!$AC$3:$AD$8,2,FALSE),"Y","N")</f>
        <v>N</v>
      </c>
      <c r="X96" s="197">
        <f t="shared" si="34"/>
        <v>1</v>
      </c>
      <c r="Y96" s="197">
        <f t="shared" si="39"/>
        <v>4.7800000000000002E-2</v>
      </c>
      <c r="Z96" s="197">
        <f t="shared" si="40"/>
        <v>23.328399999999998</v>
      </c>
      <c r="AA96" s="197">
        <f t="shared" si="41"/>
        <v>23.2806</v>
      </c>
      <c r="AB96" s="54" t="e">
        <f>VLOOKUP(A96,Enforcements!$C$7:$K$13,8,0)</f>
        <v>#N/A</v>
      </c>
      <c r="AC96" s="51" t="e">
        <f>VLOOKUP(A96,Enforcements!$C$7:$E$13,3,0)</f>
        <v>#N/A</v>
      </c>
      <c r="AD96" s="206">
        <f t="shared" si="42"/>
        <v>179</v>
      </c>
      <c r="AE96" s="77" t="str">
        <f t="shared" si="43"/>
        <v>aws s3 cp s3://rtdc.mdm.uploadarchive.raw/RTDC4024/ "%USERPROFILE%\AppData\Local\Temp\OnboardLogs"\RTDC4024\2017-06-30 --exclude "*" --recursive --include "*20170630*" &amp; "%USERPROFILE%\Documents\GitHub\mrs-test-scripts\Headless Mode &amp; Sideloading\WalkAndUnGZ.bat" "%USERPROFILE%\AppData\Local\Temp\OnboardLogs"\RTDC4024\2017-06-30 &amp; aws s3 cp s3://rtdc.mdm.uploadarchive.raw/RTDC4024/ "%USERPROFILE%\AppData\Local\Temp\OnboardLogs"\RTDC4024\2017-07-01 --exclude "*" --recursive --include "*20170701*" &amp; "%USERPROFILE%\Documents\GitHub\mrs-test-scripts\Headless Mode &amp; Sideloading\WalkAndUnGZ.bat" "%USERPROFILE%\AppData\Local\Temp\OnboardLogs"\RTDC4024\2017-07-01</v>
      </c>
      <c r="AF96" s="74" t="str">
        <f t="shared" si="44"/>
        <v>"C:\Program Files (x86)\AstroGrep\AstroGrep.exe" /e /r /s /spath="%USERPROFILE%\AppData\Local\Temp\OnboardLogs" /stypes="app*4024*20170630*" /stext=" 20:.+((SYSTEM_STATE.+slice.+state.+changed )|(ment ac)|(multiple cpu faults)|(system.+state.+changed )|(\[timeout)|(PRM\|1\|D)|(kpr)|(kdp)|(train st.+moving)|(\|lc)|(penalty))"</v>
      </c>
      <c r="AG96" s="209" t="str">
        <f t="shared" si="45"/>
        <v>EC</v>
      </c>
      <c r="AH96" s="78" t="str">
        <f t="shared" si="46"/>
        <v>"%USERPROFILE%\Documents\GitHub\eaglep3\Utilities\RefineRTDCRunTimes.py" --tripid 179-30 --locoid 4024 --swversion DE.1.0.9.0 --startMP 204:478 --initTime 2017-06-30T13:22:38 --startdatetime 2017-06-30T13:31:09 --delay 1 --endMP 204:233284 --enddatetime 2017-06-30T14:07:09 --enforcementcount 0 &gt;&gt;C:\Users\stu\Documents\GitHub\eaglep3-reporting\EC\2017-06-30-refined-times.txt</v>
      </c>
      <c r="AI96" s="96" t="str">
        <f t="shared" si="47"/>
        <v>echo {"issue":{"subject":"","project_id":79,"tracker_id":40,"status_id":1,"priority_id":2,"assigned_to_id":23,"start_date":"2017-06-30","description":"","custom_fields":[{"id":1,"name":"Subdivision","value":"EC"},{"id":4,"name":"Milepost","value":"23.3284"},{"id":17,"name":"Train ID","value":"179-30"},{"id":16,"name":"Locomotive ID","value":"4024"},{"id":130,"name":"Impact","value":""},{"id":150,"name":"Time of Event (Mountain Time)","value":"14:07:09"},{"id":151,"name":"Denver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7"/>
      <c r="AL96" s="47"/>
      <c r="AM96" s="142" t="str">
        <f t="shared" si="48"/>
        <v>start /low /b %USERPROFILE%\Documents\GitHub\eaglep3\Utilities\DownloadLogsFromS3.py --loco 4024 --day 2017-06-30</v>
      </c>
      <c r="AN96" s="151" t="str">
        <f t="shared" si="49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20:07:09"},{"id":29,"name":"Sharepoint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2" t="s">
        <v>759</v>
      </c>
      <c r="B97" s="7">
        <v>4023</v>
      </c>
      <c r="C97" s="21" t="s">
        <v>200</v>
      </c>
      <c r="D97" s="21" t="s">
        <v>452</v>
      </c>
      <c r="E97" s="13">
        <v>42916.595312500001</v>
      </c>
      <c r="F97" s="13">
        <v>42916.595833333333</v>
      </c>
      <c r="G97" s="7">
        <v>6</v>
      </c>
      <c r="H97" s="21" t="s">
        <v>480</v>
      </c>
      <c r="I97" s="13">
        <v>42916.629467592589</v>
      </c>
      <c r="J97" s="7">
        <v>0</v>
      </c>
      <c r="K97" s="89" t="str">
        <f t="shared" si="35"/>
        <v>4023/4024</v>
      </c>
      <c r="L97" s="21" t="str">
        <f>VLOOKUP(A97,'Trips&amp;Operators'!$C$1:$G$99999,5,FALSE)</f>
        <v>LEVERE CRAIG</v>
      </c>
      <c r="M97" s="6">
        <f t="shared" si="36"/>
        <v>3.3634259256359655E-2</v>
      </c>
      <c r="N97" s="7">
        <f t="shared" si="50"/>
        <v>48.433333329157904</v>
      </c>
      <c r="O97" s="7"/>
      <c r="P97" s="7"/>
      <c r="Q97" s="22"/>
      <c r="R97" s="170" t="s">
        <v>1090</v>
      </c>
      <c r="S97" s="213">
        <f t="shared" si="51"/>
        <v>1</v>
      </c>
      <c r="T97" s="195" t="str">
        <f t="shared" si="37"/>
        <v>Southbound</v>
      </c>
      <c r="U97" s="19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6" t="str">
        <f t="shared" si="38"/>
        <v>https://d0f6bd738d7f1b3e5a7ca70fe4ff75f0.us-east-1.aws.found.io/app/kibana#/discover/Steve-Slow-Train-Analysis-(2080s-and-2083s)?_g=(refreshInterval:(display:Off,pause:!f,section:0,value:0),time:(from:'2017-06-30T13:17:15-0600',mode:absolute,to:'2017-06-30T16:06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97" s="197" t="str">
        <f>IF(AA97&lt;VLOOKUP(AG97,Variables!$AC$3:$AD$8,2,FALSE),"Y","N")</f>
        <v>N</v>
      </c>
      <c r="X97" s="197">
        <f t="shared" si="34"/>
        <v>1</v>
      </c>
      <c r="Y97" s="197">
        <v>23.298500000000001</v>
      </c>
      <c r="Z97" s="197">
        <v>1.38E-2</v>
      </c>
      <c r="AA97" s="197">
        <f t="shared" si="41"/>
        <v>23.284700000000001</v>
      </c>
      <c r="AB97" s="54" t="e">
        <f>VLOOKUP(A97,Enforcements!$C$7:$K$13,8,0)</f>
        <v>#N/A</v>
      </c>
      <c r="AC97" s="51" t="e">
        <f>VLOOKUP(A97,Enforcements!$C$7:$E$13,3,0)</f>
        <v>#N/A</v>
      </c>
      <c r="AD97" s="206">
        <f t="shared" si="42"/>
        <v>180</v>
      </c>
      <c r="AE97" s="77" t="str">
        <f t="shared" si="43"/>
        <v>aws s3 cp s3://rtdc.mdm.uploadarchive.raw/RTDC4023/ "%USERPROFILE%\AppData\Local\Temp\OnboardLogs"\RTDC4023\2017-06-30 --exclude "*" --recursive --include "*20170630*" &amp; "%USERPROFILE%\Documents\GitHub\mrs-test-scripts\Headless Mode &amp; Sideloading\WalkAndUnGZ.bat" "%USERPROFILE%\AppData\Local\Temp\OnboardLogs"\RTDC4023\2017-06-30 &amp; aws s3 cp s3://rtdc.mdm.uploadarchive.raw/RTDC4023/ "%USERPROFILE%\AppData\Local\Temp\OnboardLogs"\RTDC4023\2017-07-01 --exclude "*" --recursive --include "*20170701*" &amp; "%USERPROFILE%\Documents\GitHub\mrs-test-scripts\Headless Mode &amp; Sideloading\WalkAndUnGZ.bat" "%USERPROFILE%\AppData\Local\Temp\OnboardLogs"\RTDC4023\2017-07-01</v>
      </c>
      <c r="AF97" s="74" t="str">
        <f t="shared" si="44"/>
        <v>"C:\Program Files (x86)\AstroGrep\AstroGrep.exe" /e /r /s /spath="%USERPROFILE%\AppData\Local\Temp\OnboardLogs" /stypes="app*4023*20170630*" /stext=" 21:.+((SYSTEM_STATE.+slice.+state.+changed )|(ment ac)|(multiple cpu faults)|(system.+state.+changed )|(\[timeout)|(PRM\|1\|D)|(kpr)|(kdp)|(train st.+moving)|(\|lc)|(penalty))"</v>
      </c>
      <c r="AG97" s="209" t="str">
        <f t="shared" si="45"/>
        <v>EC</v>
      </c>
      <c r="AH97" s="78" t="str">
        <f t="shared" si="46"/>
        <v>"%USERPROFILE%\Documents\GitHub\eaglep3\Utilities\RefineRTDCRunTimes.py" --tripid 180-30 --locoid 4023 --swversion DE.1.0.9.0 --startMP 204:232973 --initTime 2017-06-30T14:17:15 --startdatetime 2017-06-30T14:18:00 --delay 6 --endMP 204:232980 --enddatetime 2017-06-30T15:06:26 --enforcementcount 0 &gt;&gt;C:\Users\stu\Documents\GitHub\eaglep3-reporting\EC\2017-06-30-refined-times.txt</v>
      </c>
      <c r="AI97" s="96" t="str">
        <f t="shared" si="47"/>
        <v>echo {"issue":{"subject":"Delayed by onboard in-route failure","project_id":79,"tracker_id":40,"status_id":1,"priority_id":2,"assigned_to_id":23,"start_date":"2017-06-30","description":"","custom_fields":[{"id":1,"name":"Subdivision","value":"EC"},{"id":4,"name":"Milepost","value":"0.0138"},{"id":17,"name":"Train ID","value":"180-30"},{"id":16,"name":"Locomotive ID","value":"4023"},{"id":130,"name":"Impact","value":""},{"id":150,"name":"Time of Event (Mountain Time)","value":"15:06:26"},{"id":151,"name":"Denver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7"/>
      <c r="AL97" s="47"/>
      <c r="AM97" s="142" t="str">
        <f t="shared" si="48"/>
        <v>start /low /b %USERPROFILE%\Documents\GitHub\eaglep3\Utilities\DownloadLogsFromS3.py --loco 4023 --day 2017-06-30</v>
      </c>
      <c r="AN97" s="151" t="str">
        <f t="shared" si="49"/>
        <v>echo {"issue":{"subject":"Delayed by onboard in-route failure","project_id":30,"tracker_id":4,"status_id":1,"priority_id":1,"assigned_to_id":10,"start_date":"2017-06-30","description":"","custom_fields":[{"id":30,"name":"Category","value":"Issue"},{"id":3,"name":"Functional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21:06:26"},{"id":29,"name":"Sharepoint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2" t="s">
        <v>756</v>
      </c>
      <c r="B98" s="7">
        <v>4026</v>
      </c>
      <c r="C98" s="21" t="s">
        <v>200</v>
      </c>
      <c r="D98" s="21" t="s">
        <v>387</v>
      </c>
      <c r="E98" s="13">
        <v>42916.569305555553</v>
      </c>
      <c r="F98" s="13">
        <v>42916.573518518519</v>
      </c>
      <c r="G98" s="7">
        <v>1</v>
      </c>
      <c r="H98" s="21" t="s">
        <v>461</v>
      </c>
      <c r="I98" s="13">
        <v>42916.598726851851</v>
      </c>
      <c r="J98" s="7">
        <v>0</v>
      </c>
      <c r="K98" s="89" t="str">
        <f t="shared" si="35"/>
        <v>4025/4026</v>
      </c>
      <c r="L98" s="21" t="str">
        <f>VLOOKUP(A98,'Trips&amp;Operators'!$C$1:$G$99999,5,FALSE)</f>
        <v>YANG JAN</v>
      </c>
      <c r="M98" s="6">
        <f t="shared" si="36"/>
        <v>2.5208333332557231E-2</v>
      </c>
      <c r="N98" s="7">
        <f t="shared" si="50"/>
        <v>36.299999998882413</v>
      </c>
      <c r="O98" s="7"/>
      <c r="P98" s="7"/>
      <c r="Q98" s="22"/>
      <c r="R98" s="170"/>
      <c r="S98" s="213">
        <f t="shared" si="51"/>
        <v>1</v>
      </c>
      <c r="T98" s="195" t="str">
        <f t="shared" si="37"/>
        <v>NorthBound</v>
      </c>
      <c r="U98" s="19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6" t="str">
        <f t="shared" si="38"/>
        <v>https://d0f6bd738d7f1b3e5a7ca70fe4ff75f0.us-east-1.aws.found.io/app/kibana#/discover/Steve-Slow-Train-Analysis-(2080s-and-2083s)?_g=(refreshInterval:(display:Off,pause:!f,section:0,value:0),time:(from:'2017-06-30T12:39:48-0600',mode:absolute,to:'2017-06-30T15:22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98" s="197" t="str">
        <f>IF(AA98&lt;VLOOKUP(AG98,Variables!$AC$3:$AD$8,2,FALSE),"Y","N")</f>
        <v>N</v>
      </c>
      <c r="X98" s="197">
        <f t="shared" si="34"/>
        <v>1</v>
      </c>
      <c r="Y98" s="197">
        <f t="shared" ref="Y98:Y129" si="52">RIGHT(D98,LEN(D98)-4)/10000</f>
        <v>4.6199999999999998E-2</v>
      </c>
      <c r="Z98" s="197">
        <f t="shared" ref="Z98:Z129" si="53">RIGHT(H98,LEN(H98)-4)/10000</f>
        <v>23.3293</v>
      </c>
      <c r="AA98" s="197">
        <f t="shared" si="41"/>
        <v>23.283100000000001</v>
      </c>
      <c r="AB98" s="54" t="e">
        <f>VLOOKUP(A98,Enforcements!$C$7:$K$13,8,0)</f>
        <v>#N/A</v>
      </c>
      <c r="AC98" s="51" t="e">
        <f>VLOOKUP(A98,Enforcements!$C$7:$E$13,3,0)</f>
        <v>#N/A</v>
      </c>
      <c r="AD98" s="206">
        <f t="shared" si="42"/>
        <v>181</v>
      </c>
      <c r="AE98" s="77" t="str">
        <f t="shared" si="43"/>
        <v>aws s3 cp s3://rtdc.mdm.uploadarchive.raw/RTDC4026/ "%USERPROFILE%\AppData\Local\Temp\OnboardLogs"\RTDC4026\2017-06-30 --exclude "*" --recursive --include "*20170630*" &amp; "%USERPROFILE%\Documents\GitHub\mrs-test-scripts\Headless Mode &amp; Sideloading\WalkAndUnGZ.bat" "%USERPROFILE%\AppData\Local\Temp\OnboardLogs"\RTDC4026\2017-06-30 &amp; aws s3 cp s3://rtdc.mdm.uploadarchive.raw/RTDC4026/ "%USERPROFILE%\AppData\Local\Temp\OnboardLogs"\RTDC4026\2017-07-01 --exclude "*" --recursive --include "*20170701*" &amp; "%USERPROFILE%\Documents\GitHub\mrs-test-scripts\Headless Mode &amp; Sideloading\WalkAndUnGZ.bat" "%USERPROFILE%\AppData\Local\Temp\OnboardLogs"\RTDC4026\2017-07-01</v>
      </c>
      <c r="AF98" s="74" t="str">
        <f t="shared" si="44"/>
        <v>"C:\Program Files (x86)\AstroGrep\AstroGrep.exe" /e /r /s /spath="%USERPROFILE%\AppData\Local\Temp\OnboardLogs" /stypes="app*4026*20170630*" /stext=" 20:.+((SYSTEM_STATE.+slice.+state.+changed )|(ment ac)|(multiple cpu faults)|(system.+state.+changed )|(\[timeout)|(PRM\|1\|D)|(kpr)|(kdp)|(train st.+moving)|(\|lc)|(penalty))"</v>
      </c>
      <c r="AG98" s="209" t="str">
        <f t="shared" si="45"/>
        <v>EC</v>
      </c>
      <c r="AH98" s="78" t="str">
        <f t="shared" si="46"/>
        <v>"%USERPROFILE%\Documents\GitHub\eaglep3\Utilities\RefineRTDCRunTimes.py" --tripid 181-30 --locoid 4026 --swversion DE.1.0.9.0 --startMP 204:462 --initTime 2017-06-30T13:39:48 --startdatetime 2017-06-30T13:45:52 --delay 1 --endMP 204:233293 --enddatetime 2017-06-30T14:22:10 --enforcementcount 0 &gt;&gt;C:\Users\stu\Documents\GitHub\eaglep3-reporting\EC\2017-06-30-refined-times.txt</v>
      </c>
      <c r="AI98" s="96" t="str">
        <f t="shared" si="47"/>
        <v>echo {"issue":{"subject":"","project_id":79,"tracker_id":40,"status_id":1,"priority_id":2,"assigned_to_id":23,"start_date":"2017-06-30","description":"","custom_fields":[{"id":1,"name":"Subdivision","value":"EC"},{"id":4,"name":"Milepost","value":"23.3293"},{"id":17,"name":"Train ID","value":"181-30"},{"id":16,"name":"Locomotive ID","value":"4026"},{"id":130,"name":"Impact","value":""},{"id":150,"name":"Time of Event (Mountain Time)","value":"14:22:10"},{"id":151,"name":"Denver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2" t="str">
        <f t="shared" si="48"/>
        <v>start /low /b %USERPROFILE%\Documents\GitHub\eaglep3\Utilities\DownloadLogsFromS3.py --loco 4026 --day 2017-06-30</v>
      </c>
      <c r="AN98" s="151" t="str">
        <f t="shared" si="49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20:22:10"},{"id":29,"name":"Sharepoint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761</v>
      </c>
      <c r="B99" s="7">
        <v>4025</v>
      </c>
      <c r="C99" s="21" t="s">
        <v>200</v>
      </c>
      <c r="D99" s="21" t="s">
        <v>875</v>
      </c>
      <c r="E99" s="13">
        <v>42916.609016203707</v>
      </c>
      <c r="F99" s="13">
        <v>42916.612858796296</v>
      </c>
      <c r="G99" s="7">
        <v>1</v>
      </c>
      <c r="H99" s="21" t="s">
        <v>417</v>
      </c>
      <c r="I99" s="13">
        <v>42916.63994212963</v>
      </c>
      <c r="J99" s="7">
        <v>0</v>
      </c>
      <c r="K99" s="89" t="str">
        <f t="shared" si="35"/>
        <v>4025/4026</v>
      </c>
      <c r="L99" s="21" t="str">
        <f>VLOOKUP(A99,'Trips&amp;Operators'!$C$1:$G$99999,5,FALSE)</f>
        <v>YANG JAN</v>
      </c>
      <c r="M99" s="6">
        <f t="shared" si="36"/>
        <v>2.7083333334303461E-2</v>
      </c>
      <c r="N99" s="7">
        <f t="shared" si="50"/>
        <v>39.000000001396984</v>
      </c>
      <c r="O99" s="7"/>
      <c r="P99" s="7"/>
      <c r="Q99" s="22"/>
      <c r="R99" s="170"/>
      <c r="S99" s="213">
        <f t="shared" si="51"/>
        <v>1</v>
      </c>
      <c r="T99" s="195" t="str">
        <f t="shared" si="37"/>
        <v>Southbound</v>
      </c>
      <c r="U99" s="19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6" t="str">
        <f t="shared" si="38"/>
        <v>https://d0f6bd738d7f1b3e5a7ca70fe4ff75f0.us-east-1.aws.found.io/app/kibana#/discover/Steve-Slow-Train-Analysis-(2080s-and-2083s)?_g=(refreshInterval:(display:Off,pause:!f,section:0,value:0),time:(from:'2017-06-30T13:36:59-0600',mode:absolute,to:'2017-06-30T16:21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99" s="197" t="str">
        <f>IF(AA99&lt;VLOOKUP(AG99,Variables!$AC$3:$AD$8,2,FALSE),"Y","N")</f>
        <v>N</v>
      </c>
      <c r="X99" s="197">
        <f t="shared" si="34"/>
        <v>1</v>
      </c>
      <c r="Y99" s="197">
        <f t="shared" si="52"/>
        <v>23.298500000000001</v>
      </c>
      <c r="Z99" s="197">
        <f t="shared" si="53"/>
        <v>1.38E-2</v>
      </c>
      <c r="AA99" s="197">
        <f t="shared" si="41"/>
        <v>23.284700000000001</v>
      </c>
      <c r="AB99" s="54" t="e">
        <f>VLOOKUP(A99,Enforcements!$C$7:$K$13,8,0)</f>
        <v>#N/A</v>
      </c>
      <c r="AC99" s="51" t="e">
        <f>VLOOKUP(A99,Enforcements!$C$7:$E$13,3,0)</f>
        <v>#N/A</v>
      </c>
      <c r="AD99" s="206">
        <f t="shared" si="42"/>
        <v>182</v>
      </c>
      <c r="AE99" s="77" t="str">
        <f t="shared" si="43"/>
        <v>aws s3 cp s3://rtdc.mdm.uploadarchive.raw/RTDC4025/ "%USERPROFILE%\AppData\Local\Temp\OnboardLogs"\RTDC4025\2017-06-30 --exclude "*" --recursive --include "*20170630*" &amp; "%USERPROFILE%\Documents\GitHub\mrs-test-scripts\Headless Mode &amp; Sideloading\WalkAndUnGZ.bat" "%USERPROFILE%\AppData\Local\Temp\OnboardLogs"\RTDC4025\2017-06-30 &amp; aws s3 cp s3://rtdc.mdm.uploadarchive.raw/RTDC4025/ "%USERPROFILE%\AppData\Local\Temp\OnboardLogs"\RTDC4025\2017-07-01 --exclude "*" --recursive --include "*20170701*" &amp; "%USERPROFILE%\Documents\GitHub\mrs-test-scripts\Headless Mode &amp; Sideloading\WalkAndUnGZ.bat" "%USERPROFILE%\AppData\Local\Temp\OnboardLogs"\RTDC4025\2017-07-01</v>
      </c>
      <c r="AF99" s="74" t="str">
        <f t="shared" si="44"/>
        <v>"C:\Program Files (x86)\AstroGrep\AstroGrep.exe" /e /r /s /spath="%USERPROFILE%\AppData\Local\Temp\OnboardLogs" /stypes="app*4025*20170630*" /stext=" 21:.+((SYSTEM_STATE.+slice.+state.+changed )|(ment ac)|(multiple cpu faults)|(system.+state.+changed )|(\[timeout)|(PRM\|1\|D)|(kpr)|(kdp)|(train st.+moving)|(\|lc)|(penalty))"</v>
      </c>
      <c r="AG99" s="209" t="str">
        <f t="shared" si="45"/>
        <v>EC</v>
      </c>
      <c r="AH99" s="78" t="str">
        <f t="shared" si="46"/>
        <v>"%USERPROFILE%\Documents\GitHub\eaglep3\Utilities\RefineRTDCRunTimes.py" --tripid 182-30 --locoid 4025 --swversion DE.1.0.9.0 --startMP 204:232985 --initTime 2017-06-30T14:36:59 --startdatetime 2017-06-30T14:42:31 --delay 1 --endMP 204:138 --enddatetime 2017-06-30T15:21:31 --enforcementcount 0 &gt;&gt;C:\Users\stu\Documents\GitHub\eaglep3-reporting\EC\2017-06-30-refined-times.txt</v>
      </c>
      <c r="AI99" s="96" t="str">
        <f t="shared" si="47"/>
        <v>echo {"issue":{"subject":"","project_id":79,"tracker_id":40,"status_id":1,"priority_id":2,"assigned_to_id":23,"start_date":"2017-06-30","description":"","custom_fields":[{"id":1,"name":"Subdivision","value":"EC"},{"id":4,"name":"Milepost","value":"0.0138"},{"id":17,"name":"Train ID","value":"182-30"},{"id":16,"name":"Locomotive ID","value":"4025"},{"id":130,"name":"Impact","value":""},{"id":150,"name":"Time of Event (Mountain Time)","value":"15:21:31"},{"id":151,"name":"Denver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2" t="str">
        <f t="shared" si="48"/>
        <v>start /low /b %USERPROFILE%\Documents\GitHub\eaglep3\Utilities\DownloadLogsFromS3.py --loco 4025 --day 2017-06-30</v>
      </c>
      <c r="AN99" s="151" t="str">
        <f t="shared" si="49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21:21:31"},{"id":29,"name":"Sharepoint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757</v>
      </c>
      <c r="B100" s="7">
        <v>4044</v>
      </c>
      <c r="C100" s="21" t="s">
        <v>200</v>
      </c>
      <c r="D100" s="21" t="s">
        <v>345</v>
      </c>
      <c r="E100" s="13">
        <v>42916.577673611115</v>
      </c>
      <c r="F100" s="13">
        <v>42916.583807870367</v>
      </c>
      <c r="G100" s="7">
        <v>1</v>
      </c>
      <c r="H100" s="21" t="s">
        <v>894</v>
      </c>
      <c r="I100" s="13">
        <v>42916.608831018515</v>
      </c>
      <c r="J100" s="7">
        <v>0</v>
      </c>
      <c r="K100" s="89" t="str">
        <f t="shared" si="35"/>
        <v>4043/4044</v>
      </c>
      <c r="L100" s="21" t="str">
        <f>VLOOKUP(A100,'Trips&amp;Operators'!$C$1:$G$99999,5,FALSE)</f>
        <v>LEVIN SCOTT</v>
      </c>
      <c r="M100" s="6">
        <f t="shared" si="36"/>
        <v>2.5023148147738539E-2</v>
      </c>
      <c r="N100" s="7">
        <f t="shared" si="50"/>
        <v>36.033333332743496</v>
      </c>
      <c r="O100" s="7"/>
      <c r="P100" s="7"/>
      <c r="Q100" s="22"/>
      <c r="R100" s="170"/>
      <c r="S100" s="213">
        <f t="shared" si="51"/>
        <v>1</v>
      </c>
      <c r="T100" s="195" t="str">
        <f t="shared" si="37"/>
        <v>NorthBound</v>
      </c>
      <c r="U100" s="19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6" t="str">
        <f t="shared" si="38"/>
        <v>https://d0f6bd738d7f1b3e5a7ca70fe4ff75f0.us-east-1.aws.found.io/app/kibana#/discover/Steve-Slow-Train-Analysis-(2080s-and-2083s)?_g=(refreshInterval:(display:Off,pause:!f,section:0,value:0),time:(from:'2017-06-30T12:51:51-0600',mode:absolute,to:'2017-06-30T15:36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00" s="197" t="str">
        <f>IF(AA100&lt;VLOOKUP(AG100,Variables!$AC$3:$AD$8,2,FALSE),"Y","N")</f>
        <v>N</v>
      </c>
      <c r="X100" s="197">
        <f t="shared" si="34"/>
        <v>1</v>
      </c>
      <c r="Y100" s="197">
        <f t="shared" si="52"/>
        <v>4.4600000000000001E-2</v>
      </c>
      <c r="Z100" s="197">
        <f t="shared" si="53"/>
        <v>23.340499999999999</v>
      </c>
      <c r="AA100" s="197">
        <f t="shared" si="41"/>
        <v>23.2959</v>
      </c>
      <c r="AB100" s="54" t="e">
        <f>VLOOKUP(A100,Enforcements!$C$7:$K$13,8,0)</f>
        <v>#N/A</v>
      </c>
      <c r="AC100" s="51" t="e">
        <f>VLOOKUP(A100,Enforcements!$C$7:$E$13,3,0)</f>
        <v>#N/A</v>
      </c>
      <c r="AD100" s="206">
        <f t="shared" si="42"/>
        <v>183</v>
      </c>
      <c r="AE100" s="77" t="str">
        <f t="shared" si="43"/>
        <v>aws s3 cp s3://rtdc.mdm.uploadarchive.raw/RTDC4044/ "%USERPROFILE%\AppData\Local\Temp\OnboardLogs"\RTDC4044\2017-06-30 --exclude "*" --recursive --include "*20170630*" &amp; "%USERPROFILE%\Documents\GitHub\mrs-test-scripts\Headless Mode &amp; Sideloading\WalkAndUnGZ.bat" "%USERPROFILE%\AppData\Local\Temp\OnboardLogs"\RTDC4044\2017-06-30 &amp; aws s3 cp s3://rtdc.mdm.uploadarchive.raw/RTDC4044/ "%USERPROFILE%\AppData\Local\Temp\OnboardLogs"\RTDC4044\2017-07-01 --exclude "*" --recursive --include "*20170701*" &amp; "%USERPROFILE%\Documents\GitHub\mrs-test-scripts\Headless Mode &amp; Sideloading\WalkAndUnGZ.bat" "%USERPROFILE%\AppData\Local\Temp\OnboardLogs"\RTDC4044\2017-07-01</v>
      </c>
      <c r="AF100" s="74" t="str">
        <f t="shared" si="44"/>
        <v>"C:\Program Files (x86)\AstroGrep\AstroGrep.exe" /e /r /s /spath="%USERPROFILE%\AppData\Local\Temp\OnboardLogs" /stypes="app*4044*20170630*" /stext=" 20:.+((SYSTEM_STATE.+slice.+state.+changed )|(ment ac)|(multiple cpu faults)|(system.+state.+changed )|(\[timeout)|(PRM\|1\|D)|(kpr)|(kdp)|(train st.+moving)|(\|lc)|(penalty))"</v>
      </c>
      <c r="AG100" s="209" t="str">
        <f t="shared" si="45"/>
        <v>EC</v>
      </c>
      <c r="AH100" s="78" t="str">
        <f t="shared" si="46"/>
        <v>"%USERPROFILE%\Documents\GitHub\eaglep3\Utilities\RefineRTDCRunTimes.py" --tripid 183-30 --locoid 4044 --swversion DE.1.0.9.0 --startMP 204:446 --initTime 2017-06-30T13:51:51 --startdatetime 2017-06-30T14:00:41 --delay 1 --endMP 204:233405 --enddatetime 2017-06-30T14:36:43 --enforcementcount 0 &gt;&gt;C:\Users\stu\Documents\GitHub\eaglep3-reporting\EC\2017-06-30-refined-times.txt</v>
      </c>
      <c r="AI100" s="96" t="str">
        <f t="shared" si="47"/>
        <v>echo {"issue":{"subject":"","project_id":79,"tracker_id":40,"status_id":1,"priority_id":2,"assigned_to_id":23,"start_date":"2017-06-30","description":"","custom_fields":[{"id":1,"name":"Subdivision","value":"EC"},{"id":4,"name":"Milepost","value":"23.3405"},{"id":17,"name":"Train ID","value":"183-30"},{"id":16,"name":"Locomotive ID","value":"4044"},{"id":130,"name":"Impact","value":""},{"id":150,"name":"Time of Event (Mountain Time)","value":"14:36:43"},{"id":151,"name":"Denver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2" t="str">
        <f t="shared" si="48"/>
        <v>start /low /b %USERPROFILE%\Documents\GitHub\eaglep3\Utilities\DownloadLogsFromS3.py --loco 4044 --day 2017-06-30</v>
      </c>
      <c r="AN100" s="151" t="str">
        <f t="shared" si="49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20:36:43"},{"id":29,"name":"Sharepoint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763</v>
      </c>
      <c r="B101" s="7">
        <v>4043</v>
      </c>
      <c r="C101" s="21" t="s">
        <v>200</v>
      </c>
      <c r="D101" s="21" t="s">
        <v>895</v>
      </c>
      <c r="E101" s="13">
        <v>42916.619340277779</v>
      </c>
      <c r="F101" s="13">
        <v>42916.623078703706</v>
      </c>
      <c r="G101" s="7">
        <v>1</v>
      </c>
      <c r="H101" s="21" t="s">
        <v>887</v>
      </c>
      <c r="I101" s="13">
        <v>42916.649201388886</v>
      </c>
      <c r="J101" s="7">
        <v>0</v>
      </c>
      <c r="K101" s="89" t="str">
        <f t="shared" si="35"/>
        <v>4043/4044</v>
      </c>
      <c r="L101" s="21" t="str">
        <f>VLOOKUP(A101,'Trips&amp;Operators'!$C$1:$G$99999,5,FALSE)</f>
        <v>LEVIN SCOTT</v>
      </c>
      <c r="M101" s="6">
        <f t="shared" si="36"/>
        <v>2.6122685179871041E-2</v>
      </c>
      <c r="N101" s="7">
        <f t="shared" si="50"/>
        <v>37.6166666590143</v>
      </c>
      <c r="O101" s="7"/>
      <c r="P101" s="7"/>
      <c r="Q101" s="22"/>
      <c r="R101" s="170"/>
      <c r="S101" s="213">
        <f t="shared" si="51"/>
        <v>1</v>
      </c>
      <c r="T101" s="195" t="str">
        <f t="shared" si="37"/>
        <v>Southbound</v>
      </c>
      <c r="U101" s="19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6" t="str">
        <f t="shared" si="38"/>
        <v>https://d0f6bd738d7f1b3e5a7ca70fe4ff75f0.us-east-1.aws.found.io/app/kibana#/discover/Steve-Slow-Train-Analysis-(2080s-and-2083s)?_g=(refreshInterval:(display:Off,pause:!f,section:0,value:0),time:(from:'2017-06-30T13:51:51-0600',mode:absolute,to:'2017-06-30T16:34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01" s="197" t="str">
        <f>IF(AA101&lt;VLOOKUP(AG101,Variables!$AC$3:$AD$8,2,FALSE),"Y","N")</f>
        <v>N</v>
      </c>
      <c r="X101" s="197">
        <f t="shared" si="34"/>
        <v>1</v>
      </c>
      <c r="Y101" s="197">
        <f t="shared" si="52"/>
        <v>23.309000000000001</v>
      </c>
      <c r="Z101" s="197">
        <f t="shared" si="53"/>
        <v>1.2999999999999999E-2</v>
      </c>
      <c r="AA101" s="197">
        <f t="shared" si="41"/>
        <v>23.295999999999999</v>
      </c>
      <c r="AB101" s="54" t="e">
        <f>VLOOKUP(A101,Enforcements!$C$7:$K$13,8,0)</f>
        <v>#N/A</v>
      </c>
      <c r="AC101" s="51" t="e">
        <f>VLOOKUP(A101,Enforcements!$C$7:$E$13,3,0)</f>
        <v>#N/A</v>
      </c>
      <c r="AD101" s="206">
        <f t="shared" si="42"/>
        <v>184</v>
      </c>
      <c r="AE101" s="77" t="str">
        <f t="shared" si="43"/>
        <v>aws s3 cp s3://rtdc.mdm.uploadarchive.raw/RTDC4043/ "%USERPROFILE%\AppData\Local\Temp\OnboardLogs"\RTDC4043\2017-06-30 --exclude "*" --recursive --include "*20170630*" &amp; "%USERPROFILE%\Documents\GitHub\mrs-test-scripts\Headless Mode &amp; Sideloading\WalkAndUnGZ.bat" "%USERPROFILE%\AppData\Local\Temp\OnboardLogs"\RTDC4043\2017-06-30 &amp; aws s3 cp s3://rtdc.mdm.uploadarchive.raw/RTDC4043/ "%USERPROFILE%\AppData\Local\Temp\OnboardLogs"\RTDC4043\2017-07-01 --exclude "*" --recursive --include "*20170701*" &amp; "%USERPROFILE%\Documents\GitHub\mrs-test-scripts\Headless Mode &amp; Sideloading\WalkAndUnGZ.bat" "%USERPROFILE%\AppData\Local\Temp\OnboardLogs"\RTDC4043\2017-07-01</v>
      </c>
      <c r="AF101" s="74" t="str">
        <f t="shared" si="44"/>
        <v>"C:\Program Files (x86)\AstroGrep\AstroGrep.exe" /e /r /s /spath="%USERPROFILE%\AppData\Local\Temp\OnboardLogs" /stypes="app*4043*20170630*" /stext=" 21:.+((SYSTEM_STATE.+slice.+state.+changed )|(ment ac)|(multiple cpu faults)|(system.+state.+changed )|(\[timeout)|(PRM\|1\|D)|(kpr)|(kdp)|(train st.+moving)|(\|lc)|(penalty))"</v>
      </c>
      <c r="AG101" s="209" t="str">
        <f t="shared" si="45"/>
        <v>EC</v>
      </c>
      <c r="AH101" s="78" t="str">
        <f t="shared" si="46"/>
        <v>"%USERPROFILE%\Documents\GitHub\eaglep3\Utilities\RefineRTDCRunTimes.py" --tripid 184-30 --locoid 4043 --swversion DE.1.0.9.0 --startMP 204:233090 --initTime 2017-06-30T14:51:51 --startdatetime 2017-06-30T14:57:14 --delay 1 --endMP 204:130 --enddatetime 2017-06-30T15:34:51 --enforcementcount 0 &gt;&gt;C:\Users\stu\Documents\GitHub\eaglep3-reporting\EC\2017-06-30-refined-times.txt</v>
      </c>
      <c r="AI101" s="96" t="str">
        <f t="shared" si="47"/>
        <v>echo {"issue":{"subject":"","project_id":79,"tracker_id":40,"status_id":1,"priority_id":2,"assigned_to_id":23,"start_date":"2017-06-30","description":"","custom_fields":[{"id":1,"name":"Subdivision","value":"EC"},{"id":4,"name":"Milepost","value":"0.013"},{"id":17,"name":"Train ID","value":"184-30"},{"id":16,"name":"Locomotive ID","value":"4043"},{"id":130,"name":"Impact","value":""},{"id":150,"name":"Time of Event (Mountain Time)","value":"15:34:51"},{"id":151,"name":"Denver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 t="shared" si="48"/>
        <v>start /low /b %USERPROFILE%\Documents\GitHub\eaglep3\Utilities\DownloadLogsFromS3.py --loco 4043 --day 2017-06-30</v>
      </c>
      <c r="AN101" s="151" t="str">
        <f t="shared" si="49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21:34:51"},{"id":29,"name":"Sharepoint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611</v>
      </c>
      <c r="B102" s="7">
        <v>4032</v>
      </c>
      <c r="C102" s="21" t="s">
        <v>200</v>
      </c>
      <c r="D102" s="21" t="s">
        <v>438</v>
      </c>
      <c r="E102" s="13">
        <v>42916.589548611111</v>
      </c>
      <c r="F102" s="13">
        <v>42916.594247685185</v>
      </c>
      <c r="G102" s="7">
        <v>1</v>
      </c>
      <c r="H102" s="21" t="s">
        <v>896</v>
      </c>
      <c r="I102" s="13">
        <v>42916.619189814817</v>
      </c>
      <c r="J102" s="7">
        <v>0</v>
      </c>
      <c r="K102" s="89" t="str">
        <f t="shared" si="35"/>
        <v>4031/4032</v>
      </c>
      <c r="L102" s="21" t="str">
        <f>VLOOKUP(A102,'Trips&amp;Operators'!$C$1:$G$99999,5,FALSE)</f>
        <v>SULLIVAN BRANDON</v>
      </c>
      <c r="M102" s="6">
        <f t="shared" si="36"/>
        <v>2.4942129632108845E-2</v>
      </c>
      <c r="N102" s="7">
        <f t="shared" si="50"/>
        <v>35.916666670236737</v>
      </c>
      <c r="O102" s="7"/>
      <c r="P102" s="7"/>
      <c r="Q102" s="22"/>
      <c r="R102" s="170"/>
      <c r="S102" s="213">
        <f t="shared" si="51"/>
        <v>1</v>
      </c>
      <c r="T102" s="195" t="str">
        <f t="shared" si="37"/>
        <v>NorthBound</v>
      </c>
      <c r="U102" s="19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6" t="str">
        <f t="shared" si="38"/>
        <v>https://d0f6bd738d7f1b3e5a7ca70fe4ff75f0.us-east-1.aws.found.io/app/kibana#/discover/Steve-Slow-Train-Analysis-(2080s-and-2083s)?_g=(refreshInterval:(display:Off,pause:!f,section:0,value:0),time:(from:'2017-06-30T13:08:57-0600',mode:absolute,to:'2017-06-30T15:51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02" s="197" t="str">
        <f>IF(AA102&lt;VLOOKUP(AG102,Variables!$AC$3:$AD$8,2,FALSE),"Y","N")</f>
        <v>N</v>
      </c>
      <c r="X102" s="197">
        <f t="shared" si="34"/>
        <v>1</v>
      </c>
      <c r="Y102" s="197">
        <f t="shared" si="52"/>
        <v>4.58E-2</v>
      </c>
      <c r="Z102" s="197">
        <f t="shared" si="53"/>
        <v>23.328099999999999</v>
      </c>
      <c r="AA102" s="197">
        <f t="shared" si="41"/>
        <v>23.282299999999999</v>
      </c>
      <c r="AB102" s="54" t="e">
        <f>VLOOKUP(A102,Enforcements!$C$7:$K$13,8,0)</f>
        <v>#N/A</v>
      </c>
      <c r="AC102" s="51" t="e">
        <f>VLOOKUP(A102,Enforcements!$C$7:$E$13,3,0)</f>
        <v>#N/A</v>
      </c>
      <c r="AD102" s="206">
        <f t="shared" si="42"/>
        <v>185</v>
      </c>
      <c r="AE102" s="77" t="str">
        <f t="shared" si="43"/>
        <v>aws s3 cp s3://rtdc.mdm.uploadarchive.raw/RTDC4032/ "%USERPROFILE%\AppData\Local\Temp\OnboardLogs"\RTDC4032\2017-06-30 --exclude "*" --recursive --include "*20170630*" &amp; "%USERPROFILE%\Documents\GitHub\mrs-test-scripts\Headless Mode &amp; Sideloading\WalkAndUnGZ.bat" "%USERPROFILE%\AppData\Local\Temp\OnboardLogs"\RTDC4032\2017-06-30 &amp; aws s3 cp s3://rtdc.mdm.uploadarchive.raw/RTDC4032/ "%USERPROFILE%\AppData\Local\Temp\OnboardLogs"\RTDC4032\2017-07-01 --exclude "*" --recursive --include "*20170701*" &amp; "%USERPROFILE%\Documents\GitHub\mrs-test-scripts\Headless Mode &amp; Sideloading\WalkAndUnGZ.bat" "%USERPROFILE%\AppData\Local\Temp\OnboardLogs"\RTDC4032\2017-07-01</v>
      </c>
      <c r="AF102" s="74" t="str">
        <f t="shared" si="44"/>
        <v>"C:\Program Files (x86)\AstroGrep\AstroGrep.exe" /e /r /s /spath="%USERPROFILE%\AppData\Local\Temp\OnboardLogs" /stypes="app*4032*20170630*" /stext=" 20:.+((SYSTEM_STATE.+slice.+state.+changed )|(ment ac)|(multiple cpu faults)|(system.+state.+changed )|(\[timeout)|(PRM\|1\|D)|(kpr)|(kdp)|(train st.+moving)|(\|lc)|(penalty))"</v>
      </c>
      <c r="AG102" s="209" t="str">
        <f t="shared" si="45"/>
        <v>EC</v>
      </c>
      <c r="AH102" s="78" t="str">
        <f t="shared" si="46"/>
        <v>"%USERPROFILE%\Documents\GitHub\eaglep3\Utilities\RefineRTDCRunTimes.py" --tripid 185-30 --locoid 4032 --swversion DE.1.0.9.0 --startMP 204:458 --initTime 2017-06-30T14:08:57 --startdatetime 2017-06-30T14:15:43 --delay 1 --endMP 204:233281 --enddatetime 2017-06-30T14:51:38 --enforcementcount 0 &gt;&gt;C:\Users\stu\Documents\GitHub\eaglep3-reporting\EC\2017-06-30-refined-times.txt</v>
      </c>
      <c r="AI102" s="96" t="str">
        <f t="shared" si="47"/>
        <v>echo {"issue":{"subject":"","project_id":79,"tracker_id":40,"status_id":1,"priority_id":2,"assigned_to_id":23,"start_date":"2017-06-30","description":"","custom_fields":[{"id":1,"name":"Subdivision","value":"EC"},{"id":4,"name":"Milepost","value":"23.3281"},{"id":17,"name":"Train ID","value":"185-30"},{"id":16,"name":"Locomotive ID","value":"4032"},{"id":130,"name":"Impact","value":""},{"id":150,"name":"Time of Event (Mountain Time)","value":"14:51:38"},{"id":151,"name":"Denver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si="48"/>
        <v>start /low /b %USERPROFILE%\Documents\GitHub\eaglep3\Utilities\DownloadLogsFromS3.py --loco 4032 --day 2017-06-30</v>
      </c>
      <c r="AN102" s="151" t="str">
        <f t="shared" si="49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20:51:38"},{"id":29,"name":"Sharepoint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766</v>
      </c>
      <c r="B103" s="7">
        <v>4031</v>
      </c>
      <c r="C103" s="21" t="s">
        <v>200</v>
      </c>
      <c r="D103" s="21" t="s">
        <v>540</v>
      </c>
      <c r="E103" s="13">
        <v>42916.626875000002</v>
      </c>
      <c r="F103" s="13">
        <v>42916.633587962962</v>
      </c>
      <c r="G103" s="7">
        <v>1</v>
      </c>
      <c r="H103" s="21" t="s">
        <v>192</v>
      </c>
      <c r="I103" s="13">
        <v>42916.660543981481</v>
      </c>
      <c r="J103" s="7">
        <v>0</v>
      </c>
      <c r="K103" s="89" t="str">
        <f t="shared" si="35"/>
        <v>4031/4032</v>
      </c>
      <c r="L103" s="21" t="str">
        <f>VLOOKUP(A103,'Trips&amp;Operators'!$C$1:$G$99999,5,FALSE)</f>
        <v>SULLIVAN BRANDON</v>
      </c>
      <c r="M103" s="6">
        <f t="shared" si="36"/>
        <v>2.6956018518831115E-2</v>
      </c>
      <c r="N103" s="7">
        <f t="shared" si="50"/>
        <v>38.816666667116806</v>
      </c>
      <c r="O103" s="7"/>
      <c r="P103" s="7"/>
      <c r="Q103" s="22"/>
      <c r="R103" s="170"/>
      <c r="S103" s="213">
        <f t="shared" si="51"/>
        <v>1</v>
      </c>
      <c r="T103" s="195" t="str">
        <f t="shared" si="37"/>
        <v>Southbound</v>
      </c>
      <c r="U103" s="19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6" t="str">
        <f t="shared" si="38"/>
        <v>https://d0f6bd738d7f1b3e5a7ca70fe4ff75f0.us-east-1.aws.found.io/app/kibana#/discover/Steve-Slow-Train-Analysis-(2080s-and-2083s)?_g=(refreshInterval:(display:Off,pause:!f,section:0,value:0),time:(from:'2017-06-30T14:02:42-0600',mode:absolute,to:'2017-06-30T16:51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03" s="197" t="str">
        <f>IF(AA103&lt;VLOOKUP(AG103,Variables!$AC$3:$AD$8,2,FALSE),"Y","N")</f>
        <v>N</v>
      </c>
      <c r="X103" s="197">
        <f t="shared" si="34"/>
        <v>1</v>
      </c>
      <c r="Y103" s="197">
        <f t="shared" si="52"/>
        <v>23.296399999999998</v>
      </c>
      <c r="Z103" s="197">
        <f t="shared" si="53"/>
        <v>1.52E-2</v>
      </c>
      <c r="AA103" s="197">
        <f t="shared" si="41"/>
        <v>23.281199999999998</v>
      </c>
      <c r="AB103" s="54" t="e">
        <f>VLOOKUP(A103,Enforcements!$C$7:$K$13,8,0)</f>
        <v>#N/A</v>
      </c>
      <c r="AC103" s="51" t="e">
        <f>VLOOKUP(A103,Enforcements!$C$7:$E$13,3,0)</f>
        <v>#N/A</v>
      </c>
      <c r="AD103" s="206">
        <f t="shared" si="42"/>
        <v>186</v>
      </c>
      <c r="AE103" s="77" t="str">
        <f t="shared" si="43"/>
        <v>aws s3 cp s3://rtdc.mdm.uploadarchive.raw/RTDC4031/ "%USERPROFILE%\AppData\Local\Temp\OnboardLogs"\RTDC4031\2017-06-30 --exclude "*" --recursive --include "*20170630*" &amp; "%USERPROFILE%\Documents\GitHub\mrs-test-scripts\Headless Mode &amp; Sideloading\WalkAndUnGZ.bat" "%USERPROFILE%\AppData\Local\Temp\OnboardLogs"\RTDC4031\2017-06-30 &amp; aws s3 cp s3://rtdc.mdm.uploadarchive.raw/RTDC4031/ "%USERPROFILE%\AppData\Local\Temp\OnboardLogs"\RTDC4031\2017-07-01 --exclude "*" --recursive --include "*20170701*" &amp; "%USERPROFILE%\Documents\GitHub\mrs-test-scripts\Headless Mode &amp; Sideloading\WalkAndUnGZ.bat" "%USERPROFILE%\AppData\Local\Temp\OnboardLogs"\RTDC4031\2017-07-01</v>
      </c>
      <c r="AF103" s="74" t="str">
        <f t="shared" si="44"/>
        <v>"C:\Program Files (x86)\AstroGrep\AstroGrep.exe" /e /r /s /spath="%USERPROFILE%\AppData\Local\Temp\OnboardLogs" /stypes="app*4031*20170630*" /stext=" 21:.+((SYSTEM_STATE.+slice.+state.+changed )|(ment ac)|(multiple cpu faults)|(system.+state.+changed )|(\[timeout)|(PRM\|1\|D)|(kpr)|(kdp)|(train st.+moving)|(\|lc)|(penalty))"</v>
      </c>
      <c r="AG103" s="209" t="str">
        <f t="shared" si="45"/>
        <v>EC</v>
      </c>
      <c r="AH103" s="78" t="str">
        <f t="shared" si="46"/>
        <v>"%USERPROFILE%\Documents\GitHub\eaglep3\Utilities\RefineRTDCRunTimes.py" --tripid 186-30 --locoid 4031 --swversion DE.1.0.9.0 --startMP 204:232964 --initTime 2017-06-30T15:02:42 --startdatetime 2017-06-30T15:12:22 --delay 1 --endMP 204:152 --enddatetime 2017-06-30T15:51:11 --enforcementcount 0 &gt;&gt;C:\Users\stu\Documents\GitHub\eaglep3-reporting\EC\2017-06-30-refined-times.txt</v>
      </c>
      <c r="AI103" s="96" t="str">
        <f t="shared" si="47"/>
        <v>echo {"issue":{"subject":"","project_id":79,"tracker_id":40,"status_id":1,"priority_id":2,"assigned_to_id":23,"start_date":"2017-06-30","description":"","custom_fields":[{"id":1,"name":"Subdivision","value":"EC"},{"id":4,"name":"Milepost","value":"0.0152"},{"id":17,"name":"Train ID","value":"186-30"},{"id":16,"name":"Locomotive ID","value":"4031"},{"id":130,"name":"Impact","value":""},{"id":150,"name":"Time of Event (Mountain Time)","value":"15:51:11"},{"id":151,"name":"Denver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 t="shared" si="48"/>
        <v>start /low /b %USERPROFILE%\Documents\GitHub\eaglep3\Utilities\DownloadLogsFromS3.py --loco 4031 --day 2017-06-30</v>
      </c>
      <c r="AN103" s="151" t="str">
        <f t="shared" si="49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21:51:11"},{"id":29,"name":"Sharepoint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760</v>
      </c>
      <c r="B104" s="7">
        <v>4040</v>
      </c>
      <c r="C104" s="21" t="s">
        <v>200</v>
      </c>
      <c r="D104" s="21" t="s">
        <v>868</v>
      </c>
      <c r="E104" s="13">
        <v>42916.598599537036</v>
      </c>
      <c r="F104" s="13">
        <v>42916.604386574072</v>
      </c>
      <c r="G104" s="7">
        <v>1</v>
      </c>
      <c r="H104" s="21" t="s">
        <v>505</v>
      </c>
      <c r="I104" s="13">
        <v>42916.629733796297</v>
      </c>
      <c r="J104" s="7">
        <v>0</v>
      </c>
      <c r="K104" s="89" t="str">
        <f t="shared" si="35"/>
        <v>4039/4040</v>
      </c>
      <c r="L104" s="21" t="str">
        <f>VLOOKUP(A104,'Trips&amp;Operators'!$C$1:$G$99999,5,FALSE)</f>
        <v>HOLCOMB KAMDEN</v>
      </c>
      <c r="M104" s="6">
        <f t="shared" si="36"/>
        <v>2.5347222224809229E-2</v>
      </c>
      <c r="N104" s="7">
        <f t="shared" si="50"/>
        <v>36.50000000372529</v>
      </c>
      <c r="O104" s="7"/>
      <c r="P104" s="7"/>
      <c r="Q104" s="22"/>
      <c r="R104" s="170" t="s">
        <v>1091</v>
      </c>
      <c r="S104" s="213">
        <f t="shared" si="51"/>
        <v>1</v>
      </c>
      <c r="T104" s="195" t="str">
        <f t="shared" si="37"/>
        <v>NorthBound</v>
      </c>
      <c r="U104" s="19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6" t="str">
        <f t="shared" si="38"/>
        <v>https://d0f6bd738d7f1b3e5a7ca70fe4ff75f0.us-east-1.aws.found.io/app/kibana#/discover/Steve-Slow-Train-Analysis-(2080s-and-2083s)?_g=(refreshInterval:(display:Off,pause:!f,section:0,value:0),time:(from:'2017-06-30T13:21:59-0600',mode:absolute,to:'2017-06-30T16:06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04" s="197" t="str">
        <f>IF(AA104&lt;VLOOKUP(AG104,Variables!$AC$3:$AD$8,2,FALSE),"Y","N")</f>
        <v>N</v>
      </c>
      <c r="X104" s="197">
        <f t="shared" si="34"/>
        <v>1</v>
      </c>
      <c r="Y104" s="197">
        <f t="shared" si="52"/>
        <v>4.3099999999999999E-2</v>
      </c>
      <c r="Z104" s="197">
        <f t="shared" si="53"/>
        <v>23.3339</v>
      </c>
      <c r="AA104" s="197">
        <f t="shared" si="41"/>
        <v>23.290800000000001</v>
      </c>
      <c r="AB104" s="54" t="e">
        <f>VLOOKUP(A104,Enforcements!$C$7:$K$13,8,0)</f>
        <v>#N/A</v>
      </c>
      <c r="AC104" s="51" t="e">
        <f>VLOOKUP(A104,Enforcements!$C$7:$E$13,3,0)</f>
        <v>#N/A</v>
      </c>
      <c r="AD104" s="206">
        <f t="shared" si="42"/>
        <v>187</v>
      </c>
      <c r="AE104" s="77" t="str">
        <f t="shared" si="43"/>
        <v>aws s3 cp s3://rtdc.mdm.uploadarchive.raw/RTDC4040/ "%USERPROFILE%\AppData\Local\Temp\OnboardLogs"\RTDC4040\2017-06-30 --exclude "*" --recursive --include "*20170630*" &amp; "%USERPROFILE%\Documents\GitHub\mrs-test-scripts\Headless Mode &amp; Sideloading\WalkAndUnGZ.bat" "%USERPROFILE%\AppData\Local\Temp\OnboardLogs"\RTDC4040\2017-06-30 &amp; aws s3 cp s3://rtdc.mdm.uploadarchive.raw/RTDC4040/ "%USERPROFILE%\AppData\Local\Temp\OnboardLogs"\RTDC4040\2017-07-01 --exclude "*" --recursive --include "*20170701*" &amp; "%USERPROFILE%\Documents\GitHub\mrs-test-scripts\Headless Mode &amp; Sideloading\WalkAndUnGZ.bat" "%USERPROFILE%\AppData\Local\Temp\OnboardLogs"\RTDC4040\2017-07-01</v>
      </c>
      <c r="AF104" s="74" t="str">
        <f t="shared" si="44"/>
        <v>"C:\Program Files (x86)\AstroGrep\AstroGrep.exe" /e /r /s /spath="%USERPROFILE%\AppData\Local\Temp\OnboardLogs" /stypes="app*4040*20170630*" /stext=" 21:.+((SYSTEM_STATE.+slice.+state.+changed )|(ment ac)|(multiple cpu faults)|(system.+state.+changed )|(\[timeout)|(PRM\|1\|D)|(kpr)|(kdp)|(train st.+moving)|(\|lc)|(penalty))"</v>
      </c>
      <c r="AG104" s="209" t="str">
        <f t="shared" si="45"/>
        <v>EC</v>
      </c>
      <c r="AH104" s="78" t="str">
        <f t="shared" si="46"/>
        <v>"%USERPROFILE%\Documents\GitHub\eaglep3\Utilities\RefineRTDCRunTimes.py" --tripid 187-30 --locoid 4040 --swversion DE.1.0.9.0 --startMP 204:431 --initTime 2017-06-30T14:21:59 --startdatetime 2017-06-30T14:30:19 --delay 1 --endMP 204:233339 --enddatetime 2017-06-30T15:06:49 --enforcementcount 0 &gt;&gt;C:\Users\stu\Documents\GitHub\eaglep3-reporting\EC\2017-06-30-refined-times.txt</v>
      </c>
      <c r="AI104" s="96" t="str">
        <f t="shared" si="47"/>
        <v>echo {"issue":{"subject":"Brief Wi-MAX data drop caused unhealthy crossing","project_id":79,"tracker_id":40,"status_id":1,"priority_id":2,"assigned_to_id":23,"start_date":"2017-06-30","description":"","custom_fields":[{"id":1,"name":"Subdivision","value":"EC"},{"id":4,"name":"Milepost","value":"23.3339"},{"id":17,"name":"Train ID","value":"187-30"},{"id":16,"name":"Locomotive ID","value":"4040"},{"id":130,"name":"Impact","value":""},{"id":150,"name":"Time of Event (Mountain Time)","value":"15:06:49"},{"id":151,"name":"Denver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48"/>
        <v>start /low /b %USERPROFILE%\Documents\GitHub\eaglep3\Utilities\DownloadLogsFromS3.py --loco 4040 --day 2017-06-30</v>
      </c>
      <c r="AN104" s="151" t="str">
        <f t="shared" si="49"/>
        <v>echo {"issue":{"subject":"Brief Wi-MAX data drop caused unhealthy crossing","project_id":30,"tracker_id":4,"status_id":1,"priority_id":1,"assigned_to_id":10,"start_date":"2017-06-30","description":"","custom_fields":[{"id":30,"name":"Category","value":"Issue"},{"id":3,"name":"Functional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21:06:49"},{"id":29,"name":"Sharepoint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614</v>
      </c>
      <c r="B105" s="7">
        <v>4039</v>
      </c>
      <c r="C105" s="21" t="s">
        <v>200</v>
      </c>
      <c r="D105" s="21" t="s">
        <v>440</v>
      </c>
      <c r="E105" s="13">
        <v>42916.640821759262</v>
      </c>
      <c r="F105" s="13">
        <v>42916.644143518519</v>
      </c>
      <c r="G105" s="7">
        <v>1</v>
      </c>
      <c r="H105" s="21" t="s">
        <v>897</v>
      </c>
      <c r="I105" s="13">
        <v>42916.665439814817</v>
      </c>
      <c r="J105" s="7">
        <v>0</v>
      </c>
      <c r="K105" s="89" t="str">
        <f t="shared" si="35"/>
        <v>4039/4040</v>
      </c>
      <c r="L105" s="21" t="str">
        <f>VLOOKUP(A105,'Trips&amp;Operators'!$C$1:$G$99999,5,FALSE)</f>
        <v>HOLCOMB KAMDEN</v>
      </c>
      <c r="M105" s="6">
        <f t="shared" si="36"/>
        <v>2.1296296297805384E-2</v>
      </c>
      <c r="N105" s="7"/>
      <c r="O105" s="7"/>
      <c r="P105" s="7">
        <f>24*60*SUM($M105:$M105)</f>
        <v>30.666666668839753</v>
      </c>
      <c r="Q105" s="22"/>
      <c r="R105" s="170" t="s">
        <v>1085</v>
      </c>
      <c r="S105" s="213">
        <f t="shared" si="51"/>
        <v>0.91666666666666663</v>
      </c>
      <c r="T105" s="195" t="str">
        <f t="shared" si="37"/>
        <v>Southbound</v>
      </c>
      <c r="U105" s="19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11</v>
      </c>
      <c r="V105" s="196" t="str">
        <f t="shared" si="38"/>
        <v>https://d0f6bd738d7f1b3e5a7ca70fe4ff75f0.us-east-1.aws.found.io/app/kibana#/discover/Steve-Slow-Train-Analysis-(2080s-and-2083s)?_g=(refreshInterval:(display:Off,pause:!f,section:0,value:0),time:(from:'2017-06-30T14:22:47-0600',mode:absolute,to:'2017-06-30T16:58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05" s="197" t="str">
        <f>IF(AA105&lt;VLOOKUP(AG105,Variables!$AC$3:$AD$8,2,FALSE),"Y","N")</f>
        <v>Y</v>
      </c>
      <c r="X105" s="197">
        <f t="shared" si="34"/>
        <v>1</v>
      </c>
      <c r="Y105" s="197">
        <f t="shared" si="52"/>
        <v>23.3</v>
      </c>
      <c r="Z105" s="197">
        <f t="shared" si="53"/>
        <v>2.7383999999999999</v>
      </c>
      <c r="AA105" s="197">
        <f t="shared" si="41"/>
        <v>20.561600000000002</v>
      </c>
      <c r="AB105" s="54" t="str">
        <f>VLOOKUP(A105,Enforcements!$C$7:$K$13,8,0)</f>
        <v>Bulletin (2)</v>
      </c>
      <c r="AC105" s="51" t="str">
        <f>VLOOKUP(A105,Enforcements!$C$7:$E$13,3,0)</f>
        <v>GRADE CROSSING</v>
      </c>
      <c r="AD105" s="206">
        <f t="shared" si="42"/>
        <v>188</v>
      </c>
      <c r="AE105" s="77" t="str">
        <f t="shared" si="43"/>
        <v>aws s3 cp s3://rtdc.mdm.uploadarchive.raw/RTDC4039/ "%USERPROFILE%\AppData\Local\Temp\OnboardLogs"\RTDC4039\2017-06-30 --exclude "*" --recursive --include "*20170630*" &amp; "%USERPROFILE%\Documents\GitHub\mrs-test-scripts\Headless Mode &amp; Sideloading\WalkAndUnGZ.bat" "%USERPROFILE%\AppData\Local\Temp\OnboardLogs"\RTDC4039\2017-06-30 &amp; aws s3 cp s3://rtdc.mdm.uploadarchive.raw/RTDC4039/ "%USERPROFILE%\AppData\Local\Temp\OnboardLogs"\RTDC4039\2017-07-01 --exclude "*" --recursive --include "*20170701*" &amp; "%USERPROFILE%\Documents\GitHub\mrs-test-scripts\Headless Mode &amp; Sideloading\WalkAndUnGZ.bat" "%USERPROFILE%\AppData\Local\Temp\OnboardLogs"\RTDC4039\2017-07-01</v>
      </c>
      <c r="AF105" s="74" t="str">
        <f t="shared" si="44"/>
        <v>"C:\Program Files (x86)\AstroGrep\AstroGrep.exe" /e /r /s /spath="%USERPROFILE%\AppData\Local\Temp\OnboardLogs" /stypes="app*4039*20170630*" /stext=" 21:.+((SYSTEM_STATE.+slice.+state.+changed )|(ment ac)|(multiple cpu faults)|(system.+state.+changed )|(\[timeout)|(PRM\|1\|D)|(kpr)|(kdp)|(train st.+moving)|(\|lc)|(penalty))"</v>
      </c>
      <c r="AG105" s="209" t="str">
        <f t="shared" si="45"/>
        <v>EC</v>
      </c>
      <c r="AH105" s="78" t="str">
        <f t="shared" si="46"/>
        <v>"%USERPROFILE%\Documents\GitHub\eaglep3\Utilities\RefineRTDCRunTimes.py" --tripid 188-30 --locoid 4039 --swversion DE.1.0.9.0 --startMP 204:233000 --initTime 2017-06-30T15:22:47 --startdatetime 2017-06-30T15:27:34 --delay 1 --endMP 204:27384 --enddatetime 2017-06-30T15:58:14 --enforcementcount 0 &gt;&gt;C:\Users\stu\Documents\GitHub\eaglep3-reporting\EC\2017-06-30-refined-times.txt</v>
      </c>
      <c r="AI105" s="96" t="str">
        <f t="shared" si="47"/>
        <v>echo {"issue":{"subject":"Successive early arrival enforcements using worst-case parameters","project_id":79,"tracker_id":40,"status_id":1,"priority_id":2,"assigned_to_id":23,"start_date":"2017-06-30","description":"","custom_fields":[{"id":1,"name":"Subdivision","value":"EC"},{"id":4,"name":"Milepost","value":"2.7384"},{"id":17,"name":"Train ID","value":"188-30"},{"id":16,"name":"Locomotive ID","value":"4039"},{"id":130,"name":"Impact","value":""},{"id":150,"name":"Time of Event (Mountain Time)","value":"15:58:14"},{"id":151,"name":"Denver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48"/>
        <v>start /low /b %USERPROFILE%\Documents\GitHub\eaglep3\Utilities\DownloadLogsFromS3.py --loco 4039 --day 2017-06-30</v>
      </c>
      <c r="AN105" s="151" t="str">
        <f t="shared" si="49"/>
        <v>echo {"issue":{"subject":"Successive early arrival enforcements using worst-case parameters","project_id":30,"tracker_id":4,"status_id":1,"priority_id":1,"assigned_to_id":10,"start_date":"2017-06-30","description":"","custom_fields":[{"id":30,"name":"Category","value":"Issue"},{"id":3,"name":"Functional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21:58:14"},{"id":29,"name":"Sharepoint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762</v>
      </c>
      <c r="B106" s="7">
        <v>4014</v>
      </c>
      <c r="C106" s="21" t="s">
        <v>200</v>
      </c>
      <c r="D106" s="21" t="s">
        <v>438</v>
      </c>
      <c r="E106" s="13">
        <v>42916.608483796299</v>
      </c>
      <c r="F106" s="13">
        <v>42916.615173611113</v>
      </c>
      <c r="G106" s="7">
        <v>7</v>
      </c>
      <c r="H106" s="21" t="s">
        <v>444</v>
      </c>
      <c r="I106" s="13">
        <v>42916.639884259261</v>
      </c>
      <c r="J106" s="7">
        <v>0</v>
      </c>
      <c r="K106" s="89" t="str">
        <f t="shared" si="35"/>
        <v>4013/4014</v>
      </c>
      <c r="L106" s="21" t="str">
        <f>VLOOKUP(A106,'Trips&amp;Operators'!$C$1:$G$99999,5,FALSE)</f>
        <v>DE LA ROSA ALEX</v>
      </c>
      <c r="M106" s="6">
        <f t="shared" si="36"/>
        <v>2.47106481474475E-2</v>
      </c>
      <c r="N106" s="7">
        <f t="shared" ref="N106:N137" si="54">24*60*SUM($M106:$M106)</f>
        <v>35.583333332324401</v>
      </c>
      <c r="O106" s="7"/>
      <c r="P106" s="7"/>
      <c r="Q106" s="22"/>
      <c r="R106" s="170"/>
      <c r="S106" s="213">
        <f t="shared" si="51"/>
        <v>1</v>
      </c>
      <c r="T106" s="195" t="str">
        <f t="shared" si="37"/>
        <v>NorthBound</v>
      </c>
      <c r="U106" s="19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6" t="str">
        <f t="shared" si="38"/>
        <v>https://d0f6bd738d7f1b3e5a7ca70fe4ff75f0.us-east-1.aws.found.io/app/kibana#/discover/Steve-Slow-Train-Analysis-(2080s-and-2083s)?_g=(refreshInterval:(display:Off,pause:!f,section:0,value:0),time:(from:'2017-06-30T13:36:13-0600',mode:absolute,to:'2017-06-30T16:21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06" s="197" t="str">
        <f>IF(AA106&lt;VLOOKUP(AG106,Variables!$AC$3:$AD$8,2,FALSE),"Y","N")</f>
        <v>N</v>
      </c>
      <c r="X106" s="197">
        <f t="shared" si="34"/>
        <v>1</v>
      </c>
      <c r="Y106" s="197">
        <f t="shared" si="52"/>
        <v>4.58E-2</v>
      </c>
      <c r="Z106" s="197">
        <f t="shared" si="53"/>
        <v>23.331199999999999</v>
      </c>
      <c r="AA106" s="197">
        <f t="shared" si="41"/>
        <v>23.285399999999999</v>
      </c>
      <c r="AB106" s="54" t="e">
        <f>VLOOKUP(A106,Enforcements!$C$7:$K$13,8,0)</f>
        <v>#N/A</v>
      </c>
      <c r="AC106" s="51" t="e">
        <f>VLOOKUP(A106,Enforcements!$C$7:$E$13,3,0)</f>
        <v>#N/A</v>
      </c>
      <c r="AD106" s="206">
        <f t="shared" si="42"/>
        <v>189</v>
      </c>
      <c r="AE106" s="77" t="str">
        <f t="shared" si="43"/>
        <v>aws s3 cp s3://rtdc.mdm.uploadarchive.raw/RTDC4014/ "%USERPROFILE%\AppData\Local\Temp\OnboardLogs"\RTDC4014\2017-06-30 --exclude "*" --recursive --include "*20170630*" &amp; "%USERPROFILE%\Documents\GitHub\mrs-test-scripts\Headless Mode &amp; Sideloading\WalkAndUnGZ.bat" "%USERPROFILE%\AppData\Local\Temp\OnboardLogs"\RTDC4014\2017-06-30 &amp; aws s3 cp s3://rtdc.mdm.uploadarchive.raw/RTDC4014/ "%USERPROFILE%\AppData\Local\Temp\OnboardLogs"\RTDC4014\2017-07-01 --exclude "*" --recursive --include "*20170701*" &amp; "%USERPROFILE%\Documents\GitHub\mrs-test-scripts\Headless Mode &amp; Sideloading\WalkAndUnGZ.bat" "%USERPROFILE%\AppData\Local\Temp\OnboardLogs"\RTDC4014\2017-07-01</v>
      </c>
      <c r="AF106" s="74" t="str">
        <f t="shared" si="44"/>
        <v>"C:\Program Files (x86)\AstroGrep\AstroGrep.exe" /e /r /s /spath="%USERPROFILE%\AppData\Local\Temp\OnboardLogs" /stypes="app*4014*20170630*" /stext=" 21:.+((SYSTEM_STATE.+slice.+state.+changed )|(ment ac)|(multiple cpu faults)|(system.+state.+changed )|(\[timeout)|(PRM\|1\|D)|(kpr)|(kdp)|(train st.+moving)|(\|lc)|(penalty))"</v>
      </c>
      <c r="AG106" s="209" t="str">
        <f t="shared" si="45"/>
        <v>EC</v>
      </c>
      <c r="AH106" s="78" t="str">
        <f t="shared" si="46"/>
        <v>"%USERPROFILE%\Documents\GitHub\eaglep3\Utilities\RefineRTDCRunTimes.py" --tripid 189-30 --locoid 4014 --swversion DE.1.0.9.0 --startMP 204:458 --initTime 2017-06-30T14:36:13 --startdatetime 2017-06-30T14:45:51 --delay 7 --endMP 204:233312 --enddatetime 2017-06-30T15:21:26 --enforcementcount 0 &gt;&gt;C:\Users\stu\Documents\GitHub\eaglep3-reporting\EC\2017-06-30-refined-times.txt</v>
      </c>
      <c r="AI106" s="96" t="str">
        <f t="shared" si="47"/>
        <v>echo {"issue":{"subject":"","project_id":79,"tracker_id":40,"status_id":1,"priority_id":2,"assigned_to_id":23,"start_date":"2017-06-30","description":"","custom_fields":[{"id":1,"name":"Subdivision","value":"EC"},{"id":4,"name":"Milepost","value":"23.3312"},{"id":17,"name":"Train ID","value":"189-30"},{"id":16,"name":"Locomotive ID","value":"4014"},{"id":130,"name":"Impact","value":""},{"id":150,"name":"Time of Event (Mountain Time)","value":"15:21:26"},{"id":151,"name":"Denver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48"/>
        <v>start /low /b %USERPROFILE%\Documents\GitHub\eaglep3\Utilities\DownloadLogsFromS3.py --loco 4014 --day 2017-06-30</v>
      </c>
      <c r="AN106" s="151" t="str">
        <f t="shared" si="49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21:21:26"},{"id":29,"name":"Sharepoint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615</v>
      </c>
      <c r="B107" s="7">
        <v>4013</v>
      </c>
      <c r="C107" s="21" t="s">
        <v>200</v>
      </c>
      <c r="D107" s="21" t="s">
        <v>503</v>
      </c>
      <c r="E107" s="13">
        <v>42916.650856481479</v>
      </c>
      <c r="F107" s="13">
        <v>42916.654363425929</v>
      </c>
      <c r="G107" s="7">
        <v>1</v>
      </c>
      <c r="H107" s="21" t="s">
        <v>898</v>
      </c>
      <c r="I107" s="13">
        <v>42916.684560185182</v>
      </c>
      <c r="J107" s="7">
        <v>0</v>
      </c>
      <c r="K107" s="89" t="str">
        <f t="shared" si="35"/>
        <v>4013/4014</v>
      </c>
      <c r="L107" s="21" t="str">
        <f>VLOOKUP(A107,'Trips&amp;Operators'!$C$1:$G$99999,5,FALSE)</f>
        <v>DE LA ROSA ALEX</v>
      </c>
      <c r="M107" s="6">
        <f t="shared" si="36"/>
        <v>3.0196759253158234E-2</v>
      </c>
      <c r="N107" s="7">
        <f t="shared" si="54"/>
        <v>43.483333324547857</v>
      </c>
      <c r="O107" s="7"/>
      <c r="P107" s="7"/>
      <c r="Q107" s="22"/>
      <c r="R107" s="170"/>
      <c r="S107" s="213">
        <f t="shared" si="51"/>
        <v>1</v>
      </c>
      <c r="T107" s="195" t="str">
        <f t="shared" si="37"/>
        <v>Southbound</v>
      </c>
      <c r="U107" s="19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6" t="str">
        <f t="shared" si="38"/>
        <v>https://d0f6bd738d7f1b3e5a7ca70fe4ff75f0.us-east-1.aws.found.io/app/kibana#/discover/Steve-Slow-Train-Analysis-(2080s-and-2083s)?_g=(refreshInterval:(display:Off,pause:!f,section:0,value:0),time:(from:'2017-06-30T14:37:14-0600',mode:absolute,to:'2017-06-30T17:25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07" s="197" t="str">
        <f>IF(AA107&lt;VLOOKUP(AG107,Variables!$AC$3:$AD$8,2,FALSE),"Y","N")</f>
        <v>N</v>
      </c>
      <c r="X107" s="197">
        <f t="shared" ref="X107:X138" si="55">VALUE(LEFT(AD107,4))-VALUE(LEFT(AD106,4))</f>
        <v>1</v>
      </c>
      <c r="Y107" s="197">
        <f t="shared" si="52"/>
        <v>23.299800000000001</v>
      </c>
      <c r="Z107" s="197">
        <f t="shared" si="53"/>
        <v>9.0899999999999995E-2</v>
      </c>
      <c r="AA107" s="197">
        <f t="shared" si="41"/>
        <v>23.2089</v>
      </c>
      <c r="AB107" s="54" t="e">
        <f>VLOOKUP(A107,Enforcements!$C$7:$K$13,8,0)</f>
        <v>#N/A</v>
      </c>
      <c r="AC107" s="51" t="e">
        <f>VLOOKUP(A107,Enforcements!$C$7:$E$13,3,0)</f>
        <v>#N/A</v>
      </c>
      <c r="AD107" s="206">
        <f t="shared" si="42"/>
        <v>190</v>
      </c>
      <c r="AE107" s="77" t="str">
        <f t="shared" si="43"/>
        <v>aws s3 cp s3://rtdc.mdm.uploadarchive.raw/RTDC4013/ "%USERPROFILE%\AppData\Local\Temp\OnboardLogs"\RTDC4013\2017-06-30 --exclude "*" --recursive --include "*20170630*" &amp; "%USERPROFILE%\Documents\GitHub\mrs-test-scripts\Headless Mode &amp; Sideloading\WalkAndUnGZ.bat" "%USERPROFILE%\AppData\Local\Temp\OnboardLogs"\RTDC4013\2017-06-30 &amp; aws s3 cp s3://rtdc.mdm.uploadarchive.raw/RTDC4013/ "%USERPROFILE%\AppData\Local\Temp\OnboardLogs"\RTDC4013\2017-07-01 --exclude "*" --recursive --include "*20170701*" &amp; "%USERPROFILE%\Documents\GitHub\mrs-test-scripts\Headless Mode &amp; Sideloading\WalkAndUnGZ.bat" "%USERPROFILE%\AppData\Local\Temp\OnboardLogs"\RTDC4013\2017-07-01</v>
      </c>
      <c r="AF107" s="74" t="str">
        <f t="shared" si="44"/>
        <v>"C:\Program Files (x86)\AstroGrep\AstroGrep.exe" /e /r /s /spath="%USERPROFILE%\AppData\Local\Temp\OnboardLogs" /stypes="app*4013*20170630*" /stext=" 22:.+((SYSTEM_STATE.+slice.+state.+changed )|(ment ac)|(multiple cpu faults)|(system.+state.+changed )|(\[timeout)|(PRM\|1\|D)|(kpr)|(kdp)|(train st.+moving)|(\|lc)|(penalty))"</v>
      </c>
      <c r="AG107" s="209" t="str">
        <f t="shared" si="45"/>
        <v>EC</v>
      </c>
      <c r="AH107" s="78" t="str">
        <f t="shared" si="46"/>
        <v>"%USERPROFILE%\Documents\GitHub\eaglep3\Utilities\RefineRTDCRunTimes.py" --tripid 190-30 --locoid 4013 --swversion DE.1.0.9.0 --startMP 204:232998 --initTime 2017-06-30T15:37:14 --startdatetime 2017-06-30T15:42:17 --delay 1 --endMP 204:909 --enddatetime 2017-06-30T16:25:46 --enforcementcount 0 &gt;&gt;C:\Users\stu\Documents\GitHub\eaglep3-reporting\EC\2017-06-30-refined-times.txt</v>
      </c>
      <c r="AI107" s="96" t="str">
        <f t="shared" si="47"/>
        <v>echo {"issue":{"subject":"","project_id":79,"tracker_id":40,"status_id":1,"priority_id":2,"assigned_to_id":23,"start_date":"2017-06-30","description":"","custom_fields":[{"id":1,"name":"Subdivision","value":"EC"},{"id":4,"name":"Milepost","value":"0.0909"},{"id":17,"name":"Train ID","value":"190-30"},{"id":16,"name":"Locomotive ID","value":"4013"},{"id":130,"name":"Impact","value":""},{"id":150,"name":"Time of Event (Mountain Time)","value":"16:25:46"},{"id":151,"name":"Denver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48"/>
        <v>start /low /b %USERPROFILE%\Documents\GitHub\eaglep3\Utilities\DownloadLogsFromS3.py --loco 4013 --day 2017-06-30</v>
      </c>
      <c r="AN107" s="151" t="str">
        <f t="shared" si="49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22:25:46"},{"id":29,"name":"Sharepoint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764</v>
      </c>
      <c r="B108" s="7">
        <v>4002</v>
      </c>
      <c r="C108" s="21" t="s">
        <v>200</v>
      </c>
      <c r="D108" s="21" t="s">
        <v>341</v>
      </c>
      <c r="E108" s="13">
        <v>42916.621261574073</v>
      </c>
      <c r="F108" s="13">
        <v>42916.625497685185</v>
      </c>
      <c r="G108" s="7">
        <v>1</v>
      </c>
      <c r="H108" s="21" t="s">
        <v>545</v>
      </c>
      <c r="I108" s="13">
        <v>42916.650949074072</v>
      </c>
      <c r="J108" s="7">
        <v>0</v>
      </c>
      <c r="K108" s="89" t="str">
        <f t="shared" si="35"/>
        <v>4001/4002</v>
      </c>
      <c r="L108" s="21" t="str">
        <f>VLOOKUP(A108,'Trips&amp;Operators'!$C$1:$G$99999,5,FALSE)</f>
        <v>STEWART MICHAEL</v>
      </c>
      <c r="M108" s="6">
        <f t="shared" si="36"/>
        <v>2.545138888672227E-2</v>
      </c>
      <c r="N108" s="7">
        <f t="shared" si="54"/>
        <v>36.649999996880069</v>
      </c>
      <c r="O108" s="7"/>
      <c r="P108" s="7"/>
      <c r="Q108" s="22"/>
      <c r="R108" s="170"/>
      <c r="S108" s="213">
        <f t="shared" si="51"/>
        <v>1</v>
      </c>
      <c r="T108" s="195" t="str">
        <f t="shared" si="37"/>
        <v>NorthBound</v>
      </c>
      <c r="U108" s="19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6" t="str">
        <f t="shared" si="38"/>
        <v>https://d0f6bd738d7f1b3e5a7ca70fe4ff75f0.us-east-1.aws.found.io/app/kibana#/discover/Steve-Slow-Train-Analysis-(2080s-and-2083s)?_g=(refreshInterval:(display:Off,pause:!f,section:0,value:0),time:(from:'2017-06-30T13:54:37-0600',mode:absolute,to:'2017-06-30T16:37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08" s="197" t="str">
        <f>IF(AA108&lt;VLOOKUP(AG108,Variables!$AC$3:$AD$8,2,FALSE),"Y","N")</f>
        <v>N</v>
      </c>
      <c r="X108" s="197">
        <f t="shared" si="55"/>
        <v>1</v>
      </c>
      <c r="Y108" s="197">
        <f t="shared" si="52"/>
        <v>4.4900000000000002E-2</v>
      </c>
      <c r="Z108" s="197">
        <f t="shared" si="53"/>
        <v>23.330300000000001</v>
      </c>
      <c r="AA108" s="197">
        <f t="shared" si="41"/>
        <v>23.285400000000003</v>
      </c>
      <c r="AB108" s="54" t="e">
        <f>VLOOKUP(A108,Enforcements!$C$7:$K$13,8,0)</f>
        <v>#N/A</v>
      </c>
      <c r="AC108" s="51" t="e">
        <f>VLOOKUP(A108,Enforcements!$C$7:$E$13,3,0)</f>
        <v>#N/A</v>
      </c>
      <c r="AD108" s="206">
        <f t="shared" si="42"/>
        <v>191</v>
      </c>
      <c r="AE108" s="77" t="str">
        <f t="shared" si="43"/>
        <v>aws s3 cp s3://rtdc.mdm.uploadarchive.raw/RTDC4002/ "%USERPROFILE%\AppData\Local\Temp\OnboardLogs"\RTDC4002\2017-06-30 --exclude "*" --recursive --include "*20170630*" &amp; "%USERPROFILE%\Documents\GitHub\mrs-test-scripts\Headless Mode &amp; Sideloading\WalkAndUnGZ.bat" "%USERPROFILE%\AppData\Local\Temp\OnboardLogs"\RTDC4002\2017-06-30 &amp; aws s3 cp s3://rtdc.mdm.uploadarchive.raw/RTDC4002/ "%USERPROFILE%\AppData\Local\Temp\OnboardLogs"\RTDC4002\2017-07-01 --exclude "*" --recursive --include "*20170701*" &amp; "%USERPROFILE%\Documents\GitHub\mrs-test-scripts\Headless Mode &amp; Sideloading\WalkAndUnGZ.bat" "%USERPROFILE%\AppData\Local\Temp\OnboardLogs"\RTDC4002\2017-07-01</v>
      </c>
      <c r="AF108" s="74" t="str">
        <f t="shared" si="44"/>
        <v>"C:\Program Files (x86)\AstroGrep\AstroGrep.exe" /e /r /s /spath="%USERPROFILE%\AppData\Local\Temp\OnboardLogs" /stypes="app*4002*20170630*" /stext=" 21:.+((SYSTEM_STATE.+slice.+state.+changed )|(ment ac)|(multiple cpu faults)|(system.+state.+changed )|(\[timeout)|(PRM\|1\|D)|(kpr)|(kdp)|(train st.+moving)|(\|lc)|(penalty))"</v>
      </c>
      <c r="AG108" s="209" t="str">
        <f t="shared" si="45"/>
        <v>EC</v>
      </c>
      <c r="AH108" s="78" t="str">
        <f t="shared" si="46"/>
        <v>"%USERPROFILE%\Documents\GitHub\eaglep3\Utilities\RefineRTDCRunTimes.py" --tripid 191-30 --locoid 4002 --swversion DE.1.0.9.0 --startMP 204:449 --initTime 2017-06-30T14:54:37 --startdatetime 2017-06-30T15:00:43 --delay 1 --endMP 204:233303 --enddatetime 2017-06-30T15:37:22 --enforcementcount 0 &gt;&gt;C:\Users\stu\Documents\GitHub\eaglep3-reporting\EC\2017-06-30-refined-times.txt</v>
      </c>
      <c r="AI108" s="96" t="str">
        <f t="shared" si="47"/>
        <v>echo {"issue":{"subject":"","project_id":79,"tracker_id":40,"status_id":1,"priority_id":2,"assigned_to_id":23,"start_date":"2017-06-30","description":"","custom_fields":[{"id":1,"name":"Subdivision","value":"EC"},{"id":4,"name":"Milepost","value":"23.3303"},{"id":17,"name":"Train ID","value":"191-30"},{"id":16,"name":"Locomotive ID","value":"4002"},{"id":130,"name":"Impact","value":""},{"id":150,"name":"Time of Event (Mountain Time)","value":"15:37:22"},{"id":151,"name":"Denver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48"/>
        <v>start /low /b %USERPROFILE%\Documents\GitHub\eaglep3\Utilities\DownloadLogsFromS3.py --loco 4002 --day 2017-06-30</v>
      </c>
      <c r="AN108" s="151" t="str">
        <f t="shared" si="49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21:37:22"},{"id":29,"name":"Sharepoint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616</v>
      </c>
      <c r="B109" s="7">
        <v>4001</v>
      </c>
      <c r="C109" s="21" t="s">
        <v>200</v>
      </c>
      <c r="D109" s="21" t="s">
        <v>899</v>
      </c>
      <c r="E109" s="13">
        <v>42916.661006944443</v>
      </c>
      <c r="F109" s="13">
        <v>42916.664768518516</v>
      </c>
      <c r="G109" s="7">
        <v>1</v>
      </c>
      <c r="H109" s="21" t="s">
        <v>450</v>
      </c>
      <c r="I109" s="13">
        <v>42916.691412037035</v>
      </c>
      <c r="J109" s="7">
        <v>0</v>
      </c>
      <c r="K109" s="89" t="str">
        <f t="shared" si="35"/>
        <v>4001/4002</v>
      </c>
      <c r="L109" s="21" t="str">
        <f>VLOOKUP(A109,'Trips&amp;Operators'!$C$1:$G$99999,5,FALSE)</f>
        <v>STEWART MICHAEL</v>
      </c>
      <c r="M109" s="6">
        <f t="shared" si="36"/>
        <v>2.6643518518540077E-2</v>
      </c>
      <c r="N109" s="7">
        <f t="shared" si="54"/>
        <v>38.366666666697711</v>
      </c>
      <c r="O109" s="7"/>
      <c r="P109" s="7"/>
      <c r="Q109" s="22"/>
      <c r="R109" s="170"/>
      <c r="S109" s="213">
        <f t="shared" si="51"/>
        <v>1</v>
      </c>
      <c r="T109" s="195" t="str">
        <f t="shared" si="37"/>
        <v>Southbound</v>
      </c>
      <c r="U109" s="19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6" t="str">
        <f t="shared" si="38"/>
        <v>https://d0f6bd738d7f1b3e5a7ca70fe4ff75f0.us-east-1.aws.found.io/app/kibana#/discover/Steve-Slow-Train-Analysis-(2080s-and-2083s)?_g=(refreshInterval:(display:Off,pause:!f,section:0,value:0),time:(from:'2017-06-30T14:51:51-0600',mode:absolute,to:'2017-06-30T17:35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09" s="197" t="str">
        <f>IF(AA109&lt;VLOOKUP(AG109,Variables!$AC$3:$AD$8,2,FALSE),"Y","N")</f>
        <v>N</v>
      </c>
      <c r="X109" s="197">
        <f t="shared" si="55"/>
        <v>1</v>
      </c>
      <c r="Y109" s="197">
        <f t="shared" si="52"/>
        <v>23.296500000000002</v>
      </c>
      <c r="Z109" s="197">
        <f t="shared" si="53"/>
        <v>1.6299999999999999E-2</v>
      </c>
      <c r="AA109" s="197">
        <f t="shared" si="41"/>
        <v>23.280200000000001</v>
      </c>
      <c r="AB109" s="54" t="e">
        <f>VLOOKUP(A109,Enforcements!$C$7:$K$13,8,0)</f>
        <v>#N/A</v>
      </c>
      <c r="AC109" s="51" t="e">
        <f>VLOOKUP(A109,Enforcements!$C$7:$E$13,3,0)</f>
        <v>#N/A</v>
      </c>
      <c r="AD109" s="206">
        <f t="shared" si="42"/>
        <v>192</v>
      </c>
      <c r="AE109" s="77" t="str">
        <f t="shared" si="43"/>
        <v>aws s3 cp s3://rtdc.mdm.uploadarchive.raw/RTDC4001/ "%USERPROFILE%\AppData\Local\Temp\OnboardLogs"\RTDC4001\2017-06-30 --exclude "*" --recursive --include "*20170630*" &amp; "%USERPROFILE%\Documents\GitHub\mrs-test-scripts\Headless Mode &amp; Sideloading\WalkAndUnGZ.bat" "%USERPROFILE%\AppData\Local\Temp\OnboardLogs"\RTDC4001\2017-06-30 &amp; aws s3 cp s3://rtdc.mdm.uploadarchive.raw/RTDC4001/ "%USERPROFILE%\AppData\Local\Temp\OnboardLogs"\RTDC4001\2017-07-01 --exclude "*" --recursive --include "*20170701*" &amp; "%USERPROFILE%\Documents\GitHub\mrs-test-scripts\Headless Mode &amp; Sideloading\WalkAndUnGZ.bat" "%USERPROFILE%\AppData\Local\Temp\OnboardLogs"\RTDC4001\2017-07-01</v>
      </c>
      <c r="AF109" s="74" t="str">
        <f t="shared" si="44"/>
        <v>"C:\Program Files (x86)\AstroGrep\AstroGrep.exe" /e /r /s /spath="%USERPROFILE%\AppData\Local\Temp\OnboardLogs" /stypes="app*4001*20170630*" /stext=" 22:.+((SYSTEM_STATE.+slice.+state.+changed )|(ment ac)|(multiple cpu faults)|(system.+state.+changed )|(\[timeout)|(PRM\|1\|D)|(kpr)|(kdp)|(train st.+moving)|(\|lc)|(penalty))"</v>
      </c>
      <c r="AG109" s="209" t="str">
        <f t="shared" si="45"/>
        <v>EC</v>
      </c>
      <c r="AH109" s="78" t="str">
        <f t="shared" si="46"/>
        <v>"%USERPROFILE%\Documents\GitHub\eaglep3\Utilities\RefineRTDCRunTimes.py" --tripid 192-30 --locoid 4001 --swversion DE.1.0.9.0 --startMP 204:232965 --initTime 2017-06-30T15:51:51 --startdatetime 2017-06-30T15:57:16 --delay 1 --endMP 204:163 --enddatetime 2017-06-30T16:35:38 --enforcementcount 0 &gt;&gt;C:\Users\stu\Documents\GitHub\eaglep3-reporting\EC\2017-06-30-refined-times.txt</v>
      </c>
      <c r="AI109" s="96" t="str">
        <f t="shared" si="47"/>
        <v>echo {"issue":{"subject":"","project_id":79,"tracker_id":40,"status_id":1,"priority_id":2,"assigned_to_id":23,"start_date":"2017-06-30","description":"","custom_fields":[{"id":1,"name":"Subdivision","value":"EC"},{"id":4,"name":"Milepost","value":"0.0163"},{"id":17,"name":"Train ID","value":"192-30"},{"id":16,"name":"Locomotive ID","value":"4001"},{"id":130,"name":"Impact","value":""},{"id":150,"name":"Time of Event (Mountain Time)","value":"16:35:38"},{"id":151,"name":"Denver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48"/>
        <v>start /low /b %USERPROFILE%\Documents\GitHub\eaglep3\Utilities\DownloadLogsFromS3.py --loco 4001 --day 2017-06-30</v>
      </c>
      <c r="AN109" s="151" t="str">
        <f t="shared" si="49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22:35:38"},{"id":29,"name":"Sharepoint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767</v>
      </c>
      <c r="B110" s="7">
        <v>4024</v>
      </c>
      <c r="C110" s="21" t="s">
        <v>200</v>
      </c>
      <c r="D110" s="21" t="s">
        <v>438</v>
      </c>
      <c r="E110" s="13">
        <v>42916.630972222221</v>
      </c>
      <c r="F110" s="13">
        <v>42916.635949074072</v>
      </c>
      <c r="G110" s="7">
        <v>1</v>
      </c>
      <c r="H110" s="21" t="s">
        <v>498</v>
      </c>
      <c r="I110" s="13">
        <v>42916.662766203706</v>
      </c>
      <c r="J110" s="7">
        <v>0</v>
      </c>
      <c r="K110" s="89" t="str">
        <f t="shared" si="35"/>
        <v>4023/4024</v>
      </c>
      <c r="L110" s="21" t="str">
        <f>VLOOKUP(A110,'Trips&amp;Operators'!$C$1:$G$99999,5,FALSE)</f>
        <v>LEVERE CRAIG</v>
      </c>
      <c r="M110" s="6">
        <f t="shared" si="36"/>
        <v>2.6817129633855075E-2</v>
      </c>
      <c r="N110" s="7">
        <f t="shared" si="54"/>
        <v>38.616666672751307</v>
      </c>
      <c r="O110" s="7"/>
      <c r="P110" s="7"/>
      <c r="Q110" s="22"/>
      <c r="R110" s="170"/>
      <c r="S110" s="213">
        <f t="shared" si="51"/>
        <v>1</v>
      </c>
      <c r="T110" s="195" t="str">
        <f t="shared" si="37"/>
        <v>NorthBound</v>
      </c>
      <c r="U110" s="19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6" t="str">
        <f t="shared" si="38"/>
        <v>https://d0f6bd738d7f1b3e5a7ca70fe4ff75f0.us-east-1.aws.found.io/app/kibana#/discover/Steve-Slow-Train-Analysis-(2080s-and-2083s)?_g=(refreshInterval:(display:Off,pause:!f,section:0,value:0),time:(from:'2017-06-30T14:08:36-0600',mode:absolute,to:'2017-06-30T16:54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10" s="197" t="str">
        <f>IF(AA110&lt;VLOOKUP(AG110,Variables!$AC$3:$AD$8,2,FALSE),"Y","N")</f>
        <v>N</v>
      </c>
      <c r="X110" s="197">
        <f t="shared" si="55"/>
        <v>1</v>
      </c>
      <c r="Y110" s="197">
        <f t="shared" si="52"/>
        <v>4.58E-2</v>
      </c>
      <c r="Z110" s="197">
        <f t="shared" si="53"/>
        <v>23.329699999999999</v>
      </c>
      <c r="AA110" s="197">
        <f t="shared" si="41"/>
        <v>23.283899999999999</v>
      </c>
      <c r="AB110" s="54" t="e">
        <f>VLOOKUP(A110,Enforcements!$C$7:$K$13,8,0)</f>
        <v>#N/A</v>
      </c>
      <c r="AC110" s="51" t="e">
        <f>VLOOKUP(A110,Enforcements!$C$7:$E$13,3,0)</f>
        <v>#N/A</v>
      </c>
      <c r="AD110" s="206">
        <f t="shared" si="42"/>
        <v>193</v>
      </c>
      <c r="AE110" s="77" t="str">
        <f t="shared" si="43"/>
        <v>aws s3 cp s3://rtdc.mdm.uploadarchive.raw/RTDC4024/ "%USERPROFILE%\AppData\Local\Temp\OnboardLogs"\RTDC4024\2017-06-30 --exclude "*" --recursive --include "*20170630*" &amp; "%USERPROFILE%\Documents\GitHub\mrs-test-scripts\Headless Mode &amp; Sideloading\WalkAndUnGZ.bat" "%USERPROFILE%\AppData\Local\Temp\OnboardLogs"\RTDC4024\2017-06-30 &amp; aws s3 cp s3://rtdc.mdm.uploadarchive.raw/RTDC4024/ "%USERPROFILE%\AppData\Local\Temp\OnboardLogs"\RTDC4024\2017-07-01 --exclude "*" --recursive --include "*20170701*" &amp; "%USERPROFILE%\Documents\GitHub\mrs-test-scripts\Headless Mode &amp; Sideloading\WalkAndUnGZ.bat" "%USERPROFILE%\AppData\Local\Temp\OnboardLogs"\RTDC4024\2017-07-01</v>
      </c>
      <c r="AF110" s="74" t="str">
        <f t="shared" si="44"/>
        <v>"C:\Program Files (x86)\AstroGrep\AstroGrep.exe" /e /r /s /spath="%USERPROFILE%\AppData\Local\Temp\OnboardLogs" /stypes="app*4024*20170630*" /stext=" 21:.+((SYSTEM_STATE.+slice.+state.+changed )|(ment ac)|(multiple cpu faults)|(system.+state.+changed )|(\[timeout)|(PRM\|1\|D)|(kpr)|(kdp)|(train st.+moving)|(\|lc)|(penalty))"</v>
      </c>
      <c r="AG110" s="209" t="str">
        <f t="shared" si="45"/>
        <v>EC</v>
      </c>
      <c r="AH110" s="78" t="str">
        <f t="shared" si="46"/>
        <v>"%USERPROFILE%\Documents\GitHub\eaglep3\Utilities\RefineRTDCRunTimes.py" --tripid 193-30 --locoid 4024 --swversion DE.1.0.9.0 --startMP 204:458 --initTime 2017-06-30T15:08:36 --startdatetime 2017-06-30T15:15:46 --delay 1 --endMP 204:233297 --enddatetime 2017-06-30T15:54:23 --enforcementcount 0 &gt;&gt;C:\Users\stu\Documents\GitHub\eaglep3-reporting\EC\2017-06-30-refined-times.txt</v>
      </c>
      <c r="AI110" s="96" t="str">
        <f t="shared" si="47"/>
        <v>echo {"issue":{"subject":"","project_id":79,"tracker_id":40,"status_id":1,"priority_id":2,"assigned_to_id":23,"start_date":"2017-06-30","description":"","custom_fields":[{"id":1,"name":"Subdivision","value":"EC"},{"id":4,"name":"Milepost","value":"23.3297"},{"id":17,"name":"Train ID","value":"193-30"},{"id":16,"name":"Locomotive ID","value":"4024"},{"id":130,"name":"Impact","value":""},{"id":150,"name":"Time of Event (Mountain Time)","value":"15:54:23"},{"id":151,"name":"Denver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48"/>
        <v>start /low /b %USERPROFILE%\Documents\GitHub\eaglep3\Utilities\DownloadLogsFromS3.py --loco 4024 --day 2017-06-30</v>
      </c>
      <c r="AN110" s="151" t="str">
        <f t="shared" si="49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21:54:23"},{"id":29,"name":"Sharepoint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774</v>
      </c>
      <c r="B111" s="7">
        <v>4023</v>
      </c>
      <c r="C111" s="21" t="s">
        <v>200</v>
      </c>
      <c r="D111" s="21" t="s">
        <v>875</v>
      </c>
      <c r="E111" s="13">
        <v>42916.669074074074</v>
      </c>
      <c r="F111" s="13">
        <v>42916.675613425927</v>
      </c>
      <c r="G111" s="7">
        <v>1</v>
      </c>
      <c r="H111" s="21" t="s">
        <v>348</v>
      </c>
      <c r="I111" s="13">
        <v>42916.702361111114</v>
      </c>
      <c r="J111" s="7">
        <v>0</v>
      </c>
      <c r="K111" s="89" t="str">
        <f t="shared" si="35"/>
        <v>4023/4024</v>
      </c>
      <c r="L111" s="21" t="str">
        <f>VLOOKUP(A111,'Trips&amp;Operators'!$C$1:$G$99999,5,FALSE)</f>
        <v>LEVERE CRAIG</v>
      </c>
      <c r="M111" s="6">
        <f t="shared" si="36"/>
        <v>2.6747685187729076E-2</v>
      </c>
      <c r="N111" s="7">
        <f t="shared" si="54"/>
        <v>38.516666670329869</v>
      </c>
      <c r="O111" s="7"/>
      <c r="P111" s="7"/>
      <c r="Q111" s="22"/>
      <c r="R111" s="170" t="s">
        <v>1093</v>
      </c>
      <c r="S111" s="213">
        <f t="shared" si="51"/>
        <v>1</v>
      </c>
      <c r="T111" s="195" t="str">
        <f t="shared" si="37"/>
        <v>Southbound</v>
      </c>
      <c r="U111" s="19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6" t="str">
        <f t="shared" si="38"/>
        <v>https://d0f6bd738d7f1b3e5a7ca70fe4ff75f0.us-east-1.aws.found.io/app/kibana#/discover/Steve-Slow-Train-Analysis-(2080s-and-2083s)?_g=(refreshInterval:(display:Off,pause:!f,section:0,value:0),time:(from:'2017-06-30T15:03:28-0600',mode:absolute,to:'2017-06-30T17:51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11" s="197" t="str">
        <f>IF(AA111&lt;VLOOKUP(AG111,Variables!$AC$3:$AD$8,2,FALSE),"Y","N")</f>
        <v>N</v>
      </c>
      <c r="X111" s="197">
        <f t="shared" si="55"/>
        <v>1</v>
      </c>
      <c r="Y111" s="197">
        <f t="shared" si="52"/>
        <v>23.298500000000001</v>
      </c>
      <c r="Z111" s="197">
        <f t="shared" si="53"/>
        <v>1.43E-2</v>
      </c>
      <c r="AA111" s="197">
        <f t="shared" si="41"/>
        <v>23.284200000000002</v>
      </c>
      <c r="AB111" s="54" t="e">
        <f>VLOOKUP(A111,Enforcements!$C$7:$K$13,8,0)</f>
        <v>#N/A</v>
      </c>
      <c r="AC111" s="51" t="e">
        <f>VLOOKUP(A111,Enforcements!$C$7:$E$13,3,0)</f>
        <v>#N/A</v>
      </c>
      <c r="AD111" s="206">
        <f t="shared" si="42"/>
        <v>194</v>
      </c>
      <c r="AE111" s="77" t="str">
        <f t="shared" si="43"/>
        <v>aws s3 cp s3://rtdc.mdm.uploadarchive.raw/RTDC4023/ "%USERPROFILE%\AppData\Local\Temp\OnboardLogs"\RTDC4023\2017-06-30 --exclude "*" --recursive --include "*20170630*" &amp; "%USERPROFILE%\Documents\GitHub\mrs-test-scripts\Headless Mode &amp; Sideloading\WalkAndUnGZ.bat" "%USERPROFILE%\AppData\Local\Temp\OnboardLogs"\RTDC4023\2017-06-30 &amp; aws s3 cp s3://rtdc.mdm.uploadarchive.raw/RTDC4023/ "%USERPROFILE%\AppData\Local\Temp\OnboardLogs"\RTDC4023\2017-07-01 --exclude "*" --recursive --include "*20170701*" &amp; "%USERPROFILE%\Documents\GitHub\mrs-test-scripts\Headless Mode &amp; Sideloading\WalkAndUnGZ.bat" "%USERPROFILE%\AppData\Local\Temp\OnboardLogs"\RTDC4023\2017-07-01</v>
      </c>
      <c r="AF111" s="74" t="str">
        <f t="shared" si="44"/>
        <v>"C:\Program Files (x86)\AstroGrep\AstroGrep.exe" /e /r /s /spath="%USERPROFILE%\AppData\Local\Temp\OnboardLogs" /stypes="app*4023*20170630*" /stext=" 22:.+((SYSTEM_STATE.+slice.+state.+changed )|(ment ac)|(multiple cpu faults)|(system.+state.+changed )|(\[timeout)|(PRM\|1\|D)|(kpr)|(kdp)|(train st.+moving)|(\|lc)|(penalty))"</v>
      </c>
      <c r="AG111" s="209" t="str">
        <f t="shared" si="45"/>
        <v>EC</v>
      </c>
      <c r="AH111" s="78" t="str">
        <f t="shared" si="46"/>
        <v>"%USERPROFILE%\Documents\GitHub\eaglep3\Utilities\RefineRTDCRunTimes.py" --tripid 194-30 --locoid 4023 --swversion DE.1.0.9.0 --startMP 204:232985 --initTime 2017-06-30T16:03:28 --startdatetime 2017-06-30T16:12:53 --delay 1 --endMP 204:143 --enddatetime 2017-06-30T16:51:24 --enforcementcount 0 &gt;&gt;C:\Users\stu\Documents\GitHub\eaglep3-reporting\EC\2017-06-30-refined-times.txt</v>
      </c>
      <c r="AI111" s="96" t="str">
        <f t="shared" si="47"/>
        <v>echo {"issue":{"subject":"Unhealthy at Chambers due to train stop","project_id":79,"tracker_id":40,"status_id":1,"priority_id":2,"assigned_to_id":23,"start_date":"2017-06-30","description":"","custom_fields":[{"id":1,"name":"Subdivision","value":"EC"},{"id":4,"name":"Milepost","value":"0.0143"},{"id":17,"name":"Train ID","value":"194-30"},{"id":16,"name":"Locomotive ID","value":"4023"},{"id":130,"name":"Impact","value":""},{"id":150,"name":"Time of Event (Mountain Time)","value":"16:51:24"},{"id":151,"name":"Denver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48"/>
        <v>start /low /b %USERPROFILE%\Documents\GitHub\eaglep3\Utilities\DownloadLogsFromS3.py --loco 4023 --day 2017-06-30</v>
      </c>
      <c r="AN111" s="151" t="str">
        <f t="shared" si="49"/>
        <v>echo {"issue":{"subject":"Unhealthy at Chambers due to train stop","project_id":30,"tracker_id":4,"status_id":1,"priority_id":1,"assigned_to_id":10,"start_date":"2017-06-30","description":"","custom_fields":[{"id":30,"name":"Category","value":"Issue"},{"id":3,"name":"Functional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22:51:24"},{"id":29,"name":"Sharepoint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769</v>
      </c>
      <c r="B112" s="7">
        <v>4026</v>
      </c>
      <c r="C112" s="21" t="s">
        <v>200</v>
      </c>
      <c r="D112" s="21" t="s">
        <v>350</v>
      </c>
      <c r="E112" s="13">
        <v>42916.642465277779</v>
      </c>
      <c r="F112" s="13">
        <v>42916.646562499998</v>
      </c>
      <c r="G112" s="7">
        <v>1</v>
      </c>
      <c r="H112" s="21" t="s">
        <v>900</v>
      </c>
      <c r="I112" s="13">
        <v>42916.6719212963</v>
      </c>
      <c r="J112" s="7">
        <v>0</v>
      </c>
      <c r="K112" s="89" t="str">
        <f t="shared" si="35"/>
        <v>4025/4026</v>
      </c>
      <c r="L112" s="21" t="str">
        <f>VLOOKUP(A112,'Trips&amp;Operators'!$C$1:$G$99999,5,FALSE)</f>
        <v>YANG JAN</v>
      </c>
      <c r="M112" s="6">
        <f t="shared" si="36"/>
        <v>2.5358796301588882E-2</v>
      </c>
      <c r="N112" s="7">
        <f t="shared" si="54"/>
        <v>36.51666667428799</v>
      </c>
      <c r="O112" s="7"/>
      <c r="P112" s="7"/>
      <c r="Q112" s="22"/>
      <c r="R112" s="170"/>
      <c r="S112" s="213">
        <f t="shared" si="51"/>
        <v>1</v>
      </c>
      <c r="T112" s="195" t="str">
        <f t="shared" si="37"/>
        <v>NorthBound</v>
      </c>
      <c r="U112" s="19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6" t="str">
        <f t="shared" si="38"/>
        <v>https://d0f6bd738d7f1b3e5a7ca70fe4ff75f0.us-east-1.aws.found.io/app/kibana#/discover/Steve-Slow-Train-Analysis-(2080s-and-2083s)?_g=(refreshInterval:(display:Off,pause:!f,section:0,value:0),time:(from:'2017-06-30T14:25:09-0600',mode:absolute,to:'2017-06-30T17:07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12" s="197" t="str">
        <f>IF(AA112&lt;VLOOKUP(AG112,Variables!$AC$3:$AD$8,2,FALSE),"Y","N")</f>
        <v>N</v>
      </c>
      <c r="X112" s="197">
        <f t="shared" si="55"/>
        <v>1</v>
      </c>
      <c r="Y112" s="197">
        <f t="shared" si="52"/>
        <v>4.5100000000000001E-2</v>
      </c>
      <c r="Z112" s="197">
        <f t="shared" si="53"/>
        <v>23.328800000000001</v>
      </c>
      <c r="AA112" s="197">
        <f t="shared" si="41"/>
        <v>23.2837</v>
      </c>
      <c r="AB112" s="54" t="e">
        <f>VLOOKUP(A112,Enforcements!$C$7:$K$13,8,0)</f>
        <v>#N/A</v>
      </c>
      <c r="AC112" s="51" t="e">
        <f>VLOOKUP(A112,Enforcements!$C$7:$E$13,3,0)</f>
        <v>#N/A</v>
      </c>
      <c r="AD112" s="206">
        <f t="shared" si="42"/>
        <v>195</v>
      </c>
      <c r="AE112" s="77" t="str">
        <f t="shared" si="43"/>
        <v>aws s3 cp s3://rtdc.mdm.uploadarchive.raw/RTDC4026/ "%USERPROFILE%\AppData\Local\Temp\OnboardLogs"\RTDC4026\2017-06-30 --exclude "*" --recursive --include "*20170630*" &amp; "%USERPROFILE%\Documents\GitHub\mrs-test-scripts\Headless Mode &amp; Sideloading\WalkAndUnGZ.bat" "%USERPROFILE%\AppData\Local\Temp\OnboardLogs"\RTDC4026\2017-06-30 &amp; aws s3 cp s3://rtdc.mdm.uploadarchive.raw/RTDC4026/ "%USERPROFILE%\AppData\Local\Temp\OnboardLogs"\RTDC4026\2017-07-01 --exclude "*" --recursive --include "*20170701*" &amp; "%USERPROFILE%\Documents\GitHub\mrs-test-scripts\Headless Mode &amp; Sideloading\WalkAndUnGZ.bat" "%USERPROFILE%\AppData\Local\Temp\OnboardLogs"\RTDC4026\2017-07-01</v>
      </c>
      <c r="AF112" s="74" t="str">
        <f t="shared" si="44"/>
        <v>"C:\Program Files (x86)\AstroGrep\AstroGrep.exe" /e /r /s /spath="%USERPROFILE%\AppData\Local\Temp\OnboardLogs" /stypes="app*4026*20170630*" /stext=" 22:.+((SYSTEM_STATE.+slice.+state.+changed )|(ment ac)|(multiple cpu faults)|(system.+state.+changed )|(\[timeout)|(PRM\|1\|D)|(kpr)|(kdp)|(train st.+moving)|(\|lc)|(penalty))"</v>
      </c>
      <c r="AG112" s="209" t="str">
        <f t="shared" si="45"/>
        <v>EC</v>
      </c>
      <c r="AH112" s="78" t="str">
        <f t="shared" si="46"/>
        <v>"%USERPROFILE%\Documents\GitHub\eaglep3\Utilities\RefineRTDCRunTimes.py" --tripid 195-30 --locoid 4026 --swversion DE.1.0.9.0 --startMP 204:451 --initTime 2017-06-30T15:25:09 --startdatetime 2017-06-30T15:31:03 --delay 1 --endMP 204:233288 --enddatetime 2017-06-30T16:07:34 --enforcementcount 0 &gt;&gt;C:\Users\stu\Documents\GitHub\eaglep3-reporting\EC\2017-06-30-refined-times.txt</v>
      </c>
      <c r="AI112" s="96" t="str">
        <f t="shared" si="47"/>
        <v>echo {"issue":{"subject":"","project_id":79,"tracker_id":40,"status_id":1,"priority_id":2,"assigned_to_id":23,"start_date":"2017-06-30","description":"","custom_fields":[{"id":1,"name":"Subdivision","value":"EC"},{"id":4,"name":"Milepost","value":"23.3288"},{"id":17,"name":"Train ID","value":"195-30"},{"id":16,"name":"Locomotive ID","value":"4026"},{"id":130,"name":"Impact","value":""},{"id":150,"name":"Time of Event (Mountain Time)","value":"16:07:34"},{"id":151,"name":"Denver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48"/>
        <v>start /low /b %USERPROFILE%\Documents\GitHub\eaglep3\Utilities\DownloadLogsFromS3.py --loco 4026 --day 2017-06-30</v>
      </c>
      <c r="AN112" s="151" t="str">
        <f t="shared" si="49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22:07:34"},{"id":29,"name":"Sharepoint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777</v>
      </c>
      <c r="B113" s="7">
        <v>4025</v>
      </c>
      <c r="C113" s="21" t="s">
        <v>200</v>
      </c>
      <c r="D113" s="21" t="s">
        <v>497</v>
      </c>
      <c r="E113" s="13">
        <v>42916.682199074072</v>
      </c>
      <c r="F113" s="13">
        <v>42916.685868055552</v>
      </c>
      <c r="G113" s="7">
        <v>1</v>
      </c>
      <c r="H113" s="21" t="s">
        <v>887</v>
      </c>
      <c r="I113" s="13">
        <v>42916.711747685185</v>
      </c>
      <c r="J113" s="7">
        <v>0</v>
      </c>
      <c r="K113" s="89" t="str">
        <f t="shared" si="35"/>
        <v>4025/4026</v>
      </c>
      <c r="L113" s="21" t="str">
        <f>VLOOKUP(A113,'Trips&amp;Operators'!$C$1:$G$99999,5,FALSE)</f>
        <v>YANG JAN</v>
      </c>
      <c r="M113" s="6">
        <f t="shared" si="36"/>
        <v>2.587962963298196E-2</v>
      </c>
      <c r="N113" s="7">
        <f t="shared" si="54"/>
        <v>37.266666671494022</v>
      </c>
      <c r="O113" s="7"/>
      <c r="P113" s="7"/>
      <c r="Q113" s="22"/>
      <c r="R113" s="170"/>
      <c r="S113" s="213">
        <f t="shared" si="51"/>
        <v>1</v>
      </c>
      <c r="T113" s="195" t="str">
        <f t="shared" si="37"/>
        <v>Southbound</v>
      </c>
      <c r="U113" s="19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6" t="str">
        <f t="shared" si="38"/>
        <v>https://d0f6bd738d7f1b3e5a7ca70fe4ff75f0.us-east-1.aws.found.io/app/kibana#/discover/Steve-Slow-Train-Analysis-(2080s-and-2083s)?_g=(refreshInterval:(display:Off,pause:!f,section:0,value:0),time:(from:'2017-06-30T15:22:22-0600',mode:absolute,to:'2017-06-30T18:04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13" s="197" t="str">
        <f>IF(AA113&lt;VLOOKUP(AG113,Variables!$AC$3:$AD$8,2,FALSE),"Y","N")</f>
        <v>N</v>
      </c>
      <c r="X113" s="197">
        <f t="shared" si="55"/>
        <v>1</v>
      </c>
      <c r="Y113" s="197">
        <f t="shared" si="52"/>
        <v>23.299199999999999</v>
      </c>
      <c r="Z113" s="197">
        <f t="shared" si="53"/>
        <v>1.2999999999999999E-2</v>
      </c>
      <c r="AA113" s="197">
        <f t="shared" si="41"/>
        <v>23.286199999999997</v>
      </c>
      <c r="AB113" s="54" t="e">
        <f>VLOOKUP(A113,Enforcements!$C$7:$K$13,8,0)</f>
        <v>#N/A</v>
      </c>
      <c r="AC113" s="51" t="e">
        <f>VLOOKUP(A113,Enforcements!$C$7:$E$13,3,0)</f>
        <v>#N/A</v>
      </c>
      <c r="AD113" s="206">
        <f t="shared" si="42"/>
        <v>196</v>
      </c>
      <c r="AE113" s="77" t="str">
        <f t="shared" si="43"/>
        <v>aws s3 cp s3://rtdc.mdm.uploadarchive.raw/RTDC4025/ "%USERPROFILE%\AppData\Local\Temp\OnboardLogs"\RTDC4025\2017-06-30 --exclude "*" --recursive --include "*20170630*" &amp; "%USERPROFILE%\Documents\GitHub\mrs-test-scripts\Headless Mode &amp; Sideloading\WalkAndUnGZ.bat" "%USERPROFILE%\AppData\Local\Temp\OnboardLogs"\RTDC4025\2017-06-30 &amp; aws s3 cp s3://rtdc.mdm.uploadarchive.raw/RTDC4025/ "%USERPROFILE%\AppData\Local\Temp\OnboardLogs"\RTDC4025\2017-07-01 --exclude "*" --recursive --include "*20170701*" &amp; "%USERPROFILE%\Documents\GitHub\mrs-test-scripts\Headless Mode &amp; Sideloading\WalkAndUnGZ.bat" "%USERPROFILE%\AppData\Local\Temp\OnboardLogs"\RTDC4025\2017-07-01</v>
      </c>
      <c r="AF113" s="74" t="str">
        <f t="shared" si="44"/>
        <v>"C:\Program Files (x86)\AstroGrep\AstroGrep.exe" /e /r /s /spath="%USERPROFILE%\AppData\Local\Temp\OnboardLogs" /stypes="app*4025*20170630*" /stext=" 23:.+((SYSTEM_STATE.+slice.+state.+changed )|(ment ac)|(multiple cpu faults)|(system.+state.+changed )|(\[timeout)|(PRM\|1\|D)|(kpr)|(kdp)|(train st.+moving)|(\|lc)|(penalty))"</v>
      </c>
      <c r="AG113" s="209" t="str">
        <f t="shared" si="45"/>
        <v>EC</v>
      </c>
      <c r="AH113" s="78" t="str">
        <f t="shared" si="46"/>
        <v>"%USERPROFILE%\Documents\GitHub\eaglep3\Utilities\RefineRTDCRunTimes.py" --tripid 196-30 --locoid 4025 --swversion DE.1.0.9.0 --startMP 204:232992 --initTime 2017-06-30T16:22:22 --startdatetime 2017-06-30T16:27:39 --delay 1 --endMP 204:130 --enddatetime 2017-06-30T17:04:55 --enforcementcount 0 &gt;&gt;C:\Users\stu\Documents\GitHub\eaglep3-reporting\EC\2017-06-30-refined-times.txt</v>
      </c>
      <c r="AI113" s="96" t="str">
        <f t="shared" si="47"/>
        <v>echo {"issue":{"subject":"","project_id":79,"tracker_id":40,"status_id":1,"priority_id":2,"assigned_to_id":23,"start_date":"2017-06-30","description":"","custom_fields":[{"id":1,"name":"Subdivision","value":"EC"},{"id":4,"name":"Milepost","value":"0.013"},{"id":17,"name":"Train ID","value":"196-30"},{"id":16,"name":"Locomotive ID","value":"4025"},{"id":130,"name":"Impact","value":""},{"id":150,"name":"Time of Event (Mountain Time)","value":"17:04:55"},{"id":151,"name":"Denver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48"/>
        <v>start /low /b %USERPROFILE%\Documents\GitHub\eaglep3\Utilities\DownloadLogsFromS3.py --loco 4025 --day 2017-06-30</v>
      </c>
      <c r="AN113" s="151" t="str">
        <f t="shared" si="49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23:04:55"},{"id":29,"name":"Sharepoint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771</v>
      </c>
      <c r="B114" s="7">
        <v>4044</v>
      </c>
      <c r="C114" s="21" t="s">
        <v>200</v>
      </c>
      <c r="D114" s="21" t="s">
        <v>868</v>
      </c>
      <c r="E114" s="13">
        <v>42916.65152777778</v>
      </c>
      <c r="F114" s="13">
        <v>42916.656875000001</v>
      </c>
      <c r="G114" s="7">
        <v>2</v>
      </c>
      <c r="H114" s="21" t="s">
        <v>552</v>
      </c>
      <c r="I114" s="13">
        <v>42916.681712962964</v>
      </c>
      <c r="J114" s="7">
        <v>0</v>
      </c>
      <c r="K114" s="89" t="str">
        <f t="shared" si="35"/>
        <v>4043/4044</v>
      </c>
      <c r="L114" s="21" t="str">
        <f>VLOOKUP(A114,'Trips&amp;Operators'!$C$1:$G$99999,5,FALSE)</f>
        <v>LEVIN SCOTT</v>
      </c>
      <c r="M114" s="6">
        <f t="shared" si="36"/>
        <v>2.4837962962919846E-2</v>
      </c>
      <c r="N114" s="7">
        <f t="shared" si="54"/>
        <v>35.766666666604578</v>
      </c>
      <c r="O114" s="7"/>
      <c r="P114" s="7"/>
      <c r="Q114" s="22"/>
      <c r="R114" s="170"/>
      <c r="S114" s="213">
        <f t="shared" si="51"/>
        <v>1</v>
      </c>
      <c r="T114" s="195" t="str">
        <f t="shared" si="37"/>
        <v>NorthBound</v>
      </c>
      <c r="U114" s="19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6" t="str">
        <f t="shared" si="38"/>
        <v>https://d0f6bd738d7f1b3e5a7ca70fe4ff75f0.us-east-1.aws.found.io/app/kibana#/discover/Steve-Slow-Train-Analysis-(2080s-and-2083s)?_g=(refreshInterval:(display:Off,pause:!f,section:0,value:0),time:(from:'2017-06-30T14:38:12-0600',mode:absolute,to:'2017-06-30T17:21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14" s="197" t="str">
        <f>IF(AA114&lt;VLOOKUP(AG114,Variables!$AC$3:$AD$8,2,FALSE),"Y","N")</f>
        <v>N</v>
      </c>
      <c r="X114" s="197">
        <f t="shared" si="55"/>
        <v>1</v>
      </c>
      <c r="Y114" s="197">
        <f t="shared" si="52"/>
        <v>4.3099999999999999E-2</v>
      </c>
      <c r="Z114" s="197">
        <f t="shared" si="53"/>
        <v>23.340599999999998</v>
      </c>
      <c r="AA114" s="197">
        <f t="shared" si="41"/>
        <v>23.297499999999999</v>
      </c>
      <c r="AB114" s="54" t="e">
        <f>VLOOKUP(A114,Enforcements!$C$7:$K$13,8,0)</f>
        <v>#N/A</v>
      </c>
      <c r="AC114" s="51" t="e">
        <f>VLOOKUP(A114,Enforcements!$C$7:$E$13,3,0)</f>
        <v>#N/A</v>
      </c>
      <c r="AD114" s="206">
        <f t="shared" si="42"/>
        <v>197</v>
      </c>
      <c r="AE114" s="77" t="str">
        <f t="shared" si="43"/>
        <v>aws s3 cp s3://rtdc.mdm.uploadarchive.raw/RTDC4044/ "%USERPROFILE%\AppData\Local\Temp\OnboardLogs"\RTDC4044\2017-06-30 --exclude "*" --recursive --include "*20170630*" &amp; "%USERPROFILE%\Documents\GitHub\mrs-test-scripts\Headless Mode &amp; Sideloading\WalkAndUnGZ.bat" "%USERPROFILE%\AppData\Local\Temp\OnboardLogs"\RTDC4044\2017-06-30 &amp; aws s3 cp s3://rtdc.mdm.uploadarchive.raw/RTDC4044/ "%USERPROFILE%\AppData\Local\Temp\OnboardLogs"\RTDC4044\2017-07-01 --exclude "*" --recursive --include "*20170701*" &amp; "%USERPROFILE%\Documents\GitHub\mrs-test-scripts\Headless Mode &amp; Sideloading\WalkAndUnGZ.bat" "%USERPROFILE%\AppData\Local\Temp\OnboardLogs"\RTDC4044\2017-07-01</v>
      </c>
      <c r="AF114" s="74" t="str">
        <f t="shared" si="44"/>
        <v>"C:\Program Files (x86)\AstroGrep\AstroGrep.exe" /e /r /s /spath="%USERPROFILE%\AppData\Local\Temp\OnboardLogs" /stypes="app*4044*20170630*" /stext=" 22:.+((SYSTEM_STATE.+slice.+state.+changed )|(ment ac)|(multiple cpu faults)|(system.+state.+changed )|(\[timeout)|(PRM\|1\|D)|(kpr)|(kdp)|(train st.+moving)|(\|lc)|(penalty))"</v>
      </c>
      <c r="AG114" s="209" t="str">
        <f t="shared" si="45"/>
        <v>EC</v>
      </c>
      <c r="AH114" s="78" t="str">
        <f t="shared" si="46"/>
        <v>"%USERPROFILE%\Documents\GitHub\eaglep3\Utilities\RefineRTDCRunTimes.py" --tripid 197-30 --locoid 4044 --swversion DE.1.0.9.0 --startMP 204:431 --initTime 2017-06-30T15:38:12 --startdatetime 2017-06-30T15:45:54 --delay 2 --endMP 204:233406 --enddatetime 2017-06-30T16:21:40 --enforcementcount 0 &gt;&gt;C:\Users\stu\Documents\GitHub\eaglep3-reporting\EC\2017-06-30-refined-times.txt</v>
      </c>
      <c r="AI114" s="96" t="str">
        <f t="shared" si="47"/>
        <v>echo {"issue":{"subject":"","project_id":79,"tracker_id":40,"status_id":1,"priority_id":2,"assigned_to_id":23,"start_date":"2017-06-30","description":"","custom_fields":[{"id":1,"name":"Subdivision","value":"EC"},{"id":4,"name":"Milepost","value":"23.3406"},{"id":17,"name":"Train ID","value":"197-30"},{"id":16,"name":"Locomotive ID","value":"4044"},{"id":130,"name":"Impact","value":""},{"id":150,"name":"Time of Event (Mountain Time)","value":"16:21:40"},{"id":151,"name":"Denver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48"/>
        <v>start /low /b %USERPROFILE%\Documents\GitHub\eaglep3\Utilities\DownloadLogsFromS3.py --loco 4044 --day 2017-06-30</v>
      </c>
      <c r="AN114" s="151" t="str">
        <f t="shared" si="49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22:21:40"},{"id":29,"name":"Sharepoint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780</v>
      </c>
      <c r="B115" s="7">
        <v>4043</v>
      </c>
      <c r="C115" s="21" t="s">
        <v>200</v>
      </c>
      <c r="D115" s="21" t="s">
        <v>901</v>
      </c>
      <c r="E115" s="13">
        <v>42916.69332175926</v>
      </c>
      <c r="F115" s="13">
        <v>42916.696087962962</v>
      </c>
      <c r="G115" s="7">
        <v>1</v>
      </c>
      <c r="H115" s="21" t="s">
        <v>357</v>
      </c>
      <c r="I115" s="13">
        <v>42916.722604166665</v>
      </c>
      <c r="J115" s="7">
        <v>0</v>
      </c>
      <c r="K115" s="89" t="str">
        <f t="shared" si="35"/>
        <v>4043/4044</v>
      </c>
      <c r="L115" s="21" t="str">
        <f>VLOOKUP(A115,'Trips&amp;Operators'!$C$1:$G$99999,5,FALSE)</f>
        <v>LEVIN SCOTT</v>
      </c>
      <c r="M115" s="6">
        <f t="shared" si="36"/>
        <v>2.6516203703067731E-2</v>
      </c>
      <c r="N115" s="7">
        <f t="shared" si="54"/>
        <v>38.183333332417533</v>
      </c>
      <c r="O115" s="7"/>
      <c r="P115" s="7"/>
      <c r="Q115" s="22"/>
      <c r="R115" s="170"/>
      <c r="S115" s="213">
        <f t="shared" si="51"/>
        <v>1</v>
      </c>
      <c r="T115" s="195" t="str">
        <f t="shared" si="37"/>
        <v>Southbound</v>
      </c>
      <c r="U115" s="19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6" t="str">
        <f t="shared" si="38"/>
        <v>https://d0f6bd738d7f1b3e5a7ca70fe4ff75f0.us-east-1.aws.found.io/app/kibana#/discover/Steve-Slow-Train-Analysis-(2080s-and-2083s)?_g=(refreshInterval:(display:Off,pause:!f,section:0,value:0),time:(from:'2017-06-30T15:38:23-0600',mode:absolute,to:'2017-06-30T18:20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15" s="197" t="str">
        <f>IF(AA115&lt;VLOOKUP(AG115,Variables!$AC$3:$AD$8,2,FALSE),"Y","N")</f>
        <v>N</v>
      </c>
      <c r="X115" s="197">
        <f t="shared" si="55"/>
        <v>1</v>
      </c>
      <c r="Y115" s="197">
        <f t="shared" si="52"/>
        <v>23.3127</v>
      </c>
      <c r="Z115" s="197">
        <f t="shared" si="53"/>
        <v>1.47E-2</v>
      </c>
      <c r="AA115" s="197">
        <f t="shared" si="41"/>
        <v>23.297999999999998</v>
      </c>
      <c r="AB115" s="54" t="e">
        <f>VLOOKUP(A115,Enforcements!$C$7:$K$13,8,0)</f>
        <v>#N/A</v>
      </c>
      <c r="AC115" s="51" t="e">
        <f>VLOOKUP(A115,Enforcements!$C$7:$E$13,3,0)</f>
        <v>#N/A</v>
      </c>
      <c r="AD115" s="206">
        <f t="shared" si="42"/>
        <v>198</v>
      </c>
      <c r="AE115" s="77" t="str">
        <f t="shared" si="43"/>
        <v>aws s3 cp s3://rtdc.mdm.uploadarchive.raw/RTDC4043/ "%USERPROFILE%\AppData\Local\Temp\OnboardLogs"\RTDC4043\2017-06-30 --exclude "*" --recursive --include "*20170630*" &amp; "%USERPROFILE%\Documents\GitHub\mrs-test-scripts\Headless Mode &amp; Sideloading\WalkAndUnGZ.bat" "%USERPROFILE%\AppData\Local\Temp\OnboardLogs"\RTDC4043\2017-06-30 &amp; aws s3 cp s3://rtdc.mdm.uploadarchive.raw/RTDC4043/ "%USERPROFILE%\AppData\Local\Temp\OnboardLogs"\RTDC4043\2017-07-01 --exclude "*" --recursive --include "*20170701*" &amp; "%USERPROFILE%\Documents\GitHub\mrs-test-scripts\Headless Mode &amp; Sideloading\WalkAndUnGZ.bat" "%USERPROFILE%\AppData\Local\Temp\OnboardLogs"\RTDC4043\2017-07-01</v>
      </c>
      <c r="AF115" s="74" t="str">
        <f t="shared" si="44"/>
        <v>"C:\Program Files (x86)\AstroGrep\AstroGrep.exe" /e /r /s /spath="%USERPROFILE%\AppData\Local\Temp\OnboardLogs" /stypes="app*4043*20170630*" /stext=" 23:.+((SYSTEM_STATE.+slice.+state.+changed )|(ment ac)|(multiple cpu faults)|(system.+state.+changed )|(\[timeout)|(PRM\|1\|D)|(kpr)|(kdp)|(train st.+moving)|(\|lc)|(penalty))"</v>
      </c>
      <c r="AG115" s="209" t="str">
        <f t="shared" si="45"/>
        <v>EC</v>
      </c>
      <c r="AH115" s="78" t="str">
        <f t="shared" si="46"/>
        <v>"%USERPROFILE%\Documents\GitHub\eaglep3\Utilities\RefineRTDCRunTimes.py" --tripid 198-30 --locoid 4043 --swversion DE.1.0.9.0 --startMP 204:233127 --initTime 2017-06-30T16:38:23 --startdatetime 2017-06-30T16:42:22 --delay 1 --endMP 204:147 --enddatetime 2017-06-30T17:20:33 --enforcementcount 0 &gt;&gt;C:\Users\stu\Documents\GitHub\eaglep3-reporting\EC\2017-06-30-refined-times.txt</v>
      </c>
      <c r="AI115" s="96" t="str">
        <f t="shared" si="47"/>
        <v>echo {"issue":{"subject":"","project_id":79,"tracker_id":40,"status_id":1,"priority_id":2,"assigned_to_id":23,"start_date":"2017-06-30","description":"","custom_fields":[{"id":1,"name":"Subdivision","value":"EC"},{"id":4,"name":"Milepost","value":"0.0147"},{"id":17,"name":"Train ID","value":"198-30"},{"id":16,"name":"Locomotive ID","value":"4043"},{"id":130,"name":"Impact","value":""},{"id":150,"name":"Time of Event (Mountain Time)","value":"17:20:33"},{"id":151,"name":"Denver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48"/>
        <v>start /low /b %USERPROFILE%\Documents\GitHub\eaglep3\Utilities\DownloadLogsFromS3.py --loco 4043 --day 2017-06-30</v>
      </c>
      <c r="AN115" s="151" t="str">
        <f t="shared" si="49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23:20:33"},{"id":29,"name":"Sharepoint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618</v>
      </c>
      <c r="B116" s="7">
        <v>4032</v>
      </c>
      <c r="C116" s="21" t="s">
        <v>200</v>
      </c>
      <c r="D116" s="21" t="s">
        <v>439</v>
      </c>
      <c r="E116" s="13">
        <v>42916.662048611113</v>
      </c>
      <c r="F116" s="13">
        <v>42916.667164351849</v>
      </c>
      <c r="G116" s="7">
        <v>1</v>
      </c>
      <c r="H116" s="21" t="s">
        <v>902</v>
      </c>
      <c r="I116" s="13">
        <v>42916.692708333336</v>
      </c>
      <c r="J116" s="7">
        <v>0</v>
      </c>
      <c r="K116" s="89" t="str">
        <f t="shared" si="35"/>
        <v>4031/4032</v>
      </c>
      <c r="L116" s="21" t="str">
        <f>VLOOKUP(A116,'Trips&amp;Operators'!$C$1:$G$99999,5,FALSE)</f>
        <v>SULLIVAN BRANDON</v>
      </c>
      <c r="M116" s="6">
        <f t="shared" si="36"/>
        <v>2.5543981486407574E-2</v>
      </c>
      <c r="N116" s="7">
        <f t="shared" si="54"/>
        <v>36.783333340426907</v>
      </c>
      <c r="O116" s="7"/>
      <c r="P116" s="7"/>
      <c r="Q116" s="22"/>
      <c r="R116" s="170"/>
      <c r="S116" s="213">
        <f t="shared" si="51"/>
        <v>1</v>
      </c>
      <c r="T116" s="195" t="str">
        <f t="shared" si="37"/>
        <v>NorthBound</v>
      </c>
      <c r="U116" s="19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6" t="str">
        <f t="shared" si="38"/>
        <v>https://d0f6bd738d7f1b3e5a7ca70fe4ff75f0.us-east-1.aws.found.io/app/kibana#/discover/Steve-Slow-Train-Analysis-(2080s-and-2083s)?_g=(refreshInterval:(display:Off,pause:!f,section:0,value:0),time:(from:'2017-06-30T14:53:21-0600',mode:absolute,to:'2017-06-30T17:37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16" s="197" t="str">
        <f>IF(AA116&lt;VLOOKUP(AG116,Variables!$AC$3:$AD$8,2,FALSE),"Y","N")</f>
        <v>N</v>
      </c>
      <c r="X116" s="197">
        <f t="shared" si="55"/>
        <v>1</v>
      </c>
      <c r="Y116" s="197">
        <f t="shared" si="52"/>
        <v>4.7300000000000002E-2</v>
      </c>
      <c r="Z116" s="197">
        <f t="shared" si="53"/>
        <v>23.335999999999999</v>
      </c>
      <c r="AA116" s="197">
        <f t="shared" si="41"/>
        <v>23.288699999999999</v>
      </c>
      <c r="AB116" s="54" t="e">
        <f>VLOOKUP(A116,Enforcements!$C$7:$K$13,8,0)</f>
        <v>#N/A</v>
      </c>
      <c r="AC116" s="51" t="e">
        <f>VLOOKUP(A116,Enforcements!$C$7:$E$13,3,0)</f>
        <v>#N/A</v>
      </c>
      <c r="AD116" s="206">
        <f t="shared" si="42"/>
        <v>199</v>
      </c>
      <c r="AE116" s="77" t="str">
        <f t="shared" si="43"/>
        <v>aws s3 cp s3://rtdc.mdm.uploadarchive.raw/RTDC4032/ "%USERPROFILE%\AppData\Local\Temp\OnboardLogs"\RTDC4032\2017-06-30 --exclude "*" --recursive --include "*20170630*" &amp; "%USERPROFILE%\Documents\GitHub\mrs-test-scripts\Headless Mode &amp; Sideloading\WalkAndUnGZ.bat" "%USERPROFILE%\AppData\Local\Temp\OnboardLogs"\RTDC4032\2017-06-30 &amp; aws s3 cp s3://rtdc.mdm.uploadarchive.raw/RTDC4032/ "%USERPROFILE%\AppData\Local\Temp\OnboardLogs"\RTDC4032\2017-07-01 --exclude "*" --recursive --include "*20170701*" &amp; "%USERPROFILE%\Documents\GitHub\mrs-test-scripts\Headless Mode &amp; Sideloading\WalkAndUnGZ.bat" "%USERPROFILE%\AppData\Local\Temp\OnboardLogs"\RTDC4032\2017-07-01</v>
      </c>
      <c r="AF116" s="74" t="str">
        <f t="shared" si="44"/>
        <v>"C:\Program Files (x86)\AstroGrep\AstroGrep.exe" /e /r /s /spath="%USERPROFILE%\AppData\Local\Temp\OnboardLogs" /stypes="app*4032*20170630*" /stext=" 22:.+((SYSTEM_STATE.+slice.+state.+changed )|(ment ac)|(multiple cpu faults)|(system.+state.+changed )|(\[timeout)|(PRM\|1\|D)|(kpr)|(kdp)|(train st.+moving)|(\|lc)|(penalty))"</v>
      </c>
      <c r="AG116" s="209" t="str">
        <f t="shared" si="45"/>
        <v>EC</v>
      </c>
      <c r="AH116" s="78" t="str">
        <f t="shared" si="46"/>
        <v>"%USERPROFILE%\Documents\GitHub\eaglep3\Utilities\RefineRTDCRunTimes.py" --tripid 199-30 --locoid 4032 --swversion DE.1.0.9.0 --startMP 204:473 --initTime 2017-06-30T15:53:21 --startdatetime 2017-06-30T16:00:43 --delay 1 --endMP 204:233360 --enddatetime 2017-06-30T16:37:30 --enforcementcount 0 &gt;&gt;C:\Users\stu\Documents\GitHub\eaglep3-reporting\EC\2017-06-30-refined-times.txt</v>
      </c>
      <c r="AI116" s="96" t="str">
        <f t="shared" si="47"/>
        <v>echo {"issue":{"subject":"","project_id":79,"tracker_id":40,"status_id":1,"priority_id":2,"assigned_to_id":23,"start_date":"2017-06-30","description":"","custom_fields":[{"id":1,"name":"Subdivision","value":"EC"},{"id":4,"name":"Milepost","value":"23.336"},{"id":17,"name":"Train ID","value":"199-30"},{"id":16,"name":"Locomotive ID","value":"4032"},{"id":130,"name":"Impact","value":""},{"id":150,"name":"Time of Event (Mountain Time)","value":"16:37:30"},{"id":151,"name":"Denver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48"/>
        <v>start /low /b %USERPROFILE%\Documents\GitHub\eaglep3\Utilities\DownloadLogsFromS3.py --loco 4032 --day 2017-06-30</v>
      </c>
      <c r="AN116" s="151" t="str">
        <f t="shared" si="49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22:37:30"},{"id":29,"name":"Sharepoint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782</v>
      </c>
      <c r="B117" s="7">
        <v>4031</v>
      </c>
      <c r="C117" s="21" t="s">
        <v>200</v>
      </c>
      <c r="D117" s="21" t="s">
        <v>903</v>
      </c>
      <c r="E117" s="13">
        <v>42916.700277777774</v>
      </c>
      <c r="F117" s="13">
        <v>42916.706446759257</v>
      </c>
      <c r="G117" s="7">
        <v>1</v>
      </c>
      <c r="H117" s="21" t="s">
        <v>357</v>
      </c>
      <c r="I117" s="13">
        <v>42916.733391203707</v>
      </c>
      <c r="J117" s="7">
        <v>0</v>
      </c>
      <c r="K117" s="89" t="str">
        <f t="shared" si="35"/>
        <v>4031/4032</v>
      </c>
      <c r="L117" s="21" t="str">
        <f>VLOOKUP(A117,'Trips&amp;Operators'!$C$1:$G$99999,5,FALSE)</f>
        <v>SULLIVAN BRANDON</v>
      </c>
      <c r="M117" s="6">
        <f t="shared" si="36"/>
        <v>2.694444444932742E-2</v>
      </c>
      <c r="N117" s="7">
        <f t="shared" si="54"/>
        <v>38.800000007031485</v>
      </c>
      <c r="O117" s="7"/>
      <c r="P117" s="7"/>
      <c r="Q117" s="22"/>
      <c r="R117" s="170"/>
      <c r="S117" s="213">
        <f t="shared" si="51"/>
        <v>1</v>
      </c>
      <c r="T117" s="195" t="str">
        <f t="shared" si="37"/>
        <v>Southbound</v>
      </c>
      <c r="U117" s="19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6" t="str">
        <f t="shared" si="38"/>
        <v>https://d0f6bd738d7f1b3e5a7ca70fe4ff75f0.us-east-1.aws.found.io/app/kibana#/discover/Steve-Slow-Train-Analysis-(2080s-and-2083s)?_g=(refreshInterval:(display:Off,pause:!f,section:0,value:0),time:(from:'2017-06-30T15:48:24-0600',mode:absolute,to:'2017-06-30T18:36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17" s="197" t="str">
        <f>IF(AA117&lt;VLOOKUP(AG117,Variables!$AC$3:$AD$8,2,FALSE),"Y","N")</f>
        <v>N</v>
      </c>
      <c r="X117" s="197">
        <f t="shared" si="55"/>
        <v>1</v>
      </c>
      <c r="Y117" s="197">
        <f t="shared" si="52"/>
        <v>23.306100000000001</v>
      </c>
      <c r="Z117" s="197">
        <f t="shared" si="53"/>
        <v>1.47E-2</v>
      </c>
      <c r="AA117" s="197">
        <f t="shared" si="41"/>
        <v>23.291399999999999</v>
      </c>
      <c r="AB117" s="54" t="e">
        <f>VLOOKUP(A117,Enforcements!$C$7:$K$13,8,0)</f>
        <v>#N/A</v>
      </c>
      <c r="AC117" s="51" t="e">
        <f>VLOOKUP(A117,Enforcements!$C$7:$E$13,3,0)</f>
        <v>#N/A</v>
      </c>
      <c r="AD117" s="206">
        <f t="shared" si="42"/>
        <v>200</v>
      </c>
      <c r="AE117" s="77" t="str">
        <f t="shared" si="43"/>
        <v>aws s3 cp s3://rtdc.mdm.uploadarchive.raw/RTDC4031/ "%USERPROFILE%\AppData\Local\Temp\OnboardLogs"\RTDC4031\2017-06-30 --exclude "*" --recursive --include "*20170630*" &amp; "%USERPROFILE%\Documents\GitHub\mrs-test-scripts\Headless Mode &amp; Sideloading\WalkAndUnGZ.bat" "%USERPROFILE%\AppData\Local\Temp\OnboardLogs"\RTDC4031\2017-06-30 &amp; aws s3 cp s3://rtdc.mdm.uploadarchive.raw/RTDC4031/ "%USERPROFILE%\AppData\Local\Temp\OnboardLogs"\RTDC4031\2017-07-01 --exclude "*" --recursive --include "*20170701*" &amp; "%USERPROFILE%\Documents\GitHub\mrs-test-scripts\Headless Mode &amp; Sideloading\WalkAndUnGZ.bat" "%USERPROFILE%\AppData\Local\Temp\OnboardLogs"\RTDC4031\2017-07-01</v>
      </c>
      <c r="AF117" s="74" t="str">
        <f t="shared" si="44"/>
        <v>"C:\Program Files (x86)\AstroGrep\AstroGrep.exe" /e /r /s /spath="%USERPROFILE%\AppData\Local\Temp\OnboardLogs" /stypes="app*4031*20170630*" /stext=" 23:.+((SYSTEM_STATE.+slice.+state.+changed )|(ment ac)|(multiple cpu faults)|(system.+state.+changed )|(\[timeout)|(PRM\|1\|D)|(kpr)|(kdp)|(train st.+moving)|(\|lc)|(penalty))"</v>
      </c>
      <c r="AG117" s="209" t="str">
        <f t="shared" si="45"/>
        <v>EC</v>
      </c>
      <c r="AH117" s="78" t="str">
        <f t="shared" si="46"/>
        <v>"%USERPROFILE%\Documents\GitHub\eaglep3\Utilities\RefineRTDCRunTimes.py" --tripid 200-30 --locoid 4031 --swversion DE.1.0.9.0 --startMP 204:233061 --initTime 2017-06-30T16:48:24 --startdatetime 2017-06-30T16:57:17 --delay 1 --endMP 204:147 --enddatetime 2017-06-30T17:36:05 --enforcementcount 0 &gt;&gt;C:\Users\stu\Documents\GitHub\eaglep3-reporting\EC\2017-06-30-refined-times.txt</v>
      </c>
      <c r="AI117" s="96" t="str">
        <f t="shared" si="47"/>
        <v>echo {"issue":{"subject":"","project_id":79,"tracker_id":40,"status_id":1,"priority_id":2,"assigned_to_id":23,"start_date":"2017-06-30","description":"","custom_fields":[{"id":1,"name":"Subdivision","value":"EC"},{"id":4,"name":"Milepost","value":"0.0147"},{"id":17,"name":"Train ID","value":"200-30"},{"id":16,"name":"Locomotive ID","value":"4031"},{"id":130,"name":"Impact","value":""},{"id":150,"name":"Time of Event (Mountain Time)","value":"17:36:05"},{"id":151,"name":"Denver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48"/>
        <v>start /low /b %USERPROFILE%\Documents\GitHub\eaglep3\Utilities\DownloadLogsFromS3.py --loco 4031 --day 2017-06-30</v>
      </c>
      <c r="AN117" s="151" t="str">
        <f t="shared" si="49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23:36:05"},{"id":29,"name":"Sharepoint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617</v>
      </c>
      <c r="B118" s="7">
        <v>4040</v>
      </c>
      <c r="C118" s="21" t="s">
        <v>200</v>
      </c>
      <c r="D118" s="21" t="s">
        <v>447</v>
      </c>
      <c r="E118" s="13">
        <v>42916.672615740739</v>
      </c>
      <c r="F118" s="13">
        <v>42916.677557870367</v>
      </c>
      <c r="G118" s="7">
        <v>1</v>
      </c>
      <c r="H118" s="21" t="s">
        <v>859</v>
      </c>
      <c r="I118" s="13">
        <v>42916.702916666669</v>
      </c>
      <c r="J118" s="7">
        <v>0</v>
      </c>
      <c r="K118" s="89" t="str">
        <f t="shared" si="35"/>
        <v>4039/4040</v>
      </c>
      <c r="L118" s="21" t="str">
        <f>VLOOKUP(A118,'Trips&amp;Operators'!$C$1:$G$99999,5,FALSE)</f>
        <v>HOLCOMB KAMDEN</v>
      </c>
      <c r="M118" s="6">
        <f t="shared" si="36"/>
        <v>2.5358796301588882E-2</v>
      </c>
      <c r="N118" s="7">
        <f t="shared" si="54"/>
        <v>36.51666667428799</v>
      </c>
      <c r="O118" s="7"/>
      <c r="P118" s="7"/>
      <c r="Q118" s="22"/>
      <c r="R118" s="170"/>
      <c r="S118" s="213">
        <f t="shared" si="51"/>
        <v>1</v>
      </c>
      <c r="T118" s="195" t="str">
        <f t="shared" si="37"/>
        <v>NorthBound</v>
      </c>
      <c r="U118" s="19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6" t="str">
        <f t="shared" si="38"/>
        <v>https://d0f6bd738d7f1b3e5a7ca70fe4ff75f0.us-east-1.aws.found.io/app/kibana#/discover/Steve-Slow-Train-Analysis-(2080s-and-2083s)?_g=(refreshInterval:(display:Off,pause:!f,section:0,value:0),time:(from:'2017-06-30T15:08:34-0600',mode:absolute,to:'2017-06-30T17:52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18" s="197" t="str">
        <f>IF(AA118&lt;VLOOKUP(AG118,Variables!$AC$3:$AD$8,2,FALSE),"Y","N")</f>
        <v>N</v>
      </c>
      <c r="X118" s="197">
        <f t="shared" si="55"/>
        <v>1</v>
      </c>
      <c r="Y118" s="197">
        <f t="shared" si="52"/>
        <v>4.3999999999999997E-2</v>
      </c>
      <c r="Z118" s="197">
        <f t="shared" si="53"/>
        <v>23.334399999999999</v>
      </c>
      <c r="AA118" s="197">
        <f t="shared" si="41"/>
        <v>23.290399999999998</v>
      </c>
      <c r="AB118" s="54" t="e">
        <f>VLOOKUP(A118,Enforcements!$C$7:$K$13,8,0)</f>
        <v>#N/A</v>
      </c>
      <c r="AC118" s="51" t="e">
        <f>VLOOKUP(A118,Enforcements!$C$7:$E$13,3,0)</f>
        <v>#N/A</v>
      </c>
      <c r="AD118" s="206">
        <f t="shared" si="42"/>
        <v>201</v>
      </c>
      <c r="AE118" s="77" t="str">
        <f t="shared" si="43"/>
        <v>aws s3 cp s3://rtdc.mdm.uploadarchive.raw/RTDC4040/ "%USERPROFILE%\AppData\Local\Temp\OnboardLogs"\RTDC4040\2017-06-30 --exclude "*" --recursive --include "*20170630*" &amp; "%USERPROFILE%\Documents\GitHub\mrs-test-scripts\Headless Mode &amp; Sideloading\WalkAndUnGZ.bat" "%USERPROFILE%\AppData\Local\Temp\OnboardLogs"\RTDC4040\2017-06-30 &amp; aws s3 cp s3://rtdc.mdm.uploadarchive.raw/RTDC4040/ "%USERPROFILE%\AppData\Local\Temp\OnboardLogs"\RTDC4040\2017-07-01 --exclude "*" --recursive --include "*20170701*" &amp; "%USERPROFILE%\Documents\GitHub\mrs-test-scripts\Headless Mode &amp; Sideloading\WalkAndUnGZ.bat" "%USERPROFILE%\AppData\Local\Temp\OnboardLogs"\RTDC4040\2017-07-01</v>
      </c>
      <c r="AF118" s="74" t="str">
        <f t="shared" si="44"/>
        <v>"C:\Program Files (x86)\AstroGrep\AstroGrep.exe" /e /r /s /spath="%USERPROFILE%\AppData\Local\Temp\OnboardLogs" /stypes="app*4040*20170630*" /stext=" 22:.+((SYSTEM_STATE.+slice.+state.+changed )|(ment ac)|(multiple cpu faults)|(system.+state.+changed )|(\[timeout)|(PRM\|1\|D)|(kpr)|(kdp)|(train st.+moving)|(\|lc)|(penalty))"</v>
      </c>
      <c r="AG118" s="209" t="str">
        <f t="shared" si="45"/>
        <v>EC</v>
      </c>
      <c r="AH118" s="78" t="str">
        <f t="shared" si="46"/>
        <v>"%USERPROFILE%\Documents\GitHub\eaglep3\Utilities\RefineRTDCRunTimes.py" --tripid 201-30 --locoid 4040 --swversion DE.1.0.9.0 --startMP 204:440 --initTime 2017-06-30T16:08:34 --startdatetime 2017-06-30T16:15:41 --delay 1 --endMP 204:233344 --enddatetime 2017-06-30T16:52:12 --enforcementcount 0 &gt;&gt;C:\Users\stu\Documents\GitHub\eaglep3-reporting\EC\2017-06-30-refined-times.txt</v>
      </c>
      <c r="AI118" s="96" t="str">
        <f t="shared" si="47"/>
        <v>echo {"issue":{"subject":"","project_id":79,"tracker_id":40,"status_id":1,"priority_id":2,"assigned_to_id":23,"start_date":"2017-06-30","description":"","custom_fields":[{"id":1,"name":"Subdivision","value":"EC"},{"id":4,"name":"Milepost","value":"23.3344"},{"id":17,"name":"Train ID","value":"201-30"},{"id":16,"name":"Locomotive ID","value":"4040"},{"id":130,"name":"Impact","value":""},{"id":150,"name":"Time of Event (Mountain Time)","value":"16:52:12"},{"id":151,"name":"Denver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48"/>
        <v>start /low /b %USERPROFILE%\Documents\GitHub\eaglep3\Utilities\DownloadLogsFromS3.py --loco 4040 --day 2017-06-30</v>
      </c>
      <c r="AN118" s="151" t="str">
        <f t="shared" si="49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22:52:12"},{"id":29,"name":"Sharepoint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621</v>
      </c>
      <c r="B119" s="7">
        <v>4039</v>
      </c>
      <c r="C119" s="21" t="s">
        <v>200</v>
      </c>
      <c r="D119" s="21" t="s">
        <v>904</v>
      </c>
      <c r="E119" s="13">
        <v>42916.713877314818</v>
      </c>
      <c r="F119" s="13">
        <v>42916.716979166667</v>
      </c>
      <c r="G119" s="7">
        <v>1</v>
      </c>
      <c r="H119" s="21" t="s">
        <v>407</v>
      </c>
      <c r="I119" s="13">
        <v>42916.743819444448</v>
      </c>
      <c r="J119" s="7">
        <v>0</v>
      </c>
      <c r="K119" s="89" t="str">
        <f t="shared" si="35"/>
        <v>4039/4040</v>
      </c>
      <c r="L119" s="21" t="str">
        <f>VLOOKUP(A119,'Trips&amp;Operators'!$C$1:$G$99999,5,FALSE)</f>
        <v>HOLCOMB KAMDEN</v>
      </c>
      <c r="M119" s="6">
        <f t="shared" si="36"/>
        <v>2.6840277780138422E-2</v>
      </c>
      <c r="N119" s="7">
        <f t="shared" si="54"/>
        <v>38.650000003399327</v>
      </c>
      <c r="O119" s="7"/>
      <c r="P119" s="7"/>
      <c r="Q119" s="22"/>
      <c r="R119" s="170"/>
      <c r="S119" s="213">
        <f t="shared" si="51"/>
        <v>1</v>
      </c>
      <c r="T119" s="195" t="str">
        <f t="shared" si="37"/>
        <v>Southbound</v>
      </c>
      <c r="U119" s="19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6" t="str">
        <f t="shared" si="38"/>
        <v>https://d0f6bd738d7f1b3e5a7ca70fe4ff75f0.us-east-1.aws.found.io/app/kibana#/discover/Steve-Slow-Train-Analysis-(2080s-and-2083s)?_g=(refreshInterval:(display:Off,pause:!f,section:0,value:0),time:(from:'2017-06-30T16:07:59-0600',mode:absolute,to:'2017-06-30T18:51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19" s="197" t="str">
        <f>IF(AA119&lt;VLOOKUP(AG119,Variables!$AC$3:$AD$8,2,FALSE),"Y","N")</f>
        <v>N</v>
      </c>
      <c r="X119" s="197">
        <f t="shared" si="55"/>
        <v>1</v>
      </c>
      <c r="Y119" s="197">
        <f t="shared" si="52"/>
        <v>23.302099999999999</v>
      </c>
      <c r="Z119" s="197">
        <f t="shared" si="53"/>
        <v>1.5599999999999999E-2</v>
      </c>
      <c r="AA119" s="197">
        <f t="shared" si="41"/>
        <v>23.2865</v>
      </c>
      <c r="AB119" s="54" t="e">
        <f>VLOOKUP(A119,Enforcements!$C$7:$K$13,8,0)</f>
        <v>#N/A</v>
      </c>
      <c r="AC119" s="51" t="e">
        <f>VLOOKUP(A119,Enforcements!$C$7:$E$13,3,0)</f>
        <v>#N/A</v>
      </c>
      <c r="AD119" s="206">
        <f t="shared" si="42"/>
        <v>202</v>
      </c>
      <c r="AE119" s="77" t="str">
        <f t="shared" si="43"/>
        <v>aws s3 cp s3://rtdc.mdm.uploadarchive.raw/RTDC4039/ "%USERPROFILE%\AppData\Local\Temp\OnboardLogs"\RTDC4039\2017-06-30 --exclude "*" --recursive --include "*20170630*" &amp; "%USERPROFILE%\Documents\GitHub\mrs-test-scripts\Headless Mode &amp; Sideloading\WalkAndUnGZ.bat" "%USERPROFILE%\AppData\Local\Temp\OnboardLogs"\RTDC4039\2017-06-30 &amp; aws s3 cp s3://rtdc.mdm.uploadarchive.raw/RTDC4039/ "%USERPROFILE%\AppData\Local\Temp\OnboardLogs"\RTDC4039\2017-07-01 --exclude "*" --recursive --include "*20170701*" &amp; "%USERPROFILE%\Documents\GitHub\mrs-test-scripts\Headless Mode &amp; Sideloading\WalkAndUnGZ.bat" "%USERPROFILE%\AppData\Local\Temp\OnboardLogs"\RTDC4039\2017-07-01</v>
      </c>
      <c r="AF119" s="74" t="str">
        <f t="shared" si="44"/>
        <v>"C:\Program Files (x86)\AstroGrep\AstroGrep.exe" /e /r /s /spath="%USERPROFILE%\AppData\Local\Temp\OnboardLogs" /stypes="app*4039*20170630*" /stext=" 23:.+((SYSTEM_STATE.+slice.+state.+changed )|(ment ac)|(multiple cpu faults)|(system.+state.+changed )|(\[timeout)|(PRM\|1\|D)|(kpr)|(kdp)|(train st.+moving)|(\|lc)|(penalty))"</v>
      </c>
      <c r="AG119" s="209" t="str">
        <f t="shared" si="45"/>
        <v>EC</v>
      </c>
      <c r="AH119" s="78" t="str">
        <f t="shared" si="46"/>
        <v>"%USERPROFILE%\Documents\GitHub\eaglep3\Utilities\RefineRTDCRunTimes.py" --tripid 202-30 --locoid 4039 --swversion DE.1.0.9.0 --startMP 204:233021 --initTime 2017-06-30T17:07:59 --startdatetime 2017-06-30T17:12:27 --delay 1 --endMP 204:156 --enddatetime 2017-06-30T17:51:06 --enforcementcount 0 &gt;&gt;C:\Users\stu\Documents\GitHub\eaglep3-reporting\EC\2017-06-30-refined-times.txt</v>
      </c>
      <c r="AI119" s="96" t="str">
        <f t="shared" si="47"/>
        <v>echo {"issue":{"subject":"","project_id":79,"tracker_id":40,"status_id":1,"priority_id":2,"assigned_to_id":23,"start_date":"2017-06-30","description":"","custom_fields":[{"id":1,"name":"Subdivision","value":"EC"},{"id":4,"name":"Milepost","value":"0.0156"},{"id":17,"name":"Train ID","value":"202-30"},{"id":16,"name":"Locomotive ID","value":"4039"},{"id":130,"name":"Impact","value":""},{"id":150,"name":"Time of Event (Mountain Time)","value":"17:51:06"},{"id":151,"name":"Denver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48"/>
        <v>start /low /b %USERPROFILE%\Documents\GitHub\eaglep3\Utilities\DownloadLogsFromS3.py --loco 4039 --day 2017-06-30</v>
      </c>
      <c r="AN119" s="151" t="str">
        <f t="shared" si="49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23:51:06"},{"id":29,"name":"Sharepoint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620</v>
      </c>
      <c r="B120" s="7">
        <v>4042</v>
      </c>
      <c r="C120" s="21" t="s">
        <v>200</v>
      </c>
      <c r="D120" s="21" t="s">
        <v>421</v>
      </c>
      <c r="E120" s="13">
        <v>42916.687523148146</v>
      </c>
      <c r="F120" s="13">
        <v>42916.689409722225</v>
      </c>
      <c r="G120" s="7">
        <v>2</v>
      </c>
      <c r="H120" s="21" t="s">
        <v>550</v>
      </c>
      <c r="I120" s="13">
        <v>42916.715081018519</v>
      </c>
      <c r="J120" s="7">
        <v>0</v>
      </c>
      <c r="K120" s="89" t="str">
        <f t="shared" si="35"/>
        <v>4041/4042</v>
      </c>
      <c r="L120" s="21" t="str">
        <f>VLOOKUP(A120,'Trips&amp;Operators'!$C$1:$G$99999,5,FALSE)</f>
        <v>BRANDNER MELINDA</v>
      </c>
      <c r="M120" s="6">
        <f t="shared" si="36"/>
        <v>2.5671296294603962E-2</v>
      </c>
      <c r="N120" s="7">
        <f t="shared" si="54"/>
        <v>36.966666664229706</v>
      </c>
      <c r="O120" s="7"/>
      <c r="P120" s="7"/>
      <c r="Q120" s="22"/>
      <c r="R120" s="170"/>
      <c r="S120" s="213">
        <f t="shared" si="51"/>
        <v>1</v>
      </c>
      <c r="T120" s="195" t="str">
        <f t="shared" si="37"/>
        <v>NorthBound</v>
      </c>
      <c r="U120" s="19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6" t="str">
        <f t="shared" si="38"/>
        <v>https://d0f6bd738d7f1b3e5a7ca70fe4ff75f0.us-east-1.aws.found.io/app/kibana#/discover/Steve-Slow-Train-Analysis-(2080s-and-2083s)?_g=(refreshInterval:(display:Off,pause:!f,section:0,value:0),time:(from:'2017-06-30T15:30:02-0600',mode:absolute,to:'2017-06-30T18:09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20" s="197" t="str">
        <f>IF(AA120&lt;VLOOKUP(AG120,Variables!$AC$3:$AD$8,2,FALSE),"Y","N")</f>
        <v>N</v>
      </c>
      <c r="X120" s="197">
        <f t="shared" si="55"/>
        <v>1</v>
      </c>
      <c r="Y120" s="197">
        <f t="shared" si="52"/>
        <v>4.5499999999999999E-2</v>
      </c>
      <c r="Z120" s="197">
        <f t="shared" si="53"/>
        <v>23.333200000000001</v>
      </c>
      <c r="AA120" s="197">
        <f t="shared" si="41"/>
        <v>23.287700000000001</v>
      </c>
      <c r="AB120" s="54" t="e">
        <f>VLOOKUP(A120,Enforcements!$C$7:$K$13,8,0)</f>
        <v>#N/A</v>
      </c>
      <c r="AC120" s="51" t="e">
        <f>VLOOKUP(A120,Enforcements!$C$7:$E$13,3,0)</f>
        <v>#N/A</v>
      </c>
      <c r="AD120" s="206">
        <f t="shared" si="42"/>
        <v>203</v>
      </c>
      <c r="AE120" s="77" t="str">
        <f t="shared" si="43"/>
        <v>aws s3 cp s3://rtdc.mdm.uploadarchive.raw/RTDC4042/ "%USERPROFILE%\AppData\Local\Temp\OnboardLogs"\RTDC4042\2017-06-30 --exclude "*" --recursive --include "*20170630*" &amp; "%USERPROFILE%\Documents\GitHub\mrs-test-scripts\Headless Mode &amp; Sideloading\WalkAndUnGZ.bat" "%USERPROFILE%\AppData\Local\Temp\OnboardLogs"\RTDC4042\2017-06-30 &amp; aws s3 cp s3://rtdc.mdm.uploadarchive.raw/RTDC4042/ "%USERPROFILE%\AppData\Local\Temp\OnboardLogs"\RTDC4042\2017-07-01 --exclude "*" --recursive --include "*20170701*" &amp; "%USERPROFILE%\Documents\GitHub\mrs-test-scripts\Headless Mode &amp; Sideloading\WalkAndUnGZ.bat" "%USERPROFILE%\AppData\Local\Temp\OnboardLogs"\RTDC4042\2017-07-01</v>
      </c>
      <c r="AF120" s="74" t="str">
        <f t="shared" si="44"/>
        <v>"C:\Program Files (x86)\AstroGrep\AstroGrep.exe" /e /r /s /spath="%USERPROFILE%\AppData\Local\Temp\OnboardLogs" /stypes="app*4042*20170630*" /stext=" 23:.+((SYSTEM_STATE.+slice.+state.+changed )|(ment ac)|(multiple cpu faults)|(system.+state.+changed )|(\[timeout)|(PRM\|1\|D)|(kpr)|(kdp)|(train st.+moving)|(\|lc)|(penalty))"</v>
      </c>
      <c r="AG120" s="209" t="str">
        <f t="shared" si="45"/>
        <v>EC</v>
      </c>
      <c r="AH120" s="78" t="str">
        <f t="shared" si="46"/>
        <v>"%USERPROFILE%\Documents\GitHub\eaglep3\Utilities\RefineRTDCRunTimes.py" --tripid 203-30 --locoid 4042 --swversion DE.1.0.9.0 --startMP 204:455 --initTime 2017-06-30T16:30:02 --startdatetime 2017-06-30T16:32:45 --delay 2 --endMP 204:233332 --enddatetime 2017-06-30T17:09:43 --enforcementcount 0 &gt;&gt;C:\Users\stu\Documents\GitHub\eaglep3-reporting\EC\2017-06-30-refined-times.txt</v>
      </c>
      <c r="AI120" s="96" t="str">
        <f t="shared" si="47"/>
        <v>echo {"issue":{"subject":"","project_id":79,"tracker_id":40,"status_id":1,"priority_id":2,"assigned_to_id":23,"start_date":"2017-06-30","description":"","custom_fields":[{"id":1,"name":"Subdivision","value":"EC"},{"id":4,"name":"Milepost","value":"23.3332"},{"id":17,"name":"Train ID","value":"203-30"},{"id":16,"name":"Locomotive ID","value":"4042"},{"id":130,"name":"Impact","value":""},{"id":150,"name":"Time of Event (Mountain Time)","value":"17:09:43"},{"id":151,"name":"Denver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48"/>
        <v>start /low /b %USERPROFILE%\Documents\GitHub\eaglep3\Utilities\DownloadLogsFromS3.py --loco 4042 --day 2017-06-30</v>
      </c>
      <c r="AN120" s="151" t="str">
        <f t="shared" si="49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23:09:43"},{"id":29,"name":"Sharepoint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788</v>
      </c>
      <c r="B121" s="7">
        <v>4041</v>
      </c>
      <c r="C121" s="21" t="s">
        <v>200</v>
      </c>
      <c r="D121" s="21" t="s">
        <v>905</v>
      </c>
      <c r="E121" s="13">
        <v>42916.72347222222</v>
      </c>
      <c r="F121" s="13">
        <v>42916.727511574078</v>
      </c>
      <c r="G121" s="7">
        <v>1</v>
      </c>
      <c r="H121" s="21" t="s">
        <v>397</v>
      </c>
      <c r="I121" s="13">
        <v>42916.75509259259</v>
      </c>
      <c r="J121" s="7">
        <v>0</v>
      </c>
      <c r="K121" s="89" t="str">
        <f t="shared" si="35"/>
        <v>4041/4042</v>
      </c>
      <c r="L121" s="21" t="str">
        <f>VLOOKUP(A121,'Trips&amp;Operators'!$C$1:$G$99999,5,FALSE)</f>
        <v>BRANDNER MELINDA</v>
      </c>
      <c r="M121" s="6">
        <f t="shared" si="36"/>
        <v>2.7581018512137234E-2</v>
      </c>
      <c r="N121" s="7">
        <f t="shared" si="54"/>
        <v>39.716666657477617</v>
      </c>
      <c r="O121" s="7"/>
      <c r="P121" s="7"/>
      <c r="Q121" s="22"/>
      <c r="R121" s="170"/>
      <c r="S121" s="213">
        <f t="shared" si="51"/>
        <v>1</v>
      </c>
      <c r="T121" s="195" t="str">
        <f t="shared" si="37"/>
        <v>Southbound</v>
      </c>
      <c r="U121" s="19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6" t="str">
        <f t="shared" si="38"/>
        <v>https://d0f6bd738d7f1b3e5a7ca70fe4ff75f0.us-east-1.aws.found.io/app/kibana#/discover/Steve-Slow-Train-Analysis-(2080s-and-2083s)?_g=(refreshInterval:(display:Off,pause:!f,section:0,value:0),time:(from:'2017-06-30T16:21:48-0600',mode:absolute,to:'2017-06-30T19:07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21" s="197" t="str">
        <f>IF(AA121&lt;VLOOKUP(AG121,Variables!$AC$3:$AD$8,2,FALSE),"Y","N")</f>
        <v>N</v>
      </c>
      <c r="X121" s="197">
        <f t="shared" si="55"/>
        <v>1</v>
      </c>
      <c r="Y121" s="197">
        <f t="shared" si="52"/>
        <v>23.303999999999998</v>
      </c>
      <c r="Z121" s="197">
        <f t="shared" si="53"/>
        <v>1.4500000000000001E-2</v>
      </c>
      <c r="AA121" s="197">
        <f t="shared" si="41"/>
        <v>23.289499999999997</v>
      </c>
      <c r="AB121" s="54" t="e">
        <f>VLOOKUP(A121,Enforcements!$C$7:$K$13,8,0)</f>
        <v>#N/A</v>
      </c>
      <c r="AC121" s="51" t="e">
        <f>VLOOKUP(A121,Enforcements!$C$7:$E$13,3,0)</f>
        <v>#N/A</v>
      </c>
      <c r="AD121" s="206">
        <f t="shared" si="42"/>
        <v>204</v>
      </c>
      <c r="AE121" s="77" t="str">
        <f t="shared" si="43"/>
        <v>aws s3 cp s3://rtdc.mdm.uploadarchive.raw/RTDC4041/ "%USERPROFILE%\AppData\Local\Temp\OnboardLogs"\RTDC4041\2017-06-30 --exclude "*" --recursive --include "*20170630*" &amp; "%USERPROFILE%\Documents\GitHub\mrs-test-scripts\Headless Mode &amp; Sideloading\WalkAndUnGZ.bat" "%USERPROFILE%\AppData\Local\Temp\OnboardLogs"\RTDC4041\2017-06-30 &amp; aws s3 cp s3://rtdc.mdm.uploadarchive.raw/RTDC4041/ "%USERPROFILE%\AppData\Local\Temp\OnboardLogs"\RTDC4041\2017-07-01 --exclude "*" --recursive --include "*20170701*" &amp; "%USERPROFILE%\Documents\GitHub\mrs-test-scripts\Headless Mode &amp; Sideloading\WalkAndUnGZ.bat" "%USERPROFILE%\AppData\Local\Temp\OnboardLogs"\RTDC4041\2017-07-01</v>
      </c>
      <c r="AF121" s="74" t="str">
        <f t="shared" si="44"/>
        <v>"C:\Program Files (x86)\AstroGrep\AstroGrep.exe" /e /r /s /spath="%USERPROFILE%\AppData\Local\Temp\OnboardLogs" /stypes="app*4041*20170701*" /stext=" 00:.+((SYSTEM_STATE.+slice.+state.+changed )|(ment ac)|(multiple cpu faults)|(system.+state.+changed )|(\[timeout)|(PRM\|1\|D)|(kpr)|(kdp)|(train st.+moving)|(\|lc)|(penalty))"</v>
      </c>
      <c r="AG121" s="209" t="str">
        <f t="shared" si="45"/>
        <v>EC</v>
      </c>
      <c r="AH121" s="78" t="str">
        <f t="shared" si="46"/>
        <v>"%USERPROFILE%\Documents\GitHub\eaglep3\Utilities\RefineRTDCRunTimes.py" --tripid 204-30 --locoid 4041 --swversion DE.1.0.9.0 --startMP 204:233040 --initTime 2017-06-30T17:21:48 --startdatetime 2017-06-30T17:27:37 --delay 1 --endMP 204:145 --enddatetime 2017-06-30T18:07:20 --enforcementcount 0 &gt;&gt;C:\Users\stu\Documents\GitHub\eaglep3-reporting\EC\2017-06-30-refined-times.txt</v>
      </c>
      <c r="AI121" s="96" t="str">
        <f t="shared" si="47"/>
        <v>echo {"issue":{"subject":"","project_id":79,"tracker_id":40,"status_id":1,"priority_id":2,"assigned_to_id":23,"start_date":"2017-06-30","description":"","custom_fields":[{"id":1,"name":"Subdivision","value":"EC"},{"id":4,"name":"Milepost","value":"0.0145"},{"id":17,"name":"Train ID","value":"204-30"},{"id":16,"name":"Locomotive ID","value":"4041"},{"id":130,"name":"Impact","value":""},{"id":150,"name":"Time of Event (Mountain Time)","value":"18:07:20"},{"id":151,"name":"Denver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48"/>
        <v>start /low /b %USERPROFILE%\Documents\GitHub\eaglep3\Utilities\DownloadLogsFromS3.py --loco 4041 --day 2017-06-30</v>
      </c>
      <c r="AN121" s="151" t="str">
        <f t="shared" si="4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00:07:20"},{"id":29,"name":"Sharepoint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781</v>
      </c>
      <c r="B122" s="7">
        <v>4002</v>
      </c>
      <c r="C122" s="21" t="s">
        <v>200</v>
      </c>
      <c r="D122" s="21" t="s">
        <v>412</v>
      </c>
      <c r="E122" s="13">
        <v>42916.693969907406</v>
      </c>
      <c r="F122" s="13">
        <v>42916.698391203703</v>
      </c>
      <c r="G122" s="7">
        <v>1</v>
      </c>
      <c r="H122" s="21" t="s">
        <v>451</v>
      </c>
      <c r="I122" s="13">
        <v>42916.723715277774</v>
      </c>
      <c r="J122" s="7">
        <v>0</v>
      </c>
      <c r="K122" s="89" t="str">
        <f t="shared" si="35"/>
        <v>4001/4002</v>
      </c>
      <c r="L122" s="21" t="str">
        <f>VLOOKUP(A122,'Trips&amp;Operators'!$C$1:$G$99999,5,FALSE)</f>
        <v>STEWART MICHAEL</v>
      </c>
      <c r="M122" s="6">
        <f t="shared" si="36"/>
        <v>2.5324074071249925E-2</v>
      </c>
      <c r="N122" s="7">
        <f t="shared" si="54"/>
        <v>36.466666662599891</v>
      </c>
      <c r="O122" s="7"/>
      <c r="P122" s="7"/>
      <c r="Q122" s="22"/>
      <c r="R122" s="170"/>
      <c r="S122" s="213">
        <f t="shared" si="51"/>
        <v>1</v>
      </c>
      <c r="T122" s="195" t="str">
        <f t="shared" si="37"/>
        <v>NorthBound</v>
      </c>
      <c r="U122" s="19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6" t="str">
        <f t="shared" si="38"/>
        <v>https://d0f6bd738d7f1b3e5a7ca70fe4ff75f0.us-east-1.aws.found.io/app/kibana#/discover/Steve-Slow-Train-Analysis-(2080s-and-2083s)?_g=(refreshInterval:(display:Off,pause:!f,section:0,value:0),time:(from:'2017-06-30T15:39:19-0600',mode:absolute,to:'2017-06-30T18:22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22" s="197" t="str">
        <f>IF(AA122&lt;VLOOKUP(AG122,Variables!$AC$3:$AD$8,2,FALSE),"Y","N")</f>
        <v>N</v>
      </c>
      <c r="X122" s="197">
        <f t="shared" si="55"/>
        <v>1</v>
      </c>
      <c r="Y122" s="197">
        <f t="shared" si="52"/>
        <v>4.6899999999999997E-2</v>
      </c>
      <c r="Z122" s="197">
        <f t="shared" si="53"/>
        <v>23.328900000000001</v>
      </c>
      <c r="AA122" s="197">
        <f t="shared" si="41"/>
        <v>23.282</v>
      </c>
      <c r="AB122" s="54" t="e">
        <f>VLOOKUP(A122,Enforcements!$C$7:$K$13,8,0)</f>
        <v>#N/A</v>
      </c>
      <c r="AC122" s="51" t="e">
        <f>VLOOKUP(A122,Enforcements!$C$7:$E$13,3,0)</f>
        <v>#N/A</v>
      </c>
      <c r="AD122" s="206">
        <f t="shared" si="42"/>
        <v>205</v>
      </c>
      <c r="AE122" s="77" t="str">
        <f t="shared" si="43"/>
        <v>aws s3 cp s3://rtdc.mdm.uploadarchive.raw/RTDC4002/ "%USERPROFILE%\AppData\Local\Temp\OnboardLogs"\RTDC4002\2017-06-30 --exclude "*" --recursive --include "*20170630*" &amp; "%USERPROFILE%\Documents\GitHub\mrs-test-scripts\Headless Mode &amp; Sideloading\WalkAndUnGZ.bat" "%USERPROFILE%\AppData\Local\Temp\OnboardLogs"\RTDC4002\2017-06-30 &amp; aws s3 cp s3://rtdc.mdm.uploadarchive.raw/RTDC4002/ "%USERPROFILE%\AppData\Local\Temp\OnboardLogs"\RTDC4002\2017-07-01 --exclude "*" --recursive --include "*20170701*" &amp; "%USERPROFILE%\Documents\GitHub\mrs-test-scripts\Headless Mode &amp; Sideloading\WalkAndUnGZ.bat" "%USERPROFILE%\AppData\Local\Temp\OnboardLogs"\RTDC4002\2017-07-01</v>
      </c>
      <c r="AF122" s="74" t="str">
        <f t="shared" si="44"/>
        <v>"C:\Program Files (x86)\AstroGrep\AstroGrep.exe" /e /r /s /spath="%USERPROFILE%\AppData\Local\Temp\OnboardLogs" /stypes="app*4002*20170630*" /stext=" 23:.+((SYSTEM_STATE.+slice.+state.+changed )|(ment ac)|(multiple cpu faults)|(system.+state.+changed )|(\[timeout)|(PRM\|1\|D)|(kpr)|(kdp)|(train st.+moving)|(\|lc)|(penalty))"</v>
      </c>
      <c r="AG122" s="209" t="str">
        <f t="shared" si="45"/>
        <v>EC</v>
      </c>
      <c r="AH122" s="78" t="str">
        <f t="shared" si="46"/>
        <v>"%USERPROFILE%\Documents\GitHub\eaglep3\Utilities\RefineRTDCRunTimes.py" --tripid 205-30 --locoid 4002 --swversion DE.1.0.9.0 --startMP 204:469 --initTime 2017-06-30T16:39:19 --startdatetime 2017-06-30T16:45:41 --delay 1 --endMP 204:233289 --enddatetime 2017-06-30T17:22:09 --enforcementcount 0 &gt;&gt;C:\Users\stu\Documents\GitHub\eaglep3-reporting\EC\2017-06-30-refined-times.txt</v>
      </c>
      <c r="AI122" s="96" t="str">
        <f t="shared" si="47"/>
        <v>echo {"issue":{"subject":"","project_id":79,"tracker_id":40,"status_id":1,"priority_id":2,"assigned_to_id":23,"start_date":"2017-06-30","description":"","custom_fields":[{"id":1,"name":"Subdivision","value":"EC"},{"id":4,"name":"Milepost","value":"23.3289"},{"id":17,"name":"Train ID","value":"205-30"},{"id":16,"name":"Locomotive ID","value":"4002"},{"id":130,"name":"Impact","value":""},{"id":150,"name":"Time of Event (Mountain Time)","value":"17:22:09"},{"id":151,"name":"Denver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48"/>
        <v>start /low /b %USERPROFILE%\Documents\GitHub\eaglep3\Utilities\DownloadLogsFromS3.py --loco 4002 --day 2017-06-30</v>
      </c>
      <c r="AN122" s="151" t="str">
        <f t="shared" si="49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23:22:09"},{"id":29,"name":"Sharepoint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624</v>
      </c>
      <c r="B123" s="7">
        <v>4001</v>
      </c>
      <c r="C123" s="21" t="s">
        <v>200</v>
      </c>
      <c r="D123" s="21" t="s">
        <v>906</v>
      </c>
      <c r="E123" s="13">
        <v>42916.73510416667</v>
      </c>
      <c r="F123" s="13">
        <v>42916.737719907411</v>
      </c>
      <c r="G123" s="7">
        <v>1</v>
      </c>
      <c r="H123" s="21" t="s">
        <v>346</v>
      </c>
      <c r="I123" s="13">
        <v>42916.764814814815</v>
      </c>
      <c r="J123" s="7">
        <v>0</v>
      </c>
      <c r="K123" s="89" t="str">
        <f t="shared" si="35"/>
        <v>4001/4002</v>
      </c>
      <c r="L123" s="21" t="str">
        <f>VLOOKUP(A123,'Trips&amp;Operators'!$C$1:$G$99999,5,FALSE)</f>
        <v>STEWART MICHAEL</v>
      </c>
      <c r="M123" s="6">
        <f t="shared" si="36"/>
        <v>2.7094907403807156E-2</v>
      </c>
      <c r="N123" s="7">
        <f t="shared" si="54"/>
        <v>39.016666661482304</v>
      </c>
      <c r="O123" s="7"/>
      <c r="P123" s="7"/>
      <c r="Q123" s="22"/>
      <c r="R123" s="170"/>
      <c r="S123" s="213">
        <f t="shared" si="51"/>
        <v>1</v>
      </c>
      <c r="T123" s="195" t="str">
        <f t="shared" si="37"/>
        <v>Southbound</v>
      </c>
      <c r="U123" s="19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6" t="str">
        <f t="shared" si="38"/>
        <v>https://d0f6bd738d7f1b3e5a7ca70fe4ff75f0.us-east-1.aws.found.io/app/kibana#/discover/Steve-Slow-Train-Analysis-(2080s-and-2083s)?_g=(refreshInterval:(display:Off,pause:!f,section:0,value:0),time:(from:'2017-06-30T16:38:33-0600',mode:absolute,to:'2017-06-30T19:21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23" s="197" t="str">
        <f>IF(AA123&lt;VLOOKUP(AG123,Variables!$AC$3:$AD$8,2,FALSE),"Y","N")</f>
        <v>N</v>
      </c>
      <c r="X123" s="197">
        <f t="shared" si="55"/>
        <v>1</v>
      </c>
      <c r="Y123" s="197">
        <f t="shared" si="52"/>
        <v>23.2957</v>
      </c>
      <c r="Z123" s="197">
        <f t="shared" si="53"/>
        <v>1.4999999999999999E-2</v>
      </c>
      <c r="AA123" s="197">
        <f t="shared" si="41"/>
        <v>23.2807</v>
      </c>
      <c r="AB123" s="54" t="e">
        <f>VLOOKUP(A123,Enforcements!$C$7:$K$13,8,0)</f>
        <v>#N/A</v>
      </c>
      <c r="AC123" s="51" t="e">
        <f>VLOOKUP(A123,Enforcements!$C$7:$E$13,3,0)</f>
        <v>#N/A</v>
      </c>
      <c r="AD123" s="206">
        <f t="shared" si="42"/>
        <v>206</v>
      </c>
      <c r="AE123" s="77" t="str">
        <f t="shared" si="43"/>
        <v>aws s3 cp s3://rtdc.mdm.uploadarchive.raw/RTDC4001/ "%USERPROFILE%\AppData\Local\Temp\OnboardLogs"\RTDC4001\2017-06-30 --exclude "*" --recursive --include "*20170630*" &amp; "%USERPROFILE%\Documents\GitHub\mrs-test-scripts\Headless Mode &amp; Sideloading\WalkAndUnGZ.bat" "%USERPROFILE%\AppData\Local\Temp\OnboardLogs"\RTDC4001\2017-06-30 &amp; aws s3 cp s3://rtdc.mdm.uploadarchive.raw/RTDC4001/ "%USERPROFILE%\AppData\Local\Temp\OnboardLogs"\RTDC4001\2017-07-01 --exclude "*" --recursive --include "*20170701*" &amp; "%USERPROFILE%\Documents\GitHub\mrs-test-scripts\Headless Mode &amp; Sideloading\WalkAndUnGZ.bat" "%USERPROFILE%\AppData\Local\Temp\OnboardLogs"\RTDC4001\2017-07-01</v>
      </c>
      <c r="AF123" s="74" t="str">
        <f t="shared" si="44"/>
        <v>"C:\Program Files (x86)\AstroGrep\AstroGrep.exe" /e /r /s /spath="%USERPROFILE%\AppData\Local\Temp\OnboardLogs" /stypes="app*4001*20170701*" /stext=" 00:.+((SYSTEM_STATE.+slice.+state.+changed )|(ment ac)|(multiple cpu faults)|(system.+state.+changed )|(\[timeout)|(PRM\|1\|D)|(kpr)|(kdp)|(train st.+moving)|(\|lc)|(penalty))"</v>
      </c>
      <c r="AG123" s="209" t="str">
        <f t="shared" si="45"/>
        <v>EC</v>
      </c>
      <c r="AH123" s="78" t="str">
        <f t="shared" si="46"/>
        <v>"%USERPROFILE%\Documents\GitHub\eaglep3\Utilities\RefineRTDCRunTimes.py" --tripid 206-30 --locoid 4001 --swversion DE.1.0.9.0 --startMP 204:232957 --initTime 2017-06-30T17:38:33 --startdatetime 2017-06-30T17:42:19 --delay 1 --endMP 204:150 --enddatetime 2017-06-30T18:21:20 --enforcementcount 0 &gt;&gt;C:\Users\stu\Documents\GitHub\eaglep3-reporting\EC\2017-06-30-refined-times.txt</v>
      </c>
      <c r="AI123" s="96" t="str">
        <f t="shared" si="47"/>
        <v>echo {"issue":{"subject":"","project_id":79,"tracker_id":40,"status_id":1,"priority_id":2,"assigned_to_id":23,"start_date":"2017-06-30","description":"","custom_fields":[{"id":1,"name":"Subdivision","value":"EC"},{"id":4,"name":"Milepost","value":"0.015"},{"id":17,"name":"Train ID","value":"206-30"},{"id":16,"name":"Locomotive ID","value":"4001"},{"id":130,"name":"Impact","value":""},{"id":150,"name":"Time of Event (Mountain Time)","value":"18:21:20"},{"id":151,"name":"Denver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48"/>
        <v>start /low /b %USERPROFILE%\Documents\GitHub\eaglep3\Utilities\DownloadLogsFromS3.py --loco 4001 --day 2017-06-30</v>
      </c>
      <c r="AN123" s="151" t="str">
        <f t="shared" si="4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00:21:20"},{"id":29,"name":"Sharepoint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619</v>
      </c>
      <c r="B124" s="7">
        <v>4024</v>
      </c>
      <c r="C124" s="21" t="s">
        <v>200</v>
      </c>
      <c r="D124" s="21" t="s">
        <v>341</v>
      </c>
      <c r="E124" s="13">
        <v>42916.704456018517</v>
      </c>
      <c r="F124" s="13">
        <v>42916.708981481483</v>
      </c>
      <c r="G124" s="7">
        <v>1</v>
      </c>
      <c r="H124" s="21" t="s">
        <v>461</v>
      </c>
      <c r="I124" s="13">
        <v>42916.735601851855</v>
      </c>
      <c r="J124" s="7">
        <v>0</v>
      </c>
      <c r="K124" s="89" t="str">
        <f t="shared" si="35"/>
        <v>4023/4024</v>
      </c>
      <c r="L124" s="21" t="str">
        <f>VLOOKUP(A124,'Trips&amp;Operators'!$C$1:$G$99999,5,FALSE)</f>
        <v>LEVERE CRAIG</v>
      </c>
      <c r="M124" s="6">
        <f t="shared" si="36"/>
        <v>2.662037037225673E-2</v>
      </c>
      <c r="N124" s="7">
        <f t="shared" si="54"/>
        <v>38.333333336049691</v>
      </c>
      <c r="O124" s="7"/>
      <c r="P124" s="7"/>
      <c r="Q124" s="22"/>
      <c r="R124" s="170"/>
      <c r="S124" s="213">
        <f t="shared" si="51"/>
        <v>1</v>
      </c>
      <c r="T124" s="195" t="str">
        <f t="shared" si="37"/>
        <v>NorthBound</v>
      </c>
      <c r="U124" s="19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6" t="str">
        <f t="shared" si="38"/>
        <v>https://d0f6bd738d7f1b3e5a7ca70fe4ff75f0.us-east-1.aws.found.io/app/kibana#/discover/Steve-Slow-Train-Analysis-(2080s-and-2083s)?_g=(refreshInterval:(display:Off,pause:!f,section:0,value:0),time:(from:'2017-06-30T15:54:25-0600',mode:absolute,to:'2017-06-30T18:39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24" s="197" t="str">
        <f>IF(AA124&lt;VLOOKUP(AG124,Variables!$AC$3:$AD$8,2,FALSE),"Y","N")</f>
        <v>N</v>
      </c>
      <c r="X124" s="197">
        <f t="shared" si="55"/>
        <v>1</v>
      </c>
      <c r="Y124" s="197">
        <f t="shared" si="52"/>
        <v>4.4900000000000002E-2</v>
      </c>
      <c r="Z124" s="197">
        <f t="shared" si="53"/>
        <v>23.3293</v>
      </c>
      <c r="AA124" s="197">
        <f t="shared" si="41"/>
        <v>23.284400000000002</v>
      </c>
      <c r="AB124" s="54" t="str">
        <f>VLOOKUP(A124,Enforcements!$C$7:$K$13,8,0)</f>
        <v>Bulletin (2)</v>
      </c>
      <c r="AC124" s="51" t="str">
        <f>VLOOKUP(A124,Enforcements!$C$7:$E$13,3,0)</f>
        <v>GRADE CROSSING</v>
      </c>
      <c r="AD124" s="206">
        <f t="shared" si="42"/>
        <v>207</v>
      </c>
      <c r="AE124" s="77" t="str">
        <f t="shared" si="43"/>
        <v>aws s3 cp s3://rtdc.mdm.uploadarchive.raw/RTDC4024/ "%USERPROFILE%\AppData\Local\Temp\OnboardLogs"\RTDC4024\2017-06-30 --exclude "*" --recursive --include "*20170630*" &amp; "%USERPROFILE%\Documents\GitHub\mrs-test-scripts\Headless Mode &amp; Sideloading\WalkAndUnGZ.bat" "%USERPROFILE%\AppData\Local\Temp\OnboardLogs"\RTDC4024\2017-06-30 &amp; aws s3 cp s3://rtdc.mdm.uploadarchive.raw/RTDC4024/ "%USERPROFILE%\AppData\Local\Temp\OnboardLogs"\RTDC4024\2017-07-01 --exclude "*" --recursive --include "*20170701*" &amp; "%USERPROFILE%\Documents\GitHub\mrs-test-scripts\Headless Mode &amp; Sideloading\WalkAndUnGZ.bat" "%USERPROFILE%\AppData\Local\Temp\OnboardLogs"\RTDC4024\2017-07-01</v>
      </c>
      <c r="AF124" s="74" t="str">
        <f t="shared" si="44"/>
        <v>"C:\Program Files (x86)\AstroGrep\AstroGrep.exe" /e /r /s /spath="%USERPROFILE%\AppData\Local\Temp\OnboardLogs" /stypes="app*4024*20170630*" /stext=" 23:.+((SYSTEM_STATE.+slice.+state.+changed )|(ment ac)|(multiple cpu faults)|(system.+state.+changed )|(\[timeout)|(PRM\|1\|D)|(kpr)|(kdp)|(train st.+moving)|(\|lc)|(penalty))"</v>
      </c>
      <c r="AG124" s="209" t="str">
        <f t="shared" si="45"/>
        <v>EC</v>
      </c>
      <c r="AH124" s="78" t="str">
        <f t="shared" si="46"/>
        <v>"%USERPROFILE%\Documents\GitHub\eaglep3\Utilities\RefineRTDCRunTimes.py" --tripid 207-30 --locoid 4024 --swversion DE.1.0.9.0 --startMP 204:449 --initTime 2017-06-30T16:54:25 --startdatetime 2017-06-30T17:00:56 --delay 1 --endMP 204:233293 --enddatetime 2017-06-30T17:39:16 --enforcementcount 0 &gt;&gt;C:\Users\stu\Documents\GitHub\eaglep3-reporting\EC\2017-06-30-refined-times.txt</v>
      </c>
      <c r="AI124" s="96" t="str">
        <f t="shared" si="47"/>
        <v>echo {"issue":{"subject":"","project_id":79,"tracker_id":40,"status_id":1,"priority_id":2,"assigned_to_id":23,"start_date":"2017-06-30","description":"","custom_fields":[{"id":1,"name":"Subdivision","value":"EC"},{"id":4,"name":"Milepost","value":"23.3293"},{"id":17,"name":"Train ID","value":"207-30"},{"id":16,"name":"Locomotive ID","value":"4024"},{"id":130,"name":"Impact","value":""},{"id":150,"name":"Time of Event (Mountain Time)","value":"17:39:16"},{"id":151,"name":"Denver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48"/>
        <v>start /low /b %USERPROFILE%\Documents\GitHub\eaglep3\Utilities\DownloadLogsFromS3.py --loco 4024 --day 2017-06-30</v>
      </c>
      <c r="AN124" s="151" t="str">
        <f t="shared" si="49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23:39:16"},{"id":29,"name":"Sharepoint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795</v>
      </c>
      <c r="B125" s="7">
        <v>4023</v>
      </c>
      <c r="C125" s="21" t="s">
        <v>200</v>
      </c>
      <c r="D125" s="21" t="s">
        <v>433</v>
      </c>
      <c r="E125" s="13">
        <v>42916.7419212963</v>
      </c>
      <c r="F125" s="13">
        <v>42916.748356481483</v>
      </c>
      <c r="G125" s="7">
        <v>1</v>
      </c>
      <c r="H125" s="21" t="s">
        <v>397</v>
      </c>
      <c r="I125" s="13">
        <v>42916.77480324074</v>
      </c>
      <c r="J125" s="7">
        <v>0</v>
      </c>
      <c r="K125" s="89" t="str">
        <f t="shared" si="35"/>
        <v>4023/4024</v>
      </c>
      <c r="L125" s="21" t="str">
        <f>VLOOKUP(A125,'Trips&amp;Operators'!$C$1:$G$99999,5,FALSE)</f>
        <v>LEVERE CRAIG</v>
      </c>
      <c r="M125" s="6">
        <f t="shared" si="36"/>
        <v>2.6446759256941732E-2</v>
      </c>
      <c r="N125" s="7">
        <f t="shared" si="54"/>
        <v>38.083333329996094</v>
      </c>
      <c r="O125" s="7"/>
      <c r="P125" s="7"/>
      <c r="Q125" s="22"/>
      <c r="R125" s="170"/>
      <c r="S125" s="213">
        <f t="shared" si="51"/>
        <v>1</v>
      </c>
      <c r="T125" s="195" t="str">
        <f t="shared" si="37"/>
        <v>Southbound</v>
      </c>
      <c r="U125" s="19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6" t="str">
        <f t="shared" si="38"/>
        <v>https://d0f6bd738d7f1b3e5a7ca70fe4ff75f0.us-east-1.aws.found.io/app/kibana#/discover/Steve-Slow-Train-Analysis-(2080s-and-2083s)?_g=(refreshInterval:(display:Off,pause:!f,section:0,value:0),time:(from:'2017-06-30T16:48:22-0600',mode:absolute,to:'2017-06-30T19:35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25" s="197" t="str">
        <f>IF(AA125&lt;VLOOKUP(AG125,Variables!$AC$3:$AD$8,2,FALSE),"Y","N")</f>
        <v>N</v>
      </c>
      <c r="X125" s="197">
        <f t="shared" si="55"/>
        <v>1</v>
      </c>
      <c r="Y125" s="197">
        <f t="shared" si="52"/>
        <v>23.2986</v>
      </c>
      <c r="Z125" s="197">
        <f t="shared" si="53"/>
        <v>1.4500000000000001E-2</v>
      </c>
      <c r="AA125" s="197">
        <f t="shared" si="41"/>
        <v>23.284099999999999</v>
      </c>
      <c r="AB125" s="54" t="e">
        <f>VLOOKUP(A125,Enforcements!$C$7:$K$13,8,0)</f>
        <v>#N/A</v>
      </c>
      <c r="AC125" s="51" t="e">
        <f>VLOOKUP(A125,Enforcements!$C$7:$E$13,3,0)</f>
        <v>#N/A</v>
      </c>
      <c r="AD125" s="206">
        <f t="shared" si="42"/>
        <v>208</v>
      </c>
      <c r="AE125" s="77" t="str">
        <f t="shared" si="43"/>
        <v>aws s3 cp s3://rtdc.mdm.uploadarchive.raw/RTDC4023/ "%USERPROFILE%\AppData\Local\Temp\OnboardLogs"\RTDC4023\2017-06-30 --exclude "*" --recursive --include "*20170630*" &amp; "%USERPROFILE%\Documents\GitHub\mrs-test-scripts\Headless Mode &amp; Sideloading\WalkAndUnGZ.bat" "%USERPROFILE%\AppData\Local\Temp\OnboardLogs"\RTDC4023\2017-06-30 &amp; aws s3 cp s3://rtdc.mdm.uploadarchive.raw/RTDC4023/ "%USERPROFILE%\AppData\Local\Temp\OnboardLogs"\RTDC4023\2017-07-01 --exclude "*" --recursive --include "*20170701*" &amp; "%USERPROFILE%\Documents\GitHub\mrs-test-scripts\Headless Mode &amp; Sideloading\WalkAndUnGZ.bat" "%USERPROFILE%\AppData\Local\Temp\OnboardLogs"\RTDC4023\2017-07-01</v>
      </c>
      <c r="AF125" s="74" t="str">
        <f t="shared" si="44"/>
        <v>"C:\Program Files (x86)\AstroGrep\AstroGrep.exe" /e /r /s /spath="%USERPROFILE%\AppData\Local\Temp\OnboardLogs" /stypes="app*4023*20170701*" /stext=" 00:.+((SYSTEM_STATE.+slice.+state.+changed )|(ment ac)|(multiple cpu faults)|(system.+state.+changed )|(\[timeout)|(PRM\|1\|D)|(kpr)|(kdp)|(train st.+moving)|(\|lc)|(penalty))"</v>
      </c>
      <c r="AG125" s="209" t="str">
        <f t="shared" si="45"/>
        <v>EC</v>
      </c>
      <c r="AH125" s="78" t="str">
        <f t="shared" si="46"/>
        <v>"%USERPROFILE%\Documents\GitHub\eaglep3\Utilities\RefineRTDCRunTimes.py" --tripid 208-30 --locoid 4023 --swversion DE.1.0.9.0 --startMP 204:232986 --initTime 2017-06-30T17:48:22 --startdatetime 2017-06-30T17:57:38 --delay 1 --endMP 204:145 --enddatetime 2017-06-30T18:35:43 --enforcementcount 0 &gt;&gt;C:\Users\stu\Documents\GitHub\eaglep3-reporting\EC\2017-06-30-refined-times.txt</v>
      </c>
      <c r="AI125" s="96" t="str">
        <f t="shared" si="47"/>
        <v>echo {"issue":{"subject":"","project_id":79,"tracker_id":40,"status_id":1,"priority_id":2,"assigned_to_id":23,"start_date":"2017-06-30","description":"","custom_fields":[{"id":1,"name":"Subdivision","value":"EC"},{"id":4,"name":"Milepost","value":"0.0145"},{"id":17,"name":"Train ID","value":"208-30"},{"id":16,"name":"Locomotive ID","value":"4023"},{"id":130,"name":"Impact","value":""},{"id":150,"name":"Time of Event (Mountain Time)","value":"18:35:43"},{"id":151,"name":"Denver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48"/>
        <v>start /low /b %USERPROFILE%\Documents\GitHub\eaglep3\Utilities\DownloadLogsFromS3.py --loco 4023 --day 2017-06-30</v>
      </c>
      <c r="AN125" s="151" t="str">
        <f t="shared" si="4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00:35:43"},{"id":29,"name":"Sharepoint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786</v>
      </c>
      <c r="B126" s="7">
        <v>4026</v>
      </c>
      <c r="C126" s="21" t="s">
        <v>200</v>
      </c>
      <c r="D126" s="21" t="s">
        <v>438</v>
      </c>
      <c r="E126" s="13">
        <v>42916.714780092596</v>
      </c>
      <c r="F126" s="13">
        <v>42916.719502314816</v>
      </c>
      <c r="G126" s="7">
        <v>1</v>
      </c>
      <c r="H126" s="21" t="s">
        <v>907</v>
      </c>
      <c r="I126" s="13">
        <v>42916.744710648149</v>
      </c>
      <c r="J126" s="7">
        <v>0</v>
      </c>
      <c r="K126" s="89" t="str">
        <f t="shared" si="35"/>
        <v>4025/4026</v>
      </c>
      <c r="L126" s="21" t="str">
        <f>VLOOKUP(A126,'Trips&amp;Operators'!$C$1:$G$99999,5,FALSE)</f>
        <v>YANG JAN</v>
      </c>
      <c r="M126" s="6">
        <f t="shared" si="36"/>
        <v>2.5208333332557231E-2</v>
      </c>
      <c r="N126" s="7">
        <f t="shared" si="54"/>
        <v>36.299999998882413</v>
      </c>
      <c r="O126" s="7"/>
      <c r="P126" s="7"/>
      <c r="Q126" s="22"/>
      <c r="R126" s="170"/>
      <c r="S126" s="213">
        <f t="shared" ref="S126:S157" si="56">SUM(U126:U126)/IF(AG126="EC",12,1)</f>
        <v>1</v>
      </c>
      <c r="T126" s="195" t="str">
        <f t="shared" si="37"/>
        <v>NorthBound</v>
      </c>
      <c r="U126" s="19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6" t="str">
        <f t="shared" si="38"/>
        <v>https://d0f6bd738d7f1b3e5a7ca70fe4ff75f0.us-east-1.aws.found.io/app/kibana#/discover/Steve-Slow-Train-Analysis-(2080s-and-2083s)?_g=(refreshInterval:(display:Off,pause:!f,section:0,value:0),time:(from:'2017-06-30T16:09:17-0600',mode:absolute,to:'2017-06-30T18:52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26" s="197" t="str">
        <f>IF(AA126&lt;VLOOKUP(AG126,Variables!$AC$3:$AD$8,2,FALSE),"Y","N")</f>
        <v>N</v>
      </c>
      <c r="X126" s="197">
        <f t="shared" si="55"/>
        <v>1</v>
      </c>
      <c r="Y126" s="197">
        <f t="shared" si="52"/>
        <v>4.58E-2</v>
      </c>
      <c r="Z126" s="197">
        <f t="shared" si="53"/>
        <v>23.331499999999998</v>
      </c>
      <c r="AA126" s="197">
        <f t="shared" si="41"/>
        <v>23.285699999999999</v>
      </c>
      <c r="AB126" s="54" t="e">
        <f>VLOOKUP(A126,Enforcements!$C$7:$K$13,8,0)</f>
        <v>#N/A</v>
      </c>
      <c r="AC126" s="51" t="e">
        <f>VLOOKUP(A126,Enforcements!$C$7:$E$13,3,0)</f>
        <v>#N/A</v>
      </c>
      <c r="AD126" s="206">
        <f t="shared" si="42"/>
        <v>209</v>
      </c>
      <c r="AE126" s="77" t="str">
        <f t="shared" si="43"/>
        <v>aws s3 cp s3://rtdc.mdm.uploadarchive.raw/RTDC4026/ "%USERPROFILE%\AppData\Local\Temp\OnboardLogs"\RTDC4026\2017-06-30 --exclude "*" --recursive --include "*20170630*" &amp; "%USERPROFILE%\Documents\GitHub\mrs-test-scripts\Headless Mode &amp; Sideloading\WalkAndUnGZ.bat" "%USERPROFILE%\AppData\Local\Temp\OnboardLogs"\RTDC4026\2017-06-30 &amp; aws s3 cp s3://rtdc.mdm.uploadarchive.raw/RTDC4026/ "%USERPROFILE%\AppData\Local\Temp\OnboardLogs"\RTDC4026\2017-07-01 --exclude "*" --recursive --include "*20170701*" &amp; "%USERPROFILE%\Documents\GitHub\mrs-test-scripts\Headless Mode &amp; Sideloading\WalkAndUnGZ.bat" "%USERPROFILE%\AppData\Local\Temp\OnboardLogs"\RTDC4026\2017-07-01</v>
      </c>
      <c r="AF126" s="74" t="str">
        <f t="shared" si="44"/>
        <v>"C:\Program Files (x86)\AstroGrep\AstroGrep.exe" /e /r /s /spath="%USERPROFILE%\AppData\Local\Temp\OnboardLogs" /stypes="app*4026*20170630*" /stext=" 23:.+((SYSTEM_STATE.+slice.+state.+changed )|(ment ac)|(multiple cpu faults)|(system.+state.+changed )|(\[timeout)|(PRM\|1\|D)|(kpr)|(kdp)|(train st.+moving)|(\|lc)|(penalty))"</v>
      </c>
      <c r="AG126" s="209" t="str">
        <f t="shared" si="45"/>
        <v>EC</v>
      </c>
      <c r="AH126" s="78" t="str">
        <f t="shared" si="46"/>
        <v>"%USERPROFILE%\Documents\GitHub\eaglep3\Utilities\RefineRTDCRunTimes.py" --tripid 209-30 --locoid 4026 --swversion DE.1.0.9.0 --startMP 204:458 --initTime 2017-06-30T17:09:17 --startdatetime 2017-06-30T17:16:05 --delay 1 --endMP 204:233315 --enddatetime 2017-06-30T17:52:23 --enforcementcount 0 &gt;&gt;C:\Users\stu\Documents\GitHub\eaglep3-reporting\EC\2017-06-30-refined-times.txt</v>
      </c>
      <c r="AI126" s="96" t="str">
        <f t="shared" si="47"/>
        <v>echo {"issue":{"subject":"","project_id":79,"tracker_id":40,"status_id":1,"priority_id":2,"assigned_to_id":23,"start_date":"2017-06-30","description":"","custom_fields":[{"id":1,"name":"Subdivision","value":"EC"},{"id":4,"name":"Milepost","value":"23.3315"},{"id":17,"name":"Train ID","value":"209-30"},{"id":16,"name":"Locomotive ID","value":"4026"},{"id":130,"name":"Impact","value":""},{"id":150,"name":"Time of Event (Mountain Time)","value":"17:52:23"},{"id":151,"name":"Denver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48"/>
        <v>start /low /b %USERPROFILE%\Documents\GitHub\eaglep3\Utilities\DownloadLogsFromS3.py --loco 4026 --day 2017-06-30</v>
      </c>
      <c r="AN126" s="151" t="str">
        <f t="shared" si="49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23:52:23"},{"id":29,"name":"Sharepoint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797</v>
      </c>
      <c r="B127" s="7">
        <v>4025</v>
      </c>
      <c r="C127" s="21" t="s">
        <v>200</v>
      </c>
      <c r="D127" s="21" t="s">
        <v>411</v>
      </c>
      <c r="E127" s="13">
        <v>42916.754918981482</v>
      </c>
      <c r="F127" s="13">
        <v>42916.758726851855</v>
      </c>
      <c r="G127" s="7">
        <v>1</v>
      </c>
      <c r="H127" s="21" t="s">
        <v>551</v>
      </c>
      <c r="I127" s="13">
        <v>42916.784814814811</v>
      </c>
      <c r="J127" s="7">
        <v>0</v>
      </c>
      <c r="K127" s="89" t="str">
        <f t="shared" si="35"/>
        <v>4025/4026</v>
      </c>
      <c r="L127" s="21" t="str">
        <f>VLOOKUP(A127,'Trips&amp;Operators'!$C$1:$G$99999,5,FALSE)</f>
        <v>YANG JAN</v>
      </c>
      <c r="M127" s="6">
        <f t="shared" si="36"/>
        <v>2.6087962956808042E-2</v>
      </c>
      <c r="N127" s="7">
        <f t="shared" si="54"/>
        <v>37.56666665780358</v>
      </c>
      <c r="O127" s="7"/>
      <c r="P127" s="7"/>
      <c r="Q127" s="22"/>
      <c r="R127" s="170"/>
      <c r="S127" s="213">
        <f t="shared" si="56"/>
        <v>1</v>
      </c>
      <c r="T127" s="195" t="str">
        <f t="shared" si="37"/>
        <v>Southbound</v>
      </c>
      <c r="U127" s="19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6" t="str">
        <f t="shared" si="38"/>
        <v>https://d0f6bd738d7f1b3e5a7ca70fe4ff75f0.us-east-1.aws.found.io/app/kibana#/discover/Steve-Slow-Train-Analysis-(2080s-and-2083s)?_g=(refreshInterval:(display:Off,pause:!f,section:0,value:0),time:(from:'2017-06-30T17:07:05-0600',mode:absolute,to:'2017-06-30T19:50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27" s="197" t="str">
        <f>IF(AA127&lt;VLOOKUP(AG127,Variables!$AC$3:$AD$8,2,FALSE),"Y","N")</f>
        <v>N</v>
      </c>
      <c r="X127" s="197">
        <f t="shared" si="55"/>
        <v>1</v>
      </c>
      <c r="Y127" s="197">
        <f t="shared" si="52"/>
        <v>23.299600000000002</v>
      </c>
      <c r="Z127" s="197">
        <f t="shared" si="53"/>
        <v>1.6E-2</v>
      </c>
      <c r="AA127" s="197">
        <f t="shared" si="41"/>
        <v>23.283600000000003</v>
      </c>
      <c r="AB127" s="54" t="e">
        <f>VLOOKUP(A127,Enforcements!$C$7:$K$13,8,0)</f>
        <v>#N/A</v>
      </c>
      <c r="AC127" s="51" t="e">
        <f>VLOOKUP(A127,Enforcements!$C$7:$E$13,3,0)</f>
        <v>#N/A</v>
      </c>
      <c r="AD127" s="206">
        <f t="shared" si="42"/>
        <v>210</v>
      </c>
      <c r="AE127" s="77" t="str">
        <f t="shared" si="43"/>
        <v>aws s3 cp s3://rtdc.mdm.uploadarchive.raw/RTDC4025/ "%USERPROFILE%\AppData\Local\Temp\OnboardLogs"\RTDC4025\2017-06-30 --exclude "*" --recursive --include "*20170630*" &amp; "%USERPROFILE%\Documents\GitHub\mrs-test-scripts\Headless Mode &amp; Sideloading\WalkAndUnGZ.bat" "%USERPROFILE%\AppData\Local\Temp\OnboardLogs"\RTDC4025\2017-06-30 &amp; aws s3 cp s3://rtdc.mdm.uploadarchive.raw/RTDC4025/ "%USERPROFILE%\AppData\Local\Temp\OnboardLogs"\RTDC4025\2017-07-01 --exclude "*" --recursive --include "*20170701*" &amp; "%USERPROFILE%\Documents\GitHub\mrs-test-scripts\Headless Mode &amp; Sideloading\WalkAndUnGZ.bat" "%USERPROFILE%\AppData\Local\Temp\OnboardLogs"\RTDC4025\2017-07-01</v>
      </c>
      <c r="AF127" s="74" t="str">
        <f t="shared" si="44"/>
        <v>"C:\Program Files (x86)\AstroGrep\AstroGrep.exe" /e /r /s /spath="%USERPROFILE%\AppData\Local\Temp\OnboardLogs" /stypes="app*4025*20170701*" /stext=" 00:.+((SYSTEM_STATE.+slice.+state.+changed )|(ment ac)|(multiple cpu faults)|(system.+state.+changed )|(\[timeout)|(PRM\|1\|D)|(kpr)|(kdp)|(train st.+moving)|(\|lc)|(penalty))"</v>
      </c>
      <c r="AG127" s="209" t="str">
        <f t="shared" si="45"/>
        <v>EC</v>
      </c>
      <c r="AH127" s="78" t="str">
        <f t="shared" si="46"/>
        <v>"%USERPROFILE%\Documents\GitHub\eaglep3\Utilities\RefineRTDCRunTimes.py" --tripid 210-30 --locoid 4025 --swversion DE.1.0.9.0 --startMP 204:232996 --initTime 2017-06-30T18:07:05 --startdatetime 2017-06-30T18:12:34 --delay 1 --endMP 204:160 --enddatetime 2017-06-30T18:50:08 --enforcementcount 0 &gt;&gt;C:\Users\stu\Documents\GitHub\eaglep3-reporting\EC\2017-06-30-refined-times.txt</v>
      </c>
      <c r="AI127" s="96" t="str">
        <f t="shared" si="47"/>
        <v>echo {"issue":{"subject":"","project_id":79,"tracker_id":40,"status_id":1,"priority_id":2,"assigned_to_id":23,"start_date":"2017-06-30","description":"","custom_fields":[{"id":1,"name":"Subdivision","value":"EC"},{"id":4,"name":"Milepost","value":"0.016"},{"id":17,"name":"Train ID","value":"210-30"},{"id":16,"name":"Locomotive ID","value":"4025"},{"id":130,"name":"Impact","value":""},{"id":150,"name":"Time of Event (Mountain Time)","value":"18:50:08"},{"id":151,"name":"Denver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48"/>
        <v>start /low /b %USERPROFILE%\Documents\GitHub\eaglep3\Utilities\DownloadLogsFromS3.py --loco 4025 --day 2017-06-30</v>
      </c>
      <c r="AN127" s="151" t="str">
        <f t="shared" si="4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00:50:08"},{"id":29,"name":"Sharepoint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789</v>
      </c>
      <c r="B128" s="7">
        <v>4044</v>
      </c>
      <c r="C128" s="21" t="s">
        <v>200</v>
      </c>
      <c r="D128" s="21" t="s">
        <v>413</v>
      </c>
      <c r="E128" s="13">
        <v>42916.726215277777</v>
      </c>
      <c r="F128" s="13">
        <v>42916.729814814818</v>
      </c>
      <c r="G128" s="7">
        <v>1</v>
      </c>
      <c r="H128" s="21" t="s">
        <v>908</v>
      </c>
      <c r="I128" s="13">
        <v>42916.754606481481</v>
      </c>
      <c r="J128" s="7">
        <v>0</v>
      </c>
      <c r="K128" s="89" t="str">
        <f t="shared" si="35"/>
        <v>4043/4044</v>
      </c>
      <c r="L128" s="21" t="str">
        <f>VLOOKUP(A128,'Trips&amp;Operators'!$C$1:$G$99999,5,FALSE)</f>
        <v>LEVIN SCOTT</v>
      </c>
      <c r="M128" s="6">
        <f t="shared" si="36"/>
        <v>2.4791666663077194E-2</v>
      </c>
      <c r="N128" s="7">
        <f t="shared" si="54"/>
        <v>35.69999999483116</v>
      </c>
      <c r="O128" s="7"/>
      <c r="P128" s="7"/>
      <c r="Q128" s="22"/>
      <c r="R128" s="170"/>
      <c r="S128" s="213">
        <f t="shared" si="56"/>
        <v>1</v>
      </c>
      <c r="T128" s="195" t="str">
        <f t="shared" si="37"/>
        <v>NorthBound</v>
      </c>
      <c r="U128" s="19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6" t="str">
        <f t="shared" si="38"/>
        <v>https://d0f6bd738d7f1b3e5a7ca70fe4ff75f0.us-east-1.aws.found.io/app/kibana#/discover/Steve-Slow-Train-Analysis-(2080s-and-2083s)?_g=(refreshInterval:(display:Off,pause:!f,section:0,value:0),time:(from:'2017-06-30T16:25:45-0600',mode:absolute,to:'2017-06-30T19:06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28" s="197" t="str">
        <f>IF(AA128&lt;VLOOKUP(AG128,Variables!$AC$3:$AD$8,2,FALSE),"Y","N")</f>
        <v>N</v>
      </c>
      <c r="X128" s="197">
        <f t="shared" si="55"/>
        <v>1</v>
      </c>
      <c r="Y128" s="197">
        <f t="shared" si="52"/>
        <v>4.4200000000000003E-2</v>
      </c>
      <c r="Z128" s="197">
        <f t="shared" si="53"/>
        <v>23.340299999999999</v>
      </c>
      <c r="AA128" s="197">
        <f t="shared" si="41"/>
        <v>23.296099999999999</v>
      </c>
      <c r="AB128" s="54" t="e">
        <f>VLOOKUP(A128,Enforcements!$C$7:$K$13,8,0)</f>
        <v>#N/A</v>
      </c>
      <c r="AC128" s="51" t="e">
        <f>VLOOKUP(A128,Enforcements!$C$7:$E$13,3,0)</f>
        <v>#N/A</v>
      </c>
      <c r="AD128" s="206">
        <f t="shared" si="42"/>
        <v>211</v>
      </c>
      <c r="AE128" s="77" t="str">
        <f t="shared" si="43"/>
        <v>aws s3 cp s3://rtdc.mdm.uploadarchive.raw/RTDC4044/ "%USERPROFILE%\AppData\Local\Temp\OnboardLogs"\RTDC4044\2017-06-30 --exclude "*" --recursive --include "*20170630*" &amp; "%USERPROFILE%\Documents\GitHub\mrs-test-scripts\Headless Mode &amp; Sideloading\WalkAndUnGZ.bat" "%USERPROFILE%\AppData\Local\Temp\OnboardLogs"\RTDC4044\2017-06-30 &amp; aws s3 cp s3://rtdc.mdm.uploadarchive.raw/RTDC4044/ "%USERPROFILE%\AppData\Local\Temp\OnboardLogs"\RTDC4044\2017-07-01 --exclude "*" --recursive --include "*20170701*" &amp; "%USERPROFILE%\Documents\GitHub\mrs-test-scripts\Headless Mode &amp; Sideloading\WalkAndUnGZ.bat" "%USERPROFILE%\AppData\Local\Temp\OnboardLogs"\RTDC4044\2017-07-01</v>
      </c>
      <c r="AF128" s="74" t="str">
        <f t="shared" si="44"/>
        <v>"C:\Program Files (x86)\AstroGrep\AstroGrep.exe" /e /r /s /spath="%USERPROFILE%\AppData\Local\Temp\OnboardLogs" /stypes="app*4044*20170701*" /stext=" 00:.+((SYSTEM_STATE.+slice.+state.+changed )|(ment ac)|(multiple cpu faults)|(system.+state.+changed )|(\[timeout)|(PRM\|1\|D)|(kpr)|(kdp)|(train st.+moving)|(\|lc)|(penalty))"</v>
      </c>
      <c r="AG128" s="209" t="str">
        <f t="shared" si="45"/>
        <v>EC</v>
      </c>
      <c r="AH128" s="78" t="str">
        <f t="shared" si="46"/>
        <v>"%USERPROFILE%\Documents\GitHub\eaglep3\Utilities\RefineRTDCRunTimes.py" --tripid 211-30 --locoid 4044 --swversion DE.1.0.9.0 --startMP 204:442 --initTime 2017-06-30T17:25:45 --startdatetime 2017-06-30T17:30:56 --delay 1 --endMP 204:233403 --enddatetime 2017-06-30T18:06:38 --enforcementcount 0 &gt;&gt;C:\Users\stu\Documents\GitHub\eaglep3-reporting\EC\2017-06-30-refined-times.txt</v>
      </c>
      <c r="AI128" s="96" t="str">
        <f t="shared" si="47"/>
        <v>echo {"issue":{"subject":"","project_id":79,"tracker_id":40,"status_id":1,"priority_id":2,"assigned_to_id":23,"start_date":"2017-06-30","description":"","custom_fields":[{"id":1,"name":"Subdivision","value":"EC"},{"id":4,"name":"Milepost","value":"23.3403"},{"id":17,"name":"Train ID","value":"211-30"},{"id":16,"name":"Locomotive ID","value":"4044"},{"id":130,"name":"Impact","value":""},{"id":150,"name":"Time of Event (Mountain Time)","value":"18:06:38"},{"id":151,"name":"Denver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48"/>
        <v>start /low /b %USERPROFILE%\Documents\GitHub\eaglep3\Utilities\DownloadLogsFromS3.py --loco 4044 --day 2017-06-30</v>
      </c>
      <c r="AN128" s="151" t="str">
        <f t="shared" si="4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00:06:38"},{"id":29,"name":"Sharepoint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628</v>
      </c>
      <c r="B129" s="7">
        <v>4043</v>
      </c>
      <c r="C129" s="21" t="s">
        <v>200</v>
      </c>
      <c r="D129" s="21" t="s">
        <v>909</v>
      </c>
      <c r="E129" s="13">
        <v>42916.7656712963</v>
      </c>
      <c r="F129" s="13">
        <v>42916.768912037034</v>
      </c>
      <c r="G129" s="7">
        <v>1</v>
      </c>
      <c r="H129" s="21" t="s">
        <v>347</v>
      </c>
      <c r="I129" s="13">
        <v>42916.79550925926</v>
      </c>
      <c r="J129" s="7">
        <v>0</v>
      </c>
      <c r="K129" s="89" t="str">
        <f t="shared" si="35"/>
        <v>4043/4044</v>
      </c>
      <c r="L129" s="21" t="str">
        <f>VLOOKUP(A129,'Trips&amp;Operators'!$C$1:$G$99999,5,FALSE)</f>
        <v>LEVIN SCOTT</v>
      </c>
      <c r="M129" s="6">
        <f t="shared" si="36"/>
        <v>2.6597222225973383E-2</v>
      </c>
      <c r="N129" s="7">
        <f t="shared" si="54"/>
        <v>38.300000005401671</v>
      </c>
      <c r="O129" s="7"/>
      <c r="P129" s="7"/>
      <c r="Q129" s="22"/>
      <c r="R129" s="170"/>
      <c r="S129" s="213">
        <f t="shared" si="56"/>
        <v>1</v>
      </c>
      <c r="T129" s="195" t="str">
        <f t="shared" si="37"/>
        <v>Southbound</v>
      </c>
      <c r="U129" s="19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6" t="str">
        <f t="shared" si="38"/>
        <v>https://d0f6bd738d7f1b3e5a7ca70fe4ff75f0.us-east-1.aws.found.io/app/kibana#/discover/Steve-Slow-Train-Analysis-(2080s-and-2083s)?_g=(refreshInterval:(display:Off,pause:!f,section:0,value:0),time:(from:'2017-06-30T17:22:34-0600',mode:absolute,to:'2017-06-30T20:05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29" s="197" t="str">
        <f>IF(AA129&lt;VLOOKUP(AG129,Variables!$AC$3:$AD$8,2,FALSE),"Y","N")</f>
        <v>N</v>
      </c>
      <c r="X129" s="197">
        <f t="shared" si="55"/>
        <v>1</v>
      </c>
      <c r="Y129" s="197">
        <f t="shared" si="52"/>
        <v>23.309899999999999</v>
      </c>
      <c r="Z129" s="197">
        <f t="shared" si="53"/>
        <v>1.49E-2</v>
      </c>
      <c r="AA129" s="197">
        <f t="shared" si="41"/>
        <v>23.294999999999998</v>
      </c>
      <c r="AB129" s="54" t="e">
        <f>VLOOKUP(A129,Enforcements!$C$7:$K$13,8,0)</f>
        <v>#N/A</v>
      </c>
      <c r="AC129" s="51" t="e">
        <f>VLOOKUP(A129,Enforcements!$C$7:$E$13,3,0)</f>
        <v>#N/A</v>
      </c>
      <c r="AD129" s="206">
        <f t="shared" si="42"/>
        <v>212</v>
      </c>
      <c r="AE129" s="77" t="str">
        <f t="shared" si="43"/>
        <v>aws s3 cp s3://rtdc.mdm.uploadarchive.raw/RTDC4043/ "%USERPROFILE%\AppData\Local\Temp\OnboardLogs"\RTDC4043\2017-06-30 --exclude "*" --recursive --include "*20170630*" &amp; "%USERPROFILE%\Documents\GitHub\mrs-test-scripts\Headless Mode &amp; Sideloading\WalkAndUnGZ.bat" "%USERPROFILE%\AppData\Local\Temp\OnboardLogs"\RTDC4043\2017-06-30 &amp; aws s3 cp s3://rtdc.mdm.uploadarchive.raw/RTDC4043/ "%USERPROFILE%\AppData\Local\Temp\OnboardLogs"\RTDC4043\2017-07-01 --exclude "*" --recursive --include "*20170701*" &amp; "%USERPROFILE%\Documents\GitHub\mrs-test-scripts\Headless Mode &amp; Sideloading\WalkAndUnGZ.bat" "%USERPROFILE%\AppData\Local\Temp\OnboardLogs"\RTDC4043\2017-07-01</v>
      </c>
      <c r="AF129" s="74" t="str">
        <f t="shared" si="44"/>
        <v>"C:\Program Files (x86)\AstroGrep\AstroGrep.exe" /e /r /s /spath="%USERPROFILE%\AppData\Local\Temp\OnboardLogs" /stypes="app*4043*20170701*" /stext=" 01:.+((SYSTEM_STATE.+slice.+state.+changed )|(ment ac)|(multiple cpu faults)|(system.+state.+changed )|(\[timeout)|(PRM\|1\|D)|(kpr)|(kdp)|(train st.+moving)|(\|lc)|(penalty))"</v>
      </c>
      <c r="AG129" s="209" t="str">
        <f t="shared" si="45"/>
        <v>EC</v>
      </c>
      <c r="AH129" s="78" t="str">
        <f t="shared" si="46"/>
        <v>"%USERPROFILE%\Documents\GitHub\eaglep3\Utilities\RefineRTDCRunTimes.py" --tripid 212-30 --locoid 4043 --swversion DE.1.0.9.0 --startMP 204:233099 --initTime 2017-06-30T18:22:34 --startdatetime 2017-06-30T18:27:14 --delay 1 --endMP 204:149 --enddatetime 2017-06-30T19:05:32 --enforcementcount 0 &gt;&gt;C:\Users\stu\Documents\GitHub\eaglep3-reporting\EC\2017-06-30-refined-times.txt</v>
      </c>
      <c r="AI129" s="96" t="str">
        <f t="shared" si="47"/>
        <v>echo {"issue":{"subject":"","project_id":79,"tracker_id":40,"status_id":1,"priority_id":2,"assigned_to_id":23,"start_date":"2017-06-30","description":"","custom_fields":[{"id":1,"name":"Subdivision","value":"EC"},{"id":4,"name":"Milepost","value":"0.0149"},{"id":17,"name":"Train ID","value":"212-30"},{"id":16,"name":"Locomotive ID","value":"4043"},{"id":130,"name":"Impact","value":""},{"id":150,"name":"Time of Event (Mountain Time)","value":"19:05:32"},{"id":151,"name":"Denver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48"/>
        <v>start /low /b %USERPROFILE%\Documents\GitHub\eaglep3\Utilities\DownloadLogsFromS3.py --loco 4043 --day 2017-06-30</v>
      </c>
      <c r="AN129" s="151" t="str">
        <f t="shared" si="4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01:05:32"},{"id":29,"name":"Sharepoint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626</v>
      </c>
      <c r="B130" s="7">
        <v>4032</v>
      </c>
      <c r="C130" s="21" t="s">
        <v>200</v>
      </c>
      <c r="D130" s="21" t="s">
        <v>352</v>
      </c>
      <c r="E130" s="13">
        <v>42916.735173611109</v>
      </c>
      <c r="F130" s="13">
        <v>42916.740243055552</v>
      </c>
      <c r="G130" s="7">
        <v>2</v>
      </c>
      <c r="H130" s="21" t="s">
        <v>910</v>
      </c>
      <c r="I130" s="13">
        <v>42916.764733796299</v>
      </c>
      <c r="J130" s="7">
        <v>0</v>
      </c>
      <c r="K130" s="89" t="str">
        <f t="shared" si="35"/>
        <v>4031/4032</v>
      </c>
      <c r="L130" s="21" t="str">
        <f>VLOOKUP(A130,'Trips&amp;Operators'!$C$1:$G$99999,5,FALSE)</f>
        <v>HELVIE ADAM</v>
      </c>
      <c r="M130" s="6">
        <f t="shared" si="36"/>
        <v>2.4490740746841766E-2</v>
      </c>
      <c r="N130" s="7">
        <f t="shared" si="54"/>
        <v>35.266666675452143</v>
      </c>
      <c r="O130" s="7"/>
      <c r="P130" s="7"/>
      <c r="Q130" s="22"/>
      <c r="R130" s="170"/>
      <c r="S130" s="213">
        <f t="shared" si="56"/>
        <v>1</v>
      </c>
      <c r="T130" s="195" t="str">
        <f t="shared" si="37"/>
        <v>NorthBound</v>
      </c>
      <c r="U130" s="19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6" t="str">
        <f t="shared" si="38"/>
        <v>https://d0f6bd738d7f1b3e5a7ca70fe4ff75f0.us-east-1.aws.found.io/app/kibana#/discover/Steve-Slow-Train-Analysis-(2080s-and-2083s)?_g=(refreshInterval:(display:Off,pause:!f,section:0,value:0),time:(from:'2017-06-30T16:38:39-0600',mode:absolute,to:'2017-06-30T19:21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30" s="197" t="str">
        <f>IF(AA130&lt;VLOOKUP(AG130,Variables!$AC$3:$AD$8,2,FALSE),"Y","N")</f>
        <v>N</v>
      </c>
      <c r="X130" s="197">
        <f t="shared" si="55"/>
        <v>1</v>
      </c>
      <c r="Y130" s="197">
        <f t="shared" ref="Y130:Y161" si="57">RIGHT(D130,LEN(D130)-4)/10000</f>
        <v>4.53E-2</v>
      </c>
      <c r="Z130" s="197">
        <f t="shared" ref="Z130:Z161" si="58">RIGHT(H130,LEN(H130)-4)/10000</f>
        <v>23.3185</v>
      </c>
      <c r="AA130" s="197">
        <f t="shared" si="41"/>
        <v>23.273199999999999</v>
      </c>
      <c r="AB130" s="54" t="e">
        <f>VLOOKUP(A130,Enforcements!$C$7:$K$13,8,0)</f>
        <v>#N/A</v>
      </c>
      <c r="AC130" s="51" t="e">
        <f>VLOOKUP(A130,Enforcements!$C$7:$E$13,3,0)</f>
        <v>#N/A</v>
      </c>
      <c r="AD130" s="206">
        <f t="shared" si="42"/>
        <v>213</v>
      </c>
      <c r="AE130" s="77" t="str">
        <f t="shared" si="43"/>
        <v>aws s3 cp s3://rtdc.mdm.uploadarchive.raw/RTDC4032/ "%USERPROFILE%\AppData\Local\Temp\OnboardLogs"\RTDC4032\2017-06-30 --exclude "*" --recursive --include "*20170630*" &amp; "%USERPROFILE%\Documents\GitHub\mrs-test-scripts\Headless Mode &amp; Sideloading\WalkAndUnGZ.bat" "%USERPROFILE%\AppData\Local\Temp\OnboardLogs"\RTDC4032\2017-06-30 &amp; aws s3 cp s3://rtdc.mdm.uploadarchive.raw/RTDC4032/ "%USERPROFILE%\AppData\Local\Temp\OnboardLogs"\RTDC4032\2017-07-01 --exclude "*" --recursive --include "*20170701*" &amp; "%USERPROFILE%\Documents\GitHub\mrs-test-scripts\Headless Mode &amp; Sideloading\WalkAndUnGZ.bat" "%USERPROFILE%\AppData\Local\Temp\OnboardLogs"\RTDC4032\2017-07-01</v>
      </c>
      <c r="AF130" s="74" t="str">
        <f t="shared" si="44"/>
        <v>"C:\Program Files (x86)\AstroGrep\AstroGrep.exe" /e /r /s /spath="%USERPROFILE%\AppData\Local\Temp\OnboardLogs" /stypes="app*4032*20170701*" /stext=" 00:.+((SYSTEM_STATE.+slice.+state.+changed )|(ment ac)|(multiple cpu faults)|(system.+state.+changed )|(\[timeout)|(PRM\|1\|D)|(kpr)|(kdp)|(train st.+moving)|(\|lc)|(penalty))"</v>
      </c>
      <c r="AG130" s="209" t="str">
        <f t="shared" si="45"/>
        <v>EC</v>
      </c>
      <c r="AH130" s="78" t="str">
        <f t="shared" si="46"/>
        <v>"%USERPROFILE%\Documents\GitHub\eaglep3\Utilities\RefineRTDCRunTimes.py" --tripid 213-30 --locoid 4032 --swversion DE.1.0.9.0 --startMP 204:453 --initTime 2017-06-30T17:38:39 --startdatetime 2017-06-30T17:45:57 --delay 2 --endMP 204:233185 --enddatetime 2017-06-30T18:21:13 --enforcementcount 0 &gt;&gt;C:\Users\stu\Documents\GitHub\eaglep3-reporting\EC\2017-06-30-refined-times.txt</v>
      </c>
      <c r="AI130" s="96" t="str">
        <f t="shared" si="47"/>
        <v>echo {"issue":{"subject":"","project_id":79,"tracker_id":40,"status_id":1,"priority_id":2,"assigned_to_id":23,"start_date":"2017-06-30","description":"","custom_fields":[{"id":1,"name":"Subdivision","value":"EC"},{"id":4,"name":"Milepost","value":"23.3185"},{"id":17,"name":"Train ID","value":"213-30"},{"id":16,"name":"Locomotive ID","value":"4032"},{"id":130,"name":"Impact","value":""},{"id":150,"name":"Time of Event (Mountain Time)","value":"18:21:13"},{"id":151,"name":"Denver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48"/>
        <v>start /low /b %USERPROFILE%\Documents\GitHub\eaglep3\Utilities\DownloadLogsFromS3.py --loco 4032 --day 2017-06-30</v>
      </c>
      <c r="AN130" s="151" t="str">
        <f t="shared" si="4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00:21:13"},{"id":29,"name":"Sharepoint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802</v>
      </c>
      <c r="B131" s="7">
        <v>4031</v>
      </c>
      <c r="C131" s="21" t="s">
        <v>200</v>
      </c>
      <c r="D131" s="21" t="s">
        <v>911</v>
      </c>
      <c r="E131" s="13">
        <v>42916.777858796297</v>
      </c>
      <c r="F131" s="13">
        <v>42916.779687499999</v>
      </c>
      <c r="G131" s="7">
        <v>1</v>
      </c>
      <c r="H131" s="21" t="s">
        <v>347</v>
      </c>
      <c r="I131" s="13">
        <v>42916.805798611109</v>
      </c>
      <c r="J131" s="7">
        <v>0</v>
      </c>
      <c r="K131" s="89" t="str">
        <f t="shared" si="35"/>
        <v>4031/4032</v>
      </c>
      <c r="L131" s="21" t="str">
        <f>VLOOKUP(A131,'Trips&amp;Operators'!$C$1:$G$99999,5,FALSE)</f>
        <v>HELVIE ADAM</v>
      </c>
      <c r="M131" s="6">
        <f t="shared" si="36"/>
        <v>2.6111111110367347E-2</v>
      </c>
      <c r="N131" s="7">
        <f t="shared" si="54"/>
        <v>37.599999998928979</v>
      </c>
      <c r="O131" s="7"/>
      <c r="P131" s="7"/>
      <c r="Q131" s="22"/>
      <c r="R131" s="170"/>
      <c r="S131" s="213">
        <f t="shared" si="56"/>
        <v>1</v>
      </c>
      <c r="T131" s="195" t="str">
        <f t="shared" si="37"/>
        <v>Southbound</v>
      </c>
      <c r="U131" s="19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6" t="str">
        <f t="shared" si="38"/>
        <v>https://d0f6bd738d7f1b3e5a7ca70fe4ff75f0.us-east-1.aws.found.io/app/kibana#/discover/Steve-Slow-Train-Analysis-(2080s-and-2083s)?_g=(refreshInterval:(display:Off,pause:!f,section:0,value:0),time:(from:'2017-06-30T17:40:07-0600',mode:absolute,to:'2017-06-30T20:20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31" s="197" t="str">
        <f>IF(AA131&lt;VLOOKUP(AG131,Variables!$AC$3:$AD$8,2,FALSE),"Y","N")</f>
        <v>N</v>
      </c>
      <c r="X131" s="197">
        <f t="shared" si="55"/>
        <v>1</v>
      </c>
      <c r="Y131" s="197">
        <f t="shared" si="57"/>
        <v>23.2864</v>
      </c>
      <c r="Z131" s="197">
        <f t="shared" si="58"/>
        <v>1.49E-2</v>
      </c>
      <c r="AA131" s="197">
        <f t="shared" si="41"/>
        <v>23.2715</v>
      </c>
      <c r="AB131" s="54" t="e">
        <f>VLOOKUP(A131,Enforcements!$C$7:$K$13,8,0)</f>
        <v>#N/A</v>
      </c>
      <c r="AC131" s="51" t="e">
        <f>VLOOKUP(A131,Enforcements!$C$7:$E$13,3,0)</f>
        <v>#N/A</v>
      </c>
      <c r="AD131" s="206">
        <f t="shared" si="42"/>
        <v>214</v>
      </c>
      <c r="AE131" s="77" t="str">
        <f t="shared" si="43"/>
        <v>aws s3 cp s3://rtdc.mdm.uploadarchive.raw/RTDC4031/ "%USERPROFILE%\AppData\Local\Temp\OnboardLogs"\RTDC4031\2017-06-30 --exclude "*" --recursive --include "*20170630*" &amp; "%USERPROFILE%\Documents\GitHub\mrs-test-scripts\Headless Mode &amp; Sideloading\WalkAndUnGZ.bat" "%USERPROFILE%\AppData\Local\Temp\OnboardLogs"\RTDC4031\2017-06-30 &amp; aws s3 cp s3://rtdc.mdm.uploadarchive.raw/RTDC4031/ "%USERPROFILE%\AppData\Local\Temp\OnboardLogs"\RTDC4031\2017-07-01 --exclude "*" --recursive --include "*20170701*" &amp; "%USERPROFILE%\Documents\GitHub\mrs-test-scripts\Headless Mode &amp; Sideloading\WalkAndUnGZ.bat" "%USERPROFILE%\AppData\Local\Temp\OnboardLogs"\RTDC4031\2017-07-01</v>
      </c>
      <c r="AF131" s="74" t="str">
        <f t="shared" si="44"/>
        <v>"C:\Program Files (x86)\AstroGrep\AstroGrep.exe" /e /r /s /spath="%USERPROFILE%\AppData\Local\Temp\OnboardLogs" /stypes="app*4031*20170701*" /stext=" 01:.+((SYSTEM_STATE.+slice.+state.+changed )|(ment ac)|(multiple cpu faults)|(system.+state.+changed )|(\[timeout)|(PRM\|1\|D)|(kpr)|(kdp)|(train st.+moving)|(\|lc)|(penalty))"</v>
      </c>
      <c r="AG131" s="209" t="str">
        <f t="shared" si="45"/>
        <v>EC</v>
      </c>
      <c r="AH131" s="78" t="str">
        <f t="shared" si="46"/>
        <v>"%USERPROFILE%\Documents\GitHub\eaglep3\Utilities\RefineRTDCRunTimes.py" --tripid 214-30 --locoid 4031 --swversion DE.1.0.9.0 --startMP 204:232864 --initTime 2017-06-30T18:40:07 --startdatetime 2017-06-30T18:42:45 --delay 1 --endMP 204:149 --enddatetime 2017-06-30T19:20:21 --enforcementcount 0 &gt;&gt;C:\Users\stu\Documents\GitHub\eaglep3-reporting\EC\2017-06-30-refined-times.txt</v>
      </c>
      <c r="AI131" s="96" t="str">
        <f t="shared" si="47"/>
        <v>echo {"issue":{"subject":"","project_id":79,"tracker_id":40,"status_id":1,"priority_id":2,"assigned_to_id":23,"start_date":"2017-06-30","description":"","custom_fields":[{"id":1,"name":"Subdivision","value":"EC"},{"id":4,"name":"Milepost","value":"0.0149"},{"id":17,"name":"Train ID","value":"214-30"},{"id":16,"name":"Locomotive ID","value":"4031"},{"id":130,"name":"Impact","value":""},{"id":150,"name":"Time of Event (Mountain Time)","value":"19:20:21"},{"id":151,"name":"Denver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48"/>
        <v>start /low /b %USERPROFILE%\Documents\GitHub\eaglep3\Utilities\DownloadLogsFromS3.py --loco 4031 --day 2017-06-30</v>
      </c>
      <c r="AN131" s="151" t="str">
        <f t="shared" si="4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01:20:21"},{"id":29,"name":"Sharepoint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623</v>
      </c>
      <c r="B132" s="7">
        <v>4040</v>
      </c>
      <c r="C132" s="21" t="s">
        <v>200</v>
      </c>
      <c r="D132" s="21" t="s">
        <v>353</v>
      </c>
      <c r="E132" s="13">
        <v>42916.747557870367</v>
      </c>
      <c r="F132" s="13">
        <v>42916.750648148147</v>
      </c>
      <c r="G132" s="7">
        <v>1</v>
      </c>
      <c r="H132" s="21" t="s">
        <v>912</v>
      </c>
      <c r="I132" s="13">
        <v>42916.776238425926</v>
      </c>
      <c r="J132" s="7">
        <v>0</v>
      </c>
      <c r="K132" s="89" t="str">
        <f t="shared" si="35"/>
        <v>4039/4040</v>
      </c>
      <c r="L132" s="21" t="str">
        <f>VLOOKUP(A132,'Trips&amp;Operators'!$C$1:$G$99999,5,FALSE)</f>
        <v>HOLCOMB KAMDEN</v>
      </c>
      <c r="M132" s="6">
        <f t="shared" si="36"/>
        <v>2.5590277778974269E-2</v>
      </c>
      <c r="N132" s="7">
        <f t="shared" si="54"/>
        <v>36.850000001722947</v>
      </c>
      <c r="O132" s="7"/>
      <c r="P132" s="7"/>
      <c r="Q132" s="22"/>
      <c r="R132" s="170"/>
      <c r="S132" s="213">
        <f t="shared" si="56"/>
        <v>1</v>
      </c>
      <c r="T132" s="195" t="str">
        <f t="shared" si="37"/>
        <v>NorthBound</v>
      </c>
      <c r="U132" s="19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6" t="str">
        <f t="shared" si="38"/>
        <v>https://d0f6bd738d7f1b3e5a7ca70fe4ff75f0.us-east-1.aws.found.io/app/kibana#/discover/Steve-Slow-Train-Analysis-(2080s-and-2083s)?_g=(refreshInterval:(display:Off,pause:!f,section:0,value:0),time:(from:'2017-06-30T16:56:29-0600',mode:absolute,to:'2017-06-30T19:37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32" s="197" t="str">
        <f>IF(AA132&lt;VLOOKUP(AG132,Variables!$AC$3:$AD$8,2,FALSE),"Y","N")</f>
        <v>N</v>
      </c>
      <c r="X132" s="197">
        <f t="shared" si="55"/>
        <v>1</v>
      </c>
      <c r="Y132" s="197">
        <f t="shared" si="57"/>
        <v>4.4699999999999997E-2</v>
      </c>
      <c r="Z132" s="197">
        <f t="shared" si="58"/>
        <v>23.327999999999999</v>
      </c>
      <c r="AA132" s="197">
        <f t="shared" si="41"/>
        <v>23.283300000000001</v>
      </c>
      <c r="AB132" s="54" t="e">
        <f>VLOOKUP(A132,Enforcements!$C$7:$K$13,8,0)</f>
        <v>#N/A</v>
      </c>
      <c r="AC132" s="51" t="e">
        <f>VLOOKUP(A132,Enforcements!$C$7:$E$13,3,0)</f>
        <v>#N/A</v>
      </c>
      <c r="AD132" s="206">
        <f t="shared" si="42"/>
        <v>215</v>
      </c>
      <c r="AE132" s="77" t="str">
        <f t="shared" si="43"/>
        <v>aws s3 cp s3://rtdc.mdm.uploadarchive.raw/RTDC4040/ "%USERPROFILE%\AppData\Local\Temp\OnboardLogs"\RTDC4040\2017-06-30 --exclude "*" --recursive --include "*20170630*" &amp; "%USERPROFILE%\Documents\GitHub\mrs-test-scripts\Headless Mode &amp; Sideloading\WalkAndUnGZ.bat" "%USERPROFILE%\AppData\Local\Temp\OnboardLogs"\RTDC4040\2017-06-30 &amp; aws s3 cp s3://rtdc.mdm.uploadarchive.raw/RTDC4040/ "%USERPROFILE%\AppData\Local\Temp\OnboardLogs"\RTDC4040\2017-07-01 --exclude "*" --recursive --include "*20170701*" &amp; "%USERPROFILE%\Documents\GitHub\mrs-test-scripts\Headless Mode &amp; Sideloading\WalkAndUnGZ.bat" "%USERPROFILE%\AppData\Local\Temp\OnboardLogs"\RTDC4040\2017-07-01</v>
      </c>
      <c r="AF132" s="74" t="str">
        <f t="shared" si="44"/>
        <v>"C:\Program Files (x86)\AstroGrep\AstroGrep.exe" /e /r /s /spath="%USERPROFILE%\AppData\Local\Temp\OnboardLogs" /stypes="app*4040*20170701*" /stext=" 00:.+((SYSTEM_STATE.+slice.+state.+changed )|(ment ac)|(multiple cpu faults)|(system.+state.+changed )|(\[timeout)|(PRM\|1\|D)|(kpr)|(kdp)|(train st.+moving)|(\|lc)|(penalty))"</v>
      </c>
      <c r="AG132" s="209" t="str">
        <f t="shared" si="45"/>
        <v>EC</v>
      </c>
      <c r="AH132" s="78" t="str">
        <f t="shared" si="46"/>
        <v>"%USERPROFILE%\Documents\GitHub\eaglep3\Utilities\RefineRTDCRunTimes.py" --tripid 215-30 --locoid 4040 --swversion DE.1.0.9.0 --startMP 204:447 --initTime 2017-06-30T17:56:29 --startdatetime 2017-06-30T18:00:56 --delay 1 --endMP 204:233280 --enddatetime 2017-06-30T18:37:47 --enforcementcount 0 &gt;&gt;C:\Users\stu\Documents\GitHub\eaglep3-reporting\EC\2017-06-30-refined-times.txt</v>
      </c>
      <c r="AI132" s="96" t="str">
        <f t="shared" si="47"/>
        <v>echo {"issue":{"subject":"","project_id":79,"tracker_id":40,"status_id":1,"priority_id":2,"assigned_to_id":23,"start_date":"2017-06-30","description":"","custom_fields":[{"id":1,"name":"Subdivision","value":"EC"},{"id":4,"name":"Milepost","value":"23.328"},{"id":17,"name":"Train ID","value":"215-30"},{"id":16,"name":"Locomotive ID","value":"4040"},{"id":130,"name":"Impact","value":""},{"id":150,"name":"Time of Event (Mountain Time)","value":"18:37:47"},{"id":151,"name":"Denver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48"/>
        <v>start /low /b %USERPROFILE%\Documents\GitHub\eaglep3\Utilities\DownloadLogsFromS3.py --loco 4040 --day 2017-06-30</v>
      </c>
      <c r="AN132" s="151" t="str">
        <f t="shared" si="4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00:37:47"},{"id":29,"name":"Sharepoint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630</v>
      </c>
      <c r="B133" s="7">
        <v>4039</v>
      </c>
      <c r="C133" s="21" t="s">
        <v>200</v>
      </c>
      <c r="D133" s="21" t="s">
        <v>906</v>
      </c>
      <c r="E133" s="13">
        <v>42916.786736111113</v>
      </c>
      <c r="F133" s="13">
        <v>42916.789884259262</v>
      </c>
      <c r="G133" s="7">
        <v>1</v>
      </c>
      <c r="H133" s="21" t="s">
        <v>417</v>
      </c>
      <c r="I133" s="13">
        <v>42916.817407407405</v>
      </c>
      <c r="J133" s="7">
        <v>0</v>
      </c>
      <c r="K133" s="89" t="str">
        <f t="shared" si="35"/>
        <v>4039/4040</v>
      </c>
      <c r="L133" s="21" t="str">
        <f>VLOOKUP(A133,'Trips&amp;Operators'!$C$1:$G$99999,5,FALSE)</f>
        <v>HOLCOMB KAMDEN</v>
      </c>
      <c r="M133" s="6">
        <f t="shared" si="36"/>
        <v>2.7523148142790888E-2</v>
      </c>
      <c r="N133" s="7">
        <f t="shared" si="54"/>
        <v>39.633333325618878</v>
      </c>
      <c r="O133" s="7"/>
      <c r="P133" s="7"/>
      <c r="Q133" s="22"/>
      <c r="R133" s="170"/>
      <c r="S133" s="213">
        <f t="shared" si="56"/>
        <v>1</v>
      </c>
      <c r="T133" s="195" t="str">
        <f t="shared" si="37"/>
        <v>Southbound</v>
      </c>
      <c r="U133" s="19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6" t="str">
        <f t="shared" si="38"/>
        <v>https://d0f6bd738d7f1b3e5a7ca70fe4ff75f0.us-east-1.aws.found.io/app/kibana#/discover/Steve-Slow-Train-Analysis-(2080s-and-2083s)?_g=(refreshInterval:(display:Off,pause:!f,section:0,value:0),time:(from:'2017-06-30T17:52:54-0600',mode:absolute,to:'2017-06-30T20:37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33" s="197" t="str">
        <f>IF(AA133&lt;VLOOKUP(AG133,Variables!$AC$3:$AD$8,2,FALSE),"Y","N")</f>
        <v>N</v>
      </c>
      <c r="X133" s="197">
        <f t="shared" si="55"/>
        <v>1</v>
      </c>
      <c r="Y133" s="197">
        <f t="shared" si="57"/>
        <v>23.2957</v>
      </c>
      <c r="Z133" s="197">
        <f t="shared" si="58"/>
        <v>1.38E-2</v>
      </c>
      <c r="AA133" s="197">
        <f t="shared" si="41"/>
        <v>23.2819</v>
      </c>
      <c r="AB133" s="54" t="e">
        <f>VLOOKUP(A133,Enforcements!$C$7:$K$13,8,0)</f>
        <v>#N/A</v>
      </c>
      <c r="AC133" s="51" t="e">
        <f>VLOOKUP(A133,Enforcements!$C$7:$E$13,3,0)</f>
        <v>#N/A</v>
      </c>
      <c r="AD133" s="206">
        <f t="shared" si="42"/>
        <v>216</v>
      </c>
      <c r="AE133" s="77" t="str">
        <f t="shared" si="43"/>
        <v>aws s3 cp s3://rtdc.mdm.uploadarchive.raw/RTDC4039/ "%USERPROFILE%\AppData\Local\Temp\OnboardLogs"\RTDC4039\2017-06-30 --exclude "*" --recursive --include "*20170630*" &amp; "%USERPROFILE%\Documents\GitHub\mrs-test-scripts\Headless Mode &amp; Sideloading\WalkAndUnGZ.bat" "%USERPROFILE%\AppData\Local\Temp\OnboardLogs"\RTDC4039\2017-06-30 &amp; aws s3 cp s3://rtdc.mdm.uploadarchive.raw/RTDC4039/ "%USERPROFILE%\AppData\Local\Temp\OnboardLogs"\RTDC4039\2017-07-01 --exclude "*" --recursive --include "*20170701*" &amp; "%USERPROFILE%\Documents\GitHub\mrs-test-scripts\Headless Mode &amp; Sideloading\WalkAndUnGZ.bat" "%USERPROFILE%\AppData\Local\Temp\OnboardLogs"\RTDC4039\2017-07-01</v>
      </c>
      <c r="AF133" s="74" t="str">
        <f t="shared" si="44"/>
        <v>"C:\Program Files (x86)\AstroGrep\AstroGrep.exe" /e /r /s /spath="%USERPROFILE%\AppData\Local\Temp\OnboardLogs" /stypes="app*4039*20170701*" /stext=" 01:.+((SYSTEM_STATE.+slice.+state.+changed )|(ment ac)|(multiple cpu faults)|(system.+state.+changed )|(\[timeout)|(PRM\|1\|D)|(kpr)|(kdp)|(train st.+moving)|(\|lc)|(penalty))"</v>
      </c>
      <c r="AG133" s="209" t="str">
        <f t="shared" si="45"/>
        <v>EC</v>
      </c>
      <c r="AH133" s="78" t="str">
        <f t="shared" si="46"/>
        <v>"%USERPROFILE%\Documents\GitHub\eaglep3\Utilities\RefineRTDCRunTimes.py" --tripid 216-30 --locoid 4039 --swversion DE.1.0.9.0 --startMP 204:232957 --initTime 2017-06-30T18:52:54 --startdatetime 2017-06-30T18:57:26 --delay 1 --endMP 204:138 --enddatetime 2017-06-30T19:37:04 --enforcementcount 0 &gt;&gt;C:\Users\stu\Documents\GitHub\eaglep3-reporting\EC\2017-06-30-refined-times.txt</v>
      </c>
      <c r="AI133" s="96" t="str">
        <f t="shared" si="47"/>
        <v>echo {"issue":{"subject":"","project_id":79,"tracker_id":40,"status_id":1,"priority_id":2,"assigned_to_id":23,"start_date":"2017-06-30","description":"","custom_fields":[{"id":1,"name":"Subdivision","value":"EC"},{"id":4,"name":"Milepost","value":"0.0138"},{"id":17,"name":"Train ID","value":"216-30"},{"id":16,"name":"Locomotive ID","value":"4039"},{"id":130,"name":"Impact","value":""},{"id":150,"name":"Time of Event (Mountain Time)","value":"19:37:04"},{"id":151,"name":"Denver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48"/>
        <v>start /low /b %USERPROFILE%\Documents\GitHub\eaglep3\Utilities\DownloadLogsFromS3.py --loco 4039 --day 2017-06-30</v>
      </c>
      <c r="AN133" s="151" t="str">
        <f t="shared" si="4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01:37:04"},{"id":29,"name":"Sharepoint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625</v>
      </c>
      <c r="B134" s="7">
        <v>4042</v>
      </c>
      <c r="C134" s="21" t="s">
        <v>200</v>
      </c>
      <c r="D134" s="21" t="s">
        <v>352</v>
      </c>
      <c r="E134" s="13">
        <v>42916.757094907407</v>
      </c>
      <c r="F134" s="13">
        <v>42916.761041666665</v>
      </c>
      <c r="G134" s="7">
        <v>2</v>
      </c>
      <c r="H134" s="21" t="s">
        <v>869</v>
      </c>
      <c r="I134" s="13">
        <v>42916.78670138889</v>
      </c>
      <c r="J134" s="7">
        <v>0</v>
      </c>
      <c r="K134" s="89" t="str">
        <f t="shared" si="35"/>
        <v>4041/4042</v>
      </c>
      <c r="L134" s="21" t="str">
        <f>VLOOKUP(A134,'Trips&amp;Operators'!$C$1:$G$99999,5,FALSE)</f>
        <v>PERKINS DARREN</v>
      </c>
      <c r="M134" s="6">
        <f t="shared" si="36"/>
        <v>2.5659722225100268E-2</v>
      </c>
      <c r="N134" s="7">
        <f t="shared" si="54"/>
        <v>36.950000004144385</v>
      </c>
      <c r="O134" s="7"/>
      <c r="P134" s="7"/>
      <c r="Q134" s="22"/>
      <c r="R134" s="170"/>
      <c r="S134" s="213">
        <f t="shared" si="56"/>
        <v>1</v>
      </c>
      <c r="T134" s="195" t="str">
        <f t="shared" si="37"/>
        <v>NorthBound</v>
      </c>
      <c r="U134" s="19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6" t="str">
        <f t="shared" si="38"/>
        <v>https://d0f6bd738d7f1b3e5a7ca70fe4ff75f0.us-east-1.aws.found.io/app/kibana#/discover/Steve-Slow-Train-Analysis-(2080s-and-2083s)?_g=(refreshInterval:(display:Off,pause:!f,section:0,value:0),time:(from:'2017-06-30T17:10:13-0600',mode:absolute,to:'2017-06-30T19:52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4" s="197" t="str">
        <f>IF(AA134&lt;VLOOKUP(AG134,Variables!$AC$3:$AD$8,2,FALSE),"Y","N")</f>
        <v>N</v>
      </c>
      <c r="X134" s="197">
        <f t="shared" si="55"/>
        <v>1</v>
      </c>
      <c r="Y134" s="197">
        <f t="shared" si="57"/>
        <v>4.53E-2</v>
      </c>
      <c r="Z134" s="197">
        <f t="shared" si="58"/>
        <v>23.334900000000001</v>
      </c>
      <c r="AA134" s="197">
        <f t="shared" si="41"/>
        <v>23.2896</v>
      </c>
      <c r="AB134" s="54" t="e">
        <f>VLOOKUP(A134,Enforcements!$C$7:$K$13,8,0)</f>
        <v>#N/A</v>
      </c>
      <c r="AC134" s="51" t="e">
        <f>VLOOKUP(A134,Enforcements!$C$7:$E$13,3,0)</f>
        <v>#N/A</v>
      </c>
      <c r="AD134" s="206">
        <f t="shared" si="42"/>
        <v>217</v>
      </c>
      <c r="AE134" s="77" t="str">
        <f t="shared" si="43"/>
        <v>aws s3 cp s3://rtdc.mdm.uploadarchive.raw/RTDC4042/ "%USERPROFILE%\AppData\Local\Temp\OnboardLogs"\RTDC4042\2017-06-30 --exclude "*" --recursive --include "*20170630*" &amp; "%USERPROFILE%\Documents\GitHub\mrs-test-scripts\Headless Mode &amp; Sideloading\WalkAndUnGZ.bat" "%USERPROFILE%\AppData\Local\Temp\OnboardLogs"\RTDC4042\2017-06-30 &amp; aws s3 cp s3://rtdc.mdm.uploadarchive.raw/RTDC4042/ "%USERPROFILE%\AppData\Local\Temp\OnboardLogs"\RTDC4042\2017-07-01 --exclude "*" --recursive --include "*20170701*" &amp; "%USERPROFILE%\Documents\GitHub\mrs-test-scripts\Headless Mode &amp; Sideloading\WalkAndUnGZ.bat" "%USERPROFILE%\AppData\Local\Temp\OnboardLogs"\RTDC4042\2017-07-01</v>
      </c>
      <c r="AF134" s="74" t="str">
        <f t="shared" si="44"/>
        <v>"C:\Program Files (x86)\AstroGrep\AstroGrep.exe" /e /r /s /spath="%USERPROFILE%\AppData\Local\Temp\OnboardLogs" /stypes="app*4042*20170701*" /stext=" 00:.+((SYSTEM_STATE.+slice.+state.+changed )|(ment ac)|(multiple cpu faults)|(system.+state.+changed )|(\[timeout)|(PRM\|1\|D)|(kpr)|(kdp)|(train st.+moving)|(\|lc)|(penalty))"</v>
      </c>
      <c r="AG134" s="209" t="str">
        <f t="shared" si="45"/>
        <v>EC</v>
      </c>
      <c r="AH134" s="78" t="str">
        <f t="shared" si="46"/>
        <v>"%USERPROFILE%\Documents\GitHub\eaglep3\Utilities\RefineRTDCRunTimes.py" --tripid 217-30 --locoid 4042 --swversion DE.1.0.9.0 --startMP 204:453 --initTime 2017-06-30T18:10:13 --startdatetime 2017-06-30T18:15:54 --delay 2 --endMP 204:233349 --enddatetime 2017-06-30T18:52:51 --enforcementcount 0 &gt;&gt;C:\Users\stu\Documents\GitHub\eaglep3-reporting\EC\2017-06-30-refined-times.txt</v>
      </c>
      <c r="AI134" s="96" t="str">
        <f t="shared" si="47"/>
        <v>echo {"issue":{"subject":"","project_id":79,"tracker_id":40,"status_id":1,"priority_id":2,"assigned_to_id":23,"start_date":"2017-06-30","description":"","custom_fields":[{"id":1,"name":"Subdivision","value":"EC"},{"id":4,"name":"Milepost","value":"23.3349"},{"id":17,"name":"Train ID","value":"217-30"},{"id":16,"name":"Locomotive ID","value":"4042"},{"id":130,"name":"Impact","value":""},{"id":150,"name":"Time of Event (Mountain Time)","value":"18:52:51"},{"id":151,"name":"Denver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48"/>
        <v>start /low /b %USERPROFILE%\Documents\GitHub\eaglep3\Utilities\DownloadLogsFromS3.py --loco 4042 --day 2017-06-30</v>
      </c>
      <c r="AN134" s="151" t="str">
        <f t="shared" si="4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00:52:51"},{"id":29,"name":"Sharepoint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632</v>
      </c>
      <c r="B135" s="7">
        <v>4041</v>
      </c>
      <c r="C135" s="21" t="s">
        <v>200</v>
      </c>
      <c r="D135" s="21" t="s">
        <v>913</v>
      </c>
      <c r="E135" s="13">
        <v>42916.789537037039</v>
      </c>
      <c r="F135" s="13">
        <v>42916.80023148148</v>
      </c>
      <c r="G135" s="7">
        <v>1</v>
      </c>
      <c r="H135" s="21" t="s">
        <v>914</v>
      </c>
      <c r="I135" s="13">
        <v>42916.826655092591</v>
      </c>
      <c r="J135" s="7">
        <v>0</v>
      </c>
      <c r="K135" s="89" t="str">
        <f t="shared" si="35"/>
        <v>4041/4042</v>
      </c>
      <c r="L135" s="21" t="str">
        <f>VLOOKUP(A135,'Trips&amp;Operators'!$C$1:$G$99999,5,FALSE)</f>
        <v>PERKINS DARREN</v>
      </c>
      <c r="M135" s="6">
        <f t="shared" si="36"/>
        <v>2.6423611110658385E-2</v>
      </c>
      <c r="N135" s="7">
        <f t="shared" si="54"/>
        <v>38.049999999348074</v>
      </c>
      <c r="O135" s="7"/>
      <c r="P135" s="7"/>
      <c r="Q135" s="22"/>
      <c r="R135" s="170"/>
      <c r="S135" s="213">
        <f t="shared" si="56"/>
        <v>1</v>
      </c>
      <c r="T135" s="195" t="str">
        <f t="shared" si="37"/>
        <v>Southbound</v>
      </c>
      <c r="U135" s="19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6" t="str">
        <f t="shared" si="38"/>
        <v>https://d0f6bd738d7f1b3e5a7ca70fe4ff75f0.us-east-1.aws.found.io/app/kibana#/discover/Steve-Slow-Train-Analysis-(2080s-and-2083s)?_g=(refreshInterval:(display:Off,pause:!f,section:0,value:0),time:(from:'2017-06-30T17:56:56-0600',mode:absolute,to:'2017-06-30T20:50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35" s="197" t="str">
        <f>IF(AA135&lt;VLOOKUP(AG135,Variables!$AC$3:$AD$8,2,FALSE),"Y","N")</f>
        <v>N</v>
      </c>
      <c r="X135" s="197">
        <f t="shared" si="55"/>
        <v>1</v>
      </c>
      <c r="Y135" s="197">
        <f t="shared" si="57"/>
        <v>23.2987</v>
      </c>
      <c r="Z135" s="197">
        <f t="shared" si="58"/>
        <v>1.9099999999999999E-2</v>
      </c>
      <c r="AA135" s="197">
        <f t="shared" si="41"/>
        <v>23.279599999999999</v>
      </c>
      <c r="AB135" s="54" t="str">
        <f>VLOOKUP(A135,Enforcements!$C$7:$K$13,8,0)</f>
        <v>Bulletin (2)</v>
      </c>
      <c r="AC135" s="51" t="str">
        <f>VLOOKUP(A135,Enforcements!$C$7:$E$13,3,0)</f>
        <v>GRADE CROSSING</v>
      </c>
      <c r="AD135" s="206">
        <f t="shared" si="42"/>
        <v>218</v>
      </c>
      <c r="AE135" s="77" t="str">
        <f t="shared" si="43"/>
        <v>aws s3 cp s3://rtdc.mdm.uploadarchive.raw/RTDC4041/ "%USERPROFILE%\AppData\Local\Temp\OnboardLogs"\RTDC4041\2017-06-30 --exclude "*" --recursive --include "*20170630*" &amp; "%USERPROFILE%\Documents\GitHub\mrs-test-scripts\Headless Mode &amp; Sideloading\WalkAndUnGZ.bat" "%USERPROFILE%\AppData\Local\Temp\OnboardLogs"\RTDC4041\2017-06-30 &amp; aws s3 cp s3://rtdc.mdm.uploadarchive.raw/RTDC4041/ "%USERPROFILE%\AppData\Local\Temp\OnboardLogs"\RTDC4041\2017-07-01 --exclude "*" --recursive --include "*20170701*" &amp; "%USERPROFILE%\Documents\GitHub\mrs-test-scripts\Headless Mode &amp; Sideloading\WalkAndUnGZ.bat" "%USERPROFILE%\AppData\Local\Temp\OnboardLogs"\RTDC4041\2017-07-01</v>
      </c>
      <c r="AF135" s="74" t="str">
        <f t="shared" si="44"/>
        <v>"C:\Program Files (x86)\AstroGrep\AstroGrep.exe" /e /r /s /spath="%USERPROFILE%\AppData\Local\Temp\OnboardLogs" /stypes="app*4041*20170701*" /stext=" 01:.+((SYSTEM_STATE.+slice.+state.+changed )|(ment ac)|(multiple cpu faults)|(system.+state.+changed )|(\[timeout)|(PRM\|1\|D)|(kpr)|(kdp)|(train st.+moving)|(\|lc)|(penalty))"</v>
      </c>
      <c r="AG135" s="209" t="str">
        <f t="shared" si="45"/>
        <v>EC</v>
      </c>
      <c r="AH135" s="78" t="str">
        <f t="shared" si="46"/>
        <v>"%USERPROFILE%\Documents\GitHub\eaglep3\Utilities\RefineRTDCRunTimes.py" --tripid 218-30 --locoid 4041 --swversion DE.1.0.9.0 --startMP 204:232987 --initTime 2017-06-30T18:56:56 --startdatetime 2017-06-30T19:12:20 --delay 1 --endMP 204:191 --enddatetime 2017-06-30T19:50:23 --enforcementcount 0 &gt;&gt;C:\Users\stu\Documents\GitHub\eaglep3-reporting\EC\2017-06-30-refined-times.txt</v>
      </c>
      <c r="AI135" s="96" t="str">
        <f t="shared" si="47"/>
        <v>echo {"issue":{"subject":"","project_id":79,"tracker_id":40,"status_id":1,"priority_id":2,"assigned_to_id":23,"start_date":"2017-06-30","description":"","custom_fields":[{"id":1,"name":"Subdivision","value":"EC"},{"id":4,"name":"Milepost","value":"0.0191"},{"id":17,"name":"Train ID","value":"218-30"},{"id":16,"name":"Locomotive ID","value":"4041"},{"id":130,"name":"Impact","value":""},{"id":150,"name":"Time of Event (Mountain Time)","value":"19:50:23"},{"id":151,"name":"Denver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48"/>
        <v>start /low /b %USERPROFILE%\Documents\GitHub\eaglep3\Utilities\DownloadLogsFromS3.py --loco 4041 --day 2017-06-30</v>
      </c>
      <c r="AN135" s="151" t="str">
        <f t="shared" si="4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01:50:23"},{"id":29,"name":"Sharepoint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629</v>
      </c>
      <c r="B136" s="7">
        <v>4002</v>
      </c>
      <c r="C136" s="21" t="s">
        <v>200</v>
      </c>
      <c r="D136" s="21" t="s">
        <v>352</v>
      </c>
      <c r="E136" s="13">
        <v>42916.766932870371</v>
      </c>
      <c r="F136" s="13">
        <v>42916.771539351852</v>
      </c>
      <c r="G136" s="7">
        <v>2</v>
      </c>
      <c r="H136" s="21" t="s">
        <v>915</v>
      </c>
      <c r="I136" s="13">
        <v>42916.796979166669</v>
      </c>
      <c r="J136" s="7">
        <v>0</v>
      </c>
      <c r="K136" s="89" t="str">
        <f t="shared" si="35"/>
        <v>4001/4002</v>
      </c>
      <c r="L136" s="21" t="str">
        <f>VLOOKUP(A136,'Trips&amp;Operators'!$C$1:$G$99999,5,FALSE)</f>
        <v>FORTUNATO FRANK</v>
      </c>
      <c r="M136" s="6">
        <f t="shared" si="36"/>
        <v>2.5439814817218576E-2</v>
      </c>
      <c r="N136" s="7">
        <f t="shared" si="54"/>
        <v>36.633333336794749</v>
      </c>
      <c r="O136" s="7"/>
      <c r="P136" s="7"/>
      <c r="Q136" s="22"/>
      <c r="R136" s="170"/>
      <c r="S136" s="213">
        <f t="shared" si="56"/>
        <v>1</v>
      </c>
      <c r="T136" s="195" t="str">
        <f t="shared" si="37"/>
        <v>NorthBound</v>
      </c>
      <c r="U136" s="19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6" t="str">
        <f t="shared" si="38"/>
        <v>https://d0f6bd738d7f1b3e5a7ca70fe4ff75f0.us-east-1.aws.found.io/app/kibana#/discover/Steve-Slow-Train-Analysis-(2080s-and-2083s)?_g=(refreshInterval:(display:Off,pause:!f,section:0,value:0),time:(from:'2017-06-30T17:24:23-0600',mode:absolute,to:'2017-06-30T20:07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36" s="197" t="str">
        <f>IF(AA136&lt;VLOOKUP(AG136,Variables!$AC$3:$AD$8,2,FALSE),"Y","N")</f>
        <v>N</v>
      </c>
      <c r="X136" s="197">
        <f t="shared" si="55"/>
        <v>1</v>
      </c>
      <c r="Y136" s="197">
        <f t="shared" si="57"/>
        <v>4.53E-2</v>
      </c>
      <c r="Z136" s="197">
        <f t="shared" si="58"/>
        <v>23.3355</v>
      </c>
      <c r="AA136" s="197">
        <f t="shared" si="41"/>
        <v>23.290199999999999</v>
      </c>
      <c r="AB136" s="54" t="e">
        <f>VLOOKUP(A136,Enforcements!$C$7:$K$13,8,0)</f>
        <v>#N/A</v>
      </c>
      <c r="AC136" s="51" t="e">
        <f>VLOOKUP(A136,Enforcements!$C$7:$E$13,3,0)</f>
        <v>#N/A</v>
      </c>
      <c r="AD136" s="206">
        <f t="shared" si="42"/>
        <v>219</v>
      </c>
      <c r="AE136" s="77" t="str">
        <f t="shared" si="43"/>
        <v>aws s3 cp s3://rtdc.mdm.uploadarchive.raw/RTDC4002/ "%USERPROFILE%\AppData\Local\Temp\OnboardLogs"\RTDC4002\2017-06-30 --exclude "*" --recursive --include "*20170630*" &amp; "%USERPROFILE%\Documents\GitHub\mrs-test-scripts\Headless Mode &amp; Sideloading\WalkAndUnGZ.bat" "%USERPROFILE%\AppData\Local\Temp\OnboardLogs"\RTDC4002\2017-06-30 &amp; aws s3 cp s3://rtdc.mdm.uploadarchive.raw/RTDC4002/ "%USERPROFILE%\AppData\Local\Temp\OnboardLogs"\RTDC4002\2017-07-01 --exclude "*" --recursive --include "*20170701*" &amp; "%USERPROFILE%\Documents\GitHub\mrs-test-scripts\Headless Mode &amp; Sideloading\WalkAndUnGZ.bat" "%USERPROFILE%\AppData\Local\Temp\OnboardLogs"\RTDC4002\2017-07-01</v>
      </c>
      <c r="AF136" s="74" t="str">
        <f t="shared" si="44"/>
        <v>"C:\Program Files (x86)\AstroGrep\AstroGrep.exe" /e /r /s /spath="%USERPROFILE%\AppData\Local\Temp\OnboardLogs" /stypes="app*4002*20170701*" /stext=" 01:.+((SYSTEM_STATE.+slice.+state.+changed )|(ment ac)|(multiple cpu faults)|(system.+state.+changed )|(\[timeout)|(PRM\|1\|D)|(kpr)|(kdp)|(train st.+moving)|(\|lc)|(penalty))"</v>
      </c>
      <c r="AG136" s="209" t="str">
        <f t="shared" si="45"/>
        <v>EC</v>
      </c>
      <c r="AH136" s="78" t="str">
        <f t="shared" si="46"/>
        <v>"%USERPROFILE%\Documents\GitHub\eaglep3\Utilities\RefineRTDCRunTimes.py" --tripid 219-30 --locoid 4002 --swversion DE.1.0.9.0 --startMP 204:453 --initTime 2017-06-30T18:24:23 --startdatetime 2017-06-30T18:31:01 --delay 2 --endMP 204:233355 --enddatetime 2017-06-30T19:07:39 --enforcementcount 0 &gt;&gt;C:\Users\stu\Documents\GitHub\eaglep3-reporting\EC\2017-06-30-refined-times.txt</v>
      </c>
      <c r="AI136" s="96" t="str">
        <f t="shared" si="47"/>
        <v>echo {"issue":{"subject":"","project_id":79,"tracker_id":40,"status_id":1,"priority_id":2,"assigned_to_id":23,"start_date":"2017-06-30","description":"","custom_fields":[{"id":1,"name":"Subdivision","value":"EC"},{"id":4,"name":"Milepost","value":"23.3355"},{"id":17,"name":"Train ID","value":"219-30"},{"id":16,"name":"Locomotive ID","value":"4002"},{"id":130,"name":"Impact","value":""},{"id":150,"name":"Time of Event (Mountain Time)","value":"19:07:39"},{"id":151,"name":"Denver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48"/>
        <v>start /low /b %USERPROFILE%\Documents\GitHub\eaglep3\Utilities\DownloadLogsFromS3.py --loco 4002 --day 2017-06-30</v>
      </c>
      <c r="AN136" s="151" t="str">
        <f t="shared" si="4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01:07:39"},{"id":29,"name":"Sharepoint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806</v>
      </c>
      <c r="B137" s="7">
        <v>4001</v>
      </c>
      <c r="C137" s="21" t="s">
        <v>200</v>
      </c>
      <c r="D137" s="21" t="s">
        <v>916</v>
      </c>
      <c r="E137" s="13">
        <v>42916.805266203701</v>
      </c>
      <c r="F137" s="13">
        <v>42916.810682870368</v>
      </c>
      <c r="G137" s="7">
        <v>2</v>
      </c>
      <c r="H137" s="21" t="s">
        <v>887</v>
      </c>
      <c r="I137" s="13">
        <v>42916.837152777778</v>
      </c>
      <c r="J137" s="7">
        <v>0</v>
      </c>
      <c r="K137" s="89" t="str">
        <f t="shared" si="35"/>
        <v>4001/4002</v>
      </c>
      <c r="L137" s="21" t="str">
        <f>VLOOKUP(A137,'Trips&amp;Operators'!$C$1:$G$99999,5,FALSE)</f>
        <v>FORTUNATO FRANK</v>
      </c>
      <c r="M137" s="6">
        <f t="shared" si="36"/>
        <v>2.6469907410501037E-2</v>
      </c>
      <c r="N137" s="7">
        <f t="shared" si="54"/>
        <v>38.116666671121493</v>
      </c>
      <c r="O137" s="7"/>
      <c r="P137" s="7"/>
      <c r="Q137" s="22"/>
      <c r="R137" s="170"/>
      <c r="S137" s="213">
        <f t="shared" si="56"/>
        <v>1</v>
      </c>
      <c r="T137" s="195" t="str">
        <f t="shared" si="37"/>
        <v>Southbound</v>
      </c>
      <c r="U137" s="19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6" t="str">
        <f t="shared" si="38"/>
        <v>https://d0f6bd738d7f1b3e5a7ca70fe4ff75f0.us-east-1.aws.found.io/app/kibana#/discover/Steve-Slow-Train-Analysis-(2080s-and-2083s)?_g=(refreshInterval:(display:Off,pause:!f,section:0,value:0),time:(from:'2017-06-30T18:19:35-0600',mode:absolute,to:'2017-06-30T21:05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37" s="197" t="str">
        <f>IF(AA137&lt;VLOOKUP(AG137,Variables!$AC$3:$AD$8,2,FALSE),"Y","N")</f>
        <v>N</v>
      </c>
      <c r="X137" s="197">
        <f t="shared" si="55"/>
        <v>1</v>
      </c>
      <c r="Y137" s="197">
        <f t="shared" si="57"/>
        <v>23.300899999999999</v>
      </c>
      <c r="Z137" s="197">
        <f t="shared" si="58"/>
        <v>1.2999999999999999E-2</v>
      </c>
      <c r="AA137" s="197">
        <f t="shared" si="41"/>
        <v>23.287899999999997</v>
      </c>
      <c r="AB137" s="54" t="e">
        <f>VLOOKUP(A137,Enforcements!$C$7:$K$13,8,0)</f>
        <v>#N/A</v>
      </c>
      <c r="AC137" s="51" t="e">
        <f>VLOOKUP(A137,Enforcements!$C$7:$E$13,3,0)</f>
        <v>#N/A</v>
      </c>
      <c r="AD137" s="206">
        <f t="shared" si="42"/>
        <v>220</v>
      </c>
      <c r="AE137" s="77" t="str">
        <f t="shared" si="43"/>
        <v>aws s3 cp s3://rtdc.mdm.uploadarchive.raw/RTDC4001/ "%USERPROFILE%\AppData\Local\Temp\OnboardLogs"\RTDC4001\2017-06-30 --exclude "*" --recursive --include "*20170630*" &amp; "%USERPROFILE%\Documents\GitHub\mrs-test-scripts\Headless Mode &amp; Sideloading\WalkAndUnGZ.bat" "%USERPROFILE%\AppData\Local\Temp\OnboardLogs"\RTDC4001\2017-06-30 &amp; aws s3 cp s3://rtdc.mdm.uploadarchive.raw/RTDC4001/ "%USERPROFILE%\AppData\Local\Temp\OnboardLogs"\RTDC4001\2017-07-01 --exclude "*" --recursive --include "*20170701*" &amp; "%USERPROFILE%\Documents\GitHub\mrs-test-scripts\Headless Mode &amp; Sideloading\WalkAndUnGZ.bat" "%USERPROFILE%\AppData\Local\Temp\OnboardLogs"\RTDC4001\2017-07-01</v>
      </c>
      <c r="AF137" s="74" t="str">
        <f t="shared" si="44"/>
        <v>"C:\Program Files (x86)\AstroGrep\AstroGrep.exe" /e /r /s /spath="%USERPROFILE%\AppData\Local\Temp\OnboardLogs" /stypes="app*4001*20170701*" /stext=" 02:.+((SYSTEM_STATE.+slice.+state.+changed )|(ment ac)|(multiple cpu faults)|(system.+state.+changed )|(\[timeout)|(PRM\|1\|D)|(kpr)|(kdp)|(train st.+moving)|(\|lc)|(penalty))"</v>
      </c>
      <c r="AG137" s="209" t="str">
        <f t="shared" si="45"/>
        <v>EC</v>
      </c>
      <c r="AH137" s="78" t="str">
        <f t="shared" si="46"/>
        <v>"%USERPROFILE%\Documents\GitHub\eaglep3\Utilities\RefineRTDCRunTimes.py" --tripid 220-30 --locoid 4001 --swversion DE.1.0.9.0 --startMP 204:233009 --initTime 2017-06-30T19:19:35 --startdatetime 2017-06-30T19:27:23 --delay 2 --endMP 204:130 --enddatetime 2017-06-30T20:05:30 --enforcementcount 0 &gt;&gt;C:\Users\stu\Documents\GitHub\eaglep3-reporting\EC\2017-06-30-refined-times.txt</v>
      </c>
      <c r="AI137" s="96" t="str">
        <f t="shared" si="47"/>
        <v>echo {"issue":{"subject":"","project_id":79,"tracker_id":40,"status_id":1,"priority_id":2,"assigned_to_id":23,"start_date":"2017-06-30","description":"","custom_fields":[{"id":1,"name":"Subdivision","value":"EC"},{"id":4,"name":"Milepost","value":"0.013"},{"id":17,"name":"Train ID","value":"220-30"},{"id":16,"name":"Locomotive ID","value":"4001"},{"id":130,"name":"Impact","value":""},{"id":150,"name":"Time of Event (Mountain Time)","value":"20:05:30"},{"id":151,"name":"Denver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48"/>
        <v>start /low /b %USERPROFILE%\Documents\GitHub\eaglep3\Utilities\DownloadLogsFromS3.py --loco 4001 --day 2017-06-30</v>
      </c>
      <c r="AN137" s="151" t="str">
        <f t="shared" si="4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02:05:30"},{"id":29,"name":"Sharepoint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803</v>
      </c>
      <c r="B138" s="7">
        <v>4026</v>
      </c>
      <c r="C138" s="21" t="s">
        <v>200</v>
      </c>
      <c r="D138" s="21" t="s">
        <v>454</v>
      </c>
      <c r="E138" s="13">
        <v>42916.787499999999</v>
      </c>
      <c r="F138" s="13">
        <v>42916.792268518519</v>
      </c>
      <c r="G138" s="7">
        <v>1</v>
      </c>
      <c r="H138" s="21" t="s">
        <v>478</v>
      </c>
      <c r="I138" s="13">
        <v>42916.817743055559</v>
      </c>
      <c r="J138" s="7">
        <v>0</v>
      </c>
      <c r="K138" s="89" t="str">
        <f t="shared" si="35"/>
        <v>4025/4026</v>
      </c>
      <c r="L138" s="21" t="str">
        <f>VLOOKUP(A138,'Trips&amp;Operators'!$C$1:$G$99999,5,FALSE)</f>
        <v>LAMAR NEKESHA</v>
      </c>
      <c r="M138" s="6">
        <f t="shared" si="36"/>
        <v>2.5474537040281575E-2</v>
      </c>
      <c r="N138" s="7">
        <f t="shared" ref="N138:N172" si="59">24*60*SUM($M138:$M138)</f>
        <v>36.683333338005468</v>
      </c>
      <c r="O138" s="7"/>
      <c r="P138" s="7"/>
      <c r="Q138" s="22"/>
      <c r="R138" s="170"/>
      <c r="S138" s="213">
        <f t="shared" si="56"/>
        <v>1</v>
      </c>
      <c r="T138" s="195" t="str">
        <f t="shared" si="37"/>
        <v>NorthBound</v>
      </c>
      <c r="U138" s="19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6" t="str">
        <f t="shared" si="38"/>
        <v>https://d0f6bd738d7f1b3e5a7ca70fe4ff75f0.us-east-1.aws.found.io/app/kibana#/discover/Steve-Slow-Train-Analysis-(2080s-and-2083s)?_g=(refreshInterval:(display:Off,pause:!f,section:0,value:0),time:(from:'2017-06-30T17:54:00-0600',mode:absolute,to:'2017-06-30T20:37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38" s="197" t="str">
        <f>IF(AA138&lt;VLOOKUP(AG138,Variables!$AC$3:$AD$8,2,FALSE),"Y","N")</f>
        <v>N</v>
      </c>
      <c r="X138" s="197">
        <f t="shared" si="55"/>
        <v>1</v>
      </c>
      <c r="Y138" s="197">
        <f t="shared" si="57"/>
        <v>4.7500000000000001E-2</v>
      </c>
      <c r="Z138" s="197">
        <f t="shared" si="58"/>
        <v>23.3291</v>
      </c>
      <c r="AA138" s="197">
        <f t="shared" si="41"/>
        <v>23.281600000000001</v>
      </c>
      <c r="AB138" s="54" t="e">
        <f>VLOOKUP(A138,Enforcements!$C$7:$K$13,8,0)</f>
        <v>#N/A</v>
      </c>
      <c r="AC138" s="51" t="e">
        <f>VLOOKUP(A138,Enforcements!$C$7:$E$13,3,0)</f>
        <v>#N/A</v>
      </c>
      <c r="AD138" s="206">
        <f t="shared" si="42"/>
        <v>221</v>
      </c>
      <c r="AE138" s="77" t="str">
        <f t="shared" si="43"/>
        <v>aws s3 cp s3://rtdc.mdm.uploadarchive.raw/RTDC4026/ "%USERPROFILE%\AppData\Local\Temp\OnboardLogs"\RTDC4026\2017-06-30 --exclude "*" --recursive --include "*20170630*" &amp; "%USERPROFILE%\Documents\GitHub\mrs-test-scripts\Headless Mode &amp; Sideloading\WalkAndUnGZ.bat" "%USERPROFILE%\AppData\Local\Temp\OnboardLogs"\RTDC4026\2017-06-30 &amp; aws s3 cp s3://rtdc.mdm.uploadarchive.raw/RTDC4026/ "%USERPROFILE%\AppData\Local\Temp\OnboardLogs"\RTDC4026\2017-07-01 --exclude "*" --recursive --include "*20170701*" &amp; "%USERPROFILE%\Documents\GitHub\mrs-test-scripts\Headless Mode &amp; Sideloading\WalkAndUnGZ.bat" "%USERPROFILE%\AppData\Local\Temp\OnboardLogs"\RTDC4026\2017-07-01</v>
      </c>
      <c r="AF138" s="74" t="str">
        <f t="shared" si="44"/>
        <v>"C:\Program Files (x86)\AstroGrep\AstroGrep.exe" /e /r /s /spath="%USERPROFILE%\AppData\Local\Temp\OnboardLogs" /stypes="app*4026*20170701*" /stext=" 01:.+((SYSTEM_STATE.+slice.+state.+changed )|(ment ac)|(multiple cpu faults)|(system.+state.+changed )|(\[timeout)|(PRM\|1\|D)|(kpr)|(kdp)|(train st.+moving)|(\|lc)|(penalty))"</v>
      </c>
      <c r="AG138" s="209" t="str">
        <f t="shared" si="45"/>
        <v>EC</v>
      </c>
      <c r="AH138" s="78" t="str">
        <f t="shared" si="46"/>
        <v>"%USERPROFILE%\Documents\GitHub\eaglep3\Utilities\RefineRTDCRunTimes.py" --tripid 221-30 --locoid 4026 --swversion DE.1.0.9.0 --startMP 204:475 --initTime 2017-06-30T18:54:00 --startdatetime 2017-06-30T19:00:52 --delay 1 --endMP 204:233291 --enddatetime 2017-06-30T19:37:33 --enforcementcount 0 &gt;&gt;C:\Users\stu\Documents\GitHub\eaglep3-reporting\EC\2017-06-30-refined-times.txt</v>
      </c>
      <c r="AI138" s="96" t="str">
        <f t="shared" si="47"/>
        <v>echo {"issue":{"subject":"","project_id":79,"tracker_id":40,"status_id":1,"priority_id":2,"assigned_to_id":23,"start_date":"2017-06-30","description":"","custom_fields":[{"id":1,"name":"Subdivision","value":"EC"},{"id":4,"name":"Milepost","value":"23.3291"},{"id":17,"name":"Train ID","value":"221-30"},{"id":16,"name":"Locomotive ID","value":"4026"},{"id":130,"name":"Impact","value":""},{"id":150,"name":"Time of Event (Mountain Time)","value":"19:37:33"},{"id":151,"name":"Denver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48"/>
        <v>start /low /b %USERPROFILE%\Documents\GitHub\eaglep3\Utilities\DownloadLogsFromS3.py --loco 4026 --day 2017-06-30</v>
      </c>
      <c r="AN138" s="151" t="str">
        <f t="shared" si="4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01:37:33"},{"id":29,"name":"Sharepoint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810</v>
      </c>
      <c r="B139" s="7">
        <v>4025</v>
      </c>
      <c r="C139" s="21" t="s">
        <v>200</v>
      </c>
      <c r="D139" s="21" t="s">
        <v>480</v>
      </c>
      <c r="E139" s="13">
        <v>42916.826736111114</v>
      </c>
      <c r="F139" s="13">
        <v>42916.832280092596</v>
      </c>
      <c r="G139" s="7">
        <v>1</v>
      </c>
      <c r="H139" s="21" t="s">
        <v>551</v>
      </c>
      <c r="I139" s="13">
        <v>42916.858414351853</v>
      </c>
      <c r="J139" s="7">
        <v>0</v>
      </c>
      <c r="K139" s="89" t="str">
        <f t="shared" si="35"/>
        <v>4025/4026</v>
      </c>
      <c r="L139" s="21" t="str">
        <f>VLOOKUP(A139,'Trips&amp;Operators'!$C$1:$G$99999,5,FALSE)</f>
        <v>LAMAR NEKESHA</v>
      </c>
      <c r="M139" s="6">
        <f t="shared" si="36"/>
        <v>2.6134259256650694E-2</v>
      </c>
      <c r="N139" s="7">
        <f t="shared" si="59"/>
        <v>37.633333329576999</v>
      </c>
      <c r="O139" s="7"/>
      <c r="P139" s="7"/>
      <c r="Q139" s="22"/>
      <c r="R139" s="170"/>
      <c r="S139" s="213">
        <f t="shared" si="56"/>
        <v>1</v>
      </c>
      <c r="T139" s="195" t="str">
        <f t="shared" si="37"/>
        <v>Southbound</v>
      </c>
      <c r="U139" s="19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6" t="str">
        <f t="shared" si="38"/>
        <v>https://d0f6bd738d7f1b3e5a7ca70fe4ff75f0.us-east-1.aws.found.io/app/kibana#/discover/Steve-Slow-Train-Analysis-(2080s-and-2083s)?_g=(refreshInterval:(display:Off,pause:!f,section:0,value:0),time:(from:'2017-06-30T18:50:30-0600',mode:absolute,to:'2017-06-30T21:36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39" s="197" t="str">
        <f>IF(AA139&lt;VLOOKUP(AG139,Variables!$AC$3:$AD$8,2,FALSE),"Y","N")</f>
        <v>N</v>
      </c>
      <c r="X139" s="197">
        <f t="shared" ref="X139:X153" si="60">VALUE(LEFT(AD139,4))-VALUE(LEFT(AD138,4))</f>
        <v>1</v>
      </c>
      <c r="Y139" s="197">
        <f t="shared" si="57"/>
        <v>23.297999999999998</v>
      </c>
      <c r="Z139" s="197">
        <f t="shared" si="58"/>
        <v>1.6E-2</v>
      </c>
      <c r="AA139" s="197">
        <f t="shared" si="41"/>
        <v>23.282</v>
      </c>
      <c r="AB139" s="54" t="e">
        <f>VLOOKUP(A139,Enforcements!$C$7:$K$13,8,0)</f>
        <v>#N/A</v>
      </c>
      <c r="AC139" s="51" t="e">
        <f>VLOOKUP(A139,Enforcements!$C$7:$E$13,3,0)</f>
        <v>#N/A</v>
      </c>
      <c r="AD139" s="206">
        <f t="shared" si="42"/>
        <v>222</v>
      </c>
      <c r="AE139" s="77" t="str">
        <f t="shared" si="43"/>
        <v>aws s3 cp s3://rtdc.mdm.uploadarchive.raw/RTDC4025/ "%USERPROFILE%\AppData\Local\Temp\OnboardLogs"\RTDC4025\2017-06-30 --exclude "*" --recursive --include "*20170630*" &amp; "%USERPROFILE%\Documents\GitHub\mrs-test-scripts\Headless Mode &amp; Sideloading\WalkAndUnGZ.bat" "%USERPROFILE%\AppData\Local\Temp\OnboardLogs"\RTDC4025\2017-06-30 &amp; aws s3 cp s3://rtdc.mdm.uploadarchive.raw/RTDC4025/ "%USERPROFILE%\AppData\Local\Temp\OnboardLogs"\RTDC4025\2017-07-01 --exclude "*" --recursive --include "*20170701*" &amp; "%USERPROFILE%\Documents\GitHub\mrs-test-scripts\Headless Mode &amp; Sideloading\WalkAndUnGZ.bat" "%USERPROFILE%\AppData\Local\Temp\OnboardLogs"\RTDC4025\2017-07-01</v>
      </c>
      <c r="AF139" s="74" t="str">
        <f t="shared" si="44"/>
        <v>"C:\Program Files (x86)\AstroGrep\AstroGrep.exe" /e /r /s /spath="%USERPROFILE%\AppData\Local\Temp\OnboardLogs" /stypes="app*4025*20170701*" /stext=" 02:.+((SYSTEM_STATE.+slice.+state.+changed )|(ment ac)|(multiple cpu faults)|(system.+state.+changed )|(\[timeout)|(PRM\|1\|D)|(kpr)|(kdp)|(train st.+moving)|(\|lc)|(penalty))"</v>
      </c>
      <c r="AG139" s="209" t="str">
        <f t="shared" si="45"/>
        <v>EC</v>
      </c>
      <c r="AH139" s="78" t="str">
        <f t="shared" si="46"/>
        <v>"%USERPROFILE%\Documents\GitHub\eaglep3\Utilities\RefineRTDCRunTimes.py" --tripid 222-30 --locoid 4025 --swversion DE.1.0.9.0 --startMP 204:232980 --initTime 2017-06-30T19:50:30 --startdatetime 2017-06-30T19:58:29 --delay 1 --endMP 204:160 --enddatetime 2017-06-30T20:36:07 --enforcementcount 0 &gt;&gt;C:\Users\stu\Documents\GitHub\eaglep3-reporting\EC\2017-06-30-refined-times.txt</v>
      </c>
      <c r="AI139" s="96" t="str">
        <f t="shared" si="47"/>
        <v>echo {"issue":{"subject":"","project_id":79,"tracker_id":40,"status_id":1,"priority_id":2,"assigned_to_id":23,"start_date":"2017-06-30","description":"","custom_fields":[{"id":1,"name":"Subdivision","value":"EC"},{"id":4,"name":"Milepost","value":"0.016"},{"id":17,"name":"Train ID","value":"222-30"},{"id":16,"name":"Locomotive ID","value":"4025"},{"id":130,"name":"Impact","value":""},{"id":150,"name":"Time of Event (Mountain Time)","value":"20:36:07"},{"id":151,"name":"Denver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48"/>
        <v>start /low /b %USERPROFILE%\Documents\GitHub\eaglep3\Utilities\DownloadLogsFromS3.py --loco 4025 --day 2017-06-30</v>
      </c>
      <c r="AN139" s="151" t="str">
        <f t="shared" si="4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02:36:07"},{"id":29,"name":"Sharepoint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807</v>
      </c>
      <c r="B140" s="7">
        <v>4032</v>
      </c>
      <c r="C140" s="21" t="s">
        <v>200</v>
      </c>
      <c r="D140" s="21" t="s">
        <v>466</v>
      </c>
      <c r="E140" s="13">
        <v>42916.810740740744</v>
      </c>
      <c r="F140" s="13">
        <v>42916.812928240739</v>
      </c>
      <c r="G140" s="7">
        <v>1</v>
      </c>
      <c r="H140" s="21" t="s">
        <v>917</v>
      </c>
      <c r="I140" s="13">
        <v>42916.83834490741</v>
      </c>
      <c r="J140" s="7">
        <v>0</v>
      </c>
      <c r="K140" s="89" t="str">
        <f t="shared" si="35"/>
        <v>4031/4032</v>
      </c>
      <c r="L140" s="21" t="str">
        <f>VLOOKUP(A140,'Trips&amp;Operators'!$C$1:$G$99999,5,FALSE)</f>
        <v>HELVIE ADAM</v>
      </c>
      <c r="M140" s="6">
        <f t="shared" si="36"/>
        <v>2.5416666670935228E-2</v>
      </c>
      <c r="N140" s="7">
        <f t="shared" si="59"/>
        <v>36.600000006146729</v>
      </c>
      <c r="O140" s="7"/>
      <c r="P140" s="7"/>
      <c r="Q140" s="22"/>
      <c r="R140" s="170"/>
      <c r="S140" s="213">
        <f t="shared" si="56"/>
        <v>1</v>
      </c>
      <c r="T140" s="195" t="str">
        <f t="shared" si="37"/>
        <v>NorthBound</v>
      </c>
      <c r="U140" s="19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6" t="str">
        <f t="shared" si="38"/>
        <v>https://d0f6bd738d7f1b3e5a7ca70fe4ff75f0.us-east-1.aws.found.io/app/kibana#/discover/Steve-Slow-Train-Analysis-(2080s-and-2083s)?_g=(refreshInterval:(display:Off,pause:!f,section:0,value:0),time:(from:'2017-06-30T18:27:28-0600',mode:absolute,to:'2017-06-30T21:07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40" s="197" t="str">
        <f>IF(AA140&lt;VLOOKUP(AG140,Variables!$AC$3:$AD$8,2,FALSE),"Y","N")</f>
        <v>N</v>
      </c>
      <c r="X140" s="197">
        <f t="shared" si="60"/>
        <v>1</v>
      </c>
      <c r="Y140" s="197">
        <f t="shared" si="57"/>
        <v>4.2900000000000001E-2</v>
      </c>
      <c r="Z140" s="197">
        <f t="shared" si="58"/>
        <v>23.333400000000001</v>
      </c>
      <c r="AA140" s="197">
        <f t="shared" si="41"/>
        <v>23.290500000000002</v>
      </c>
      <c r="AB140" s="54" t="e">
        <f>VLOOKUP(A140,Enforcements!$C$7:$K$13,8,0)</f>
        <v>#N/A</v>
      </c>
      <c r="AC140" s="51" t="e">
        <f>VLOOKUP(A140,Enforcements!$C$7:$E$13,3,0)</f>
        <v>#N/A</v>
      </c>
      <c r="AD140" s="206">
        <f t="shared" si="42"/>
        <v>223</v>
      </c>
      <c r="AE140" s="77" t="str">
        <f t="shared" si="43"/>
        <v>aws s3 cp s3://rtdc.mdm.uploadarchive.raw/RTDC4032/ "%USERPROFILE%\AppData\Local\Temp\OnboardLogs"\RTDC4032\2017-06-30 --exclude "*" --recursive --include "*20170630*" &amp; "%USERPROFILE%\Documents\GitHub\mrs-test-scripts\Headless Mode &amp; Sideloading\WalkAndUnGZ.bat" "%USERPROFILE%\AppData\Local\Temp\OnboardLogs"\RTDC4032\2017-06-30 &amp; aws s3 cp s3://rtdc.mdm.uploadarchive.raw/RTDC4032/ "%USERPROFILE%\AppData\Local\Temp\OnboardLogs"\RTDC4032\2017-07-01 --exclude "*" --recursive --include "*20170701*" &amp; "%USERPROFILE%\Documents\GitHub\mrs-test-scripts\Headless Mode &amp; Sideloading\WalkAndUnGZ.bat" "%USERPROFILE%\AppData\Local\Temp\OnboardLogs"\RTDC4032\2017-07-01</v>
      </c>
      <c r="AF140" s="74" t="str">
        <f t="shared" si="44"/>
        <v>"C:\Program Files (x86)\AstroGrep\AstroGrep.exe" /e /r /s /spath="%USERPROFILE%\AppData\Local\Temp\OnboardLogs" /stypes="app*4032*20170701*" /stext=" 02:.+((SYSTEM_STATE.+slice.+state.+changed )|(ment ac)|(multiple cpu faults)|(system.+state.+changed )|(\[timeout)|(PRM\|1\|D)|(kpr)|(kdp)|(train st.+moving)|(\|lc)|(penalty))"</v>
      </c>
      <c r="AG140" s="209" t="str">
        <f t="shared" si="45"/>
        <v>EC</v>
      </c>
      <c r="AH140" s="78" t="str">
        <f t="shared" si="46"/>
        <v>"%USERPROFILE%\Documents\GitHub\eaglep3\Utilities\RefineRTDCRunTimes.py" --tripid 223-30 --locoid 4032 --swversion DE.1.0.9.0 --startMP 204:429 --initTime 2017-06-30T19:27:28 --startdatetime 2017-06-30T19:30:37 --delay 1 --endMP 204:233334 --enddatetime 2017-06-30T20:07:13 --enforcementcount 0 &gt;&gt;C:\Users\stu\Documents\GitHub\eaglep3-reporting\EC\2017-06-30-refined-times.txt</v>
      </c>
      <c r="AI140" s="96" t="str">
        <f t="shared" si="47"/>
        <v>echo {"issue":{"subject":"","project_id":79,"tracker_id":40,"status_id":1,"priority_id":2,"assigned_to_id":23,"start_date":"2017-06-30","description":"","custom_fields":[{"id":1,"name":"Subdivision","value":"EC"},{"id":4,"name":"Milepost","value":"23.3334"},{"id":17,"name":"Train ID","value":"223-30"},{"id":16,"name":"Locomotive ID","value":"4032"},{"id":130,"name":"Impact","value":""},{"id":150,"name":"Time of Event (Mountain Time)","value":"20:07:13"},{"id":151,"name":"Denver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si="48"/>
        <v>start /low /b %USERPROFILE%\Documents\GitHub\eaglep3\Utilities\DownloadLogsFromS3.py --loco 4032 --day 2017-06-30</v>
      </c>
      <c r="AN140" s="151" t="str">
        <f t="shared" si="4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02:07:13"},{"id":29,"name":"Sharepoint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814</v>
      </c>
      <c r="B141" s="7">
        <v>4031</v>
      </c>
      <c r="C141" s="21" t="s">
        <v>200</v>
      </c>
      <c r="D141" s="21" t="s">
        <v>857</v>
      </c>
      <c r="E141" s="13">
        <v>42916.850289351853</v>
      </c>
      <c r="F141" s="13">
        <v>42916.852442129632</v>
      </c>
      <c r="G141" s="7">
        <v>1</v>
      </c>
      <c r="H141" s="21" t="s">
        <v>346</v>
      </c>
      <c r="I141" s="13">
        <v>42916.878379629627</v>
      </c>
      <c r="J141" s="7">
        <v>0</v>
      </c>
      <c r="K141" s="89" t="str">
        <f t="shared" ref="K141:K204" si="61">IF(ISEVEN(B141),(B141-1)&amp;"/"&amp;B141,B141&amp;"/"&amp;(B141+1))</f>
        <v>4031/4032</v>
      </c>
      <c r="L141" s="21" t="str">
        <f>VLOOKUP(A141,'Trips&amp;Operators'!$C$1:$G$99999,5,FALSE)</f>
        <v>HELVIE ADAM</v>
      </c>
      <c r="M141" s="6">
        <f t="shared" ref="M141:M204" si="62">I141-F141</f>
        <v>2.5937499995052349E-2</v>
      </c>
      <c r="N141" s="7">
        <f t="shared" si="59"/>
        <v>37.349999992875382</v>
      </c>
      <c r="O141" s="7"/>
      <c r="P141" s="7"/>
      <c r="Q141" s="22"/>
      <c r="R141" s="170"/>
      <c r="S141" s="213">
        <f t="shared" si="56"/>
        <v>1</v>
      </c>
      <c r="T141" s="195" t="str">
        <f t="shared" ref="T141:T204" si="63">IF(ISEVEN(LEFT(AD141,4)),"Southbound","NorthBound")</f>
        <v>Southbound</v>
      </c>
      <c r="U141" s="19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6" t="str">
        <f t="shared" ref="V141:V204" si="64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-06-30T19:24:25-0600',mode:absolute,to:'2017-06-30T22:04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41" s="197" t="str">
        <f>IF(AA141&lt;VLOOKUP(AG141,Variables!$AC$3:$AD$8,2,FALSE),"Y","N")</f>
        <v>N</v>
      </c>
      <c r="X141" s="197">
        <f t="shared" si="60"/>
        <v>1</v>
      </c>
      <c r="Y141" s="197">
        <f t="shared" si="57"/>
        <v>23.296900000000001</v>
      </c>
      <c r="Z141" s="197">
        <f t="shared" si="58"/>
        <v>1.4999999999999999E-2</v>
      </c>
      <c r="AA141" s="197">
        <f t="shared" ref="AA141:AA204" si="65">ABS(Z141-Y141)</f>
        <v>23.2819</v>
      </c>
      <c r="AB141" s="54" t="e">
        <f>VLOOKUP(A141,Enforcements!$C$7:$K$13,8,0)</f>
        <v>#N/A</v>
      </c>
      <c r="AC141" s="51" t="e">
        <f>VLOOKUP(A141,Enforcements!$C$7:$E$13,3,0)</f>
        <v>#N/A</v>
      </c>
      <c r="AD141" s="206">
        <f t="shared" ref="AD141:AD204" si="66">VALUE(LEFT(A141,LEN(A141)-3))</f>
        <v>224</v>
      </c>
      <c r="AE141" s="77" t="str">
        <f t="shared" ref="AE141:AE204" si="67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s3://rtdc.mdm.uploadarchive.raw/RTDC4031/ "%USERPROFILE%\AppData\Local\Temp\OnboardLogs"\RTDC4031\2017-06-30 --exclude "*" --recursive --include "*20170630*" &amp; "%USERPROFILE%\Documents\GitHub\mrs-test-scripts\Headless Mode &amp; Sideloading\WalkAndUnGZ.bat" "%USERPROFILE%\AppData\Local\Temp\OnboardLogs"\RTDC4031\2017-06-30 &amp; aws s3 cp s3://rtdc.mdm.uploadarchive.raw/RTDC4031/ "%USERPROFILE%\AppData\Local\Temp\OnboardLogs"\RTDC4031\2017-07-01 --exclude "*" --recursive --include "*20170701*" &amp; "%USERPROFILE%\Documents\GitHub\mrs-test-scripts\Headless Mode &amp; Sideloading\WalkAndUnGZ.bat" "%USERPROFILE%\AppData\Local\Temp\OnboardLogs"\RTDC4031\2017-07-01</v>
      </c>
      <c r="AF141" s="74" t="str">
        <f t="shared" ref="AF141:AF204" si="68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/stypes="app*4031*20170701*" /stext=" 03:.+((SYSTEM_STATE.+slice.+state.+changed )|(ment ac)|(multiple cpu faults)|(system.+state.+changed )|(\[timeout)|(PRM\|1\|D)|(kpr)|(kdp)|(train st.+moving)|(\|lc)|(penalty))"</v>
      </c>
      <c r="AG141" s="209" t="str">
        <f t="shared" ref="AG141:AG204" si="69">DetSubdiv(A141)</f>
        <v>EC</v>
      </c>
      <c r="AH141" s="78" t="str">
        <f t="shared" ref="AH141:AH204" si="70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224-30 --locoid 4031 --swversion DE.1.0.9.0 --startMP 204:232969 --initTime 2017-06-30T20:24:25 --startdatetime 2017-06-30T20:27:31 --delay 1 --endMP 204:150 --enddatetime 2017-06-30T21:04:52 --enforcementcount 0 &gt;&gt;C:\Users\stu\Documents\GitHub\eaglep3-reporting\EC\2017-06-30-refined-times.txt</v>
      </c>
      <c r="AI141" s="96" t="str">
        <f t="shared" ref="AI141:AI204" si="71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{"issue":{"subject":"","project_id":79,"tracker_id":40,"status_id":1,"priority_id":2,"assigned_to_id":23,"start_date":"2017-06-30","description":"","custom_fields":[{"id":1,"name":"Subdivision","value":"EC"},{"id":4,"name":"Milepost","value":"0.015"},{"id":17,"name":"Train ID","value":"224-30"},{"id":16,"name":"Locomotive ID","value":"4031"},{"id":130,"name":"Impact","value":""},{"id":150,"name":"Time of Event (Mountain Time)","value":"21:04:52"},{"id":151,"name":"Denver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ref="AM141:AM204" si="72">"start /low /b "&amp;dls3logs&amp;" --loco "&amp;B141&amp;" --day "&amp;TEXT(F141,"YYYY-MM-DD")</f>
        <v>start /low /b %USERPROFILE%\Documents\GitHub\eaglep3\Utilities\DownloadLogsFromS3.py --loco 4031 --day 2017-06-30</v>
      </c>
      <c r="AN141" s="151" t="str">
        <f t="shared" ref="AN141:AN204" si="73">"echo {""issue"":{""subject"":"""&amp;R141&amp;""",""project_id"":30,""tracker_id"":4,""status_id"":"&amp;redmine_status_wcr&amp;",""priority_id"":"&amp;redmine_priority_wcr&amp;",""assigned_to_id"":"&amp;redmine_assignee_wcr&amp;",""start_date"":"""&amp;TEXT(I141-utc_offset/24,"YYYY-mm-dd")&amp;""",""description"":"""&amp;AJ141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03:04:52"},{"id":29,"name":"Sharepoint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811</v>
      </c>
      <c r="B142" s="7">
        <v>4042</v>
      </c>
      <c r="C142" s="21" t="s">
        <v>200</v>
      </c>
      <c r="D142" s="21" t="s">
        <v>918</v>
      </c>
      <c r="E142" s="13">
        <v>42916.828599537039</v>
      </c>
      <c r="F142" s="13">
        <v>42916.833935185183</v>
      </c>
      <c r="G142" s="7">
        <v>1</v>
      </c>
      <c r="H142" s="21" t="s">
        <v>919</v>
      </c>
      <c r="I142" s="13">
        <v>42916.859097222223</v>
      </c>
      <c r="J142" s="7">
        <v>0</v>
      </c>
      <c r="K142" s="89" t="str">
        <f t="shared" si="61"/>
        <v>4041/4042</v>
      </c>
      <c r="L142" s="21" t="str">
        <f>VLOOKUP(A142,'Trips&amp;Operators'!$C$1:$G$99999,5,FALSE)</f>
        <v>PERKINS DARREN</v>
      </c>
      <c r="M142" s="6">
        <f t="shared" si="62"/>
        <v>2.5162037039990537E-2</v>
      </c>
      <c r="N142" s="7">
        <f t="shared" si="59"/>
        <v>36.233333337586373</v>
      </c>
      <c r="O142" s="7"/>
      <c r="P142" s="7"/>
      <c r="Q142" s="22"/>
      <c r="R142" s="170"/>
      <c r="S142" s="213">
        <f t="shared" si="56"/>
        <v>1</v>
      </c>
      <c r="T142" s="195" t="str">
        <f t="shared" si="63"/>
        <v>NorthBound</v>
      </c>
      <c r="U142" s="19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6" t="str">
        <f t="shared" si="64"/>
        <v>https://d0f6bd738d7f1b3e5a7ca70fe4ff75f0.us-east-1.aws.found.io/app/kibana#/discover/Steve-Slow-Train-Analysis-(2080s-and-2083s)?_g=(refreshInterval:(display:Off,pause:!f,section:0,value:0),time:(from:'2017-06-30T18:53:11-0600',mode:absolute,to:'2017-06-30T21:37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42" s="197" t="str">
        <f>IF(AA142&lt;VLOOKUP(AG142,Variables!$AC$3:$AD$8,2,FALSE),"Y","N")</f>
        <v>N</v>
      </c>
      <c r="X142" s="197">
        <f t="shared" si="60"/>
        <v>1</v>
      </c>
      <c r="Y142" s="197">
        <f t="shared" si="57"/>
        <v>5.0799999999999998E-2</v>
      </c>
      <c r="Z142" s="197">
        <f t="shared" si="58"/>
        <v>23.334199999999999</v>
      </c>
      <c r="AA142" s="197">
        <f t="shared" si="65"/>
        <v>23.2834</v>
      </c>
      <c r="AB142" s="54" t="e">
        <f>VLOOKUP(A142,Enforcements!$C$7:$K$13,8,0)</f>
        <v>#N/A</v>
      </c>
      <c r="AC142" s="51" t="e">
        <f>VLOOKUP(A142,Enforcements!$C$7:$E$13,3,0)</f>
        <v>#N/A</v>
      </c>
      <c r="AD142" s="206">
        <f t="shared" si="66"/>
        <v>225</v>
      </c>
      <c r="AE142" s="77" t="str">
        <f t="shared" si="67"/>
        <v>aws s3 cp s3://rtdc.mdm.uploadarchive.raw/RTDC4042/ "%USERPROFILE%\AppData\Local\Temp\OnboardLogs"\RTDC4042\2017-06-30 --exclude "*" --recursive --include "*20170630*" &amp; "%USERPROFILE%\Documents\GitHub\mrs-test-scripts\Headless Mode &amp; Sideloading\WalkAndUnGZ.bat" "%USERPROFILE%\AppData\Local\Temp\OnboardLogs"\RTDC4042\2017-06-30 &amp; aws s3 cp s3://rtdc.mdm.uploadarchive.raw/RTDC4042/ "%USERPROFILE%\AppData\Local\Temp\OnboardLogs"\RTDC4042\2017-07-01 --exclude "*" --recursive --include "*20170701*" &amp; "%USERPROFILE%\Documents\GitHub\mrs-test-scripts\Headless Mode &amp; Sideloading\WalkAndUnGZ.bat" "%USERPROFILE%\AppData\Local\Temp\OnboardLogs"\RTDC4042\2017-07-01</v>
      </c>
      <c r="AF142" s="74" t="str">
        <f t="shared" si="68"/>
        <v>"C:\Program Files (x86)\AstroGrep\AstroGrep.exe" /e /r /s /spath="%USERPROFILE%\AppData\Local\Temp\OnboardLogs" /stypes="app*4042*20170701*" /stext=" 02:.+((SYSTEM_STATE.+slice.+state.+changed )|(ment ac)|(multiple cpu faults)|(system.+state.+changed )|(\[timeout)|(PRM\|1\|D)|(kpr)|(kdp)|(train st.+moving)|(\|lc)|(penalty))"</v>
      </c>
      <c r="AG142" s="209" t="str">
        <f t="shared" si="69"/>
        <v>EC</v>
      </c>
      <c r="AH142" s="78" t="str">
        <f t="shared" si="70"/>
        <v>"%USERPROFILE%\Documents\GitHub\eaglep3\Utilities\RefineRTDCRunTimes.py" --tripid 225-30 --locoid 4042 --swversion DE.1.0.9.0 --startMP 204:508 --initTime 2017-06-30T19:53:11 --startdatetime 2017-06-30T20:00:52 --delay 1 --endMP 204:233342 --enddatetime 2017-06-30T20:37:06 --enforcementcount 0 &gt;&gt;C:\Users\stu\Documents\GitHub\eaglep3-reporting\EC\2017-06-30-refined-times.txt</v>
      </c>
      <c r="AI142" s="96" t="str">
        <f t="shared" si="71"/>
        <v>echo {"issue":{"subject":"","project_id":79,"tracker_id":40,"status_id":1,"priority_id":2,"assigned_to_id":23,"start_date":"2017-06-30","description":"","custom_fields":[{"id":1,"name":"Subdivision","value":"EC"},{"id":4,"name":"Milepost","value":"23.3342"},{"id":17,"name":"Train ID","value":"225-30"},{"id":16,"name":"Locomotive ID","value":"4042"},{"id":130,"name":"Impact","value":""},{"id":150,"name":"Time of Event (Mountain Time)","value":"20:37:06"},{"id":151,"name":"Denver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si="72"/>
        <v>start /low /b %USERPROFILE%\Documents\GitHub\eaglep3\Utilities\DownloadLogsFromS3.py --loco 4042 --day 2017-06-30</v>
      </c>
      <c r="AN142" s="151" t="str">
        <f t="shared" si="7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02:37:06"},{"id":29,"name":"Sharepoint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816</v>
      </c>
      <c r="B143" s="7">
        <v>4041</v>
      </c>
      <c r="C143" s="21" t="s">
        <v>200</v>
      </c>
      <c r="D143" s="21" t="s">
        <v>920</v>
      </c>
      <c r="E143" s="13">
        <v>42916.865104166667</v>
      </c>
      <c r="F143" s="13">
        <v>42916.873090277775</v>
      </c>
      <c r="G143" s="7">
        <v>0</v>
      </c>
      <c r="H143" s="21" t="s">
        <v>921</v>
      </c>
      <c r="I143" s="13">
        <v>42916.899421296293</v>
      </c>
      <c r="J143" s="7">
        <v>0</v>
      </c>
      <c r="K143" s="89" t="str">
        <f t="shared" si="61"/>
        <v>4041/4042</v>
      </c>
      <c r="L143" s="21" t="str">
        <f>VLOOKUP(A143,'Trips&amp;Operators'!$C$1:$G$99999,5,FALSE)</f>
        <v>PERKINS DARREN</v>
      </c>
      <c r="M143" s="6">
        <f t="shared" si="62"/>
        <v>2.6331018518249039E-2</v>
      </c>
      <c r="N143" s="7">
        <f t="shared" si="59"/>
        <v>37.916666666278616</v>
      </c>
      <c r="O143" s="7"/>
      <c r="P143" s="7"/>
      <c r="Q143" s="22"/>
      <c r="R143" s="170"/>
      <c r="S143" s="213">
        <f t="shared" si="56"/>
        <v>1</v>
      </c>
      <c r="T143" s="195" t="str">
        <f t="shared" si="63"/>
        <v>Southbound</v>
      </c>
      <c r="U143" s="19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6" t="str">
        <f t="shared" si="64"/>
        <v>https://d0f6bd738d7f1b3e5a7ca70fe4ff75f0.us-east-1.aws.found.io/app/kibana#/discover/Steve-Slow-Train-Analysis-(2080s-and-2083s)?_g=(refreshInterval:(display:Off,pause:!f,section:0,value:0),time:(from:'2017-06-30T19:45:45-0600',mode:absolute,to:'2017-06-30T22:35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3" s="197" t="str">
        <f>IF(AA143&lt;VLOOKUP(AG143,Variables!$AC$3:$AD$8,2,FALSE),"Y","N")</f>
        <v>N</v>
      </c>
      <c r="X143" s="197">
        <f t="shared" si="60"/>
        <v>1</v>
      </c>
      <c r="Y143" s="197">
        <f t="shared" si="57"/>
        <v>23.300799999999999</v>
      </c>
      <c r="Z143" s="197">
        <f t="shared" si="58"/>
        <v>1.1599999999999999E-2</v>
      </c>
      <c r="AA143" s="197">
        <f t="shared" si="65"/>
        <v>23.289199999999997</v>
      </c>
      <c r="AB143" s="54" t="e">
        <f>VLOOKUP(A143,Enforcements!$C$7:$K$13,8,0)</f>
        <v>#N/A</v>
      </c>
      <c r="AC143" s="51" t="e">
        <f>VLOOKUP(A143,Enforcements!$C$7:$E$13,3,0)</f>
        <v>#N/A</v>
      </c>
      <c r="AD143" s="206">
        <f t="shared" si="66"/>
        <v>226</v>
      </c>
      <c r="AE143" s="77" t="str">
        <f t="shared" si="67"/>
        <v>aws s3 cp s3://rtdc.mdm.uploadarchive.raw/RTDC4041/ "%USERPROFILE%\AppData\Local\Temp\OnboardLogs"\RTDC4041\2017-06-30 --exclude "*" --recursive --include "*20170630*" &amp; "%USERPROFILE%\Documents\GitHub\mrs-test-scripts\Headless Mode &amp; Sideloading\WalkAndUnGZ.bat" "%USERPROFILE%\AppData\Local\Temp\OnboardLogs"\RTDC4041\2017-06-30 &amp; aws s3 cp s3://rtdc.mdm.uploadarchive.raw/RTDC4041/ "%USERPROFILE%\AppData\Local\Temp\OnboardLogs"\RTDC4041\2017-07-01 --exclude "*" --recursive --include "*20170701*" &amp; "%USERPROFILE%\Documents\GitHub\mrs-test-scripts\Headless Mode &amp; Sideloading\WalkAndUnGZ.bat" "%USERPROFILE%\AppData\Local\Temp\OnboardLogs"\RTDC4041\2017-07-01</v>
      </c>
      <c r="AF143" s="74" t="str">
        <f t="shared" si="68"/>
        <v>"C:\Program Files (x86)\AstroGrep\AstroGrep.exe" /e /r /s /spath="%USERPROFILE%\AppData\Local\Temp\OnboardLogs" /stypes="app*4041*20170701*" /stext=" 03:.+((SYSTEM_STATE.+slice.+state.+changed )|(ment ac)|(multiple cpu faults)|(system.+state.+changed )|(\[timeout)|(PRM\|1\|D)|(kpr)|(kdp)|(train st.+moving)|(\|lc)|(penalty))"</v>
      </c>
      <c r="AG143" s="209" t="str">
        <f t="shared" si="69"/>
        <v>EC</v>
      </c>
      <c r="AH143" s="78" t="str">
        <f t="shared" si="70"/>
        <v>"%USERPROFILE%\Documents\GitHub\eaglep3\Utilities\RefineRTDCRunTimes.py" --tripid 226-30 --locoid 4041 --swversion DE.1.0.9.0 --startMP 204:233008 --initTime 2017-06-30T20:45:45 --startdatetime 2017-06-30T20:57:15 --delay 0 --endMP 204:116 --enddatetime 2017-06-30T21:35:10 --enforcementcount 0 &gt;&gt;C:\Users\stu\Documents\GitHub\eaglep3-reporting\EC\2017-06-30-refined-times.txt</v>
      </c>
      <c r="AI143" s="96" t="str">
        <f t="shared" si="71"/>
        <v>echo {"issue":{"subject":"","project_id":79,"tracker_id":40,"status_id":1,"priority_id":2,"assigned_to_id":23,"start_date":"2017-06-30","description":"","custom_fields":[{"id":1,"name":"Subdivision","value":"EC"},{"id":4,"name":"Milepost","value":"0.0116"},{"id":17,"name":"Train ID","value":"226-30"},{"id":16,"name":"Locomotive ID","value":"4041"},{"id":130,"name":"Impact","value":""},{"id":150,"name":"Time of Event (Mountain Time)","value":"21:35:10"},{"id":151,"name":"Denver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si="72"/>
        <v>start /low /b %USERPROFILE%\Documents\GitHub\eaglep3\Utilities\DownloadLogsFromS3.py --loco 4041 --day 2017-06-30</v>
      </c>
      <c r="AN143" s="151" t="str">
        <f t="shared" si="7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03:35:10"},{"id":29,"name":"Sharepoint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813</v>
      </c>
      <c r="B144" s="7">
        <v>4002</v>
      </c>
      <c r="C144" s="21" t="s">
        <v>200</v>
      </c>
      <c r="D144" s="21" t="s">
        <v>466</v>
      </c>
      <c r="E144" s="13">
        <v>42916.842534722222</v>
      </c>
      <c r="F144" s="13">
        <v>42916.854675925926</v>
      </c>
      <c r="G144" s="7">
        <v>1</v>
      </c>
      <c r="H144" s="21" t="s">
        <v>536</v>
      </c>
      <c r="I144" s="13">
        <v>42916.880358796298</v>
      </c>
      <c r="J144" s="7">
        <v>0</v>
      </c>
      <c r="K144" s="89" t="str">
        <f t="shared" si="61"/>
        <v>4001/4002</v>
      </c>
      <c r="L144" s="21" t="str">
        <f>VLOOKUP(A144,'Trips&amp;Operators'!$C$1:$G$99999,5,FALSE)</f>
        <v>FORTUNATO FRANK</v>
      </c>
      <c r="M144" s="6">
        <f t="shared" si="62"/>
        <v>2.5682870371383615E-2</v>
      </c>
      <c r="N144" s="7">
        <f t="shared" si="59"/>
        <v>36.983333334792405</v>
      </c>
      <c r="O144" s="7"/>
      <c r="P144" s="7"/>
      <c r="Q144" s="22"/>
      <c r="R144" s="170"/>
      <c r="S144" s="213">
        <f t="shared" si="56"/>
        <v>1</v>
      </c>
      <c r="T144" s="195" t="str">
        <f t="shared" si="63"/>
        <v>NorthBound</v>
      </c>
      <c r="U144" s="19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6" t="str">
        <f t="shared" si="64"/>
        <v>https://d0f6bd738d7f1b3e5a7ca70fe4ff75f0.us-east-1.aws.found.io/app/kibana#/discover/Steve-Slow-Train-Analysis-(2080s-and-2083s)?_g=(refreshInterval:(display:Off,pause:!f,section:0,value:0),time:(from:'2017-06-30T19:13:15-0600',mode:absolute,to:'2017-06-30T22:07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44" s="197" t="str">
        <f>IF(AA144&lt;VLOOKUP(AG144,Variables!$AC$3:$AD$8,2,FALSE),"Y","N")</f>
        <v>N</v>
      </c>
      <c r="X144" s="197">
        <f t="shared" si="60"/>
        <v>1</v>
      </c>
      <c r="Y144" s="197">
        <f t="shared" si="57"/>
        <v>4.2900000000000001E-2</v>
      </c>
      <c r="Z144" s="197">
        <f t="shared" si="58"/>
        <v>23.332100000000001</v>
      </c>
      <c r="AA144" s="197">
        <f t="shared" si="65"/>
        <v>23.289200000000001</v>
      </c>
      <c r="AB144" s="54" t="e">
        <f>VLOOKUP(A144,Enforcements!$C$7:$K$13,8,0)</f>
        <v>#N/A</v>
      </c>
      <c r="AC144" s="51" t="e">
        <f>VLOOKUP(A144,Enforcements!$C$7:$E$13,3,0)</f>
        <v>#N/A</v>
      </c>
      <c r="AD144" s="206">
        <f t="shared" si="66"/>
        <v>227</v>
      </c>
      <c r="AE144" s="77" t="str">
        <f t="shared" si="67"/>
        <v>aws s3 cp s3://rtdc.mdm.uploadarchive.raw/RTDC4002/ "%USERPROFILE%\AppData\Local\Temp\OnboardLogs"\RTDC4002\2017-06-30 --exclude "*" --recursive --include "*20170630*" &amp; "%USERPROFILE%\Documents\GitHub\mrs-test-scripts\Headless Mode &amp; Sideloading\WalkAndUnGZ.bat" "%USERPROFILE%\AppData\Local\Temp\OnboardLogs"\RTDC4002\2017-06-30 &amp; aws s3 cp s3://rtdc.mdm.uploadarchive.raw/RTDC4002/ "%USERPROFILE%\AppData\Local\Temp\OnboardLogs"\RTDC4002\2017-07-01 --exclude "*" --recursive --include "*20170701*" &amp; "%USERPROFILE%\Documents\GitHub\mrs-test-scripts\Headless Mode &amp; Sideloading\WalkAndUnGZ.bat" "%USERPROFILE%\AppData\Local\Temp\OnboardLogs"\RTDC4002\2017-07-01</v>
      </c>
      <c r="AF144" s="74" t="str">
        <f t="shared" si="68"/>
        <v>"C:\Program Files (x86)\AstroGrep\AstroGrep.exe" /e /r /s /spath="%USERPROFILE%\AppData\Local\Temp\OnboardLogs" /stypes="app*4002*20170701*" /stext=" 03:.+((SYSTEM_STATE.+slice.+state.+changed )|(ment ac)|(multiple cpu faults)|(system.+state.+changed )|(\[timeout)|(PRM\|1\|D)|(kpr)|(kdp)|(train st.+moving)|(\|lc)|(penalty))"</v>
      </c>
      <c r="AG144" s="209" t="str">
        <f t="shared" si="69"/>
        <v>EC</v>
      </c>
      <c r="AH144" s="78" t="str">
        <f t="shared" si="70"/>
        <v>"%USERPROFILE%\Documents\GitHub\eaglep3\Utilities\RefineRTDCRunTimes.py" --tripid 227-30 --locoid 4002 --swversion DE.1.0.9.0 --startMP 204:429 --initTime 2017-06-30T20:13:15 --startdatetime 2017-06-30T20:30:44 --delay 1 --endMP 204:233321 --enddatetime 2017-06-30T21:07:43 --enforcementcount 0 &gt;&gt;C:\Users\stu\Documents\GitHub\eaglep3-reporting\EC\2017-06-30-refined-times.txt</v>
      </c>
      <c r="AI144" s="96" t="str">
        <f t="shared" si="71"/>
        <v>echo {"issue":{"subject":"","project_id":79,"tracker_id":40,"status_id":1,"priority_id":2,"assigned_to_id":23,"start_date":"2017-06-30","description":"","custom_fields":[{"id":1,"name":"Subdivision","value":"EC"},{"id":4,"name":"Milepost","value":"23.3321"},{"id":17,"name":"Train ID","value":"227-30"},{"id":16,"name":"Locomotive ID","value":"4002"},{"id":130,"name":"Impact","value":""},{"id":150,"name":"Time of Event (Mountain Time)","value":"21:07:43"},{"id":151,"name":"Denver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si="72"/>
        <v>start /low /b %USERPROFILE%\Documents\GitHub\eaglep3\Utilities\DownloadLogsFromS3.py --loco 4002 --day 2017-06-30</v>
      </c>
      <c r="AN144" s="151" t="str">
        <f t="shared" si="7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03:07:43"},{"id":29,"name":"Sharepoint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822</v>
      </c>
      <c r="B145" s="7">
        <v>4001</v>
      </c>
      <c r="C145" s="21" t="s">
        <v>200</v>
      </c>
      <c r="D145" s="21" t="s">
        <v>503</v>
      </c>
      <c r="E145" s="13">
        <v>42916.8827662037</v>
      </c>
      <c r="F145" s="13">
        <v>42916.894097222219</v>
      </c>
      <c r="G145" s="7">
        <v>2</v>
      </c>
      <c r="H145" s="21" t="s">
        <v>417</v>
      </c>
      <c r="I145" s="13">
        <v>42916.923750000002</v>
      </c>
      <c r="J145" s="7">
        <v>0</v>
      </c>
      <c r="K145" s="89" t="str">
        <f t="shared" si="61"/>
        <v>4001/4002</v>
      </c>
      <c r="L145" s="21" t="str">
        <f>VLOOKUP(A145,'Trips&amp;Operators'!$C$1:$G$99999,5,FALSE)</f>
        <v>FORTUNATO FRANK</v>
      </c>
      <c r="M145" s="6">
        <f t="shared" si="62"/>
        <v>2.9652777782757767E-2</v>
      </c>
      <c r="N145" s="7">
        <f t="shared" si="59"/>
        <v>42.700000007171184</v>
      </c>
      <c r="O145" s="7"/>
      <c r="P145" s="7"/>
      <c r="Q145" s="22"/>
      <c r="R145" s="170"/>
      <c r="S145" s="213">
        <f t="shared" si="56"/>
        <v>1</v>
      </c>
      <c r="T145" s="195" t="str">
        <f t="shared" si="63"/>
        <v>Southbound</v>
      </c>
      <c r="U145" s="19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6" t="str">
        <f t="shared" si="64"/>
        <v>https://d0f6bd738d7f1b3e5a7ca70fe4ff75f0.us-east-1.aws.found.io/app/kibana#/discover/Steve-Slow-Train-Analysis-(2080s-and-2083s)?_g=(refreshInterval:(display:Off,pause:!f,section:0,value:0),time:(from:'2017-06-30T20:11:11-0600',mode:absolute,to:'2017-06-30T23:10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45" s="197" t="str">
        <f>IF(AA145&lt;VLOOKUP(AG145,Variables!$AC$3:$AD$8,2,FALSE),"Y","N")</f>
        <v>N</v>
      </c>
      <c r="X145" s="197">
        <f t="shared" si="60"/>
        <v>1</v>
      </c>
      <c r="Y145" s="197">
        <f t="shared" si="57"/>
        <v>23.299800000000001</v>
      </c>
      <c r="Z145" s="197">
        <f t="shared" si="58"/>
        <v>1.38E-2</v>
      </c>
      <c r="AA145" s="197">
        <f t="shared" si="65"/>
        <v>23.286000000000001</v>
      </c>
      <c r="AB145" s="54" t="e">
        <f>VLOOKUP(A145,Enforcements!$C$7:$K$13,8,0)</f>
        <v>#N/A</v>
      </c>
      <c r="AC145" s="51" t="e">
        <f>VLOOKUP(A145,Enforcements!$C$7:$E$13,3,0)</f>
        <v>#N/A</v>
      </c>
      <c r="AD145" s="206">
        <f t="shared" si="66"/>
        <v>228</v>
      </c>
      <c r="AE145" s="77" t="str">
        <f t="shared" si="67"/>
        <v>aws s3 cp s3://rtdc.mdm.uploadarchive.raw/RTDC4001/ "%USERPROFILE%\AppData\Local\Temp\OnboardLogs"\RTDC4001\2017-06-30 --exclude "*" --recursive --include "*20170630*" &amp; "%USERPROFILE%\Documents\GitHub\mrs-test-scripts\Headless Mode &amp; Sideloading\WalkAndUnGZ.bat" "%USERPROFILE%\AppData\Local\Temp\OnboardLogs"\RTDC4001\2017-06-30 &amp; aws s3 cp s3://rtdc.mdm.uploadarchive.raw/RTDC4001/ "%USERPROFILE%\AppData\Local\Temp\OnboardLogs"\RTDC4001\2017-07-01 --exclude "*" --recursive --include "*20170701*" &amp; "%USERPROFILE%\Documents\GitHub\mrs-test-scripts\Headless Mode &amp; Sideloading\WalkAndUnGZ.bat" "%USERPROFILE%\AppData\Local\Temp\OnboardLogs"\RTDC4001\2017-07-01</v>
      </c>
      <c r="AF145" s="74" t="str">
        <f t="shared" si="68"/>
        <v>"C:\Program Files (x86)\AstroGrep\AstroGrep.exe" /e /r /s /spath="%USERPROFILE%\AppData\Local\Temp\OnboardLogs" /stypes="app*4001*20170701*" /stext=" 04:.+((SYSTEM_STATE.+slice.+state.+changed )|(ment ac)|(multiple cpu faults)|(system.+state.+changed )|(\[timeout)|(PRM\|1\|D)|(kpr)|(kdp)|(train st.+moving)|(\|lc)|(penalty))"</v>
      </c>
      <c r="AG145" s="209" t="str">
        <f t="shared" si="69"/>
        <v>EC</v>
      </c>
      <c r="AH145" s="78" t="str">
        <f t="shared" si="70"/>
        <v>"%USERPROFILE%\Documents\GitHub\eaglep3\Utilities\RefineRTDCRunTimes.py" --tripid 228-30 --locoid 4001 --swversion DE.1.0.9.0 --startMP 204:232998 --initTime 2017-06-30T21:11:11 --startdatetime 2017-06-30T21:27:30 --delay 2 --endMP 204:138 --enddatetime 2017-06-30T22:10:12 --enforcementcount 0 &gt;&gt;C:\Users\stu\Documents\GitHub\eaglep3-reporting\EC\2017-06-30-refined-times.txt</v>
      </c>
      <c r="AI145" s="96" t="str">
        <f t="shared" si="71"/>
        <v>echo {"issue":{"subject":"","project_id":79,"tracker_id":40,"status_id":1,"priority_id":2,"assigned_to_id":23,"start_date":"2017-06-30","description":"","custom_fields":[{"id":1,"name":"Subdivision","value":"EC"},{"id":4,"name":"Milepost","value":"0.0138"},{"id":17,"name":"Train ID","value":"228-30"},{"id":16,"name":"Locomotive ID","value":"4001"},{"id":130,"name":"Impact","value":""},{"id":150,"name":"Time of Event (Mountain Time)","value":"22:10:12"},{"id":151,"name":"Denver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72"/>
        <v>start /low /b %USERPROFILE%\Documents\GitHub\eaglep3\Utilities\DownloadLogsFromS3.py --loco 4001 --day 2017-06-30</v>
      </c>
      <c r="AN145" s="151" t="str">
        <f t="shared" si="7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04:10:12"},{"id":29,"name":"Sharepoint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817</v>
      </c>
      <c r="B146" s="7">
        <v>4026</v>
      </c>
      <c r="C146" s="21" t="s">
        <v>200</v>
      </c>
      <c r="D146" s="21" t="s">
        <v>454</v>
      </c>
      <c r="E146" s="13">
        <v>42916.868668981479</v>
      </c>
      <c r="F146" s="13">
        <v>42916.875486111108</v>
      </c>
      <c r="G146" s="7">
        <v>0</v>
      </c>
      <c r="H146" s="21" t="s">
        <v>461</v>
      </c>
      <c r="I146" s="13">
        <v>42916.903368055559</v>
      </c>
      <c r="J146" s="7">
        <v>0</v>
      </c>
      <c r="K146" s="89" t="str">
        <f t="shared" si="61"/>
        <v>4025/4026</v>
      </c>
      <c r="L146" s="21" t="str">
        <f>VLOOKUP(A146,'Trips&amp;Operators'!$C$1:$G$99999,5,FALSE)</f>
        <v>LAMAR NEKESHA</v>
      </c>
      <c r="M146" s="6">
        <f t="shared" si="62"/>
        <v>2.7881944450200535E-2</v>
      </c>
      <c r="N146" s="7">
        <f t="shared" si="59"/>
        <v>40.150000008288771</v>
      </c>
      <c r="O146" s="7"/>
      <c r="P146" s="7"/>
      <c r="Q146" s="22"/>
      <c r="R146" s="170"/>
      <c r="S146" s="213">
        <f t="shared" si="56"/>
        <v>1</v>
      </c>
      <c r="T146" s="195" t="str">
        <f t="shared" si="63"/>
        <v>NorthBound</v>
      </c>
      <c r="U146" s="19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6" t="str">
        <f t="shared" si="64"/>
        <v>https://d0f6bd738d7f1b3e5a7ca70fe4ff75f0.us-east-1.aws.found.io/app/kibana#/discover/Steve-Slow-Train-Analysis-(2080s-and-2083s)?_g=(refreshInterval:(display:Off,pause:!f,section:0,value:0),time:(from:'2017-06-30T19:50:53-0600',mode:absolute,to:'2017-06-30T22:40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46" s="197" t="str">
        <f>IF(AA146&lt;VLOOKUP(AG146,Variables!$AC$3:$AD$8,2,FALSE),"Y","N")</f>
        <v>N</v>
      </c>
      <c r="X146" s="197">
        <f t="shared" si="60"/>
        <v>1</v>
      </c>
      <c r="Y146" s="197">
        <f t="shared" si="57"/>
        <v>4.7500000000000001E-2</v>
      </c>
      <c r="Z146" s="197">
        <f t="shared" si="58"/>
        <v>23.3293</v>
      </c>
      <c r="AA146" s="197">
        <f t="shared" si="65"/>
        <v>23.2818</v>
      </c>
      <c r="AB146" s="54" t="e">
        <f>VLOOKUP(A146,Enforcements!$C$7:$K$13,8,0)</f>
        <v>#N/A</v>
      </c>
      <c r="AC146" s="51" t="e">
        <f>VLOOKUP(A146,Enforcements!$C$7:$E$13,3,0)</f>
        <v>#N/A</v>
      </c>
      <c r="AD146" s="206">
        <f t="shared" si="66"/>
        <v>229</v>
      </c>
      <c r="AE146" s="77" t="str">
        <f t="shared" si="67"/>
        <v>aws s3 cp s3://rtdc.mdm.uploadarchive.raw/RTDC4026/ "%USERPROFILE%\AppData\Local\Temp\OnboardLogs"\RTDC4026\2017-06-30 --exclude "*" --recursive --include "*20170630*" &amp; "%USERPROFILE%\Documents\GitHub\mrs-test-scripts\Headless Mode &amp; Sideloading\WalkAndUnGZ.bat" "%USERPROFILE%\AppData\Local\Temp\OnboardLogs"\RTDC4026\2017-06-30 &amp; aws s3 cp s3://rtdc.mdm.uploadarchive.raw/RTDC4026/ "%USERPROFILE%\AppData\Local\Temp\OnboardLogs"\RTDC4026\2017-07-01 --exclude "*" --recursive --include "*20170701*" &amp; "%USERPROFILE%\Documents\GitHub\mrs-test-scripts\Headless Mode &amp; Sideloading\WalkAndUnGZ.bat" "%USERPROFILE%\AppData\Local\Temp\OnboardLogs"\RTDC4026\2017-07-01</v>
      </c>
      <c r="AF146" s="74" t="str">
        <f t="shared" si="68"/>
        <v>"C:\Program Files (x86)\AstroGrep\AstroGrep.exe" /e /r /s /spath="%USERPROFILE%\AppData\Local\Temp\OnboardLogs" /stypes="app*4026*20170701*" /stext=" 03:.+((SYSTEM_STATE.+slice.+state.+changed )|(ment ac)|(multiple cpu faults)|(system.+state.+changed )|(\[timeout)|(PRM\|1\|D)|(kpr)|(kdp)|(train st.+moving)|(\|lc)|(penalty))"</v>
      </c>
      <c r="AG146" s="209" t="str">
        <f t="shared" si="69"/>
        <v>EC</v>
      </c>
      <c r="AH146" s="78" t="str">
        <f t="shared" si="70"/>
        <v>"%USERPROFILE%\Documents\GitHub\eaglep3\Utilities\RefineRTDCRunTimes.py" --tripid 229-30 --locoid 4026 --swversion DE.1.0.9.0 --startMP 204:475 --initTime 2017-06-30T20:50:53 --startdatetime 2017-06-30T21:00:42 --delay 0 --endMP 204:233293 --enddatetime 2017-06-30T21:40:51 --enforcementcount 0 &gt;&gt;C:\Users\stu\Documents\GitHub\eaglep3-reporting\EC\2017-06-30-refined-times.txt</v>
      </c>
      <c r="AI146" s="96" t="str">
        <f t="shared" si="71"/>
        <v>echo {"issue":{"subject":"","project_id":79,"tracker_id":40,"status_id":1,"priority_id":2,"assigned_to_id":23,"start_date":"2017-06-30","description":"","custom_fields":[{"id":1,"name":"Subdivision","value":"EC"},{"id":4,"name":"Milepost","value":"23.3293"},{"id":17,"name":"Train ID","value":"229-30"},{"id":16,"name":"Locomotive ID","value":"4026"},{"id":130,"name":"Impact","value":""},{"id":150,"name":"Time of Event (Mountain Time)","value":"21:40:51"},{"id":151,"name":"Denver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si="72"/>
        <v>start /low /b %USERPROFILE%\Documents\GitHub\eaglep3\Utilities\DownloadLogsFromS3.py --loco 4026 --day 2017-06-30</v>
      </c>
      <c r="AN146" s="151" t="str">
        <f t="shared" si="7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03:40:51"},{"id":29,"name":"Sharepoint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825</v>
      </c>
      <c r="B147" s="7">
        <v>4025</v>
      </c>
      <c r="C147" s="21" t="s">
        <v>200</v>
      </c>
      <c r="D147" s="21" t="s">
        <v>875</v>
      </c>
      <c r="E147" s="13">
        <v>42916.910682870373</v>
      </c>
      <c r="F147" s="13">
        <v>42916.915069444447</v>
      </c>
      <c r="G147" s="7">
        <v>1</v>
      </c>
      <c r="H147" s="21" t="s">
        <v>348</v>
      </c>
      <c r="I147" s="13">
        <v>42916.95349537037</v>
      </c>
      <c r="J147" s="7">
        <v>0</v>
      </c>
      <c r="K147" s="89" t="str">
        <f t="shared" si="61"/>
        <v>4025/4026</v>
      </c>
      <c r="L147" s="21" t="str">
        <f>VLOOKUP(A147,'Trips&amp;Operators'!$C$1:$G$99999,5,FALSE)</f>
        <v>LAMAR NEKESHA</v>
      </c>
      <c r="M147" s="6">
        <f t="shared" si="62"/>
        <v>3.8425925922638271E-2</v>
      </c>
      <c r="N147" s="7">
        <f t="shared" si="59"/>
        <v>55.33333332859911</v>
      </c>
      <c r="O147" s="7"/>
      <c r="P147" s="7"/>
      <c r="Q147" s="22"/>
      <c r="R147" s="170" t="s">
        <v>1086</v>
      </c>
      <c r="S147" s="213">
        <f t="shared" si="56"/>
        <v>1</v>
      </c>
      <c r="T147" s="195" t="str">
        <f t="shared" si="63"/>
        <v>Southbound</v>
      </c>
      <c r="U147" s="19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6" t="str">
        <f t="shared" si="64"/>
        <v>https://d0f6bd738d7f1b3e5a7ca70fe4ff75f0.us-east-1.aws.found.io/app/kibana#/discover/Steve-Slow-Train-Analysis-(2080s-and-2083s)?_g=(refreshInterval:(display:Off,pause:!f,section:0,value:0),time:(from:'2017-06-30T20:51:23-0600',mode:absolute,to:'2017-06-30T23:53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47" s="197" t="str">
        <f>IF(AA147&lt;VLOOKUP(AG147,Variables!$AC$3:$AD$8,2,FALSE),"Y","N")</f>
        <v>N</v>
      </c>
      <c r="X147" s="197">
        <f t="shared" si="60"/>
        <v>1</v>
      </c>
      <c r="Y147" s="197">
        <f t="shared" si="57"/>
        <v>23.298500000000001</v>
      </c>
      <c r="Z147" s="197">
        <f t="shared" si="58"/>
        <v>1.43E-2</v>
      </c>
      <c r="AA147" s="197">
        <f t="shared" si="65"/>
        <v>23.284200000000002</v>
      </c>
      <c r="AB147" s="54" t="e">
        <f>VLOOKUP(A147,Enforcements!$C$7:$K$13,8,0)</f>
        <v>#N/A</v>
      </c>
      <c r="AC147" s="51" t="e">
        <f>VLOOKUP(A147,Enforcements!$C$7:$E$13,3,0)</f>
        <v>#N/A</v>
      </c>
      <c r="AD147" s="206">
        <f t="shared" si="66"/>
        <v>230</v>
      </c>
      <c r="AE147" s="77" t="str">
        <f t="shared" si="67"/>
        <v>aws s3 cp s3://rtdc.mdm.uploadarchive.raw/RTDC4025/ "%USERPROFILE%\AppData\Local\Temp\OnboardLogs"\RTDC4025\2017-06-30 --exclude "*" --recursive --include "*20170630*" &amp; "%USERPROFILE%\Documents\GitHub\mrs-test-scripts\Headless Mode &amp; Sideloading\WalkAndUnGZ.bat" "%USERPROFILE%\AppData\Local\Temp\OnboardLogs"\RTDC4025\2017-06-30 &amp; aws s3 cp s3://rtdc.mdm.uploadarchive.raw/RTDC4025/ "%USERPROFILE%\AppData\Local\Temp\OnboardLogs"\RTDC4025\2017-07-01 --exclude "*" --recursive --include "*20170701*" &amp; "%USERPROFILE%\Documents\GitHub\mrs-test-scripts\Headless Mode &amp; Sideloading\WalkAndUnGZ.bat" "%USERPROFILE%\AppData\Local\Temp\OnboardLogs"\RTDC4025\2017-07-01</v>
      </c>
      <c r="AF147" s="74" t="str">
        <f t="shared" si="68"/>
        <v>"C:\Program Files (x86)\AstroGrep\AstroGrep.exe" /e /r /s /spath="%USERPROFILE%\AppData\Local\Temp\OnboardLogs" /stypes="app*4025*20170701*" /stext=" 04:.+((SYSTEM_STATE.+slice.+state.+changed )|(ment ac)|(multiple cpu faults)|(system.+state.+changed )|(\[timeout)|(PRM\|1\|D)|(kpr)|(kdp)|(train st.+moving)|(\|lc)|(penalty))"</v>
      </c>
      <c r="AG147" s="209" t="str">
        <f t="shared" si="69"/>
        <v>EC</v>
      </c>
      <c r="AH147" s="78" t="str">
        <f t="shared" si="70"/>
        <v>"%USERPROFILE%\Documents\GitHub\eaglep3\Utilities\RefineRTDCRunTimes.py" --tripid 230-30 --locoid 4025 --swversion DE.1.0.9.0 --startMP 204:232985 --initTime 2017-06-30T21:51:23 --startdatetime 2017-06-30T21:57:42 --delay 1 --endMP 204:143 --enddatetime 2017-06-30T22:53:02 --enforcementcount 0 &gt;&gt;C:\Users\stu\Documents\GitHub\eaglep3-reporting\EC\2017-06-30-refined-times.txt</v>
      </c>
      <c r="AI147" s="96" t="str">
        <f t="shared" si="71"/>
        <v>echo {"issue":{"subject":"Delayed by test train 83","project_id":79,"tracker_id":40,"status_id":1,"priority_id":2,"assigned_to_id":23,"start_date":"2017-06-30","description":"","custom_fields":[{"id":1,"name":"Subdivision","value":"EC"},{"id":4,"name":"Milepost","value":"0.0143"},{"id":17,"name":"Train ID","value":"230-30"},{"id":16,"name":"Locomotive ID","value":"4025"},{"id":130,"name":"Impact","value":""},{"id":150,"name":"Time of Event (Mountain Time)","value":"22:53:02"},{"id":151,"name":"Denver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si="72"/>
        <v>start /low /b %USERPROFILE%\Documents\GitHub\eaglep3\Utilities\DownloadLogsFromS3.py --loco 4025 --day 2017-06-30</v>
      </c>
      <c r="AN147" s="151" t="str">
        <f t="shared" si="73"/>
        <v>echo {"issue":{"subject":"Delayed by test train 83","project_id":30,"tracker_id":4,"status_id":1,"priority_id":1,"assigned_to_id":10,"start_date":"2017-07-01","description":"","custom_fields":[{"id":30,"name":"Category","value":"Issue"},{"id":3,"name":"Functional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04:53:02"},{"id":29,"name":"Sharepoint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823</v>
      </c>
      <c r="B148" s="7">
        <v>4032</v>
      </c>
      <c r="C148" s="21" t="s">
        <v>200</v>
      </c>
      <c r="D148" s="21" t="s">
        <v>922</v>
      </c>
      <c r="E148" s="13">
        <v>42916.893425925926</v>
      </c>
      <c r="F148" s="13">
        <v>42916.896284722221</v>
      </c>
      <c r="G148" s="7">
        <v>1</v>
      </c>
      <c r="H148" s="21" t="s">
        <v>546</v>
      </c>
      <c r="I148" s="13">
        <v>42916.931493055556</v>
      </c>
      <c r="J148" s="7">
        <v>0</v>
      </c>
      <c r="K148" s="89" t="str">
        <f t="shared" si="61"/>
        <v>4031/4032</v>
      </c>
      <c r="L148" s="21" t="str">
        <f>VLOOKUP(A148,'Trips&amp;Operators'!$C$1:$G$99999,5,FALSE)</f>
        <v>HELVIE ADAM</v>
      </c>
      <c r="M148" s="6">
        <f t="shared" si="62"/>
        <v>3.5208333334594499E-2</v>
      </c>
      <c r="N148" s="7">
        <f t="shared" si="59"/>
        <v>50.700000001816079</v>
      </c>
      <c r="O148" s="7"/>
      <c r="P148" s="7"/>
      <c r="Q148" s="22"/>
      <c r="R148" s="170" t="s">
        <v>1086</v>
      </c>
      <c r="S148" s="213">
        <f t="shared" si="56"/>
        <v>1</v>
      </c>
      <c r="T148" s="195" t="str">
        <f t="shared" si="63"/>
        <v>NorthBound</v>
      </c>
      <c r="U148" s="19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6" t="str">
        <f t="shared" si="64"/>
        <v>https://d0f6bd738d7f1b3e5a7ca70fe4ff75f0.us-east-1.aws.found.io/app/kibana#/discover/Steve-Slow-Train-Analysis-(2080s-and-2083s)?_g=(refreshInterval:(display:Off,pause:!f,section:0,value:0),time:(from:'2017-06-30T20:26:32-0600',mode:absolute,to:'2017-06-30T23:21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48" s="197" t="str">
        <f>IF(AA148&lt;VLOOKUP(AG148,Variables!$AC$3:$AD$8,2,FALSE),"Y","N")</f>
        <v>N</v>
      </c>
      <c r="X148" s="197">
        <f t="shared" si="60"/>
        <v>1</v>
      </c>
      <c r="Y148" s="197">
        <f t="shared" si="57"/>
        <v>4.7699999999999999E-2</v>
      </c>
      <c r="Z148" s="197">
        <f t="shared" si="58"/>
        <v>23.328499999999998</v>
      </c>
      <c r="AA148" s="197">
        <f t="shared" si="65"/>
        <v>23.280799999999999</v>
      </c>
      <c r="AB148" s="54" t="e">
        <f>VLOOKUP(A148,Enforcements!$C$7:$K$13,8,0)</f>
        <v>#N/A</v>
      </c>
      <c r="AC148" s="51" t="e">
        <f>VLOOKUP(A148,Enforcements!$C$7:$E$13,3,0)</f>
        <v>#N/A</v>
      </c>
      <c r="AD148" s="206">
        <f t="shared" si="66"/>
        <v>231</v>
      </c>
      <c r="AE148" s="77" t="str">
        <f t="shared" si="67"/>
        <v>aws s3 cp s3://rtdc.mdm.uploadarchive.raw/RTDC4032/ "%USERPROFILE%\AppData\Local\Temp\OnboardLogs"\RTDC4032\2017-06-30 --exclude "*" --recursive --include "*20170630*" &amp; "%USERPROFILE%\Documents\GitHub\mrs-test-scripts\Headless Mode &amp; Sideloading\WalkAndUnGZ.bat" "%USERPROFILE%\AppData\Local\Temp\OnboardLogs"\RTDC4032\2017-06-30 &amp; aws s3 cp s3://rtdc.mdm.uploadarchive.raw/RTDC4032/ "%USERPROFILE%\AppData\Local\Temp\OnboardLogs"\RTDC4032\2017-07-01 --exclude "*" --recursive --include "*20170701*" &amp; "%USERPROFILE%\Documents\GitHub\mrs-test-scripts\Headless Mode &amp; Sideloading\WalkAndUnGZ.bat" "%USERPROFILE%\AppData\Local\Temp\OnboardLogs"\RTDC4032\2017-07-01</v>
      </c>
      <c r="AF148" s="74" t="str">
        <f t="shared" si="68"/>
        <v>"C:\Program Files (x86)\AstroGrep\AstroGrep.exe" /e /r /s /spath="%USERPROFILE%\AppData\Local\Temp\OnboardLogs" /stypes="app*4032*20170701*" /stext=" 04:.+((SYSTEM_STATE.+slice.+state.+changed )|(ment ac)|(multiple cpu faults)|(system.+state.+changed )|(\[timeout)|(PRM\|1\|D)|(kpr)|(kdp)|(train st.+moving)|(\|lc)|(penalty))"</v>
      </c>
      <c r="AG148" s="209" t="str">
        <f t="shared" si="69"/>
        <v>EC</v>
      </c>
      <c r="AH148" s="78" t="str">
        <f t="shared" si="70"/>
        <v>"%USERPROFILE%\Documents\GitHub\eaglep3\Utilities\RefineRTDCRunTimes.py" --tripid 231-30 --locoid 4032 --swversion DE.1.0.9.0 --startMP 204:477 --initTime 2017-06-30T21:26:32 --startdatetime 2017-06-30T21:30:39 --delay 1 --endMP 204:233285 --enddatetime 2017-06-30T22:21:21 --enforcementcount 0 &gt;&gt;C:\Users\stu\Documents\GitHub\eaglep3-reporting\EC\2017-06-30-refined-times.txt</v>
      </c>
      <c r="AI148" s="96" t="str">
        <f t="shared" si="71"/>
        <v>echo {"issue":{"subject":"Delayed by test train 83","project_id":79,"tracker_id":40,"status_id":1,"priority_id":2,"assigned_to_id":23,"start_date":"2017-06-30","description":"","custom_fields":[{"id":1,"name":"Subdivision","value":"EC"},{"id":4,"name":"Milepost","value":"23.3285"},{"id":17,"name":"Train ID","value":"231-30"},{"id":16,"name":"Locomotive ID","value":"4032"},{"id":130,"name":"Impact","value":""},{"id":150,"name":"Time of Event (Mountain Time)","value":"22:21:21"},{"id":151,"name":"Denver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72"/>
        <v>start /low /b %USERPROFILE%\Documents\GitHub\eaglep3\Utilities\DownloadLogsFromS3.py --loco 4032 --day 2017-06-30</v>
      </c>
      <c r="AN148" s="151" t="str">
        <f t="shared" si="73"/>
        <v>echo {"issue":{"subject":"Delayed by test train 83","project_id":30,"tracker_id":4,"status_id":1,"priority_id":1,"assigned_to_id":10,"start_date":"2017-07-01","description":"","custom_fields":[{"id":30,"name":"Category","value":"Issue"},{"id":3,"name":"Functional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04:21:21"},{"id":29,"name":"Sharepoint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828</v>
      </c>
      <c r="B149" s="7">
        <v>4031</v>
      </c>
      <c r="C149" s="21" t="s">
        <v>200</v>
      </c>
      <c r="D149" s="21" t="s">
        <v>436</v>
      </c>
      <c r="E149" s="13">
        <v>42916.934328703705</v>
      </c>
      <c r="F149" s="13">
        <v>42916.935671296298</v>
      </c>
      <c r="G149" s="7">
        <v>0</v>
      </c>
      <c r="H149" s="21" t="s">
        <v>192</v>
      </c>
      <c r="I149" s="13">
        <v>42916.962083333332</v>
      </c>
      <c r="J149" s="7">
        <v>0</v>
      </c>
      <c r="K149" s="89" t="str">
        <f t="shared" si="61"/>
        <v>4031/4032</v>
      </c>
      <c r="L149" s="21" t="str">
        <f>VLOOKUP(A149,'Trips&amp;Operators'!$C$1:$G$99999,5,FALSE)</f>
        <v>HELVIE ADAM</v>
      </c>
      <c r="M149" s="6">
        <f t="shared" si="62"/>
        <v>2.6412037033878732E-2</v>
      </c>
      <c r="N149" s="7">
        <f t="shared" si="59"/>
        <v>38.033333328785375</v>
      </c>
      <c r="O149" s="7"/>
      <c r="P149" s="7"/>
      <c r="Q149" s="22"/>
      <c r="R149" s="170"/>
      <c r="S149" s="213">
        <f t="shared" si="56"/>
        <v>1</v>
      </c>
      <c r="T149" s="195" t="str">
        <f t="shared" si="63"/>
        <v>Southbound</v>
      </c>
      <c r="U149" s="19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6" t="str">
        <f t="shared" si="64"/>
        <v>https://d0f6bd738d7f1b3e5a7ca70fe4ff75f0.us-east-1.aws.found.io/app/kibana#/discover/Steve-Slow-Train-Analysis-(2080s-and-2083s)?_g=(refreshInterval:(display:Off,pause:!f,section:0,value:0),time:(from:'2017-06-30T21:25:26-0600',mode:absolute,to:'2017-07-01T00:05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49" s="197" t="str">
        <f>IF(AA149&lt;VLOOKUP(AG149,Variables!$AC$3:$AD$8,2,FALSE),"Y","N")</f>
        <v>N</v>
      </c>
      <c r="X149" s="197">
        <f t="shared" si="60"/>
        <v>1</v>
      </c>
      <c r="Y149" s="197">
        <f t="shared" si="57"/>
        <v>23.297699999999999</v>
      </c>
      <c r="Z149" s="197">
        <f t="shared" si="58"/>
        <v>1.52E-2</v>
      </c>
      <c r="AA149" s="197">
        <f t="shared" si="65"/>
        <v>23.282499999999999</v>
      </c>
      <c r="AB149" s="54" t="e">
        <f>VLOOKUP(A149,Enforcements!$C$7:$K$13,8,0)</f>
        <v>#N/A</v>
      </c>
      <c r="AC149" s="51" t="e">
        <f>VLOOKUP(A149,Enforcements!$C$7:$E$13,3,0)</f>
        <v>#N/A</v>
      </c>
      <c r="AD149" s="206">
        <f t="shared" si="66"/>
        <v>232</v>
      </c>
      <c r="AE149" s="77" t="str">
        <f t="shared" si="67"/>
        <v>aws s3 cp s3://rtdc.mdm.uploadarchive.raw/RTDC4031/ "%USERPROFILE%\AppData\Local\Temp\OnboardLogs"\RTDC4031\2017-06-30 --exclude "*" --recursive --include "*20170630*" &amp; "%USERPROFILE%\Documents\GitHub\mrs-test-scripts\Headless Mode &amp; Sideloading\WalkAndUnGZ.bat" "%USERPROFILE%\AppData\Local\Temp\OnboardLogs"\RTDC4031\2017-06-30 &amp; aws s3 cp s3://rtdc.mdm.uploadarchive.raw/RTDC4031/ "%USERPROFILE%\AppData\Local\Temp\OnboardLogs"\RTDC4031\2017-07-01 --exclude "*" --recursive --include "*20170701*" &amp; "%USERPROFILE%\Documents\GitHub\mrs-test-scripts\Headless Mode &amp; Sideloading\WalkAndUnGZ.bat" "%USERPROFILE%\AppData\Local\Temp\OnboardLogs"\RTDC4031\2017-07-01</v>
      </c>
      <c r="AF149" s="74" t="str">
        <f t="shared" si="68"/>
        <v>"C:\Program Files (x86)\AstroGrep\AstroGrep.exe" /e /r /s /spath="%USERPROFILE%\AppData\Local\Temp\OnboardLogs" /stypes="app*4031*20170701*" /stext=" 05:.+((SYSTEM_STATE.+slice.+state.+changed )|(ment ac)|(multiple cpu faults)|(system.+state.+changed )|(\[timeout)|(PRM\|1\|D)|(kpr)|(kdp)|(train st.+moving)|(\|lc)|(penalty))"</v>
      </c>
      <c r="AG149" s="209" t="str">
        <f t="shared" si="69"/>
        <v>EC</v>
      </c>
      <c r="AH149" s="78" t="str">
        <f t="shared" si="70"/>
        <v>"%USERPROFILE%\Documents\GitHub\eaglep3\Utilities\RefineRTDCRunTimes.py" --tripid 232-30 --locoid 4031 --swversion DE.1.0.9.0 --startMP 204:232977 --initTime 2017-06-30T22:25:26 --startdatetime 2017-06-30T22:27:22 --delay 0 --endMP 204:152 --enddatetime 2017-06-30T23:05:24 --enforcementcount 0 &gt;&gt;C:\Users\stu\Documents\GitHub\eaglep3-reporting\EC\2017-06-30-refined-times.txt</v>
      </c>
      <c r="AI149" s="96" t="str">
        <f t="shared" si="71"/>
        <v>echo {"issue":{"subject":"","project_id":79,"tracker_id":40,"status_id":1,"priority_id":2,"assigned_to_id":23,"start_date":"2017-06-30","description":"","custom_fields":[{"id":1,"name":"Subdivision","value":"EC"},{"id":4,"name":"Milepost","value":"0.0152"},{"id":17,"name":"Train ID","value":"232-30"},{"id":16,"name":"Locomotive ID","value":"4031"},{"id":130,"name":"Impact","value":""},{"id":150,"name":"Time of Event (Mountain Time)","value":"23:05:24"},{"id":151,"name":"Denver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72"/>
        <v>start /low /b %USERPROFILE%\Documents\GitHub\eaglep3\Utilities\DownloadLogsFromS3.py --loco 4031 --day 2017-06-30</v>
      </c>
      <c r="AN149" s="151" t="str">
        <f t="shared" si="7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05:05:24"},{"id":29,"name":"Sharepoint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824</v>
      </c>
      <c r="B150" s="7">
        <v>4042</v>
      </c>
      <c r="C150" s="21" t="s">
        <v>200</v>
      </c>
      <c r="D150" s="21" t="s">
        <v>499</v>
      </c>
      <c r="E150" s="13">
        <v>42916.905266203707</v>
      </c>
      <c r="F150" s="13">
        <v>42916.917314814818</v>
      </c>
      <c r="G150" s="7">
        <v>1</v>
      </c>
      <c r="H150" s="21" t="s">
        <v>542</v>
      </c>
      <c r="I150" s="13">
        <v>42916.94253472222</v>
      </c>
      <c r="J150" s="7">
        <v>0</v>
      </c>
      <c r="K150" s="89" t="str">
        <f t="shared" si="61"/>
        <v>4041/4042</v>
      </c>
      <c r="L150" s="21" t="str">
        <f>VLOOKUP(A150,'Trips&amp;Operators'!$C$1:$G$99999,5,FALSE)</f>
        <v>PERKINS DARREN</v>
      </c>
      <c r="M150" s="6">
        <f t="shared" si="62"/>
        <v>2.5219907402060926E-2</v>
      </c>
      <c r="N150" s="7">
        <f t="shared" si="59"/>
        <v>36.316666658967733</v>
      </c>
      <c r="O150" s="7"/>
      <c r="P150" s="7"/>
      <c r="Q150" s="22"/>
      <c r="R150" s="170"/>
      <c r="S150" s="213">
        <f t="shared" si="56"/>
        <v>1</v>
      </c>
      <c r="T150" s="195" t="str">
        <f t="shared" si="63"/>
        <v>NorthBound</v>
      </c>
      <c r="U150" s="19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6" t="str">
        <f t="shared" si="64"/>
        <v>https://d0f6bd738d7f1b3e5a7ca70fe4ff75f0.us-east-1.aws.found.io/app/kibana#/discover/Steve-Slow-Train-Analysis-(2080s-and-2083s)?_g=(refreshInterval:(display:Off,pause:!f,section:0,value:0),time:(from:'2017-06-30T20:43:35-0600',mode:absolute,to:'2017-06-30T23:37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50" s="197" t="str">
        <f>IF(AA150&lt;VLOOKUP(AG150,Variables!$AC$3:$AD$8,2,FALSE),"Y","N")</f>
        <v>N</v>
      </c>
      <c r="X150" s="197">
        <f t="shared" si="60"/>
        <v>1</v>
      </c>
      <c r="Y150" s="197">
        <f t="shared" si="57"/>
        <v>4.3499999999999997E-2</v>
      </c>
      <c r="Z150" s="197">
        <f t="shared" si="58"/>
        <v>23.3306</v>
      </c>
      <c r="AA150" s="197">
        <f t="shared" si="65"/>
        <v>23.287099999999999</v>
      </c>
      <c r="AB150" s="54" t="e">
        <f>VLOOKUP(A150,Enforcements!$C$7:$K$13,8,0)</f>
        <v>#N/A</v>
      </c>
      <c r="AC150" s="51" t="e">
        <f>VLOOKUP(A150,Enforcements!$C$7:$E$13,3,0)</f>
        <v>#N/A</v>
      </c>
      <c r="AD150" s="206">
        <f t="shared" si="66"/>
        <v>233</v>
      </c>
      <c r="AE150" s="77" t="str">
        <f t="shared" si="67"/>
        <v>aws s3 cp s3://rtdc.mdm.uploadarchive.raw/RTDC4042/ "%USERPROFILE%\AppData\Local\Temp\OnboardLogs"\RTDC4042\2017-06-30 --exclude "*" --recursive --include "*20170630*" &amp; "%USERPROFILE%\Documents\GitHub\mrs-test-scripts\Headless Mode &amp; Sideloading\WalkAndUnGZ.bat" "%USERPROFILE%\AppData\Local\Temp\OnboardLogs"\RTDC4042\2017-06-30 &amp; aws s3 cp s3://rtdc.mdm.uploadarchive.raw/RTDC4042/ "%USERPROFILE%\AppData\Local\Temp\OnboardLogs"\RTDC4042\2017-07-01 --exclude "*" --recursive --include "*20170701*" &amp; "%USERPROFILE%\Documents\GitHub\mrs-test-scripts\Headless Mode &amp; Sideloading\WalkAndUnGZ.bat" "%USERPROFILE%\AppData\Local\Temp\OnboardLogs"\RTDC4042\2017-07-01</v>
      </c>
      <c r="AF150" s="74" t="str">
        <f t="shared" si="68"/>
        <v>"C:\Program Files (x86)\AstroGrep\AstroGrep.exe" /e /r /s /spath="%USERPROFILE%\AppData\Local\Temp\OnboardLogs" /stypes="app*4042*20170701*" /stext=" 04:.+((SYSTEM_STATE.+slice.+state.+changed )|(ment ac)|(multiple cpu faults)|(system.+state.+changed )|(\[timeout)|(PRM\|1\|D)|(kpr)|(kdp)|(train st.+moving)|(\|lc)|(penalty))"</v>
      </c>
      <c r="AG150" s="209" t="str">
        <f t="shared" si="69"/>
        <v>EC</v>
      </c>
      <c r="AH150" s="78" t="str">
        <f t="shared" si="70"/>
        <v>"%USERPROFILE%\Documents\GitHub\eaglep3\Utilities\RefineRTDCRunTimes.py" --tripid 233-30 --locoid 4042 --swversion DE.1.0.9.0 --startMP 204:435 --initTime 2017-06-30T21:43:35 --startdatetime 2017-06-30T22:00:56 --delay 1 --endMP 204:233306 --enddatetime 2017-06-30T22:37:15 --enforcementcount 0 &gt;&gt;C:\Users\stu\Documents\GitHub\eaglep3-reporting\EC\2017-06-30-refined-times.txt</v>
      </c>
      <c r="AI150" s="96" t="str">
        <f t="shared" si="71"/>
        <v>echo {"issue":{"subject":"","project_id":79,"tracker_id":40,"status_id":1,"priority_id":2,"assigned_to_id":23,"start_date":"2017-06-30","description":"","custom_fields":[{"id":1,"name":"Subdivision","value":"EC"},{"id":4,"name":"Milepost","value":"23.3306"},{"id":17,"name":"Train ID","value":"233-30"},{"id":16,"name":"Locomotive ID","value":"4042"},{"id":130,"name":"Impact","value":""},{"id":150,"name":"Time of Event (Mountain Time)","value":"22:37:15"},{"id":151,"name":"Denver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2" t="str">
        <f t="shared" si="72"/>
        <v>start /low /b %USERPROFILE%\Documents\GitHub\eaglep3\Utilities\DownloadLogsFromS3.py --loco 4042 --day 2017-06-30</v>
      </c>
      <c r="AN150" s="151" t="str">
        <f t="shared" si="7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04:37:15"},{"id":29,"name":"Sharepoint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830</v>
      </c>
      <c r="B151" s="7">
        <v>4041</v>
      </c>
      <c r="C151" s="21" t="s">
        <v>200</v>
      </c>
      <c r="D151" s="21" t="s">
        <v>537</v>
      </c>
      <c r="E151" s="13">
        <v>42916.944756944446</v>
      </c>
      <c r="F151" s="13">
        <v>42916.956469907411</v>
      </c>
      <c r="G151" s="7">
        <v>1</v>
      </c>
      <c r="H151" s="21" t="s">
        <v>921</v>
      </c>
      <c r="I151" s="13">
        <v>42916.983865740738</v>
      </c>
      <c r="J151" s="7">
        <v>0</v>
      </c>
      <c r="K151" s="89" t="str">
        <f t="shared" si="61"/>
        <v>4041/4042</v>
      </c>
      <c r="L151" s="21" t="str">
        <f>VLOOKUP(A151,'Trips&amp;Operators'!$C$1:$G$99999,5,FALSE)</f>
        <v>PERKINS DARREN</v>
      </c>
      <c r="M151" s="6">
        <f t="shared" si="62"/>
        <v>2.7395833327318542E-2</v>
      </c>
      <c r="N151" s="7">
        <f t="shared" si="59"/>
        <v>39.4499999913387</v>
      </c>
      <c r="O151" s="7"/>
      <c r="P151" s="7"/>
      <c r="Q151" s="22"/>
      <c r="R151" s="170"/>
      <c r="S151" s="213">
        <f t="shared" si="56"/>
        <v>1</v>
      </c>
      <c r="T151" s="195" t="str">
        <f t="shared" si="63"/>
        <v>Southbound</v>
      </c>
      <c r="U151" s="19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6" t="str">
        <f t="shared" si="64"/>
        <v>https://d0f6bd738d7f1b3e5a7ca70fe4ff75f0.us-east-1.aws.found.io/app/kibana#/discover/Steve-Slow-Train-Analysis-(2080s-and-2083s)?_g=(refreshInterval:(display:Off,pause:!f,section:0,value:0),time:(from:'2017-06-30T21:40:27-0600',mode:absolute,to:'2017-07-01T00:36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51" s="197" t="str">
        <f>IF(AA151&lt;VLOOKUP(AG151,Variables!$AC$3:$AD$8,2,FALSE),"Y","N")</f>
        <v>N</v>
      </c>
      <c r="X151" s="197">
        <f t="shared" si="60"/>
        <v>1</v>
      </c>
      <c r="Y151" s="197">
        <f t="shared" si="57"/>
        <v>23.299299999999999</v>
      </c>
      <c r="Z151" s="197">
        <f t="shared" si="58"/>
        <v>1.1599999999999999E-2</v>
      </c>
      <c r="AA151" s="197">
        <f t="shared" si="65"/>
        <v>23.287699999999997</v>
      </c>
      <c r="AB151" s="54" t="e">
        <f>VLOOKUP(A151,Enforcements!$C$7:$K$13,8,0)</f>
        <v>#N/A</v>
      </c>
      <c r="AC151" s="51" t="e">
        <f>VLOOKUP(A151,Enforcements!$C$7:$E$13,3,0)</f>
        <v>#N/A</v>
      </c>
      <c r="AD151" s="206">
        <f t="shared" si="66"/>
        <v>234</v>
      </c>
      <c r="AE151" s="77" t="str">
        <f t="shared" si="67"/>
        <v>aws s3 cp s3://rtdc.mdm.uploadarchive.raw/RTDC4041/ "%USERPROFILE%\AppData\Local\Temp\OnboardLogs"\RTDC4041\2017-06-30 --exclude "*" --recursive --include "*20170630*" &amp; "%USERPROFILE%\Documents\GitHub\mrs-test-scripts\Headless Mode &amp; Sideloading\WalkAndUnGZ.bat" "%USERPROFILE%\AppData\Local\Temp\OnboardLogs"\RTDC4041\2017-06-30 &amp; aws s3 cp s3://rtdc.mdm.uploadarchive.raw/RTDC4041/ "%USERPROFILE%\AppData\Local\Temp\OnboardLogs"\RTDC4041\2017-07-01 --exclude "*" --recursive --include "*20170701*" &amp; "%USERPROFILE%\Documents\GitHub\mrs-test-scripts\Headless Mode &amp; Sideloading\WalkAndUnGZ.bat" "%USERPROFILE%\AppData\Local\Temp\OnboardLogs"\RTDC4041\2017-07-01</v>
      </c>
      <c r="AF151" s="74" t="str">
        <f t="shared" si="68"/>
        <v>"C:\Program Files (x86)\AstroGrep\AstroGrep.exe" /e /r /s /spath="%USERPROFILE%\AppData\Local\Temp\OnboardLogs" /stypes="app*4041*20170701*" /stext=" 05:.+((SYSTEM_STATE.+slice.+state.+changed )|(ment ac)|(multiple cpu faults)|(system.+state.+changed )|(\[timeout)|(PRM\|1\|D)|(kpr)|(kdp)|(train st.+moving)|(\|lc)|(penalty))"</v>
      </c>
      <c r="AG151" s="209" t="str">
        <f t="shared" si="69"/>
        <v>EC</v>
      </c>
      <c r="AH151" s="78" t="str">
        <f t="shared" si="70"/>
        <v>"%USERPROFILE%\Documents\GitHub\eaglep3\Utilities\RefineRTDCRunTimes.py" --tripid 234-30 --locoid 4041 --swversion DE.1.0.9.0 --startMP 204:232993 --initTime 2017-06-30T22:40:27 --startdatetime 2017-06-30T22:57:19 --delay 1 --endMP 204:116 --enddatetime 2017-06-30T23:36:46 --enforcementcount 0 &gt;&gt;C:\Users\stu\Documents\GitHub\eaglep3-reporting\EC\2017-06-30-refined-times.txt</v>
      </c>
      <c r="AI151" s="96" t="str">
        <f t="shared" si="71"/>
        <v>echo {"issue":{"subject":"","project_id":79,"tracker_id":40,"status_id":1,"priority_id":2,"assigned_to_id":23,"start_date":"2017-06-30","description":"","custom_fields":[{"id":1,"name":"Subdivision","value":"EC"},{"id":4,"name":"Milepost","value":"0.0116"},{"id":17,"name":"Train ID","value":"234-30"},{"id":16,"name":"Locomotive ID","value":"4041"},{"id":130,"name":"Impact","value":""},{"id":150,"name":"Time of Event (Mountain Time)","value":"23:36:46"},{"id":151,"name":"Denver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7"/>
      <c r="AL151" s="47"/>
      <c r="AM151" s="142" t="str">
        <f t="shared" si="72"/>
        <v>start /low /b %USERPROFILE%\Documents\GitHub\eaglep3\Utilities\DownloadLogsFromS3.py --loco 4041 --day 2017-06-30</v>
      </c>
      <c r="AN151" s="151" t="str">
        <f t="shared" si="7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05:36:46"},{"id":29,"name":"Sharepoint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827</v>
      </c>
      <c r="B152" s="7">
        <v>4002</v>
      </c>
      <c r="C152" s="21" t="s">
        <v>200</v>
      </c>
      <c r="D152" s="21" t="s">
        <v>350</v>
      </c>
      <c r="E152" s="13">
        <v>42916.932592592595</v>
      </c>
      <c r="F152" s="13">
        <v>42916.938171296293</v>
      </c>
      <c r="G152" s="7">
        <v>1</v>
      </c>
      <c r="H152" s="21" t="s">
        <v>507</v>
      </c>
      <c r="I152" s="13">
        <v>42916.963854166665</v>
      </c>
      <c r="J152" s="7">
        <v>0</v>
      </c>
      <c r="K152" s="89" t="str">
        <f t="shared" si="61"/>
        <v>4001/4002</v>
      </c>
      <c r="L152" s="21" t="str">
        <f>VLOOKUP(A152,'Trips&amp;Operators'!$C$1:$G$99999,5,FALSE)</f>
        <v>FORTUNATO FRANK</v>
      </c>
      <c r="M152" s="6">
        <f t="shared" si="62"/>
        <v>2.5682870371383615E-2</v>
      </c>
      <c r="N152" s="7">
        <f t="shared" si="59"/>
        <v>36.983333334792405</v>
      </c>
      <c r="O152" s="7"/>
      <c r="P152" s="7"/>
      <c r="Q152" s="22"/>
      <c r="R152" s="170"/>
      <c r="S152" s="213">
        <f t="shared" si="56"/>
        <v>1</v>
      </c>
      <c r="T152" s="195" t="str">
        <f t="shared" si="63"/>
        <v>NorthBound</v>
      </c>
      <c r="U152" s="19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6" t="str">
        <f t="shared" si="64"/>
        <v>https://d0f6bd738d7f1b3e5a7ca70fe4ff75f0.us-east-1.aws.found.io/app/kibana#/discover/Steve-Slow-Train-Analysis-(2080s-and-2083s)?_g=(refreshInterval:(display:Off,pause:!f,section:0,value:0),time:(from:'2017-06-30T21:22:56-0600',mode:absolute,to:'2017-07-01T00:07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52" s="197" t="str">
        <f>IF(AA152&lt;VLOOKUP(AG152,Variables!$AC$3:$AD$8,2,FALSE),"Y","N")</f>
        <v>N</v>
      </c>
      <c r="X152" s="197">
        <f t="shared" si="60"/>
        <v>1</v>
      </c>
      <c r="Y152" s="197">
        <f t="shared" si="57"/>
        <v>4.5100000000000001E-2</v>
      </c>
      <c r="Z152" s="197">
        <f t="shared" si="58"/>
        <v>23.330400000000001</v>
      </c>
      <c r="AA152" s="197">
        <f t="shared" si="65"/>
        <v>23.285299999999999</v>
      </c>
      <c r="AB152" s="54" t="e">
        <f>VLOOKUP(A152,Enforcements!$C$7:$K$13,8,0)</f>
        <v>#N/A</v>
      </c>
      <c r="AC152" s="51" t="e">
        <f>VLOOKUP(A152,Enforcements!$C$7:$E$13,3,0)</f>
        <v>#N/A</v>
      </c>
      <c r="AD152" s="206">
        <f t="shared" si="66"/>
        <v>235</v>
      </c>
      <c r="AE152" s="77" t="str">
        <f t="shared" si="67"/>
        <v>aws s3 cp s3://rtdc.mdm.uploadarchive.raw/RTDC4002/ "%USERPROFILE%\AppData\Local\Temp\OnboardLogs"\RTDC4002\2017-06-30 --exclude "*" --recursive --include "*20170630*" &amp; "%USERPROFILE%\Documents\GitHub\mrs-test-scripts\Headless Mode &amp; Sideloading\WalkAndUnGZ.bat" "%USERPROFILE%\AppData\Local\Temp\OnboardLogs"\RTDC4002\2017-06-30 &amp; aws s3 cp s3://rtdc.mdm.uploadarchive.raw/RTDC4002/ "%USERPROFILE%\AppData\Local\Temp\OnboardLogs"\RTDC4002\2017-07-01 --exclude "*" --recursive --include "*20170701*" &amp; "%USERPROFILE%\Documents\GitHub\mrs-test-scripts\Headless Mode &amp; Sideloading\WalkAndUnGZ.bat" "%USERPROFILE%\AppData\Local\Temp\OnboardLogs"\RTDC4002\2017-07-01</v>
      </c>
      <c r="AF152" s="74" t="str">
        <f t="shared" si="68"/>
        <v>"C:\Program Files (x86)\AstroGrep\AstroGrep.exe" /e /r /s /spath="%USERPROFILE%\AppData\Local\Temp\OnboardLogs" /stypes="app*4002*20170701*" /stext=" 05:.+((SYSTEM_STATE.+slice.+state.+changed )|(ment ac)|(multiple cpu faults)|(system.+state.+changed )|(\[timeout)|(PRM\|1\|D)|(kpr)|(kdp)|(train st.+moving)|(\|lc)|(penalty))"</v>
      </c>
      <c r="AG152" s="209" t="str">
        <f t="shared" si="69"/>
        <v>EC</v>
      </c>
      <c r="AH152" s="78" t="str">
        <f t="shared" si="70"/>
        <v>"%USERPROFILE%\Documents\GitHub\eaglep3\Utilities\RefineRTDCRunTimes.py" --tripid 235-30 --locoid 4002 --swversion DE.1.0.9.0 --startMP 204:451 --initTime 2017-06-30T22:22:56 --startdatetime 2017-06-30T22:30:58 --delay 1 --endMP 204:233304 --enddatetime 2017-06-30T23:07:57 --enforcementcount 0 &gt;&gt;C:\Users\stu\Documents\GitHub\eaglep3-reporting\EC\2017-06-30-refined-times.txt</v>
      </c>
      <c r="AI152" s="96" t="str">
        <f t="shared" si="71"/>
        <v>echo {"issue":{"subject":"","project_id":79,"tracker_id":40,"status_id":1,"priority_id":2,"assigned_to_id":23,"start_date":"2017-06-30","description":"","custom_fields":[{"id":1,"name":"Subdivision","value":"EC"},{"id":4,"name":"Milepost","value":"23.3304"},{"id":17,"name":"Train ID","value":"235-30"},{"id":16,"name":"Locomotive ID","value":"4002"},{"id":130,"name":"Impact","value":""},{"id":150,"name":"Time of Event (Mountain Time)","value":"23:07:57"},{"id":151,"name":"Denver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2" t="str">
        <f t="shared" si="72"/>
        <v>start /low /b %USERPROFILE%\Documents\GitHub\eaglep3\Utilities\DownloadLogsFromS3.py --loco 4002 --day 2017-06-30</v>
      </c>
      <c r="AN152" s="151" t="str">
        <f t="shared" si="7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05:07:57"},{"id":29,"name":"Sharepoint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832</v>
      </c>
      <c r="B153" s="7">
        <v>4001</v>
      </c>
      <c r="C153" s="21" t="s">
        <v>200</v>
      </c>
      <c r="D153" s="21" t="s">
        <v>460</v>
      </c>
      <c r="E153" s="13">
        <v>42916.965752314813</v>
      </c>
      <c r="F153" s="13">
        <v>42916.97724537037</v>
      </c>
      <c r="G153" s="7">
        <v>0</v>
      </c>
      <c r="H153" s="21" t="s">
        <v>354</v>
      </c>
      <c r="I153" s="13">
        <v>42917.005798611113</v>
      </c>
      <c r="J153" s="7">
        <v>0</v>
      </c>
      <c r="K153" s="89" t="str">
        <f t="shared" si="61"/>
        <v>4001/4002</v>
      </c>
      <c r="L153" s="21" t="str">
        <f>VLOOKUP(A153,'Trips&amp;Operators'!$C$1:$G$99999,5,FALSE)</f>
        <v>FORTUNATO FRANK</v>
      </c>
      <c r="M153" s="6">
        <f t="shared" si="62"/>
        <v>2.8553240743349306E-2</v>
      </c>
      <c r="N153" s="7">
        <f t="shared" si="59"/>
        <v>41.116666670423001</v>
      </c>
      <c r="O153" s="7"/>
      <c r="P153" s="7"/>
      <c r="Q153" s="22"/>
      <c r="R153" s="170"/>
      <c r="S153" s="213">
        <f t="shared" si="56"/>
        <v>1</v>
      </c>
      <c r="T153" s="195" t="str">
        <f t="shared" si="63"/>
        <v>Southbound</v>
      </c>
      <c r="U153" s="19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6" t="str">
        <f t="shared" si="64"/>
        <v>https://d0f6bd738d7f1b3e5a7ca70fe4ff75f0.us-east-1.aws.found.io/app/kibana#/discover/Steve-Slow-Train-Analysis-(2080s-and-2083s)?_g=(refreshInterval:(display:Off,pause:!f,section:0,value:0),time:(from:'2017-06-30T22:10:41-0600',mode:absolute,to:'2017-07-01T01:08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53" s="197" t="str">
        <f>IF(AA153&lt;VLOOKUP(AG153,Variables!$AC$3:$AD$8,2,FALSE),"Y","N")</f>
        <v>N</v>
      </c>
      <c r="X153" s="197">
        <f t="shared" si="60"/>
        <v>1</v>
      </c>
      <c r="Y153" s="197">
        <f t="shared" si="57"/>
        <v>23.2989</v>
      </c>
      <c r="Z153" s="197">
        <f t="shared" si="58"/>
        <v>1.3899999999999999E-2</v>
      </c>
      <c r="AA153" s="197">
        <f t="shared" si="65"/>
        <v>23.285</v>
      </c>
      <c r="AB153" s="54" t="e">
        <f>VLOOKUP(A153,Enforcements!$C$7:$K$13,8,0)</f>
        <v>#N/A</v>
      </c>
      <c r="AC153" s="51" t="e">
        <f>VLOOKUP(A153,Enforcements!$C$7:$E$13,3,0)</f>
        <v>#N/A</v>
      </c>
      <c r="AD153" s="206">
        <f t="shared" si="66"/>
        <v>236</v>
      </c>
      <c r="AE153" s="77" t="str">
        <f t="shared" si="67"/>
        <v>aws s3 cp s3://rtdc.mdm.uploadarchive.raw/RTDC4001/ "%USERPROFILE%\AppData\Local\Temp\OnboardLogs"\RTDC4001\2017-06-30 --exclude "*" --recursive --include "*20170630*" &amp; "%USERPROFILE%\Documents\GitHub\mrs-test-scripts\Headless Mode &amp; Sideloading\WalkAndUnGZ.bat" "%USERPROFILE%\AppData\Local\Temp\OnboardLogs"\RTDC4001\2017-06-30 &amp; aws s3 cp s3://rtdc.mdm.uploadarchive.raw/RTDC4001/ "%USERPROFILE%\AppData\Local\Temp\OnboardLogs"\RTDC4001\2017-07-01 --exclude "*" --recursive --include "*20170701*" &amp; "%USERPROFILE%\Documents\GitHub\mrs-test-scripts\Headless Mode &amp; Sideloading\WalkAndUnGZ.bat" "%USERPROFILE%\AppData\Local\Temp\OnboardLogs"\RTDC4001\2017-07-01</v>
      </c>
      <c r="AF153" s="74" t="str">
        <f t="shared" si="68"/>
        <v>"C:\Program Files (x86)\AstroGrep\AstroGrep.exe" /e /r /s /spath="%USERPROFILE%\AppData\Local\Temp\OnboardLogs" /stypes="app*4001*20170701*" /stext=" 06:.+((SYSTEM_STATE.+slice.+state.+changed )|(ment ac)|(multiple cpu faults)|(system.+state.+changed )|(\[timeout)|(PRM\|1\|D)|(kpr)|(kdp)|(train st.+moving)|(\|lc)|(penalty))"</v>
      </c>
      <c r="AG153" s="209" t="str">
        <f t="shared" si="69"/>
        <v>EC</v>
      </c>
      <c r="AH153" s="78" t="str">
        <f t="shared" si="70"/>
        <v>"%USERPROFILE%\Documents\GitHub\eaglep3\Utilities\RefineRTDCRunTimes.py" --tripid 236-30 --locoid 4001 --swversion DE.1.0.9.0 --startMP 204:232989 --initTime 2017-06-30T23:10:41 --startdatetime 2017-06-30T23:27:14 --delay 0 --endMP 204:139 --enddatetime 2017-07-01T00:08:21 --enforcementcount 0 &gt;&gt;C:\Users\stu\Documents\GitHub\eaglep3-reporting\EC\2017-06-30-refined-times.txt</v>
      </c>
      <c r="AI153" s="96" t="str">
        <f t="shared" si="71"/>
        <v>echo {"issue":{"subject":"","project_id":79,"tracker_id":40,"status_id":1,"priority_id":2,"assigned_to_id":23,"start_date":"2017-07-01","description":"","custom_fields":[{"id":1,"name":"Subdivision","value":"EC"},{"id":4,"name":"Milepost","value":"0.0139"},{"id":17,"name":"Train ID","value":"236-30"},{"id":16,"name":"Locomotive ID","value":"4001"},{"id":130,"name":"Impact","value":""},{"id":150,"name":"Time of Event (Mountain Time)","value":"00:08:21"},{"id":151,"name":"Denver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7"/>
      <c r="AL153" s="47"/>
      <c r="AM153" s="142" t="str">
        <f t="shared" si="72"/>
        <v>start /low /b %USERPROFILE%\Documents\GitHub\eaglep3\Utilities\DownloadLogsFromS3.py --loco 4001 --day 2017-06-30</v>
      </c>
      <c r="AN153" s="151" t="str">
        <f t="shared" si="7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06:08:21"},{"id":29,"name":"Sharepoint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831</v>
      </c>
      <c r="B154" s="7">
        <v>4026</v>
      </c>
      <c r="C154" s="21" t="s">
        <v>200</v>
      </c>
      <c r="D154" s="21" t="s">
        <v>196</v>
      </c>
      <c r="E154" s="13">
        <v>42916.957094907404</v>
      </c>
      <c r="F154" s="13">
        <v>42916.960219907407</v>
      </c>
      <c r="G154" s="7">
        <v>1</v>
      </c>
      <c r="H154" s="21" t="s">
        <v>478</v>
      </c>
      <c r="I154" s="13">
        <v>42916.985648148147</v>
      </c>
      <c r="J154" s="7">
        <v>0</v>
      </c>
      <c r="K154" s="89" t="str">
        <f t="shared" si="61"/>
        <v>4025/4026</v>
      </c>
      <c r="L154" s="21" t="str">
        <f>VLOOKUP(A154,'Trips&amp;Operators'!$C$1:$G$99999,5,FALSE)</f>
        <v>LAMAR NEKESHA</v>
      </c>
      <c r="M154" s="6">
        <f t="shared" si="62"/>
        <v>2.5428240740438923E-2</v>
      </c>
      <c r="N154" s="7">
        <f t="shared" si="59"/>
        <v>36.616666666232049</v>
      </c>
      <c r="O154" s="7"/>
      <c r="P154" s="7"/>
      <c r="Q154" s="22"/>
      <c r="R154" s="170"/>
      <c r="S154" s="213">
        <f t="shared" si="56"/>
        <v>1</v>
      </c>
      <c r="T154" s="195" t="str">
        <f t="shared" si="63"/>
        <v>NorthBound</v>
      </c>
      <c r="U154" s="19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6" t="str">
        <f t="shared" si="64"/>
        <v>https://d0f6bd738d7f1b3e5a7ca70fe4ff75f0.us-east-1.aws.found.io/app/kibana#/discover/Steve-Slow-Train-Analysis-(2080s-and-2083s)?_g=(refreshInterval:(display:Off,pause:!f,section:0,value:0),time:(from:'2017-06-30T21:58:13-0600',mode:absolute,to:'2017-07-01T00:39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54" s="197" t="str">
        <f>IF(AA154&lt;VLOOKUP(AG154,Variables!$AC$3:$AD$8,2,FALSE),"Y","N")</f>
        <v>N</v>
      </c>
      <c r="X154" s="197">
        <f t="shared" ref="X154:X159" si="74">VALUE(LEFT(AD154,4))-VALUE(LEFT(AD153,4))</f>
        <v>1</v>
      </c>
      <c r="Y154" s="197">
        <f t="shared" si="57"/>
        <v>4.5699999999999998E-2</v>
      </c>
      <c r="Z154" s="197">
        <f t="shared" si="58"/>
        <v>23.3291</v>
      </c>
      <c r="AA154" s="197">
        <f t="shared" si="65"/>
        <v>23.2834</v>
      </c>
      <c r="AB154" s="54" t="e">
        <f>VLOOKUP(A154,Enforcements!$C$7:$K$13,8,0)</f>
        <v>#N/A</v>
      </c>
      <c r="AC154" s="51" t="e">
        <f>VLOOKUP(A154,Enforcements!$C$7:$E$13,3,0)</f>
        <v>#N/A</v>
      </c>
      <c r="AD154" s="206">
        <f t="shared" si="66"/>
        <v>237</v>
      </c>
      <c r="AE154" s="77" t="str">
        <f t="shared" si="67"/>
        <v>aws s3 cp s3://rtdc.mdm.uploadarchive.raw/RTDC4026/ "%USERPROFILE%\AppData\Local\Temp\OnboardLogs"\RTDC4026\2017-06-30 --exclude "*" --recursive --include "*20170630*" &amp; "%USERPROFILE%\Documents\GitHub\mrs-test-scripts\Headless Mode &amp; Sideloading\WalkAndUnGZ.bat" "%USERPROFILE%\AppData\Local\Temp\OnboardLogs"\RTDC4026\2017-06-30 &amp; aws s3 cp s3://rtdc.mdm.uploadarchive.raw/RTDC4026/ "%USERPROFILE%\AppData\Local\Temp\OnboardLogs"\RTDC4026\2017-07-01 --exclude "*" --recursive --include "*20170701*" &amp; "%USERPROFILE%\Documents\GitHub\mrs-test-scripts\Headless Mode &amp; Sideloading\WalkAndUnGZ.bat" "%USERPROFILE%\AppData\Local\Temp\OnboardLogs"\RTDC4026\2017-07-01</v>
      </c>
      <c r="AF154" s="74" t="str">
        <f t="shared" si="68"/>
        <v>"C:\Program Files (x86)\AstroGrep\AstroGrep.exe" /e /r /s /spath="%USERPROFILE%\AppData\Local\Temp\OnboardLogs" /stypes="app*4026*20170701*" /stext=" 05:.+((SYSTEM_STATE.+slice.+state.+changed )|(ment ac)|(multiple cpu faults)|(system.+state.+changed )|(\[timeout)|(PRM\|1\|D)|(kpr)|(kdp)|(train st.+moving)|(\|lc)|(penalty))"</v>
      </c>
      <c r="AG154" s="209" t="str">
        <f t="shared" si="69"/>
        <v>EC</v>
      </c>
      <c r="AH154" s="78" t="str">
        <f t="shared" si="70"/>
        <v>"%USERPROFILE%\Documents\GitHub\eaglep3\Utilities\RefineRTDCRunTimes.py" --tripid 237-30 --locoid 4026 --swversion DE.1.0.9.0 --startMP 204:457 --initTime 2017-06-30T22:58:13 --startdatetime 2017-06-30T23:02:43 --delay 1 --endMP 204:233291 --enddatetime 2017-06-30T23:39:20 --enforcementcount 0 &gt;&gt;C:\Users\stu\Documents\GitHub\eaglep3-reporting\EC\2017-06-30-refined-times.txt</v>
      </c>
      <c r="AI154" s="96" t="str">
        <f t="shared" si="71"/>
        <v>echo {"issue":{"subject":"","project_id":79,"tracker_id":40,"status_id":1,"priority_id":2,"assigned_to_id":23,"start_date":"2017-06-30","description":"","custom_fields":[{"id":1,"name":"Subdivision","value":"EC"},{"id":4,"name":"Milepost","value":"23.3291"},{"id":17,"name":"Train ID","value":"237-30"},{"id":16,"name":"Locomotive ID","value":"4026"},{"id":130,"name":"Impact","value":""},{"id":150,"name":"Time of Event (Mountain Time)","value":"23:39:20"},{"id":151,"name":"Denver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4" s="47"/>
      <c r="AL154" s="47"/>
      <c r="AM154" s="142" t="str">
        <f t="shared" si="72"/>
        <v>start /low /b %USERPROFILE%\Documents\GitHub\eaglep3\Utilities\DownloadLogsFromS3.py --loco 4026 --day 2017-06-30</v>
      </c>
      <c r="AN154" s="151" t="str">
        <f t="shared" si="7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05:39:20"},{"id":29,"name":"Sharepoint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835</v>
      </c>
      <c r="B155" s="7">
        <v>4025</v>
      </c>
      <c r="C155" s="21" t="s">
        <v>200</v>
      </c>
      <c r="D155" s="21" t="s">
        <v>873</v>
      </c>
      <c r="E155" s="13">
        <v>42916.99077546296</v>
      </c>
      <c r="F155" s="13">
        <v>42916.998518518521</v>
      </c>
      <c r="G155" s="7">
        <v>1</v>
      </c>
      <c r="H155" s="21" t="s">
        <v>914</v>
      </c>
      <c r="I155" s="13">
        <v>42917.024386574078</v>
      </c>
      <c r="J155" s="7">
        <v>0</v>
      </c>
      <c r="K155" s="89" t="str">
        <f t="shared" si="61"/>
        <v>4025/4026</v>
      </c>
      <c r="L155" s="21" t="str">
        <f>VLOOKUP(A155,'Trips&amp;Operators'!$C$1:$G$99999,5,FALSE)</f>
        <v>LAMAR NEKESHA</v>
      </c>
      <c r="M155" s="6">
        <f t="shared" si="62"/>
        <v>2.5868055556202307E-2</v>
      </c>
      <c r="N155" s="7">
        <f t="shared" si="59"/>
        <v>37.250000000931323</v>
      </c>
      <c r="O155" s="7"/>
      <c r="P155" s="7"/>
      <c r="Q155" s="22"/>
      <c r="R155" s="170"/>
      <c r="S155" s="213">
        <f t="shared" si="56"/>
        <v>1</v>
      </c>
      <c r="T155" s="195" t="str">
        <f t="shared" si="63"/>
        <v>Southbound</v>
      </c>
      <c r="U155" s="19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6" t="str">
        <f t="shared" si="64"/>
        <v>https://d0f6bd738d7f1b3e5a7ca70fe4ff75f0.us-east-1.aws.found.io/app/kibana#/discover/Steve-Slow-Train-Analysis-(2080s-and-2083s)?_g=(refreshInterval:(display:Off,pause:!f,section:0,value:0),time:(from:'2017-06-30T22:46:43-0600',mode:absolute,to:'2017-07-01T01:35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55" s="197" t="str">
        <f>IF(AA155&lt;VLOOKUP(AG155,Variables!$AC$3:$AD$8,2,FALSE),"Y","N")</f>
        <v>N</v>
      </c>
      <c r="X155" s="197">
        <f t="shared" si="74"/>
        <v>1</v>
      </c>
      <c r="Y155" s="197">
        <f t="shared" si="57"/>
        <v>23.299099999999999</v>
      </c>
      <c r="Z155" s="197">
        <f t="shared" si="58"/>
        <v>1.9099999999999999E-2</v>
      </c>
      <c r="AA155" s="197">
        <f t="shared" si="65"/>
        <v>23.279999999999998</v>
      </c>
      <c r="AB155" s="54" t="e">
        <f>VLOOKUP(A155,Enforcements!$C$7:$K$13,8,0)</f>
        <v>#N/A</v>
      </c>
      <c r="AC155" s="51" t="e">
        <f>VLOOKUP(A155,Enforcements!$C$7:$E$13,3,0)</f>
        <v>#N/A</v>
      </c>
      <c r="AD155" s="206">
        <f t="shared" si="66"/>
        <v>238</v>
      </c>
      <c r="AE155" s="77" t="str">
        <f t="shared" si="67"/>
        <v>aws s3 cp s3://rtdc.mdm.uploadarchive.raw/RTDC4025/ "%USERPROFILE%\AppData\Local\Temp\OnboardLogs"\RTDC4025\2017-06-30 --exclude "*" --recursive --include "*20170630*" &amp; "%USERPROFILE%\Documents\GitHub\mrs-test-scripts\Headless Mode &amp; Sideloading\WalkAndUnGZ.bat" "%USERPROFILE%\AppData\Local\Temp\OnboardLogs"\RTDC4025\2017-06-30 &amp; aws s3 cp s3://rtdc.mdm.uploadarchive.raw/RTDC4025/ "%USERPROFILE%\AppData\Local\Temp\OnboardLogs"\RTDC4025\2017-07-01 --exclude "*" --recursive --include "*20170701*" &amp; "%USERPROFILE%\Documents\GitHub\mrs-test-scripts\Headless Mode &amp; Sideloading\WalkAndUnGZ.bat" "%USERPROFILE%\AppData\Local\Temp\OnboardLogs"\RTDC4025\2017-07-01</v>
      </c>
      <c r="AF155" s="74" t="str">
        <f t="shared" si="68"/>
        <v>"C:\Program Files (x86)\AstroGrep\AstroGrep.exe" /e /r /s /spath="%USERPROFILE%\AppData\Local\Temp\OnboardLogs" /stypes="app*4025*20170701*" /stext=" 06:.+((SYSTEM_STATE.+slice.+state.+changed )|(ment ac)|(multiple cpu faults)|(system.+state.+changed )|(\[timeout)|(PRM\|1\|D)|(kpr)|(kdp)|(train st.+moving)|(\|lc)|(penalty))"</v>
      </c>
      <c r="AG155" s="209" t="str">
        <f t="shared" si="69"/>
        <v>EC</v>
      </c>
      <c r="AH155" s="78" t="str">
        <f t="shared" si="70"/>
        <v>"%USERPROFILE%\Documents\GitHub\eaglep3\Utilities\RefineRTDCRunTimes.py" --tripid 238-30 --locoid 4025 --swversion DE.1.0.9.0 --startMP 204:232991 --initTime 2017-06-30T23:46:43 --startdatetime 2017-06-30T23:57:52 --delay 1 --endMP 204:191 --enddatetime 2017-07-01T00:35:07 --enforcementcount 0 &gt;&gt;C:\Users\stu\Documents\GitHub\eaglep3-reporting\EC\2017-06-30-refined-times.txt</v>
      </c>
      <c r="AI155" s="96" t="str">
        <f t="shared" si="71"/>
        <v>echo {"issue":{"subject":"","project_id":79,"tracker_id":40,"status_id":1,"priority_id":2,"assigned_to_id":23,"start_date":"2017-07-01","description":"","custom_fields":[{"id":1,"name":"Subdivision","value":"EC"},{"id":4,"name":"Milepost","value":"0.0191"},{"id":17,"name":"Train ID","value":"238-30"},{"id":16,"name":"Locomotive ID","value":"4025"},{"id":130,"name":"Impact","value":""},{"id":150,"name":"Time of Event (Mountain Time)","value":"00:35:07"},{"id":151,"name":"Denver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5" s="47"/>
      <c r="AL155" s="47"/>
      <c r="AM155" s="142" t="str">
        <f t="shared" si="72"/>
        <v>start /low /b %USERPROFILE%\Documents\GitHub\eaglep3\Utilities\DownloadLogsFromS3.py --loco 4025 --day 2017-06-30</v>
      </c>
      <c r="AN155" s="151" t="str">
        <f t="shared" si="7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06:35:07"},{"id":29,"name":"Sharepoint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833</v>
      </c>
      <c r="B156" s="7">
        <v>4032</v>
      </c>
      <c r="C156" s="21" t="s">
        <v>200</v>
      </c>
      <c r="D156" s="21" t="s">
        <v>197</v>
      </c>
      <c r="E156" s="13">
        <v>42916.974583333336</v>
      </c>
      <c r="F156" s="13">
        <v>42916.979571759257</v>
      </c>
      <c r="G156" s="7">
        <v>1</v>
      </c>
      <c r="H156" s="21" t="s">
        <v>923</v>
      </c>
      <c r="I156" s="13">
        <v>42917.004374999997</v>
      </c>
      <c r="J156" s="7">
        <v>0</v>
      </c>
      <c r="K156" s="89" t="str">
        <f t="shared" si="61"/>
        <v>4031/4032</v>
      </c>
      <c r="L156" s="21" t="str">
        <f>VLOOKUP(A156,'Trips&amp;Operators'!$C$1:$G$99999,5,FALSE)</f>
        <v>HELVIE ADAM</v>
      </c>
      <c r="M156" s="6">
        <f t="shared" si="62"/>
        <v>2.4803240739856847E-2</v>
      </c>
      <c r="N156" s="7">
        <f t="shared" si="59"/>
        <v>35.716666665393859</v>
      </c>
      <c r="O156" s="7"/>
      <c r="P156" s="7"/>
      <c r="Q156" s="22"/>
      <c r="R156" s="170"/>
      <c r="S156" s="213">
        <f t="shared" si="56"/>
        <v>1</v>
      </c>
      <c r="T156" s="195" t="str">
        <f t="shared" si="63"/>
        <v>NorthBound</v>
      </c>
      <c r="U156" s="19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6" t="str">
        <f t="shared" si="64"/>
        <v>https://d0f6bd738d7f1b3e5a7ca70fe4ff75f0.us-east-1.aws.found.io/app/kibana#/discover/Steve-Slow-Train-Analysis-(2080s-and-2083s)?_g=(refreshInterval:(display:Off,pause:!f,section:0,value:0),time:(from:'2017-06-30T22:23:24-0600',mode:absolute,to:'2017-07-01T01:06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56" s="197" t="str">
        <f>IF(AA156&lt;VLOOKUP(AG156,Variables!$AC$3:$AD$8,2,FALSE),"Y","N")</f>
        <v>N</v>
      </c>
      <c r="X156" s="197">
        <f t="shared" si="74"/>
        <v>1</v>
      </c>
      <c r="Y156" s="197">
        <f t="shared" si="57"/>
        <v>4.5999999999999999E-2</v>
      </c>
      <c r="Z156" s="197">
        <f t="shared" si="58"/>
        <v>23.3278</v>
      </c>
      <c r="AA156" s="197">
        <f t="shared" si="65"/>
        <v>23.2818</v>
      </c>
      <c r="AB156" s="54" t="e">
        <f>VLOOKUP(A156,Enforcements!$C$7:$K$13,8,0)</f>
        <v>#N/A</v>
      </c>
      <c r="AC156" s="51" t="e">
        <f>VLOOKUP(A156,Enforcements!$C$7:$E$13,3,0)</f>
        <v>#N/A</v>
      </c>
      <c r="AD156" s="206">
        <f t="shared" si="66"/>
        <v>239</v>
      </c>
      <c r="AE156" s="77" t="str">
        <f t="shared" si="67"/>
        <v>aws s3 cp s3://rtdc.mdm.uploadarchive.raw/RTDC4032/ "%USERPROFILE%\AppData\Local\Temp\OnboardLogs"\RTDC4032\2017-06-30 --exclude "*" --recursive --include "*20170630*" &amp; "%USERPROFILE%\Documents\GitHub\mrs-test-scripts\Headless Mode &amp; Sideloading\WalkAndUnGZ.bat" "%USERPROFILE%\AppData\Local\Temp\OnboardLogs"\RTDC4032\2017-06-30 &amp; aws s3 cp s3://rtdc.mdm.uploadarchive.raw/RTDC4032/ "%USERPROFILE%\AppData\Local\Temp\OnboardLogs"\RTDC4032\2017-07-01 --exclude "*" --recursive --include "*20170701*" &amp; "%USERPROFILE%\Documents\GitHub\mrs-test-scripts\Headless Mode &amp; Sideloading\WalkAndUnGZ.bat" "%USERPROFILE%\AppData\Local\Temp\OnboardLogs"\RTDC4032\2017-07-01</v>
      </c>
      <c r="AF156" s="74" t="str">
        <f t="shared" si="68"/>
        <v>"C:\Program Files (x86)\AstroGrep\AstroGrep.exe" /e /r /s /spath="%USERPROFILE%\AppData\Local\Temp\OnboardLogs" /stypes="app*4032*20170701*" /stext=" 06:.+((SYSTEM_STATE.+slice.+state.+changed )|(ment ac)|(multiple cpu faults)|(system.+state.+changed )|(\[timeout)|(PRM\|1\|D)|(kpr)|(kdp)|(train st.+moving)|(\|lc)|(penalty))"</v>
      </c>
      <c r="AG156" s="209" t="str">
        <f t="shared" si="69"/>
        <v>EC</v>
      </c>
      <c r="AH156" s="78" t="str">
        <f t="shared" si="70"/>
        <v>"%USERPROFILE%\Documents\GitHub\eaglep3\Utilities\RefineRTDCRunTimes.py" --tripid 239-30 --locoid 4032 --swversion DE.1.0.9.0 --startMP 204:460 --initTime 2017-06-30T23:23:24 --startdatetime 2017-06-30T23:30:35 --delay 1 --endMP 204:233278 --enddatetime 2017-07-01T00:06:18 --enforcementcount 0 &gt;&gt;C:\Users\stu\Documents\GitHub\eaglep3-reporting\EC\2017-06-30-refined-times.txt</v>
      </c>
      <c r="AI156" s="96" t="str">
        <f t="shared" si="71"/>
        <v>echo {"issue":{"subject":"","project_id":79,"tracker_id":40,"status_id":1,"priority_id":2,"assigned_to_id":23,"start_date":"2017-07-01","description":"","custom_fields":[{"id":1,"name":"Subdivision","value":"EC"},{"id":4,"name":"Milepost","value":"23.3278"},{"id":17,"name":"Train ID","value":"239-30"},{"id":16,"name":"Locomotive ID","value":"4032"},{"id":130,"name":"Impact","value":""},{"id":150,"name":"Time of Event (Mountain Time)","value":"00:06:18"},{"id":151,"name":"Denver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6" s="47"/>
      <c r="AL156" s="47"/>
      <c r="AM156" s="142" t="str">
        <f t="shared" si="72"/>
        <v>start /low /b %USERPROFILE%\Documents\GitHub\eaglep3\Utilities\DownloadLogsFromS3.py --loco 4032 --day 2017-06-30</v>
      </c>
      <c r="AN156" s="151" t="str">
        <f t="shared" si="7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06:06:18"},{"id":29,"name":"Sharepoint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x14ac:dyDescent="0.25">
      <c r="A157" s="32" t="s">
        <v>837</v>
      </c>
      <c r="B157" s="7">
        <v>4031</v>
      </c>
      <c r="C157" s="21" t="s">
        <v>200</v>
      </c>
      <c r="D157" s="21" t="s">
        <v>924</v>
      </c>
      <c r="E157" s="13">
        <v>42917.017083333332</v>
      </c>
      <c r="F157" s="13">
        <v>42917.019155092596</v>
      </c>
      <c r="G157" s="7">
        <v>0</v>
      </c>
      <c r="H157" s="21" t="s">
        <v>434</v>
      </c>
      <c r="I157" s="13">
        <v>42917.045312499999</v>
      </c>
      <c r="J157" s="7">
        <v>0</v>
      </c>
      <c r="K157" s="89" t="str">
        <f t="shared" si="61"/>
        <v>4031/4032</v>
      </c>
      <c r="L157" s="21" t="str">
        <f>VLOOKUP(A157,'Trips&amp;Operators'!$C$1:$G$99999,5,FALSE)</f>
        <v>HELVIE ADAM</v>
      </c>
      <c r="M157" s="6">
        <f t="shared" si="62"/>
        <v>2.6157407402934041E-2</v>
      </c>
      <c r="N157" s="7">
        <f t="shared" si="59"/>
        <v>37.666666660225019</v>
      </c>
      <c r="O157" s="7"/>
      <c r="P157" s="7"/>
      <c r="Q157" s="22"/>
      <c r="R157" s="170"/>
      <c r="S157" s="213">
        <f t="shared" si="56"/>
        <v>1</v>
      </c>
      <c r="T157" s="195" t="str">
        <f t="shared" si="63"/>
        <v>Southbound</v>
      </c>
      <c r="U157" s="19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96" t="str">
        <f t="shared" si="64"/>
        <v>https://d0f6bd738d7f1b3e5a7ca70fe4ff75f0.us-east-1.aws.found.io/app/kibana#/discover/Steve-Slow-Train-Analysis-(2080s-and-2083s)?_g=(refreshInterval:(display:Off,pause:!f,section:0,value:0),time:(from:'2017-06-30T23:24:36-0600',mode:absolute,to:'2017-07-01T02:05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57" s="197" t="str">
        <f>IF(AA157&lt;VLOOKUP(AG157,Variables!$AC$3:$AD$8,2,FALSE),"Y","N")</f>
        <v>N</v>
      </c>
      <c r="X157" s="197">
        <f t="shared" si="74"/>
        <v>1</v>
      </c>
      <c r="Y157" s="197">
        <f t="shared" si="57"/>
        <v>23.2959</v>
      </c>
      <c r="Z157" s="197">
        <f t="shared" si="58"/>
        <v>1.61E-2</v>
      </c>
      <c r="AA157" s="197">
        <f t="shared" si="65"/>
        <v>23.279799999999998</v>
      </c>
      <c r="AB157" s="54" t="e">
        <f>VLOOKUP(A157,Enforcements!$C$7:$K$13,8,0)</f>
        <v>#N/A</v>
      </c>
      <c r="AC157" s="51" t="e">
        <f>VLOOKUP(A157,Enforcements!$C$7:$E$13,3,0)</f>
        <v>#N/A</v>
      </c>
      <c r="AD157" s="206">
        <f t="shared" si="66"/>
        <v>240</v>
      </c>
      <c r="AE157" s="77" t="str">
        <f t="shared" si="67"/>
        <v>aws s3 cp s3://rtdc.mdm.uploadarchive.raw/RTDC4031/ "%USERPROFILE%\AppData\Local\Temp\OnboardLogs"\RTDC4031\2017-07-01 --exclude "*" --recursive --include "*20170701*" &amp; "%USERPROFILE%\Documents\GitHub\mrs-test-scripts\Headless Mode &amp; Sideloading\WalkAndUnGZ.bat" "%USERPROFILE%\AppData\Local\Temp\OnboardLogs"\RTDC4031\2017-07-01 &amp; aws s3 cp s3://rtdc.mdm.uploadarchive.raw/RTDC4031/ "%USERPROFILE%\AppData\Local\Temp\OnboardLogs"\RTDC4031\2017-07-02 --exclude "*" --recursive --include "*20170702*" &amp; "%USERPROFILE%\Documents\GitHub\mrs-test-scripts\Headless Mode &amp; Sideloading\WalkAndUnGZ.bat" "%USERPROFILE%\AppData\Local\Temp\OnboardLogs"\RTDC4031\2017-07-02</v>
      </c>
      <c r="AF157" s="74" t="str">
        <f t="shared" si="68"/>
        <v>"C:\Program Files (x86)\AstroGrep\AstroGrep.exe" /e /r /s /spath="%USERPROFILE%\AppData\Local\Temp\OnboardLogs" /stypes="app*4031*20170701*" /stext=" 07:.+((SYSTEM_STATE.+slice.+state.+changed )|(ment ac)|(multiple cpu faults)|(system.+state.+changed )|(\[timeout)|(PRM\|1\|D)|(kpr)|(kdp)|(train st.+moving)|(\|lc)|(penalty))"</v>
      </c>
      <c r="AG157" s="209" t="str">
        <f t="shared" si="69"/>
        <v>EC</v>
      </c>
      <c r="AH157" s="78" t="str">
        <f t="shared" si="70"/>
        <v>"%USERPROFILE%\Documents\GitHub\eaglep3\Utilities\RefineRTDCRunTimes.py" --tripid 240-30 --locoid 4031 --swversion DE.1.0.9.0 --startMP 204:232959 --initTime 2017-07-01T00:24:36 --startdatetime 2017-07-01T00:27:35 --delay 0 --endMP 204:161 --enddatetime 2017-07-01T01:05:15 --enforcementcount 0 &gt;&gt;C:\Users\stu\Documents\GitHub\eaglep3-reporting\EC\2017-06-30-refined-times.txt</v>
      </c>
      <c r="AI157" s="96" t="str">
        <f t="shared" si="71"/>
        <v>echo {"issue":{"subject":"","project_id":79,"tracker_id":40,"status_id":1,"priority_id":2,"assigned_to_id":23,"start_date":"2017-07-01","description":"","custom_fields":[{"id":1,"name":"Subdivision","value":"EC"},{"id":4,"name":"Milepost","value":"0.0161"},{"id":17,"name":"Train ID","value":"240-30"},{"id":16,"name":"Locomotive ID","value":"4031"},{"id":130,"name":"Impact","value":""},{"id":150,"name":"Time of Event (Mountain Time)","value":"01:05:15"},{"id":151,"name":"Denver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20"/>
      <c r="AK157" s="47"/>
      <c r="AL157" s="47"/>
      <c r="AM157" s="142" t="str">
        <f t="shared" si="72"/>
        <v>start /low /b %USERPROFILE%\Documents\GitHub\eaglep3\Utilities\DownloadLogsFromS3.py --loco 4031 --day 2017-07-01</v>
      </c>
      <c r="AN157" s="151" t="str">
        <f t="shared" si="7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07:05:15"},{"id":29,"name":"Sharepoint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</row>
    <row r="158" spans="1:91" x14ac:dyDescent="0.25">
      <c r="A158" s="32" t="s">
        <v>834</v>
      </c>
      <c r="B158" s="7">
        <v>4042</v>
      </c>
      <c r="C158" s="21" t="s">
        <v>200</v>
      </c>
      <c r="D158" s="21" t="s">
        <v>925</v>
      </c>
      <c r="E158" s="13">
        <v>42916.985891203702</v>
      </c>
      <c r="F158" s="13">
        <v>42917.000648148147</v>
      </c>
      <c r="G158" s="7">
        <v>1</v>
      </c>
      <c r="H158" s="21" t="s">
        <v>536</v>
      </c>
      <c r="I158" s="13">
        <v>42917.025555555556</v>
      </c>
      <c r="J158" s="7">
        <v>0</v>
      </c>
      <c r="K158" s="89" t="str">
        <f t="shared" si="61"/>
        <v>4041/4042</v>
      </c>
      <c r="L158" s="21" t="str">
        <f>VLOOKUP(A158,'Trips&amp;Operators'!$C$1:$G$99999,5,FALSE)</f>
        <v>PERKINS DARREN</v>
      </c>
      <c r="M158" s="6">
        <f t="shared" si="62"/>
        <v>2.4907407409045845E-2</v>
      </c>
      <c r="N158" s="7">
        <f t="shared" si="59"/>
        <v>35.866666669026017</v>
      </c>
      <c r="O158" s="7"/>
      <c r="P158" s="7"/>
      <c r="Q158" s="22"/>
      <c r="R158" s="170"/>
      <c r="S158" s="213">
        <f t="shared" ref="S158:S189" si="75">SUM(U158:U158)/IF(AG158="EC",12,1)</f>
        <v>1</v>
      </c>
      <c r="T158" s="195" t="str">
        <f t="shared" si="63"/>
        <v>NorthBound</v>
      </c>
      <c r="U158" s="19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96" t="str">
        <f t="shared" si="64"/>
        <v>https://d0f6bd738d7f1b3e5a7ca70fe4ff75f0.us-east-1.aws.found.io/app/kibana#/discover/Steve-Slow-Train-Analysis-(2080s-and-2083s)?_g=(refreshInterval:(display:Off,pause:!f,section:0,value:0),time:(from:'2017-06-30T22:39:41-0600',mode:absolute,to:'2017-07-01T01:36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58" s="197" t="str">
        <f>IF(AA158&lt;VLOOKUP(AG158,Variables!$AC$3:$AD$8,2,FALSE),"Y","N")</f>
        <v>N</v>
      </c>
      <c r="X158" s="197">
        <f t="shared" si="74"/>
        <v>1</v>
      </c>
      <c r="Y158" s="197">
        <f t="shared" si="57"/>
        <v>4.2700000000000002E-2</v>
      </c>
      <c r="Z158" s="197">
        <f t="shared" si="58"/>
        <v>23.332100000000001</v>
      </c>
      <c r="AA158" s="197">
        <f t="shared" si="65"/>
        <v>23.289400000000001</v>
      </c>
      <c r="AB158" s="54" t="e">
        <f>VLOOKUP(A158,Enforcements!$C$7:$K$13,8,0)</f>
        <v>#N/A</v>
      </c>
      <c r="AC158" s="51" t="e">
        <f>VLOOKUP(A158,Enforcements!$C$7:$E$13,3,0)</f>
        <v>#N/A</v>
      </c>
      <c r="AD158" s="206">
        <f t="shared" si="66"/>
        <v>241</v>
      </c>
      <c r="AE158" s="77" t="str">
        <f t="shared" si="67"/>
        <v>aws s3 cp s3://rtdc.mdm.uploadarchive.raw/RTDC4042/ "%USERPROFILE%\AppData\Local\Temp\OnboardLogs"\RTDC4042\2017-07-01 --exclude "*" --recursive --include "*20170701*" &amp; "%USERPROFILE%\Documents\GitHub\mrs-test-scripts\Headless Mode &amp; Sideloading\WalkAndUnGZ.bat" "%USERPROFILE%\AppData\Local\Temp\OnboardLogs"\RTDC4042\2017-07-01 &amp; aws s3 cp s3://rtdc.mdm.uploadarchive.raw/RTDC4042/ "%USERPROFILE%\AppData\Local\Temp\OnboardLogs"\RTDC4042\2017-07-02 --exclude "*" --recursive --include "*20170702*" &amp; "%USERPROFILE%\Documents\GitHub\mrs-test-scripts\Headless Mode &amp; Sideloading\WalkAndUnGZ.bat" "%USERPROFILE%\AppData\Local\Temp\OnboardLogs"\RTDC4042\2017-07-02</v>
      </c>
      <c r="AF158" s="74" t="str">
        <f t="shared" si="68"/>
        <v>"C:\Program Files (x86)\AstroGrep\AstroGrep.exe" /e /r /s /spath="%USERPROFILE%\AppData\Local\Temp\OnboardLogs" /stypes="app*4042*20170701*" /stext=" 06:.+((SYSTEM_STATE.+slice.+state.+changed )|(ment ac)|(multiple cpu faults)|(system.+state.+changed )|(\[timeout)|(PRM\|1\|D)|(kpr)|(kdp)|(train st.+moving)|(\|lc)|(penalty))"</v>
      </c>
      <c r="AG158" s="209" t="str">
        <f t="shared" si="69"/>
        <v>EC</v>
      </c>
      <c r="AH158" s="78" t="str">
        <f t="shared" si="70"/>
        <v>"%USERPROFILE%\Documents\GitHub\eaglep3\Utilities\RefineRTDCRunTimes.py" --tripid 241-30 --locoid 4042 --swversion DE.1.0.9.0 --startMP 204:427 --initTime 2017-06-30T23:39:41 --startdatetime 2017-07-01T00:00:56 --delay 1 --endMP 204:233321 --enddatetime 2017-07-01T00:36:48 --enforcementcount 0 &gt;&gt;C:\Users\stu\Documents\GitHub\eaglep3-reporting\EC\2017-06-30-refined-times.txt</v>
      </c>
      <c r="AI158" s="96" t="str">
        <f t="shared" si="71"/>
        <v>echo {"issue":{"subject":"","project_id":79,"tracker_id":40,"status_id":1,"priority_id":2,"assigned_to_id":23,"start_date":"2017-07-01","description":"","custom_fields":[{"id":1,"name":"Subdivision","value":"EC"},{"id":4,"name":"Milepost","value":"23.3321"},{"id":17,"name":"Train ID","value":"241-30"},{"id":16,"name":"Locomotive ID","value":"4042"},{"id":130,"name":"Impact","value":""},{"id":150,"name":"Time of Event (Mountain Time)","value":"00:36:48"},{"id":151,"name":"Denver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20"/>
      <c r="AK158" s="47"/>
      <c r="AL158" s="47"/>
      <c r="AM158" s="142" t="str">
        <f t="shared" si="72"/>
        <v>start /low /b %USERPROFILE%\Documents\GitHub\eaglep3\Utilities\DownloadLogsFromS3.py --loco 4042 --day 2017-07-01</v>
      </c>
      <c r="AN158" s="151" t="str">
        <f t="shared" si="7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06:36:48"},{"id":29,"name":"Sharepoint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</row>
    <row r="159" spans="1:91" s="20" customFormat="1" x14ac:dyDescent="0.25">
      <c r="A159" s="32" t="s">
        <v>838</v>
      </c>
      <c r="B159" s="7">
        <v>4041</v>
      </c>
      <c r="C159" s="21" t="s">
        <v>200</v>
      </c>
      <c r="D159" s="21" t="s">
        <v>860</v>
      </c>
      <c r="E159" s="13">
        <v>42917.030949074076</v>
      </c>
      <c r="F159" s="13">
        <v>42917.03979166667</v>
      </c>
      <c r="G159" s="7">
        <v>1</v>
      </c>
      <c r="H159" s="21" t="s">
        <v>347</v>
      </c>
      <c r="I159" s="13">
        <v>42917.066157407404</v>
      </c>
      <c r="J159" s="7">
        <v>0</v>
      </c>
      <c r="K159" s="89" t="str">
        <f t="shared" si="61"/>
        <v>4041/4042</v>
      </c>
      <c r="L159" s="21" t="str">
        <f>VLOOKUP(A159,'Trips&amp;Operators'!$C$1:$G$99999,5,FALSE)</f>
        <v>PERKINS DARREN</v>
      </c>
      <c r="M159" s="6">
        <f t="shared" si="62"/>
        <v>2.6365740734036081E-2</v>
      </c>
      <c r="N159" s="7">
        <f t="shared" si="59"/>
        <v>37.966666657011956</v>
      </c>
      <c r="O159" s="7"/>
      <c r="P159" s="7"/>
      <c r="Q159" s="22"/>
      <c r="R159" s="170"/>
      <c r="S159" s="213">
        <f t="shared" si="75"/>
        <v>1</v>
      </c>
      <c r="T159" s="195" t="str">
        <f t="shared" si="63"/>
        <v>Southbound</v>
      </c>
      <c r="U159" s="19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96" t="str">
        <f t="shared" si="64"/>
        <v>https://d0f6bd738d7f1b3e5a7ca70fe4ff75f0.us-east-1.aws.found.io/app/kibana#/discover/Steve-Slow-Train-Analysis-(2080s-and-2083s)?_g=(refreshInterval:(display:Off,pause:!f,section:0,value:0),time:(from:'2017-06-30T23:44:34-0600',mode:absolute,to:'2017-07-01T02:35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59" s="197" t="str">
        <f>IF(AA159&lt;VLOOKUP(AG159,Variables!$AC$3:$AD$8,2,FALSE),"Y","N")</f>
        <v>N</v>
      </c>
      <c r="X159" s="197">
        <f t="shared" si="74"/>
        <v>1</v>
      </c>
      <c r="Y159" s="197">
        <f t="shared" si="57"/>
        <v>23.3002</v>
      </c>
      <c r="Z159" s="197">
        <f t="shared" si="58"/>
        <v>1.49E-2</v>
      </c>
      <c r="AA159" s="197">
        <f t="shared" si="65"/>
        <v>23.285299999999999</v>
      </c>
      <c r="AB159" s="54" t="e">
        <f>VLOOKUP(A159,Enforcements!$C$7:$K$13,8,0)</f>
        <v>#N/A</v>
      </c>
      <c r="AC159" s="51" t="e">
        <f>VLOOKUP(A159,Enforcements!$C$7:$E$13,3,0)</f>
        <v>#N/A</v>
      </c>
      <c r="AD159" s="206">
        <f t="shared" si="66"/>
        <v>242</v>
      </c>
      <c r="AE159" s="77" t="str">
        <f t="shared" si="67"/>
        <v>aws s3 cp s3://rtdc.mdm.uploadarchive.raw/RTDC4041/ "%USERPROFILE%\AppData\Local\Temp\OnboardLogs"\RTDC4041\2017-07-01 --exclude "*" --recursive --include "*20170701*" &amp; "%USERPROFILE%\Documents\GitHub\mrs-test-scripts\Headless Mode &amp; Sideloading\WalkAndUnGZ.bat" "%USERPROFILE%\AppData\Local\Temp\OnboardLogs"\RTDC4041\2017-07-01 &amp; aws s3 cp s3://rtdc.mdm.uploadarchive.raw/RTDC4041/ "%USERPROFILE%\AppData\Local\Temp\OnboardLogs"\RTDC4041\2017-07-02 --exclude "*" --recursive --include "*20170702*" &amp; "%USERPROFILE%\Documents\GitHub\mrs-test-scripts\Headless Mode &amp; Sideloading\WalkAndUnGZ.bat" "%USERPROFILE%\AppData\Local\Temp\OnboardLogs"\RTDC4041\2017-07-02</v>
      </c>
      <c r="AF159" s="74" t="str">
        <f t="shared" si="68"/>
        <v>"C:\Program Files (x86)\AstroGrep\AstroGrep.exe" /e /r /s /spath="%USERPROFILE%\AppData\Local\Temp\OnboardLogs" /stypes="app*4041*20170701*" /stext=" 07:.+((SYSTEM_STATE.+slice.+state.+changed )|(ment ac)|(multiple cpu faults)|(system.+state.+changed )|(\[timeout)|(PRM\|1\|D)|(kpr)|(kdp)|(train st.+moving)|(\|lc)|(penalty))"</v>
      </c>
      <c r="AG159" s="209" t="str">
        <f t="shared" si="69"/>
        <v>EC</v>
      </c>
      <c r="AH159" s="78" t="str">
        <f t="shared" si="70"/>
        <v>"%USERPROFILE%\Documents\GitHub\eaglep3\Utilities\RefineRTDCRunTimes.py" --tripid 242-30 --locoid 4041 --swversion DE.1.0.9.0 --startMP 204:233002 --initTime 2017-07-01T00:44:34 --startdatetime 2017-07-01T00:57:18 --delay 1 --endMP 204:149 --enddatetime 2017-07-01T01:35:16 --enforcementcount 0 &gt;&gt;C:\Users\stu\Documents\GitHub\eaglep3-reporting\EC\2017-06-30-refined-times.txt</v>
      </c>
      <c r="AI159" s="96" t="str">
        <f t="shared" si="71"/>
        <v>echo {"issue":{"subject":"","project_id":79,"tracker_id":40,"status_id":1,"priority_id":2,"assigned_to_id":23,"start_date":"2017-07-01","description":"","custom_fields":[{"id":1,"name":"Subdivision","value":"EC"},{"id":4,"name":"Milepost","value":"0.0149"},{"id":17,"name":"Train ID","value":"242-30"},{"id":16,"name":"Locomotive ID","value":"4041"},{"id":130,"name":"Impact","value":""},{"id":150,"name":"Time of Event (Mountain Time)","value":"01:35:16"},{"id":151,"name":"Denver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9" s="47"/>
      <c r="AL159" s="47"/>
      <c r="AM159" s="142" t="str">
        <f t="shared" si="72"/>
        <v>start /low /b %USERPROFILE%\Documents\GitHub\eaglep3\Utilities\DownloadLogsFromS3.py --loco 4041 --day 2017-07-01</v>
      </c>
      <c r="AN159" s="151" t="str">
        <f t="shared" si="7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07:35:16"},{"id":29,"name":"Sharepoint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x14ac:dyDescent="0.25">
      <c r="A160" s="32" t="s">
        <v>836</v>
      </c>
      <c r="B160" s="7">
        <v>4002</v>
      </c>
      <c r="C160" s="21" t="s">
        <v>200</v>
      </c>
      <c r="D160" s="21" t="s">
        <v>413</v>
      </c>
      <c r="E160" s="13">
        <v>42917.007384259261</v>
      </c>
      <c r="F160" s="13">
        <v>42917.021354166667</v>
      </c>
      <c r="G160" s="7">
        <v>1</v>
      </c>
      <c r="H160" s="21" t="s">
        <v>479</v>
      </c>
      <c r="I160" s="13">
        <v>42917.046712962961</v>
      </c>
      <c r="J160" s="7">
        <v>0</v>
      </c>
      <c r="K160" s="89" t="str">
        <f t="shared" si="61"/>
        <v>4001/4002</v>
      </c>
      <c r="L160" s="21" t="str">
        <f>VLOOKUP(A160,'Trips&amp;Operators'!$C$1:$G$99999,5,FALSE)</f>
        <v>FORTUNATO FRANK</v>
      </c>
      <c r="M160" s="6">
        <f t="shared" si="62"/>
        <v>2.5358796294312924E-2</v>
      </c>
      <c r="N160" s="7">
        <f t="shared" si="59"/>
        <v>36.516666663810611</v>
      </c>
      <c r="O160" s="7"/>
      <c r="P160" s="7"/>
      <c r="Q160" s="22"/>
      <c r="R160" s="170"/>
      <c r="S160" s="213">
        <f t="shared" si="75"/>
        <v>1</v>
      </c>
      <c r="T160" s="195" t="str">
        <f t="shared" si="63"/>
        <v>NorthBound</v>
      </c>
      <c r="U160" s="19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196" t="str">
        <f t="shared" si="64"/>
        <v>https://d0f6bd738d7f1b3e5a7ca70fe4ff75f0.us-east-1.aws.found.io/app/kibana#/discover/Steve-Slow-Train-Analysis-(2080s-and-2083s)?_g=(refreshInterval:(display:Off,pause:!f,section:0,value:0),time:(from:'2017-06-30T23:10:38-0600',mode:absolute,to:'2017-07-01T02:07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60" s="197" t="str">
        <f>IF(AA160&lt;VLOOKUP(AG160,Variables!$AC$3:$AD$8,2,FALSE),"Y","N")</f>
        <v>N</v>
      </c>
      <c r="X160" s="197">
        <f t="shared" ref="X160:X191" si="76">VALUE(LEFT(AD160,4))-VALUE(LEFT(AD159,4))</f>
        <v>1</v>
      </c>
      <c r="Y160" s="197">
        <f t="shared" si="57"/>
        <v>4.4200000000000003E-2</v>
      </c>
      <c r="Z160" s="197">
        <f t="shared" si="58"/>
        <v>23.331900000000001</v>
      </c>
      <c r="AA160" s="197">
        <f t="shared" si="65"/>
        <v>23.287700000000001</v>
      </c>
      <c r="AB160" s="54" t="e">
        <f>VLOOKUP(A160,Enforcements!$C$7:$K$13,8,0)</f>
        <v>#N/A</v>
      </c>
      <c r="AC160" s="51" t="e">
        <f>VLOOKUP(A160,Enforcements!$C$7:$E$13,3,0)</f>
        <v>#N/A</v>
      </c>
      <c r="AD160" s="206">
        <f t="shared" si="66"/>
        <v>243</v>
      </c>
      <c r="AE160" s="77" t="str">
        <f t="shared" si="67"/>
        <v>aws s3 cp s3://rtdc.mdm.uploadarchive.raw/RTDC4002/ "%USERPROFILE%\AppData\Local\Temp\OnboardLogs"\RTDC4002\2017-07-01 --exclude "*" --recursive --include "*20170701*" &amp; "%USERPROFILE%\Documents\GitHub\mrs-test-scripts\Headless Mode &amp; Sideloading\WalkAndUnGZ.bat" "%USERPROFILE%\AppData\Local\Temp\OnboardLogs"\RTDC4002\2017-07-01 &amp; aws s3 cp s3://rtdc.mdm.uploadarchive.raw/RTDC4002/ "%USERPROFILE%\AppData\Local\Temp\OnboardLogs"\RTDC4002\2017-07-02 --exclude "*" --recursive --include "*20170702*" &amp; "%USERPROFILE%\Documents\GitHub\mrs-test-scripts\Headless Mode &amp; Sideloading\WalkAndUnGZ.bat" "%USERPROFILE%\AppData\Local\Temp\OnboardLogs"\RTDC4002\2017-07-02</v>
      </c>
      <c r="AF160" s="74" t="str">
        <f t="shared" si="68"/>
        <v>"C:\Program Files (x86)\AstroGrep\AstroGrep.exe" /e /r /s /spath="%USERPROFILE%\AppData\Local\Temp\OnboardLogs" /stypes="app*4002*20170701*" /stext=" 07:.+((SYSTEM_STATE.+slice.+state.+changed )|(ment ac)|(multiple cpu faults)|(system.+state.+changed )|(\[timeout)|(PRM\|1\|D)|(kpr)|(kdp)|(train st.+moving)|(\|lc)|(penalty))"</v>
      </c>
      <c r="AG160" s="209" t="str">
        <f t="shared" si="69"/>
        <v>EC</v>
      </c>
      <c r="AH160" s="78" t="str">
        <f t="shared" si="70"/>
        <v>"%USERPROFILE%\Documents\GitHub\eaglep3\Utilities\RefineRTDCRunTimes.py" --tripid 243-30 --locoid 4002 --swversion DE.1.0.9.0 --startMP 204:442 --initTime 2017-07-01T00:10:38 --startdatetime 2017-07-01T00:30:45 --delay 1 --endMP 204:233319 --enddatetime 2017-07-01T01:07:16 --enforcementcount 0 &gt;&gt;C:\Users\stu\Documents\GitHub\eaglep3-reporting\EC\2017-06-30-refined-times.txt</v>
      </c>
      <c r="AI160" s="96" t="str">
        <f t="shared" si="71"/>
        <v>echo {"issue":{"subject":"","project_id":79,"tracker_id":40,"status_id":1,"priority_id":2,"assigned_to_id":23,"start_date":"2017-07-01","description":"","custom_fields":[{"id":1,"name":"Subdivision","value":"EC"},{"id":4,"name":"Milepost","value":"23.3319"},{"id":17,"name":"Train ID","value":"243-30"},{"id":16,"name":"Locomotive ID","value":"4002"},{"id":130,"name":"Impact","value":""},{"id":150,"name":"Time of Event (Mountain Time)","value":"01:07:16"},{"id":151,"name":"Denver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20"/>
      <c r="AK160" s="47"/>
      <c r="AL160" s="47"/>
      <c r="AM160" s="142" t="str">
        <f t="shared" si="72"/>
        <v>start /low /b %USERPROFILE%\Documents\GitHub\eaglep3\Utilities\DownloadLogsFromS3.py --loco 4002 --day 2017-07-01</v>
      </c>
      <c r="AN160" s="151" t="str">
        <f t="shared" si="7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07:07:16"},{"id":29,"name":"Sharepoint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</row>
    <row r="161" spans="1:91" x14ac:dyDescent="0.25">
      <c r="A161" s="32" t="s">
        <v>636</v>
      </c>
      <c r="B161" s="7">
        <v>4001</v>
      </c>
      <c r="C161" s="21" t="s">
        <v>200</v>
      </c>
      <c r="D161" s="21" t="s">
        <v>543</v>
      </c>
      <c r="E161" s="13">
        <v>42917.04828703704</v>
      </c>
      <c r="F161" s="13">
        <v>42917.060752314814</v>
      </c>
      <c r="G161" s="7">
        <v>1</v>
      </c>
      <c r="H161" s="21" t="s">
        <v>926</v>
      </c>
      <c r="I161" s="13">
        <v>42917.085636574076</v>
      </c>
      <c r="J161" s="7">
        <v>0</v>
      </c>
      <c r="K161" s="89" t="str">
        <f t="shared" si="61"/>
        <v>4001/4002</v>
      </c>
      <c r="L161" s="21" t="str">
        <f>VLOOKUP(A161,'Trips&amp;Operators'!$C$1:$G$99999,5,FALSE)</f>
        <v>FORTUNATO FRANK</v>
      </c>
      <c r="M161" s="6">
        <f t="shared" si="62"/>
        <v>2.4884259262762498E-2</v>
      </c>
      <c r="N161" s="7">
        <f t="shared" si="59"/>
        <v>35.833333338377997</v>
      </c>
      <c r="O161" s="7"/>
      <c r="P161" s="7"/>
      <c r="Q161" s="22"/>
      <c r="R161" s="170"/>
      <c r="S161" s="213">
        <f t="shared" si="75"/>
        <v>1</v>
      </c>
      <c r="T161" s="195" t="str">
        <f t="shared" si="63"/>
        <v>Southbound</v>
      </c>
      <c r="U161" s="19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12</v>
      </c>
      <c r="V161" s="196" t="str">
        <f t="shared" si="64"/>
        <v>https://d0f6bd738d7f1b3e5a7ca70fe4ff75f0.us-east-1.aws.found.io/app/kibana#/discover/Steve-Slow-Train-Analysis-(2080s-and-2083s)?_g=(refreshInterval:(display:Off,pause:!f,section:0,value:0),time:(from:'2017-07-01T00:09:32-0600',mode:absolute,to:'2017-07-01T03:03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61" s="197" t="str">
        <f>IF(AA161&lt;VLOOKUP(AG161,Variables!$AC$3:$AD$8,2,FALSE),"Y","N")</f>
        <v>Y</v>
      </c>
      <c r="X161" s="197">
        <f t="shared" si="76"/>
        <v>1</v>
      </c>
      <c r="Y161" s="197">
        <f t="shared" si="57"/>
        <v>23.299399999999999</v>
      </c>
      <c r="Z161" s="197">
        <f t="shared" si="58"/>
        <v>0.51339999999999997</v>
      </c>
      <c r="AA161" s="197">
        <f t="shared" si="65"/>
        <v>22.785999999999998</v>
      </c>
      <c r="AB161" s="54" t="e">
        <f>VLOOKUP(A161,Enforcements!$C$7:$K$13,8,0)</f>
        <v>#N/A</v>
      </c>
      <c r="AC161" s="51" t="e">
        <f>VLOOKUP(A161,Enforcements!$C$7:$E$13,3,0)</f>
        <v>#N/A</v>
      </c>
      <c r="AD161" s="206">
        <f t="shared" si="66"/>
        <v>244</v>
      </c>
      <c r="AE161" s="77" t="str">
        <f t="shared" si="67"/>
        <v>aws s3 cp s3://rtdc.mdm.uploadarchive.raw/RTDC4001/ "%USERPROFILE%\AppData\Local\Temp\OnboardLogs"\RTDC4001\2017-07-01 --exclude "*" --recursive --include "*20170701*" &amp; "%USERPROFILE%\Documents\GitHub\mrs-test-scripts\Headless Mode &amp; Sideloading\WalkAndUnGZ.bat" "%USERPROFILE%\AppData\Local\Temp\OnboardLogs"\RTDC4001\2017-07-01 &amp; aws s3 cp s3://rtdc.mdm.uploadarchive.raw/RTDC4001/ "%USERPROFILE%\AppData\Local\Temp\OnboardLogs"\RTDC4001\2017-07-02 --exclude "*" --recursive --include "*20170702*" &amp; "%USERPROFILE%\Documents\GitHub\mrs-test-scripts\Headless Mode &amp; Sideloading\WalkAndUnGZ.bat" "%USERPROFILE%\AppData\Local\Temp\OnboardLogs"\RTDC4001\2017-07-02</v>
      </c>
      <c r="AF161" s="74" t="str">
        <f t="shared" si="68"/>
        <v>"C:\Program Files (x86)\AstroGrep\AstroGrep.exe" /e /r /s /spath="%USERPROFILE%\AppData\Local\Temp\OnboardLogs" /stypes="app*4001*20170701*" /stext=" 08:.+((SYSTEM_STATE.+slice.+state.+changed )|(ment ac)|(multiple cpu faults)|(system.+state.+changed )|(\[timeout)|(PRM\|1\|D)|(kpr)|(kdp)|(train st.+moving)|(\|lc)|(penalty))"</v>
      </c>
      <c r="AG161" s="209" t="str">
        <f t="shared" si="69"/>
        <v>EC</v>
      </c>
      <c r="AH161" s="78" t="str">
        <f t="shared" si="70"/>
        <v>"%USERPROFILE%\Documents\GitHub\eaglep3\Utilities\RefineRTDCRunTimes.py" --tripid 244-30 --locoid 4001 --swversion DE.1.0.9.0 --startMP 204:232994 --initTime 2017-07-01T01:09:32 --startdatetime 2017-07-01T01:27:29 --delay 1 --endMP 204:5134 --enddatetime 2017-07-01T02:03:19 --enforcementcount 0 &gt;&gt;C:\Users\stu\Documents\GitHub\eaglep3-reporting\EC\2017-06-30-refined-times.txt</v>
      </c>
      <c r="AI161" s="96" t="str">
        <f t="shared" si="71"/>
        <v>echo {"issue":{"subject":"","project_id":79,"tracker_id":40,"status_id":1,"priority_id":2,"assigned_to_id":23,"start_date":"2017-07-01","description":"","custom_fields":[{"id":1,"name":"Subdivision","value":"EC"},{"id":4,"name":"Milepost","value":"0.5134"},{"id":17,"name":"Train ID","value":"244-30"},{"id":16,"name":"Locomotive ID","value":"4001"},{"id":130,"name":"Impact","value":""},{"id":150,"name":"Time of Event (Mountain Time)","value":"02:03:19"},{"id":151,"name":"Denver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20"/>
      <c r="AK161" s="47"/>
      <c r="AL161" s="47"/>
      <c r="AM161" s="142" t="str">
        <f t="shared" si="72"/>
        <v>start /low /b %USERPROFILE%\Documents\GitHub\eaglep3\Utilities\DownloadLogsFromS3.py --loco 4001 --day 2017-07-01</v>
      </c>
      <c r="AN161" s="151" t="str">
        <f t="shared" si="7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08:03:19"},{"id":29,"name":"Sharepoint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</row>
    <row r="162" spans="1:91" s="20" customFormat="1" x14ac:dyDescent="0.25">
      <c r="A162" s="32" t="s">
        <v>839</v>
      </c>
      <c r="B162" s="7">
        <v>4026</v>
      </c>
      <c r="C162" s="21" t="s">
        <v>200</v>
      </c>
      <c r="D162" s="21" t="s">
        <v>848</v>
      </c>
      <c r="E162" s="13">
        <v>42917.037638888891</v>
      </c>
      <c r="F162" s="13">
        <v>42917.042245370372</v>
      </c>
      <c r="G162" s="7">
        <v>1</v>
      </c>
      <c r="H162" s="21" t="s">
        <v>478</v>
      </c>
      <c r="I162" s="13">
        <v>42917.066979166666</v>
      </c>
      <c r="J162" s="7">
        <v>0</v>
      </c>
      <c r="K162" s="89" t="str">
        <f t="shared" si="61"/>
        <v>4025/4026</v>
      </c>
      <c r="L162" s="21" t="str">
        <f>VLOOKUP(A162,'Trips&amp;Operators'!$C$1:$G$99999,5,FALSE)</f>
        <v>LAMAR NEKESHA</v>
      </c>
      <c r="M162" s="6">
        <f t="shared" si="62"/>
        <v>2.4733796293730848E-2</v>
      </c>
      <c r="N162" s="7">
        <f t="shared" si="59"/>
        <v>35.61666666297242</v>
      </c>
      <c r="O162" s="7"/>
      <c r="P162" s="7"/>
      <c r="Q162" s="22"/>
      <c r="R162" s="170"/>
      <c r="S162" s="213">
        <f t="shared" si="75"/>
        <v>1</v>
      </c>
      <c r="T162" s="195" t="str">
        <f t="shared" si="63"/>
        <v>NorthBound</v>
      </c>
      <c r="U162" s="19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12</v>
      </c>
      <c r="V162" s="196" t="str">
        <f t="shared" si="64"/>
        <v>https://d0f6bd738d7f1b3e5a7ca70fe4ff75f0.us-east-1.aws.found.io/app/kibana#/discover/Steve-Slow-Train-Analysis-(2080s-and-2083s)?_g=(refreshInterval:(display:Off,pause:!f,section:0,value:0),time:(from:'2017-06-30T23:54:12-0600',mode:absolute,to:'2017-07-01T02:36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62" s="197" t="str">
        <f>IF(AA162&lt;VLOOKUP(AG162,Variables!$AC$3:$AD$8,2,FALSE),"Y","N")</f>
        <v>N</v>
      </c>
      <c r="X162" s="197">
        <f t="shared" si="76"/>
        <v>1</v>
      </c>
      <c r="Y162" s="197">
        <f t="shared" ref="Y162:Y193" si="77">RIGHT(D162,LEN(D162)-4)/10000</f>
        <v>4.8800000000000003E-2</v>
      </c>
      <c r="Z162" s="197">
        <f t="shared" ref="Z162:Z193" si="78">RIGHT(H162,LEN(H162)-4)/10000</f>
        <v>23.3291</v>
      </c>
      <c r="AA162" s="197">
        <f t="shared" si="65"/>
        <v>23.2803</v>
      </c>
      <c r="AB162" s="54" t="e">
        <f>VLOOKUP(A162,Enforcements!$C$7:$K$13,8,0)</f>
        <v>#N/A</v>
      </c>
      <c r="AC162" s="51" t="e">
        <f>VLOOKUP(A162,Enforcements!$C$7:$E$13,3,0)</f>
        <v>#N/A</v>
      </c>
      <c r="AD162" s="206">
        <f t="shared" si="66"/>
        <v>245</v>
      </c>
      <c r="AE162" s="77" t="str">
        <f t="shared" si="67"/>
        <v>aws s3 cp s3://rtdc.mdm.uploadarchive.raw/RTDC4026/ "%USERPROFILE%\AppData\Local\Temp\OnboardLogs"\RTDC4026\2017-07-01 --exclude "*" --recursive --include "*20170701*" &amp; "%USERPROFILE%\Documents\GitHub\mrs-test-scripts\Headless Mode &amp; Sideloading\WalkAndUnGZ.bat" "%USERPROFILE%\AppData\Local\Temp\OnboardLogs"\RTDC4026\2017-07-01 &amp; aws s3 cp s3://rtdc.mdm.uploadarchive.raw/RTDC4026/ "%USERPROFILE%\AppData\Local\Temp\OnboardLogs"\RTDC4026\2017-07-02 --exclude "*" --recursive --include "*20170702*" &amp; "%USERPROFILE%\Documents\GitHub\mrs-test-scripts\Headless Mode &amp; Sideloading\WalkAndUnGZ.bat" "%USERPROFILE%\AppData\Local\Temp\OnboardLogs"\RTDC4026\2017-07-02</v>
      </c>
      <c r="AF162" s="74" t="str">
        <f t="shared" si="68"/>
        <v>"C:\Program Files (x86)\AstroGrep\AstroGrep.exe" /e /r /s /spath="%USERPROFILE%\AppData\Local\Temp\OnboardLogs" /stypes="app*4026*20170701*" /stext=" 07:.+((SYSTEM_STATE.+slice.+state.+changed )|(ment ac)|(multiple cpu faults)|(system.+state.+changed )|(\[timeout)|(PRM\|1\|D)|(kpr)|(kdp)|(train st.+moving)|(\|lc)|(penalty))"</v>
      </c>
      <c r="AG162" s="209" t="str">
        <f t="shared" si="69"/>
        <v>EC</v>
      </c>
      <c r="AH162" s="78" t="str">
        <f t="shared" si="70"/>
        <v>"%USERPROFILE%\Documents\GitHub\eaglep3\Utilities\RefineRTDCRunTimes.py" --tripid 245-30 --locoid 4026 --swversion DE.1.0.9.0 --startMP 204:488 --initTime 2017-07-01T00:54:12 --startdatetime 2017-07-01T01:00:50 --delay 1 --endMP 204:233291 --enddatetime 2017-07-01T01:36:27 --enforcementcount 0 &gt;&gt;C:\Users\stu\Documents\GitHub\eaglep3-reporting\EC\2017-06-30-refined-times.txt</v>
      </c>
      <c r="AI162" s="96" t="str">
        <f t="shared" si="71"/>
        <v>echo {"issue":{"subject":"","project_id":79,"tracker_id":40,"status_id":1,"priority_id":2,"assigned_to_id":23,"start_date":"2017-07-01","description":"","custom_fields":[{"id":1,"name":"Subdivision","value":"EC"},{"id":4,"name":"Milepost","value":"23.3291"},{"id":17,"name":"Train ID","value":"245-30"},{"id":16,"name":"Locomotive ID","value":"4026"},{"id":130,"name":"Impact","value":""},{"id":150,"name":"Time of Event (Mountain Time)","value":"01:36:27"},{"id":151,"name":"Denver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2" s="47"/>
      <c r="AL162" s="47"/>
      <c r="AM162" s="142" t="str">
        <f t="shared" si="72"/>
        <v>start /low /b %USERPROFILE%\Documents\GitHub\eaglep3\Utilities\DownloadLogsFromS3.py --loco 4026 --day 2017-07-01</v>
      </c>
      <c r="AN162" s="151" t="str">
        <f t="shared" si="7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07:36:27"},{"id":29,"name":"Sharepoint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x14ac:dyDescent="0.25">
      <c r="A163" s="32" t="s">
        <v>842</v>
      </c>
      <c r="B163" s="7">
        <v>4025</v>
      </c>
      <c r="C163" s="21" t="s">
        <v>200</v>
      </c>
      <c r="D163" s="21" t="s">
        <v>899</v>
      </c>
      <c r="E163" s="13">
        <v>42917.077384259261</v>
      </c>
      <c r="F163" s="13">
        <v>42917.081608796296</v>
      </c>
      <c r="G163" s="7">
        <v>1</v>
      </c>
      <c r="H163" s="21" t="s">
        <v>927</v>
      </c>
      <c r="I163" s="13">
        <v>42917.107974537037</v>
      </c>
      <c r="J163" s="7">
        <v>0</v>
      </c>
      <c r="K163" s="89" t="str">
        <f t="shared" si="61"/>
        <v>4025/4026</v>
      </c>
      <c r="L163" s="21" t="str">
        <f>VLOOKUP(A163,'Trips&amp;Operators'!$C$1:$G$99999,5,FALSE)</f>
        <v>LAMAR NEKESHA</v>
      </c>
      <c r="M163" s="6">
        <f t="shared" si="62"/>
        <v>2.6365740741312038E-2</v>
      </c>
      <c r="N163" s="7">
        <f t="shared" si="59"/>
        <v>37.966666667489335</v>
      </c>
      <c r="O163" s="7"/>
      <c r="P163" s="7"/>
      <c r="Q163" s="22"/>
      <c r="R163" s="170"/>
      <c r="S163" s="213">
        <f t="shared" si="75"/>
        <v>1</v>
      </c>
      <c r="T163" s="195" t="str">
        <f t="shared" si="63"/>
        <v>Southbound</v>
      </c>
      <c r="U163" s="19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12</v>
      </c>
      <c r="V163" s="196" t="str">
        <f t="shared" si="64"/>
        <v>https://d0f6bd738d7f1b3e5a7ca70fe4ff75f0.us-east-1.aws.found.io/app/kibana#/discover/Steve-Slow-Train-Analysis-(2080s-and-2083s)?_g=(refreshInterval:(display:Off,pause:!f,section:0,value:0),time:(from:'2017-07-01T00:51:26-0600',mode:absolute,to:'2017-07-01T03:35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63" s="197" t="str">
        <f>IF(AA163&lt;VLOOKUP(AG163,Variables!$AC$3:$AD$8,2,FALSE),"Y","N")</f>
        <v>N</v>
      </c>
      <c r="X163" s="197">
        <f t="shared" si="76"/>
        <v>1</v>
      </c>
      <c r="Y163" s="197">
        <f t="shared" si="77"/>
        <v>23.296500000000002</v>
      </c>
      <c r="Z163" s="197">
        <f t="shared" si="78"/>
        <v>2.1600000000000001E-2</v>
      </c>
      <c r="AA163" s="197">
        <f t="shared" si="65"/>
        <v>23.274900000000002</v>
      </c>
      <c r="AB163" s="54" t="e">
        <f>VLOOKUP(A163,Enforcements!$C$7:$K$13,8,0)</f>
        <v>#N/A</v>
      </c>
      <c r="AC163" s="51" t="e">
        <f>VLOOKUP(A163,Enforcements!$C$7:$E$13,3,0)</f>
        <v>#N/A</v>
      </c>
      <c r="AD163" s="206">
        <f t="shared" si="66"/>
        <v>246</v>
      </c>
      <c r="AE163" s="77" t="str">
        <f t="shared" si="67"/>
        <v>aws s3 cp s3://rtdc.mdm.uploadarchive.raw/RTDC4025/ "%USERPROFILE%\AppData\Local\Temp\OnboardLogs"\RTDC4025\2017-07-01 --exclude "*" --recursive --include "*20170701*" &amp; "%USERPROFILE%\Documents\GitHub\mrs-test-scripts\Headless Mode &amp; Sideloading\WalkAndUnGZ.bat" "%USERPROFILE%\AppData\Local\Temp\OnboardLogs"\RTDC4025\2017-07-01 &amp; aws s3 cp s3://rtdc.mdm.uploadarchive.raw/RTDC4025/ "%USERPROFILE%\AppData\Local\Temp\OnboardLogs"\RTDC4025\2017-07-02 --exclude "*" --recursive --include "*20170702*" &amp; "%USERPROFILE%\Documents\GitHub\mrs-test-scripts\Headless Mode &amp; Sideloading\WalkAndUnGZ.bat" "%USERPROFILE%\AppData\Local\Temp\OnboardLogs"\RTDC4025\2017-07-02</v>
      </c>
      <c r="AF163" s="74" t="str">
        <f t="shared" si="68"/>
        <v>"C:\Program Files (x86)\AstroGrep\AstroGrep.exe" /e /r /s /spath="%USERPROFILE%\AppData\Local\Temp\OnboardLogs" /stypes="app*4025*20170701*" /stext=" 08:.+((SYSTEM_STATE.+slice.+state.+changed )|(ment ac)|(multiple cpu faults)|(system.+state.+changed )|(\[timeout)|(PRM\|1\|D)|(kpr)|(kdp)|(train st.+moving)|(\|lc)|(penalty))"</v>
      </c>
      <c r="AG163" s="209" t="str">
        <f t="shared" si="69"/>
        <v>EC</v>
      </c>
      <c r="AH163" s="78" t="str">
        <f t="shared" si="70"/>
        <v>"%USERPROFILE%\Documents\GitHub\eaglep3\Utilities\RefineRTDCRunTimes.py" --tripid 246-30 --locoid 4025 --swversion DE.1.0.9.0 --startMP 204:232965 --initTime 2017-07-01T01:51:26 --startdatetime 2017-07-01T01:57:31 --delay 1 --endMP 204:216 --enddatetime 2017-07-01T02:35:29 --enforcementcount 0 &gt;&gt;C:\Users\stu\Documents\GitHub\eaglep3-reporting\EC\2017-06-30-refined-times.txt</v>
      </c>
      <c r="AI163" s="96" t="str">
        <f t="shared" si="71"/>
        <v>echo {"issue":{"subject":"","project_id":79,"tracker_id":40,"status_id":1,"priority_id":2,"assigned_to_id":23,"start_date":"2017-07-01","description":"","custom_fields":[{"id":1,"name":"Subdivision","value":"EC"},{"id":4,"name":"Milepost","value":"0.0216"},{"id":17,"name":"Train ID","value":"246-30"},{"id":16,"name":"Locomotive ID","value":"4025"},{"id":130,"name":"Impact","value":""},{"id":150,"name":"Time of Event (Mountain Time)","value":"02:35:29"},{"id":151,"name":"Denver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20"/>
      <c r="AK163" s="47"/>
      <c r="AL163" s="47"/>
      <c r="AM163" s="142" t="str">
        <f t="shared" si="72"/>
        <v>start /low /b %USERPROFILE%\Documents\GitHub\eaglep3\Utilities\DownloadLogsFromS3.py --loco 4025 --day 2017-07-01</v>
      </c>
      <c r="AN163" s="151" t="str">
        <f t="shared" si="7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08:35:29"},{"id":29,"name":"Sharepoint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</row>
    <row r="164" spans="1:91" s="20" customFormat="1" x14ac:dyDescent="0.25">
      <c r="A164" s="32" t="s">
        <v>664</v>
      </c>
      <c r="B164" s="7">
        <v>4057</v>
      </c>
      <c r="C164" s="21" t="s">
        <v>200</v>
      </c>
      <c r="D164" s="21" t="s">
        <v>484</v>
      </c>
      <c r="E164" s="13">
        <v>42916.213888888888</v>
      </c>
      <c r="F164" s="13">
        <v>42916.215682870374</v>
      </c>
      <c r="G164" s="7">
        <v>1</v>
      </c>
      <c r="H164" s="21" t="s">
        <v>455</v>
      </c>
      <c r="I164" s="13">
        <v>42916.226273148146</v>
      </c>
      <c r="J164" s="7">
        <v>0</v>
      </c>
      <c r="K164" s="89" t="str">
        <f t="shared" si="61"/>
        <v>4057/4058</v>
      </c>
      <c r="L164" s="21" t="str">
        <f>VLOOKUP(A164,'Trips&amp;Operators'!$C$1:$G$99999,5,FALSE)</f>
        <v>GUZMAN DANNY</v>
      </c>
      <c r="M164" s="6">
        <f t="shared" si="62"/>
        <v>1.0590277772280388E-2</v>
      </c>
      <c r="N164" s="7">
        <f t="shared" si="59"/>
        <v>15.249999992083758</v>
      </c>
      <c r="O164" s="7"/>
      <c r="P164" s="7"/>
      <c r="Q164" s="22"/>
      <c r="R164" s="170"/>
      <c r="S164" s="213">
        <f t="shared" si="75"/>
        <v>1</v>
      </c>
      <c r="T164" s="195" t="str">
        <f t="shared" si="63"/>
        <v>Southbound</v>
      </c>
      <c r="U164" s="19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6" t="str">
        <f t="shared" si="64"/>
        <v>https://d0f6bd738d7f1b3e5a7ca70fe4ff75f0.us-east-1.aws.found.io/app/kibana#/discover/Steve-Slow-Train-Analysis-(2080s-and-2083s)?_g=(refreshInterval:(display:Off,pause:!f,section:0,value:0),time:(from:'2017-06-30T04:08:00-0600',mode:absolute,to:'2017-06-30T06:25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64" s="197" t="str">
        <f>IF(AA164&lt;VLOOKUP(AG164,Variables!$AC$3:$AD$8,2,FALSE),"Y","N")</f>
        <v>N</v>
      </c>
      <c r="X164" s="197">
        <f t="shared" si="76"/>
        <v>554</v>
      </c>
      <c r="Y164" s="197">
        <f t="shared" si="77"/>
        <v>5.8632</v>
      </c>
      <c r="Z164" s="197">
        <f t="shared" si="78"/>
        <v>6.8699999999999997E-2</v>
      </c>
      <c r="AA164" s="197">
        <f t="shared" si="65"/>
        <v>5.7945000000000002</v>
      </c>
      <c r="AB164" s="54" t="e">
        <f>VLOOKUP(A164,Enforcements!$C$7:$K$13,8,0)</f>
        <v>#N/A</v>
      </c>
      <c r="AC164" s="51" t="e">
        <f>VLOOKUP(A164,Enforcements!$C$7:$E$13,3,0)</f>
        <v>#N/A</v>
      </c>
      <c r="AD164" s="206">
        <f t="shared" si="66"/>
        <v>800</v>
      </c>
      <c r="AE164" s="77" t="str">
        <f t="shared" si="67"/>
        <v>aws s3 cp s3://rtdc.mdm.uploadarchive.raw/RTDC4057/ "%USERPROFILE%\AppData\Local\Temp\OnboardLogs"\RTDC4057\2017-06-30 --exclude "*" --recursive --include "*20170630*" &amp; "%USERPROFILE%\Documents\GitHub\mrs-test-scripts\Headless Mode &amp; Sideloading\WalkAndUnGZ.bat" "%USERPROFILE%\AppData\Local\Temp\OnboardLogs"\RTDC4057\2017-06-30 &amp; aws s3 cp s3://rtdc.mdm.uploadarchive.raw/RTDC4057/ "%USERPROFILE%\AppData\Local\Temp\OnboardLogs"\RTDC4057\2017-07-01 --exclude "*" --recursive --include "*20170701*" &amp; "%USERPROFILE%\Documents\GitHub\mrs-test-scripts\Headless Mode &amp; Sideloading\WalkAndUnGZ.bat" "%USERPROFILE%\AppData\Local\Temp\OnboardLogs"\RTDC4057\2017-07-01</v>
      </c>
      <c r="AF164" s="74" t="str">
        <f t="shared" si="68"/>
        <v>"C:\Program Files (x86)\AstroGrep\AstroGrep.exe" /e /r /s /spath="%USERPROFILE%\AppData\Local\Temp\OnboardLogs" /stypes="app*4057*20170630*" /stext=" 11:.+((SYSTEM_STATE.+slice.+state.+changed )|(ment ac)|(multiple cpu faults)|(system.+state.+changed )|(\[timeout)|(PRM\|1\|D)|(kpr)|(kdp)|(train st.+moving)|(\|lc)|(penalty))"</v>
      </c>
      <c r="AG164" s="209" t="str">
        <f t="shared" si="69"/>
        <v>NW</v>
      </c>
      <c r="AH164" s="78" t="str">
        <f t="shared" si="70"/>
        <v>"%USERPROFILE%\Documents\GitHub\eaglep3\Utilities\RefineRTDCRunTimes.py" --tripid 800-30 --locoid 4057 --swversion DE.1.0.9.0 --startMP 300:58632 --initTime 2017-06-30T05:08:00 --startdatetime 2017-06-30T05:10:35 --delay 1 --endMP 204:687 --enddatetime 2017-06-30T05:25:50 --enforcementcount 0 &gt;&gt;C:\Users\stu\Documents\GitHub\eaglep3-reporting\EC\2017-06-30-refined-times.txt</v>
      </c>
      <c r="AI164" s="96" t="str">
        <f t="shared" si="71"/>
        <v>echo {"issue":{"subject":"","project_id":79,"tracker_id":40,"status_id":1,"priority_id":2,"assigned_to_id":23,"start_date":"2017-06-30","description":"","custom_fields":[{"id":1,"name":"Subdivision","value":"NW"},{"id":4,"name":"Milepost","value":"0.0687"},{"id":17,"name":"Train ID","value":"800-30"},{"id":16,"name":"Locomotive ID","value":"4057"},{"id":130,"name":"Impact","value":""},{"id":150,"name":"Time of Event (Mountain Time)","value":"05:25:50"},{"id":151,"name":"Denver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4" s="47"/>
      <c r="AL164" s="47"/>
      <c r="AM164" s="142" t="str">
        <f t="shared" si="72"/>
        <v>start /low /b %USERPROFILE%\Documents\GitHub\eaglep3\Utilities\DownloadLogsFromS3.py --loco 4057 --day 2017-06-30</v>
      </c>
      <c r="AN164" s="151" t="str">
        <f t="shared" si="73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11:25:50"},{"id":29,"name":"Sharepoint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2" t="s">
        <v>670</v>
      </c>
      <c r="B165" s="7">
        <v>4058</v>
      </c>
      <c r="C165" s="21" t="s">
        <v>200</v>
      </c>
      <c r="D165" s="21" t="s">
        <v>510</v>
      </c>
      <c r="E165" s="13">
        <v>42916.228252314817</v>
      </c>
      <c r="F165" s="13">
        <v>42916.24391203704</v>
      </c>
      <c r="G165" s="7">
        <v>1</v>
      </c>
      <c r="H165" s="21" t="s">
        <v>988</v>
      </c>
      <c r="I165" s="13">
        <v>42916.252997685187</v>
      </c>
      <c r="J165" s="7">
        <v>0</v>
      </c>
      <c r="K165" s="89" t="str">
        <f t="shared" si="61"/>
        <v>4057/4058</v>
      </c>
      <c r="L165" s="21" t="str">
        <f>VLOOKUP(A165,'Trips&amp;Operators'!$C$1:$G$99999,5,FALSE)</f>
        <v>GUZMAN DANNY</v>
      </c>
      <c r="M165" s="6">
        <f t="shared" si="62"/>
        <v>9.0856481474475004E-3</v>
      </c>
      <c r="N165" s="7">
        <f t="shared" si="59"/>
        <v>13.083333332324401</v>
      </c>
      <c r="O165" s="7"/>
      <c r="P165" s="7"/>
      <c r="Q165" s="22"/>
      <c r="R165" s="170"/>
      <c r="S165" s="213">
        <f t="shared" si="75"/>
        <v>1</v>
      </c>
      <c r="T165" s="195" t="str">
        <f t="shared" si="63"/>
        <v>NorthBound</v>
      </c>
      <c r="U165" s="19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6" t="str">
        <f t="shared" si="64"/>
        <v>https://d0f6bd738d7f1b3e5a7ca70fe4ff75f0.us-east-1.aws.found.io/app/kibana#/discover/Steve-Slow-Train-Analysis-(2080s-and-2083s)?_g=(refreshInterval:(display:Off,pause:!f,section:0,value:0),time:(from:'2017-06-30T04:28:41-0600',mode:absolute,to:'2017-06-30T07:04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65" s="197" t="str">
        <f>IF(AA165&lt;VLOOKUP(AG165,Variables!$AC$3:$AD$8,2,FALSE),"Y","N")</f>
        <v>N</v>
      </c>
      <c r="X165" s="197">
        <f t="shared" si="76"/>
        <v>1</v>
      </c>
      <c r="Y165" s="197">
        <f t="shared" si="77"/>
        <v>9.7600000000000006E-2</v>
      </c>
      <c r="Z165" s="197">
        <f t="shared" si="78"/>
        <v>5.8929</v>
      </c>
      <c r="AA165" s="197">
        <f t="shared" si="65"/>
        <v>5.7953000000000001</v>
      </c>
      <c r="AB165" s="54" t="e">
        <f>VLOOKUP(A165,Enforcements!$C$7:$K$13,8,0)</f>
        <v>#N/A</v>
      </c>
      <c r="AC165" s="51" t="e">
        <f>VLOOKUP(A165,Enforcements!$C$7:$E$13,3,0)</f>
        <v>#N/A</v>
      </c>
      <c r="AD165" s="206">
        <f t="shared" si="66"/>
        <v>801</v>
      </c>
      <c r="AE165" s="77" t="str">
        <f t="shared" si="67"/>
        <v>aws s3 cp s3://rtdc.mdm.uploadarchive.raw/RTDC4058/ "%USERPROFILE%\AppData\Local\Temp\OnboardLogs"\RTDC4058\2017-06-30 --exclude "*" --recursive --include "*20170630*" &amp; "%USERPROFILE%\Documents\GitHub\mrs-test-scripts\Headless Mode &amp; Sideloading\WalkAndUnGZ.bat" "%USERPROFILE%\AppData\Local\Temp\OnboardLogs"\RTDC4058\2017-06-30 &amp; aws s3 cp s3://rtdc.mdm.uploadarchive.raw/RTDC4058/ "%USERPROFILE%\AppData\Local\Temp\OnboardLogs"\RTDC4058\2017-07-01 --exclude "*" --recursive --include "*20170701*" &amp; "%USERPROFILE%\Documents\GitHub\mrs-test-scripts\Headless Mode &amp; Sideloading\WalkAndUnGZ.bat" "%USERPROFILE%\AppData\Local\Temp\OnboardLogs"\RTDC4058\2017-07-01</v>
      </c>
      <c r="AF165" s="74" t="str">
        <f t="shared" si="68"/>
        <v>"C:\Program Files (x86)\AstroGrep\AstroGrep.exe" /e /r /s /spath="%USERPROFILE%\AppData\Local\Temp\OnboardLogs" /stypes="app*4058*20170630*" /stext=" 12:.+((SYSTEM_STATE.+slice.+state.+changed )|(ment ac)|(multiple cpu faults)|(system.+state.+changed )|(\[timeout)|(PRM\|1\|D)|(kpr)|(kdp)|(train st.+moving)|(\|lc)|(penalty))"</v>
      </c>
      <c r="AG165" s="209" t="str">
        <f t="shared" si="69"/>
        <v>NW</v>
      </c>
      <c r="AH165" s="78" t="str">
        <f t="shared" si="70"/>
        <v>"%USERPROFILE%\Documents\GitHub\eaglep3\Utilities\RefineRTDCRunTimes.py" --tripid 801-30 --locoid 4058 --swversion DE.1.0.9.0 --startMP 204:976 --initTime 2017-06-30T05:28:41 --startdatetime 2017-06-30T05:51:14 --delay 1 --endMP 300:58929 --enddatetime 2017-06-30T06:04:19 --enforcementcount 0 &gt;&gt;C:\Users\stu\Documents\GitHub\eaglep3-reporting\EC\2017-06-30-refined-times.txt</v>
      </c>
      <c r="AI165" s="96" t="str">
        <f t="shared" si="71"/>
        <v>echo {"issue":{"subject":"","project_id":79,"tracker_id":40,"status_id":1,"priority_id":2,"assigned_to_id":23,"start_date":"2017-06-30","description":"","custom_fields":[{"id":1,"name":"Subdivision","value":"NW"},{"id":4,"name":"Milepost","value":"5.8929"},{"id":17,"name":"Train ID","value":"801-30"},{"id":16,"name":"Locomotive ID","value":"4058"},{"id":130,"name":"Impact","value":""},{"id":150,"name":"Time of Event (Mountain Time)","value":"06:04:19"},{"id":151,"name":"Denver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5" s="47"/>
      <c r="AL165" s="47"/>
      <c r="AM165" s="142" t="str">
        <f t="shared" si="72"/>
        <v>start /low /b %USERPROFILE%\Documents\GitHub\eaglep3\Utilities\DownloadLogsFromS3.py --loco 4058 --day 2017-06-30</v>
      </c>
      <c r="AN165" s="151" t="str">
        <f t="shared" si="73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12:04:19"},{"id":29,"name":"Sharepoint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32" t="s">
        <v>584</v>
      </c>
      <c r="B166" s="7">
        <v>4057</v>
      </c>
      <c r="C166" s="21" t="s">
        <v>200</v>
      </c>
      <c r="D166" s="21" t="s">
        <v>571</v>
      </c>
      <c r="E166" s="13">
        <v>42916.254305555558</v>
      </c>
      <c r="F166" s="13">
        <v>42916.255636574075</v>
      </c>
      <c r="G166" s="7">
        <v>1</v>
      </c>
      <c r="H166" s="21" t="s">
        <v>989</v>
      </c>
      <c r="I166" s="13">
        <v>42916.267523148148</v>
      </c>
      <c r="J166" s="7">
        <v>0</v>
      </c>
      <c r="K166" s="89" t="str">
        <f t="shared" si="61"/>
        <v>4057/4058</v>
      </c>
      <c r="L166" s="21" t="str">
        <f>VLOOKUP(A166,'Trips&amp;Operators'!$C$1:$G$99999,5,FALSE)</f>
        <v>GUZMAN DANNY</v>
      </c>
      <c r="M166" s="6">
        <f t="shared" si="62"/>
        <v>1.1886574073287193E-2</v>
      </c>
      <c r="N166" s="7">
        <f t="shared" si="59"/>
        <v>17.116666665533558</v>
      </c>
      <c r="O166" s="7"/>
      <c r="P166" s="7"/>
      <c r="Q166" s="22"/>
      <c r="R166" s="170"/>
      <c r="S166" s="213">
        <f t="shared" si="75"/>
        <v>1</v>
      </c>
      <c r="T166" s="195" t="str">
        <f t="shared" si="63"/>
        <v>Southbound</v>
      </c>
      <c r="U166" s="19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6" t="str">
        <f t="shared" si="64"/>
        <v>https://d0f6bd738d7f1b3e5a7ca70fe4ff75f0.us-east-1.aws.found.io/app/kibana#/discover/Steve-Slow-Train-Analysis-(2080s-and-2083s)?_g=(refreshInterval:(display:Off,pause:!f,section:0,value:0),time:(from:'2017-06-30T05:06:12-0600',mode:absolute,to:'2017-06-30T07:25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66" s="197" t="str">
        <f>IF(AA166&lt;VLOOKUP(AG166,Variables!$AC$3:$AD$8,2,FALSE),"Y","N")</f>
        <v>N</v>
      </c>
      <c r="X166" s="197">
        <f t="shared" si="76"/>
        <v>1</v>
      </c>
      <c r="Y166" s="197">
        <f t="shared" si="77"/>
        <v>5.8611000000000004</v>
      </c>
      <c r="Z166" s="197">
        <f t="shared" si="78"/>
        <v>7.17E-2</v>
      </c>
      <c r="AA166" s="197">
        <f t="shared" si="65"/>
        <v>5.7894000000000005</v>
      </c>
      <c r="AB166" s="54" t="e">
        <f>VLOOKUP(A166,Enforcements!$C$7:$K$13,8,0)</f>
        <v>#N/A</v>
      </c>
      <c r="AC166" s="51" t="e">
        <f>VLOOKUP(A166,Enforcements!$C$7:$E$13,3,0)</f>
        <v>#N/A</v>
      </c>
      <c r="AD166" s="206">
        <f t="shared" si="66"/>
        <v>802</v>
      </c>
      <c r="AE166" s="77" t="str">
        <f t="shared" si="67"/>
        <v>aws s3 cp s3://rtdc.mdm.uploadarchive.raw/RTDC4057/ "%USERPROFILE%\AppData\Local\Temp\OnboardLogs"\RTDC4057\2017-06-30 --exclude "*" --recursive --include "*20170630*" &amp; "%USERPROFILE%\Documents\GitHub\mrs-test-scripts\Headless Mode &amp; Sideloading\WalkAndUnGZ.bat" "%USERPROFILE%\AppData\Local\Temp\OnboardLogs"\RTDC4057\2017-06-30 &amp; aws s3 cp s3://rtdc.mdm.uploadarchive.raw/RTDC4057/ "%USERPROFILE%\AppData\Local\Temp\OnboardLogs"\RTDC4057\2017-07-01 --exclude "*" --recursive --include "*20170701*" &amp; "%USERPROFILE%\Documents\GitHub\mrs-test-scripts\Headless Mode &amp; Sideloading\WalkAndUnGZ.bat" "%USERPROFILE%\AppData\Local\Temp\OnboardLogs"\RTDC4057\2017-07-01</v>
      </c>
      <c r="AF166" s="74" t="str">
        <f t="shared" si="68"/>
        <v>"C:\Program Files (x86)\AstroGrep\AstroGrep.exe" /e /r /s /spath="%USERPROFILE%\AppData\Local\Temp\OnboardLogs" /stypes="app*4057*20170630*" /stext=" 12:.+((SYSTEM_STATE.+slice.+state.+changed )|(ment ac)|(multiple cpu faults)|(system.+state.+changed )|(\[timeout)|(PRM\|1\|D)|(kpr)|(kdp)|(train st.+moving)|(\|lc)|(penalty))"</v>
      </c>
      <c r="AG166" s="209" t="str">
        <f t="shared" si="69"/>
        <v>NW</v>
      </c>
      <c r="AH166" s="78" t="str">
        <f t="shared" si="70"/>
        <v>"%USERPROFILE%\Documents\GitHub\eaglep3\Utilities\RefineRTDCRunTimes.py" --tripid 802-30 --locoid 4057 --swversion DE.1.0.9.0 --startMP 300:58611 --initTime 2017-06-30T06:06:12 --startdatetime 2017-06-30T06:08:07 --delay 1 --endMP 204:717 --enddatetime 2017-06-30T06:25:14 --enforcementcount 0 &gt;&gt;C:\Users\stu\Documents\GitHub\eaglep3-reporting\EC\2017-06-30-refined-times.txt</v>
      </c>
      <c r="AI166" s="96" t="str">
        <f t="shared" si="71"/>
        <v>echo {"issue":{"subject":"","project_id":79,"tracker_id":40,"status_id":1,"priority_id":2,"assigned_to_id":23,"start_date":"2017-06-30","description":"","custom_fields":[{"id":1,"name":"Subdivision","value":"NW"},{"id":4,"name":"Milepost","value":"0.0717"},{"id":17,"name":"Train ID","value":"802-30"},{"id":16,"name":"Locomotive ID","value":"4057"},{"id":130,"name":"Impact","value":""},{"id":150,"name":"Time of Event (Mountain Time)","value":"06:25:14"},{"id":151,"name":"Denver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6" s="47"/>
      <c r="AL166" s="47"/>
      <c r="AM166" s="142" t="str">
        <f t="shared" si="72"/>
        <v>start /low /b %USERPROFILE%\Documents\GitHub\eaglep3\Utilities\DownloadLogsFromS3.py --loco 4057 --day 2017-06-30</v>
      </c>
      <c r="AN166" s="151" t="str">
        <f t="shared" si="73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12:25:14"},{"id":29,"name":"Sharepoint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32" t="s">
        <v>678</v>
      </c>
      <c r="B167" s="7">
        <v>4016</v>
      </c>
      <c r="C167" s="21" t="s">
        <v>200</v>
      </c>
      <c r="D167" s="21" t="s">
        <v>462</v>
      </c>
      <c r="E167" s="13">
        <v>42916.253668981481</v>
      </c>
      <c r="F167" s="13">
        <v>42916.264803240738</v>
      </c>
      <c r="G167" s="7">
        <v>1</v>
      </c>
      <c r="H167" s="21" t="s">
        <v>990</v>
      </c>
      <c r="I167" s="13">
        <v>42916.274074074077</v>
      </c>
      <c r="J167" s="7">
        <v>0</v>
      </c>
      <c r="K167" s="89" t="str">
        <f t="shared" si="61"/>
        <v>4015/4016</v>
      </c>
      <c r="L167" s="21" t="str">
        <f>VLOOKUP(A167,'Trips&amp;Operators'!$C$1:$G$99999,5,FALSE)</f>
        <v>LALONDE GREGORY</v>
      </c>
      <c r="M167" s="6">
        <f t="shared" si="62"/>
        <v>9.2708333395421505E-3</v>
      </c>
      <c r="N167" s="7">
        <f t="shared" si="59"/>
        <v>13.350000008940697</v>
      </c>
      <c r="O167" s="7"/>
      <c r="P167" s="7"/>
      <c r="Q167" s="22"/>
      <c r="R167" s="170"/>
      <c r="S167" s="213">
        <f t="shared" si="75"/>
        <v>1</v>
      </c>
      <c r="T167" s="195" t="str">
        <f t="shared" si="63"/>
        <v>NorthBound</v>
      </c>
      <c r="U167" s="19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6" t="str">
        <f t="shared" si="64"/>
        <v>https://d0f6bd738d7f1b3e5a7ca70fe4ff75f0.us-east-1.aws.found.io/app/kibana#/discover/Steve-Slow-Train-Analysis-(2080s-and-2083s)?_g=(refreshInterval:(display:Off,pause:!f,section:0,value:0),time:(from:'2017-06-30T05:05:17-0600',mode:absolute,to:'2017-06-30T07:34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7" s="197" t="str">
        <f>IF(AA167&lt;VLOOKUP(AG167,Variables!$AC$3:$AD$8,2,FALSE),"Y","N")</f>
        <v>N</v>
      </c>
      <c r="X167" s="197">
        <f t="shared" si="76"/>
        <v>1</v>
      </c>
      <c r="Y167" s="197">
        <f t="shared" si="77"/>
        <v>9.7100000000000006E-2</v>
      </c>
      <c r="Z167" s="197">
        <f t="shared" si="78"/>
        <v>5.8963000000000001</v>
      </c>
      <c r="AA167" s="197">
        <f t="shared" si="65"/>
        <v>5.7991999999999999</v>
      </c>
      <c r="AB167" s="54" t="e">
        <f>VLOOKUP(A167,Enforcements!$C$7:$K$13,8,0)</f>
        <v>#N/A</v>
      </c>
      <c r="AC167" s="51" t="e">
        <f>VLOOKUP(A167,Enforcements!$C$7:$E$13,3,0)</f>
        <v>#N/A</v>
      </c>
      <c r="AD167" s="206">
        <f t="shared" si="66"/>
        <v>803</v>
      </c>
      <c r="AE167" s="77" t="str">
        <f t="shared" si="67"/>
        <v>aws s3 cp s3://rtdc.mdm.uploadarchive.raw/RTDC4016/ "%USERPROFILE%\AppData\Local\Temp\OnboardLogs"\RTDC4016\2017-06-30 --exclude "*" --recursive --include "*20170630*" &amp; "%USERPROFILE%\Documents\GitHub\mrs-test-scripts\Headless Mode &amp; Sideloading\WalkAndUnGZ.bat" "%USERPROFILE%\AppData\Local\Temp\OnboardLogs"\RTDC4016\2017-06-30 &amp; aws s3 cp s3://rtdc.mdm.uploadarchive.raw/RTDC4016/ "%USERPROFILE%\AppData\Local\Temp\OnboardLogs"\RTDC4016\2017-07-01 --exclude "*" --recursive --include "*20170701*" &amp; "%USERPROFILE%\Documents\GitHub\mrs-test-scripts\Headless Mode &amp; Sideloading\WalkAndUnGZ.bat" "%USERPROFILE%\AppData\Local\Temp\OnboardLogs"\RTDC4016\2017-07-01</v>
      </c>
      <c r="AF167" s="74" t="str">
        <f t="shared" si="68"/>
        <v>"C:\Program Files (x86)\AstroGrep\AstroGrep.exe" /e /r /s /spath="%USERPROFILE%\AppData\Local\Temp\OnboardLogs" /stypes="app*4016*20170630*" /stext=" 12:.+((SYSTEM_STATE.+slice.+state.+changed )|(ment ac)|(multiple cpu faults)|(system.+state.+changed )|(\[timeout)|(PRM\|1\|D)|(kpr)|(kdp)|(train st.+moving)|(\|lc)|(penalty))"</v>
      </c>
      <c r="AG167" s="209" t="str">
        <f t="shared" si="69"/>
        <v>NW</v>
      </c>
      <c r="AH167" s="78" t="str">
        <f t="shared" si="70"/>
        <v>"%USERPROFILE%\Documents\GitHub\eaglep3\Utilities\RefineRTDCRunTimes.py" --tripid 803-30 --locoid 4016 --swversion DE.1.0.9.0 --startMP 204:971 --initTime 2017-06-30T06:05:17 --startdatetime 2017-06-30T06:21:19 --delay 1 --endMP 300:58963 --enddatetime 2017-06-30T06:34:40 --enforcementcount 0 &gt;&gt;C:\Users\stu\Documents\GitHub\eaglep3-reporting\EC\2017-06-30-refined-times.txt</v>
      </c>
      <c r="AI167" s="96" t="str">
        <f t="shared" si="71"/>
        <v>echo {"issue":{"subject":"","project_id":79,"tracker_id":40,"status_id":1,"priority_id":2,"assigned_to_id":23,"start_date":"2017-06-30","description":"","custom_fields":[{"id":1,"name":"Subdivision","value":"NW"},{"id":4,"name":"Milepost","value":"5.8963"},{"id":17,"name":"Train ID","value":"803-30"},{"id":16,"name":"Locomotive ID","value":"4016"},{"id":130,"name":"Impact","value":""},{"id":150,"name":"Time of Event (Mountain Time)","value":"06:34:40"},{"id":151,"name":"Denver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7" s="47"/>
      <c r="AL167" s="47"/>
      <c r="AM167" s="142" t="str">
        <f t="shared" si="72"/>
        <v>start /low /b %USERPROFILE%\Documents\GitHub\eaglep3\Utilities\DownloadLogsFromS3.py --loco 4016 --day 2017-06-30</v>
      </c>
      <c r="AN167" s="151" t="str">
        <f t="shared" si="73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12:34:40"},{"id":29,"name":"Sharepoint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2" t="s">
        <v>684</v>
      </c>
      <c r="B168" s="7">
        <v>4015</v>
      </c>
      <c r="C168" s="21" t="s">
        <v>200</v>
      </c>
      <c r="D168" s="21" t="s">
        <v>567</v>
      </c>
      <c r="E168" s="13">
        <v>42916.275011574071</v>
      </c>
      <c r="F168" s="13">
        <v>42916.276597222219</v>
      </c>
      <c r="G168" s="7">
        <v>1</v>
      </c>
      <c r="H168" s="21" t="s">
        <v>573</v>
      </c>
      <c r="I168" s="13">
        <v>42916.288391203707</v>
      </c>
      <c r="J168" s="7">
        <v>0</v>
      </c>
      <c r="K168" s="89" t="str">
        <f t="shared" si="61"/>
        <v>4015/4016</v>
      </c>
      <c r="L168" s="21" t="str">
        <f>VLOOKUP(A168,'Trips&amp;Operators'!$C$1:$G$99999,5,FALSE)</f>
        <v>LALONDE GREGORY</v>
      </c>
      <c r="M168" s="6">
        <f t="shared" si="62"/>
        <v>1.1793981488153804E-2</v>
      </c>
      <c r="N168" s="7">
        <f t="shared" si="59"/>
        <v>16.983333342941478</v>
      </c>
      <c r="O168" s="7"/>
      <c r="P168" s="7"/>
      <c r="Q168" s="22"/>
      <c r="R168" s="170"/>
      <c r="S168" s="213">
        <f t="shared" si="75"/>
        <v>1</v>
      </c>
      <c r="T168" s="195" t="str">
        <f t="shared" si="63"/>
        <v>Southbound</v>
      </c>
      <c r="U168" s="19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6" t="str">
        <f t="shared" si="64"/>
        <v>https://d0f6bd738d7f1b3e5a7ca70fe4ff75f0.us-east-1.aws.found.io/app/kibana#/discover/Steve-Slow-Train-Analysis-(2080s-and-2083s)?_g=(refreshInterval:(display:Off,pause:!f,section:0,value:0),time:(from:'2017-06-30T05:36:01-0600',mode:absolute,to:'2017-06-30T07:55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8" s="197" t="str">
        <f>IF(AA168&lt;VLOOKUP(AG168,Variables!$AC$3:$AD$8,2,FALSE),"Y","N")</f>
        <v>N</v>
      </c>
      <c r="X168" s="197">
        <f t="shared" si="76"/>
        <v>1</v>
      </c>
      <c r="Y168" s="197">
        <f t="shared" si="77"/>
        <v>5.8651</v>
      </c>
      <c r="Z168" s="197">
        <f t="shared" si="78"/>
        <v>6.7000000000000004E-2</v>
      </c>
      <c r="AA168" s="197">
        <f t="shared" si="65"/>
        <v>5.7980999999999998</v>
      </c>
      <c r="AB168" s="54" t="e">
        <f>VLOOKUP(A168,Enforcements!$C$7:$K$13,8,0)</f>
        <v>#N/A</v>
      </c>
      <c r="AC168" s="51" t="e">
        <f>VLOOKUP(A168,Enforcements!$C$7:$E$13,3,0)</f>
        <v>#N/A</v>
      </c>
      <c r="AD168" s="206">
        <f t="shared" si="66"/>
        <v>804</v>
      </c>
      <c r="AE168" s="77" t="str">
        <f t="shared" si="67"/>
        <v>aws s3 cp s3://rtdc.mdm.uploadarchive.raw/RTDC4015/ "%USERPROFILE%\AppData\Local\Temp\OnboardLogs"\RTDC4015\2017-06-30 --exclude "*" --recursive --include "*20170630*" &amp; "%USERPROFILE%\Documents\GitHub\mrs-test-scripts\Headless Mode &amp; Sideloading\WalkAndUnGZ.bat" "%USERPROFILE%\AppData\Local\Temp\OnboardLogs"\RTDC4015\2017-06-30 &amp; aws s3 cp s3://rtdc.mdm.uploadarchive.raw/RTDC4015/ "%USERPROFILE%\AppData\Local\Temp\OnboardLogs"\RTDC4015\2017-07-01 --exclude "*" --recursive --include "*20170701*" &amp; "%USERPROFILE%\Documents\GitHub\mrs-test-scripts\Headless Mode &amp; Sideloading\WalkAndUnGZ.bat" "%USERPROFILE%\AppData\Local\Temp\OnboardLogs"\RTDC4015\2017-07-01</v>
      </c>
      <c r="AF168" s="74" t="str">
        <f t="shared" si="68"/>
        <v>"C:\Program Files (x86)\AstroGrep\AstroGrep.exe" /e /r /s /spath="%USERPROFILE%\AppData\Local\Temp\OnboardLogs" /stypes="app*4015*20170630*" /stext=" 12:.+((SYSTEM_STATE.+slice.+state.+changed )|(ment ac)|(multiple cpu faults)|(system.+state.+changed )|(\[timeout)|(PRM\|1\|D)|(kpr)|(kdp)|(train st.+moving)|(\|lc)|(penalty))"</v>
      </c>
      <c r="AG168" s="209" t="str">
        <f t="shared" si="69"/>
        <v>NW</v>
      </c>
      <c r="AH168" s="78" t="str">
        <f t="shared" si="70"/>
        <v>"%USERPROFILE%\Documents\GitHub\eaglep3\Utilities\RefineRTDCRunTimes.py" --tripid 804-30 --locoid 4015 --swversion DE.1.0.9.0 --startMP 300:58651 --initTime 2017-06-30T06:36:01 --startdatetime 2017-06-30T06:38:18 --delay 1 --endMP 204:670 --enddatetime 2017-06-30T06:55:17 --enforcementcount 0 &gt;&gt;C:\Users\stu\Documents\GitHub\eaglep3-reporting\EC\2017-06-30-refined-times.txt</v>
      </c>
      <c r="AI168" s="96" t="str">
        <f t="shared" si="71"/>
        <v>echo {"issue":{"subject":"","project_id":79,"tracker_id":40,"status_id":1,"priority_id":2,"assigned_to_id":23,"start_date":"2017-06-30","description":"","custom_fields":[{"id":1,"name":"Subdivision","value":"NW"},{"id":4,"name":"Milepost","value":"0.067"},{"id":17,"name":"Train ID","value":"804-30"},{"id":16,"name":"Locomotive ID","value":"4015"},{"id":130,"name":"Impact","value":""},{"id":150,"name":"Time of Event (Mountain Time)","value":"06:55:17"},{"id":151,"name":"Denver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8" s="47"/>
      <c r="AL168" s="47"/>
      <c r="AM168" s="142" t="str">
        <f t="shared" si="72"/>
        <v>start /low /b %USERPROFILE%\Documents\GitHub\eaglep3\Utilities\DownloadLogsFromS3.py --loco 4015 --day 2017-06-30</v>
      </c>
      <c r="AN168" s="151" t="str">
        <f t="shared" si="73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12:55:17"},{"id":29,"name":"Sharepoint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682</v>
      </c>
      <c r="B169" s="7">
        <v>4058</v>
      </c>
      <c r="C169" s="21" t="s">
        <v>200</v>
      </c>
      <c r="D169" s="21" t="s">
        <v>991</v>
      </c>
      <c r="E169" s="13">
        <v>42916.269456018519</v>
      </c>
      <c r="F169" s="13">
        <v>42916.285590277781</v>
      </c>
      <c r="G169" s="7">
        <v>1</v>
      </c>
      <c r="H169" s="21" t="s">
        <v>992</v>
      </c>
      <c r="I169" s="13">
        <v>42916.294745370367</v>
      </c>
      <c r="J169" s="7">
        <v>0</v>
      </c>
      <c r="K169" s="89" t="str">
        <f t="shared" si="61"/>
        <v>4057/4058</v>
      </c>
      <c r="L169" s="21" t="str">
        <f>VLOOKUP(A169,'Trips&amp;Operators'!$C$1:$G$99999,5,FALSE)</f>
        <v>GUZMAN DANNY</v>
      </c>
      <c r="M169" s="6">
        <f t="shared" si="62"/>
        <v>9.1550925862975419E-3</v>
      </c>
      <c r="N169" s="7">
        <f t="shared" si="59"/>
        <v>13.18333332426846</v>
      </c>
      <c r="O169" s="7"/>
      <c r="P169" s="7"/>
      <c r="Q169" s="22"/>
      <c r="R169" s="170"/>
      <c r="S169" s="213">
        <f t="shared" si="75"/>
        <v>1</v>
      </c>
      <c r="T169" s="195" t="str">
        <f t="shared" si="63"/>
        <v>NorthBound</v>
      </c>
      <c r="U169" s="19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6" t="str">
        <f t="shared" si="64"/>
        <v>https://d0f6bd738d7f1b3e5a7ca70fe4ff75f0.us-east-1.aws.found.io/app/kibana#/discover/Steve-Slow-Train-Analysis-(2080s-and-2083s)?_g=(refreshInterval:(display:Off,pause:!f,section:0,value:0),time:(from:'2017-06-30T05:28:01-0600',mode:absolute,to:'2017-06-30T08:04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69" s="197" t="str">
        <f>IF(AA169&lt;VLOOKUP(AG169,Variables!$AC$3:$AD$8,2,FALSE),"Y","N")</f>
        <v>N</v>
      </c>
      <c r="X169" s="197">
        <f t="shared" si="76"/>
        <v>1</v>
      </c>
      <c r="Y169" s="197">
        <f t="shared" si="77"/>
        <v>0.10199999999999999</v>
      </c>
      <c r="Z169" s="197">
        <f t="shared" si="78"/>
        <v>5.8940999999999999</v>
      </c>
      <c r="AA169" s="197">
        <f t="shared" si="65"/>
        <v>5.7920999999999996</v>
      </c>
      <c r="AB169" s="54" t="e">
        <f>VLOOKUP(A169,Enforcements!$C$7:$K$13,8,0)</f>
        <v>#N/A</v>
      </c>
      <c r="AC169" s="51" t="e">
        <f>VLOOKUP(A169,Enforcements!$C$7:$E$13,3,0)</f>
        <v>#N/A</v>
      </c>
      <c r="AD169" s="206">
        <f t="shared" si="66"/>
        <v>805</v>
      </c>
      <c r="AE169" s="77" t="str">
        <f t="shared" si="67"/>
        <v>aws s3 cp s3://rtdc.mdm.uploadarchive.raw/RTDC4058/ "%USERPROFILE%\AppData\Local\Temp\OnboardLogs"\RTDC4058\2017-06-30 --exclude "*" --recursive --include "*20170630*" &amp; "%USERPROFILE%\Documents\GitHub\mrs-test-scripts\Headless Mode &amp; Sideloading\WalkAndUnGZ.bat" "%USERPROFILE%\AppData\Local\Temp\OnboardLogs"\RTDC4058\2017-06-30 &amp; aws s3 cp s3://rtdc.mdm.uploadarchive.raw/RTDC4058/ "%USERPROFILE%\AppData\Local\Temp\OnboardLogs"\RTDC4058\2017-07-01 --exclude "*" --recursive --include "*20170701*" &amp; "%USERPROFILE%\Documents\GitHub\mrs-test-scripts\Headless Mode &amp; Sideloading\WalkAndUnGZ.bat" "%USERPROFILE%\AppData\Local\Temp\OnboardLogs"\RTDC4058\2017-07-01</v>
      </c>
      <c r="AF169" s="74" t="str">
        <f t="shared" si="68"/>
        <v>"C:\Program Files (x86)\AstroGrep\AstroGrep.exe" /e /r /s /spath="%USERPROFILE%\AppData\Local\Temp\OnboardLogs" /stypes="app*4058*20170630*" /stext=" 13:.+((SYSTEM_STATE.+slice.+state.+changed )|(ment ac)|(multiple cpu faults)|(system.+state.+changed )|(\[timeout)|(PRM\|1\|D)|(kpr)|(kdp)|(train st.+moving)|(\|lc)|(penalty))"</v>
      </c>
      <c r="AG169" s="209" t="str">
        <f t="shared" si="69"/>
        <v>NW</v>
      </c>
      <c r="AH169" s="78" t="str">
        <f t="shared" si="70"/>
        <v>"%USERPROFILE%\Documents\GitHub\eaglep3\Utilities\RefineRTDCRunTimes.py" --tripid 805-30 --locoid 4058 --swversion DE.1.0.9.0 --startMP 204:1020 --initTime 2017-06-30T06:28:01 --startdatetime 2017-06-30T06:51:15 --delay 1 --endMP 300:58941 --enddatetime 2017-06-30T07:04:26 --enforcementcount 0 &gt;&gt;C:\Users\stu\Documents\GitHub\eaglep3-reporting\EC\2017-06-30-refined-times.txt</v>
      </c>
      <c r="AI169" s="96" t="str">
        <f t="shared" si="71"/>
        <v>echo {"issue":{"subject":"","project_id":79,"tracker_id":40,"status_id":1,"priority_id":2,"assigned_to_id":23,"start_date":"2017-06-30","description":"","custom_fields":[{"id":1,"name":"Subdivision","value":"NW"},{"id":4,"name":"Milepost","value":"5.8941"},{"id":17,"name":"Train ID","value":"805-30"},{"id":16,"name":"Locomotive ID","value":"4058"},{"id":130,"name":"Impact","value":""},{"id":150,"name":"Time of Event (Mountain Time)","value":"07:04:26"},{"id":151,"name":"Denver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9" s="47"/>
      <c r="AL169" s="47"/>
      <c r="AM169" s="142" t="str">
        <f t="shared" si="72"/>
        <v>start /low /b %USERPROFILE%\Documents\GitHub\eaglep3\Utilities\DownloadLogsFromS3.py --loco 4058 --day 2017-06-30</v>
      </c>
      <c r="AN169" s="151" t="str">
        <f t="shared" si="73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13:04:26"},{"id":29,"name":"Sharepoint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x14ac:dyDescent="0.25">
      <c r="A170" s="32" t="s">
        <v>689</v>
      </c>
      <c r="B170" s="7">
        <v>4057</v>
      </c>
      <c r="C170" s="21" t="s">
        <v>200</v>
      </c>
      <c r="D170" s="21" t="s">
        <v>482</v>
      </c>
      <c r="E170" s="13">
        <v>42916.29583333333</v>
      </c>
      <c r="F170" s="13">
        <v>42916.297407407408</v>
      </c>
      <c r="G170" s="7">
        <v>1</v>
      </c>
      <c r="H170" s="21" t="s">
        <v>993</v>
      </c>
      <c r="I170" s="13">
        <v>42916.309270833335</v>
      </c>
      <c r="J170" s="7">
        <v>0</v>
      </c>
      <c r="K170" s="89" t="str">
        <f t="shared" si="61"/>
        <v>4057/4058</v>
      </c>
      <c r="L170" s="21" t="str">
        <f>VLOOKUP(A170,'Trips&amp;Operators'!$C$1:$G$99999,5,FALSE)</f>
        <v>GUZMAN DANNY</v>
      </c>
      <c r="M170" s="6">
        <f t="shared" si="62"/>
        <v>1.1863425927003846E-2</v>
      </c>
      <c r="N170" s="7">
        <f t="shared" si="59"/>
        <v>17.083333334885538</v>
      </c>
      <c r="O170" s="7"/>
      <c r="P170" s="7"/>
      <c r="Q170" s="22"/>
      <c r="R170" s="170"/>
      <c r="S170" s="213">
        <f t="shared" si="75"/>
        <v>1</v>
      </c>
      <c r="T170" s="195" t="str">
        <f t="shared" si="63"/>
        <v>Southbound</v>
      </c>
      <c r="U170" s="19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6" t="str">
        <f t="shared" si="64"/>
        <v>https://d0f6bd738d7f1b3e5a7ca70fe4ff75f0.us-east-1.aws.found.io/app/kibana#/discover/Steve-Slow-Train-Analysis-(2080s-and-2083s)?_g=(refreshInterval:(display:Off,pause:!f,section:0,value:0),time:(from:'2017-06-30T06:06:00-0600',mode:absolute,to:'2017-06-30T08:25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70" s="197" t="str">
        <f>IF(AA170&lt;VLOOKUP(AG170,Variables!$AC$3:$AD$8,2,FALSE),"Y","N")</f>
        <v>N</v>
      </c>
      <c r="X170" s="197">
        <f t="shared" si="76"/>
        <v>1</v>
      </c>
      <c r="Y170" s="197">
        <f t="shared" si="77"/>
        <v>5.8620999999999999</v>
      </c>
      <c r="Z170" s="197">
        <f t="shared" si="78"/>
        <v>6.9800000000000001E-2</v>
      </c>
      <c r="AA170" s="197">
        <f t="shared" si="65"/>
        <v>5.7923</v>
      </c>
      <c r="AB170" s="54" t="e">
        <f>VLOOKUP(A170,Enforcements!$C$7:$K$13,8,0)</f>
        <v>#N/A</v>
      </c>
      <c r="AC170" s="51" t="e">
        <f>VLOOKUP(A170,Enforcements!$C$7:$E$13,3,0)</f>
        <v>#N/A</v>
      </c>
      <c r="AD170" s="206">
        <f t="shared" si="66"/>
        <v>806</v>
      </c>
      <c r="AE170" s="77" t="str">
        <f t="shared" si="67"/>
        <v>aws s3 cp s3://rtdc.mdm.uploadarchive.raw/RTDC4057/ "%USERPROFILE%\AppData\Local\Temp\OnboardLogs"\RTDC4057\2017-06-30 --exclude "*" --recursive --include "*20170630*" &amp; "%USERPROFILE%\Documents\GitHub\mrs-test-scripts\Headless Mode &amp; Sideloading\WalkAndUnGZ.bat" "%USERPROFILE%\AppData\Local\Temp\OnboardLogs"\RTDC4057\2017-06-30 &amp; aws s3 cp s3://rtdc.mdm.uploadarchive.raw/RTDC4057/ "%USERPROFILE%\AppData\Local\Temp\OnboardLogs"\RTDC4057\2017-07-01 --exclude "*" --recursive --include "*20170701*" &amp; "%USERPROFILE%\Documents\GitHub\mrs-test-scripts\Headless Mode &amp; Sideloading\WalkAndUnGZ.bat" "%USERPROFILE%\AppData\Local\Temp\OnboardLogs"\RTDC4057\2017-07-01</v>
      </c>
      <c r="AF170" s="74" t="str">
        <f t="shared" si="68"/>
        <v>"C:\Program Files (x86)\AstroGrep\AstroGrep.exe" /e /r /s /spath="%USERPROFILE%\AppData\Local\Temp\OnboardLogs" /stypes="app*4057*20170630*" /stext=" 13:.+((SYSTEM_STATE.+slice.+state.+changed )|(ment ac)|(multiple cpu faults)|(system.+state.+changed )|(\[timeout)|(PRM\|1\|D)|(kpr)|(kdp)|(train st.+moving)|(\|lc)|(penalty))"</v>
      </c>
      <c r="AG170" s="209" t="str">
        <f t="shared" si="69"/>
        <v>NW</v>
      </c>
      <c r="AH170" s="78" t="str">
        <f t="shared" si="70"/>
        <v>"%USERPROFILE%\Documents\GitHub\eaglep3\Utilities\RefineRTDCRunTimes.py" --tripid 806-30 --locoid 4057 --swversion DE.1.0.9.0 --startMP 300:58621 --initTime 2017-06-30T07:06:00 --startdatetime 2017-06-30T07:08:16 --delay 1 --endMP 204:698 --enddatetime 2017-06-30T07:25:21 --enforcementcount 0 &gt;&gt;C:\Users\stu\Documents\GitHub\eaglep3-reporting\EC\2017-06-30-refined-times.txt</v>
      </c>
      <c r="AI170" s="96" t="str">
        <f t="shared" si="71"/>
        <v>echo {"issue":{"subject":"","project_id":79,"tracker_id":40,"status_id":1,"priority_id":2,"assigned_to_id":23,"start_date":"2017-06-30","description":"","custom_fields":[{"id":1,"name":"Subdivision","value":"NW"},{"id":4,"name":"Milepost","value":"0.0698"},{"id":17,"name":"Train ID","value":"806-30"},{"id":16,"name":"Locomotive ID","value":"4057"},{"id":130,"name":"Impact","value":""},{"id":150,"name":"Time of Event (Mountain Time)","value":"07:25:21"},{"id":151,"name":"Denver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20"/>
      <c r="AK170" s="47"/>
      <c r="AL170" s="47"/>
      <c r="AM170" s="142" t="str">
        <f t="shared" si="72"/>
        <v>start /low /b %USERPROFILE%\Documents\GitHub\eaglep3\Utilities\DownloadLogsFromS3.py --loco 4057 --day 2017-06-30</v>
      </c>
      <c r="AN170" s="151" t="str">
        <f t="shared" si="73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13:25:21"},{"id":29,"name":"Sharepoint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</row>
    <row r="171" spans="1:91" x14ac:dyDescent="0.25">
      <c r="A171" s="32" t="s">
        <v>688</v>
      </c>
      <c r="B171" s="7">
        <v>4016</v>
      </c>
      <c r="C171" s="21" t="s">
        <v>200</v>
      </c>
      <c r="D171" s="21" t="s">
        <v>510</v>
      </c>
      <c r="E171" s="13">
        <v>42916.28979166667</v>
      </c>
      <c r="F171" s="13">
        <v>42916.30641203704</v>
      </c>
      <c r="G171" s="7">
        <v>0</v>
      </c>
      <c r="H171" s="21" t="s">
        <v>994</v>
      </c>
      <c r="I171" s="13">
        <v>42916.315393518518</v>
      </c>
      <c r="J171" s="7">
        <v>0</v>
      </c>
      <c r="K171" s="89" t="str">
        <f t="shared" si="61"/>
        <v>4015/4016</v>
      </c>
      <c r="L171" s="21" t="str">
        <f>VLOOKUP(A171,'Trips&amp;Operators'!$C$1:$G$99999,5,FALSE)</f>
        <v>LALONDE GREGORY</v>
      </c>
      <c r="M171" s="6">
        <f t="shared" si="62"/>
        <v>8.9814814782585017E-3</v>
      </c>
      <c r="N171" s="7">
        <f t="shared" si="59"/>
        <v>12.933333328692243</v>
      </c>
      <c r="O171" s="7"/>
      <c r="P171" s="7"/>
      <c r="Q171" s="22"/>
      <c r="R171" s="170"/>
      <c r="S171" s="213">
        <f t="shared" si="75"/>
        <v>1</v>
      </c>
      <c r="T171" s="195" t="str">
        <f t="shared" si="63"/>
        <v>NorthBound</v>
      </c>
      <c r="U171" s="19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6" t="str">
        <f t="shared" si="64"/>
        <v>https://d0f6bd738d7f1b3e5a7ca70fe4ff75f0.us-east-1.aws.found.io/app/kibana#/discover/Steve-Slow-Train-Analysis-(2080s-and-2083s)?_g=(refreshInterval:(display:Off,pause:!f,section:0,value:0),time:(from:'2017-06-30T05:57:18-0600',mode:absolute,to:'2017-06-30T08:34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1" s="197" t="str">
        <f>IF(AA171&lt;VLOOKUP(AG171,Variables!$AC$3:$AD$8,2,FALSE),"Y","N")</f>
        <v>N</v>
      </c>
      <c r="X171" s="197">
        <f t="shared" si="76"/>
        <v>1</v>
      </c>
      <c r="Y171" s="197">
        <f t="shared" si="77"/>
        <v>9.7600000000000006E-2</v>
      </c>
      <c r="Z171" s="197">
        <f t="shared" si="78"/>
        <v>5.8964999999999996</v>
      </c>
      <c r="AA171" s="197">
        <f t="shared" si="65"/>
        <v>5.7988999999999997</v>
      </c>
      <c r="AB171" s="54" t="e">
        <f>VLOOKUP(A171,Enforcements!$C$7:$K$13,8,0)</f>
        <v>#N/A</v>
      </c>
      <c r="AC171" s="51" t="e">
        <f>VLOOKUP(A171,Enforcements!$C$7:$E$13,3,0)</f>
        <v>#N/A</v>
      </c>
      <c r="AD171" s="206">
        <f t="shared" si="66"/>
        <v>807</v>
      </c>
      <c r="AE171" s="77" t="str">
        <f t="shared" si="67"/>
        <v>aws s3 cp s3://rtdc.mdm.uploadarchive.raw/RTDC4016/ "%USERPROFILE%\AppData\Local\Temp\OnboardLogs"\RTDC4016\2017-06-30 --exclude "*" --recursive --include "*20170630*" &amp; "%USERPROFILE%\Documents\GitHub\mrs-test-scripts\Headless Mode &amp; Sideloading\WalkAndUnGZ.bat" "%USERPROFILE%\AppData\Local\Temp\OnboardLogs"\RTDC4016\2017-06-30 &amp; aws s3 cp s3://rtdc.mdm.uploadarchive.raw/RTDC4016/ "%USERPROFILE%\AppData\Local\Temp\OnboardLogs"\RTDC4016\2017-07-01 --exclude "*" --recursive --include "*20170701*" &amp; "%USERPROFILE%\Documents\GitHub\mrs-test-scripts\Headless Mode &amp; Sideloading\WalkAndUnGZ.bat" "%USERPROFILE%\AppData\Local\Temp\OnboardLogs"\RTDC4016\2017-07-01</v>
      </c>
      <c r="AF171" s="74" t="str">
        <f t="shared" si="68"/>
        <v>"C:\Program Files (x86)\AstroGrep\AstroGrep.exe" /e /r /s /spath="%USERPROFILE%\AppData\Local\Temp\OnboardLogs" /stypes="app*4016*20170630*" /stext=" 13:.+((SYSTEM_STATE.+slice.+state.+changed )|(ment ac)|(multiple cpu faults)|(system.+state.+changed )|(\[timeout)|(PRM\|1\|D)|(kpr)|(kdp)|(train st.+moving)|(\|lc)|(penalty))"</v>
      </c>
      <c r="AG171" s="209" t="str">
        <f t="shared" si="69"/>
        <v>NW</v>
      </c>
      <c r="AH171" s="78" t="str">
        <f t="shared" si="70"/>
        <v>"%USERPROFILE%\Documents\GitHub\eaglep3\Utilities\RefineRTDCRunTimes.py" --tripid 807-30 --locoid 4016 --swversion DE.1.0.9.0 --startMP 204:976 --initTime 2017-06-30T06:57:18 --startdatetime 2017-06-30T07:21:14 --delay 0 --endMP 300:58965 --enddatetime 2017-06-30T07:34:10 --enforcementcount 0 &gt;&gt;C:\Users\stu\Documents\GitHub\eaglep3-reporting\EC\2017-06-30-refined-times.txt</v>
      </c>
      <c r="AI171" s="96" t="str">
        <f t="shared" si="71"/>
        <v>echo {"issue":{"subject":"","project_id":79,"tracker_id":40,"status_id":1,"priority_id":2,"assigned_to_id":23,"start_date":"2017-06-30","description":"","custom_fields":[{"id":1,"name":"Subdivision","value":"NW"},{"id":4,"name":"Milepost","value":"5.8965"},{"id":17,"name":"Train ID","value":"807-30"},{"id":16,"name":"Locomotive ID","value":"4016"},{"id":130,"name":"Impact","value":""},{"id":150,"name":"Time of Event (Mountain Time)","value":"07:34:10"},{"id":151,"name":"Denver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20"/>
      <c r="AK171" s="47"/>
      <c r="AL171" s="47"/>
      <c r="AM171" s="142" t="str">
        <f t="shared" si="72"/>
        <v>start /low /b %USERPROFILE%\Documents\GitHub\eaglep3\Utilities\DownloadLogsFromS3.py --loco 4016 --day 2017-06-30</v>
      </c>
      <c r="AN171" s="151" t="str">
        <f t="shared" si="73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13:34:10"},{"id":29,"name":"Sharepoint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</row>
    <row r="172" spans="1:91" x14ac:dyDescent="0.25">
      <c r="A172" s="32" t="s">
        <v>692</v>
      </c>
      <c r="B172" s="7">
        <v>4015</v>
      </c>
      <c r="C172" s="21" t="s">
        <v>200</v>
      </c>
      <c r="D172" s="21" t="s">
        <v>995</v>
      </c>
      <c r="E172" s="13">
        <v>42916.316423611112</v>
      </c>
      <c r="F172" s="13">
        <v>42916.317719907405</v>
      </c>
      <c r="G172" s="7">
        <v>0</v>
      </c>
      <c r="H172" s="21" t="s">
        <v>996</v>
      </c>
      <c r="I172" s="13">
        <v>42916.330266203702</v>
      </c>
      <c r="J172" s="7">
        <v>0</v>
      </c>
      <c r="K172" s="89" t="str">
        <f t="shared" si="61"/>
        <v>4015/4016</v>
      </c>
      <c r="L172" s="21" t="str">
        <f>VLOOKUP(A172,'Trips&amp;Operators'!$C$1:$G$99999,5,FALSE)</f>
        <v>LALONDE GREGORY</v>
      </c>
      <c r="M172" s="6">
        <f t="shared" si="62"/>
        <v>1.2546296296932269E-2</v>
      </c>
      <c r="N172" s="7">
        <f t="shared" si="59"/>
        <v>18.066666667582467</v>
      </c>
      <c r="O172" s="7"/>
      <c r="P172" s="7"/>
      <c r="Q172" s="22"/>
      <c r="R172" s="170"/>
      <c r="S172" s="213">
        <f t="shared" si="75"/>
        <v>1</v>
      </c>
      <c r="T172" s="195" t="str">
        <f t="shared" si="63"/>
        <v>Southbound</v>
      </c>
      <c r="U172" s="19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6" t="str">
        <f t="shared" si="64"/>
        <v>https://d0f6bd738d7f1b3e5a7ca70fe4ff75f0.us-east-1.aws.found.io/app/kibana#/discover/Steve-Slow-Train-Analysis-(2080s-and-2083s)?_g=(refreshInterval:(display:Off,pause:!f,section:0,value:0),time:(from:'2017-06-30T06:35:39-0600',mode:absolute,to:'2017-06-30T08:55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2" s="197" t="str">
        <f>IF(AA172&lt;VLOOKUP(AG172,Variables!$AC$3:$AD$8,2,FALSE),"Y","N")</f>
        <v>N</v>
      </c>
      <c r="X172" s="197">
        <f t="shared" si="76"/>
        <v>1</v>
      </c>
      <c r="Y172" s="197">
        <f t="shared" si="77"/>
        <v>5.8640999999999996</v>
      </c>
      <c r="Z172" s="197">
        <f t="shared" si="78"/>
        <v>7.0999999999999994E-2</v>
      </c>
      <c r="AA172" s="197">
        <f t="shared" si="65"/>
        <v>5.7930999999999999</v>
      </c>
      <c r="AB172" s="54" t="e">
        <f>VLOOKUP(A172,Enforcements!$C$7:$K$13,8,0)</f>
        <v>#N/A</v>
      </c>
      <c r="AC172" s="51" t="e">
        <f>VLOOKUP(A172,Enforcements!$C$7:$E$13,3,0)</f>
        <v>#N/A</v>
      </c>
      <c r="AD172" s="206">
        <f t="shared" si="66"/>
        <v>808</v>
      </c>
      <c r="AE172" s="77" t="str">
        <f t="shared" si="67"/>
        <v>aws s3 cp s3://rtdc.mdm.uploadarchive.raw/RTDC4015/ "%USERPROFILE%\AppData\Local\Temp\OnboardLogs"\RTDC4015\2017-06-30 --exclude "*" --recursive --include "*20170630*" &amp; "%USERPROFILE%\Documents\GitHub\mrs-test-scripts\Headless Mode &amp; Sideloading\WalkAndUnGZ.bat" "%USERPROFILE%\AppData\Local\Temp\OnboardLogs"\RTDC4015\2017-06-30 &amp; aws s3 cp s3://rtdc.mdm.uploadarchive.raw/RTDC4015/ "%USERPROFILE%\AppData\Local\Temp\OnboardLogs"\RTDC4015\2017-07-01 --exclude "*" --recursive --include "*20170701*" &amp; "%USERPROFILE%\Documents\GitHub\mrs-test-scripts\Headless Mode &amp; Sideloading\WalkAndUnGZ.bat" "%USERPROFILE%\AppData\Local\Temp\OnboardLogs"\RTDC4015\2017-07-01</v>
      </c>
      <c r="AF172" s="74" t="str">
        <f t="shared" si="68"/>
        <v>"C:\Program Files (x86)\AstroGrep\AstroGrep.exe" /e /r /s /spath="%USERPROFILE%\AppData\Local\Temp\OnboardLogs" /stypes="app*4015*20170630*" /stext=" 13:.+((SYSTEM_STATE.+slice.+state.+changed )|(ment ac)|(multiple cpu faults)|(system.+state.+changed )|(\[timeout)|(PRM\|1\|D)|(kpr)|(kdp)|(train st.+moving)|(\|lc)|(penalty))"</v>
      </c>
      <c r="AG172" s="209" t="str">
        <f t="shared" si="69"/>
        <v>NW</v>
      </c>
      <c r="AH172" s="78" t="str">
        <f t="shared" si="70"/>
        <v>"%USERPROFILE%\Documents\GitHub\eaglep3\Utilities\RefineRTDCRunTimes.py" --tripid 808-30 --locoid 4015 --swversion DE.1.0.9.0 --startMP 300:58641 --initTime 2017-06-30T07:35:39 --startdatetime 2017-06-30T07:37:31 --delay 0 --endMP 204:710 --enddatetime 2017-06-30T07:55:35 --enforcementcount 0 &gt;&gt;C:\Users\stu\Documents\GitHub\eaglep3-reporting\EC\2017-06-30-refined-times.txt</v>
      </c>
      <c r="AI172" s="96" t="str">
        <f t="shared" si="71"/>
        <v>echo {"issue":{"subject":"","project_id":79,"tracker_id":40,"status_id":1,"priority_id":2,"assigned_to_id":23,"start_date":"2017-06-30","description":"","custom_fields":[{"id":1,"name":"Subdivision","value":"NW"},{"id":4,"name":"Milepost","value":"0.071"},{"id":17,"name":"Train ID","value":"808-30"},{"id":16,"name":"Locomotive ID","value":"4015"},{"id":130,"name":"Impact","value":""},{"id":150,"name":"Time of Event (Mountain Time)","value":"07:55:35"},{"id":151,"name":"Denver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20"/>
      <c r="AK172" s="47"/>
      <c r="AL172" s="47"/>
      <c r="AM172" s="142" t="str">
        <f t="shared" si="72"/>
        <v>start /low /b %USERPROFILE%\Documents\GitHub\eaglep3\Utilities\DownloadLogsFromS3.py --loco 4015 --day 2017-06-30</v>
      </c>
      <c r="AN172" s="151" t="str">
        <f t="shared" si="73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13:55:35"},{"id":29,"name":"Sharepoint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</row>
    <row r="173" spans="1:91" s="20" customFormat="1" x14ac:dyDescent="0.25">
      <c r="A173" s="32" t="s">
        <v>1087</v>
      </c>
      <c r="B173" s="7">
        <v>4058</v>
      </c>
      <c r="C173" s="21" t="s">
        <v>200</v>
      </c>
      <c r="D173" s="21" t="s">
        <v>995</v>
      </c>
      <c r="E173" s="13">
        <v>42916.316423611112</v>
      </c>
      <c r="F173" s="13">
        <v>42916.322916666664</v>
      </c>
      <c r="G173" s="7">
        <v>0</v>
      </c>
      <c r="H173" s="21" t="s">
        <v>996</v>
      </c>
      <c r="I173" s="13">
        <v>42916.323611111111</v>
      </c>
      <c r="J173" s="7">
        <v>0</v>
      </c>
      <c r="K173" s="89" t="str">
        <f t="shared" si="61"/>
        <v>4057/4058</v>
      </c>
      <c r="L173" s="21" t="e">
        <f>VLOOKUP(A173,'Trips&amp;Operators'!$C$1:$G$99999,5,FALSE)</f>
        <v>#N/A</v>
      </c>
      <c r="M173" s="6">
        <f t="shared" si="62"/>
        <v>6.944444467080757E-4</v>
      </c>
      <c r="N173" s="7"/>
      <c r="O173" s="7"/>
      <c r="P173" s="7">
        <v>1</v>
      </c>
      <c r="Q173" s="22"/>
      <c r="R173" s="170" t="s">
        <v>1088</v>
      </c>
      <c r="S173" s="213">
        <f t="shared" si="75"/>
        <v>0</v>
      </c>
      <c r="T173" s="195" t="str">
        <f t="shared" si="63"/>
        <v>NorthBound</v>
      </c>
      <c r="U173" s="19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0</v>
      </c>
      <c r="V173" s="196" t="str">
        <f t="shared" si="64"/>
        <v>https://d0f6bd738d7f1b3e5a7ca70fe4ff75f0.us-east-1.aws.found.io/app/kibana#/discover/Steve-Slow-Train-Analysis-(2080s-and-2083s)?_g=(refreshInterval:(display:Off,pause:!f,section:0,value:0),time:(from:'2017-06-30T06:35:39-0600',mode:absolute,to:'2017-06-30T08:46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73" s="197" t="str">
        <f>IF(AA173&lt;VLOOKUP(AG173,Variables!$AC$3:$AD$8,2,FALSE),"Y","N")</f>
        <v>N</v>
      </c>
      <c r="X173" s="197">
        <f t="shared" si="76"/>
        <v>1</v>
      </c>
      <c r="Y173" s="197">
        <f t="shared" si="77"/>
        <v>5.8640999999999996</v>
      </c>
      <c r="Z173" s="197">
        <f t="shared" si="78"/>
        <v>7.0999999999999994E-2</v>
      </c>
      <c r="AA173" s="197">
        <f t="shared" si="65"/>
        <v>5.7930999999999999</v>
      </c>
      <c r="AB173" s="54" t="e">
        <f>VLOOKUP(A173,Enforcements!$C$7:$K$13,8,0)</f>
        <v>#N/A</v>
      </c>
      <c r="AC173" s="51" t="e">
        <f>VLOOKUP(A173,Enforcements!$C$7:$E$13,3,0)</f>
        <v>#N/A</v>
      </c>
      <c r="AD173" s="206">
        <f t="shared" si="66"/>
        <v>809</v>
      </c>
      <c r="AE173" s="77" t="str">
        <f t="shared" si="67"/>
        <v>aws s3 cp s3://rtdc.mdm.uploadarchive.raw/RTDC4058/ "%USERPROFILE%\AppData\Local\Temp\OnboardLogs"\RTDC4058\2017-06-30 --exclude "*" --recursive --include "*20170630*" &amp; "%USERPROFILE%\Documents\GitHub\mrs-test-scripts\Headless Mode &amp; Sideloading\WalkAndUnGZ.bat" "%USERPROFILE%\AppData\Local\Temp\OnboardLogs"\RTDC4058\2017-06-30 &amp; aws s3 cp s3://rtdc.mdm.uploadarchive.raw/RTDC4058/ "%USERPROFILE%\AppData\Local\Temp\OnboardLogs"\RTDC4058\2017-07-01 --exclude "*" --recursive --include "*20170701*" &amp; "%USERPROFILE%\Documents\GitHub\mrs-test-scripts\Headless Mode &amp; Sideloading\WalkAndUnGZ.bat" "%USERPROFILE%\AppData\Local\Temp\OnboardLogs"\RTDC4058\2017-07-01</v>
      </c>
      <c r="AF173" s="74" t="str">
        <f t="shared" si="68"/>
        <v>"C:\Program Files (x86)\AstroGrep\AstroGrep.exe" /e /r /s /spath="%USERPROFILE%\AppData\Local\Temp\OnboardLogs" /stypes="app*4058*20170630*" /stext=" 13:.+((SYSTEM_STATE.+slice.+state.+changed )|(ment ac)|(multiple cpu faults)|(system.+state.+changed )|(\[timeout)|(PRM\|1\|D)|(kpr)|(kdp)|(train st.+moving)|(\|lc)|(penalty))"</v>
      </c>
      <c r="AG173" s="209" t="str">
        <f t="shared" si="69"/>
        <v>NW</v>
      </c>
      <c r="AH173" s="78" t="str">
        <f t="shared" ref="AH173" si="79">refinertdcruntimes&amp;" --tripid "&amp;A173&amp;" --locoid "&amp;B173&amp;" --swversion "&amp;C173&amp;" --startMP "&amp;D173&amp;" --initTime "&amp;TEXT(E173,"yyyy-mm-ddTHH:MM:SS")&amp;" --startdatetime "&amp;TEXT(F173,"yyyy-mm-ddTHH:MM:SS")&amp;" --delay "&amp;G173&amp;" --endMP "&amp;H173&amp;" --enddatetime "&amp;TEXT(I173,"yyyy-mm-ddTHH:MM:SS")&amp;" --enforcementcount "&amp;J173&amp;IF(outputrefinedruntimes," &gt;&gt;"&amp;RefinedRTDCRunTimesOutputFile,"")</f>
        <v>"%USERPROFILE%\Documents\GitHub\eaglep3\Utilities\RefineRTDCRunTimes.py" --tripid 809-30 --locoid 4058 --swversion DE.1.0.9.0 --startMP 300:58641 --initTime 2017-06-30T07:35:39 --startdatetime 2017-06-30T07:45:00 --delay 0 --endMP 204:710 --enddatetime 2017-06-30T07:46:00 --enforcementcount 0 &gt;&gt;C:\Users\stu\Documents\GitHub\eaglep3-reporting\EC\2017-06-30-refined-times.txt</v>
      </c>
      <c r="AI173" s="96" t="str">
        <f t="shared" ref="AI173" si="80">"echo {""issue"":{""subject"":"""&amp;R173&amp;""",""project_id"":79,""tracker_id"":40,""status_id"":"&amp;redmine_status&amp;",""priority_id"":"&amp;redmine_priority&amp;",""assigned_to_id"":"&amp;redmine_assignee&amp;",""start_date"":"""&amp;TEXT(I173,"YYYY-mm-dd")&amp;""",""description"":"""&amp;AJ173&amp;""",""custom_fields"":[{""id"":1,""name"":""Subdivision"",""value"":"""&amp;AG173&amp;"""},{""id"":4,""name"":""Milepost"",""value"":"""&amp;Z173&amp;"""},{""id"":17,""name"":""Train ID"",""value"":"""&amp;A173&amp;"""},{""id"":16,""name"":""Locomotive ID"",""value"":"""&amp;B173&amp;"""},{""id"":130,""name"":""Impact"",""value"":"""&amp;AK173&amp;"""},{""id"":150,""name"":""Time of Event (Mountain Time)"",""value"":"""&amp;TEXT(I173,"hh:mm:ss")&amp;"""},{""id"":151,""name"":""Denver Issue ID"",""value"":"""&amp;"""},{""id"":178,""name"":""Operational Impact"",""value"":"""&amp;redmine_op_impact&amp;"""},{""id"":179,""name"":""Denver Segment Assigned"",""value"":"""&amp;AL173&amp;"""}]}}"&amp;" | curl -X POST -H ""Content-Type: application/json"" -H ""X-Redmine-API-Key: "&amp;redm_api_key&amp;""" "&amp;redm_url&amp;" --data @-"</f>
        <v>echo {"issue":{"subject":"Extended Onboard Wi-MAX outage","project_id":79,"tracker_id":40,"status_id":1,"priority_id":2,"assigned_to_id":23,"start_date":"2017-06-30","description":"","custom_fields":[{"id":1,"name":"Subdivision","value":"NW"},{"id":4,"name":"Milepost","value":"0.071"},{"id":17,"name":"Train ID","value":"809-30"},{"id":16,"name":"Locomotive ID","value":"4058"},{"id":130,"name":"Impact","value":""},{"id":150,"name":"Time of Event (Mountain Time)","value":"07:46:00"},{"id":151,"name":"Denver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3" s="47"/>
      <c r="AL173" s="47"/>
      <c r="AM173" s="142" t="str">
        <f t="shared" ref="AM173" si="81">"start /low /b "&amp;dls3logs&amp;" --loco "&amp;B173&amp;" --day "&amp;TEXT(F173,"YYYY-MM-DD")</f>
        <v>start /low /b %USERPROFILE%\Documents\GitHub\eaglep3\Utilities\DownloadLogsFromS3.py --loco 4058 --day 2017-06-30</v>
      </c>
      <c r="AN173" s="151" t="str">
        <f t="shared" ref="AN173" si="82">"echo {""issue"":{""subject"":"""&amp;R173&amp;""",""project_id"":30,""tracker_id"":4,""status_id"":"&amp;redmine_status_wcr&amp;",""priority_id"":"&amp;redmine_priority_wcr&amp;",""assigned_to_id"":"&amp;redmine_assignee_wcr&amp;",""start_date"":"""&amp;TEXT(I173-utc_offset/24,"YYYY-mm-dd")&amp;""",""description"":"""&amp;AJ173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ID"",""value"":"""&amp;B173&amp;"""},{""id"":20,""name"":""RR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UTC"",""value"":"""&amp;TEXT(I173-utc_offset/24,"YYYY-MM-DD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{"issue":{"subject":"Extended Onboard Wi-MAX outage","project_id":30,"tracker_id":4,"status_id":1,"priority_id":1,"assigned_to_id":10,"start_date":"2017-06-30","description":"","custom_fields":[{"id":30,"name":"Category","value":"Issue"},{"id":3,"name":"Functional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13:46:00"},{"id":29,"name":"Sharepoint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4" spans="1:91" x14ac:dyDescent="0.25">
      <c r="A174" s="32" t="s">
        <v>697</v>
      </c>
      <c r="B174" s="7">
        <v>4057</v>
      </c>
      <c r="C174" s="21" t="s">
        <v>200</v>
      </c>
      <c r="D174" s="21" t="s">
        <v>999</v>
      </c>
      <c r="E174" s="13">
        <v>42916.337175925924</v>
      </c>
      <c r="F174" s="13">
        <v>42916.33871527778</v>
      </c>
      <c r="G174" s="7">
        <v>1</v>
      </c>
      <c r="H174" s="21" t="s">
        <v>1000</v>
      </c>
      <c r="I174" s="13">
        <v>42916.351099537038</v>
      </c>
      <c r="J174" s="7">
        <v>0</v>
      </c>
      <c r="K174" s="89" t="str">
        <f t="shared" si="61"/>
        <v>4057/4058</v>
      </c>
      <c r="L174" s="21" t="str">
        <f>VLOOKUP(A174,'Trips&amp;Operators'!$C$1:$G$99999,5,FALSE)</f>
        <v>GUZMAN DANNY</v>
      </c>
      <c r="M174" s="6">
        <f t="shared" si="62"/>
        <v>1.2384259258396924E-2</v>
      </c>
      <c r="N174" s="7">
        <f t="shared" ref="N174:N205" si="83">24*60*SUM($M174:$M174)</f>
        <v>17.83333333209157</v>
      </c>
      <c r="O174" s="7"/>
      <c r="P174" s="7"/>
      <c r="Q174" s="22"/>
      <c r="R174" s="170"/>
      <c r="S174" s="213">
        <f t="shared" si="75"/>
        <v>1</v>
      </c>
      <c r="T174" s="195" t="str">
        <f t="shared" si="63"/>
        <v>Southbound</v>
      </c>
      <c r="U174" s="19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6" t="str">
        <f t="shared" si="64"/>
        <v>https://d0f6bd738d7f1b3e5a7ca70fe4ff75f0.us-east-1.aws.found.io/app/kibana#/discover/Steve-Slow-Train-Analysis-(2080s-and-2083s)?_g=(refreshInterval:(display:Off,pause:!f,section:0,value:0),time:(from:'2017-06-30T07:05:32-0600',mode:absolute,to:'2017-06-30T09:25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74" s="197" t="str">
        <f>IF(AA174&lt;VLOOKUP(AG174,Variables!$AC$3:$AD$8,2,FALSE),"Y","N")</f>
        <v>N</v>
      </c>
      <c r="X174" s="197">
        <f t="shared" si="76"/>
        <v>1</v>
      </c>
      <c r="Y174" s="197">
        <f t="shared" si="77"/>
        <v>5.8619000000000003</v>
      </c>
      <c r="Z174" s="197">
        <f t="shared" si="78"/>
        <v>1.11E-2</v>
      </c>
      <c r="AA174" s="197">
        <f t="shared" si="65"/>
        <v>5.8508000000000004</v>
      </c>
      <c r="AB174" s="54" t="e">
        <f>VLOOKUP(A174,Enforcements!$C$7:$K$13,8,0)</f>
        <v>#N/A</v>
      </c>
      <c r="AC174" s="51" t="e">
        <f>VLOOKUP(A174,Enforcements!$C$7:$E$13,3,0)</f>
        <v>#N/A</v>
      </c>
      <c r="AD174" s="206">
        <f t="shared" si="66"/>
        <v>810</v>
      </c>
      <c r="AE174" s="77" t="str">
        <f t="shared" si="67"/>
        <v>aws s3 cp s3://rtdc.mdm.uploadarchive.raw/RTDC4057/ "%USERPROFILE%\AppData\Local\Temp\OnboardLogs"\RTDC4057\2017-06-30 --exclude "*" --recursive --include "*20170630*" &amp; "%USERPROFILE%\Documents\GitHub\mrs-test-scripts\Headless Mode &amp; Sideloading\WalkAndUnGZ.bat" "%USERPROFILE%\AppData\Local\Temp\OnboardLogs"\RTDC4057\2017-06-30 &amp; aws s3 cp s3://rtdc.mdm.uploadarchive.raw/RTDC4057/ "%USERPROFILE%\AppData\Local\Temp\OnboardLogs"\RTDC4057\2017-07-01 --exclude "*" --recursive --include "*20170701*" &amp; "%USERPROFILE%\Documents\GitHub\mrs-test-scripts\Headless Mode &amp; Sideloading\WalkAndUnGZ.bat" "%USERPROFILE%\AppData\Local\Temp\OnboardLogs"\RTDC4057\2017-07-01</v>
      </c>
      <c r="AF174" s="74" t="str">
        <f t="shared" si="68"/>
        <v>"C:\Program Files (x86)\AstroGrep\AstroGrep.exe" /e /r /s /spath="%USERPROFILE%\AppData\Local\Temp\OnboardLogs" /stypes="app*4057*20170630*" /stext=" 14:.+((SYSTEM_STATE.+slice.+state.+changed )|(ment ac)|(multiple cpu faults)|(system.+state.+changed )|(\[timeout)|(PRM\|1\|D)|(kpr)|(kdp)|(train st.+moving)|(\|lc)|(penalty))"</v>
      </c>
      <c r="AG174" s="209" t="str">
        <f t="shared" si="69"/>
        <v>NW</v>
      </c>
      <c r="AH174" s="78" t="str">
        <f t="shared" si="70"/>
        <v>"%USERPROFILE%\Documents\GitHub\eaglep3\Utilities\RefineRTDCRunTimes.py" --tripid 810-30 --locoid 4057 --swversion DE.1.0.9.0 --startMP 300:58619 --initTime 2017-06-30T08:05:32 --startdatetime 2017-06-30T08:07:45 --delay 1 --endMP 204:111 --enddatetime 2017-06-30T08:25:35 --enforcementcount 0 &gt;&gt;C:\Users\stu\Documents\GitHub\eaglep3-reporting\EC\2017-06-30-refined-times.txt</v>
      </c>
      <c r="AI174" s="96" t="str">
        <f t="shared" si="71"/>
        <v>echo {"issue":{"subject":"","project_id":79,"tracker_id":40,"status_id":1,"priority_id":2,"assigned_to_id":23,"start_date":"2017-06-30","description":"","custom_fields":[{"id":1,"name":"Subdivision","value":"NW"},{"id":4,"name":"Milepost","value":"0.0111"},{"id":17,"name":"Train ID","value":"810-30"},{"id":16,"name":"Locomotive ID","value":"4057"},{"id":130,"name":"Impact","value":""},{"id":150,"name":"Time of Event (Mountain Time)","value":"08:25:35"},{"id":151,"name":"Denver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7"/>
      <c r="AL174" s="47"/>
      <c r="AM174" s="142" t="str">
        <f t="shared" si="72"/>
        <v>start /low /b %USERPROFILE%\Documents\GitHub\eaglep3\Utilities\DownloadLogsFromS3.py --loco 4057 --day 2017-06-30</v>
      </c>
      <c r="AN174" s="151" t="str">
        <f t="shared" si="73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14:25:35"},{"id":29,"name":"Sharepoint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</row>
    <row r="175" spans="1:91" x14ac:dyDescent="0.25">
      <c r="A175" s="32" t="s">
        <v>595</v>
      </c>
      <c r="B175" s="7">
        <v>4016</v>
      </c>
      <c r="C175" s="21" t="s">
        <v>200</v>
      </c>
      <c r="D175" s="21" t="s">
        <v>443</v>
      </c>
      <c r="E175" s="13">
        <v>42916.33184027778</v>
      </c>
      <c r="F175" s="13">
        <v>42916.348101851851</v>
      </c>
      <c r="G175" s="7">
        <v>1</v>
      </c>
      <c r="H175" s="21" t="s">
        <v>574</v>
      </c>
      <c r="I175" s="13">
        <v>42916.356550925928</v>
      </c>
      <c r="J175" s="7">
        <v>0</v>
      </c>
      <c r="K175" s="89" t="str">
        <f t="shared" si="61"/>
        <v>4015/4016</v>
      </c>
      <c r="L175" s="21" t="str">
        <f>VLOOKUP(A175,'Trips&amp;Operators'!$C$1:$G$99999,5,FALSE)</f>
        <v>LALONDE GREGORY</v>
      </c>
      <c r="M175" s="6">
        <f t="shared" si="62"/>
        <v>8.449074077361729E-3</v>
      </c>
      <c r="N175" s="7">
        <f t="shared" si="83"/>
        <v>12.16666667140089</v>
      </c>
      <c r="O175" s="7"/>
      <c r="P175" s="7"/>
      <c r="Q175" s="22"/>
      <c r="R175" s="170"/>
      <c r="S175" s="213">
        <f t="shared" si="75"/>
        <v>1</v>
      </c>
      <c r="T175" s="195" t="str">
        <f t="shared" si="63"/>
        <v>NorthBound</v>
      </c>
      <c r="U175" s="19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6" t="str">
        <f t="shared" si="64"/>
        <v>https://d0f6bd738d7f1b3e5a7ca70fe4ff75f0.us-east-1.aws.found.io/app/kibana#/discover/Steve-Slow-Train-Analysis-(2080s-and-2083s)?_g=(refreshInterval:(display:Off,pause:!f,section:0,value:0),time:(from:'2017-06-30T06:57:51-0600',mode:absolute,to:'2017-06-30T09:33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5" s="197" t="str">
        <f>IF(AA175&lt;VLOOKUP(AG175,Variables!$AC$3:$AD$8,2,FALSE),"Y","N")</f>
        <v>N</v>
      </c>
      <c r="X175" s="197">
        <f t="shared" si="76"/>
        <v>1</v>
      </c>
      <c r="Y175" s="197">
        <f t="shared" si="77"/>
        <v>9.74E-2</v>
      </c>
      <c r="Z175" s="197">
        <f t="shared" si="78"/>
        <v>5.8967000000000001</v>
      </c>
      <c r="AA175" s="197">
        <f t="shared" si="65"/>
        <v>5.7992999999999997</v>
      </c>
      <c r="AB175" s="54" t="e">
        <f>VLOOKUP(A175,Enforcements!$C$7:$K$13,8,0)</f>
        <v>#N/A</v>
      </c>
      <c r="AC175" s="51" t="e">
        <f>VLOOKUP(A175,Enforcements!$C$7:$E$13,3,0)</f>
        <v>#N/A</v>
      </c>
      <c r="AD175" s="206">
        <f t="shared" si="66"/>
        <v>811</v>
      </c>
      <c r="AE175" s="77" t="str">
        <f t="shared" si="67"/>
        <v>aws s3 cp s3://rtdc.mdm.uploadarchive.raw/RTDC4016/ "%USERPROFILE%\AppData\Local\Temp\OnboardLogs"\RTDC4016\2017-06-30 --exclude "*" --recursive --include "*20170630*" &amp; "%USERPROFILE%\Documents\GitHub\mrs-test-scripts\Headless Mode &amp; Sideloading\WalkAndUnGZ.bat" "%USERPROFILE%\AppData\Local\Temp\OnboardLogs"\RTDC4016\2017-06-30 &amp; aws s3 cp s3://rtdc.mdm.uploadarchive.raw/RTDC4016/ "%USERPROFILE%\AppData\Local\Temp\OnboardLogs"\RTDC4016\2017-07-01 --exclude "*" --recursive --include "*20170701*" &amp; "%USERPROFILE%\Documents\GitHub\mrs-test-scripts\Headless Mode &amp; Sideloading\WalkAndUnGZ.bat" "%USERPROFILE%\AppData\Local\Temp\OnboardLogs"\RTDC4016\2017-07-01</v>
      </c>
      <c r="AF175" s="74" t="str">
        <f t="shared" si="68"/>
        <v>"C:\Program Files (x86)\AstroGrep\AstroGrep.exe" /e /r /s /spath="%USERPROFILE%\AppData\Local\Temp\OnboardLogs" /stypes="app*4016*20170630*" /stext=" 14:.+((SYSTEM_STATE.+slice.+state.+changed )|(ment ac)|(multiple cpu faults)|(system.+state.+changed )|(\[timeout)|(PRM\|1\|D)|(kpr)|(kdp)|(train st.+moving)|(\|lc)|(penalty))"</v>
      </c>
      <c r="AG175" s="209" t="str">
        <f t="shared" si="69"/>
        <v>NW</v>
      </c>
      <c r="AH175" s="78" t="str">
        <f t="shared" si="70"/>
        <v>"%USERPROFILE%\Documents\GitHub\eaglep3\Utilities\RefineRTDCRunTimes.py" --tripid 811-30 --locoid 4016 --swversion DE.1.0.9.0 --startMP 204:974 --initTime 2017-06-30T07:57:51 --startdatetime 2017-06-30T08:21:16 --delay 1 --endMP 300:58967 --enddatetime 2017-06-30T08:33:26 --enforcementcount 0 &gt;&gt;C:\Users\stu\Documents\GitHub\eaglep3-reporting\EC\2017-06-30-refined-times.txt</v>
      </c>
      <c r="AI175" s="96" t="str">
        <f t="shared" si="71"/>
        <v>echo {"issue":{"subject":"","project_id":79,"tracker_id":40,"status_id":1,"priority_id":2,"assigned_to_id":23,"start_date":"2017-06-30","description":"","custom_fields":[{"id":1,"name":"Subdivision","value":"NW"},{"id":4,"name":"Milepost","value":"5.8967"},{"id":17,"name":"Train ID","value":"811-30"},{"id":16,"name":"Locomotive ID","value":"4016"},{"id":130,"name":"Impact","value":""},{"id":150,"name":"Time of Event (Mountain Time)","value":"08:33:26"},{"id":151,"name":"Denver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7"/>
      <c r="AL175" s="47"/>
      <c r="AM175" s="142" t="str">
        <f t="shared" si="72"/>
        <v>start /low /b %USERPROFILE%\Documents\GitHub\eaglep3\Utilities\DownloadLogsFromS3.py --loco 4016 --day 2017-06-30</v>
      </c>
      <c r="AN175" s="151" t="str">
        <f t="shared" si="73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14:33:26"},{"id":29,"name":"Sharepoint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</row>
    <row r="176" spans="1:91" x14ac:dyDescent="0.25">
      <c r="A176" s="32" t="s">
        <v>701</v>
      </c>
      <c r="B176" s="7">
        <v>4015</v>
      </c>
      <c r="C176" s="21" t="s">
        <v>200</v>
      </c>
      <c r="D176" s="21" t="s">
        <v>1001</v>
      </c>
      <c r="E176" s="13">
        <v>42916.357916666668</v>
      </c>
      <c r="F176" s="13">
        <v>42916.359224537038</v>
      </c>
      <c r="G176" s="7">
        <v>0</v>
      </c>
      <c r="H176" s="21" t="s">
        <v>509</v>
      </c>
      <c r="I176" s="13">
        <v>42916.371041666665</v>
      </c>
      <c r="J176" s="7">
        <v>0</v>
      </c>
      <c r="K176" s="89" t="str">
        <f t="shared" si="61"/>
        <v>4015/4016</v>
      </c>
      <c r="L176" s="21" t="str">
        <f>VLOOKUP(A176,'Trips&amp;Operators'!$C$1:$G$99999,5,FALSE)</f>
        <v>LALONDE GREGORY</v>
      </c>
      <c r="M176" s="6">
        <f t="shared" si="62"/>
        <v>1.1817129627161194E-2</v>
      </c>
      <c r="N176" s="7">
        <f t="shared" si="83"/>
        <v>17.016666663112119</v>
      </c>
      <c r="O176" s="7"/>
      <c r="P176" s="7"/>
      <c r="Q176" s="22"/>
      <c r="R176" s="170"/>
      <c r="S176" s="213">
        <f t="shared" si="75"/>
        <v>1</v>
      </c>
      <c r="T176" s="195" t="str">
        <f t="shared" si="63"/>
        <v>Southbound</v>
      </c>
      <c r="U176" s="19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6" t="str">
        <f t="shared" si="64"/>
        <v>https://d0f6bd738d7f1b3e5a7ca70fe4ff75f0.us-east-1.aws.found.io/app/kibana#/discover/Steve-Slow-Train-Analysis-(2080s-and-2083s)?_g=(refreshInterval:(display:Off,pause:!f,section:0,value:0),time:(from:'2017-06-30T07:35:24-0600',mode:absolute,to:'2017-06-30T09:54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6" s="197" t="str">
        <f>IF(AA176&lt;VLOOKUP(AG176,Variables!$AC$3:$AD$8,2,FALSE),"Y","N")</f>
        <v>N</v>
      </c>
      <c r="X176" s="197">
        <f t="shared" si="76"/>
        <v>1</v>
      </c>
      <c r="Y176" s="197">
        <f t="shared" si="77"/>
        <v>5.8663999999999996</v>
      </c>
      <c r="Z176" s="197">
        <f t="shared" si="78"/>
        <v>6.7799999999999999E-2</v>
      </c>
      <c r="AA176" s="197">
        <f t="shared" si="65"/>
        <v>5.7985999999999995</v>
      </c>
      <c r="AB176" s="54" t="e">
        <f>VLOOKUP(A176,Enforcements!$C$7:$K$13,8,0)</f>
        <v>#N/A</v>
      </c>
      <c r="AC176" s="51" t="e">
        <f>VLOOKUP(A176,Enforcements!$C$7:$E$13,3,0)</f>
        <v>#N/A</v>
      </c>
      <c r="AD176" s="206">
        <f t="shared" si="66"/>
        <v>812</v>
      </c>
      <c r="AE176" s="77" t="str">
        <f t="shared" si="67"/>
        <v>aws s3 cp s3://rtdc.mdm.uploadarchive.raw/RTDC4015/ "%USERPROFILE%\AppData\Local\Temp\OnboardLogs"\RTDC4015\2017-06-30 --exclude "*" --recursive --include "*20170630*" &amp; "%USERPROFILE%\Documents\GitHub\mrs-test-scripts\Headless Mode &amp; Sideloading\WalkAndUnGZ.bat" "%USERPROFILE%\AppData\Local\Temp\OnboardLogs"\RTDC4015\2017-06-30 &amp; aws s3 cp s3://rtdc.mdm.uploadarchive.raw/RTDC4015/ "%USERPROFILE%\AppData\Local\Temp\OnboardLogs"\RTDC4015\2017-07-01 --exclude "*" --recursive --include "*20170701*" &amp; "%USERPROFILE%\Documents\GitHub\mrs-test-scripts\Headless Mode &amp; Sideloading\WalkAndUnGZ.bat" "%USERPROFILE%\AppData\Local\Temp\OnboardLogs"\RTDC4015\2017-07-01</v>
      </c>
      <c r="AF176" s="74" t="str">
        <f t="shared" si="68"/>
        <v>"C:\Program Files (x86)\AstroGrep\AstroGrep.exe" /e /r /s /spath="%USERPROFILE%\AppData\Local\Temp\OnboardLogs" /stypes="app*4015*20170630*" /stext=" 14:.+((SYSTEM_STATE.+slice.+state.+changed )|(ment ac)|(multiple cpu faults)|(system.+state.+changed )|(\[timeout)|(PRM\|1\|D)|(kpr)|(kdp)|(train st.+moving)|(\|lc)|(penalty))"</v>
      </c>
      <c r="AG176" s="209" t="str">
        <f t="shared" si="69"/>
        <v>NW</v>
      </c>
      <c r="AH176" s="78" t="str">
        <f t="shared" si="70"/>
        <v>"%USERPROFILE%\Documents\GitHub\eaglep3\Utilities\RefineRTDCRunTimes.py" --tripid 812-30 --locoid 4015 --swversion DE.1.0.9.0 --startMP 300:58664 --initTime 2017-06-30T08:35:24 --startdatetime 2017-06-30T08:37:17 --delay 0 --endMP 204:678 --enddatetime 2017-06-30T08:54:18 --enforcementcount 0 &gt;&gt;C:\Users\stu\Documents\GitHub\eaglep3-reporting\EC\2017-06-30-refined-times.txt</v>
      </c>
      <c r="AI176" s="96" t="str">
        <f t="shared" si="71"/>
        <v>echo {"issue":{"subject":"","project_id":79,"tracker_id":40,"status_id":1,"priority_id":2,"assigned_to_id":23,"start_date":"2017-06-30","description":"","custom_fields":[{"id":1,"name":"Subdivision","value":"NW"},{"id":4,"name":"Milepost","value":"0.0678"},{"id":17,"name":"Train ID","value":"812-30"},{"id":16,"name":"Locomotive ID","value":"4015"},{"id":130,"name":"Impact","value":""},{"id":150,"name":"Time of Event (Mountain Time)","value":"08:54:18"},{"id":151,"name":"Denver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7"/>
      <c r="AL176" s="47"/>
      <c r="AM176" s="142" t="str">
        <f t="shared" si="72"/>
        <v>start /low /b %USERPROFILE%\Documents\GitHub\eaglep3\Utilities\DownloadLogsFromS3.py --loco 4015 --day 2017-06-30</v>
      </c>
      <c r="AN176" s="151" t="str">
        <f t="shared" si="73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14:54:18"},{"id":29,"name":"Sharepoint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</row>
    <row r="177" spans="1:91" x14ac:dyDescent="0.25">
      <c r="A177" s="32" t="s">
        <v>706</v>
      </c>
      <c r="B177" s="7">
        <v>4016</v>
      </c>
      <c r="C177" s="21" t="s">
        <v>200</v>
      </c>
      <c r="D177" s="21" t="s">
        <v>513</v>
      </c>
      <c r="E177" s="13">
        <v>42916.374745370369</v>
      </c>
      <c r="F177" s="13">
        <v>42916.389756944445</v>
      </c>
      <c r="G177" s="7">
        <v>1</v>
      </c>
      <c r="H177" s="21" t="s">
        <v>990</v>
      </c>
      <c r="I177" s="13">
        <v>42916.398958333331</v>
      </c>
      <c r="J177" s="7">
        <v>0</v>
      </c>
      <c r="K177" s="89" t="str">
        <f t="shared" si="61"/>
        <v>4015/4016</v>
      </c>
      <c r="L177" s="21" t="str">
        <f>VLOOKUP(A177,'Trips&amp;Operators'!$C$1:$G$99999,5,FALSE)</f>
        <v>LALONDE GREGORY</v>
      </c>
      <c r="M177" s="6">
        <f t="shared" si="62"/>
        <v>9.2013888861401938E-3</v>
      </c>
      <c r="N177" s="7">
        <f t="shared" si="83"/>
        <v>13.249999996041879</v>
      </c>
      <c r="O177" s="7"/>
      <c r="P177" s="7"/>
      <c r="Q177" s="22"/>
      <c r="R177" s="170"/>
      <c r="S177" s="213">
        <f t="shared" si="75"/>
        <v>1</v>
      </c>
      <c r="T177" s="195" t="str">
        <f t="shared" si="63"/>
        <v>NorthBound</v>
      </c>
      <c r="U177" s="19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6" t="str">
        <f t="shared" si="64"/>
        <v>https://d0f6bd738d7f1b3e5a7ca70fe4ff75f0.us-east-1.aws.found.io/app/kibana#/discover/Steve-Slow-Train-Analysis-(2080s-and-2083s)?_g=(refreshInterval:(display:Off,pause:!f,section:0,value:0),time:(from:'2017-06-30T07:59:38-0600',mode:absolute,to:'2017-06-30T10:34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7" s="197" t="str">
        <f>IF(AA177&lt;VLOOKUP(AG177,Variables!$AC$3:$AD$8,2,FALSE),"Y","N")</f>
        <v>N</v>
      </c>
      <c r="X177" s="197">
        <f t="shared" si="76"/>
        <v>1</v>
      </c>
      <c r="Y177" s="197">
        <f t="shared" si="77"/>
        <v>9.6699999999999994E-2</v>
      </c>
      <c r="Z177" s="197">
        <f t="shared" si="78"/>
        <v>5.8963000000000001</v>
      </c>
      <c r="AA177" s="197">
        <f t="shared" si="65"/>
        <v>5.7995999999999999</v>
      </c>
      <c r="AB177" s="54" t="e">
        <f>VLOOKUP(A177,Enforcements!$C$7:$K$13,8,0)</f>
        <v>#N/A</v>
      </c>
      <c r="AC177" s="51" t="e">
        <f>VLOOKUP(A177,Enforcements!$C$7:$E$13,3,0)</f>
        <v>#N/A</v>
      </c>
      <c r="AD177" s="206">
        <f t="shared" si="66"/>
        <v>813</v>
      </c>
      <c r="AE177" s="77" t="str">
        <f t="shared" si="67"/>
        <v>aws s3 cp s3://rtdc.mdm.uploadarchive.raw/RTDC4016/ "%USERPROFILE%\AppData\Local\Temp\OnboardLogs"\RTDC4016\2017-06-30 --exclude "*" --recursive --include "*20170630*" &amp; "%USERPROFILE%\Documents\GitHub\mrs-test-scripts\Headless Mode &amp; Sideloading\WalkAndUnGZ.bat" "%USERPROFILE%\AppData\Local\Temp\OnboardLogs"\RTDC4016\2017-06-30 &amp; aws s3 cp s3://rtdc.mdm.uploadarchive.raw/RTDC4016/ "%USERPROFILE%\AppData\Local\Temp\OnboardLogs"\RTDC4016\2017-07-01 --exclude "*" --recursive --include "*20170701*" &amp; "%USERPROFILE%\Documents\GitHub\mrs-test-scripts\Headless Mode &amp; Sideloading\WalkAndUnGZ.bat" "%USERPROFILE%\AppData\Local\Temp\OnboardLogs"\RTDC4016\2017-07-01</v>
      </c>
      <c r="AF177" s="74" t="str">
        <f t="shared" si="68"/>
        <v>"C:\Program Files (x86)\AstroGrep\AstroGrep.exe" /e /r /s /spath="%USERPROFILE%\AppData\Local\Temp\OnboardLogs" /stypes="app*4016*20170630*" /stext=" 15:.+((SYSTEM_STATE.+slice.+state.+changed )|(ment ac)|(multiple cpu faults)|(system.+state.+changed )|(\[timeout)|(PRM\|1\|D)|(kpr)|(kdp)|(train st.+moving)|(\|lc)|(penalty))"</v>
      </c>
      <c r="AG177" s="209" t="str">
        <f t="shared" si="69"/>
        <v>NW</v>
      </c>
      <c r="AH177" s="78" t="str">
        <f t="shared" si="70"/>
        <v>"%USERPROFILE%\Documents\GitHub\eaglep3\Utilities\RefineRTDCRunTimes.py" --tripid 813-30 --locoid 4016 --swversion DE.1.0.9.0 --startMP 204:967 --initTime 2017-06-30T08:59:38 --startdatetime 2017-06-30T09:21:15 --delay 1 --endMP 300:58963 --enddatetime 2017-06-30T09:34:30 --enforcementcount 0 &gt;&gt;C:\Users\stu\Documents\GitHub\eaglep3-reporting\EC\2017-06-30-refined-times.txt</v>
      </c>
      <c r="AI177" s="96" t="str">
        <f t="shared" si="71"/>
        <v>echo {"issue":{"subject":"","project_id":79,"tracker_id":40,"status_id":1,"priority_id":2,"assigned_to_id":23,"start_date":"2017-06-30","description":"","custom_fields":[{"id":1,"name":"Subdivision","value":"NW"},{"id":4,"name":"Milepost","value":"5.8963"},{"id":17,"name":"Train ID","value":"813-30"},{"id":16,"name":"Locomotive ID","value":"4016"},{"id":130,"name":"Impact","value":""},{"id":150,"name":"Time of Event (Mountain Time)","value":"09:34:30"},{"id":151,"name":"Denver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7"/>
      <c r="AL177" s="47"/>
      <c r="AM177" s="142" t="str">
        <f t="shared" si="72"/>
        <v>start /low /b %USERPROFILE%\Documents\GitHub\eaglep3\Utilities\DownloadLogsFromS3.py --loco 4016 --day 2017-06-30</v>
      </c>
      <c r="AN177" s="151" t="str">
        <f t="shared" si="73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15:34:30"},{"id":29,"name":"Sharepoint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</row>
    <row r="178" spans="1:91" x14ac:dyDescent="0.25">
      <c r="A178" s="32" t="s">
        <v>714</v>
      </c>
      <c r="B178" s="7">
        <v>4015</v>
      </c>
      <c r="C178" s="21" t="s">
        <v>200</v>
      </c>
      <c r="D178" s="21" t="s">
        <v>575</v>
      </c>
      <c r="E178" s="13">
        <v>42916.399780092594</v>
      </c>
      <c r="F178" s="13">
        <v>42916.401944444442</v>
      </c>
      <c r="G178" s="7">
        <v>1</v>
      </c>
      <c r="H178" s="21" t="s">
        <v>572</v>
      </c>
      <c r="I178" s="13">
        <v>42916.412731481483</v>
      </c>
      <c r="J178" s="7">
        <v>0</v>
      </c>
      <c r="K178" s="89" t="str">
        <f t="shared" si="61"/>
        <v>4015/4016</v>
      </c>
      <c r="L178" s="21" t="str">
        <f>VLOOKUP(A178,'Trips&amp;Operators'!$C$1:$G$99999,5,FALSE)</f>
        <v>LALONDE GREGORY</v>
      </c>
      <c r="M178" s="6">
        <f t="shared" si="62"/>
        <v>1.078703704115469E-2</v>
      </c>
      <c r="N178" s="7">
        <f t="shared" si="83"/>
        <v>15.533333339262754</v>
      </c>
      <c r="O178" s="7"/>
      <c r="P178" s="7"/>
      <c r="Q178" s="22"/>
      <c r="R178" s="170"/>
      <c r="S178" s="213">
        <f t="shared" si="75"/>
        <v>1</v>
      </c>
      <c r="T178" s="195" t="str">
        <f t="shared" si="63"/>
        <v>Southbound</v>
      </c>
      <c r="U178" s="19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6" t="str">
        <f t="shared" si="64"/>
        <v>https://d0f6bd738d7f1b3e5a7ca70fe4ff75f0.us-east-1.aws.found.io/app/kibana#/discover/Steve-Slow-Train-Analysis-(2080s-and-2083s)?_g=(refreshInterval:(display:Off,pause:!f,section:0,value:0),time:(from:'2017-06-30T08:35:41-0600',mode:absolute,to:'2017-06-30T10:54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8" s="197" t="str">
        <f>IF(AA178&lt;VLOOKUP(AG178,Variables!$AC$3:$AD$8,2,FALSE),"Y","N")</f>
        <v>N</v>
      </c>
      <c r="X178" s="197">
        <f t="shared" si="76"/>
        <v>1</v>
      </c>
      <c r="Y178" s="197">
        <f t="shared" si="77"/>
        <v>5.8653000000000004</v>
      </c>
      <c r="Z178" s="197">
        <f t="shared" si="78"/>
        <v>6.6799999999999998E-2</v>
      </c>
      <c r="AA178" s="197">
        <f t="shared" si="65"/>
        <v>5.7985000000000007</v>
      </c>
      <c r="AB178" s="54" t="e">
        <f>VLOOKUP(A178,Enforcements!$C$7:$K$13,8,0)</f>
        <v>#N/A</v>
      </c>
      <c r="AC178" s="51" t="e">
        <f>VLOOKUP(A178,Enforcements!$C$7:$E$13,3,0)</f>
        <v>#N/A</v>
      </c>
      <c r="AD178" s="206">
        <f t="shared" si="66"/>
        <v>814</v>
      </c>
      <c r="AE178" s="77" t="str">
        <f t="shared" si="67"/>
        <v>aws s3 cp s3://rtdc.mdm.uploadarchive.raw/RTDC4015/ "%USERPROFILE%\AppData\Local\Temp\OnboardLogs"\RTDC4015\2017-06-30 --exclude "*" --recursive --include "*20170630*" &amp; "%USERPROFILE%\Documents\GitHub\mrs-test-scripts\Headless Mode &amp; Sideloading\WalkAndUnGZ.bat" "%USERPROFILE%\AppData\Local\Temp\OnboardLogs"\RTDC4015\2017-06-30 &amp; aws s3 cp s3://rtdc.mdm.uploadarchive.raw/RTDC4015/ "%USERPROFILE%\AppData\Local\Temp\OnboardLogs"\RTDC4015\2017-07-01 --exclude "*" --recursive --include "*20170701*" &amp; "%USERPROFILE%\Documents\GitHub\mrs-test-scripts\Headless Mode &amp; Sideloading\WalkAndUnGZ.bat" "%USERPROFILE%\AppData\Local\Temp\OnboardLogs"\RTDC4015\2017-07-01</v>
      </c>
      <c r="AF178" s="74" t="str">
        <f t="shared" si="68"/>
        <v>"C:\Program Files (x86)\AstroGrep\AstroGrep.exe" /e /r /s /spath="%USERPROFILE%\AppData\Local\Temp\OnboardLogs" /stypes="app*4015*20170630*" /stext=" 15:.+((SYSTEM_STATE.+slice.+state.+changed )|(ment ac)|(multiple cpu faults)|(system.+state.+changed )|(\[timeout)|(PRM\|1\|D)|(kpr)|(kdp)|(train st.+moving)|(\|lc)|(penalty))"</v>
      </c>
      <c r="AG178" s="209" t="str">
        <f t="shared" si="69"/>
        <v>NW</v>
      </c>
      <c r="AH178" s="78" t="str">
        <f t="shared" si="70"/>
        <v>"%USERPROFILE%\Documents\GitHub\eaglep3\Utilities\RefineRTDCRunTimes.py" --tripid 814-30 --locoid 4015 --swversion DE.1.0.9.0 --startMP 300:58653 --initTime 2017-06-30T09:35:41 --startdatetime 2017-06-30T09:38:48 --delay 1 --endMP 204:668 --enddatetime 2017-06-30T09:54:20 --enforcementcount 0 &gt;&gt;C:\Users\stu\Documents\GitHub\eaglep3-reporting\EC\2017-06-30-refined-times.txt</v>
      </c>
      <c r="AI178" s="96" t="str">
        <f t="shared" si="71"/>
        <v>echo {"issue":{"subject":"","project_id":79,"tracker_id":40,"status_id":1,"priority_id":2,"assigned_to_id":23,"start_date":"2017-06-30","description":"","custom_fields":[{"id":1,"name":"Subdivision","value":"NW"},{"id":4,"name":"Milepost","value":"0.0668"},{"id":17,"name":"Train ID","value":"814-30"},{"id":16,"name":"Locomotive ID","value":"4015"},{"id":130,"name":"Impact","value":""},{"id":150,"name":"Time of Event (Mountain Time)","value":"09:54:20"},{"id":151,"name":"Denver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7"/>
      <c r="AL178" s="47"/>
      <c r="AM178" s="142" t="str">
        <f t="shared" si="72"/>
        <v>start /low /b %USERPROFILE%\Documents\GitHub\eaglep3\Utilities\DownloadLogsFromS3.py --loco 4015 --day 2017-06-30</v>
      </c>
      <c r="AN178" s="151" t="str">
        <f t="shared" si="73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15:54:20"},{"id":29,"name":"Sharepoint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</row>
    <row r="179" spans="1:91" s="20" customFormat="1" x14ac:dyDescent="0.25">
      <c r="A179" s="32" t="s">
        <v>598</v>
      </c>
      <c r="B179" s="7">
        <v>4016</v>
      </c>
      <c r="C179" s="21" t="s">
        <v>200</v>
      </c>
      <c r="D179" s="21" t="s">
        <v>1002</v>
      </c>
      <c r="E179" s="13">
        <v>42916.414976851855</v>
      </c>
      <c r="F179" s="13">
        <v>42916.43141203704</v>
      </c>
      <c r="G179" s="7">
        <v>1</v>
      </c>
      <c r="H179" s="21" t="s">
        <v>574</v>
      </c>
      <c r="I179" s="13">
        <v>42916.440740740742</v>
      </c>
      <c r="J179" s="7">
        <v>0</v>
      </c>
      <c r="K179" s="89" t="str">
        <f t="shared" si="61"/>
        <v>4015/4016</v>
      </c>
      <c r="L179" s="21" t="str">
        <f>VLOOKUP(A179,'Trips&amp;Operators'!$C$1:$G$99999,5,FALSE)</f>
        <v>LALONDE GREGORY</v>
      </c>
      <c r="M179" s="6">
        <f t="shared" si="62"/>
        <v>9.3287037016125396E-3</v>
      </c>
      <c r="N179" s="7">
        <f t="shared" si="83"/>
        <v>13.433333330322057</v>
      </c>
      <c r="O179" s="7"/>
      <c r="P179" s="7"/>
      <c r="Q179" s="22"/>
      <c r="R179" s="170"/>
      <c r="S179" s="213">
        <f t="shared" si="75"/>
        <v>1</v>
      </c>
      <c r="T179" s="195" t="str">
        <f t="shared" si="63"/>
        <v>NorthBound</v>
      </c>
      <c r="U179" s="19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6" t="str">
        <f t="shared" si="64"/>
        <v>https://d0f6bd738d7f1b3e5a7ca70fe4ff75f0.us-east-1.aws.found.io/app/kibana#/discover/Steve-Slow-Train-Analysis-(2080s-and-2083s)?_g=(refreshInterval:(display:Off,pause:!f,section:0,value:0),time:(from:'2017-06-30T08:57:34-0600',mode:absolute,to:'2017-06-30T11:34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9" s="197" t="str">
        <f>IF(AA179&lt;VLOOKUP(AG179,Variables!$AC$3:$AD$8,2,FALSE),"Y","N")</f>
        <v>N</v>
      </c>
      <c r="X179" s="197">
        <f t="shared" si="76"/>
        <v>1</v>
      </c>
      <c r="Y179" s="197">
        <f t="shared" si="77"/>
        <v>9.8100000000000007E-2</v>
      </c>
      <c r="Z179" s="197">
        <f t="shared" si="78"/>
        <v>5.8967000000000001</v>
      </c>
      <c r="AA179" s="197">
        <f t="shared" si="65"/>
        <v>5.7986000000000004</v>
      </c>
      <c r="AB179" s="54" t="e">
        <f>VLOOKUP(A179,Enforcements!$C$7:$K$13,8,0)</f>
        <v>#N/A</v>
      </c>
      <c r="AC179" s="51" t="e">
        <f>VLOOKUP(A179,Enforcements!$C$7:$E$13,3,0)</f>
        <v>#N/A</v>
      </c>
      <c r="AD179" s="206">
        <f t="shared" si="66"/>
        <v>815</v>
      </c>
      <c r="AE179" s="77" t="str">
        <f t="shared" si="67"/>
        <v>aws s3 cp s3://rtdc.mdm.uploadarchive.raw/RTDC4016/ "%USERPROFILE%\AppData\Local\Temp\OnboardLogs"\RTDC4016\2017-06-30 --exclude "*" --recursive --include "*20170630*" &amp; "%USERPROFILE%\Documents\GitHub\mrs-test-scripts\Headless Mode &amp; Sideloading\WalkAndUnGZ.bat" "%USERPROFILE%\AppData\Local\Temp\OnboardLogs"\RTDC4016\2017-06-30 &amp; aws s3 cp s3://rtdc.mdm.uploadarchive.raw/RTDC4016/ "%USERPROFILE%\AppData\Local\Temp\OnboardLogs"\RTDC4016\2017-07-01 --exclude "*" --recursive --include "*20170701*" &amp; "%USERPROFILE%\Documents\GitHub\mrs-test-scripts\Headless Mode &amp; Sideloading\WalkAndUnGZ.bat" "%USERPROFILE%\AppData\Local\Temp\OnboardLogs"\RTDC4016\2017-07-01</v>
      </c>
      <c r="AF179" s="74" t="str">
        <f t="shared" si="68"/>
        <v>"C:\Program Files (x86)\AstroGrep\AstroGrep.exe" /e /r /s /spath="%USERPROFILE%\AppData\Local\Temp\OnboardLogs" /stypes="app*4016*20170630*" /stext=" 16:.+((SYSTEM_STATE.+slice.+state.+changed )|(ment ac)|(multiple cpu faults)|(system.+state.+changed )|(\[timeout)|(PRM\|1\|D)|(kpr)|(kdp)|(train st.+moving)|(\|lc)|(penalty))"</v>
      </c>
      <c r="AG179" s="209" t="str">
        <f t="shared" si="69"/>
        <v>NW</v>
      </c>
      <c r="AH179" s="78" t="str">
        <f t="shared" si="70"/>
        <v>"%USERPROFILE%\Documents\GitHub\eaglep3\Utilities\RefineRTDCRunTimes.py" --tripid 815-30 --locoid 4016 --swversion DE.1.0.9.0 --startMP 204:981 --initTime 2017-06-30T09:57:34 --startdatetime 2017-06-30T10:21:14 --delay 1 --endMP 300:58967 --enddatetime 2017-06-30T10:34:40 --enforcementcount 0 &gt;&gt;C:\Users\stu\Documents\GitHub\eaglep3-reporting\EC\2017-06-30-refined-times.txt</v>
      </c>
      <c r="AI179" s="96" t="str">
        <f t="shared" si="71"/>
        <v>echo {"issue":{"subject":"","project_id":79,"tracker_id":40,"status_id":1,"priority_id":2,"assigned_to_id":23,"start_date":"2017-06-30","description":"","custom_fields":[{"id":1,"name":"Subdivision","value":"NW"},{"id":4,"name":"Milepost","value":"5.8967"},{"id":17,"name":"Train ID","value":"815-30"},{"id":16,"name":"Locomotive ID","value":"4016"},{"id":130,"name":"Impact","value":""},{"id":150,"name":"Time of Event (Mountain Time)","value":"10:34:40"},{"id":151,"name":"Denver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9" s="47"/>
      <c r="AL179" s="47"/>
      <c r="AM179" s="142" t="str">
        <f t="shared" si="72"/>
        <v>start /low /b %USERPROFILE%\Documents\GitHub\eaglep3\Utilities\DownloadLogsFromS3.py --loco 4016 --day 2017-06-30</v>
      </c>
      <c r="AN179" s="151" t="str">
        <f t="shared" si="73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16:34:40"},{"id":29,"name":"Sharepoint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25">
      <c r="A180" s="32" t="s">
        <v>723</v>
      </c>
      <c r="B180" s="7">
        <v>4015</v>
      </c>
      <c r="C180" s="21" t="s">
        <v>200</v>
      </c>
      <c r="D180" s="21" t="s">
        <v>575</v>
      </c>
      <c r="E180" s="13">
        <v>42916.441574074073</v>
      </c>
      <c r="F180" s="13">
        <v>42916.442939814813</v>
      </c>
      <c r="G180" s="7">
        <v>0</v>
      </c>
      <c r="H180" s="21" t="s">
        <v>576</v>
      </c>
      <c r="I180" s="13">
        <v>42916.454467592594</v>
      </c>
      <c r="J180" s="7">
        <v>0</v>
      </c>
      <c r="K180" s="89" t="str">
        <f t="shared" si="61"/>
        <v>4015/4016</v>
      </c>
      <c r="L180" s="21" t="str">
        <f>VLOOKUP(A180,'Trips&amp;Operators'!$C$1:$G$99999,5,FALSE)</f>
        <v>LALONDE GREGORY</v>
      </c>
      <c r="M180" s="6">
        <f t="shared" si="62"/>
        <v>1.152777778042946E-2</v>
      </c>
      <c r="N180" s="7">
        <f t="shared" si="83"/>
        <v>16.600000003818423</v>
      </c>
      <c r="O180" s="7"/>
      <c r="P180" s="7"/>
      <c r="Q180" s="22"/>
      <c r="R180" s="170"/>
      <c r="S180" s="213">
        <f t="shared" si="75"/>
        <v>1</v>
      </c>
      <c r="T180" s="195" t="str">
        <f t="shared" si="63"/>
        <v>Southbound</v>
      </c>
      <c r="U180" s="19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6" t="str">
        <f t="shared" si="64"/>
        <v>https://d0f6bd738d7f1b3e5a7ca70fe4ff75f0.us-east-1.aws.found.io/app/kibana#/discover/Steve-Slow-Train-Analysis-(2080s-and-2083s)?_g=(refreshInterval:(display:Off,pause:!f,section:0,value:0),time:(from:'2017-06-30T09:35:52-0600',mode:absolute,to:'2017-06-30T11:54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0" s="197" t="str">
        <f>IF(AA180&lt;VLOOKUP(AG180,Variables!$AC$3:$AD$8,2,FALSE),"Y","N")</f>
        <v>N</v>
      </c>
      <c r="X180" s="197">
        <f t="shared" si="76"/>
        <v>1</v>
      </c>
      <c r="Y180" s="197">
        <f t="shared" si="77"/>
        <v>5.8653000000000004</v>
      </c>
      <c r="Z180" s="197">
        <f t="shared" si="78"/>
        <v>6.8000000000000005E-2</v>
      </c>
      <c r="AA180" s="197">
        <f t="shared" si="65"/>
        <v>5.7973000000000008</v>
      </c>
      <c r="AB180" s="54" t="e">
        <f>VLOOKUP(A180,Enforcements!$C$7:$K$13,8,0)</f>
        <v>#N/A</v>
      </c>
      <c r="AC180" s="51" t="e">
        <f>VLOOKUP(A180,Enforcements!$C$7:$E$13,3,0)</f>
        <v>#N/A</v>
      </c>
      <c r="AD180" s="206">
        <f t="shared" si="66"/>
        <v>816</v>
      </c>
      <c r="AE180" s="77" t="str">
        <f t="shared" si="67"/>
        <v>aws s3 cp s3://rtdc.mdm.uploadarchive.raw/RTDC4015/ "%USERPROFILE%\AppData\Local\Temp\OnboardLogs"\RTDC4015\2017-06-30 --exclude "*" --recursive --include "*20170630*" &amp; "%USERPROFILE%\Documents\GitHub\mrs-test-scripts\Headless Mode &amp; Sideloading\WalkAndUnGZ.bat" "%USERPROFILE%\AppData\Local\Temp\OnboardLogs"\RTDC4015\2017-06-30 &amp; aws s3 cp s3://rtdc.mdm.uploadarchive.raw/RTDC4015/ "%USERPROFILE%\AppData\Local\Temp\OnboardLogs"\RTDC4015\2017-07-01 --exclude "*" --recursive --include "*20170701*" &amp; "%USERPROFILE%\Documents\GitHub\mrs-test-scripts\Headless Mode &amp; Sideloading\WalkAndUnGZ.bat" "%USERPROFILE%\AppData\Local\Temp\OnboardLogs"\RTDC4015\2017-07-01</v>
      </c>
      <c r="AF180" s="74" t="str">
        <f t="shared" si="68"/>
        <v>"C:\Program Files (x86)\AstroGrep\AstroGrep.exe" /e /r /s /spath="%USERPROFILE%\AppData\Local\Temp\OnboardLogs" /stypes="app*4015*20170630*" /stext=" 16:.+((SYSTEM_STATE.+slice.+state.+changed )|(ment ac)|(multiple cpu faults)|(system.+state.+changed )|(\[timeout)|(PRM\|1\|D)|(kpr)|(kdp)|(train st.+moving)|(\|lc)|(penalty))"</v>
      </c>
      <c r="AG180" s="209" t="str">
        <f t="shared" si="69"/>
        <v>NW</v>
      </c>
      <c r="AH180" s="78" t="str">
        <f t="shared" si="70"/>
        <v>"%USERPROFILE%\Documents\GitHub\eaglep3\Utilities\RefineRTDCRunTimes.py" --tripid 816-30 --locoid 4015 --swversion DE.1.0.9.0 --startMP 300:58653 --initTime 2017-06-30T10:35:52 --startdatetime 2017-06-30T10:37:50 --delay 0 --endMP 204:680 --enddatetime 2017-06-30T10:54:26 --enforcementcount 0 &gt;&gt;C:\Users\stu\Documents\GitHub\eaglep3-reporting\EC\2017-06-30-refined-times.txt</v>
      </c>
      <c r="AI180" s="96" t="str">
        <f t="shared" si="71"/>
        <v>echo {"issue":{"subject":"","project_id":79,"tracker_id":40,"status_id":1,"priority_id":2,"assigned_to_id":23,"start_date":"2017-06-30","description":"","custom_fields":[{"id":1,"name":"Subdivision","value":"NW"},{"id":4,"name":"Milepost","value":"0.068"},{"id":17,"name":"Train ID","value":"816-30"},{"id":16,"name":"Locomotive ID","value":"4015"},{"id":130,"name":"Impact","value":""},{"id":150,"name":"Time of Event (Mountain Time)","value":"10:54:26"},{"id":151,"name":"Denver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0" s="47"/>
      <c r="AL180" s="47"/>
      <c r="AM180" s="142" t="str">
        <f t="shared" si="72"/>
        <v>start /low /b %USERPROFILE%\Documents\GitHub\eaglep3\Utilities\DownloadLogsFromS3.py --loco 4015 --day 2017-06-30</v>
      </c>
      <c r="AN180" s="151" t="str">
        <f t="shared" si="73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16:54:26"},{"id":29,"name":"Sharepoint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x14ac:dyDescent="0.25">
      <c r="A181" s="32" t="s">
        <v>729</v>
      </c>
      <c r="B181" s="7">
        <v>4016</v>
      </c>
      <c r="C181" s="21" t="s">
        <v>200</v>
      </c>
      <c r="D181" s="21" t="s">
        <v>462</v>
      </c>
      <c r="E181" s="13">
        <v>42916.456666666665</v>
      </c>
      <c r="F181" s="13">
        <v>42916.473078703704</v>
      </c>
      <c r="G181" s="7">
        <v>1</v>
      </c>
      <c r="H181" s="21" t="s">
        <v>1003</v>
      </c>
      <c r="I181" s="13">
        <v>42916.482488425929</v>
      </c>
      <c r="J181" s="7">
        <v>0</v>
      </c>
      <c r="K181" s="89" t="str">
        <f t="shared" si="61"/>
        <v>4015/4016</v>
      </c>
      <c r="L181" s="21" t="str">
        <f>VLOOKUP(A181,'Trips&amp;Operators'!$C$1:$G$99999,5,FALSE)</f>
        <v>LALONDE GREGORY</v>
      </c>
      <c r="M181" s="6">
        <f t="shared" si="62"/>
        <v>9.4097222245181911E-3</v>
      </c>
      <c r="N181" s="7">
        <f t="shared" si="83"/>
        <v>13.550000003306195</v>
      </c>
      <c r="O181" s="7"/>
      <c r="P181" s="7"/>
      <c r="Q181" s="22"/>
      <c r="R181" s="170"/>
      <c r="S181" s="213">
        <f t="shared" si="75"/>
        <v>1</v>
      </c>
      <c r="T181" s="195" t="str">
        <f t="shared" si="63"/>
        <v>NorthBound</v>
      </c>
      <c r="U181" s="19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6" t="str">
        <f t="shared" si="64"/>
        <v>https://d0f6bd738d7f1b3e5a7ca70fe4ff75f0.us-east-1.aws.found.io/app/kibana#/discover/Steve-Slow-Train-Analysis-(2080s-and-2083s)?_g=(refreshInterval:(display:Off,pause:!f,section:0,value:0),time:(from:'2017-06-30T09:57:36-0600',mode:absolute,to:'2017-06-30T12:34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1" s="197" t="str">
        <f>IF(AA181&lt;VLOOKUP(AG181,Variables!$AC$3:$AD$8,2,FALSE),"Y","N")</f>
        <v>N</v>
      </c>
      <c r="X181" s="197">
        <f t="shared" si="76"/>
        <v>1</v>
      </c>
      <c r="Y181" s="197">
        <f t="shared" si="77"/>
        <v>9.7100000000000006E-2</v>
      </c>
      <c r="Z181" s="197">
        <f t="shared" si="78"/>
        <v>5.8960999999999997</v>
      </c>
      <c r="AA181" s="197">
        <f t="shared" si="65"/>
        <v>5.7989999999999995</v>
      </c>
      <c r="AB181" s="54" t="e">
        <f>VLOOKUP(A181,Enforcements!$C$7:$K$13,8,0)</f>
        <v>#N/A</v>
      </c>
      <c r="AC181" s="51" t="e">
        <f>VLOOKUP(A181,Enforcements!$C$7:$E$13,3,0)</f>
        <v>#N/A</v>
      </c>
      <c r="AD181" s="206">
        <f t="shared" si="66"/>
        <v>817</v>
      </c>
      <c r="AE181" s="77" t="str">
        <f t="shared" si="67"/>
        <v>aws s3 cp s3://rtdc.mdm.uploadarchive.raw/RTDC4016/ "%USERPROFILE%\AppData\Local\Temp\OnboardLogs"\RTDC4016\2017-06-30 --exclude "*" --recursive --include "*20170630*" &amp; "%USERPROFILE%\Documents\GitHub\mrs-test-scripts\Headless Mode &amp; Sideloading\WalkAndUnGZ.bat" "%USERPROFILE%\AppData\Local\Temp\OnboardLogs"\RTDC4016\2017-06-30 &amp; aws s3 cp s3://rtdc.mdm.uploadarchive.raw/RTDC4016/ "%USERPROFILE%\AppData\Local\Temp\OnboardLogs"\RTDC4016\2017-07-01 --exclude "*" --recursive --include "*20170701*" &amp; "%USERPROFILE%\Documents\GitHub\mrs-test-scripts\Headless Mode &amp; Sideloading\WalkAndUnGZ.bat" "%USERPROFILE%\AppData\Local\Temp\OnboardLogs"\RTDC4016\2017-07-01</v>
      </c>
      <c r="AF181" s="74" t="str">
        <f t="shared" si="68"/>
        <v>"C:\Program Files (x86)\AstroGrep\AstroGrep.exe" /e /r /s /spath="%USERPROFILE%\AppData\Local\Temp\OnboardLogs" /stypes="app*4016*20170630*" /stext=" 17:.+((SYSTEM_STATE.+slice.+state.+changed )|(ment ac)|(multiple cpu faults)|(system.+state.+changed )|(\[timeout)|(PRM\|1\|D)|(kpr)|(kdp)|(train st.+moving)|(\|lc)|(penalty))"</v>
      </c>
      <c r="AG181" s="209" t="str">
        <f t="shared" si="69"/>
        <v>NW</v>
      </c>
      <c r="AH181" s="78" t="str">
        <f t="shared" si="70"/>
        <v>"%USERPROFILE%\Documents\GitHub\eaglep3\Utilities\RefineRTDCRunTimes.py" --tripid 817-30 --locoid 4016 --swversion DE.1.0.9.0 --startMP 204:971 --initTime 2017-06-30T10:57:36 --startdatetime 2017-06-30T11:21:14 --delay 1 --endMP 300:58961 --enddatetime 2017-06-30T11:34:47 --enforcementcount 0 &gt;&gt;C:\Users\stu\Documents\GitHub\eaglep3-reporting\EC\2017-06-30-refined-times.txt</v>
      </c>
      <c r="AI181" s="96" t="str">
        <f t="shared" si="71"/>
        <v>echo {"issue":{"subject":"","project_id":79,"tracker_id":40,"status_id":1,"priority_id":2,"assigned_to_id":23,"start_date":"2017-06-30","description":"","custom_fields":[{"id":1,"name":"Subdivision","value":"NW"},{"id":4,"name":"Milepost","value":"5.8961"},{"id":17,"name":"Train ID","value":"817-30"},{"id":16,"name":"Locomotive ID","value":"4016"},{"id":130,"name":"Impact","value":""},{"id":150,"name":"Time of Event (Mountain Time)","value":"11:34:47"},{"id":151,"name":"Denver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2" t="str">
        <f t="shared" si="72"/>
        <v>start /low /b %USERPROFILE%\Documents\GitHub\eaglep3\Utilities\DownloadLogsFromS3.py --loco 4016 --day 2017-06-30</v>
      </c>
      <c r="AN181" s="151" t="str">
        <f t="shared" si="73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17:34:47"},{"id":29,"name":"Sharepoint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</row>
    <row r="182" spans="1:91" x14ac:dyDescent="0.25">
      <c r="A182" s="32" t="s">
        <v>738</v>
      </c>
      <c r="B182" s="7">
        <v>4015</v>
      </c>
      <c r="C182" s="21" t="s">
        <v>200</v>
      </c>
      <c r="D182" s="21" t="s">
        <v>1004</v>
      </c>
      <c r="E182" s="13">
        <v>42916.483287037037</v>
      </c>
      <c r="F182" s="13">
        <v>42916.486018518517</v>
      </c>
      <c r="G182" s="7">
        <v>0</v>
      </c>
      <c r="H182" s="21" t="s">
        <v>576</v>
      </c>
      <c r="I182" s="13">
        <v>42916.496307870373</v>
      </c>
      <c r="J182" s="7">
        <v>0</v>
      </c>
      <c r="K182" s="89" t="str">
        <f t="shared" si="61"/>
        <v>4015/4016</v>
      </c>
      <c r="L182" s="21" t="str">
        <f>VLOOKUP(A182,'Trips&amp;Operators'!$C$1:$G$99999,5,FALSE)</f>
        <v>LALONDE GREGORY</v>
      </c>
      <c r="M182" s="6">
        <f t="shared" si="62"/>
        <v>1.0289351856044959E-2</v>
      </c>
      <c r="N182" s="7">
        <f t="shared" si="83"/>
        <v>14.816666672704741</v>
      </c>
      <c r="O182" s="7"/>
      <c r="P182" s="7"/>
      <c r="Q182" s="22"/>
      <c r="R182" s="170"/>
      <c r="S182" s="213">
        <f t="shared" si="75"/>
        <v>1</v>
      </c>
      <c r="T182" s="195" t="str">
        <f t="shared" si="63"/>
        <v>Southbound</v>
      </c>
      <c r="U182" s="19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6" t="str">
        <f t="shared" si="64"/>
        <v>https://d0f6bd738d7f1b3e5a7ca70fe4ff75f0.us-east-1.aws.found.io/app/kibana#/discover/Steve-Slow-Train-Analysis-(2080s-and-2083s)?_g=(refreshInterval:(display:Off,pause:!f,section:0,value:0),time:(from:'2017-06-30T10:35:56-0600',mode:absolute,to:'2017-06-30T12:54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2" s="197" t="str">
        <f>IF(AA182&lt;VLOOKUP(AG182,Variables!$AC$3:$AD$8,2,FALSE),"Y","N")</f>
        <v>N</v>
      </c>
      <c r="X182" s="197">
        <f t="shared" si="76"/>
        <v>1</v>
      </c>
      <c r="Y182" s="197">
        <f t="shared" si="77"/>
        <v>5.8647</v>
      </c>
      <c r="Z182" s="197">
        <f t="shared" si="78"/>
        <v>6.8000000000000005E-2</v>
      </c>
      <c r="AA182" s="197">
        <f t="shared" si="65"/>
        <v>5.7967000000000004</v>
      </c>
      <c r="AB182" s="54" t="e">
        <f>VLOOKUP(A182,Enforcements!$C$7:$K$13,8,0)</f>
        <v>#N/A</v>
      </c>
      <c r="AC182" s="51" t="e">
        <f>VLOOKUP(A182,Enforcements!$C$7:$E$13,3,0)</f>
        <v>#N/A</v>
      </c>
      <c r="AD182" s="206">
        <f t="shared" si="66"/>
        <v>818</v>
      </c>
      <c r="AE182" s="77" t="str">
        <f t="shared" si="67"/>
        <v>aws s3 cp s3://rtdc.mdm.uploadarchive.raw/RTDC4015/ "%USERPROFILE%\AppData\Local\Temp\OnboardLogs"\RTDC4015\2017-06-30 --exclude "*" --recursive --include "*20170630*" &amp; "%USERPROFILE%\Documents\GitHub\mrs-test-scripts\Headless Mode &amp; Sideloading\WalkAndUnGZ.bat" "%USERPROFILE%\AppData\Local\Temp\OnboardLogs"\RTDC4015\2017-06-30 &amp; aws s3 cp s3://rtdc.mdm.uploadarchive.raw/RTDC4015/ "%USERPROFILE%\AppData\Local\Temp\OnboardLogs"\RTDC4015\2017-07-01 --exclude "*" --recursive --include "*20170701*" &amp; "%USERPROFILE%\Documents\GitHub\mrs-test-scripts\Headless Mode &amp; Sideloading\WalkAndUnGZ.bat" "%USERPROFILE%\AppData\Local\Temp\OnboardLogs"\RTDC4015\2017-07-01</v>
      </c>
      <c r="AF182" s="74" t="str">
        <f t="shared" si="68"/>
        <v>"C:\Program Files (x86)\AstroGrep\AstroGrep.exe" /e /r /s /spath="%USERPROFILE%\AppData\Local\Temp\OnboardLogs" /stypes="app*4015*20170630*" /stext=" 17:.+((SYSTEM_STATE.+slice.+state.+changed )|(ment ac)|(multiple cpu faults)|(system.+state.+changed )|(\[timeout)|(PRM\|1\|D)|(kpr)|(kdp)|(train st.+moving)|(\|lc)|(penalty))"</v>
      </c>
      <c r="AG182" s="209" t="str">
        <f t="shared" si="69"/>
        <v>NW</v>
      </c>
      <c r="AH182" s="78" t="str">
        <f t="shared" si="70"/>
        <v>"%USERPROFILE%\Documents\GitHub\eaglep3\Utilities\RefineRTDCRunTimes.py" --tripid 818-30 --locoid 4015 --swversion DE.1.0.9.0 --startMP 300:58647 --initTime 2017-06-30T11:35:56 --startdatetime 2017-06-30T11:39:52 --delay 0 --endMP 204:680 --enddatetime 2017-06-30T11:54:41 --enforcementcount 0 &gt;&gt;C:\Users\stu\Documents\GitHub\eaglep3-reporting\EC\2017-06-30-refined-times.txt</v>
      </c>
      <c r="AI182" s="96" t="str">
        <f t="shared" si="71"/>
        <v>echo {"issue":{"subject":"","project_id":79,"tracker_id":40,"status_id":1,"priority_id":2,"assigned_to_id":23,"start_date":"2017-06-30","description":"","custom_fields":[{"id":1,"name":"Subdivision","value":"NW"},{"id":4,"name":"Milepost","value":"0.068"},{"id":17,"name":"Train ID","value":"818-30"},{"id":16,"name":"Locomotive ID","value":"4015"},{"id":130,"name":"Impact","value":""},{"id":150,"name":"Time of Event (Mountain Time)","value":"11:54:41"},{"id":151,"name":"Denver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2" t="str">
        <f t="shared" si="72"/>
        <v>start /low /b %USERPROFILE%\Documents\GitHub\eaglep3\Utilities\DownloadLogsFromS3.py --loco 4015 --day 2017-06-30</v>
      </c>
      <c r="AN182" s="151" t="str">
        <f t="shared" si="73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17:54:41"},{"id":29,"name":"Sharepoint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/>
    </row>
    <row r="183" spans="1:91" s="20" customFormat="1" x14ac:dyDescent="0.25">
      <c r="A183" s="32" t="s">
        <v>744</v>
      </c>
      <c r="B183" s="7">
        <v>4016</v>
      </c>
      <c r="C183" s="21" t="s">
        <v>200</v>
      </c>
      <c r="D183" s="21" t="s">
        <v>578</v>
      </c>
      <c r="E183" s="13">
        <v>42916.50309027778</v>
      </c>
      <c r="F183" s="13">
        <v>42916.514733796299</v>
      </c>
      <c r="G183" s="7">
        <v>1</v>
      </c>
      <c r="H183" s="21" t="s">
        <v>566</v>
      </c>
      <c r="I183" s="13">
        <v>42916.523935185185</v>
      </c>
      <c r="J183" s="7">
        <v>0</v>
      </c>
      <c r="K183" s="89" t="str">
        <f t="shared" si="61"/>
        <v>4015/4016</v>
      </c>
      <c r="L183" s="21" t="str">
        <f>VLOOKUP(A183,'Trips&amp;Operators'!$C$1:$G$99999,5,FALSE)</f>
        <v>LALONDE GREGORY</v>
      </c>
      <c r="M183" s="6">
        <f t="shared" si="62"/>
        <v>9.2013888861401938E-3</v>
      </c>
      <c r="N183" s="7">
        <f t="shared" si="83"/>
        <v>13.249999996041879</v>
      </c>
      <c r="O183" s="7"/>
      <c r="P183" s="7"/>
      <c r="Q183" s="22"/>
      <c r="R183" s="170"/>
      <c r="S183" s="213">
        <f t="shared" si="75"/>
        <v>1</v>
      </c>
      <c r="T183" s="195" t="str">
        <f t="shared" si="63"/>
        <v>NorthBound</v>
      </c>
      <c r="U183" s="19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6" t="str">
        <f t="shared" si="64"/>
        <v>https://d0f6bd738d7f1b3e5a7ca70fe4ff75f0.us-east-1.aws.found.io/app/kibana#/discover/Steve-Slow-Train-Analysis-(2080s-and-2083s)?_g=(refreshInterval:(display:Off,pause:!f,section:0,value:0),time:(from:'2017-06-30T11:04:27-0600',mode:absolute,to:'2017-06-30T13:34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3" s="197" t="str">
        <f>IF(AA183&lt;VLOOKUP(AG183,Variables!$AC$3:$AD$8,2,FALSE),"Y","N")</f>
        <v>N</v>
      </c>
      <c r="X183" s="197">
        <f t="shared" si="76"/>
        <v>1</v>
      </c>
      <c r="Y183" s="197">
        <f t="shared" si="77"/>
        <v>9.64E-2</v>
      </c>
      <c r="Z183" s="197">
        <f t="shared" si="78"/>
        <v>5.8973000000000004</v>
      </c>
      <c r="AA183" s="197">
        <f t="shared" si="65"/>
        <v>5.8009000000000004</v>
      </c>
      <c r="AB183" s="54" t="e">
        <f>VLOOKUP(A183,Enforcements!$C$7:$K$13,8,0)</f>
        <v>#N/A</v>
      </c>
      <c r="AC183" s="51" t="e">
        <f>VLOOKUP(A183,Enforcements!$C$7:$E$13,3,0)</f>
        <v>#N/A</v>
      </c>
      <c r="AD183" s="206">
        <f t="shared" si="66"/>
        <v>819</v>
      </c>
      <c r="AE183" s="77" t="str">
        <f t="shared" si="67"/>
        <v>aws s3 cp s3://rtdc.mdm.uploadarchive.raw/RTDC4016/ "%USERPROFILE%\AppData\Local\Temp\OnboardLogs"\RTDC4016\2017-06-30 --exclude "*" --recursive --include "*20170630*" &amp; "%USERPROFILE%\Documents\GitHub\mrs-test-scripts\Headless Mode &amp; Sideloading\WalkAndUnGZ.bat" "%USERPROFILE%\AppData\Local\Temp\OnboardLogs"\RTDC4016\2017-06-30 &amp; aws s3 cp s3://rtdc.mdm.uploadarchive.raw/RTDC4016/ "%USERPROFILE%\AppData\Local\Temp\OnboardLogs"\RTDC4016\2017-07-01 --exclude "*" --recursive --include "*20170701*" &amp; "%USERPROFILE%\Documents\GitHub\mrs-test-scripts\Headless Mode &amp; Sideloading\WalkAndUnGZ.bat" "%USERPROFILE%\AppData\Local\Temp\OnboardLogs"\RTDC4016\2017-07-01</v>
      </c>
      <c r="AF183" s="74" t="str">
        <f t="shared" si="68"/>
        <v>"C:\Program Files (x86)\AstroGrep\AstroGrep.exe" /e /r /s /spath="%USERPROFILE%\AppData\Local\Temp\OnboardLogs" /stypes="app*4016*20170630*" /stext=" 18:.+((SYSTEM_STATE.+slice.+state.+changed )|(ment ac)|(multiple cpu faults)|(system.+state.+changed )|(\[timeout)|(PRM\|1\|D)|(kpr)|(kdp)|(train st.+moving)|(\|lc)|(penalty))"</v>
      </c>
      <c r="AG183" s="209" t="str">
        <f t="shared" si="69"/>
        <v>NW</v>
      </c>
      <c r="AH183" s="78" t="str">
        <f t="shared" si="70"/>
        <v>"%USERPROFILE%\Documents\GitHub\eaglep3\Utilities\RefineRTDCRunTimes.py" --tripid 819-30 --locoid 4016 --swversion DE.1.0.9.0 --startMP 204:964 --initTime 2017-06-30T12:04:27 --startdatetime 2017-06-30T12:21:13 --delay 1 --endMP 300:58973 --enddatetime 2017-06-30T12:34:28 --enforcementcount 0 &gt;&gt;C:\Users\stu\Documents\GitHub\eaglep3-reporting\EC\2017-06-30-refined-times.txt</v>
      </c>
      <c r="AI183" s="96" t="str">
        <f t="shared" si="71"/>
        <v>echo {"issue":{"subject":"","project_id":79,"tracker_id":40,"status_id":1,"priority_id":2,"assigned_to_id":23,"start_date":"2017-06-30","description":"","custom_fields":[{"id":1,"name":"Subdivision","value":"NW"},{"id":4,"name":"Milepost","value":"5.8973"},{"id":17,"name":"Train ID","value":"819-30"},{"id":16,"name":"Locomotive ID","value":"4016"},{"id":130,"name":"Impact","value":""},{"id":150,"name":"Time of Event (Mountain Time)","value":"12:34:28"},{"id":151,"name":"Denver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3" s="47"/>
      <c r="AL183" s="47"/>
      <c r="AM183" s="142" t="str">
        <f t="shared" si="72"/>
        <v>start /low /b %USERPROFILE%\Documents\GitHub\eaglep3\Utilities\DownloadLogsFromS3.py --loco 4016 --day 2017-06-30</v>
      </c>
      <c r="AN183" s="151" t="str">
        <f t="shared" si="73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18:34:28"},{"id":29,"name":"Sharepoint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25">
      <c r="A184" s="32" t="s">
        <v>600</v>
      </c>
      <c r="B184" s="7">
        <v>4015</v>
      </c>
      <c r="C184" s="21" t="s">
        <v>200</v>
      </c>
      <c r="D184" s="21" t="s">
        <v>1001</v>
      </c>
      <c r="E184" s="13">
        <v>42916.524768518517</v>
      </c>
      <c r="F184" s="13">
        <v>42916.526134259257</v>
      </c>
      <c r="G184" s="7">
        <v>0</v>
      </c>
      <c r="H184" s="21" t="s">
        <v>1014</v>
      </c>
      <c r="I184" s="13">
        <v>42916.53806712963</v>
      </c>
      <c r="J184" s="7">
        <v>0</v>
      </c>
      <c r="K184" s="89" t="str">
        <f t="shared" si="61"/>
        <v>4015/4016</v>
      </c>
      <c r="L184" s="21" t="str">
        <f>VLOOKUP(A184,'Trips&amp;Operators'!$C$1:$G$99999,5,FALSE)</f>
        <v>LALONDE GREGORY</v>
      </c>
      <c r="M184" s="6">
        <f t="shared" si="62"/>
        <v>1.1932870373129845E-2</v>
      </c>
      <c r="N184" s="7">
        <f t="shared" si="83"/>
        <v>17.183333337306976</v>
      </c>
      <c r="O184" s="7"/>
      <c r="P184" s="7"/>
      <c r="Q184" s="22"/>
      <c r="R184" s="170"/>
      <c r="S184" s="213">
        <f t="shared" si="75"/>
        <v>1</v>
      </c>
      <c r="T184" s="195" t="str">
        <f t="shared" si="63"/>
        <v>Southbound</v>
      </c>
      <c r="U184" s="19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6" t="str">
        <f t="shared" si="64"/>
        <v>https://d0f6bd738d7f1b3e5a7ca70fe4ff75f0.us-east-1.aws.found.io/app/kibana#/discover/Steve-Slow-Train-Analysis-(2080s-and-2083s)?_g=(refreshInterval:(display:Off,pause:!f,section:0,value:0),time:(from:'2017-06-30T11:35:40-0600',mode:absolute,to:'2017-06-30T13:54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4" s="197" t="str">
        <f>IF(AA184&lt;VLOOKUP(AG184,Variables!$AC$3:$AD$8,2,FALSE),"Y","N")</f>
        <v>N</v>
      </c>
      <c r="X184" s="197">
        <f t="shared" si="76"/>
        <v>1</v>
      </c>
      <c r="Y184" s="197">
        <f t="shared" si="77"/>
        <v>5.8663999999999996</v>
      </c>
      <c r="Z184" s="197">
        <f t="shared" si="78"/>
        <v>6.8199999999999997E-2</v>
      </c>
      <c r="AA184" s="197">
        <f t="shared" si="65"/>
        <v>5.7981999999999996</v>
      </c>
      <c r="AB184" s="54" t="e">
        <f>VLOOKUP(A184,Enforcements!$C$7:$K$13,8,0)</f>
        <v>#N/A</v>
      </c>
      <c r="AC184" s="51" t="e">
        <f>VLOOKUP(A184,Enforcements!$C$7:$E$13,3,0)</f>
        <v>#N/A</v>
      </c>
      <c r="AD184" s="206">
        <f t="shared" si="66"/>
        <v>820</v>
      </c>
      <c r="AE184" s="77" t="str">
        <f t="shared" si="67"/>
        <v>aws s3 cp s3://rtdc.mdm.uploadarchive.raw/RTDC4015/ "%USERPROFILE%\AppData\Local\Temp\OnboardLogs"\RTDC4015\2017-06-30 --exclude "*" --recursive --include "*20170630*" &amp; "%USERPROFILE%\Documents\GitHub\mrs-test-scripts\Headless Mode &amp; Sideloading\WalkAndUnGZ.bat" "%USERPROFILE%\AppData\Local\Temp\OnboardLogs"\RTDC4015\2017-06-30 &amp; aws s3 cp s3://rtdc.mdm.uploadarchive.raw/RTDC4015/ "%USERPROFILE%\AppData\Local\Temp\OnboardLogs"\RTDC4015\2017-07-01 --exclude "*" --recursive --include "*20170701*" &amp; "%USERPROFILE%\Documents\GitHub\mrs-test-scripts\Headless Mode &amp; Sideloading\WalkAndUnGZ.bat" "%USERPROFILE%\AppData\Local\Temp\OnboardLogs"\RTDC4015\2017-07-01</v>
      </c>
      <c r="AF184" s="74" t="str">
        <f t="shared" si="68"/>
        <v>"C:\Program Files (x86)\AstroGrep\AstroGrep.exe" /e /r /s /spath="%USERPROFILE%\AppData\Local\Temp\OnboardLogs" /stypes="app*4015*20170630*" /stext=" 18:.+((SYSTEM_STATE.+slice.+state.+changed )|(ment ac)|(multiple cpu faults)|(system.+state.+changed )|(\[timeout)|(PRM\|1\|D)|(kpr)|(kdp)|(train st.+moving)|(\|lc)|(penalty))"</v>
      </c>
      <c r="AG184" s="209" t="str">
        <f t="shared" si="69"/>
        <v>NW</v>
      </c>
      <c r="AH184" s="78" t="str">
        <f t="shared" si="70"/>
        <v>"%USERPROFILE%\Documents\GitHub\eaglep3\Utilities\RefineRTDCRunTimes.py" --tripid 820-30 --locoid 4015 --swversion DE.1.0.9.0 --startMP 300:58664 --initTime 2017-06-30T12:35:40 --startdatetime 2017-06-30T12:37:38 --delay 0 --endMP 204:682 --enddatetime 2017-06-30T12:54:49 --enforcementcount 0 &gt;&gt;C:\Users\stu\Documents\GitHub\eaglep3-reporting\EC\2017-06-30-refined-times.txt</v>
      </c>
      <c r="AI184" s="96" t="str">
        <f t="shared" si="71"/>
        <v>echo {"issue":{"subject":"","project_id":79,"tracker_id":40,"status_id":1,"priority_id":2,"assigned_to_id":23,"start_date":"2017-06-30","description":"","custom_fields":[{"id":1,"name":"Subdivision","value":"NW"},{"id":4,"name":"Milepost","value":"0.0682"},{"id":17,"name":"Train ID","value":"820-30"},{"id":16,"name":"Locomotive ID","value":"4015"},{"id":130,"name":"Impact","value":""},{"id":150,"name":"Time of Event (Mountain Time)","value":"12:54:49"},{"id":151,"name":"Denver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4" s="47"/>
      <c r="AL184" s="47"/>
      <c r="AM184" s="142" t="str">
        <f t="shared" si="72"/>
        <v>start /low /b %USERPROFILE%\Documents\GitHub\eaglep3\Utilities\DownloadLogsFromS3.py --loco 4015 --day 2017-06-30</v>
      </c>
      <c r="AN184" s="151" t="str">
        <f t="shared" si="73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18:54:49"},{"id":29,"name":"Sharepoint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x14ac:dyDescent="0.25">
      <c r="A185" s="32" t="s">
        <v>750</v>
      </c>
      <c r="B185" s="7">
        <v>4016</v>
      </c>
      <c r="C185" s="21" t="s">
        <v>200</v>
      </c>
      <c r="D185" s="21" t="s">
        <v>568</v>
      </c>
      <c r="E185" s="13">
        <v>42916.547349537039</v>
      </c>
      <c r="F185" s="13">
        <v>42916.556423611109</v>
      </c>
      <c r="G185" s="7">
        <v>1</v>
      </c>
      <c r="H185" s="21" t="s">
        <v>464</v>
      </c>
      <c r="I185" s="13">
        <v>42916.565844907411</v>
      </c>
      <c r="J185" s="7">
        <v>0</v>
      </c>
      <c r="K185" s="89" t="str">
        <f t="shared" si="61"/>
        <v>4015/4016</v>
      </c>
      <c r="L185" s="21" t="str">
        <f>VLOOKUP(A185,'Trips&amp;Operators'!$C$1:$G$99999,5,FALSE)</f>
        <v>DELGADO DIANAH</v>
      </c>
      <c r="M185" s="6">
        <f t="shared" si="62"/>
        <v>9.4212963012978435E-3</v>
      </c>
      <c r="N185" s="7">
        <f t="shared" si="83"/>
        <v>13.566666673868895</v>
      </c>
      <c r="O185" s="7"/>
      <c r="P185" s="7"/>
      <c r="Q185" s="22"/>
      <c r="R185" s="170"/>
      <c r="S185" s="213">
        <f t="shared" si="75"/>
        <v>1</v>
      </c>
      <c r="T185" s="195" t="str">
        <f t="shared" si="63"/>
        <v>NorthBound</v>
      </c>
      <c r="U185" s="19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6" t="str">
        <f t="shared" si="64"/>
        <v>https://d0f6bd738d7f1b3e5a7ca70fe4ff75f0.us-east-1.aws.found.io/app/kibana#/discover/Steve-Slow-Train-Analysis-(2080s-and-2083s)?_g=(refreshInterval:(display:Off,pause:!f,section:0,value:0),time:(from:'2017-06-30T12:08:11-0600',mode:absolute,to:'2017-06-30T14:34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5" s="197" t="str">
        <f>IF(AA185&lt;VLOOKUP(AG185,Variables!$AC$3:$AD$8,2,FALSE),"Y","N")</f>
        <v>N</v>
      </c>
      <c r="X185" s="197">
        <f t="shared" si="76"/>
        <v>1</v>
      </c>
      <c r="Y185" s="197">
        <f t="shared" si="77"/>
        <v>9.5699999999999993E-2</v>
      </c>
      <c r="Z185" s="197">
        <f t="shared" si="78"/>
        <v>5.8943000000000003</v>
      </c>
      <c r="AA185" s="197">
        <f t="shared" si="65"/>
        <v>5.7986000000000004</v>
      </c>
      <c r="AB185" s="54" t="e">
        <f>VLOOKUP(A185,Enforcements!$C$7:$K$13,8,0)</f>
        <v>#N/A</v>
      </c>
      <c r="AC185" s="51" t="e">
        <f>VLOOKUP(A185,Enforcements!$C$7:$E$13,3,0)</f>
        <v>#N/A</v>
      </c>
      <c r="AD185" s="206">
        <f t="shared" si="66"/>
        <v>821</v>
      </c>
      <c r="AE185" s="77" t="str">
        <f t="shared" si="67"/>
        <v>aws s3 cp s3://rtdc.mdm.uploadarchive.raw/RTDC4016/ "%USERPROFILE%\AppData\Local\Temp\OnboardLogs"\RTDC4016\2017-06-30 --exclude "*" --recursive --include "*20170630*" &amp; "%USERPROFILE%\Documents\GitHub\mrs-test-scripts\Headless Mode &amp; Sideloading\WalkAndUnGZ.bat" "%USERPROFILE%\AppData\Local\Temp\OnboardLogs"\RTDC4016\2017-06-30 &amp; aws s3 cp s3://rtdc.mdm.uploadarchive.raw/RTDC4016/ "%USERPROFILE%\AppData\Local\Temp\OnboardLogs"\RTDC4016\2017-07-01 --exclude "*" --recursive --include "*20170701*" &amp; "%USERPROFILE%\Documents\GitHub\mrs-test-scripts\Headless Mode &amp; Sideloading\WalkAndUnGZ.bat" "%USERPROFILE%\AppData\Local\Temp\OnboardLogs"\RTDC4016\2017-07-01</v>
      </c>
      <c r="AF185" s="74" t="str">
        <f t="shared" si="68"/>
        <v>"C:\Program Files (x86)\AstroGrep\AstroGrep.exe" /e /r /s /spath="%USERPROFILE%\AppData\Local\Temp\OnboardLogs" /stypes="app*4016*20170630*" /stext=" 19:.+((SYSTEM_STATE.+slice.+state.+changed )|(ment ac)|(multiple cpu faults)|(system.+state.+changed )|(\[timeout)|(PRM\|1\|D)|(kpr)|(kdp)|(train st.+moving)|(\|lc)|(penalty))"</v>
      </c>
      <c r="AG185" s="209" t="str">
        <f t="shared" si="69"/>
        <v>NW</v>
      </c>
      <c r="AH185" s="78" t="str">
        <f t="shared" si="70"/>
        <v>"%USERPROFILE%\Documents\GitHub\eaglep3\Utilities\RefineRTDCRunTimes.py" --tripid 821-30 --locoid 4016 --swversion DE.1.0.9.0 --startMP 204:957 --initTime 2017-06-30T13:08:11 --startdatetime 2017-06-30T13:21:15 --delay 1 --endMP 300:58943 --enddatetime 2017-06-30T13:34:49 --enforcementcount 0 &gt;&gt;C:\Users\stu\Documents\GitHub\eaglep3-reporting\EC\2017-06-30-refined-times.txt</v>
      </c>
      <c r="AI185" s="96" t="str">
        <f t="shared" si="71"/>
        <v>echo {"issue":{"subject":"","project_id":79,"tracker_id":40,"status_id":1,"priority_id":2,"assigned_to_id":23,"start_date":"2017-06-30","description":"","custom_fields":[{"id":1,"name":"Subdivision","value":"NW"},{"id":4,"name":"Milepost","value":"5.8943"},{"id":17,"name":"Train ID","value":"821-30"},{"id":16,"name":"Locomotive ID","value":"4016"},{"id":130,"name":"Impact","value":""},{"id":150,"name":"Time of Event (Mountain Time)","value":"13:34:49"},{"id":151,"name":"Denver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7"/>
      <c r="AL185" s="47"/>
      <c r="AM185" s="142" t="str">
        <f t="shared" si="72"/>
        <v>start /low /b %USERPROFILE%\Documents\GitHub\eaglep3\Utilities\DownloadLogsFromS3.py --loco 4016 --day 2017-06-30</v>
      </c>
      <c r="AN185" s="151" t="str">
        <f t="shared" si="73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19:34:49"},{"id":29,"name":"Sharepoint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</row>
    <row r="186" spans="1:91" x14ac:dyDescent="0.25">
      <c r="A186" s="32" t="s">
        <v>755</v>
      </c>
      <c r="B186" s="7">
        <v>4015</v>
      </c>
      <c r="C186" s="21" t="s">
        <v>200</v>
      </c>
      <c r="D186" s="21" t="s">
        <v>484</v>
      </c>
      <c r="E186" s="13">
        <v>42916.56689814815</v>
      </c>
      <c r="F186" s="13">
        <v>42916.56890046296</v>
      </c>
      <c r="G186" s="7">
        <v>1</v>
      </c>
      <c r="H186" s="21" t="s">
        <v>1014</v>
      </c>
      <c r="I186" s="13">
        <v>42916.579467592594</v>
      </c>
      <c r="J186" s="7">
        <v>0</v>
      </c>
      <c r="K186" s="89" t="str">
        <f t="shared" si="61"/>
        <v>4015/4016</v>
      </c>
      <c r="L186" s="21" t="str">
        <f>VLOOKUP(A186,'Trips&amp;Operators'!$C$1:$G$99999,5,FALSE)</f>
        <v>DELGADO DIANAH</v>
      </c>
      <c r="M186" s="6">
        <f t="shared" si="62"/>
        <v>1.0567129633272998E-2</v>
      </c>
      <c r="N186" s="7">
        <f t="shared" si="83"/>
        <v>15.216666671913117</v>
      </c>
      <c r="O186" s="7"/>
      <c r="P186" s="7"/>
      <c r="Q186" s="22"/>
      <c r="R186" s="170"/>
      <c r="S186" s="213">
        <f t="shared" si="75"/>
        <v>1</v>
      </c>
      <c r="T186" s="195" t="str">
        <f t="shared" si="63"/>
        <v>Southbound</v>
      </c>
      <c r="U186" s="19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6" t="str">
        <f t="shared" si="64"/>
        <v>https://d0f6bd738d7f1b3e5a7ca70fe4ff75f0.us-east-1.aws.found.io/app/kibana#/discover/Steve-Slow-Train-Analysis-(2080s-and-2083s)?_g=(refreshInterval:(display:Off,pause:!f,section:0,value:0),time:(from:'2017-06-30T12:36:20-0600',mode:absolute,to:'2017-06-30T14:54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6" s="197" t="str">
        <f>IF(AA186&lt;VLOOKUP(AG186,Variables!$AC$3:$AD$8,2,FALSE),"Y","N")</f>
        <v>N</v>
      </c>
      <c r="X186" s="197">
        <f t="shared" si="76"/>
        <v>1</v>
      </c>
      <c r="Y186" s="197">
        <f t="shared" si="77"/>
        <v>5.8632</v>
      </c>
      <c r="Z186" s="197">
        <f t="shared" si="78"/>
        <v>6.8199999999999997E-2</v>
      </c>
      <c r="AA186" s="197">
        <f t="shared" si="65"/>
        <v>5.7949999999999999</v>
      </c>
      <c r="AB186" s="54" t="e">
        <f>VLOOKUP(A186,Enforcements!$C$7:$K$13,8,0)</f>
        <v>#N/A</v>
      </c>
      <c r="AC186" s="51" t="e">
        <f>VLOOKUP(A186,Enforcements!$C$7:$E$13,3,0)</f>
        <v>#N/A</v>
      </c>
      <c r="AD186" s="206">
        <f t="shared" si="66"/>
        <v>822</v>
      </c>
      <c r="AE186" s="77" t="str">
        <f t="shared" si="67"/>
        <v>aws s3 cp s3://rtdc.mdm.uploadarchive.raw/RTDC4015/ "%USERPROFILE%\AppData\Local\Temp\OnboardLogs"\RTDC4015\2017-06-30 --exclude "*" --recursive --include "*20170630*" &amp; "%USERPROFILE%\Documents\GitHub\mrs-test-scripts\Headless Mode &amp; Sideloading\WalkAndUnGZ.bat" "%USERPROFILE%\AppData\Local\Temp\OnboardLogs"\RTDC4015\2017-06-30 &amp; aws s3 cp s3://rtdc.mdm.uploadarchive.raw/RTDC4015/ "%USERPROFILE%\AppData\Local\Temp\OnboardLogs"\RTDC4015\2017-07-01 --exclude "*" --recursive --include "*20170701*" &amp; "%USERPROFILE%\Documents\GitHub\mrs-test-scripts\Headless Mode &amp; Sideloading\WalkAndUnGZ.bat" "%USERPROFILE%\AppData\Local\Temp\OnboardLogs"\RTDC4015\2017-07-01</v>
      </c>
      <c r="AF186" s="74" t="str">
        <f t="shared" si="68"/>
        <v>"C:\Program Files (x86)\AstroGrep\AstroGrep.exe" /e /r /s /spath="%USERPROFILE%\AppData\Local\Temp\OnboardLogs" /stypes="app*4015*20170630*" /stext=" 19:.+((SYSTEM_STATE.+slice.+state.+changed )|(ment ac)|(multiple cpu faults)|(system.+state.+changed )|(\[timeout)|(PRM\|1\|D)|(kpr)|(kdp)|(train st.+moving)|(\|lc)|(penalty))"</v>
      </c>
      <c r="AG186" s="209" t="str">
        <f t="shared" si="69"/>
        <v>NW</v>
      </c>
      <c r="AH186" s="78" t="str">
        <f t="shared" si="70"/>
        <v>"%USERPROFILE%\Documents\GitHub\eaglep3\Utilities\RefineRTDCRunTimes.py" --tripid 822-30 --locoid 4015 --swversion DE.1.0.9.0 --startMP 300:58632 --initTime 2017-06-30T13:36:20 --startdatetime 2017-06-30T13:39:13 --delay 1 --endMP 204:682 --enddatetime 2017-06-30T13:54:26 --enforcementcount 0 &gt;&gt;C:\Users\stu\Documents\GitHub\eaglep3-reporting\EC\2017-06-30-refined-times.txt</v>
      </c>
      <c r="AI186" s="96" t="str">
        <f t="shared" si="71"/>
        <v>echo {"issue":{"subject":"","project_id":79,"tracker_id":40,"status_id":1,"priority_id":2,"assigned_to_id":23,"start_date":"2017-06-30","description":"","custom_fields":[{"id":1,"name":"Subdivision","value":"NW"},{"id":4,"name":"Milepost","value":"0.0682"},{"id":17,"name":"Train ID","value":"822-30"},{"id":16,"name":"Locomotive ID","value":"4015"},{"id":130,"name":"Impact","value":""},{"id":150,"name":"Time of Event (Mountain Time)","value":"13:54:26"},{"id":151,"name":"Denver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7"/>
      <c r="AL186" s="47"/>
      <c r="AM186" s="142" t="str">
        <f t="shared" si="72"/>
        <v>start /low /b %USERPROFILE%\Documents\GitHub\eaglep3\Utilities\DownloadLogsFromS3.py --loco 4015 --day 2017-06-30</v>
      </c>
      <c r="AN186" s="151" t="str">
        <f t="shared" si="73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19:54:26"},{"id":29,"name":"Sharepoint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</row>
    <row r="187" spans="1:91" x14ac:dyDescent="0.25">
      <c r="A187" s="32" t="s">
        <v>610</v>
      </c>
      <c r="B187" s="7">
        <v>4016</v>
      </c>
      <c r="C187" s="21" t="s">
        <v>200</v>
      </c>
      <c r="D187" s="21" t="s">
        <v>1015</v>
      </c>
      <c r="E187" s="13">
        <v>42916.58766203704</v>
      </c>
      <c r="F187" s="13">
        <v>42916.598078703704</v>
      </c>
      <c r="G187" s="7">
        <v>1</v>
      </c>
      <c r="H187" s="21" t="s">
        <v>464</v>
      </c>
      <c r="I187" s="13">
        <v>42916.608043981483</v>
      </c>
      <c r="J187" s="7">
        <v>0</v>
      </c>
      <c r="K187" s="89" t="str">
        <f t="shared" si="61"/>
        <v>4015/4016</v>
      </c>
      <c r="L187" s="21" t="str">
        <f>VLOOKUP(A187,'Trips&amp;Operators'!$C$1:$G$99999,5,FALSE)</f>
        <v>DELGADO DIANAH</v>
      </c>
      <c r="M187" s="6">
        <f t="shared" si="62"/>
        <v>9.9652777789742686E-3</v>
      </c>
      <c r="N187" s="7">
        <f t="shared" si="83"/>
        <v>14.350000001722947</v>
      </c>
      <c r="O187" s="7"/>
      <c r="P187" s="7"/>
      <c r="Q187" s="22"/>
      <c r="R187" s="170"/>
      <c r="S187" s="213">
        <f t="shared" si="75"/>
        <v>1</v>
      </c>
      <c r="T187" s="195" t="str">
        <f t="shared" si="63"/>
        <v>NorthBound</v>
      </c>
      <c r="U187" s="19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6" t="str">
        <f t="shared" si="64"/>
        <v>https://d0f6bd738d7f1b3e5a7ca70fe4ff75f0.us-east-1.aws.found.io/app/kibana#/discover/Steve-Slow-Train-Analysis-(2080s-and-2083s)?_g=(refreshInterval:(display:Off,pause:!f,section:0,value:0),time:(from:'2017-06-30T13:06:14-0600',mode:absolute,to:'2017-06-30T15:35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7" s="197" t="str">
        <f>IF(AA187&lt;VLOOKUP(AG187,Variables!$AC$3:$AD$8,2,FALSE),"Y","N")</f>
        <v>N</v>
      </c>
      <c r="X187" s="197">
        <f t="shared" si="76"/>
        <v>1</v>
      </c>
      <c r="Y187" s="197">
        <f t="shared" si="77"/>
        <v>9.6000000000000002E-2</v>
      </c>
      <c r="Z187" s="197">
        <f t="shared" si="78"/>
        <v>5.8943000000000003</v>
      </c>
      <c r="AA187" s="197">
        <f t="shared" si="65"/>
        <v>5.7983000000000002</v>
      </c>
      <c r="AB187" s="54" t="e">
        <f>VLOOKUP(A187,Enforcements!$C$7:$K$13,8,0)</f>
        <v>#N/A</v>
      </c>
      <c r="AC187" s="51" t="e">
        <f>VLOOKUP(A187,Enforcements!$C$7:$E$13,3,0)</f>
        <v>#N/A</v>
      </c>
      <c r="AD187" s="206">
        <f t="shared" si="66"/>
        <v>823</v>
      </c>
      <c r="AE187" s="77" t="str">
        <f t="shared" si="67"/>
        <v>aws s3 cp s3://rtdc.mdm.uploadarchive.raw/RTDC4016/ "%USERPROFILE%\AppData\Local\Temp\OnboardLogs"\RTDC4016\2017-06-30 --exclude "*" --recursive --include "*20170630*" &amp; "%USERPROFILE%\Documents\GitHub\mrs-test-scripts\Headless Mode &amp; Sideloading\WalkAndUnGZ.bat" "%USERPROFILE%\AppData\Local\Temp\OnboardLogs"\RTDC4016\2017-06-30 &amp; aws s3 cp s3://rtdc.mdm.uploadarchive.raw/RTDC4016/ "%USERPROFILE%\AppData\Local\Temp\OnboardLogs"\RTDC4016\2017-07-01 --exclude "*" --recursive --include "*20170701*" &amp; "%USERPROFILE%\Documents\GitHub\mrs-test-scripts\Headless Mode &amp; Sideloading\WalkAndUnGZ.bat" "%USERPROFILE%\AppData\Local\Temp\OnboardLogs"\RTDC4016\2017-07-01</v>
      </c>
      <c r="AF187" s="74" t="str">
        <f t="shared" si="68"/>
        <v>"C:\Program Files (x86)\AstroGrep\AstroGrep.exe" /e /r /s /spath="%USERPROFILE%\AppData\Local\Temp\OnboardLogs" /stypes="app*4016*20170630*" /stext=" 20:.+((SYSTEM_STATE.+slice.+state.+changed )|(ment ac)|(multiple cpu faults)|(system.+state.+changed )|(\[timeout)|(PRM\|1\|D)|(kpr)|(kdp)|(train st.+moving)|(\|lc)|(penalty))"</v>
      </c>
      <c r="AG187" s="209" t="str">
        <f t="shared" si="69"/>
        <v>NW</v>
      </c>
      <c r="AH187" s="78" t="str">
        <f t="shared" si="70"/>
        <v>"%USERPROFILE%\Documents\GitHub\eaglep3\Utilities\RefineRTDCRunTimes.py" --tripid 823-30 --locoid 4016 --swversion DE.1.0.9.0 --startMP 204:960 --initTime 2017-06-30T14:06:14 --startdatetime 2017-06-30T14:21:14 --delay 1 --endMP 300:58943 --enddatetime 2017-06-30T14:35:35 --enforcementcount 0 &gt;&gt;C:\Users\stu\Documents\GitHub\eaglep3-reporting\EC\2017-06-30-refined-times.txt</v>
      </c>
      <c r="AI187" s="96" t="str">
        <f t="shared" si="71"/>
        <v>echo {"issue":{"subject":"","project_id":79,"tracker_id":40,"status_id":1,"priority_id":2,"assigned_to_id":23,"start_date":"2017-06-30","description":"","custom_fields":[{"id":1,"name":"Subdivision","value":"NW"},{"id":4,"name":"Milepost","value":"5.8943"},{"id":17,"name":"Train ID","value":"823-30"},{"id":16,"name":"Locomotive ID","value":"4016"},{"id":130,"name":"Impact","value":""},{"id":150,"name":"Time of Event (Mountain Time)","value":"14:35:35"},{"id":151,"name":"Denver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2" t="str">
        <f t="shared" si="72"/>
        <v>start /low /b %USERPROFILE%\Documents\GitHub\eaglep3\Utilities\DownloadLogsFromS3.py --loco 4016 --day 2017-06-30</v>
      </c>
      <c r="AN187" s="151" t="str">
        <f t="shared" si="73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20:35:35"},{"id":29,"name":"Sharepoint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/>
    </row>
    <row r="188" spans="1:91" x14ac:dyDescent="0.25">
      <c r="A188" s="32" t="s">
        <v>612</v>
      </c>
      <c r="B188" s="7">
        <v>4015</v>
      </c>
      <c r="C188" s="21" t="s">
        <v>200</v>
      </c>
      <c r="D188" s="21" t="s">
        <v>448</v>
      </c>
      <c r="E188" s="13">
        <v>42916.609085648146</v>
      </c>
      <c r="F188" s="13">
        <v>42916.610868055555</v>
      </c>
      <c r="G188" s="7">
        <v>1</v>
      </c>
      <c r="H188" s="21" t="s">
        <v>1016</v>
      </c>
      <c r="I188" s="13">
        <v>42916.621122685188</v>
      </c>
      <c r="J188" s="7">
        <v>0</v>
      </c>
      <c r="K188" s="89" t="str">
        <f t="shared" si="61"/>
        <v>4015/4016</v>
      </c>
      <c r="L188" s="21" t="str">
        <f>VLOOKUP(A188,'Trips&amp;Operators'!$C$1:$G$99999,5,FALSE)</f>
        <v>DELGADO DIANAH</v>
      </c>
      <c r="M188" s="6">
        <f t="shared" si="62"/>
        <v>1.025462963298196E-2</v>
      </c>
      <c r="N188" s="7">
        <f t="shared" si="83"/>
        <v>14.766666671494022</v>
      </c>
      <c r="O188" s="7"/>
      <c r="P188" s="7"/>
      <c r="Q188" s="22"/>
      <c r="R188" s="170"/>
      <c r="S188" s="213">
        <f t="shared" si="75"/>
        <v>1</v>
      </c>
      <c r="T188" s="195" t="str">
        <f t="shared" si="63"/>
        <v>Southbound</v>
      </c>
      <c r="U188" s="19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6" t="str">
        <f t="shared" si="64"/>
        <v>https://d0f6bd738d7f1b3e5a7ca70fe4ff75f0.us-east-1.aws.found.io/app/kibana#/discover/Steve-Slow-Train-Analysis-(2080s-and-2083s)?_g=(refreshInterval:(display:Off,pause:!f,section:0,value:0),time:(from:'2017-06-30T13:37:05-0600',mode:absolute,to:'2017-06-30T15:54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8" s="197" t="str">
        <f>IF(AA188&lt;VLOOKUP(AG188,Variables!$AC$3:$AD$8,2,FALSE),"Y","N")</f>
        <v>N</v>
      </c>
      <c r="X188" s="197">
        <f t="shared" si="76"/>
        <v>1</v>
      </c>
      <c r="Y188" s="197">
        <f t="shared" si="77"/>
        <v>5.8634000000000004</v>
      </c>
      <c r="Z188" s="197">
        <f t="shared" si="78"/>
        <v>6.7699999999999996E-2</v>
      </c>
      <c r="AA188" s="197">
        <f t="shared" si="65"/>
        <v>5.7957000000000001</v>
      </c>
      <c r="AB188" s="54" t="e">
        <f>VLOOKUP(A188,Enforcements!$C$7:$K$13,8,0)</f>
        <v>#N/A</v>
      </c>
      <c r="AC188" s="51" t="e">
        <f>VLOOKUP(A188,Enforcements!$C$7:$E$13,3,0)</f>
        <v>#N/A</v>
      </c>
      <c r="AD188" s="206">
        <f t="shared" si="66"/>
        <v>824</v>
      </c>
      <c r="AE188" s="77" t="str">
        <f t="shared" si="67"/>
        <v>aws s3 cp s3://rtdc.mdm.uploadarchive.raw/RTDC4015/ "%USERPROFILE%\AppData\Local\Temp\OnboardLogs"\RTDC4015\2017-06-30 --exclude "*" --recursive --include "*20170630*" &amp; "%USERPROFILE%\Documents\GitHub\mrs-test-scripts\Headless Mode &amp; Sideloading\WalkAndUnGZ.bat" "%USERPROFILE%\AppData\Local\Temp\OnboardLogs"\RTDC4015\2017-06-30 &amp; aws s3 cp s3://rtdc.mdm.uploadarchive.raw/RTDC4015/ "%USERPROFILE%\AppData\Local\Temp\OnboardLogs"\RTDC4015\2017-07-01 --exclude "*" --recursive --include "*20170701*" &amp; "%USERPROFILE%\Documents\GitHub\mrs-test-scripts\Headless Mode &amp; Sideloading\WalkAndUnGZ.bat" "%USERPROFILE%\AppData\Local\Temp\OnboardLogs"\RTDC4015\2017-07-01</v>
      </c>
      <c r="AF188" s="74" t="str">
        <f t="shared" si="68"/>
        <v>"C:\Program Files (x86)\AstroGrep\AstroGrep.exe" /e /r /s /spath="%USERPROFILE%\AppData\Local\Temp\OnboardLogs" /stypes="app*4015*20170630*" /stext=" 20:.+((SYSTEM_STATE.+slice.+state.+changed )|(ment ac)|(multiple cpu faults)|(system.+state.+changed )|(\[timeout)|(PRM\|1\|D)|(kpr)|(kdp)|(train st.+moving)|(\|lc)|(penalty))"</v>
      </c>
      <c r="AG188" s="209" t="str">
        <f t="shared" si="69"/>
        <v>NW</v>
      </c>
      <c r="AH188" s="78" t="str">
        <f t="shared" si="70"/>
        <v>"%USERPROFILE%\Documents\GitHub\eaglep3\Utilities\RefineRTDCRunTimes.py" --tripid 824-30 --locoid 4015 --swversion DE.1.0.9.0 --startMP 300:58634 --initTime 2017-06-30T14:37:05 --startdatetime 2017-06-30T14:39:39 --delay 1 --endMP 204:677 --enddatetime 2017-06-30T14:54:25 --enforcementcount 0 &gt;&gt;C:\Users\stu\Documents\GitHub\eaglep3-reporting\EC\2017-06-30-refined-times.txt</v>
      </c>
      <c r="AI188" s="96" t="str">
        <f t="shared" si="71"/>
        <v>echo {"issue":{"subject":"","project_id":79,"tracker_id":40,"status_id":1,"priority_id":2,"assigned_to_id":23,"start_date":"2017-06-30","description":"","custom_fields":[{"id":1,"name":"Subdivision","value":"NW"},{"id":4,"name":"Milepost","value":"0.0677"},{"id":17,"name":"Train ID","value":"824-30"},{"id":16,"name":"Locomotive ID","value":"4015"},{"id":130,"name":"Impact","value":""},{"id":150,"name":"Time of Event (Mountain Time)","value":"14:54:25"},{"id":151,"name":"Denver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2" t="str">
        <f t="shared" si="72"/>
        <v>start /low /b %USERPROFILE%\Documents\GitHub\eaglep3\Utilities\DownloadLogsFromS3.py --loco 4015 --day 2017-06-30</v>
      </c>
      <c r="AN188" s="151" t="str">
        <f t="shared" si="73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20:54:25"},{"id":29,"name":"Sharepoint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/>
    </row>
    <row r="189" spans="1:91" s="20" customFormat="1" x14ac:dyDescent="0.25">
      <c r="A189" s="32" t="s">
        <v>765</v>
      </c>
      <c r="B189" s="7">
        <v>4016</v>
      </c>
      <c r="C189" s="21" t="s">
        <v>200</v>
      </c>
      <c r="D189" s="21" t="s">
        <v>1017</v>
      </c>
      <c r="E189" s="13">
        <v>42916.622881944444</v>
      </c>
      <c r="F189" s="13">
        <v>42916.639918981484</v>
      </c>
      <c r="G189" s="7">
        <v>1</v>
      </c>
      <c r="H189" s="21" t="s">
        <v>483</v>
      </c>
      <c r="I189" s="13">
        <v>42916.650196759256</v>
      </c>
      <c r="J189" s="7">
        <v>0</v>
      </c>
      <c r="K189" s="89" t="str">
        <f t="shared" si="61"/>
        <v>4015/4016</v>
      </c>
      <c r="L189" s="21" t="str">
        <f>VLOOKUP(A189,'Trips&amp;Operators'!$C$1:$G$99999,5,FALSE)</f>
        <v>DELGADO DIANAH</v>
      </c>
      <c r="M189" s="6">
        <f t="shared" si="62"/>
        <v>1.0277777771989349E-2</v>
      </c>
      <c r="N189" s="7">
        <f t="shared" si="83"/>
        <v>14.799999991664663</v>
      </c>
      <c r="O189" s="7"/>
      <c r="P189" s="7"/>
      <c r="Q189" s="22"/>
      <c r="R189" s="170"/>
      <c r="S189" s="213">
        <f t="shared" si="75"/>
        <v>1</v>
      </c>
      <c r="T189" s="195" t="str">
        <f t="shared" si="63"/>
        <v>NorthBound</v>
      </c>
      <c r="U189" s="19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6" t="str">
        <f t="shared" si="64"/>
        <v>https://d0f6bd738d7f1b3e5a7ca70fe4ff75f0.us-east-1.aws.found.io/app/kibana#/discover/Steve-Slow-Train-Analysis-(2080s-and-2083s)?_g=(refreshInterval:(display:Off,pause:!f,section:0,value:0),time:(from:'2017-06-30T13:56:57-0600',mode:absolute,to:'2017-06-30T16:36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9" s="197" t="str">
        <f>IF(AA189&lt;VLOOKUP(AG189,Variables!$AC$3:$AD$8,2,FALSE),"Y","N")</f>
        <v>N</v>
      </c>
      <c r="X189" s="197">
        <f t="shared" si="76"/>
        <v>1</v>
      </c>
      <c r="Y189" s="197">
        <f t="shared" si="77"/>
        <v>9.5299999999999996E-2</v>
      </c>
      <c r="Z189" s="197">
        <f t="shared" si="78"/>
        <v>5.8945999999999996</v>
      </c>
      <c r="AA189" s="197">
        <f t="shared" si="65"/>
        <v>5.7992999999999997</v>
      </c>
      <c r="AB189" s="54" t="e">
        <f>VLOOKUP(A189,Enforcements!$C$7:$K$13,8,0)</f>
        <v>#N/A</v>
      </c>
      <c r="AC189" s="51" t="e">
        <f>VLOOKUP(A189,Enforcements!$C$7:$E$13,3,0)</f>
        <v>#N/A</v>
      </c>
      <c r="AD189" s="206">
        <f t="shared" si="66"/>
        <v>825</v>
      </c>
      <c r="AE189" s="77" t="str">
        <f t="shared" si="67"/>
        <v>aws s3 cp s3://rtdc.mdm.uploadarchive.raw/RTDC4016/ "%USERPROFILE%\AppData\Local\Temp\OnboardLogs"\RTDC4016\2017-06-30 --exclude "*" --recursive --include "*20170630*" &amp; "%USERPROFILE%\Documents\GitHub\mrs-test-scripts\Headless Mode &amp; Sideloading\WalkAndUnGZ.bat" "%USERPROFILE%\AppData\Local\Temp\OnboardLogs"\RTDC4016\2017-06-30 &amp; aws s3 cp s3://rtdc.mdm.uploadarchive.raw/RTDC4016/ "%USERPROFILE%\AppData\Local\Temp\OnboardLogs"\RTDC4016\2017-07-01 --exclude "*" --recursive --include "*20170701*" &amp; "%USERPROFILE%\Documents\GitHub\mrs-test-scripts\Headless Mode &amp; Sideloading\WalkAndUnGZ.bat" "%USERPROFILE%\AppData\Local\Temp\OnboardLogs"\RTDC4016\2017-07-01</v>
      </c>
      <c r="AF189" s="74" t="str">
        <f t="shared" si="68"/>
        <v>"C:\Program Files (x86)\AstroGrep\AstroGrep.exe" /e /r /s /spath="%USERPROFILE%\AppData\Local\Temp\OnboardLogs" /stypes="app*4016*20170630*" /stext=" 21:.+((SYSTEM_STATE.+slice.+state.+changed )|(ment ac)|(multiple cpu faults)|(system.+state.+changed )|(\[timeout)|(PRM\|1\|D)|(kpr)|(kdp)|(train st.+moving)|(\|lc)|(penalty))"</v>
      </c>
      <c r="AG189" s="209" t="str">
        <f t="shared" si="69"/>
        <v>NW</v>
      </c>
      <c r="AH189" s="78" t="str">
        <f t="shared" si="70"/>
        <v>"%USERPROFILE%\Documents\GitHub\eaglep3\Utilities\RefineRTDCRunTimes.py" --tripid 825-30 --locoid 4016 --swversion DE.1.0.9.0 --startMP 204:953 --initTime 2017-06-30T14:56:57 --startdatetime 2017-06-30T15:21:29 --delay 1 --endMP 300:58946 --enddatetime 2017-06-30T15:36:17 --enforcementcount 0 &gt;&gt;C:\Users\stu\Documents\GitHub\eaglep3-reporting\EC\2017-06-30-refined-times.txt</v>
      </c>
      <c r="AI189" s="96" t="str">
        <f t="shared" si="71"/>
        <v>echo {"issue":{"subject":"","project_id":79,"tracker_id":40,"status_id":1,"priority_id":2,"assigned_to_id":23,"start_date":"2017-06-30","description":"","custom_fields":[{"id":1,"name":"Subdivision","value":"NW"},{"id":4,"name":"Milepost","value":"5.8946"},{"id":17,"name":"Train ID","value":"825-30"},{"id":16,"name":"Locomotive ID","value":"4016"},{"id":130,"name":"Impact","value":""},{"id":150,"name":"Time of Event (Mountain Time)","value":"15:36:17"},{"id":151,"name":"Denver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9" s="47"/>
      <c r="AL189" s="47"/>
      <c r="AM189" s="142" t="str">
        <f t="shared" si="72"/>
        <v>start /low /b %USERPROFILE%\Documents\GitHub\eaglep3\Utilities\DownloadLogsFromS3.py --loco 4016 --day 2017-06-30</v>
      </c>
      <c r="AN189" s="151" t="str">
        <f t="shared" si="73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21:36:17"},{"id":29,"name":"Sharepoint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x14ac:dyDescent="0.25">
      <c r="A190" s="32" t="s">
        <v>770</v>
      </c>
      <c r="B190" s="7">
        <v>4015</v>
      </c>
      <c r="C190" s="21" t="s">
        <v>200</v>
      </c>
      <c r="D190" s="21" t="s">
        <v>577</v>
      </c>
      <c r="E190" s="13">
        <v>42916.651458333334</v>
      </c>
      <c r="F190" s="13">
        <v>42916.652986111112</v>
      </c>
      <c r="G190" s="7">
        <v>1</v>
      </c>
      <c r="H190" s="21" t="s">
        <v>455</v>
      </c>
      <c r="I190" s="13">
        <v>42916.663356481484</v>
      </c>
      <c r="J190" s="7">
        <v>0</v>
      </c>
      <c r="K190" s="89" t="str">
        <f t="shared" si="61"/>
        <v>4015/4016</v>
      </c>
      <c r="L190" s="21" t="str">
        <f>VLOOKUP(A190,'Trips&amp;Operators'!$C$1:$G$99999,5,FALSE)</f>
        <v>DELGADO DIANAH</v>
      </c>
      <c r="M190" s="6">
        <f t="shared" si="62"/>
        <v>1.0370370371674653E-2</v>
      </c>
      <c r="N190" s="7">
        <f t="shared" si="83"/>
        <v>14.933333335211501</v>
      </c>
      <c r="O190" s="7"/>
      <c r="P190" s="7"/>
      <c r="Q190" s="22"/>
      <c r="R190" s="170"/>
      <c r="S190" s="213">
        <f t="shared" ref="S190:S221" si="84">SUM(U190:U190)/IF(AG190="EC",12,1)</f>
        <v>1</v>
      </c>
      <c r="T190" s="195" t="str">
        <f t="shared" si="63"/>
        <v>Southbound</v>
      </c>
      <c r="U190" s="19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6" t="str">
        <f t="shared" si="64"/>
        <v>https://d0f6bd738d7f1b3e5a7ca70fe4ff75f0.us-east-1.aws.found.io/app/kibana#/discover/Steve-Slow-Train-Analysis-(2080s-and-2083s)?_g=(refreshInterval:(display:Off,pause:!f,section:0,value:0),time:(from:'2017-06-30T14:38:06-0600',mode:absolute,to:'2017-06-30T16:55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0" s="197" t="str">
        <f>IF(AA190&lt;VLOOKUP(AG190,Variables!$AC$3:$AD$8,2,FALSE),"Y","N")</f>
        <v>N</v>
      </c>
      <c r="X190" s="197">
        <f t="shared" si="76"/>
        <v>1</v>
      </c>
      <c r="Y190" s="197">
        <f t="shared" si="77"/>
        <v>5.8625999999999996</v>
      </c>
      <c r="Z190" s="197">
        <f t="shared" si="78"/>
        <v>6.8699999999999997E-2</v>
      </c>
      <c r="AA190" s="197">
        <f t="shared" si="65"/>
        <v>5.7938999999999998</v>
      </c>
      <c r="AB190" s="54" t="e">
        <f>VLOOKUP(A190,Enforcements!$C$7:$K$13,8,0)</f>
        <v>#N/A</v>
      </c>
      <c r="AC190" s="51" t="e">
        <f>VLOOKUP(A190,Enforcements!$C$7:$E$13,3,0)</f>
        <v>#N/A</v>
      </c>
      <c r="AD190" s="206">
        <f t="shared" si="66"/>
        <v>826</v>
      </c>
      <c r="AE190" s="77" t="str">
        <f t="shared" si="67"/>
        <v>aws s3 cp s3://rtdc.mdm.uploadarchive.raw/RTDC4015/ "%USERPROFILE%\AppData\Local\Temp\OnboardLogs"\RTDC4015\2017-06-30 --exclude "*" --recursive --include "*20170630*" &amp; "%USERPROFILE%\Documents\GitHub\mrs-test-scripts\Headless Mode &amp; Sideloading\WalkAndUnGZ.bat" "%USERPROFILE%\AppData\Local\Temp\OnboardLogs"\RTDC4015\2017-06-30 &amp; aws s3 cp s3://rtdc.mdm.uploadarchive.raw/RTDC4015/ "%USERPROFILE%\AppData\Local\Temp\OnboardLogs"\RTDC4015\2017-07-01 --exclude "*" --recursive --include "*20170701*" &amp; "%USERPROFILE%\Documents\GitHub\mrs-test-scripts\Headless Mode &amp; Sideloading\WalkAndUnGZ.bat" "%USERPROFILE%\AppData\Local\Temp\OnboardLogs"\RTDC4015\2017-07-01</v>
      </c>
      <c r="AF190" s="74" t="str">
        <f t="shared" si="68"/>
        <v>"C:\Program Files (x86)\AstroGrep\AstroGrep.exe" /e /r /s /spath="%USERPROFILE%\AppData\Local\Temp\OnboardLogs" /stypes="app*4015*20170630*" /stext=" 21:.+((SYSTEM_STATE.+slice.+state.+changed )|(ment ac)|(multiple cpu faults)|(system.+state.+changed )|(\[timeout)|(PRM\|1\|D)|(kpr)|(kdp)|(train st.+moving)|(\|lc)|(penalty))"</v>
      </c>
      <c r="AG190" s="209" t="str">
        <f t="shared" si="69"/>
        <v>NW</v>
      </c>
      <c r="AH190" s="78" t="str">
        <f t="shared" si="70"/>
        <v>"%USERPROFILE%\Documents\GitHub\eaglep3\Utilities\RefineRTDCRunTimes.py" --tripid 826-30 --locoid 4015 --swversion DE.1.0.9.0 --startMP 300:58626 --initTime 2017-06-30T15:38:06 --startdatetime 2017-06-30T15:40:18 --delay 1 --endMP 204:687 --enddatetime 2017-06-30T15:55:14 --enforcementcount 0 &gt;&gt;C:\Users\stu\Documents\GitHub\eaglep3-reporting\EC\2017-06-30-refined-times.txt</v>
      </c>
      <c r="AI190" s="96" t="str">
        <f t="shared" si="71"/>
        <v>echo {"issue":{"subject":"","project_id":79,"tracker_id":40,"status_id":1,"priority_id":2,"assigned_to_id":23,"start_date":"2017-06-30","description":"","custom_fields":[{"id":1,"name":"Subdivision","value":"NW"},{"id":4,"name":"Milepost","value":"0.0687"},{"id":17,"name":"Train ID","value":"826-30"},{"id":16,"name":"Locomotive ID","value":"4015"},{"id":130,"name":"Impact","value":""},{"id":150,"name":"Time of Event (Mountain Time)","value":"15:55:14"},{"id":151,"name":"Denver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2" t="str">
        <f t="shared" si="72"/>
        <v>start /low /b %USERPROFILE%\Documents\GitHub\eaglep3\Utilities\DownloadLogsFromS3.py --loco 4015 --day 2017-06-30</v>
      </c>
      <c r="AN190" s="151" t="str">
        <f t="shared" si="73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21:55:14"},{"id":29,"name":"Sharepoint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/>
    </row>
    <row r="191" spans="1:91" x14ac:dyDescent="0.25">
      <c r="A191" s="32" t="s">
        <v>772</v>
      </c>
      <c r="B191" s="7">
        <v>4058</v>
      </c>
      <c r="C191" s="21" t="s">
        <v>200</v>
      </c>
      <c r="D191" s="21" t="s">
        <v>512</v>
      </c>
      <c r="E191" s="13">
        <v>42916.643506944441</v>
      </c>
      <c r="F191" s="13">
        <v>42916.660787037035</v>
      </c>
      <c r="G191" s="7">
        <v>22</v>
      </c>
      <c r="H191" s="21" t="s">
        <v>1018</v>
      </c>
      <c r="I191" s="13">
        <v>42916.669421296298</v>
      </c>
      <c r="J191" s="7">
        <v>0</v>
      </c>
      <c r="K191" s="89" t="str">
        <f t="shared" si="61"/>
        <v>4057/4058</v>
      </c>
      <c r="L191" s="21" t="str">
        <f>VLOOKUP(A191,'Trips&amp;Operators'!$C$1:$G$99999,5,FALSE)</f>
        <v>YORK EDGAR</v>
      </c>
      <c r="M191" s="6">
        <f t="shared" si="62"/>
        <v>8.6342592621804215E-3</v>
      </c>
      <c r="N191" s="7">
        <f t="shared" si="83"/>
        <v>12.433333337539807</v>
      </c>
      <c r="O191" s="7"/>
      <c r="P191" s="7"/>
      <c r="Q191" s="22"/>
      <c r="R191" s="170"/>
      <c r="S191" s="213">
        <f t="shared" si="84"/>
        <v>1</v>
      </c>
      <c r="T191" s="195" t="str">
        <f t="shared" si="63"/>
        <v>NorthBound</v>
      </c>
      <c r="U191" s="19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6" t="str">
        <f t="shared" si="64"/>
        <v>https://d0f6bd738d7f1b3e5a7ca70fe4ff75f0.us-east-1.aws.found.io/app/kibana#/discover/Steve-Slow-Train-Analysis-(2080s-and-2083s)?_g=(refreshInterval:(display:Off,pause:!f,section:0,value:0),time:(from:'2017-06-30T14:26:39-0600',mode:absolute,to:'2017-06-30T17:03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91" s="197" t="str">
        <f>IF(AA191&lt;VLOOKUP(AG191,Variables!$AC$3:$AD$8,2,FALSE),"Y","N")</f>
        <v>N</v>
      </c>
      <c r="X191" s="197">
        <f t="shared" si="76"/>
        <v>1</v>
      </c>
      <c r="Y191" s="197">
        <f t="shared" si="77"/>
        <v>0.1013</v>
      </c>
      <c r="Z191" s="197">
        <f t="shared" si="78"/>
        <v>5.8933</v>
      </c>
      <c r="AA191" s="197">
        <f t="shared" si="65"/>
        <v>5.7919999999999998</v>
      </c>
      <c r="AB191" s="54" t="e">
        <f>VLOOKUP(A191,Enforcements!$C$7:$K$13,8,0)</f>
        <v>#N/A</v>
      </c>
      <c r="AC191" s="51" t="e">
        <f>VLOOKUP(A191,Enforcements!$C$7:$E$13,3,0)</f>
        <v>#N/A</v>
      </c>
      <c r="AD191" s="206">
        <f t="shared" si="66"/>
        <v>827</v>
      </c>
      <c r="AE191" s="77" t="str">
        <f t="shared" si="67"/>
        <v>aws s3 cp s3://rtdc.mdm.uploadarchive.raw/RTDC4058/ "%USERPROFILE%\AppData\Local\Temp\OnboardLogs"\RTDC4058\2017-06-30 --exclude "*" --recursive --include "*20170630*" &amp; "%USERPROFILE%\Documents\GitHub\mrs-test-scripts\Headless Mode &amp; Sideloading\WalkAndUnGZ.bat" "%USERPROFILE%\AppData\Local\Temp\OnboardLogs"\RTDC4058\2017-06-30 &amp; aws s3 cp s3://rtdc.mdm.uploadarchive.raw/RTDC4058/ "%USERPROFILE%\AppData\Local\Temp\OnboardLogs"\RTDC4058\2017-07-01 --exclude "*" --recursive --include "*20170701*" &amp; "%USERPROFILE%\Documents\GitHub\mrs-test-scripts\Headless Mode &amp; Sideloading\WalkAndUnGZ.bat" "%USERPROFILE%\AppData\Local\Temp\OnboardLogs"\RTDC4058\2017-07-01</v>
      </c>
      <c r="AF191" s="74" t="str">
        <f t="shared" si="68"/>
        <v>"C:\Program Files (x86)\AstroGrep\AstroGrep.exe" /e /r /s /spath="%USERPROFILE%\AppData\Local\Temp\OnboardLogs" /stypes="app*4058*20170630*" /stext=" 22:.+((SYSTEM_STATE.+slice.+state.+changed )|(ment ac)|(multiple cpu faults)|(system.+state.+changed )|(\[timeout)|(PRM\|1\|D)|(kpr)|(kdp)|(train st.+moving)|(\|lc)|(penalty))"</v>
      </c>
      <c r="AG191" s="209" t="str">
        <f t="shared" si="69"/>
        <v>NW</v>
      </c>
      <c r="AH191" s="78" t="str">
        <f t="shared" si="70"/>
        <v>"%USERPROFILE%\Documents\GitHub\eaglep3\Utilities\RefineRTDCRunTimes.py" --tripid 827-30 --locoid 4058 --swversion DE.1.0.9.0 --startMP 204:1013 --initTime 2017-06-30T15:26:39 --startdatetime 2017-06-30T15:51:32 --delay 22 --endMP 300:58933 --enddatetime 2017-06-30T16:03:58 --enforcementcount 0 &gt;&gt;C:\Users\stu\Documents\GitHub\eaglep3-reporting\EC\2017-06-30-refined-times.txt</v>
      </c>
      <c r="AI191" s="96" t="str">
        <f t="shared" si="71"/>
        <v>echo {"issue":{"subject":"","project_id":79,"tracker_id":40,"status_id":1,"priority_id":2,"assigned_to_id":23,"start_date":"2017-06-30","description":"","custom_fields":[{"id":1,"name":"Subdivision","value":"NW"},{"id":4,"name":"Milepost","value":"5.8933"},{"id":17,"name":"Train ID","value":"827-30"},{"id":16,"name":"Locomotive ID","value":"4058"},{"id":130,"name":"Impact","value":""},{"id":150,"name":"Time of Event (Mountain Time)","value":"16:03:58"},{"id":151,"name":"Denver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2" t="str">
        <f t="shared" si="72"/>
        <v>start /low /b %USERPROFILE%\Documents\GitHub\eaglep3\Utilities\DownloadLogsFromS3.py --loco 4058 --day 2017-06-30</v>
      </c>
      <c r="AN191" s="151" t="str">
        <f t="shared" si="73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22:03:58"},{"id":29,"name":"Sharepoint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/>
    </row>
    <row r="192" spans="1:91" x14ac:dyDescent="0.25">
      <c r="A192" s="32" t="s">
        <v>775</v>
      </c>
      <c r="B192" s="7">
        <v>4057</v>
      </c>
      <c r="C192" s="21" t="s">
        <v>200</v>
      </c>
      <c r="D192" s="21" t="s">
        <v>1019</v>
      </c>
      <c r="E192" s="13">
        <v>42916.670439814814</v>
      </c>
      <c r="F192" s="13">
        <v>42916.67355324074</v>
      </c>
      <c r="G192" s="7">
        <v>1</v>
      </c>
      <c r="H192" s="21" t="s">
        <v>1020</v>
      </c>
      <c r="I192" s="13">
        <v>42916.684374999997</v>
      </c>
      <c r="J192" s="7">
        <v>0</v>
      </c>
      <c r="K192" s="89" t="str">
        <f t="shared" si="61"/>
        <v>4057/4058</v>
      </c>
      <c r="L192" s="21" t="str">
        <f>VLOOKUP(A192,'Trips&amp;Operators'!$C$1:$G$99999,5,FALSE)</f>
        <v>YORK EDGAR</v>
      </c>
      <c r="M192" s="6">
        <f t="shared" si="62"/>
        <v>1.0821759256941732E-2</v>
      </c>
      <c r="N192" s="7">
        <f t="shared" si="83"/>
        <v>15.583333329996094</v>
      </c>
      <c r="O192" s="7"/>
      <c r="P192" s="7"/>
      <c r="Q192" s="22"/>
      <c r="R192" s="170"/>
      <c r="S192" s="213">
        <f t="shared" si="84"/>
        <v>1</v>
      </c>
      <c r="T192" s="195" t="str">
        <f t="shared" si="63"/>
        <v>Southbound</v>
      </c>
      <c r="U192" s="19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6" t="str">
        <f t="shared" si="64"/>
        <v>https://d0f6bd738d7f1b3e5a7ca70fe4ff75f0.us-east-1.aws.found.io/app/kibana#/discover/Steve-Slow-Train-Analysis-(2080s-and-2083s)?_g=(refreshInterval:(display:Off,pause:!f,section:0,value:0),time:(from:'2017-06-30T15:05:26-0600',mode:absolute,to:'2017-06-30T17:25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92" s="197" t="str">
        <f>IF(AA192&lt;VLOOKUP(AG192,Variables!$AC$3:$AD$8,2,FALSE),"Y","N")</f>
        <v>N</v>
      </c>
      <c r="X192" s="197">
        <f t="shared" ref="X192:X223" si="85">VALUE(LEFT(AD192,4))-VALUE(LEFT(AD191,4))</f>
        <v>1</v>
      </c>
      <c r="Y192" s="197">
        <f t="shared" si="77"/>
        <v>5.8616999999999999</v>
      </c>
      <c r="Z192" s="197">
        <f t="shared" si="78"/>
        <v>7.4099999999999999E-2</v>
      </c>
      <c r="AA192" s="197">
        <f t="shared" si="65"/>
        <v>5.7876000000000003</v>
      </c>
      <c r="AB192" s="54" t="e">
        <f>VLOOKUP(A192,Enforcements!$C$7:$K$13,8,0)</f>
        <v>#N/A</v>
      </c>
      <c r="AC192" s="51" t="e">
        <f>VLOOKUP(A192,Enforcements!$C$7:$E$13,3,0)</f>
        <v>#N/A</v>
      </c>
      <c r="AD192" s="206">
        <f t="shared" si="66"/>
        <v>828</v>
      </c>
      <c r="AE192" s="77" t="str">
        <f t="shared" si="67"/>
        <v>aws s3 cp s3://rtdc.mdm.uploadarchive.raw/RTDC4057/ "%USERPROFILE%\AppData\Local\Temp\OnboardLogs"\RTDC4057\2017-06-30 --exclude "*" --recursive --include "*20170630*" &amp; "%USERPROFILE%\Documents\GitHub\mrs-test-scripts\Headless Mode &amp; Sideloading\WalkAndUnGZ.bat" "%USERPROFILE%\AppData\Local\Temp\OnboardLogs"\RTDC4057\2017-06-30 &amp; aws s3 cp s3://rtdc.mdm.uploadarchive.raw/RTDC4057/ "%USERPROFILE%\AppData\Local\Temp\OnboardLogs"\RTDC4057\2017-07-01 --exclude "*" --recursive --include "*20170701*" &amp; "%USERPROFILE%\Documents\GitHub\mrs-test-scripts\Headless Mode &amp; Sideloading\WalkAndUnGZ.bat" "%USERPROFILE%\AppData\Local\Temp\OnboardLogs"\RTDC4057\2017-07-01</v>
      </c>
      <c r="AF192" s="74" t="str">
        <f t="shared" si="68"/>
        <v>"C:\Program Files (x86)\AstroGrep\AstroGrep.exe" /e /r /s /spath="%USERPROFILE%\AppData\Local\Temp\OnboardLogs" /stypes="app*4057*20170630*" /stext=" 22:.+((SYSTEM_STATE.+slice.+state.+changed )|(ment ac)|(multiple cpu faults)|(system.+state.+changed )|(\[timeout)|(PRM\|1\|D)|(kpr)|(kdp)|(train st.+moving)|(\|lc)|(penalty))"</v>
      </c>
      <c r="AG192" s="209" t="str">
        <f t="shared" si="69"/>
        <v>NW</v>
      </c>
      <c r="AH192" s="78" t="str">
        <f t="shared" si="70"/>
        <v>"%USERPROFILE%\Documents\GitHub\eaglep3\Utilities\RefineRTDCRunTimes.py" --tripid 828-30 --locoid 4057 --swversion DE.1.0.9.0 --startMP 300:58617 --initTime 2017-06-30T16:05:26 --startdatetime 2017-06-30T16:09:55 --delay 1 --endMP 204:741 --enddatetime 2017-06-30T16:25:30 --enforcementcount 0 &gt;&gt;C:\Users\stu\Documents\GitHub\eaglep3-reporting\EC\2017-06-30-refined-times.txt</v>
      </c>
      <c r="AI192" s="96" t="str">
        <f t="shared" si="71"/>
        <v>echo {"issue":{"subject":"","project_id":79,"tracker_id":40,"status_id":1,"priority_id":2,"assigned_to_id":23,"start_date":"2017-06-30","description":"","custom_fields":[{"id":1,"name":"Subdivision","value":"NW"},{"id":4,"name":"Milepost","value":"0.0741"},{"id":17,"name":"Train ID","value":"828-30"},{"id":16,"name":"Locomotive ID","value":"4057"},{"id":130,"name":"Impact","value":""},{"id":150,"name":"Time of Event (Mountain Time)","value":"16:25:30"},{"id":151,"name":"Denver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2" t="str">
        <f t="shared" si="72"/>
        <v>start /low /b %USERPROFILE%\Documents\GitHub\eaglep3\Utilities\DownloadLogsFromS3.py --loco 4057 --day 2017-06-30</v>
      </c>
      <c r="AN192" s="151" t="str">
        <f t="shared" si="73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22:25:30"},{"id":29,"name":"Sharepoint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/>
    </row>
    <row r="193" spans="1:91" s="20" customFormat="1" x14ac:dyDescent="0.25">
      <c r="A193" s="32" t="s">
        <v>773</v>
      </c>
      <c r="B193" s="7">
        <v>4016</v>
      </c>
      <c r="C193" s="21" t="s">
        <v>200</v>
      </c>
      <c r="D193" s="21" t="s">
        <v>511</v>
      </c>
      <c r="E193" s="13">
        <v>42916.665960648148</v>
      </c>
      <c r="F193" s="13">
        <v>42916.679166666669</v>
      </c>
      <c r="G193" s="7">
        <v>1</v>
      </c>
      <c r="H193" s="21" t="s">
        <v>464</v>
      </c>
      <c r="I193" s="13">
        <v>42916.691319444442</v>
      </c>
      <c r="J193" s="7">
        <v>0</v>
      </c>
      <c r="K193" s="89" t="str">
        <f t="shared" si="61"/>
        <v>4015/4016</v>
      </c>
      <c r="L193" s="21" t="str">
        <f>VLOOKUP(A193,'Trips&amp;Operators'!$C$1:$G$99999,5,FALSE)</f>
        <v>DELGADO DIANAH</v>
      </c>
      <c r="M193" s="6">
        <f t="shared" si="62"/>
        <v>1.2152777773735579E-2</v>
      </c>
      <c r="N193" s="7">
        <f t="shared" si="83"/>
        <v>17.499999994179234</v>
      </c>
      <c r="O193" s="7"/>
      <c r="P193" s="7"/>
      <c r="Q193" s="22"/>
      <c r="R193" s="170" t="s">
        <v>1092</v>
      </c>
      <c r="S193" s="213">
        <f t="shared" si="84"/>
        <v>1</v>
      </c>
      <c r="T193" s="195" t="str">
        <f t="shared" si="63"/>
        <v>NorthBound</v>
      </c>
      <c r="U193" s="19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6" t="str">
        <f t="shared" si="64"/>
        <v>https://d0f6bd738d7f1b3e5a7ca70fe4ff75f0.us-east-1.aws.found.io/app/kibana#/discover/Steve-Slow-Train-Analysis-(2080s-and-2083s)?_g=(refreshInterval:(display:Off,pause:!f,section:0,value:0),time:(from:'2017-06-30T14:58:59-0600',mode:absolute,to:'2017-06-30T17:35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3" s="197" t="str">
        <f>IF(AA193&lt;VLOOKUP(AG193,Variables!$AC$3:$AD$8,2,FALSE),"Y","N")</f>
        <v>N</v>
      </c>
      <c r="X193" s="197">
        <f t="shared" si="85"/>
        <v>1</v>
      </c>
      <c r="Y193" s="197">
        <f t="shared" si="77"/>
        <v>9.8799999999999999E-2</v>
      </c>
      <c r="Z193" s="197">
        <f t="shared" si="78"/>
        <v>5.8943000000000003</v>
      </c>
      <c r="AA193" s="197">
        <f t="shared" si="65"/>
        <v>5.7955000000000005</v>
      </c>
      <c r="AB193" s="54" t="e">
        <f>VLOOKUP(A193,Enforcements!$C$7:$K$13,8,0)</f>
        <v>#N/A</v>
      </c>
      <c r="AC193" s="51" t="e">
        <f>VLOOKUP(A193,Enforcements!$C$7:$E$13,3,0)</f>
        <v>#N/A</v>
      </c>
      <c r="AD193" s="206">
        <f t="shared" si="66"/>
        <v>829</v>
      </c>
      <c r="AE193" s="77" t="str">
        <f t="shared" si="67"/>
        <v>aws s3 cp s3://rtdc.mdm.uploadarchive.raw/RTDC4016/ "%USERPROFILE%\AppData\Local\Temp\OnboardLogs"\RTDC4016\2017-06-30 --exclude "*" --recursive --include "*20170630*" &amp; "%USERPROFILE%\Documents\GitHub\mrs-test-scripts\Headless Mode &amp; Sideloading\WalkAndUnGZ.bat" "%USERPROFILE%\AppData\Local\Temp\OnboardLogs"\RTDC4016\2017-06-30 &amp; aws s3 cp s3://rtdc.mdm.uploadarchive.raw/RTDC4016/ "%USERPROFILE%\AppData\Local\Temp\OnboardLogs"\RTDC4016\2017-07-01 --exclude "*" --recursive --include "*20170701*" &amp; "%USERPROFILE%\Documents\GitHub\mrs-test-scripts\Headless Mode &amp; Sideloading\WalkAndUnGZ.bat" "%USERPROFILE%\AppData\Local\Temp\OnboardLogs"\RTDC4016\2017-07-01</v>
      </c>
      <c r="AF193" s="74" t="str">
        <f t="shared" si="68"/>
        <v>"C:\Program Files (x86)\AstroGrep\AstroGrep.exe" /e /r /s /spath="%USERPROFILE%\AppData\Local\Temp\OnboardLogs" /stypes="app*4016*20170630*" /stext=" 22:.+((SYSTEM_STATE.+slice.+state.+changed )|(ment ac)|(multiple cpu faults)|(system.+state.+changed )|(\[timeout)|(PRM\|1\|D)|(kpr)|(kdp)|(train st.+moving)|(\|lc)|(penalty))"</v>
      </c>
      <c r="AG193" s="209" t="str">
        <f t="shared" si="69"/>
        <v>NW</v>
      </c>
      <c r="AH193" s="78" t="str">
        <f t="shared" si="70"/>
        <v>"%USERPROFILE%\Documents\GitHub\eaglep3\Utilities\RefineRTDCRunTimes.py" --tripid 829-30 --locoid 4016 --swversion DE.1.0.9.0 --startMP 204:988 --initTime 2017-06-30T15:58:59 --startdatetime 2017-06-30T16:18:00 --delay 1 --endMP 300:58943 --enddatetime 2017-06-30T16:35:30 --enforcementcount 0 &gt;&gt;C:\Users\stu\Documents\GitHub\eaglep3-reporting\EC\2017-06-30-refined-times.txt</v>
      </c>
      <c r="AI193" s="96" t="str">
        <f t="shared" si="71"/>
        <v>echo {"issue":{"subject":"Slightly delayed by poor GPS at DUS","project_id":79,"tracker_id":40,"status_id":1,"priority_id":2,"assigned_to_id":23,"start_date":"2017-06-30","description":"","custom_fields":[{"id":1,"name":"Subdivision","value":"NW"},{"id":4,"name":"Milepost","value":"5.8943"},{"id":17,"name":"Train ID","value":"829-30"},{"id":16,"name":"Locomotive ID","value":"4016"},{"id":130,"name":"Impact","value":""},{"id":150,"name":"Time of Event (Mountain Time)","value":"16:35:30"},{"id":151,"name":"Denver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3" s="47"/>
      <c r="AL193" s="47"/>
      <c r="AM193" s="142" t="str">
        <f t="shared" si="72"/>
        <v>start /low /b %USERPROFILE%\Documents\GitHub\eaglep3\Utilities\DownloadLogsFromS3.py --loco 4016 --day 2017-06-30</v>
      </c>
      <c r="AN193" s="151" t="str">
        <f t="shared" si="73"/>
        <v>echo {"issue":{"subject":"Slightly delayed by poor GPS at DUS","project_id":30,"tracker_id":4,"status_id":1,"priority_id":1,"assigned_to_id":10,"start_date":"2017-06-30","description":"","custom_fields":[{"id":30,"name":"Category","value":"Issue"},{"id":3,"name":"Functional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22:35:30"},{"id":29,"name":"Sharepoint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x14ac:dyDescent="0.25">
      <c r="A194" s="32" t="s">
        <v>779</v>
      </c>
      <c r="B194" s="7">
        <v>4015</v>
      </c>
      <c r="C194" s="21" t="s">
        <v>200</v>
      </c>
      <c r="D194" s="21" t="s">
        <v>999</v>
      </c>
      <c r="E194" s="13">
        <v>42916.692337962966</v>
      </c>
      <c r="F194" s="13">
        <v>42916.694178240738</v>
      </c>
      <c r="G194" s="7">
        <v>1</v>
      </c>
      <c r="H194" s="21" t="s">
        <v>1032</v>
      </c>
      <c r="I194" s="13">
        <v>42916.704895833333</v>
      </c>
      <c r="J194" s="7">
        <v>0</v>
      </c>
      <c r="K194" s="89" t="str">
        <f t="shared" si="61"/>
        <v>4015/4016</v>
      </c>
      <c r="L194" s="21" t="str">
        <f>VLOOKUP(A194,'Trips&amp;Operators'!$C$1:$G$99999,5,FALSE)</f>
        <v>DELGADO DIANAH</v>
      </c>
      <c r="M194" s="6">
        <f t="shared" si="62"/>
        <v>1.0717592595028691E-2</v>
      </c>
      <c r="N194" s="7">
        <f t="shared" si="83"/>
        <v>15.433333336841315</v>
      </c>
      <c r="O194" s="7"/>
      <c r="P194" s="7"/>
      <c r="Q194" s="22"/>
      <c r="R194" s="170"/>
      <c r="S194" s="213">
        <f t="shared" si="84"/>
        <v>1</v>
      </c>
      <c r="T194" s="195" t="str">
        <f t="shared" si="63"/>
        <v>Southbound</v>
      </c>
      <c r="U194" s="19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6" t="str">
        <f t="shared" si="64"/>
        <v>https://d0f6bd738d7f1b3e5a7ca70fe4ff75f0.us-east-1.aws.found.io/app/kibana#/discover/Steve-Slow-Train-Analysis-(2080s-and-2083s)?_g=(refreshInterval:(display:Off,pause:!f,section:0,value:0),time:(from:'2017-06-30T15:36:58-0600',mode:absolute,to:'2017-06-30T17:55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4" s="197" t="str">
        <f>IF(AA194&lt;VLOOKUP(AG194,Variables!$AC$3:$AD$8,2,FALSE),"Y","N")</f>
        <v>N</v>
      </c>
      <c r="X194" s="197">
        <f t="shared" si="85"/>
        <v>1</v>
      </c>
      <c r="Y194" s="197">
        <f t="shared" ref="Y194:Y225" si="86">RIGHT(D194,LEN(D194)-4)/10000</f>
        <v>5.8619000000000003</v>
      </c>
      <c r="Z194" s="197">
        <f t="shared" ref="Z194:Z225" si="87">RIGHT(H194,LEN(H194)-4)/10000</f>
        <v>6.6400000000000001E-2</v>
      </c>
      <c r="AA194" s="197">
        <f t="shared" si="65"/>
        <v>5.7955000000000005</v>
      </c>
      <c r="AB194" s="54" t="e">
        <f>VLOOKUP(A194,Enforcements!$C$7:$K$13,8,0)</f>
        <v>#N/A</v>
      </c>
      <c r="AC194" s="51" t="e">
        <f>VLOOKUP(A194,Enforcements!$C$7:$E$13,3,0)</f>
        <v>#N/A</v>
      </c>
      <c r="AD194" s="206">
        <f t="shared" si="66"/>
        <v>830</v>
      </c>
      <c r="AE194" s="77" t="str">
        <f t="shared" si="67"/>
        <v>aws s3 cp s3://rtdc.mdm.uploadarchive.raw/RTDC4015/ "%USERPROFILE%\AppData\Local\Temp\OnboardLogs"\RTDC4015\2017-06-30 --exclude "*" --recursive --include "*20170630*" &amp; "%USERPROFILE%\Documents\GitHub\mrs-test-scripts\Headless Mode &amp; Sideloading\WalkAndUnGZ.bat" "%USERPROFILE%\AppData\Local\Temp\OnboardLogs"\RTDC4015\2017-06-30 &amp; aws s3 cp s3://rtdc.mdm.uploadarchive.raw/RTDC4015/ "%USERPROFILE%\AppData\Local\Temp\OnboardLogs"\RTDC4015\2017-07-01 --exclude "*" --recursive --include "*20170701*" &amp; "%USERPROFILE%\Documents\GitHub\mrs-test-scripts\Headless Mode &amp; Sideloading\WalkAndUnGZ.bat" "%USERPROFILE%\AppData\Local\Temp\OnboardLogs"\RTDC4015\2017-07-01</v>
      </c>
      <c r="AF194" s="74" t="str">
        <f t="shared" si="68"/>
        <v>"C:\Program Files (x86)\AstroGrep\AstroGrep.exe" /e /r /s /spath="%USERPROFILE%\AppData\Local\Temp\OnboardLogs" /stypes="app*4015*20170630*" /stext=" 22:.+((SYSTEM_STATE.+slice.+state.+changed )|(ment ac)|(multiple cpu faults)|(system.+state.+changed )|(\[timeout)|(PRM\|1\|D)|(kpr)|(kdp)|(train st.+moving)|(\|lc)|(penalty))"</v>
      </c>
      <c r="AG194" s="209" t="str">
        <f t="shared" si="69"/>
        <v>NW</v>
      </c>
      <c r="AH194" s="78" t="str">
        <f t="shared" si="70"/>
        <v>"%USERPROFILE%\Documents\GitHub\eaglep3\Utilities\RefineRTDCRunTimes.py" --tripid 830-30 --locoid 4015 --swversion DE.1.0.9.0 --startMP 300:58619 --initTime 2017-06-30T16:36:58 --startdatetime 2017-06-30T16:39:37 --delay 1 --endMP 204:664 --enddatetime 2017-06-30T16:55:03 --enforcementcount 0 &gt;&gt;C:\Users\stu\Documents\GitHub\eaglep3-reporting\EC\2017-06-30-refined-times.txt</v>
      </c>
      <c r="AI194" s="96" t="str">
        <f t="shared" si="71"/>
        <v>echo {"issue":{"subject":"","project_id":79,"tracker_id":40,"status_id":1,"priority_id":2,"assigned_to_id":23,"start_date":"2017-06-30","description":"","custom_fields":[{"id":1,"name":"Subdivision","value":"NW"},{"id":4,"name":"Milepost","value":"0.0664"},{"id":17,"name":"Train ID","value":"830-30"},{"id":16,"name":"Locomotive ID","value":"4015"},{"id":130,"name":"Impact","value":""},{"id":150,"name":"Time of Event (Mountain Time)","value":"16:55:03"},{"id":151,"name":"Denver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2" t="str">
        <f t="shared" si="72"/>
        <v>start /low /b %USERPROFILE%\Documents\GitHub\eaglep3\Utilities\DownloadLogsFromS3.py --loco 4015 --day 2017-06-30</v>
      </c>
      <c r="AN194" s="151" t="str">
        <f t="shared" si="73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22:55:03"},{"id":29,"name":"Sharepoint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</row>
    <row r="195" spans="1:91" x14ac:dyDescent="0.25">
      <c r="A195" s="32" t="s">
        <v>778</v>
      </c>
      <c r="B195" s="7">
        <v>4058</v>
      </c>
      <c r="C195" s="21" t="s">
        <v>200</v>
      </c>
      <c r="D195" s="21" t="s">
        <v>1033</v>
      </c>
      <c r="E195" s="13">
        <v>42916.685983796298</v>
      </c>
      <c r="F195" s="13">
        <v>42916.702280092592</v>
      </c>
      <c r="G195" s="7">
        <v>1</v>
      </c>
      <c r="H195" s="21" t="s">
        <v>1034</v>
      </c>
      <c r="I195" s="13">
        <v>42916.711076388892</v>
      </c>
      <c r="J195" s="7">
        <v>0</v>
      </c>
      <c r="K195" s="89" t="str">
        <f t="shared" si="61"/>
        <v>4057/4058</v>
      </c>
      <c r="L195" s="21" t="str">
        <f>VLOOKUP(A195,'Trips&amp;Operators'!$C$1:$G$99999,5,FALSE)</f>
        <v>YORK EDGAR</v>
      </c>
      <c r="M195" s="6">
        <f t="shared" si="62"/>
        <v>8.7962963007157668E-3</v>
      </c>
      <c r="N195" s="7">
        <f t="shared" si="83"/>
        <v>12.666666673030704</v>
      </c>
      <c r="O195" s="7"/>
      <c r="P195" s="7"/>
      <c r="Q195" s="22"/>
      <c r="R195" s="170"/>
      <c r="S195" s="213">
        <f t="shared" si="84"/>
        <v>1</v>
      </c>
      <c r="T195" s="195" t="str">
        <f t="shared" si="63"/>
        <v>NorthBound</v>
      </c>
      <c r="U195" s="19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6" t="str">
        <f t="shared" si="64"/>
        <v>https://d0f6bd738d7f1b3e5a7ca70fe4ff75f0.us-east-1.aws.found.io/app/kibana#/discover/Steve-Slow-Train-Analysis-(2080s-and-2083s)?_g=(refreshInterval:(display:Off,pause:!f,section:0,value:0),time:(from:'2017-06-30T15:27:49-0600',mode:absolute,to:'2017-06-30T18:03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95" s="197" t="str">
        <f>IF(AA195&lt;VLOOKUP(AG195,Variables!$AC$3:$AD$8,2,FALSE),"Y","N")</f>
        <v>N</v>
      </c>
      <c r="X195" s="197">
        <f t="shared" si="85"/>
        <v>1</v>
      </c>
      <c r="Y195" s="197">
        <f t="shared" si="86"/>
        <v>0.10299999999999999</v>
      </c>
      <c r="Z195" s="197">
        <f t="shared" si="87"/>
        <v>5.8936999999999999</v>
      </c>
      <c r="AA195" s="197">
        <f t="shared" si="65"/>
        <v>5.7907000000000002</v>
      </c>
      <c r="AB195" s="54" t="e">
        <f>VLOOKUP(A195,Enforcements!$C$7:$K$13,8,0)</f>
        <v>#N/A</v>
      </c>
      <c r="AC195" s="51" t="e">
        <f>VLOOKUP(A195,Enforcements!$C$7:$E$13,3,0)</f>
        <v>#N/A</v>
      </c>
      <c r="AD195" s="206">
        <f t="shared" si="66"/>
        <v>831</v>
      </c>
      <c r="AE195" s="77" t="str">
        <f t="shared" si="67"/>
        <v>aws s3 cp s3://rtdc.mdm.uploadarchive.raw/RTDC4058/ "%USERPROFILE%\AppData\Local\Temp\OnboardLogs"\RTDC4058\2017-06-30 --exclude "*" --recursive --include "*20170630*" &amp; "%USERPROFILE%\Documents\GitHub\mrs-test-scripts\Headless Mode &amp; Sideloading\WalkAndUnGZ.bat" "%USERPROFILE%\AppData\Local\Temp\OnboardLogs"\RTDC4058\2017-06-30 &amp; aws s3 cp s3://rtdc.mdm.uploadarchive.raw/RTDC4058/ "%USERPROFILE%\AppData\Local\Temp\OnboardLogs"\RTDC4058\2017-07-01 --exclude "*" --recursive --include "*20170701*" &amp; "%USERPROFILE%\Documents\GitHub\mrs-test-scripts\Headless Mode &amp; Sideloading\WalkAndUnGZ.bat" "%USERPROFILE%\AppData\Local\Temp\OnboardLogs"\RTDC4058\2017-07-01</v>
      </c>
      <c r="AF195" s="74" t="str">
        <f t="shared" si="68"/>
        <v>"C:\Program Files (x86)\AstroGrep\AstroGrep.exe" /e /r /s /spath="%USERPROFILE%\AppData\Local\Temp\OnboardLogs" /stypes="app*4058*20170630*" /stext=" 23:.+((SYSTEM_STATE.+slice.+state.+changed )|(ment ac)|(multiple cpu faults)|(system.+state.+changed )|(\[timeout)|(PRM\|1\|D)|(kpr)|(kdp)|(train st.+moving)|(\|lc)|(penalty))"</v>
      </c>
      <c r="AG195" s="209" t="str">
        <f t="shared" si="69"/>
        <v>NW</v>
      </c>
      <c r="AH195" s="78" t="str">
        <f t="shared" si="70"/>
        <v>"%USERPROFILE%\Documents\GitHub\eaglep3\Utilities\RefineRTDCRunTimes.py" --tripid 831-30 --locoid 4058 --swversion DE.1.0.9.0 --startMP 204:1030 --initTime 2017-06-30T16:27:49 --startdatetime 2017-06-30T16:51:17 --delay 1 --endMP 300:58937 --enddatetime 2017-06-30T17:03:57 --enforcementcount 0 &gt;&gt;C:\Users\stu\Documents\GitHub\eaglep3-reporting\EC\2017-06-30-refined-times.txt</v>
      </c>
      <c r="AI195" s="96" t="str">
        <f t="shared" si="71"/>
        <v>echo {"issue":{"subject":"","project_id":79,"tracker_id":40,"status_id":1,"priority_id":2,"assigned_to_id":23,"start_date":"2017-06-30","description":"","custom_fields":[{"id":1,"name":"Subdivision","value":"NW"},{"id":4,"name":"Milepost","value":"5.8937"},{"id":17,"name":"Train ID","value":"831-30"},{"id":16,"name":"Locomotive ID","value":"4058"},{"id":130,"name":"Impact","value":""},{"id":150,"name":"Time of Event (Mountain Time)","value":"17:03:57"},{"id":151,"name":"Denver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2" t="str">
        <f t="shared" si="72"/>
        <v>start /low /b %USERPROFILE%\Documents\GitHub\eaglep3\Utilities\DownloadLogsFromS3.py --loco 4058 --day 2017-06-30</v>
      </c>
      <c r="AN195" s="151" t="str">
        <f t="shared" si="73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23:03:57"},{"id":29,"name":"Sharepoint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</row>
    <row r="196" spans="1:91" x14ac:dyDescent="0.25">
      <c r="A196" s="32" t="s">
        <v>785</v>
      </c>
      <c r="B196" s="7">
        <v>4057</v>
      </c>
      <c r="C196" s="21" t="s">
        <v>200</v>
      </c>
      <c r="D196" s="21" t="s">
        <v>1035</v>
      </c>
      <c r="E196" s="13">
        <v>42916.711886574078</v>
      </c>
      <c r="F196" s="13">
        <v>42916.715995370374</v>
      </c>
      <c r="G196" s="7">
        <v>1</v>
      </c>
      <c r="H196" s="21" t="s">
        <v>1036</v>
      </c>
      <c r="I196" s="13">
        <v>42916.725682870368</v>
      </c>
      <c r="J196" s="7">
        <v>0</v>
      </c>
      <c r="K196" s="89" t="str">
        <f t="shared" si="61"/>
        <v>4057/4058</v>
      </c>
      <c r="L196" s="21" t="str">
        <f>VLOOKUP(A196,'Trips&amp;Operators'!$C$1:$G$99999,5,FALSE)</f>
        <v>YORK EDGAR</v>
      </c>
      <c r="M196" s="6">
        <f t="shared" si="62"/>
        <v>9.6874999944702722E-3</v>
      </c>
      <c r="N196" s="7">
        <f t="shared" si="83"/>
        <v>13.949999992037192</v>
      </c>
      <c r="O196" s="7"/>
      <c r="P196" s="7"/>
      <c r="Q196" s="22"/>
      <c r="R196" s="170"/>
      <c r="S196" s="213">
        <f t="shared" si="84"/>
        <v>1</v>
      </c>
      <c r="T196" s="195" t="str">
        <f t="shared" si="63"/>
        <v>Southbound</v>
      </c>
      <c r="U196" s="19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6" t="str">
        <f t="shared" si="64"/>
        <v>https://d0f6bd738d7f1b3e5a7ca70fe4ff75f0.us-east-1.aws.found.io/app/kibana#/discover/Steve-Slow-Train-Analysis-(2080s-and-2083s)?_g=(refreshInterval:(display:Off,pause:!f,section:0,value:0),time:(from:'2017-06-30T16:05:07-0600',mode:absolute,to:'2017-06-30T18:24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96" s="197" t="str">
        <f>IF(AA196&lt;VLOOKUP(AG196,Variables!$AC$3:$AD$8,2,FALSE),"Y","N")</f>
        <v>N</v>
      </c>
      <c r="X196" s="197">
        <f t="shared" si="85"/>
        <v>1</v>
      </c>
      <c r="Y196" s="197">
        <f t="shared" si="86"/>
        <v>5.8615000000000004</v>
      </c>
      <c r="Z196" s="197">
        <f t="shared" si="87"/>
        <v>7.3099999999999998E-2</v>
      </c>
      <c r="AA196" s="197">
        <f t="shared" si="65"/>
        <v>5.7884000000000002</v>
      </c>
      <c r="AB196" s="54" t="e">
        <f>VLOOKUP(A196,Enforcements!$C$7:$K$13,8,0)</f>
        <v>#N/A</v>
      </c>
      <c r="AC196" s="51" t="e">
        <f>VLOOKUP(A196,Enforcements!$C$7:$E$13,3,0)</f>
        <v>#N/A</v>
      </c>
      <c r="AD196" s="206">
        <f t="shared" si="66"/>
        <v>832</v>
      </c>
      <c r="AE196" s="77" t="str">
        <f t="shared" si="67"/>
        <v>aws s3 cp s3://rtdc.mdm.uploadarchive.raw/RTDC4057/ "%USERPROFILE%\AppData\Local\Temp\OnboardLogs"\RTDC4057\2017-06-30 --exclude "*" --recursive --include "*20170630*" &amp; "%USERPROFILE%\Documents\GitHub\mrs-test-scripts\Headless Mode &amp; Sideloading\WalkAndUnGZ.bat" "%USERPROFILE%\AppData\Local\Temp\OnboardLogs"\RTDC4057\2017-06-30 &amp; aws s3 cp s3://rtdc.mdm.uploadarchive.raw/RTDC4057/ "%USERPROFILE%\AppData\Local\Temp\OnboardLogs"\RTDC4057\2017-07-01 --exclude "*" --recursive --include "*20170701*" &amp; "%USERPROFILE%\Documents\GitHub\mrs-test-scripts\Headless Mode &amp; Sideloading\WalkAndUnGZ.bat" "%USERPROFILE%\AppData\Local\Temp\OnboardLogs"\RTDC4057\2017-07-01</v>
      </c>
      <c r="AF196" s="74" t="str">
        <f t="shared" si="68"/>
        <v>"C:\Program Files (x86)\AstroGrep\AstroGrep.exe" /e /r /s /spath="%USERPROFILE%\AppData\Local\Temp\OnboardLogs" /stypes="app*4057*20170630*" /stext=" 23:.+((SYSTEM_STATE.+slice.+state.+changed )|(ment ac)|(multiple cpu faults)|(system.+state.+changed )|(\[timeout)|(PRM\|1\|D)|(kpr)|(kdp)|(train st.+moving)|(\|lc)|(penalty))"</v>
      </c>
      <c r="AG196" s="209" t="str">
        <f t="shared" si="69"/>
        <v>NW</v>
      </c>
      <c r="AH196" s="78" t="str">
        <f t="shared" si="70"/>
        <v>"%USERPROFILE%\Documents\GitHub\eaglep3\Utilities\RefineRTDCRunTimes.py" --tripid 832-30 --locoid 4057 --swversion DE.1.0.9.0 --startMP 300:58615 --initTime 2017-06-30T17:05:07 --startdatetime 2017-06-30T17:11:02 --delay 1 --endMP 204:731 --enddatetime 2017-06-30T17:24:59 --enforcementcount 0 &gt;&gt;C:\Users\stu\Documents\GitHub\eaglep3-reporting\EC\2017-06-30-refined-times.txt</v>
      </c>
      <c r="AI196" s="96" t="str">
        <f t="shared" si="71"/>
        <v>echo {"issue":{"subject":"","project_id":79,"tracker_id":40,"status_id":1,"priority_id":2,"assigned_to_id":23,"start_date":"2017-06-30","description":"","custom_fields":[{"id":1,"name":"Subdivision","value":"NW"},{"id":4,"name":"Milepost","value":"0.0731"},{"id":17,"name":"Train ID","value":"832-30"},{"id":16,"name":"Locomotive ID","value":"4057"},{"id":130,"name":"Impact","value":""},{"id":150,"name":"Time of Event (Mountain Time)","value":"17:24:59"},{"id":151,"name":"Denver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2" t="str">
        <f t="shared" si="72"/>
        <v>start /low /b %USERPROFILE%\Documents\GitHub\eaglep3\Utilities\DownloadLogsFromS3.py --loco 4057 --day 2017-06-30</v>
      </c>
      <c r="AN196" s="151" t="str">
        <f t="shared" si="73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23:24:59"},{"id":29,"name":"Sharepoint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/>
    </row>
    <row r="197" spans="1:91" x14ac:dyDescent="0.25">
      <c r="A197" s="32" t="s">
        <v>784</v>
      </c>
      <c r="B197" s="7">
        <v>4016</v>
      </c>
      <c r="C197" s="21" t="s">
        <v>200</v>
      </c>
      <c r="D197" s="21" t="s">
        <v>568</v>
      </c>
      <c r="E197" s="13">
        <v>42916.706458333334</v>
      </c>
      <c r="F197" s="13">
        <v>42916.723067129627</v>
      </c>
      <c r="G197" s="7">
        <v>1</v>
      </c>
      <c r="H197" s="21" t="s">
        <v>514</v>
      </c>
      <c r="I197" s="13">
        <v>42916.73265046296</v>
      </c>
      <c r="J197" s="7">
        <v>0</v>
      </c>
      <c r="K197" s="89" t="str">
        <f t="shared" si="61"/>
        <v>4015/4016</v>
      </c>
      <c r="L197" s="21" t="str">
        <f>VLOOKUP(A197,'Trips&amp;Operators'!$C$1:$G$99999,5,FALSE)</f>
        <v>DELGADO DIANAH</v>
      </c>
      <c r="M197" s="6">
        <f t="shared" si="62"/>
        <v>9.5833333325572312E-3</v>
      </c>
      <c r="N197" s="7">
        <f t="shared" si="83"/>
        <v>13.799999998882413</v>
      </c>
      <c r="O197" s="7"/>
      <c r="P197" s="7"/>
      <c r="Q197" s="22"/>
      <c r="R197" s="170"/>
      <c r="S197" s="213">
        <f t="shared" si="84"/>
        <v>1</v>
      </c>
      <c r="T197" s="195" t="str">
        <f t="shared" si="63"/>
        <v>NorthBound</v>
      </c>
      <c r="U197" s="19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6" t="str">
        <f t="shared" si="64"/>
        <v>https://d0f6bd738d7f1b3e5a7ca70fe4ff75f0.us-east-1.aws.found.io/app/kibana#/discover/Steve-Slow-Train-Analysis-(2080s-and-2083s)?_g=(refreshInterval:(display:Off,pause:!f,section:0,value:0),time:(from:'2017-06-30T15:57:18-0600',mode:absolute,to:'2017-06-30T18:35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7" s="197" t="str">
        <f>IF(AA197&lt;VLOOKUP(AG197,Variables!$AC$3:$AD$8,2,FALSE),"Y","N")</f>
        <v>N</v>
      </c>
      <c r="X197" s="197">
        <f t="shared" si="85"/>
        <v>1</v>
      </c>
      <c r="Y197" s="197">
        <f t="shared" si="86"/>
        <v>9.5699999999999993E-2</v>
      </c>
      <c r="Z197" s="197">
        <f t="shared" si="87"/>
        <v>5.8954000000000004</v>
      </c>
      <c r="AA197" s="197">
        <f t="shared" si="65"/>
        <v>5.7997000000000005</v>
      </c>
      <c r="AB197" s="54" t="e">
        <f>VLOOKUP(A197,Enforcements!$C$7:$K$13,8,0)</f>
        <v>#N/A</v>
      </c>
      <c r="AC197" s="51" t="e">
        <f>VLOOKUP(A197,Enforcements!$C$7:$E$13,3,0)</f>
        <v>#N/A</v>
      </c>
      <c r="AD197" s="206">
        <f t="shared" si="66"/>
        <v>833</v>
      </c>
      <c r="AE197" s="77" t="str">
        <f t="shared" si="67"/>
        <v>aws s3 cp s3://rtdc.mdm.uploadarchive.raw/RTDC4016/ "%USERPROFILE%\AppData\Local\Temp\OnboardLogs"\RTDC4016\2017-06-30 --exclude "*" --recursive --include "*20170630*" &amp; "%USERPROFILE%\Documents\GitHub\mrs-test-scripts\Headless Mode &amp; Sideloading\WalkAndUnGZ.bat" "%USERPROFILE%\AppData\Local\Temp\OnboardLogs"\RTDC4016\2017-06-30 &amp; aws s3 cp s3://rtdc.mdm.uploadarchive.raw/RTDC4016/ "%USERPROFILE%\AppData\Local\Temp\OnboardLogs"\RTDC4016\2017-07-01 --exclude "*" --recursive --include "*20170701*" &amp; "%USERPROFILE%\Documents\GitHub\mrs-test-scripts\Headless Mode &amp; Sideloading\WalkAndUnGZ.bat" "%USERPROFILE%\AppData\Local\Temp\OnboardLogs"\RTDC4016\2017-07-01</v>
      </c>
      <c r="AF197" s="74" t="str">
        <f t="shared" si="68"/>
        <v>"C:\Program Files (x86)\AstroGrep\AstroGrep.exe" /e /r /s /spath="%USERPROFILE%\AppData\Local\Temp\OnboardLogs" /stypes="app*4016*20170630*" /stext=" 23:.+((SYSTEM_STATE.+slice.+state.+changed )|(ment ac)|(multiple cpu faults)|(system.+state.+changed )|(\[timeout)|(PRM\|1\|D)|(kpr)|(kdp)|(train st.+moving)|(\|lc)|(penalty))"</v>
      </c>
      <c r="AG197" s="209" t="str">
        <f t="shared" si="69"/>
        <v>NW</v>
      </c>
      <c r="AH197" s="78" t="str">
        <f t="shared" si="70"/>
        <v>"%USERPROFILE%\Documents\GitHub\eaglep3\Utilities\RefineRTDCRunTimes.py" --tripid 833-30 --locoid 4016 --swversion DE.1.0.9.0 --startMP 204:957 --initTime 2017-06-30T16:57:18 --startdatetime 2017-06-30T17:21:13 --delay 1 --endMP 300:58954 --enddatetime 2017-06-30T17:35:01 --enforcementcount 0 &gt;&gt;C:\Users\stu\Documents\GitHub\eaglep3-reporting\EC\2017-06-30-refined-times.txt</v>
      </c>
      <c r="AI197" s="96" t="str">
        <f t="shared" si="71"/>
        <v>echo {"issue":{"subject":"","project_id":79,"tracker_id":40,"status_id":1,"priority_id":2,"assigned_to_id":23,"start_date":"2017-06-30","description":"","custom_fields":[{"id":1,"name":"Subdivision","value":"NW"},{"id":4,"name":"Milepost","value":"5.8954"},{"id":17,"name":"Train ID","value":"833-30"},{"id":16,"name":"Locomotive ID","value":"4016"},{"id":130,"name":"Impact","value":""},{"id":150,"name":"Time of Event (Mountain Time)","value":"17:35:01"},{"id":151,"name":"Denver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2" t="str">
        <f t="shared" si="72"/>
        <v>start /low /b %USERPROFILE%\Documents\GitHub\eaglep3\Utilities\DownloadLogsFromS3.py --loco 4016 --day 2017-06-30</v>
      </c>
      <c r="AN197" s="151" t="str">
        <f t="shared" si="73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23:35:01"},{"id":29,"name":"Sharepoint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/>
    </row>
    <row r="198" spans="1:91" s="20" customFormat="1" x14ac:dyDescent="0.25">
      <c r="A198" s="32" t="s">
        <v>791</v>
      </c>
      <c r="B198" s="7">
        <v>4015</v>
      </c>
      <c r="C198" s="21" t="s">
        <v>200</v>
      </c>
      <c r="D198" s="21" t="s">
        <v>577</v>
      </c>
      <c r="E198" s="13">
        <v>42916.733680555553</v>
      </c>
      <c r="F198" s="13">
        <v>42916.735289351855</v>
      </c>
      <c r="G198" s="7">
        <v>1</v>
      </c>
      <c r="H198" s="21" t="s">
        <v>1037</v>
      </c>
      <c r="I198" s="13">
        <v>42916.746793981481</v>
      </c>
      <c r="J198" s="7">
        <v>0</v>
      </c>
      <c r="K198" s="89" t="str">
        <f t="shared" si="61"/>
        <v>4015/4016</v>
      </c>
      <c r="L198" s="21" t="str">
        <f>VLOOKUP(A198,'Trips&amp;Operators'!$C$1:$G$99999,5,FALSE)</f>
        <v>DELGADO DIANAH</v>
      </c>
      <c r="M198" s="6">
        <f t="shared" si="62"/>
        <v>1.1504629626870155E-2</v>
      </c>
      <c r="N198" s="7">
        <f t="shared" si="83"/>
        <v>16.566666662693024</v>
      </c>
      <c r="O198" s="7"/>
      <c r="P198" s="7"/>
      <c r="Q198" s="22"/>
      <c r="R198" s="170"/>
      <c r="S198" s="213">
        <f t="shared" si="84"/>
        <v>1</v>
      </c>
      <c r="T198" s="195" t="str">
        <f t="shared" si="63"/>
        <v>Southbound</v>
      </c>
      <c r="U198" s="19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6" t="str">
        <f t="shared" si="64"/>
        <v>https://d0f6bd738d7f1b3e5a7ca70fe4ff75f0.us-east-1.aws.found.io/app/kibana#/discover/Steve-Slow-Train-Analysis-(2080s-and-2083s)?_g=(refreshInterval:(display:Off,pause:!f,section:0,value:0),time:(from:'2017-06-30T16:36:30-0600',mode:absolute,to:'2017-06-30T18:55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8" s="197" t="str">
        <f>IF(AA198&lt;VLOOKUP(AG198,Variables!$AC$3:$AD$8,2,FALSE),"Y","N")</f>
        <v>N</v>
      </c>
      <c r="X198" s="197">
        <f t="shared" si="85"/>
        <v>1</v>
      </c>
      <c r="Y198" s="197">
        <f t="shared" si="86"/>
        <v>5.8625999999999996</v>
      </c>
      <c r="Z198" s="197">
        <f t="shared" si="87"/>
        <v>6.7100000000000007E-2</v>
      </c>
      <c r="AA198" s="197">
        <f t="shared" si="65"/>
        <v>5.7954999999999997</v>
      </c>
      <c r="AB198" s="54" t="e">
        <f>VLOOKUP(A198,Enforcements!$C$7:$K$13,8,0)</f>
        <v>#N/A</v>
      </c>
      <c r="AC198" s="51" t="e">
        <f>VLOOKUP(A198,Enforcements!$C$7:$E$13,3,0)</f>
        <v>#N/A</v>
      </c>
      <c r="AD198" s="206">
        <f t="shared" si="66"/>
        <v>834</v>
      </c>
      <c r="AE198" s="77" t="str">
        <f t="shared" si="67"/>
        <v>aws s3 cp s3://rtdc.mdm.uploadarchive.raw/RTDC4015/ "%USERPROFILE%\AppData\Local\Temp\OnboardLogs"\RTDC4015\2017-06-30 --exclude "*" --recursive --include "*20170630*" &amp; "%USERPROFILE%\Documents\GitHub\mrs-test-scripts\Headless Mode &amp; Sideloading\WalkAndUnGZ.bat" "%USERPROFILE%\AppData\Local\Temp\OnboardLogs"\RTDC4015\2017-06-30 &amp; aws s3 cp s3://rtdc.mdm.uploadarchive.raw/RTDC4015/ "%USERPROFILE%\AppData\Local\Temp\OnboardLogs"\RTDC4015\2017-07-01 --exclude "*" --recursive --include "*20170701*" &amp; "%USERPROFILE%\Documents\GitHub\mrs-test-scripts\Headless Mode &amp; Sideloading\WalkAndUnGZ.bat" "%USERPROFILE%\AppData\Local\Temp\OnboardLogs"\RTDC4015\2017-07-01</v>
      </c>
      <c r="AF198" s="74" t="str">
        <f t="shared" si="68"/>
        <v>"C:\Program Files (x86)\AstroGrep\AstroGrep.exe" /e /r /s /spath="%USERPROFILE%\AppData\Local\Temp\OnboardLogs" /stypes="app*4015*20170630*" /stext=" 23:.+((SYSTEM_STATE.+slice.+state.+changed )|(ment ac)|(multiple cpu faults)|(system.+state.+changed )|(\[timeout)|(PRM\|1\|D)|(kpr)|(kdp)|(train st.+moving)|(\|lc)|(penalty))"</v>
      </c>
      <c r="AG198" s="209" t="str">
        <f t="shared" si="69"/>
        <v>NW</v>
      </c>
      <c r="AH198" s="78" t="str">
        <f t="shared" si="70"/>
        <v>"%USERPROFILE%\Documents\GitHub\eaglep3\Utilities\RefineRTDCRunTimes.py" --tripid 834-30 --locoid 4015 --swversion DE.1.0.9.0 --startMP 300:58626 --initTime 2017-06-30T17:36:30 --startdatetime 2017-06-30T17:38:49 --delay 1 --endMP 204:671 --enddatetime 2017-06-30T17:55:23 --enforcementcount 0 &gt;&gt;C:\Users\stu\Documents\GitHub\eaglep3-reporting\EC\2017-06-30-refined-times.txt</v>
      </c>
      <c r="AI198" s="96" t="str">
        <f t="shared" si="71"/>
        <v>echo {"issue":{"subject":"","project_id":79,"tracker_id":40,"status_id":1,"priority_id":2,"assigned_to_id":23,"start_date":"2017-06-30","description":"","custom_fields":[{"id":1,"name":"Subdivision","value":"NW"},{"id":4,"name":"Milepost","value":"0.0671"},{"id":17,"name":"Train ID","value":"834-30"},{"id":16,"name":"Locomotive ID","value":"4015"},{"id":130,"name":"Impact","value":""},{"id":150,"name":"Time of Event (Mountain Time)","value":"17:55:23"},{"id":151,"name":"Denver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8" s="47"/>
      <c r="AL198" s="47"/>
      <c r="AM198" s="142" t="str">
        <f t="shared" si="72"/>
        <v>start /low /b %USERPROFILE%\Documents\GitHub\eaglep3\Utilities\DownloadLogsFromS3.py --loco 4015 --day 2017-06-30</v>
      </c>
      <c r="AN198" s="151" t="str">
        <f t="shared" si="73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23:55:23"},{"id":29,"name":"Sharepoint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x14ac:dyDescent="0.25">
      <c r="A199" s="32" t="s">
        <v>790</v>
      </c>
      <c r="B199" s="7">
        <v>4058</v>
      </c>
      <c r="C199" s="21" t="s">
        <v>200</v>
      </c>
      <c r="D199" s="21" t="s">
        <v>512</v>
      </c>
      <c r="E199" s="13">
        <v>42916.726666666669</v>
      </c>
      <c r="F199" s="13">
        <v>42916.74423611111</v>
      </c>
      <c r="G199" s="7">
        <v>0</v>
      </c>
      <c r="H199" s="21" t="s">
        <v>1038</v>
      </c>
      <c r="I199" s="13">
        <v>42916.752962962964</v>
      </c>
      <c r="J199" s="7">
        <v>0</v>
      </c>
      <c r="K199" s="89" t="str">
        <f t="shared" si="61"/>
        <v>4057/4058</v>
      </c>
      <c r="L199" s="21" t="str">
        <f>VLOOKUP(A199,'Trips&amp;Operators'!$C$1:$G$99999,5,FALSE)</f>
        <v>YORK EDGAR</v>
      </c>
      <c r="M199" s="6">
        <f t="shared" si="62"/>
        <v>8.7268518545897678E-3</v>
      </c>
      <c r="N199" s="7">
        <f t="shared" si="83"/>
        <v>12.566666670609266</v>
      </c>
      <c r="O199" s="7"/>
      <c r="P199" s="7"/>
      <c r="Q199" s="22"/>
      <c r="R199" s="170"/>
      <c r="S199" s="213">
        <f t="shared" si="84"/>
        <v>1</v>
      </c>
      <c r="T199" s="195" t="str">
        <f t="shared" si="63"/>
        <v>NorthBound</v>
      </c>
      <c r="U199" s="19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6" t="str">
        <f t="shared" si="64"/>
        <v>https://d0f6bd738d7f1b3e5a7ca70fe4ff75f0.us-east-1.aws.found.io/app/kibana#/discover/Steve-Slow-Train-Analysis-(2080s-and-2083s)?_g=(refreshInterval:(display:Off,pause:!f,section:0,value:0),time:(from:'2017-06-30T16:26:24-0600',mode:absolute,to:'2017-06-30T19:04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99" s="197" t="str">
        <f>IF(AA199&lt;VLOOKUP(AG199,Variables!$AC$3:$AD$8,2,FALSE),"Y","N")</f>
        <v>N</v>
      </c>
      <c r="X199" s="197">
        <f t="shared" si="85"/>
        <v>1</v>
      </c>
      <c r="Y199" s="197">
        <f t="shared" si="86"/>
        <v>0.1013</v>
      </c>
      <c r="Z199" s="197">
        <f t="shared" si="87"/>
        <v>5.8930999999999996</v>
      </c>
      <c r="AA199" s="197">
        <f t="shared" si="65"/>
        <v>5.7917999999999994</v>
      </c>
      <c r="AB199" s="54" t="e">
        <f>VLOOKUP(A199,Enforcements!$C$7:$K$13,8,0)</f>
        <v>#N/A</v>
      </c>
      <c r="AC199" s="51" t="e">
        <f>VLOOKUP(A199,Enforcements!$C$7:$E$13,3,0)</f>
        <v>#N/A</v>
      </c>
      <c r="AD199" s="206">
        <f t="shared" si="66"/>
        <v>835</v>
      </c>
      <c r="AE199" s="77" t="str">
        <f t="shared" si="67"/>
        <v>aws s3 cp s3://rtdc.mdm.uploadarchive.raw/RTDC4058/ "%USERPROFILE%\AppData\Local\Temp\OnboardLogs"\RTDC4058\2017-06-30 --exclude "*" --recursive --include "*20170630*" &amp; "%USERPROFILE%\Documents\GitHub\mrs-test-scripts\Headless Mode &amp; Sideloading\WalkAndUnGZ.bat" "%USERPROFILE%\AppData\Local\Temp\OnboardLogs"\RTDC4058\2017-06-30 &amp; aws s3 cp s3://rtdc.mdm.uploadarchive.raw/RTDC4058/ "%USERPROFILE%\AppData\Local\Temp\OnboardLogs"\RTDC4058\2017-07-01 --exclude "*" --recursive --include "*20170701*" &amp; "%USERPROFILE%\Documents\GitHub\mrs-test-scripts\Headless Mode &amp; Sideloading\WalkAndUnGZ.bat" "%USERPROFILE%\AppData\Local\Temp\OnboardLogs"\RTDC4058\2017-07-01</v>
      </c>
      <c r="AF199" s="74" t="str">
        <f t="shared" si="68"/>
        <v>"C:\Program Files (x86)\AstroGrep\AstroGrep.exe" /e /r /s /spath="%USERPROFILE%\AppData\Local\Temp\OnboardLogs" /stypes="app*4058*20170701*" /stext=" 00:.+((SYSTEM_STATE.+slice.+state.+changed )|(ment ac)|(multiple cpu faults)|(system.+state.+changed )|(\[timeout)|(PRM\|1\|D)|(kpr)|(kdp)|(train st.+moving)|(\|lc)|(penalty))"</v>
      </c>
      <c r="AG199" s="209" t="str">
        <f t="shared" si="69"/>
        <v>NW</v>
      </c>
      <c r="AH199" s="78" t="str">
        <f t="shared" si="70"/>
        <v>"%USERPROFILE%\Documents\GitHub\eaglep3\Utilities\RefineRTDCRunTimes.py" --tripid 835-30 --locoid 4058 --swversion DE.1.0.9.0 --startMP 204:1013 --initTime 2017-06-30T17:26:24 --startdatetime 2017-06-30T17:51:42 --delay 0 --endMP 300:58931 --enddatetime 2017-06-30T18:04:16 --enforcementcount 0 &gt;&gt;C:\Users\stu\Documents\GitHub\eaglep3-reporting\EC\2017-06-30-refined-times.txt</v>
      </c>
      <c r="AI199" s="96" t="str">
        <f t="shared" si="71"/>
        <v>echo {"issue":{"subject":"","project_id":79,"tracker_id":40,"status_id":1,"priority_id":2,"assigned_to_id":23,"start_date":"2017-06-30","description":"","custom_fields":[{"id":1,"name":"Subdivision","value":"NW"},{"id":4,"name":"Milepost","value":"5.8931"},{"id":17,"name":"Train ID","value":"835-30"},{"id":16,"name":"Locomotive ID","value":"4058"},{"id":130,"name":"Impact","value":""},{"id":150,"name":"Time of Event (Mountain Time)","value":"18:04:16"},{"id":151,"name":"Denver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2" t="str">
        <f t="shared" si="72"/>
        <v>start /low /b %USERPROFILE%\Documents\GitHub\eaglep3\Utilities\DownloadLogsFromS3.py --loco 4058 --day 2017-06-30</v>
      </c>
      <c r="AN199" s="151" t="str">
        <f t="shared" si="7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00:04:16"},{"id":29,"name":"Sharepoint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/>
    </row>
    <row r="200" spans="1:91" x14ac:dyDescent="0.25">
      <c r="A200" s="32" t="s">
        <v>796</v>
      </c>
      <c r="B200" s="7">
        <v>4057</v>
      </c>
      <c r="C200" s="21" t="s">
        <v>200</v>
      </c>
      <c r="D200" s="21" t="s">
        <v>565</v>
      </c>
      <c r="E200" s="13">
        <v>42916.753796296296</v>
      </c>
      <c r="F200" s="13">
        <v>42916.757361111115</v>
      </c>
      <c r="G200" s="7">
        <v>0</v>
      </c>
      <c r="H200" s="21" t="s">
        <v>1039</v>
      </c>
      <c r="I200" s="13">
        <v>42916.767384259256</v>
      </c>
      <c r="J200" s="7">
        <v>0</v>
      </c>
      <c r="K200" s="89" t="str">
        <f t="shared" si="61"/>
        <v>4057/4058</v>
      </c>
      <c r="L200" s="21" t="str">
        <f>VLOOKUP(A200,'Trips&amp;Operators'!$C$1:$G$99999,5,FALSE)</f>
        <v>YORK EDGAR</v>
      </c>
      <c r="M200" s="6">
        <f t="shared" si="62"/>
        <v>1.0023148141044658E-2</v>
      </c>
      <c r="N200" s="7">
        <f t="shared" si="83"/>
        <v>14.433333323104307</v>
      </c>
      <c r="O200" s="7"/>
      <c r="P200" s="7"/>
      <c r="Q200" s="22"/>
      <c r="R200" s="170"/>
      <c r="S200" s="213">
        <f t="shared" si="84"/>
        <v>1</v>
      </c>
      <c r="T200" s="195" t="str">
        <f t="shared" si="63"/>
        <v>Southbound</v>
      </c>
      <c r="U200" s="19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6" t="str">
        <f t="shared" si="64"/>
        <v>https://d0f6bd738d7f1b3e5a7ca70fe4ff75f0.us-east-1.aws.found.io/app/kibana#/discover/Steve-Slow-Train-Analysis-(2080s-and-2083s)?_g=(refreshInterval:(display:Off,pause:!f,section:0,value:0),time:(from:'2017-06-30T17:05:28-0600',mode:absolute,to:'2017-06-30T19:25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00" s="197" t="str">
        <f>IF(AA200&lt;VLOOKUP(AG200,Variables!$AC$3:$AD$8,2,FALSE),"Y","N")</f>
        <v>N</v>
      </c>
      <c r="X200" s="197">
        <f t="shared" si="85"/>
        <v>1</v>
      </c>
      <c r="Y200" s="197">
        <f t="shared" si="86"/>
        <v>5.8605999999999998</v>
      </c>
      <c r="Z200" s="197">
        <f t="shared" si="87"/>
        <v>7.3800000000000004E-2</v>
      </c>
      <c r="AA200" s="197">
        <f t="shared" si="65"/>
        <v>5.7867999999999995</v>
      </c>
      <c r="AB200" s="54" t="e">
        <f>VLOOKUP(A200,Enforcements!$C$7:$K$13,8,0)</f>
        <v>#N/A</v>
      </c>
      <c r="AC200" s="51" t="e">
        <f>VLOOKUP(A200,Enforcements!$C$7:$E$13,3,0)</f>
        <v>#N/A</v>
      </c>
      <c r="AD200" s="206">
        <f t="shared" si="66"/>
        <v>836</v>
      </c>
      <c r="AE200" s="77" t="str">
        <f t="shared" si="67"/>
        <v>aws s3 cp s3://rtdc.mdm.uploadarchive.raw/RTDC4057/ "%USERPROFILE%\AppData\Local\Temp\OnboardLogs"\RTDC4057\2017-06-30 --exclude "*" --recursive --include "*20170630*" &amp; "%USERPROFILE%\Documents\GitHub\mrs-test-scripts\Headless Mode &amp; Sideloading\WalkAndUnGZ.bat" "%USERPROFILE%\AppData\Local\Temp\OnboardLogs"\RTDC4057\2017-06-30 &amp; aws s3 cp s3://rtdc.mdm.uploadarchive.raw/RTDC4057/ "%USERPROFILE%\AppData\Local\Temp\OnboardLogs"\RTDC4057\2017-07-01 --exclude "*" --recursive --include "*20170701*" &amp; "%USERPROFILE%\Documents\GitHub\mrs-test-scripts\Headless Mode &amp; Sideloading\WalkAndUnGZ.bat" "%USERPROFILE%\AppData\Local\Temp\OnboardLogs"\RTDC4057\2017-07-01</v>
      </c>
      <c r="AF200" s="74" t="str">
        <f t="shared" si="68"/>
        <v>"C:\Program Files (x86)\AstroGrep\AstroGrep.exe" /e /r /s /spath="%USERPROFILE%\AppData\Local\Temp\OnboardLogs" /stypes="app*4057*20170701*" /stext=" 00:.+((SYSTEM_STATE.+slice.+state.+changed )|(ment ac)|(multiple cpu faults)|(system.+state.+changed )|(\[timeout)|(PRM\|1\|D)|(kpr)|(kdp)|(train st.+moving)|(\|lc)|(penalty))"</v>
      </c>
      <c r="AG200" s="209" t="str">
        <f t="shared" si="69"/>
        <v>NW</v>
      </c>
      <c r="AH200" s="78" t="str">
        <f t="shared" si="70"/>
        <v>"%USERPROFILE%\Documents\GitHub\eaglep3\Utilities\RefineRTDCRunTimes.py" --tripid 836-30 --locoid 4057 --swversion DE.1.0.9.0 --startMP 300:58606 --initTime 2017-06-30T18:05:28 --startdatetime 2017-06-30T18:10:36 --delay 0 --endMP 204:738 --enddatetime 2017-06-30T18:25:02 --enforcementcount 0 &gt;&gt;C:\Users\stu\Documents\GitHub\eaglep3-reporting\EC\2017-06-30-refined-times.txt</v>
      </c>
      <c r="AI200" s="96" t="str">
        <f t="shared" si="71"/>
        <v>echo {"issue":{"subject":"","project_id":79,"tracker_id":40,"status_id":1,"priority_id":2,"assigned_to_id":23,"start_date":"2017-06-30","description":"","custom_fields":[{"id":1,"name":"Subdivision","value":"NW"},{"id":4,"name":"Milepost","value":"0.0738"},{"id":17,"name":"Train ID","value":"836-30"},{"id":16,"name":"Locomotive ID","value":"4057"},{"id":130,"name":"Impact","value":""},{"id":150,"name":"Time of Event (Mountain Time)","value":"18:25:02"},{"id":151,"name":"Denver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2" t="str">
        <f t="shared" si="72"/>
        <v>start /low /b %USERPROFILE%\Documents\GitHub\eaglep3\Utilities\DownloadLogsFromS3.py --loco 4057 --day 2017-06-30</v>
      </c>
      <c r="AN200" s="151" t="str">
        <f t="shared" si="7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00:25:02"},{"id":29,"name":"Sharepoint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/>
    </row>
    <row r="201" spans="1:91" x14ac:dyDescent="0.25">
      <c r="A201" s="32" t="s">
        <v>627</v>
      </c>
      <c r="B201" s="7">
        <v>4016</v>
      </c>
      <c r="C201" s="21" t="s">
        <v>200</v>
      </c>
      <c r="D201" s="21" t="s">
        <v>1040</v>
      </c>
      <c r="E201" s="13">
        <v>42916.75099537037</v>
      </c>
      <c r="F201" s="13">
        <v>42916.764756944445</v>
      </c>
      <c r="G201" s="7">
        <v>1</v>
      </c>
      <c r="H201" s="21" t="s">
        <v>463</v>
      </c>
      <c r="I201" s="13">
        <v>42916.774525462963</v>
      </c>
      <c r="J201" s="7">
        <v>0</v>
      </c>
      <c r="K201" s="89" t="str">
        <f t="shared" si="61"/>
        <v>4015/4016</v>
      </c>
      <c r="L201" s="21" t="str">
        <f>VLOOKUP(A201,'Trips&amp;Operators'!$C$1:$G$99999,5,FALSE)</f>
        <v>DELGADO DIANAH</v>
      </c>
      <c r="M201" s="6">
        <f t="shared" si="62"/>
        <v>9.7685185173759237E-3</v>
      </c>
      <c r="N201" s="7">
        <f t="shared" si="83"/>
        <v>14.06666666502133</v>
      </c>
      <c r="O201" s="7"/>
      <c r="P201" s="7"/>
      <c r="Q201" s="22"/>
      <c r="R201" s="170"/>
      <c r="S201" s="213">
        <f t="shared" si="84"/>
        <v>1</v>
      </c>
      <c r="T201" s="195" t="str">
        <f t="shared" si="63"/>
        <v>NorthBound</v>
      </c>
      <c r="U201" s="19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6" t="str">
        <f t="shared" si="64"/>
        <v>https://d0f6bd738d7f1b3e5a7ca70fe4ff75f0.us-east-1.aws.found.io/app/kibana#/discover/Steve-Slow-Train-Analysis-(2080s-and-2083s)?_g=(refreshInterval:(display:Off,pause:!f,section:0,value:0),time:(from:'2017-06-30T17:01:26-0600',mode:absolute,to:'2017-06-30T19:35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1" s="197" t="str">
        <f>IF(AA201&lt;VLOOKUP(AG201,Variables!$AC$3:$AD$8,2,FALSE),"Y","N")</f>
        <v>N</v>
      </c>
      <c r="X201" s="197">
        <f t="shared" si="85"/>
        <v>1</v>
      </c>
      <c r="Y201" s="197">
        <f t="shared" si="86"/>
        <v>9.2899999999999996E-2</v>
      </c>
      <c r="Z201" s="197">
        <f t="shared" si="87"/>
        <v>5.8944000000000001</v>
      </c>
      <c r="AA201" s="197">
        <f t="shared" si="65"/>
        <v>5.8014999999999999</v>
      </c>
      <c r="AB201" s="54" t="e">
        <f>VLOOKUP(A201,Enforcements!$C$7:$K$13,8,0)</f>
        <v>#N/A</v>
      </c>
      <c r="AC201" s="51" t="e">
        <f>VLOOKUP(A201,Enforcements!$C$7:$E$13,3,0)</f>
        <v>#N/A</v>
      </c>
      <c r="AD201" s="206">
        <f t="shared" si="66"/>
        <v>837</v>
      </c>
      <c r="AE201" s="77" t="str">
        <f t="shared" si="67"/>
        <v>aws s3 cp s3://rtdc.mdm.uploadarchive.raw/RTDC4016/ "%USERPROFILE%\AppData\Local\Temp\OnboardLogs"\RTDC4016\2017-06-30 --exclude "*" --recursive --include "*20170630*" &amp; "%USERPROFILE%\Documents\GitHub\mrs-test-scripts\Headless Mode &amp; Sideloading\WalkAndUnGZ.bat" "%USERPROFILE%\AppData\Local\Temp\OnboardLogs"\RTDC4016\2017-06-30 &amp; aws s3 cp s3://rtdc.mdm.uploadarchive.raw/RTDC4016/ "%USERPROFILE%\AppData\Local\Temp\OnboardLogs"\RTDC4016\2017-07-01 --exclude "*" --recursive --include "*20170701*" &amp; "%USERPROFILE%\Documents\GitHub\mrs-test-scripts\Headless Mode &amp; Sideloading\WalkAndUnGZ.bat" "%USERPROFILE%\AppData\Local\Temp\OnboardLogs"\RTDC4016\2017-07-01</v>
      </c>
      <c r="AF201" s="74" t="str">
        <f t="shared" si="68"/>
        <v>"C:\Program Files (x86)\AstroGrep\AstroGrep.exe" /e /r /s /spath="%USERPROFILE%\AppData\Local\Temp\OnboardLogs" /stypes="app*4016*20170701*" /stext=" 00:.+((SYSTEM_STATE.+slice.+state.+changed )|(ment ac)|(multiple cpu faults)|(system.+state.+changed )|(\[timeout)|(PRM\|1\|D)|(kpr)|(kdp)|(train st.+moving)|(\|lc)|(penalty))"</v>
      </c>
      <c r="AG201" s="209" t="str">
        <f t="shared" si="69"/>
        <v>NW</v>
      </c>
      <c r="AH201" s="78" t="str">
        <f t="shared" si="70"/>
        <v>"%USERPROFILE%\Documents\GitHub\eaglep3\Utilities\RefineRTDCRunTimes.py" --tripid 837-30 --locoid 4016 --swversion DE.1.0.9.0 --startMP 204:929 --initTime 2017-06-30T18:01:26 --startdatetime 2017-06-30T18:21:15 --delay 1 --endMP 300:58944 --enddatetime 2017-06-30T18:35:19 --enforcementcount 0 &gt;&gt;C:\Users\stu\Documents\GitHub\eaglep3-reporting\EC\2017-06-30-refined-times.txt</v>
      </c>
      <c r="AI201" s="96" t="str">
        <f t="shared" si="71"/>
        <v>echo {"issue":{"subject":"","project_id":79,"tracker_id":40,"status_id":1,"priority_id":2,"assigned_to_id":23,"start_date":"2017-06-30","description":"","custom_fields":[{"id":1,"name":"Subdivision","value":"NW"},{"id":4,"name":"Milepost","value":"5.8944"},{"id":17,"name":"Train ID","value":"837-30"},{"id":16,"name":"Locomotive ID","value":"4016"},{"id":130,"name":"Impact","value":""},{"id":150,"name":"Time of Event (Mountain Time)","value":"18:35:19"},{"id":151,"name":"Denver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2" t="str">
        <f t="shared" si="72"/>
        <v>start /low /b %USERPROFILE%\Documents\GitHub\eaglep3\Utilities\DownloadLogsFromS3.py --loco 4016 --day 2017-06-30</v>
      </c>
      <c r="AN201" s="151" t="str">
        <f t="shared" si="7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00:35:19"},{"id":29,"name":"Sharepoint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/>
    </row>
    <row r="202" spans="1:91" s="20" customFormat="1" x14ac:dyDescent="0.25">
      <c r="A202" s="32" t="s">
        <v>800</v>
      </c>
      <c r="B202" s="7">
        <v>4015</v>
      </c>
      <c r="C202" s="21" t="s">
        <v>200</v>
      </c>
      <c r="D202" s="21" t="s">
        <v>564</v>
      </c>
      <c r="E202" s="13">
        <v>42916.775833333333</v>
      </c>
      <c r="F202" s="13">
        <v>42916.777465277781</v>
      </c>
      <c r="G202" s="7">
        <v>1</v>
      </c>
      <c r="H202" s="21" t="s">
        <v>455</v>
      </c>
      <c r="I202" s="13">
        <v>42916.789780092593</v>
      </c>
      <c r="J202" s="7">
        <v>0</v>
      </c>
      <c r="K202" s="89" t="str">
        <f t="shared" si="61"/>
        <v>4015/4016</v>
      </c>
      <c r="L202" s="21" t="str">
        <f>VLOOKUP(A202,'Trips&amp;Operators'!$C$1:$G$99999,5,FALSE)</f>
        <v>DELGADO DIANAH</v>
      </c>
      <c r="M202" s="6">
        <f t="shared" si="62"/>
        <v>1.2314814812270924E-2</v>
      </c>
      <c r="N202" s="7">
        <f t="shared" si="83"/>
        <v>17.733333329670131</v>
      </c>
      <c r="O202" s="7"/>
      <c r="P202" s="7"/>
      <c r="Q202" s="22"/>
      <c r="R202" s="170"/>
      <c r="S202" s="213">
        <f t="shared" si="84"/>
        <v>1</v>
      </c>
      <c r="T202" s="195" t="str">
        <f t="shared" si="63"/>
        <v>Southbound</v>
      </c>
      <c r="U202" s="19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6" t="str">
        <f t="shared" si="64"/>
        <v>https://d0f6bd738d7f1b3e5a7ca70fe4ff75f0.us-east-1.aws.found.io/app/kibana#/discover/Steve-Slow-Train-Analysis-(2080s-and-2083s)?_g=(refreshInterval:(display:Off,pause:!f,section:0,value:0),time:(from:'2017-06-30T17:37:12-0600',mode:absolute,to:'2017-06-30T19:57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2" s="197" t="str">
        <f>IF(AA202&lt;VLOOKUP(AG202,Variables!$AC$3:$AD$8,2,FALSE),"Y","N")</f>
        <v>N</v>
      </c>
      <c r="X202" s="197">
        <f t="shared" si="85"/>
        <v>1</v>
      </c>
      <c r="Y202" s="197">
        <f t="shared" si="86"/>
        <v>5.8630000000000004</v>
      </c>
      <c r="Z202" s="197">
        <f t="shared" si="87"/>
        <v>6.8699999999999997E-2</v>
      </c>
      <c r="AA202" s="197">
        <f t="shared" si="65"/>
        <v>5.7943000000000007</v>
      </c>
      <c r="AB202" s="54" t="e">
        <f>VLOOKUP(A202,Enforcements!$C$7:$K$13,8,0)</f>
        <v>#N/A</v>
      </c>
      <c r="AC202" s="51" t="e">
        <f>VLOOKUP(A202,Enforcements!$C$7:$E$13,3,0)</f>
        <v>#N/A</v>
      </c>
      <c r="AD202" s="206">
        <f t="shared" si="66"/>
        <v>838</v>
      </c>
      <c r="AE202" s="77" t="str">
        <f t="shared" si="67"/>
        <v>aws s3 cp s3://rtdc.mdm.uploadarchive.raw/RTDC4015/ "%USERPROFILE%\AppData\Local\Temp\OnboardLogs"\RTDC4015\2017-06-30 --exclude "*" --recursive --include "*20170630*" &amp; "%USERPROFILE%\Documents\GitHub\mrs-test-scripts\Headless Mode &amp; Sideloading\WalkAndUnGZ.bat" "%USERPROFILE%\AppData\Local\Temp\OnboardLogs"\RTDC4015\2017-06-30 &amp; aws s3 cp s3://rtdc.mdm.uploadarchive.raw/RTDC4015/ "%USERPROFILE%\AppData\Local\Temp\OnboardLogs"\RTDC4015\2017-07-01 --exclude "*" --recursive --include "*20170701*" &amp; "%USERPROFILE%\Documents\GitHub\mrs-test-scripts\Headless Mode &amp; Sideloading\WalkAndUnGZ.bat" "%USERPROFILE%\AppData\Local\Temp\OnboardLogs"\RTDC4015\2017-07-01</v>
      </c>
      <c r="AF202" s="74" t="str">
        <f t="shared" si="68"/>
        <v>"C:\Program Files (x86)\AstroGrep\AstroGrep.exe" /e /r /s /spath="%USERPROFILE%\AppData\Local\Temp\OnboardLogs" /stypes="app*4015*20170701*" /stext=" 00:.+((SYSTEM_STATE.+slice.+state.+changed )|(ment ac)|(multiple cpu faults)|(system.+state.+changed )|(\[timeout)|(PRM\|1\|D)|(kpr)|(kdp)|(train st.+moving)|(\|lc)|(penalty))"</v>
      </c>
      <c r="AG202" s="209" t="str">
        <f t="shared" si="69"/>
        <v>NW</v>
      </c>
      <c r="AH202" s="78" t="str">
        <f t="shared" si="70"/>
        <v>"%USERPROFILE%\Documents\GitHub\eaglep3\Utilities\RefineRTDCRunTimes.py" --tripid 838-30 --locoid 4015 --swversion DE.1.0.9.0 --startMP 300:58630 --initTime 2017-06-30T18:37:12 --startdatetime 2017-06-30T18:39:33 --delay 1 --endMP 204:687 --enddatetime 2017-06-30T18:57:17 --enforcementcount 0 &gt;&gt;C:\Users\stu\Documents\GitHub\eaglep3-reporting\EC\2017-06-30-refined-times.txt</v>
      </c>
      <c r="AI202" s="96" t="str">
        <f t="shared" si="71"/>
        <v>echo {"issue":{"subject":"","project_id":79,"tracker_id":40,"status_id":1,"priority_id":2,"assigned_to_id":23,"start_date":"2017-06-30","description":"","custom_fields":[{"id":1,"name":"Subdivision","value":"NW"},{"id":4,"name":"Milepost","value":"0.0687"},{"id":17,"name":"Train ID","value":"838-30"},{"id":16,"name":"Locomotive ID","value":"4015"},{"id":130,"name":"Impact","value":""},{"id":150,"name":"Time of Event (Mountain Time)","value":"18:57:17"},{"id":151,"name":"Denver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2" s="47"/>
      <c r="AL202" s="47"/>
      <c r="AM202" s="142" t="str">
        <f t="shared" si="72"/>
        <v>start /low /b %USERPROFILE%\Documents\GitHub\eaglep3\Utilities\DownloadLogsFromS3.py --loco 4015 --day 2017-06-30</v>
      </c>
      <c r="AN202" s="151" t="str">
        <f t="shared" si="7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00:57:17"},{"id":29,"name":"Sharepoint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x14ac:dyDescent="0.25">
      <c r="A203" s="32" t="s">
        <v>799</v>
      </c>
      <c r="B203" s="7">
        <v>4058</v>
      </c>
      <c r="C203" s="21" t="s">
        <v>200</v>
      </c>
      <c r="D203" s="21" t="s">
        <v>1041</v>
      </c>
      <c r="E203" s="13">
        <v>42916.76834490741</v>
      </c>
      <c r="F203" s="13">
        <v>42916.785590277781</v>
      </c>
      <c r="G203" s="7">
        <v>0</v>
      </c>
      <c r="H203" s="21" t="s">
        <v>1042</v>
      </c>
      <c r="I203" s="13">
        <v>42916.794490740744</v>
      </c>
      <c r="J203" s="7">
        <v>0</v>
      </c>
      <c r="K203" s="89" t="str">
        <f t="shared" si="61"/>
        <v>4057/4058</v>
      </c>
      <c r="L203" s="21" t="str">
        <f>VLOOKUP(A203,'Trips&amp;Operators'!$C$1:$G$99999,5,FALSE)</f>
        <v>YORK EDGAR</v>
      </c>
      <c r="M203" s="6">
        <f t="shared" si="62"/>
        <v>8.9004629626288079E-3</v>
      </c>
      <c r="N203" s="7">
        <f t="shared" si="83"/>
        <v>12.816666666185483</v>
      </c>
      <c r="O203" s="7"/>
      <c r="P203" s="7"/>
      <c r="Q203" s="22"/>
      <c r="R203" s="170"/>
      <c r="S203" s="213">
        <f t="shared" si="84"/>
        <v>1</v>
      </c>
      <c r="T203" s="195" t="str">
        <f t="shared" si="63"/>
        <v>NorthBound</v>
      </c>
      <c r="U203" s="19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6" t="str">
        <f t="shared" si="64"/>
        <v>https://d0f6bd738d7f1b3e5a7ca70fe4ff75f0.us-east-1.aws.found.io/app/kibana#/discover/Steve-Slow-Train-Analysis-(2080s-and-2083s)?_g=(refreshInterval:(display:Off,pause:!f,section:0,value:0),time:(from:'2017-06-30T17:26:25-0600',mode:absolute,to:'2017-06-30T20:04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03" s="197" t="str">
        <f>IF(AA203&lt;VLOOKUP(AG203,Variables!$AC$3:$AD$8,2,FALSE),"Y","N")</f>
        <v>N</v>
      </c>
      <c r="X203" s="197">
        <f t="shared" si="85"/>
        <v>1</v>
      </c>
      <c r="Y203" s="197">
        <f t="shared" si="86"/>
        <v>0.1021</v>
      </c>
      <c r="Z203" s="197">
        <f t="shared" si="87"/>
        <v>5.8917999999999999</v>
      </c>
      <c r="AA203" s="197">
        <f t="shared" si="65"/>
        <v>5.7896999999999998</v>
      </c>
      <c r="AB203" s="54" t="e">
        <f>VLOOKUP(A203,Enforcements!$C$7:$K$13,8,0)</f>
        <v>#N/A</v>
      </c>
      <c r="AC203" s="51" t="e">
        <f>VLOOKUP(A203,Enforcements!$C$7:$E$13,3,0)</f>
        <v>#N/A</v>
      </c>
      <c r="AD203" s="206">
        <f t="shared" si="66"/>
        <v>839</v>
      </c>
      <c r="AE203" s="77" t="str">
        <f t="shared" si="67"/>
        <v>aws s3 cp s3://rtdc.mdm.uploadarchive.raw/RTDC4058/ "%USERPROFILE%\AppData\Local\Temp\OnboardLogs"\RTDC4058\2017-06-30 --exclude "*" --recursive --include "*20170630*" &amp; "%USERPROFILE%\Documents\GitHub\mrs-test-scripts\Headless Mode &amp; Sideloading\WalkAndUnGZ.bat" "%USERPROFILE%\AppData\Local\Temp\OnboardLogs"\RTDC4058\2017-06-30 &amp; aws s3 cp s3://rtdc.mdm.uploadarchive.raw/RTDC4058/ "%USERPROFILE%\AppData\Local\Temp\OnboardLogs"\RTDC4058\2017-07-01 --exclude "*" --recursive --include "*20170701*" &amp; "%USERPROFILE%\Documents\GitHub\mrs-test-scripts\Headless Mode &amp; Sideloading\WalkAndUnGZ.bat" "%USERPROFILE%\AppData\Local\Temp\OnboardLogs"\RTDC4058\2017-07-01</v>
      </c>
      <c r="AF203" s="74" t="str">
        <f t="shared" si="68"/>
        <v>"C:\Program Files (x86)\AstroGrep\AstroGrep.exe" /e /r /s /spath="%USERPROFILE%\AppData\Local\Temp\OnboardLogs" /stypes="app*4058*20170701*" /stext=" 01:.+((SYSTEM_STATE.+slice.+state.+changed )|(ment ac)|(multiple cpu faults)|(system.+state.+changed )|(\[timeout)|(PRM\|1\|D)|(kpr)|(kdp)|(train st.+moving)|(\|lc)|(penalty))"</v>
      </c>
      <c r="AG203" s="209" t="str">
        <f t="shared" si="69"/>
        <v>NW</v>
      </c>
      <c r="AH203" s="78" t="str">
        <f t="shared" si="70"/>
        <v>"%USERPROFILE%\Documents\GitHub\eaglep3\Utilities\RefineRTDCRunTimes.py" --tripid 839-30 --locoid 4058 --swversion DE.1.0.9.0 --startMP 204:1021 --initTime 2017-06-30T18:26:25 --startdatetime 2017-06-30T18:51:15 --delay 0 --endMP 300:58918 --enddatetime 2017-06-30T19:04:04 --enforcementcount 0 &gt;&gt;C:\Users\stu\Documents\GitHub\eaglep3-reporting\EC\2017-06-30-refined-times.txt</v>
      </c>
      <c r="AI203" s="96" t="str">
        <f t="shared" si="71"/>
        <v>echo {"issue":{"subject":"","project_id":79,"tracker_id":40,"status_id":1,"priority_id":2,"assigned_to_id":23,"start_date":"2017-06-30","description":"","custom_fields":[{"id":1,"name":"Subdivision","value":"NW"},{"id":4,"name":"Milepost","value":"5.8918"},{"id":17,"name":"Train ID","value":"839-30"},{"id":16,"name":"Locomotive ID","value":"4058"},{"id":130,"name":"Impact","value":""},{"id":150,"name":"Time of Event (Mountain Time)","value":"19:04:04"},{"id":151,"name":"Denver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2" t="str">
        <f t="shared" si="72"/>
        <v>start /low /b %USERPROFILE%\Documents\GitHub\eaglep3\Utilities\DownloadLogsFromS3.py --loco 4058 --day 2017-06-30</v>
      </c>
      <c r="AN203" s="151" t="str">
        <f t="shared" si="7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01:04:04"},{"id":29,"name":"Sharepoint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/>
    </row>
    <row r="204" spans="1:91" x14ac:dyDescent="0.25">
      <c r="A204" s="32" t="s">
        <v>809</v>
      </c>
      <c r="B204" s="7">
        <v>4015</v>
      </c>
      <c r="C204" s="21" t="s">
        <v>200</v>
      </c>
      <c r="D204" s="21" t="s">
        <v>1019</v>
      </c>
      <c r="E204" s="13">
        <v>42916.818703703706</v>
      </c>
      <c r="F204" s="13">
        <v>42916.820069444446</v>
      </c>
      <c r="G204" s="7">
        <v>1</v>
      </c>
      <c r="H204" s="21" t="s">
        <v>1043</v>
      </c>
      <c r="I204" s="13">
        <v>42916.829756944448</v>
      </c>
      <c r="J204" s="7">
        <v>0</v>
      </c>
      <c r="K204" s="89" t="str">
        <f t="shared" si="61"/>
        <v>4015/4016</v>
      </c>
      <c r="L204" s="21" t="str">
        <f>VLOOKUP(A204,'Trips&amp;Operators'!$C$1:$G$99999,5,FALSE)</f>
        <v>DELGADO DIANAH</v>
      </c>
      <c r="M204" s="6">
        <f t="shared" si="62"/>
        <v>9.6875000017462298E-3</v>
      </c>
      <c r="N204" s="7">
        <f t="shared" si="83"/>
        <v>13.950000002514571</v>
      </c>
      <c r="O204" s="7"/>
      <c r="P204" s="7"/>
      <c r="Q204" s="22"/>
      <c r="R204" s="170"/>
      <c r="S204" s="213">
        <f t="shared" si="84"/>
        <v>1</v>
      </c>
      <c r="T204" s="195" t="str">
        <f t="shared" si="63"/>
        <v>Southbound</v>
      </c>
      <c r="U204" s="19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6" t="str">
        <f t="shared" si="64"/>
        <v>https://d0f6bd738d7f1b3e5a7ca70fe4ff75f0.us-east-1.aws.found.io/app/kibana#/discover/Steve-Slow-Train-Analysis-(2080s-and-2083s)?_g=(refreshInterval:(display:Off,pause:!f,section:0,value:0),time:(from:'2017-06-30T18:38:56-0600',mode:absolute,to:'2017-06-30T20:54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4" s="197" t="str">
        <f>IF(AA204&lt;VLOOKUP(AG204,Variables!$AC$3:$AD$8,2,FALSE),"Y","N")</f>
        <v>N</v>
      </c>
      <c r="X204" s="197">
        <f t="shared" si="85"/>
        <v>1</v>
      </c>
      <c r="Y204" s="197">
        <f t="shared" si="86"/>
        <v>5.8616999999999999</v>
      </c>
      <c r="Z204" s="197">
        <f t="shared" si="87"/>
        <v>6.6299999999999998E-2</v>
      </c>
      <c r="AA204" s="197">
        <f t="shared" si="65"/>
        <v>5.7953999999999999</v>
      </c>
      <c r="AB204" s="54" t="e">
        <f>VLOOKUP(A204,Enforcements!$C$7:$K$13,8,0)</f>
        <v>#N/A</v>
      </c>
      <c r="AC204" s="51" t="e">
        <f>VLOOKUP(A204,Enforcements!$C$7:$E$13,3,0)</f>
        <v>#N/A</v>
      </c>
      <c r="AD204" s="206">
        <f t="shared" si="66"/>
        <v>840</v>
      </c>
      <c r="AE204" s="77" t="str">
        <f t="shared" si="67"/>
        <v>aws s3 cp s3://rtdc.mdm.uploadarchive.raw/RTDC4015/ "%USERPROFILE%\AppData\Local\Temp\OnboardLogs"\RTDC4015\2017-06-30 --exclude "*" --recursive --include "*20170630*" &amp; "%USERPROFILE%\Documents\GitHub\mrs-test-scripts\Headless Mode &amp; Sideloading\WalkAndUnGZ.bat" "%USERPROFILE%\AppData\Local\Temp\OnboardLogs"\RTDC4015\2017-06-30 &amp; aws s3 cp s3://rtdc.mdm.uploadarchive.raw/RTDC4015/ "%USERPROFILE%\AppData\Local\Temp\OnboardLogs"\RTDC4015\2017-07-01 --exclude "*" --recursive --include "*20170701*" &amp; "%USERPROFILE%\Documents\GitHub\mrs-test-scripts\Headless Mode &amp; Sideloading\WalkAndUnGZ.bat" "%USERPROFILE%\AppData\Local\Temp\OnboardLogs"\RTDC4015\2017-07-01</v>
      </c>
      <c r="AF204" s="74" t="str">
        <f t="shared" si="68"/>
        <v>"C:\Program Files (x86)\AstroGrep\AstroGrep.exe" /e /r /s /spath="%USERPROFILE%\AppData\Local\Temp\OnboardLogs" /stypes="app*4015*20170701*" /stext=" 01:.+((SYSTEM_STATE.+slice.+state.+changed )|(ment ac)|(multiple cpu faults)|(system.+state.+changed )|(\[timeout)|(PRM\|1\|D)|(kpr)|(kdp)|(train st.+moving)|(\|lc)|(penalty))"</v>
      </c>
      <c r="AG204" s="209" t="str">
        <f t="shared" si="69"/>
        <v>NW</v>
      </c>
      <c r="AH204" s="78" t="str">
        <f t="shared" si="70"/>
        <v>"%USERPROFILE%\Documents\GitHub\eaglep3\Utilities\RefineRTDCRunTimes.py" --tripid 840-30 --locoid 4015 --swversion DE.1.0.9.0 --startMP 300:58617 --initTime 2017-06-30T19:38:56 --startdatetime 2017-06-30T19:40:54 --delay 1 --endMP 204:663 --enddatetime 2017-06-30T19:54:51 --enforcementcount 0 &gt;&gt;C:\Users\stu\Documents\GitHub\eaglep3-reporting\EC\2017-06-30-refined-times.txt</v>
      </c>
      <c r="AI204" s="96" t="str">
        <f t="shared" si="71"/>
        <v>echo {"issue":{"subject":"","project_id":79,"tracker_id":40,"status_id":1,"priority_id":2,"assigned_to_id":23,"start_date":"2017-06-30","description":"","custom_fields":[{"id":1,"name":"Subdivision","value":"NW"},{"id":4,"name":"Milepost","value":"0.0663"},{"id":17,"name":"Train ID","value":"840-30"},{"id":16,"name":"Locomotive ID","value":"4015"},{"id":130,"name":"Impact","value":""},{"id":150,"name":"Time of Event (Mountain Time)","value":"19:54:51"},{"id":151,"name":"Denver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2" t="str">
        <f t="shared" si="72"/>
        <v>start /low /b %USERPROFILE%\Documents\GitHub\eaglep3\Utilities\DownloadLogsFromS3.py --loco 4015 --day 2017-06-30</v>
      </c>
      <c r="AN204" s="151" t="str">
        <f t="shared" si="7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01:54:51"},{"id":29,"name":"Sharepoint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/>
    </row>
    <row r="205" spans="1:91" x14ac:dyDescent="0.25">
      <c r="A205" s="32" t="s">
        <v>631</v>
      </c>
      <c r="B205" s="7">
        <v>4016</v>
      </c>
      <c r="C205" s="21" t="s">
        <v>200</v>
      </c>
      <c r="D205" s="21" t="s">
        <v>1017</v>
      </c>
      <c r="E205" s="13">
        <v>42916.794340277775</v>
      </c>
      <c r="F205" s="13">
        <v>42916.806423611109</v>
      </c>
      <c r="G205" s="7">
        <v>2</v>
      </c>
      <c r="H205" s="21" t="s">
        <v>988</v>
      </c>
      <c r="I205" s="13">
        <v>42916.816504629627</v>
      </c>
      <c r="J205" s="7">
        <v>0</v>
      </c>
      <c r="K205" s="89" t="str">
        <f t="shared" ref="K205:K268" si="88">IF(ISEVEN(B205),(B205-1)&amp;"/"&amp;B205,B205&amp;"/"&amp;(B205+1))</f>
        <v>4015/4016</v>
      </c>
      <c r="L205" s="21" t="str">
        <f>VLOOKUP(A205,'Trips&amp;Operators'!$C$1:$G$99999,5,FALSE)</f>
        <v>DELGADO DIANAH</v>
      </c>
      <c r="M205" s="6">
        <f t="shared" ref="M205:M268" si="89">I205-F205</f>
        <v>1.0081018517666962E-2</v>
      </c>
      <c r="N205" s="7">
        <f t="shared" si="83"/>
        <v>14.516666665440425</v>
      </c>
      <c r="O205" s="7"/>
      <c r="P205" s="7"/>
      <c r="Q205" s="22"/>
      <c r="R205" s="170"/>
      <c r="S205" s="213">
        <f t="shared" si="84"/>
        <v>1</v>
      </c>
      <c r="T205" s="195" t="str">
        <f t="shared" ref="T205:T268" si="90">IF(ISEVEN(LEFT(AD205,4)),"Southbound","NorthBound")</f>
        <v>NorthBound</v>
      </c>
      <c r="U205" s="19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6" t="str">
        <f t="shared" ref="V205:V268" si="91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-06-30T18:03:51-0600',mode:absolute,to:'2017-06-30T20:35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5" s="197" t="str">
        <f>IF(AA205&lt;VLOOKUP(AG205,Variables!$AC$3:$AD$8,2,FALSE),"Y","N")</f>
        <v>N</v>
      </c>
      <c r="X205" s="197">
        <f t="shared" si="85"/>
        <v>1</v>
      </c>
      <c r="Y205" s="197">
        <f t="shared" si="86"/>
        <v>9.5299999999999996E-2</v>
      </c>
      <c r="Z205" s="197">
        <f t="shared" si="87"/>
        <v>5.8929</v>
      </c>
      <c r="AA205" s="197">
        <f t="shared" ref="AA205:AA268" si="92">ABS(Z205-Y205)</f>
        <v>5.7976000000000001</v>
      </c>
      <c r="AB205" s="54" t="e">
        <f>VLOOKUP(A205,Enforcements!$C$7:$K$13,8,0)</f>
        <v>#N/A</v>
      </c>
      <c r="AC205" s="51" t="e">
        <f>VLOOKUP(A205,Enforcements!$C$7:$E$13,3,0)</f>
        <v>#N/A</v>
      </c>
      <c r="AD205" s="206">
        <f t="shared" ref="AD205:AD268" si="93">VALUE(LEFT(A205,LEN(A205)-3))</f>
        <v>841</v>
      </c>
      <c r="AE205" s="77" t="str">
        <f t="shared" ref="AE205:AE268" si="94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s3://rtdc.mdm.uploadarchive.raw/RTDC4016/ "%USERPROFILE%\AppData\Local\Temp\OnboardLogs"\RTDC4016\2017-06-30 --exclude "*" --recursive --include "*20170630*" &amp; "%USERPROFILE%\Documents\GitHub\mrs-test-scripts\Headless Mode &amp; Sideloading\WalkAndUnGZ.bat" "%USERPROFILE%\AppData\Local\Temp\OnboardLogs"\RTDC4016\2017-06-30 &amp; aws s3 cp s3://rtdc.mdm.uploadarchive.raw/RTDC4016/ "%USERPROFILE%\AppData\Local\Temp\OnboardLogs"\RTDC4016\2017-07-01 --exclude "*" --recursive --include "*20170701*" &amp; "%USERPROFILE%\Documents\GitHub\mrs-test-scripts\Headless Mode &amp; Sideloading\WalkAndUnGZ.bat" "%USERPROFILE%\AppData\Local\Temp\OnboardLogs"\RTDC4016\2017-07-01</v>
      </c>
      <c r="AF205" s="74" t="str">
        <f t="shared" ref="AF205:AF268" si="95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/stypes="app*4016*20170701*" /stext=" 01:.+((SYSTEM_STATE.+slice.+state.+changed )|(ment ac)|(multiple cpu faults)|(system.+state.+changed )|(\[timeout)|(PRM\|1\|D)|(kpr)|(kdp)|(train st.+moving)|(\|lc)|(penalty))"</v>
      </c>
      <c r="AG205" s="209" t="str">
        <f t="shared" ref="AG205:AG268" si="96">DetSubdiv(A205)</f>
        <v>NW</v>
      </c>
      <c r="AH205" s="78" t="str">
        <f t="shared" ref="AH205:AH268" si="97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841-30 --locoid 4016 --swversion DE.1.0.9.0 --startMP 204:953 --initTime 2017-06-30T19:03:51 --startdatetime 2017-06-30T19:21:15 --delay 2 --endMP 300:58929 --enddatetime 2017-06-30T19:35:46 --enforcementcount 0 &gt;&gt;C:\Users\stu\Documents\GitHub\eaglep3-reporting\EC\2017-06-30-refined-times.txt</v>
      </c>
      <c r="AI205" s="96" t="str">
        <f t="shared" ref="AI205:AI268" si="98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{"issue":{"subject":"","project_id":79,"tracker_id":40,"status_id":1,"priority_id":2,"assigned_to_id":23,"start_date":"2017-06-30","description":"","custom_fields":[{"id":1,"name":"Subdivision","value":"NW"},{"id":4,"name":"Milepost","value":"5.8929"},{"id":17,"name":"Train ID","value":"841-30"},{"id":16,"name":"Locomotive ID","value":"4016"},{"id":130,"name":"Impact","value":""},{"id":150,"name":"Time of Event (Mountain Time)","value":"19:35:46"},{"id":151,"name":"Denver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2" t="str">
        <f t="shared" ref="AM205:AM268" si="99">"start /low /b "&amp;dls3logs&amp;" --loco "&amp;B205&amp;" --day "&amp;TEXT(F205,"YYYY-MM-DD")</f>
        <v>start /low /b %USERPROFILE%\Documents\GitHub\eaglep3\Utilities\DownloadLogsFromS3.py --loco 4016 --day 2017-06-30</v>
      </c>
      <c r="AN205" s="151" t="str">
        <f t="shared" ref="AN205:AN268" si="100">"echo {""issue"":{""subject"":"""&amp;R205&amp;""",""project_id"":30,""tracker_id"":4,""status_id"":"&amp;redmine_status_wcr&amp;",""priority_id"":"&amp;redmine_priority_wcr&amp;",""assigned_to_id"":"&amp;redmine_assignee_wcr&amp;",""start_date"":"""&amp;TEXT(I205-utc_offset/24,"YYYY-mm-dd")&amp;""",""description"":"""&amp;AJ205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01:35:46"},{"id":29,"name":"Sharepoint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/>
    </row>
    <row r="206" spans="1:91" x14ac:dyDescent="0.25">
      <c r="A206" s="32" t="s">
        <v>815</v>
      </c>
      <c r="B206" s="7">
        <v>4015</v>
      </c>
      <c r="C206" s="21" t="s">
        <v>200</v>
      </c>
      <c r="D206" s="21" t="s">
        <v>482</v>
      </c>
      <c r="E206" s="13">
        <v>42916.859131944446</v>
      </c>
      <c r="F206" s="13">
        <v>42916.860671296294</v>
      </c>
      <c r="G206" s="7">
        <v>1</v>
      </c>
      <c r="H206" s="21" t="s">
        <v>1032</v>
      </c>
      <c r="I206" s="13">
        <v>42916.871215277781</v>
      </c>
      <c r="J206" s="7">
        <v>0</v>
      </c>
      <c r="K206" s="89" t="str">
        <f t="shared" si="88"/>
        <v>4015/4016</v>
      </c>
      <c r="L206" s="21" t="str">
        <f>VLOOKUP(A206,'Trips&amp;Operators'!$C$1:$G$99999,5,FALSE)</f>
        <v>DELGADO DIANAH</v>
      </c>
      <c r="M206" s="6">
        <f t="shared" si="89"/>
        <v>1.0543981486989651E-2</v>
      </c>
      <c r="N206" s="7">
        <f t="shared" ref="N206:P237" si="101">24*60*SUM($M206:$M206)</f>
        <v>15.183333341265097</v>
      </c>
      <c r="O206" s="7"/>
      <c r="P206" s="7"/>
      <c r="Q206" s="22"/>
      <c r="R206" s="170"/>
      <c r="S206" s="213">
        <f t="shared" si="84"/>
        <v>1</v>
      </c>
      <c r="T206" s="195" t="str">
        <f t="shared" si="90"/>
        <v>Southbound</v>
      </c>
      <c r="U206" s="19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6" t="str">
        <f t="shared" si="91"/>
        <v>https://d0f6bd738d7f1b3e5a7ca70fe4ff75f0.us-east-1.aws.found.io/app/kibana#/discover/Steve-Slow-Train-Analysis-(2080s-and-2083s)?_g=(refreshInterval:(display:Off,pause:!f,section:0,value:0),time:(from:'2017-06-30T19:37:09-0600',mode:absolute,to:'2017-06-30T21:54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6" s="197" t="str">
        <f>IF(AA206&lt;VLOOKUP(AG206,Variables!$AC$3:$AD$8,2,FALSE),"Y","N")</f>
        <v>N</v>
      </c>
      <c r="X206" s="197">
        <f t="shared" si="85"/>
        <v>1</v>
      </c>
      <c r="Y206" s="197">
        <f t="shared" si="86"/>
        <v>5.8620999999999999</v>
      </c>
      <c r="Z206" s="197">
        <f t="shared" si="87"/>
        <v>6.6400000000000001E-2</v>
      </c>
      <c r="AA206" s="197">
        <f t="shared" si="92"/>
        <v>5.7957000000000001</v>
      </c>
      <c r="AB206" s="54" t="e">
        <f>VLOOKUP(A206,Enforcements!$C$7:$K$13,8,0)</f>
        <v>#N/A</v>
      </c>
      <c r="AC206" s="51" t="e">
        <f>VLOOKUP(A206,Enforcements!$C$7:$E$13,3,0)</f>
        <v>#N/A</v>
      </c>
      <c r="AD206" s="206">
        <f t="shared" si="93"/>
        <v>842</v>
      </c>
      <c r="AE206" s="77" t="str">
        <f t="shared" si="94"/>
        <v>aws s3 cp s3://rtdc.mdm.uploadarchive.raw/RTDC4015/ "%USERPROFILE%\AppData\Local\Temp\OnboardLogs"\RTDC4015\2017-06-30 --exclude "*" --recursive --include "*20170630*" &amp; "%USERPROFILE%\Documents\GitHub\mrs-test-scripts\Headless Mode &amp; Sideloading\WalkAndUnGZ.bat" "%USERPROFILE%\AppData\Local\Temp\OnboardLogs"\RTDC4015\2017-06-30 &amp; aws s3 cp s3://rtdc.mdm.uploadarchive.raw/RTDC4015/ "%USERPROFILE%\AppData\Local\Temp\OnboardLogs"\RTDC4015\2017-07-01 --exclude "*" --recursive --include "*20170701*" &amp; "%USERPROFILE%\Documents\GitHub\mrs-test-scripts\Headless Mode &amp; Sideloading\WalkAndUnGZ.bat" "%USERPROFILE%\AppData\Local\Temp\OnboardLogs"\RTDC4015\2017-07-01</v>
      </c>
      <c r="AF206" s="74" t="str">
        <f t="shared" si="95"/>
        <v>"C:\Program Files (x86)\AstroGrep\AstroGrep.exe" /e /r /s /spath="%USERPROFILE%\AppData\Local\Temp\OnboardLogs" /stypes="app*4015*20170701*" /stext=" 02:.+((SYSTEM_STATE.+slice.+state.+changed )|(ment ac)|(multiple cpu faults)|(system.+state.+changed )|(\[timeout)|(PRM\|1\|D)|(kpr)|(kdp)|(train st.+moving)|(\|lc)|(penalty))"</v>
      </c>
      <c r="AG206" s="209" t="str">
        <f t="shared" si="96"/>
        <v>NW</v>
      </c>
      <c r="AH206" s="78" t="str">
        <f t="shared" si="97"/>
        <v>"%USERPROFILE%\Documents\GitHub\eaglep3\Utilities\RefineRTDCRunTimes.py" --tripid 842-30 --locoid 4015 --swversion DE.1.0.9.0 --startMP 300:58621 --initTime 2017-06-30T20:37:09 --startdatetime 2017-06-30T20:39:22 --delay 1 --endMP 204:664 --enddatetime 2017-06-30T20:54:33 --enforcementcount 0 &gt;&gt;C:\Users\stu\Documents\GitHub\eaglep3-reporting\EC\2017-06-30-refined-times.txt</v>
      </c>
      <c r="AI206" s="96" t="str">
        <f t="shared" si="98"/>
        <v>echo {"issue":{"subject":"","project_id":79,"tracker_id":40,"status_id":1,"priority_id":2,"assigned_to_id":23,"start_date":"2017-06-30","description":"","custom_fields":[{"id":1,"name":"Subdivision","value":"NW"},{"id":4,"name":"Milepost","value":"0.0664"},{"id":17,"name":"Train ID","value":"842-30"},{"id":16,"name":"Locomotive ID","value":"4015"},{"id":130,"name":"Impact","value":""},{"id":150,"name":"Time of Event (Mountain Time)","value":"20:54:33"},{"id":151,"name":"Denver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2" t="str">
        <f t="shared" si="99"/>
        <v>start /low /b %USERPROFILE%\Documents\GitHub\eaglep3\Utilities\DownloadLogsFromS3.py --loco 4015 --day 2017-06-30</v>
      </c>
      <c r="AN206" s="151" t="str">
        <f t="shared" si="100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02:54:33"},{"id":29,"name":"Sharepoint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/>
    </row>
    <row r="207" spans="1:91" x14ac:dyDescent="0.25">
      <c r="A207" s="32" t="s">
        <v>812</v>
      </c>
      <c r="B207" s="7">
        <v>4016</v>
      </c>
      <c r="C207" s="21" t="s">
        <v>200</v>
      </c>
      <c r="D207" s="21" t="s">
        <v>1044</v>
      </c>
      <c r="E207" s="13">
        <v>42916.841909722221</v>
      </c>
      <c r="F207" s="13">
        <v>42916.848078703704</v>
      </c>
      <c r="G207" s="7">
        <v>1</v>
      </c>
      <c r="H207" s="21" t="s">
        <v>1038</v>
      </c>
      <c r="I207" s="13">
        <v>42916.857743055552</v>
      </c>
      <c r="J207" s="7">
        <v>0</v>
      </c>
      <c r="K207" s="89" t="str">
        <f t="shared" si="88"/>
        <v>4015/4016</v>
      </c>
      <c r="L207" s="21" t="str">
        <f>VLOOKUP(A207,'Trips&amp;Operators'!$C$1:$G$99999,5,FALSE)</f>
        <v>DELGADO DIANAH</v>
      </c>
      <c r="M207" s="6">
        <f t="shared" si="89"/>
        <v>9.6643518481869251E-3</v>
      </c>
      <c r="N207" s="7">
        <f t="shared" si="101"/>
        <v>13.916666661389172</v>
      </c>
      <c r="O207" s="7"/>
      <c r="P207" s="7"/>
      <c r="Q207" s="22"/>
      <c r="R207" s="170"/>
      <c r="S207" s="213">
        <f t="shared" si="84"/>
        <v>1</v>
      </c>
      <c r="T207" s="195" t="str">
        <f t="shared" si="90"/>
        <v>NorthBound</v>
      </c>
      <c r="U207" s="19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6" t="str">
        <f t="shared" si="91"/>
        <v>https://d0f6bd738d7f1b3e5a7ca70fe4ff75f0.us-east-1.aws.found.io/app/kibana#/discover/Steve-Slow-Train-Analysis-(2080s-and-2083s)?_g=(refreshInterval:(display:Off,pause:!f,section:0,value:0),time:(from:'2017-06-30T19:12:21-0600',mode:absolute,to:'2017-06-30T21:35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7" s="197" t="str">
        <f>IF(AA207&lt;VLOOKUP(AG207,Variables!$AC$3:$AD$8,2,FALSE),"Y","N")</f>
        <v>N</v>
      </c>
      <c r="X207" s="197">
        <f t="shared" si="85"/>
        <v>1</v>
      </c>
      <c r="Y207" s="197">
        <f t="shared" si="86"/>
        <v>9.3899999999999997E-2</v>
      </c>
      <c r="Z207" s="197">
        <f t="shared" si="87"/>
        <v>5.8930999999999996</v>
      </c>
      <c r="AA207" s="197">
        <f t="shared" si="92"/>
        <v>5.7991999999999999</v>
      </c>
      <c r="AB207" s="54" t="e">
        <f>VLOOKUP(A207,Enforcements!$C$7:$K$13,8,0)</f>
        <v>#N/A</v>
      </c>
      <c r="AC207" s="51" t="e">
        <f>VLOOKUP(A207,Enforcements!$C$7:$E$13,3,0)</f>
        <v>#N/A</v>
      </c>
      <c r="AD207" s="206">
        <f t="shared" si="93"/>
        <v>843</v>
      </c>
      <c r="AE207" s="77" t="str">
        <f t="shared" si="94"/>
        <v>aws s3 cp s3://rtdc.mdm.uploadarchive.raw/RTDC4016/ "%USERPROFILE%\AppData\Local\Temp\OnboardLogs"\RTDC4016\2017-06-30 --exclude "*" --recursive --include "*20170630*" &amp; "%USERPROFILE%\Documents\GitHub\mrs-test-scripts\Headless Mode &amp; Sideloading\WalkAndUnGZ.bat" "%USERPROFILE%\AppData\Local\Temp\OnboardLogs"\RTDC4016\2017-06-30 &amp; aws s3 cp s3://rtdc.mdm.uploadarchive.raw/RTDC4016/ "%USERPROFILE%\AppData\Local\Temp\OnboardLogs"\RTDC4016\2017-07-01 --exclude "*" --recursive --include "*20170701*" &amp; "%USERPROFILE%\Documents\GitHub\mrs-test-scripts\Headless Mode &amp; Sideloading\WalkAndUnGZ.bat" "%USERPROFILE%\AppData\Local\Temp\OnboardLogs"\RTDC4016\2017-07-01</v>
      </c>
      <c r="AF207" s="74" t="str">
        <f t="shared" si="95"/>
        <v>"C:\Program Files (x86)\AstroGrep\AstroGrep.exe" /e /r /s /spath="%USERPROFILE%\AppData\Local\Temp\OnboardLogs" /stypes="app*4016*20170701*" /stext=" 02:.+((SYSTEM_STATE.+slice.+state.+changed )|(ment ac)|(multiple cpu faults)|(system.+state.+changed )|(\[timeout)|(PRM\|1\|D)|(kpr)|(kdp)|(train st.+moving)|(\|lc)|(penalty))"</v>
      </c>
      <c r="AG207" s="209" t="str">
        <f t="shared" si="96"/>
        <v>NW</v>
      </c>
      <c r="AH207" s="78" t="str">
        <f t="shared" si="97"/>
        <v>"%USERPROFILE%\Documents\GitHub\eaglep3\Utilities\RefineRTDCRunTimes.py" --tripid 843-30 --locoid 4016 --swversion DE.1.0.9.0 --startMP 204:939 --initTime 2017-06-30T20:12:21 --startdatetime 2017-06-30T20:21:14 --delay 1 --endMP 300:58931 --enddatetime 2017-06-30T20:35:09 --enforcementcount 0 &gt;&gt;C:\Users\stu\Documents\GitHub\eaglep3-reporting\EC\2017-06-30-refined-times.txt</v>
      </c>
      <c r="AI207" s="96" t="str">
        <f t="shared" si="98"/>
        <v>echo {"issue":{"subject":"","project_id":79,"tracker_id":40,"status_id":1,"priority_id":2,"assigned_to_id":23,"start_date":"2017-06-30","description":"","custom_fields":[{"id":1,"name":"Subdivision","value":"NW"},{"id":4,"name":"Milepost","value":"5.8931"},{"id":17,"name":"Train ID","value":"843-30"},{"id":16,"name":"Locomotive ID","value":"4016"},{"id":130,"name":"Impact","value":""},{"id":150,"name":"Time of Event (Mountain Time)","value":"20:35:09"},{"id":151,"name":"Denver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2" t="str">
        <f t="shared" si="99"/>
        <v>start /low /b %USERPROFILE%\Documents\GitHub\eaglep3\Utilities\DownloadLogsFromS3.py --loco 4016 --day 2017-06-30</v>
      </c>
      <c r="AN207" s="151" t="str">
        <f t="shared" si="100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02:35:09"},{"id":29,"name":"Sharepoint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/>
    </row>
    <row r="208" spans="1:91" x14ac:dyDescent="0.25">
      <c r="A208" s="32" t="s">
        <v>634</v>
      </c>
      <c r="B208" s="7">
        <v>4015</v>
      </c>
      <c r="C208" s="21" t="s">
        <v>200</v>
      </c>
      <c r="D208" s="21" t="s">
        <v>1019</v>
      </c>
      <c r="E208" s="13">
        <v>42916.900289351855</v>
      </c>
      <c r="F208" s="13">
        <v>42916.901759259257</v>
      </c>
      <c r="G208" s="7">
        <v>1</v>
      </c>
      <c r="H208" s="21" t="s">
        <v>1045</v>
      </c>
      <c r="I208" s="13">
        <v>42916.913113425922</v>
      </c>
      <c r="J208" s="7">
        <v>0</v>
      </c>
      <c r="K208" s="89" t="str">
        <f t="shared" si="88"/>
        <v>4015/4016</v>
      </c>
      <c r="L208" s="21" t="str">
        <f>VLOOKUP(A208,'Trips&amp;Operators'!$C$1:$G$99999,5,FALSE)</f>
        <v>LOPES KIMBERLY</v>
      </c>
      <c r="M208" s="6">
        <f t="shared" si="89"/>
        <v>1.1354166665114462E-2</v>
      </c>
      <c r="N208" s="7">
        <f t="shared" si="101"/>
        <v>16.349999997764826</v>
      </c>
      <c r="O208" s="7"/>
      <c r="P208" s="7"/>
      <c r="Q208" s="22"/>
      <c r="R208" s="170"/>
      <c r="S208" s="213">
        <f t="shared" si="84"/>
        <v>1</v>
      </c>
      <c r="T208" s="195" t="str">
        <f t="shared" si="90"/>
        <v>Southbound</v>
      </c>
      <c r="U208" s="19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6" t="str">
        <f t="shared" si="91"/>
        <v>https://d0f6bd738d7f1b3e5a7ca70fe4ff75f0.us-east-1.aws.found.io/app/kibana#/discover/Steve-Slow-Train-Analysis-(2080s-and-2083s)?_g=(refreshInterval:(display:Off,pause:!f,section:0,value:0),time:(from:'2017-06-30T20:36:25-0600',mode:absolute,to:'2017-06-30T22:54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8" s="197" t="str">
        <f>IF(AA208&lt;VLOOKUP(AG208,Variables!$AC$3:$AD$8,2,FALSE),"Y","N")</f>
        <v>N</v>
      </c>
      <c r="X208" s="197">
        <f t="shared" si="85"/>
        <v>1</v>
      </c>
      <c r="Y208" s="197">
        <f t="shared" si="86"/>
        <v>5.8616999999999999</v>
      </c>
      <c r="Z208" s="197">
        <f t="shared" si="87"/>
        <v>7.6200000000000004E-2</v>
      </c>
      <c r="AA208" s="197">
        <f t="shared" si="92"/>
        <v>5.7854999999999999</v>
      </c>
      <c r="AB208" s="54" t="e">
        <f>VLOOKUP(A208,Enforcements!$C$7:$K$13,8,0)</f>
        <v>#N/A</v>
      </c>
      <c r="AC208" s="51" t="e">
        <f>VLOOKUP(A208,Enforcements!$C$7:$E$13,3,0)</f>
        <v>#N/A</v>
      </c>
      <c r="AD208" s="206">
        <f t="shared" si="93"/>
        <v>844</v>
      </c>
      <c r="AE208" s="77" t="str">
        <f t="shared" si="94"/>
        <v>aws s3 cp s3://rtdc.mdm.uploadarchive.raw/RTDC4015/ "%USERPROFILE%\AppData\Local\Temp\OnboardLogs"\RTDC4015\2017-06-30 --exclude "*" --recursive --include "*20170630*" &amp; "%USERPROFILE%\Documents\GitHub\mrs-test-scripts\Headless Mode &amp; Sideloading\WalkAndUnGZ.bat" "%USERPROFILE%\AppData\Local\Temp\OnboardLogs"\RTDC4015\2017-06-30 &amp; aws s3 cp s3://rtdc.mdm.uploadarchive.raw/RTDC4015/ "%USERPROFILE%\AppData\Local\Temp\OnboardLogs"\RTDC4015\2017-07-01 --exclude "*" --recursive --include "*20170701*" &amp; "%USERPROFILE%\Documents\GitHub\mrs-test-scripts\Headless Mode &amp; Sideloading\WalkAndUnGZ.bat" "%USERPROFILE%\AppData\Local\Temp\OnboardLogs"\RTDC4015\2017-07-01</v>
      </c>
      <c r="AF208" s="74" t="str">
        <f t="shared" si="95"/>
        <v>"C:\Program Files (x86)\AstroGrep\AstroGrep.exe" /e /r /s /spath="%USERPROFILE%\AppData\Local\Temp\OnboardLogs" /stypes="app*4015*20170701*" /stext=" 03:.+((SYSTEM_STATE.+slice.+state.+changed )|(ment ac)|(multiple cpu faults)|(system.+state.+changed )|(\[timeout)|(PRM\|1\|D)|(kpr)|(kdp)|(train st.+moving)|(\|lc)|(penalty))"</v>
      </c>
      <c r="AG208" s="209" t="str">
        <f t="shared" si="96"/>
        <v>NW</v>
      </c>
      <c r="AH208" s="78" t="str">
        <f t="shared" si="97"/>
        <v>"%USERPROFILE%\Documents\GitHub\eaglep3\Utilities\RefineRTDCRunTimes.py" --tripid 844-30 --locoid 4015 --swversion DE.1.0.9.0 --startMP 300:58617 --initTime 2017-06-30T21:36:25 --startdatetime 2017-06-30T21:38:32 --delay 1 --endMP 204:762 --enddatetime 2017-06-30T21:54:53 --enforcementcount 0 &gt;&gt;C:\Users\stu\Documents\GitHub\eaglep3-reporting\EC\2017-06-30-refined-times.txt</v>
      </c>
      <c r="AI208" s="96" t="str">
        <f t="shared" si="98"/>
        <v>echo {"issue":{"subject":"","project_id":79,"tracker_id":40,"status_id":1,"priority_id":2,"assigned_to_id":23,"start_date":"2017-06-30","description":"","custom_fields":[{"id":1,"name":"Subdivision","value":"NW"},{"id":4,"name":"Milepost","value":"0.0762"},{"id":17,"name":"Train ID","value":"844-30"},{"id":16,"name":"Locomotive ID","value":"4015"},{"id":130,"name":"Impact","value":""},{"id":150,"name":"Time of Event (Mountain Time)","value":"21:54:53"},{"id":151,"name":"Denver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2" t="str">
        <f t="shared" si="99"/>
        <v>start /low /b %USERPROFILE%\Documents\GitHub\eaglep3\Utilities\DownloadLogsFromS3.py --loco 4015 --day 2017-06-30</v>
      </c>
      <c r="AN208" s="151" t="str">
        <f t="shared" si="100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03:54:53"},{"id":29,"name":"Sharepoint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/>
    </row>
    <row r="209" spans="1:91" x14ac:dyDescent="0.25">
      <c r="A209" s="32" t="s">
        <v>819</v>
      </c>
      <c r="B209" s="7">
        <v>4016</v>
      </c>
      <c r="C209" s="21" t="s">
        <v>200</v>
      </c>
      <c r="D209" s="21" t="s">
        <v>1046</v>
      </c>
      <c r="E209" s="13">
        <v>42916.876215277778</v>
      </c>
      <c r="F209" s="13">
        <v>42916.889756944445</v>
      </c>
      <c r="G209" s="7">
        <v>1</v>
      </c>
      <c r="H209" s="21" t="s">
        <v>569</v>
      </c>
      <c r="I209" s="13">
        <v>42916.899317129632</v>
      </c>
      <c r="J209" s="7">
        <v>0</v>
      </c>
      <c r="K209" s="89" t="str">
        <f t="shared" si="88"/>
        <v>4015/4016</v>
      </c>
      <c r="L209" s="21" t="str">
        <f>VLOOKUP(A209,'Trips&amp;Operators'!$C$1:$G$99999,5,FALSE)</f>
        <v>LOPES KIMBERLY</v>
      </c>
      <c r="M209" s="6">
        <f t="shared" si="89"/>
        <v>9.560185186273884E-3</v>
      </c>
      <c r="N209" s="7">
        <f t="shared" si="101"/>
        <v>13.766666668234393</v>
      </c>
      <c r="O209" s="7"/>
      <c r="P209" s="7"/>
      <c r="Q209" s="22"/>
      <c r="R209" s="170"/>
      <c r="S209" s="213">
        <f t="shared" si="84"/>
        <v>1</v>
      </c>
      <c r="T209" s="195" t="str">
        <f t="shared" si="90"/>
        <v>NorthBound</v>
      </c>
      <c r="U209" s="19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6" t="str">
        <f t="shared" si="91"/>
        <v>https://d0f6bd738d7f1b3e5a7ca70fe4ff75f0.us-east-1.aws.found.io/app/kibana#/discover/Steve-Slow-Train-Analysis-(2080s-and-2083s)?_g=(refreshInterval:(display:Off,pause:!f,section:0,value:0),time:(from:'2017-06-30T20:01:45-0600',mode:absolute,to:'2017-06-30T22:35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9" s="197" t="str">
        <f>IF(AA209&lt;VLOOKUP(AG209,Variables!$AC$3:$AD$8,2,FALSE),"Y","N")</f>
        <v>N</v>
      </c>
      <c r="X209" s="197">
        <f t="shared" si="85"/>
        <v>1</v>
      </c>
      <c r="Y209" s="197">
        <f t="shared" si="86"/>
        <v>9.5100000000000004E-2</v>
      </c>
      <c r="Z209" s="197">
        <f t="shared" si="87"/>
        <v>5.8924000000000003</v>
      </c>
      <c r="AA209" s="197">
        <f t="shared" si="92"/>
        <v>5.7972999999999999</v>
      </c>
      <c r="AB209" s="54" t="e">
        <f>VLOOKUP(A209,Enforcements!$C$7:$K$13,8,0)</f>
        <v>#N/A</v>
      </c>
      <c r="AC209" s="51" t="e">
        <f>VLOOKUP(A209,Enforcements!$C$7:$E$13,3,0)</f>
        <v>#N/A</v>
      </c>
      <c r="AD209" s="206">
        <f t="shared" si="93"/>
        <v>845</v>
      </c>
      <c r="AE209" s="77" t="str">
        <f t="shared" si="94"/>
        <v>aws s3 cp s3://rtdc.mdm.uploadarchive.raw/RTDC4016/ "%USERPROFILE%\AppData\Local\Temp\OnboardLogs"\RTDC4016\2017-06-30 --exclude "*" --recursive --include "*20170630*" &amp; "%USERPROFILE%\Documents\GitHub\mrs-test-scripts\Headless Mode &amp; Sideloading\WalkAndUnGZ.bat" "%USERPROFILE%\AppData\Local\Temp\OnboardLogs"\RTDC4016\2017-06-30 &amp; aws s3 cp s3://rtdc.mdm.uploadarchive.raw/RTDC4016/ "%USERPROFILE%\AppData\Local\Temp\OnboardLogs"\RTDC4016\2017-07-01 --exclude "*" --recursive --include "*20170701*" &amp; "%USERPROFILE%\Documents\GitHub\mrs-test-scripts\Headless Mode &amp; Sideloading\WalkAndUnGZ.bat" "%USERPROFILE%\AppData\Local\Temp\OnboardLogs"\RTDC4016\2017-07-01</v>
      </c>
      <c r="AF209" s="74" t="str">
        <f t="shared" si="95"/>
        <v>"C:\Program Files (x86)\AstroGrep\AstroGrep.exe" /e /r /s /spath="%USERPROFILE%\AppData\Local\Temp\OnboardLogs" /stypes="app*4016*20170701*" /stext=" 03:.+((SYSTEM_STATE.+slice.+state.+changed )|(ment ac)|(multiple cpu faults)|(system.+state.+changed )|(\[timeout)|(PRM\|1\|D)|(kpr)|(kdp)|(train st.+moving)|(\|lc)|(penalty))"</v>
      </c>
      <c r="AG209" s="209" t="str">
        <f t="shared" si="96"/>
        <v>NW</v>
      </c>
      <c r="AH209" s="78" t="str">
        <f t="shared" si="97"/>
        <v>"%USERPROFILE%\Documents\GitHub\eaglep3\Utilities\RefineRTDCRunTimes.py" --tripid 845-30 --locoid 4016 --swversion DE.1.0.9.0 --startMP 204:951 --initTime 2017-06-30T21:01:45 --startdatetime 2017-06-30T21:21:15 --delay 1 --endMP 300:58924 --enddatetime 2017-06-30T21:35:01 --enforcementcount 0 &gt;&gt;C:\Users\stu\Documents\GitHub\eaglep3-reporting\EC\2017-06-30-refined-times.txt</v>
      </c>
      <c r="AI209" s="96" t="str">
        <f t="shared" si="98"/>
        <v>echo {"issue":{"subject":"","project_id":79,"tracker_id":40,"status_id":1,"priority_id":2,"assigned_to_id":23,"start_date":"2017-06-30","description":"","custom_fields":[{"id":1,"name":"Subdivision","value":"NW"},{"id":4,"name":"Milepost","value":"5.8924"},{"id":17,"name":"Train ID","value":"845-30"},{"id":16,"name":"Locomotive ID","value":"4016"},{"id":130,"name":"Impact","value":""},{"id":150,"name":"Time of Event (Mountain Time)","value":"21:35:01"},{"id":151,"name":"Denver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2" t="str">
        <f t="shared" si="99"/>
        <v>start /low /b %USERPROFILE%\Documents\GitHub\eaglep3\Utilities\DownloadLogsFromS3.py --loco 4016 --day 2017-06-30</v>
      </c>
      <c r="AN209" s="151" t="str">
        <f t="shared" si="100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03:35:01"},{"id":29,"name":"Sharepoint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/>
    </row>
    <row r="210" spans="1:91" x14ac:dyDescent="0.25">
      <c r="A210" s="32" t="s">
        <v>826</v>
      </c>
      <c r="B210" s="7">
        <v>4016</v>
      </c>
      <c r="C210" s="21" t="s">
        <v>200</v>
      </c>
      <c r="D210" s="21" t="s">
        <v>1047</v>
      </c>
      <c r="E210" s="13">
        <v>42916.915543981479</v>
      </c>
      <c r="F210" s="13">
        <v>42916.931446759256</v>
      </c>
      <c r="G210" s="7">
        <v>1</v>
      </c>
      <c r="H210" s="21" t="s">
        <v>992</v>
      </c>
      <c r="I210" s="13">
        <v>42916.94090277778</v>
      </c>
      <c r="J210" s="7">
        <v>0</v>
      </c>
      <c r="K210" s="89" t="str">
        <f t="shared" si="88"/>
        <v>4015/4016</v>
      </c>
      <c r="L210" s="21" t="str">
        <f>VLOOKUP(A210,'Trips&amp;Operators'!$C$1:$G$99999,5,FALSE)</f>
        <v>LOPES KIMBERLY</v>
      </c>
      <c r="M210" s="6">
        <f t="shared" si="89"/>
        <v>9.456018524360843E-3</v>
      </c>
      <c r="N210" s="7">
        <f t="shared" si="101"/>
        <v>13.616666675079614</v>
      </c>
      <c r="O210" s="7"/>
      <c r="P210" s="7"/>
      <c r="Q210" s="22"/>
      <c r="R210" s="170"/>
      <c r="S210" s="213">
        <f t="shared" si="84"/>
        <v>1</v>
      </c>
      <c r="T210" s="195" t="str">
        <f t="shared" si="90"/>
        <v>NorthBound</v>
      </c>
      <c r="U210" s="19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6" t="str">
        <f t="shared" si="91"/>
        <v>https://d0f6bd738d7f1b3e5a7ca70fe4ff75f0.us-east-1.aws.found.io/app/kibana#/discover/Steve-Slow-Train-Analysis-(2080s-and-2083s)?_g=(refreshInterval:(display:Off,pause:!f,section:0,value:0),time:(from:'2017-06-30T20:58:23-0600',mode:absolute,to:'2017-06-30T23:34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10" s="197" t="str">
        <f>IF(AA210&lt;VLOOKUP(AG210,Variables!$AC$3:$AD$8,2,FALSE),"Y","N")</f>
        <v>N</v>
      </c>
      <c r="X210" s="197">
        <f t="shared" si="85"/>
        <v>2</v>
      </c>
      <c r="Y210" s="197">
        <f t="shared" si="86"/>
        <v>0.1048</v>
      </c>
      <c r="Z210" s="197">
        <f t="shared" si="87"/>
        <v>5.8940999999999999</v>
      </c>
      <c r="AA210" s="197">
        <f t="shared" si="92"/>
        <v>5.7892999999999999</v>
      </c>
      <c r="AB210" s="54" t="e">
        <f>VLOOKUP(A210,Enforcements!$C$7:$K$13,8,0)</f>
        <v>#N/A</v>
      </c>
      <c r="AC210" s="51" t="e">
        <f>VLOOKUP(A210,Enforcements!$C$7:$E$13,3,0)</f>
        <v>#N/A</v>
      </c>
      <c r="AD210" s="206">
        <f t="shared" si="93"/>
        <v>847</v>
      </c>
      <c r="AE210" s="77" t="str">
        <f t="shared" si="94"/>
        <v>aws s3 cp s3://rtdc.mdm.uploadarchive.raw/RTDC4016/ "%USERPROFILE%\AppData\Local\Temp\OnboardLogs"\RTDC4016\2017-06-30 --exclude "*" --recursive --include "*20170630*" &amp; "%USERPROFILE%\Documents\GitHub\mrs-test-scripts\Headless Mode &amp; Sideloading\WalkAndUnGZ.bat" "%USERPROFILE%\AppData\Local\Temp\OnboardLogs"\RTDC4016\2017-06-30 &amp; aws s3 cp s3://rtdc.mdm.uploadarchive.raw/RTDC4016/ "%USERPROFILE%\AppData\Local\Temp\OnboardLogs"\RTDC4016\2017-07-01 --exclude "*" --recursive --include "*20170701*" &amp; "%USERPROFILE%\Documents\GitHub\mrs-test-scripts\Headless Mode &amp; Sideloading\WalkAndUnGZ.bat" "%USERPROFILE%\AppData\Local\Temp\OnboardLogs"\RTDC4016\2017-07-01</v>
      </c>
      <c r="AF210" s="74" t="str">
        <f t="shared" si="95"/>
        <v>"C:\Program Files (x86)\AstroGrep\AstroGrep.exe" /e /r /s /spath="%USERPROFILE%\AppData\Local\Temp\OnboardLogs" /stypes="app*4016*20170701*" /stext=" 04:.+((SYSTEM_STATE.+slice.+state.+changed )|(ment ac)|(multiple cpu faults)|(system.+state.+changed )|(\[timeout)|(PRM\|1\|D)|(kpr)|(kdp)|(train st.+moving)|(\|lc)|(penalty))"</v>
      </c>
      <c r="AG210" s="209" t="str">
        <f t="shared" si="96"/>
        <v>NW</v>
      </c>
      <c r="AH210" s="78" t="str">
        <f t="shared" si="97"/>
        <v>"%USERPROFILE%\Documents\GitHub\eaglep3\Utilities\RefineRTDCRunTimes.py" --tripid 847-30 --locoid 4016 --swversion DE.1.0.9.0 --startMP 204:1048 --initTime 2017-06-30T21:58:23 --startdatetime 2017-06-30T22:21:17 --delay 1 --endMP 300:58941 --enddatetime 2017-06-30T22:34:54 --enforcementcount 0 &gt;&gt;C:\Users\stu\Documents\GitHub\eaglep3-reporting\EC\2017-06-30-refined-times.txt</v>
      </c>
      <c r="AI210" s="96" t="str">
        <f t="shared" si="98"/>
        <v>echo {"issue":{"subject":"","project_id":79,"tracker_id":40,"status_id":1,"priority_id":2,"assigned_to_id":23,"start_date":"2017-06-30","description":"","custom_fields":[{"id":1,"name":"Subdivision","value":"NW"},{"id":4,"name":"Milepost","value":"5.8941"},{"id":17,"name":"Train ID","value":"847-30"},{"id":16,"name":"Locomotive ID","value":"4016"},{"id":130,"name":"Impact","value":""},{"id":150,"name":"Time of Event (Mountain Time)","value":"22:34:54"},{"id":151,"name":"Denver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2" t="str">
        <f t="shared" si="99"/>
        <v>start /low /b %USERPROFILE%\Documents\GitHub\eaglep3\Utilities\DownloadLogsFromS3.py --loco 4016 --day 2017-06-30</v>
      </c>
      <c r="AN210" s="151" t="str">
        <f t="shared" si="100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04:34:54"},{"id":29,"name":"Sharepoint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/>
    </row>
    <row r="211" spans="1:91" x14ac:dyDescent="0.25">
      <c r="A211" s="32" t="s">
        <v>647</v>
      </c>
      <c r="B211" s="7">
        <v>4023</v>
      </c>
      <c r="C211" s="21" t="s">
        <v>200</v>
      </c>
      <c r="D211" s="21" t="s">
        <v>928</v>
      </c>
      <c r="E211" s="13">
        <v>42916.116932870369</v>
      </c>
      <c r="F211" s="13">
        <v>42916.118668981479</v>
      </c>
      <c r="G211" s="7">
        <v>1</v>
      </c>
      <c r="H211" s="21" t="s">
        <v>356</v>
      </c>
      <c r="I211" s="13">
        <v>42916.120451388888</v>
      </c>
      <c r="J211" s="7">
        <v>0</v>
      </c>
      <c r="K211" s="89" t="str">
        <f t="shared" si="88"/>
        <v>4023/4024</v>
      </c>
      <c r="L211" s="21" t="str">
        <f>VLOOKUP(A211,'Trips&amp;Operators'!$C$1:$G$99999,5,FALSE)</f>
        <v>STARKS ANGELINA</v>
      </c>
      <c r="M211" s="6">
        <f t="shared" si="89"/>
        <v>1.7824074093368836E-3</v>
      </c>
      <c r="N211" s="7">
        <f t="shared" si="101"/>
        <v>2.5666666694451123</v>
      </c>
      <c r="O211" s="7"/>
      <c r="P211" s="7"/>
      <c r="Q211" s="22"/>
      <c r="R211" s="170"/>
      <c r="S211" s="213">
        <f t="shared" si="84"/>
        <v>1</v>
      </c>
      <c r="T211" s="195" t="str">
        <f t="shared" si="90"/>
        <v>Southbound</v>
      </c>
      <c r="U211" s="19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96" t="str">
        <f t="shared" si="91"/>
        <v>https://d0f6bd738d7f1b3e5a7ca70fe4ff75f0.us-east-1.aws.found.io/app/kibana#/discover/Steve-Slow-Train-Analysis-(2080s-and-2083s)?_g=(refreshInterval:(display:Off,pause:!f,section:0,value:0),time:(from:'2017-06-30T01:48:23-0600',mode:absolute,to:'2017-06-30T03:53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11" s="197" t="str">
        <f>IF(AA211&lt;VLOOKUP(AG211,Variables!$AC$3:$AD$8,2,FALSE),"Y","N")</f>
        <v>Y</v>
      </c>
      <c r="X211" s="197">
        <f t="shared" si="85"/>
        <v>-547</v>
      </c>
      <c r="Y211" s="197">
        <f t="shared" si="86"/>
        <v>2.5446</v>
      </c>
      <c r="Z211" s="197">
        <f t="shared" si="87"/>
        <v>1.41E-2</v>
      </c>
      <c r="AA211" s="197">
        <f t="shared" si="92"/>
        <v>2.5305</v>
      </c>
      <c r="AB211" s="54" t="e">
        <f>VLOOKUP(A211,Enforcements!$C$7:$K$13,8,0)</f>
        <v>#N/A</v>
      </c>
      <c r="AC211" s="51" t="e">
        <f>VLOOKUP(A211,Enforcements!$C$7:$E$13,3,0)</f>
        <v>#N/A</v>
      </c>
      <c r="AD211" s="206">
        <f t="shared" si="93"/>
        <v>300</v>
      </c>
      <c r="AE211" s="77" t="str">
        <f t="shared" si="94"/>
        <v>aws s3 cp s3://rtdc.mdm.uploadarchive.raw/RTDC4023/ "%USERPROFILE%\AppData\Local\Temp\OnboardLogs"\RTDC4023\2017-06-30 --exclude "*" --recursive --include "*20170630*" &amp; "%USERPROFILE%\Documents\GitHub\mrs-test-scripts\Headless Mode &amp; Sideloading\WalkAndUnGZ.bat" "%USERPROFILE%\AppData\Local\Temp\OnboardLogs"\RTDC4023\2017-06-30 &amp; aws s3 cp s3://rtdc.mdm.uploadarchive.raw/RTDC4023/ "%USERPROFILE%\AppData\Local\Temp\OnboardLogs"\RTDC4023\2017-07-01 --exclude "*" --recursive --include "*20170701*" &amp; "%USERPROFILE%\Documents\GitHub\mrs-test-scripts\Headless Mode &amp; Sideloading\WalkAndUnGZ.bat" "%USERPROFILE%\AppData\Local\Temp\OnboardLogs"\RTDC4023\2017-07-01</v>
      </c>
      <c r="AF211" s="74" t="str">
        <f t="shared" si="95"/>
        <v>"C:\Program Files (x86)\AstroGrep\AstroGrep.exe" /e /r /s /spath="%USERPROFILE%\AppData\Local\Temp\OnboardLogs" /stypes="app*4023*20170630*" /stext=" 08:.+((SYSTEM_STATE.+slice.+state.+changed )|(ment ac)|(multiple cpu faults)|(system.+state.+changed )|(\[timeout)|(PRM\|1\|D)|(kpr)|(kdp)|(train st.+moving)|(\|lc)|(penalty))"</v>
      </c>
      <c r="AG211" s="209" t="str">
        <f t="shared" si="96"/>
        <v>Other</v>
      </c>
      <c r="AH211" s="78" t="str">
        <f t="shared" si="97"/>
        <v>"%USERPROFILE%\Documents\GitHub\eaglep3\Utilities\RefineRTDCRunTimes.py" --tripid 300-30 --locoid 4023 --swversion DE.1.0.9.0 --startMP 300:25446 --initTime 2017-06-30T02:48:23 --startdatetime 2017-06-30T02:50:53 --delay 1 --endMP 204:141 --enddatetime 2017-06-30T02:53:27 --enforcementcount 0 &gt;&gt;C:\Users\stu\Documents\GitHub\eaglep3-reporting\EC\2017-06-30-refined-times.txt</v>
      </c>
      <c r="AI211" s="96" t="str">
        <f t="shared" si="98"/>
        <v>echo {"issue":{"subject":"","project_id":79,"tracker_id":40,"status_id":1,"priority_id":2,"assigned_to_id":23,"start_date":"2017-06-30","description":"","custom_fields":[{"id":1,"name":"Subdivision","value":"Other"},{"id":4,"name":"Milepost","value":"0.0141"},{"id":17,"name":"Train ID","value":"300-30"},{"id":16,"name":"Locomotive ID","value":"4023"},{"id":130,"name":"Impact","value":""},{"id":150,"name":"Time of Event (Mountain Time)","value":"02:53:27"},{"id":151,"name":"Denver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2" t="str">
        <f t="shared" si="99"/>
        <v>start /low /b %USERPROFILE%\Documents\GitHub\eaglep3\Utilities\DownloadLogsFromS3.py --loco 4023 --day 2017-06-30</v>
      </c>
      <c r="AN211" s="151" t="str">
        <f t="shared" si="100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08:53:27"},{"id":29,"name":"Sharepoint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/>
    </row>
    <row r="212" spans="1:91" x14ac:dyDescent="0.25">
      <c r="A212" s="32" t="s">
        <v>801</v>
      </c>
      <c r="B212" s="7">
        <v>4024</v>
      </c>
      <c r="C212" s="21" t="s">
        <v>200</v>
      </c>
      <c r="D212" s="21" t="s">
        <v>412</v>
      </c>
      <c r="E212" s="13">
        <v>42916.77721064815</v>
      </c>
      <c r="F212" s="13">
        <v>42916.778611111113</v>
      </c>
      <c r="G212" s="7">
        <v>1</v>
      </c>
      <c r="H212" s="21" t="s">
        <v>465</v>
      </c>
      <c r="I212" s="13">
        <v>42916.784351851849</v>
      </c>
      <c r="J212" s="7">
        <v>0</v>
      </c>
      <c r="K212" s="89" t="str">
        <f t="shared" si="88"/>
        <v>4023/4024</v>
      </c>
      <c r="L212" s="21" t="str">
        <f>VLOOKUP(A212,'Trips&amp;Operators'!$C$1:$G$99999,5,FALSE)</f>
        <v>LEVERE CRAIG</v>
      </c>
      <c r="M212" s="6">
        <f t="shared" si="89"/>
        <v>5.7407407366554253E-3</v>
      </c>
      <c r="N212" s="7">
        <f t="shared" si="101"/>
        <v>8.2666666607838124</v>
      </c>
      <c r="O212" s="7"/>
      <c r="P212" s="7"/>
      <c r="Q212" s="22"/>
      <c r="R212" s="170"/>
      <c r="S212" s="213">
        <f t="shared" si="84"/>
        <v>1</v>
      </c>
      <c r="T212" s="195" t="str">
        <f t="shared" si="90"/>
        <v>NorthBound</v>
      </c>
      <c r="U212" s="19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96" t="str">
        <f t="shared" si="91"/>
        <v>https://d0f6bd738d7f1b3e5a7ca70fe4ff75f0.us-east-1.aws.found.io/app/kibana#/discover/Steve-Slow-Train-Analysis-(2080s-and-2083s)?_g=(refreshInterval:(display:Off,pause:!f,section:0,value:0),time:(from:'2017-06-30T17:39:11-0600',mode:absolute,to:'2017-06-30T19:49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12" s="197" t="str">
        <f>IF(AA212&lt;VLOOKUP(AG212,Variables!$AC$3:$AD$8,2,FALSE),"Y","N")</f>
        <v>Y</v>
      </c>
      <c r="X212" s="197">
        <f t="shared" si="85"/>
        <v>1</v>
      </c>
      <c r="Y212" s="197">
        <f t="shared" si="86"/>
        <v>4.6899999999999997E-2</v>
      </c>
      <c r="Z212" s="197">
        <f t="shared" si="87"/>
        <v>2.3302</v>
      </c>
      <c r="AA212" s="197">
        <f t="shared" si="92"/>
        <v>2.2833000000000001</v>
      </c>
      <c r="AB212" s="54" t="e">
        <f>VLOOKUP(A212,Enforcements!$C$7:$K$13,8,0)</f>
        <v>#N/A</v>
      </c>
      <c r="AC212" s="51" t="e">
        <f>VLOOKUP(A212,Enforcements!$C$7:$E$13,3,0)</f>
        <v>#N/A</v>
      </c>
      <c r="AD212" s="206">
        <f t="shared" si="93"/>
        <v>301</v>
      </c>
      <c r="AE212" s="77" t="str">
        <f t="shared" si="94"/>
        <v>aws s3 cp s3://rtdc.mdm.uploadarchive.raw/RTDC4024/ "%USERPROFILE%\AppData\Local\Temp\OnboardLogs"\RTDC4024\2017-06-30 --exclude "*" --recursive --include "*20170630*" &amp; "%USERPROFILE%\Documents\GitHub\mrs-test-scripts\Headless Mode &amp; Sideloading\WalkAndUnGZ.bat" "%USERPROFILE%\AppData\Local\Temp\OnboardLogs"\RTDC4024\2017-06-30 &amp; aws s3 cp s3://rtdc.mdm.uploadarchive.raw/RTDC4024/ "%USERPROFILE%\AppData\Local\Temp\OnboardLogs"\RTDC4024\2017-07-01 --exclude "*" --recursive --include "*20170701*" &amp; "%USERPROFILE%\Documents\GitHub\mrs-test-scripts\Headless Mode &amp; Sideloading\WalkAndUnGZ.bat" "%USERPROFILE%\AppData\Local\Temp\OnboardLogs"\RTDC4024\2017-07-01</v>
      </c>
      <c r="AF212" s="74" t="str">
        <f t="shared" si="95"/>
        <v>"C:\Program Files (x86)\AstroGrep\AstroGrep.exe" /e /r /s /spath="%USERPROFILE%\AppData\Local\Temp\OnboardLogs" /stypes="app*4024*20170701*" /stext=" 00:.+((SYSTEM_STATE.+slice.+state.+changed )|(ment ac)|(multiple cpu faults)|(system.+state.+changed )|(\[timeout)|(PRM\|1\|D)|(kpr)|(kdp)|(train st.+moving)|(\|lc)|(penalty))"</v>
      </c>
      <c r="AG212" s="209" t="str">
        <f t="shared" si="96"/>
        <v>Other</v>
      </c>
      <c r="AH212" s="78" t="str">
        <f t="shared" si="97"/>
        <v>"%USERPROFILE%\Documents\GitHub\eaglep3\Utilities\RefineRTDCRunTimes.py" --tripid 301-30 --locoid 4024 --swversion DE.1.0.9.0 --startMP 204:469 --initTime 2017-06-30T18:39:11 --startdatetime 2017-06-30T18:41:12 --delay 1 --endMP 300:23302 --enddatetime 2017-06-30T18:49:28 --enforcementcount 0 &gt;&gt;C:\Users\stu\Documents\GitHub\eaglep3-reporting\EC\2017-06-30-refined-times.txt</v>
      </c>
      <c r="AI212" s="96" t="str">
        <f t="shared" si="98"/>
        <v>echo {"issue":{"subject":"","project_id":79,"tracker_id":40,"status_id":1,"priority_id":2,"assigned_to_id":23,"start_date":"2017-06-30","description":"","custom_fields":[{"id":1,"name":"Subdivision","value":"Other"},{"id":4,"name":"Milepost","value":"2.3302"},{"id":17,"name":"Train ID","value":"301-30"},{"id":16,"name":"Locomotive ID","value":"4024"},{"id":130,"name":"Impact","value":""},{"id":150,"name":"Time of Event (Mountain Time)","value":"18:49:28"},{"id":151,"name":"Denver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2" t="str">
        <f t="shared" si="99"/>
        <v>start /low /b %USERPROFILE%\Documents\GitHub\eaglep3\Utilities\DownloadLogsFromS3.py --loco 4024 --day 2017-06-30</v>
      </c>
      <c r="AN212" s="151" t="str">
        <f t="shared" si="100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00:49:28"},{"id":29,"name":"Sharepoint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/>
    </row>
    <row r="213" spans="1:91" x14ac:dyDescent="0.25">
      <c r="A213" s="32" t="s">
        <v>649</v>
      </c>
      <c r="B213" s="7">
        <v>4031</v>
      </c>
      <c r="C213" s="21" t="s">
        <v>200</v>
      </c>
      <c r="D213" s="21" t="s">
        <v>929</v>
      </c>
      <c r="E213" s="13">
        <v>42916.13994212963</v>
      </c>
      <c r="F213" s="13">
        <v>42916.143750000003</v>
      </c>
      <c r="G213" s="7">
        <v>5</v>
      </c>
      <c r="H213" s="21" t="s">
        <v>356</v>
      </c>
      <c r="I213" s="13">
        <v>42916.149837962963</v>
      </c>
      <c r="J213" s="7">
        <v>0</v>
      </c>
      <c r="K213" s="89" t="str">
        <f t="shared" si="88"/>
        <v>4031/4032</v>
      </c>
      <c r="L213" s="21" t="str">
        <f>VLOOKUP(A213,'Trips&amp;Operators'!$C$1:$G$99999,5,FALSE)</f>
        <v>CUSHING HARRY</v>
      </c>
      <c r="M213" s="6">
        <f t="shared" si="89"/>
        <v>6.0879629600094631E-3</v>
      </c>
      <c r="N213" s="7">
        <f t="shared" si="101"/>
        <v>8.7666666624136269</v>
      </c>
      <c r="O213" s="7"/>
      <c r="P213" s="7"/>
      <c r="Q213" s="22"/>
      <c r="R213" s="170"/>
      <c r="S213" s="213">
        <f t="shared" si="84"/>
        <v>1</v>
      </c>
      <c r="T213" s="195" t="str">
        <f t="shared" si="90"/>
        <v>Southbound</v>
      </c>
      <c r="U213" s="19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96" t="str">
        <f t="shared" si="91"/>
        <v>https://d0f6bd738d7f1b3e5a7ca70fe4ff75f0.us-east-1.aws.found.io/app/kibana#/discover/Steve-Slow-Train-Analysis-(2080s-and-2083s)?_g=(refreshInterval:(display:Off,pause:!f,section:0,value:0),time:(from:'2017-06-30T02:21:31-0600',mode:absolute,to:'2017-06-30T04:35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13" s="197" t="str">
        <f>IF(AA213&lt;VLOOKUP(AG213,Variables!$AC$3:$AD$8,2,FALSE),"Y","N")</f>
        <v>Y</v>
      </c>
      <c r="X213" s="197">
        <f t="shared" si="85"/>
        <v>1</v>
      </c>
      <c r="Y213" s="197">
        <f t="shared" si="86"/>
        <v>2.0655000000000001</v>
      </c>
      <c r="Z213" s="197">
        <f t="shared" si="87"/>
        <v>1.41E-2</v>
      </c>
      <c r="AA213" s="197">
        <f t="shared" si="92"/>
        <v>2.0514000000000001</v>
      </c>
      <c r="AB213" s="54" t="e">
        <f>VLOOKUP(A213,Enforcements!$C$7:$K$13,8,0)</f>
        <v>#N/A</v>
      </c>
      <c r="AC213" s="51" t="e">
        <f>VLOOKUP(A213,Enforcements!$C$7:$E$13,3,0)</f>
        <v>#N/A</v>
      </c>
      <c r="AD213" s="206">
        <f t="shared" si="93"/>
        <v>302</v>
      </c>
      <c r="AE213" s="77" t="str">
        <f t="shared" si="94"/>
        <v>aws s3 cp s3://rtdc.mdm.uploadarchive.raw/RTDC4031/ "%USERPROFILE%\AppData\Local\Temp\OnboardLogs"\RTDC4031\2017-06-30 --exclude "*" --recursive --include "*20170630*" &amp; "%USERPROFILE%\Documents\GitHub\mrs-test-scripts\Headless Mode &amp; Sideloading\WalkAndUnGZ.bat" "%USERPROFILE%\AppData\Local\Temp\OnboardLogs"\RTDC4031\2017-06-30 &amp; aws s3 cp s3://rtdc.mdm.uploadarchive.raw/RTDC4031/ "%USERPROFILE%\AppData\Local\Temp\OnboardLogs"\RTDC4031\2017-07-01 --exclude "*" --recursive --include "*20170701*" &amp; "%USERPROFILE%\Documents\GitHub\mrs-test-scripts\Headless Mode &amp; Sideloading\WalkAndUnGZ.bat" "%USERPROFILE%\AppData\Local\Temp\OnboardLogs"\RTDC4031\2017-07-01</v>
      </c>
      <c r="AF213" s="74" t="str">
        <f t="shared" si="95"/>
        <v>"C:\Program Files (x86)\AstroGrep\AstroGrep.exe" /e /r /s /spath="%USERPROFILE%\AppData\Local\Temp\OnboardLogs" /stypes="app*4031*20170630*" /stext=" 09:.+((SYSTEM_STATE.+slice.+state.+changed )|(ment ac)|(multiple cpu faults)|(system.+state.+changed )|(\[timeout)|(PRM\|1\|D)|(kpr)|(kdp)|(train st.+moving)|(\|lc)|(penalty))"</v>
      </c>
      <c r="AG213" s="209" t="str">
        <f t="shared" si="96"/>
        <v>Other</v>
      </c>
      <c r="AH213" s="78" t="str">
        <f t="shared" si="97"/>
        <v>"%USERPROFILE%\Documents\GitHub\eaglep3\Utilities\RefineRTDCRunTimes.py" --tripid 302-30 --locoid 4031 --swversion DE.1.0.9.0 --startMP 300:20655 --initTime 2017-06-30T03:21:31 --startdatetime 2017-06-30T03:27:00 --delay 5 --endMP 204:141 --enddatetime 2017-06-30T03:35:46 --enforcementcount 0 &gt;&gt;C:\Users\stu\Documents\GitHub\eaglep3-reporting\EC\2017-06-30-refined-times.txt</v>
      </c>
      <c r="AI213" s="96" t="str">
        <f t="shared" si="98"/>
        <v>echo {"issue":{"subject":"","project_id":79,"tracker_id":40,"status_id":1,"priority_id":2,"assigned_to_id":23,"start_date":"2017-06-30","description":"","custom_fields":[{"id":1,"name":"Subdivision","value":"Other"},{"id":4,"name":"Milepost","value":"0.0141"},{"id":17,"name":"Train ID","value":"302-30"},{"id":16,"name":"Locomotive ID","value":"4031"},{"id":130,"name":"Impact","value":""},{"id":150,"name":"Time of Event (Mountain Time)","value":"03:35:46"},{"id":151,"name":"Denver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2" t="str">
        <f t="shared" si="99"/>
        <v>start /low /b %USERPROFILE%\Documents\GitHub\eaglep3\Utilities\DownloadLogsFromS3.py --loco 4031 --day 2017-06-30</v>
      </c>
      <c r="AN213" s="151" t="str">
        <f t="shared" si="100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09:35:46"},{"id":29,"name":"Sharepoint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/>
    </row>
    <row r="214" spans="1:91" x14ac:dyDescent="0.25">
      <c r="A214" s="32" t="s">
        <v>805</v>
      </c>
      <c r="B214" s="7">
        <v>4044</v>
      </c>
      <c r="C214" s="21" t="s">
        <v>200</v>
      </c>
      <c r="D214" s="21" t="s">
        <v>197</v>
      </c>
      <c r="E214" s="13">
        <v>42916.79760416667</v>
      </c>
      <c r="F214" s="13">
        <v>42916.799224537041</v>
      </c>
      <c r="G214" s="7">
        <v>1</v>
      </c>
      <c r="H214" s="21" t="s">
        <v>351</v>
      </c>
      <c r="I214" s="13">
        <v>42916.805474537039</v>
      </c>
      <c r="J214" s="7">
        <v>0</v>
      </c>
      <c r="K214" s="89" t="str">
        <f t="shared" si="88"/>
        <v>4043/4044</v>
      </c>
      <c r="L214" s="21" t="str">
        <f>VLOOKUP(A214,'Trips&amp;Operators'!$C$1:$G$99999,5,FALSE)</f>
        <v>LEVIN SCOTT</v>
      </c>
      <c r="M214" s="6">
        <f t="shared" si="89"/>
        <v>6.2499999985448085E-3</v>
      </c>
      <c r="N214" s="7">
        <f t="shared" si="101"/>
        <v>8.9999999979045242</v>
      </c>
      <c r="O214" s="7"/>
      <c r="P214" s="7"/>
      <c r="Q214" s="22"/>
      <c r="R214" s="170"/>
      <c r="S214" s="213">
        <f t="shared" si="84"/>
        <v>1</v>
      </c>
      <c r="T214" s="195" t="str">
        <f t="shared" si="90"/>
        <v>NorthBound</v>
      </c>
      <c r="U214" s="19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96" t="str">
        <f t="shared" si="91"/>
        <v>https://d0f6bd738d7f1b3e5a7ca70fe4ff75f0.us-east-1.aws.found.io/app/kibana#/discover/Steve-Slow-Train-Analysis-(2080s-and-2083s)?_g=(refreshInterval:(display:Off,pause:!f,section:0,value:0),time:(from:'2017-06-30T18:08:33-0600',mode:absolute,to:'2017-06-30T20:19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14" s="197" t="str">
        <f>IF(AA214&lt;VLOOKUP(AG214,Variables!$AC$3:$AD$8,2,FALSE),"Y","N")</f>
        <v>Y</v>
      </c>
      <c r="X214" s="197">
        <f t="shared" si="85"/>
        <v>1</v>
      </c>
      <c r="Y214" s="197">
        <f t="shared" si="86"/>
        <v>4.5999999999999999E-2</v>
      </c>
      <c r="Z214" s="197">
        <f t="shared" si="87"/>
        <v>2.3346</v>
      </c>
      <c r="AA214" s="197">
        <f t="shared" si="92"/>
        <v>2.2886000000000002</v>
      </c>
      <c r="AB214" s="54" t="e">
        <f>VLOOKUP(A214,Enforcements!$C$7:$K$13,8,0)</f>
        <v>#N/A</v>
      </c>
      <c r="AC214" s="51" t="e">
        <f>VLOOKUP(A214,Enforcements!$C$7:$E$13,3,0)</f>
        <v>#N/A</v>
      </c>
      <c r="AD214" s="206">
        <f t="shared" si="93"/>
        <v>303</v>
      </c>
      <c r="AE214" s="77" t="str">
        <f t="shared" si="94"/>
        <v>aws s3 cp s3://rtdc.mdm.uploadarchive.raw/RTDC4044/ "%USERPROFILE%\AppData\Local\Temp\OnboardLogs"\RTDC4044\2017-06-30 --exclude "*" --recursive --include "*20170630*" &amp; "%USERPROFILE%\Documents\GitHub\mrs-test-scripts\Headless Mode &amp; Sideloading\WalkAndUnGZ.bat" "%USERPROFILE%\AppData\Local\Temp\OnboardLogs"\RTDC4044\2017-06-30 &amp; aws s3 cp s3://rtdc.mdm.uploadarchive.raw/RTDC4044/ "%USERPROFILE%\AppData\Local\Temp\OnboardLogs"\RTDC4044\2017-07-01 --exclude "*" --recursive --include "*20170701*" &amp; "%USERPROFILE%\Documents\GitHub\mrs-test-scripts\Headless Mode &amp; Sideloading\WalkAndUnGZ.bat" "%USERPROFILE%\AppData\Local\Temp\OnboardLogs"\RTDC4044\2017-07-01</v>
      </c>
      <c r="AF214" s="74" t="str">
        <f t="shared" si="95"/>
        <v>"C:\Program Files (x86)\AstroGrep\AstroGrep.exe" /e /r /s /spath="%USERPROFILE%\AppData\Local\Temp\OnboardLogs" /stypes="app*4044*20170701*" /stext=" 01:.+((SYSTEM_STATE.+slice.+state.+changed )|(ment ac)|(multiple cpu faults)|(system.+state.+changed )|(\[timeout)|(PRM\|1\|D)|(kpr)|(kdp)|(train st.+moving)|(\|lc)|(penalty))"</v>
      </c>
      <c r="AG214" s="209" t="str">
        <f t="shared" si="96"/>
        <v>Other</v>
      </c>
      <c r="AH214" s="78" t="str">
        <f t="shared" si="97"/>
        <v>"%USERPROFILE%\Documents\GitHub\eaglep3\Utilities\RefineRTDCRunTimes.py" --tripid 303-30 --locoid 4044 --swversion DE.1.0.9.0 --startMP 204:460 --initTime 2017-06-30T19:08:33 --startdatetime 2017-06-30T19:10:53 --delay 1 --endMP 300:23346 --enddatetime 2017-06-30T19:19:53 --enforcementcount 0 &gt;&gt;C:\Users\stu\Documents\GitHub\eaglep3-reporting\EC\2017-06-30-refined-times.txt</v>
      </c>
      <c r="AI214" s="96" t="str">
        <f t="shared" si="98"/>
        <v>echo {"issue":{"subject":"","project_id":79,"tracker_id":40,"status_id":1,"priority_id":2,"assigned_to_id":23,"start_date":"2017-06-30","description":"","custom_fields":[{"id":1,"name":"Subdivision","value":"Other"},{"id":4,"name":"Milepost","value":"2.3346"},{"id":17,"name":"Train ID","value":"303-30"},{"id":16,"name":"Locomotive ID","value":"4044"},{"id":130,"name":"Impact","value":""},{"id":150,"name":"Time of Event (Mountain Time)","value":"19:19:53"},{"id":151,"name":"Denver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2" t="str">
        <f t="shared" si="99"/>
        <v>start /low /b %USERPROFILE%\Documents\GitHub\eaglep3\Utilities\DownloadLogsFromS3.py --loco 4044 --day 2017-06-30</v>
      </c>
      <c r="AN214" s="151" t="str">
        <f t="shared" si="100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01:19:53"},{"id":29,"name":"Sharepoint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/>
    </row>
    <row r="215" spans="1:91" x14ac:dyDescent="0.25">
      <c r="A215" s="32" t="s">
        <v>653</v>
      </c>
      <c r="B215" s="7">
        <v>4041</v>
      </c>
      <c r="C215" s="21" t="s">
        <v>200</v>
      </c>
      <c r="D215" s="21" t="s">
        <v>930</v>
      </c>
      <c r="E215" s="13">
        <v>42916.164351851854</v>
      </c>
      <c r="F215" s="13">
        <v>42916.16715277778</v>
      </c>
      <c r="G215" s="7">
        <v>3</v>
      </c>
      <c r="H215" s="21" t="s">
        <v>357</v>
      </c>
      <c r="I215" s="13">
        <v>42916.172743055555</v>
      </c>
      <c r="J215" s="7">
        <v>0</v>
      </c>
      <c r="K215" s="89" t="str">
        <f t="shared" si="88"/>
        <v>4041/4042</v>
      </c>
      <c r="L215" s="21" t="str">
        <f>VLOOKUP(A215,'Trips&amp;Operators'!$C$1:$G$99999,5,FALSE)</f>
        <v>BONDS REYNALDO</v>
      </c>
      <c r="M215" s="6">
        <f t="shared" si="89"/>
        <v>5.5902777748997323E-3</v>
      </c>
      <c r="N215" s="7">
        <f t="shared" si="101"/>
        <v>8.0499999958556145</v>
      </c>
      <c r="O215" s="7"/>
      <c r="P215" s="7"/>
      <c r="Q215" s="22"/>
      <c r="R215" s="170"/>
      <c r="S215" s="213">
        <f t="shared" si="84"/>
        <v>1</v>
      </c>
      <c r="T215" s="195" t="str">
        <f t="shared" si="90"/>
        <v>Southbound</v>
      </c>
      <c r="U215" s="19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96" t="str">
        <f t="shared" si="91"/>
        <v>https://d0f6bd738d7f1b3e5a7ca70fe4ff75f0.us-east-1.aws.found.io/app/kibana#/discover/Steve-Slow-Train-Analysis-(2080s-and-2083s)?_g=(refreshInterval:(display:Off,pause:!f,section:0,value:0),time:(from:'2017-06-30T02:56:40-0600',mode:absolute,to:'2017-06-30T05:08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15" s="197" t="str">
        <f>IF(AA215&lt;VLOOKUP(AG215,Variables!$AC$3:$AD$8,2,FALSE),"Y","N")</f>
        <v>Y</v>
      </c>
      <c r="X215" s="197">
        <f t="shared" si="85"/>
        <v>1</v>
      </c>
      <c r="Y215" s="197">
        <f t="shared" si="86"/>
        <v>2.3414999999999999</v>
      </c>
      <c r="Z215" s="197">
        <f t="shared" si="87"/>
        <v>1.47E-2</v>
      </c>
      <c r="AA215" s="197">
        <f t="shared" si="92"/>
        <v>2.3268</v>
      </c>
      <c r="AB215" s="54" t="e">
        <f>VLOOKUP(A215,Enforcements!$C$7:$K$13,8,0)</f>
        <v>#N/A</v>
      </c>
      <c r="AC215" s="51" t="e">
        <f>VLOOKUP(A215,Enforcements!$C$7:$E$13,3,0)</f>
        <v>#N/A</v>
      </c>
      <c r="AD215" s="206">
        <f t="shared" si="93"/>
        <v>304</v>
      </c>
      <c r="AE215" s="77" t="str">
        <f t="shared" si="94"/>
        <v>aws s3 cp s3://rtdc.mdm.uploadarchive.raw/RTDC4041/ "%USERPROFILE%\AppData\Local\Temp\OnboardLogs"\RTDC4041\2017-06-30 --exclude "*" --recursive --include "*20170630*" &amp; "%USERPROFILE%\Documents\GitHub\mrs-test-scripts\Headless Mode &amp; Sideloading\WalkAndUnGZ.bat" "%USERPROFILE%\AppData\Local\Temp\OnboardLogs"\RTDC4041\2017-06-30 &amp; aws s3 cp s3://rtdc.mdm.uploadarchive.raw/RTDC4041/ "%USERPROFILE%\AppData\Local\Temp\OnboardLogs"\RTDC4041\2017-07-01 --exclude "*" --recursive --include "*20170701*" &amp; "%USERPROFILE%\Documents\GitHub\mrs-test-scripts\Headless Mode &amp; Sideloading\WalkAndUnGZ.bat" "%USERPROFILE%\AppData\Local\Temp\OnboardLogs"\RTDC4041\2017-07-01</v>
      </c>
      <c r="AF215" s="74" t="str">
        <f t="shared" si="95"/>
        <v>"C:\Program Files (x86)\AstroGrep\AstroGrep.exe" /e /r /s /spath="%USERPROFILE%\AppData\Local\Temp\OnboardLogs" /stypes="app*4041*20170630*" /stext=" 10:.+((SYSTEM_STATE.+slice.+state.+changed )|(ment ac)|(multiple cpu faults)|(system.+state.+changed )|(\[timeout)|(PRM\|1\|D)|(kpr)|(kdp)|(train st.+moving)|(\|lc)|(penalty))"</v>
      </c>
      <c r="AG215" s="209" t="str">
        <f t="shared" si="96"/>
        <v>Other</v>
      </c>
      <c r="AH215" s="78" t="str">
        <f t="shared" si="97"/>
        <v>"%USERPROFILE%\Documents\GitHub\eaglep3\Utilities\RefineRTDCRunTimes.py" --tripid 304-30 --locoid 4041 --swversion DE.1.0.9.0 --startMP 300:23415 --initTime 2017-06-30T03:56:40 --startdatetime 2017-06-30T04:00:42 --delay 3 --endMP 204:147 --enddatetime 2017-06-30T04:08:45 --enforcementcount 0 &gt;&gt;C:\Users\stu\Documents\GitHub\eaglep3-reporting\EC\2017-06-30-refined-times.txt</v>
      </c>
      <c r="AI215" s="96" t="str">
        <f t="shared" si="98"/>
        <v>echo {"issue":{"subject":"","project_id":79,"tracker_id":40,"status_id":1,"priority_id":2,"assigned_to_id":23,"start_date":"2017-06-30","description":"","custom_fields":[{"id":1,"name":"Subdivision","value":"Other"},{"id":4,"name":"Milepost","value":"0.0147"},{"id":17,"name":"Train ID","value":"304-30"},{"id":16,"name":"Locomotive ID","value":"4041"},{"id":130,"name":"Impact","value":""},{"id":150,"name":"Time of Event (Mountain Time)","value":"04:08:45"},{"id":151,"name":"Denver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2" t="str">
        <f t="shared" si="99"/>
        <v>start /low /b %USERPROFILE%\Documents\GitHub\eaglep3\Utilities\DownloadLogsFromS3.py --loco 4041 --day 2017-06-30</v>
      </c>
      <c r="AN215" s="151" t="str">
        <f t="shared" si="100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10:08:45"},{"id":29,"name":"Sharepoint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/>
    </row>
    <row r="216" spans="1:91" x14ac:dyDescent="0.25">
      <c r="A216" s="32" t="s">
        <v>808</v>
      </c>
      <c r="B216" s="7">
        <v>4040</v>
      </c>
      <c r="C216" s="21" t="s">
        <v>200</v>
      </c>
      <c r="D216" s="21" t="s">
        <v>196</v>
      </c>
      <c r="E216" s="13">
        <v>42916.818576388891</v>
      </c>
      <c r="F216" s="13">
        <v>42916.822442129633</v>
      </c>
      <c r="G216" s="7">
        <v>1</v>
      </c>
      <c r="H216" s="21" t="s">
        <v>508</v>
      </c>
      <c r="I216" s="13">
        <v>42916.836631944447</v>
      </c>
      <c r="J216" s="7">
        <v>0</v>
      </c>
      <c r="K216" s="89" t="str">
        <f t="shared" si="88"/>
        <v>4039/4040</v>
      </c>
      <c r="L216" s="21" t="str">
        <f>VLOOKUP(A216,'Trips&amp;Operators'!$C$1:$G$99999,5,FALSE)</f>
        <v>HOLCOMB KAMDEN</v>
      </c>
      <c r="M216" s="6">
        <f t="shared" si="89"/>
        <v>1.4189814814017154E-2</v>
      </c>
      <c r="N216" s="7">
        <f t="shared" si="101"/>
        <v>20.433333332184702</v>
      </c>
      <c r="O216" s="7"/>
      <c r="P216" s="7"/>
      <c r="Q216" s="22"/>
      <c r="R216" s="170"/>
      <c r="S216" s="213">
        <f t="shared" si="84"/>
        <v>1</v>
      </c>
      <c r="T216" s="195" t="str">
        <f t="shared" si="90"/>
        <v>NorthBound</v>
      </c>
      <c r="U216" s="19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96" t="str">
        <f t="shared" si="91"/>
        <v>https://d0f6bd738d7f1b3e5a7ca70fe4ff75f0.us-east-1.aws.found.io/app/kibana#/discover/Steve-Slow-Train-Analysis-(2080s-and-2083s)?_g=(refreshInterval:(display:Off,pause:!f,section:0,value:0),time:(from:'2017-06-30T18:38:45-0600',mode:absolute,to:'2017-06-30T21:04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16" s="197" t="str">
        <f>IF(AA216&lt;VLOOKUP(AG216,Variables!$AC$3:$AD$8,2,FALSE),"Y","N")</f>
        <v>Y</v>
      </c>
      <c r="X216" s="197">
        <f t="shared" si="85"/>
        <v>1</v>
      </c>
      <c r="Y216" s="197">
        <f t="shared" si="86"/>
        <v>4.5699999999999998E-2</v>
      </c>
      <c r="Z216" s="197">
        <f t="shared" si="87"/>
        <v>2.3308</v>
      </c>
      <c r="AA216" s="197">
        <f t="shared" si="92"/>
        <v>2.2850999999999999</v>
      </c>
      <c r="AB216" s="54" t="e">
        <f>VLOOKUP(A216,Enforcements!$C$7:$K$13,8,0)</f>
        <v>#N/A</v>
      </c>
      <c r="AC216" s="51" t="e">
        <f>VLOOKUP(A216,Enforcements!$C$7:$E$13,3,0)</f>
        <v>#N/A</v>
      </c>
      <c r="AD216" s="206">
        <f t="shared" si="93"/>
        <v>305</v>
      </c>
      <c r="AE216" s="77" t="str">
        <f t="shared" si="94"/>
        <v>aws s3 cp s3://rtdc.mdm.uploadarchive.raw/RTDC4040/ "%USERPROFILE%\AppData\Local\Temp\OnboardLogs"\RTDC4040\2017-06-30 --exclude "*" --recursive --include "*20170630*" &amp; "%USERPROFILE%\Documents\GitHub\mrs-test-scripts\Headless Mode &amp; Sideloading\WalkAndUnGZ.bat" "%USERPROFILE%\AppData\Local\Temp\OnboardLogs"\RTDC4040\2017-06-30 &amp; aws s3 cp s3://rtdc.mdm.uploadarchive.raw/RTDC4040/ "%USERPROFILE%\AppData\Local\Temp\OnboardLogs"\RTDC4040\2017-07-01 --exclude "*" --recursive --include "*20170701*" &amp; "%USERPROFILE%\Documents\GitHub\mrs-test-scripts\Headless Mode &amp; Sideloading\WalkAndUnGZ.bat" "%USERPROFILE%\AppData\Local\Temp\OnboardLogs"\RTDC4040\2017-07-01</v>
      </c>
      <c r="AF216" s="74" t="str">
        <f t="shared" si="95"/>
        <v>"C:\Program Files (x86)\AstroGrep\AstroGrep.exe" /e /r /s /spath="%USERPROFILE%\AppData\Local\Temp\OnboardLogs" /stypes="app*4040*20170701*" /stext=" 02:.+((SYSTEM_STATE.+slice.+state.+changed )|(ment ac)|(multiple cpu faults)|(system.+state.+changed )|(\[timeout)|(PRM\|1\|D)|(kpr)|(kdp)|(train st.+moving)|(\|lc)|(penalty))"</v>
      </c>
      <c r="AG216" s="209" t="str">
        <f t="shared" si="96"/>
        <v>Other</v>
      </c>
      <c r="AH216" s="78" t="str">
        <f t="shared" si="97"/>
        <v>"%USERPROFILE%\Documents\GitHub\eaglep3\Utilities\RefineRTDCRunTimes.py" --tripid 305-30 --locoid 4040 --swversion DE.1.0.9.0 --startMP 204:457 --initTime 2017-06-30T19:38:45 --startdatetime 2017-06-30T19:44:19 --delay 1 --endMP 300:23308 --enddatetime 2017-06-30T20:04:45 --enforcementcount 0 &gt;&gt;C:\Users\stu\Documents\GitHub\eaglep3-reporting\EC\2017-06-30-refined-times.txt</v>
      </c>
      <c r="AI216" s="96" t="str">
        <f t="shared" si="98"/>
        <v>echo {"issue":{"subject":"","project_id":79,"tracker_id":40,"status_id":1,"priority_id":2,"assigned_to_id":23,"start_date":"2017-06-30","description":"","custom_fields":[{"id":1,"name":"Subdivision","value":"Other"},{"id":4,"name":"Milepost","value":"2.3308"},{"id":17,"name":"Train ID","value":"305-30"},{"id":16,"name":"Locomotive ID","value":"4040"},{"id":130,"name":"Impact","value":""},{"id":150,"name":"Time of Event (Mountain Time)","value":"20:04:45"},{"id":151,"name":"Denver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2" t="str">
        <f t="shared" si="99"/>
        <v>start /low /b %USERPROFILE%\Documents\GitHub\eaglep3\Utilities\DownloadLogsFromS3.py --loco 4040 --day 2017-06-30</v>
      </c>
      <c r="AN216" s="151" t="str">
        <f t="shared" si="100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02:04:45"},{"id":29,"name":"Sharepoint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/>
    </row>
    <row r="217" spans="1:91" s="20" customFormat="1" x14ac:dyDescent="0.25">
      <c r="A217" s="32" t="s">
        <v>654</v>
      </c>
      <c r="B217" s="7">
        <v>4001</v>
      </c>
      <c r="C217" s="21" t="s">
        <v>200</v>
      </c>
      <c r="D217" s="21" t="s">
        <v>931</v>
      </c>
      <c r="E217" s="13">
        <v>42916.175451388888</v>
      </c>
      <c r="F217" s="13">
        <v>42916.179814814815</v>
      </c>
      <c r="G217" s="7">
        <v>6</v>
      </c>
      <c r="H217" s="21" t="s">
        <v>356</v>
      </c>
      <c r="I217" s="13">
        <v>42916.184745370374</v>
      </c>
      <c r="J217" s="7">
        <v>0</v>
      </c>
      <c r="K217" s="89" t="str">
        <f t="shared" si="88"/>
        <v>4001/4002</v>
      </c>
      <c r="L217" s="21" t="str">
        <f>VLOOKUP(A217,'Trips&amp;Operators'!$C$1:$G$99999,5,FALSE)</f>
        <v>GEBRETEKLE DAGNEW</v>
      </c>
      <c r="M217" s="6">
        <f t="shared" si="89"/>
        <v>4.9305555585306138E-3</v>
      </c>
      <c r="N217" s="7">
        <f t="shared" si="101"/>
        <v>7.1000000042840838</v>
      </c>
      <c r="O217" s="7"/>
      <c r="P217" s="7"/>
      <c r="Q217" s="22"/>
      <c r="R217" s="170"/>
      <c r="S217" s="213">
        <f t="shared" si="84"/>
        <v>1</v>
      </c>
      <c r="T217" s="195" t="str">
        <f t="shared" si="90"/>
        <v>Southbound</v>
      </c>
      <c r="U217" s="19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96" t="str">
        <f t="shared" si="91"/>
        <v>https://d0f6bd738d7f1b3e5a7ca70fe4ff75f0.us-east-1.aws.found.io/app/kibana#/discover/Steve-Slow-Train-Analysis-(2080s-and-2083s)?_g=(refreshInterval:(display:Off,pause:!f,section:0,value:0),time:(from:'2017-06-30T03:12:39-0600',mode:absolute,to:'2017-06-30T05:26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17" s="197" t="str">
        <f>IF(AA217&lt;VLOOKUP(AG217,Variables!$AC$3:$AD$8,2,FALSE),"Y","N")</f>
        <v>Y</v>
      </c>
      <c r="X217" s="197">
        <f t="shared" si="85"/>
        <v>1</v>
      </c>
      <c r="Y217" s="197">
        <f t="shared" si="86"/>
        <v>2.3264</v>
      </c>
      <c r="Z217" s="197">
        <f t="shared" si="87"/>
        <v>1.41E-2</v>
      </c>
      <c r="AA217" s="197">
        <f t="shared" si="92"/>
        <v>2.3123</v>
      </c>
      <c r="AB217" s="54" t="e">
        <f>VLOOKUP(A217,Enforcements!$C$7:$K$13,8,0)</f>
        <v>#N/A</v>
      </c>
      <c r="AC217" s="51" t="e">
        <f>VLOOKUP(A217,Enforcements!$C$7:$E$13,3,0)</f>
        <v>#N/A</v>
      </c>
      <c r="AD217" s="206">
        <f t="shared" si="93"/>
        <v>306</v>
      </c>
      <c r="AE217" s="77" t="str">
        <f t="shared" si="94"/>
        <v>aws s3 cp s3://rtdc.mdm.uploadarchive.raw/RTDC4001/ "%USERPROFILE%\AppData\Local\Temp\OnboardLogs"\RTDC4001\2017-06-30 --exclude "*" --recursive --include "*20170630*" &amp; "%USERPROFILE%\Documents\GitHub\mrs-test-scripts\Headless Mode &amp; Sideloading\WalkAndUnGZ.bat" "%USERPROFILE%\AppData\Local\Temp\OnboardLogs"\RTDC4001\2017-06-30 &amp; aws s3 cp s3://rtdc.mdm.uploadarchive.raw/RTDC4001/ "%USERPROFILE%\AppData\Local\Temp\OnboardLogs"\RTDC4001\2017-07-01 --exclude "*" --recursive --include "*20170701*" &amp; "%USERPROFILE%\Documents\GitHub\mrs-test-scripts\Headless Mode &amp; Sideloading\WalkAndUnGZ.bat" "%USERPROFILE%\AppData\Local\Temp\OnboardLogs"\RTDC4001\2017-07-01</v>
      </c>
      <c r="AF217" s="74" t="str">
        <f t="shared" si="95"/>
        <v>"C:\Program Files (x86)\AstroGrep\AstroGrep.exe" /e /r /s /spath="%USERPROFILE%\AppData\Local\Temp\OnboardLogs" /stypes="app*4001*20170630*" /stext=" 10:.+((SYSTEM_STATE.+slice.+state.+changed )|(ment ac)|(multiple cpu faults)|(system.+state.+changed )|(\[timeout)|(PRM\|1\|D)|(kpr)|(kdp)|(train st.+moving)|(\|lc)|(penalty))"</v>
      </c>
      <c r="AG217" s="209" t="str">
        <f t="shared" si="96"/>
        <v>Other</v>
      </c>
      <c r="AH217" s="78" t="str">
        <f t="shared" si="97"/>
        <v>"%USERPROFILE%\Documents\GitHub\eaglep3\Utilities\RefineRTDCRunTimes.py" --tripid 306-30 --locoid 4001 --swversion DE.1.0.9.0 --startMP 300:23264 --initTime 2017-06-30T04:12:39 --startdatetime 2017-06-30T04:18:56 --delay 6 --endMP 204:141 --enddatetime 2017-06-30T04:26:02 --enforcementcount 0 &gt;&gt;C:\Users\stu\Documents\GitHub\eaglep3-reporting\EC\2017-06-30-refined-times.txt</v>
      </c>
      <c r="AI217" s="96" t="str">
        <f t="shared" si="98"/>
        <v>echo {"issue":{"subject":"","project_id":79,"tracker_id":40,"status_id":1,"priority_id":2,"assigned_to_id":23,"start_date":"2017-06-30","description":"","custom_fields":[{"id":1,"name":"Subdivision","value":"Other"},{"id":4,"name":"Milepost","value":"0.0141"},{"id":17,"name":"Train ID","value":"306-30"},{"id":16,"name":"Locomotive ID","value":"4001"},{"id":130,"name":"Impact","value":""},{"id":150,"name":"Time of Event (Mountain Time)","value":"04:26:02"},{"id":151,"name":"Denver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7" s="47"/>
      <c r="AL217" s="47"/>
      <c r="AM217" s="142" t="str">
        <f t="shared" si="99"/>
        <v>start /low /b %USERPROFILE%\Documents\GitHub\eaglep3\Utilities\DownloadLogsFromS3.py --loco 4001 --day 2017-06-30</v>
      </c>
      <c r="AN217" s="151" t="str">
        <f t="shared" si="100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10:26:02"},{"id":29,"name":"Sharepoint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x14ac:dyDescent="0.25">
      <c r="A218" s="32" t="s">
        <v>656</v>
      </c>
      <c r="B218" s="7">
        <v>4021</v>
      </c>
      <c r="C218" s="21" t="s">
        <v>200</v>
      </c>
      <c r="D218" s="21" t="s">
        <v>932</v>
      </c>
      <c r="E218" s="13">
        <v>42916.18037037037</v>
      </c>
      <c r="F218" s="13">
        <v>42916.185266203705</v>
      </c>
      <c r="G218" s="7">
        <v>6</v>
      </c>
      <c r="H218" s="21" t="s">
        <v>554</v>
      </c>
      <c r="I218" s="13">
        <v>42916.191180555557</v>
      </c>
      <c r="J218" s="7">
        <v>0</v>
      </c>
      <c r="K218" s="89" t="str">
        <f t="shared" si="88"/>
        <v>4021/4022</v>
      </c>
      <c r="L218" s="21" t="str">
        <f>VLOOKUP(A218,'Trips&amp;Operators'!$C$1:$G$99999,5,FALSE)</f>
        <v>DAVIS WENDY</v>
      </c>
      <c r="M218" s="6">
        <f t="shared" si="89"/>
        <v>5.914351851970423E-3</v>
      </c>
      <c r="N218" s="7">
        <f t="shared" si="101"/>
        <v>8.5166666668374091</v>
      </c>
      <c r="O218" s="7"/>
      <c r="P218" s="7"/>
      <c r="Q218" s="22"/>
      <c r="R218" s="170"/>
      <c r="S218" s="213">
        <f t="shared" si="84"/>
        <v>1</v>
      </c>
      <c r="T218" s="195" t="str">
        <f t="shared" si="90"/>
        <v>Southbound</v>
      </c>
      <c r="U218" s="19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96" t="str">
        <f t="shared" si="91"/>
        <v>https://d0f6bd738d7f1b3e5a7ca70fe4ff75f0.us-east-1.aws.found.io/app/kibana#/discover/Steve-Slow-Train-Analysis-(2080s-and-2083s)?_g=(refreshInterval:(display:Off,pause:!f,section:0,value:0),time:(from:'2017-06-30T03:19:44-0600',mode:absolute,to:'2017-06-30T05:35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18" s="197" t="str">
        <f>IF(AA218&lt;VLOOKUP(AG218,Variables!$AC$3:$AD$8,2,FALSE),"Y","N")</f>
        <v>Y</v>
      </c>
      <c r="X218" s="197">
        <f t="shared" si="85"/>
        <v>2</v>
      </c>
      <c r="Y218" s="197">
        <f t="shared" si="86"/>
        <v>2.3357000000000001</v>
      </c>
      <c r="Z218" s="197">
        <f t="shared" si="87"/>
        <v>1.6500000000000001E-2</v>
      </c>
      <c r="AA218" s="197">
        <f t="shared" si="92"/>
        <v>2.3191999999999999</v>
      </c>
      <c r="AB218" s="54" t="e">
        <f>VLOOKUP(A218,Enforcements!$C$7:$K$13,8,0)</f>
        <v>#N/A</v>
      </c>
      <c r="AC218" s="51" t="e">
        <f>VLOOKUP(A218,Enforcements!$C$7:$E$13,3,0)</f>
        <v>#N/A</v>
      </c>
      <c r="AD218" s="206">
        <f t="shared" si="93"/>
        <v>308</v>
      </c>
      <c r="AE218" s="77" t="str">
        <f t="shared" si="94"/>
        <v>aws s3 cp s3://rtdc.mdm.uploadarchive.raw/RTDC4021/ "%USERPROFILE%\AppData\Local\Temp\OnboardLogs"\RTDC4021\2017-06-30 --exclude "*" --recursive --include "*20170630*" &amp; "%USERPROFILE%\Documents\GitHub\mrs-test-scripts\Headless Mode &amp; Sideloading\WalkAndUnGZ.bat" "%USERPROFILE%\AppData\Local\Temp\OnboardLogs"\RTDC4021\2017-06-30 &amp; aws s3 cp s3://rtdc.mdm.uploadarchive.raw/RTDC4021/ "%USERPROFILE%\AppData\Local\Temp\OnboardLogs"\RTDC4021\2017-07-01 --exclude "*" --recursive --include "*20170701*" &amp; "%USERPROFILE%\Documents\GitHub\mrs-test-scripts\Headless Mode &amp; Sideloading\WalkAndUnGZ.bat" "%USERPROFILE%\AppData\Local\Temp\OnboardLogs"\RTDC4021\2017-07-01</v>
      </c>
      <c r="AF218" s="74" t="str">
        <f t="shared" si="95"/>
        <v>"C:\Program Files (x86)\AstroGrep\AstroGrep.exe" /e /r /s /spath="%USERPROFILE%\AppData\Local\Temp\OnboardLogs" /stypes="app*4021*20170630*" /stext=" 10:.+((SYSTEM_STATE.+slice.+state.+changed )|(ment ac)|(multiple cpu faults)|(system.+state.+changed )|(\[timeout)|(PRM\|1\|D)|(kpr)|(kdp)|(train st.+moving)|(\|lc)|(penalty))"</v>
      </c>
      <c r="AG218" s="209" t="str">
        <f t="shared" si="96"/>
        <v>Other</v>
      </c>
      <c r="AH218" s="78" t="str">
        <f t="shared" si="97"/>
        <v>"%USERPROFILE%\Documents\GitHub\eaglep3\Utilities\RefineRTDCRunTimes.py" --tripid 308-30 --locoid 4021 --swversion DE.1.0.9.0 --startMP 300:23357 --initTime 2017-06-30T04:19:44 --startdatetime 2017-06-30T04:26:47 --delay 6 --endMP 204:165 --enddatetime 2017-06-30T04:35:18 --enforcementcount 0 &gt;&gt;C:\Users\stu\Documents\GitHub\eaglep3-reporting\EC\2017-06-30-refined-times.txt</v>
      </c>
      <c r="AI218" s="96" t="str">
        <f t="shared" si="98"/>
        <v>echo {"issue":{"subject":"","project_id":79,"tracker_id":40,"status_id":1,"priority_id":2,"assigned_to_id":23,"start_date":"2017-06-30","description":"","custom_fields":[{"id":1,"name":"Subdivision","value":"Other"},{"id":4,"name":"Milepost","value":"0.0165"},{"id":17,"name":"Train ID","value":"308-30"},{"id":16,"name":"Locomotive ID","value":"4021"},{"id":130,"name":"Impact","value":""},{"id":150,"name":"Time of Event (Mountain Time)","value":"04:35:18"},{"id":151,"name":"Denver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2" t="str">
        <f t="shared" si="99"/>
        <v>start /low /b %USERPROFILE%\Documents\GitHub\eaglep3\Utilities\DownloadLogsFromS3.py --loco 4021 --day 2017-06-30</v>
      </c>
      <c r="AN218" s="151" t="str">
        <f t="shared" si="100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10:35:18"},{"id":29,"name":"Sharepoint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/>
    </row>
    <row r="219" spans="1:91" x14ac:dyDescent="0.25">
      <c r="A219" s="32" t="s">
        <v>841</v>
      </c>
      <c r="B219" s="7">
        <v>4042</v>
      </c>
      <c r="C219" s="21" t="s">
        <v>200</v>
      </c>
      <c r="D219" s="21" t="s">
        <v>353</v>
      </c>
      <c r="E219" s="13">
        <v>42917.06821759259</v>
      </c>
      <c r="F219" s="13">
        <v>42917.070011574076</v>
      </c>
      <c r="G219" s="7">
        <v>0</v>
      </c>
      <c r="H219" s="21" t="s">
        <v>933</v>
      </c>
      <c r="I219" s="13">
        <v>42917.077731481484</v>
      </c>
      <c r="J219" s="7">
        <v>0</v>
      </c>
      <c r="K219" s="89" t="str">
        <f t="shared" si="88"/>
        <v>4041/4042</v>
      </c>
      <c r="L219" s="21" t="str">
        <f>VLOOKUP(A219,'Trips&amp;Operators'!$C$1:$G$99999,5,FALSE)</f>
        <v>PERKINS DARREN</v>
      </c>
      <c r="M219" s="6">
        <f t="shared" si="89"/>
        <v>7.7199074075906537E-3</v>
      </c>
      <c r="N219" s="7">
        <f t="shared" si="101"/>
        <v>11.116666666930541</v>
      </c>
      <c r="O219" s="7"/>
      <c r="P219" s="7"/>
      <c r="Q219" s="22"/>
      <c r="R219" s="170"/>
      <c r="S219" s="213">
        <f t="shared" si="84"/>
        <v>1</v>
      </c>
      <c r="T219" s="195" t="str">
        <f t="shared" si="90"/>
        <v>NorthBound</v>
      </c>
      <c r="U219" s="19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96" t="str">
        <f t="shared" si="91"/>
        <v>https://d0f6bd738d7f1b3e5a7ca70fe4ff75f0.us-east-1.aws.found.io/app/kibana#/discover/Steve-Slow-Train-Analysis-(2080s-and-2083s)?_g=(refreshInterval:(display:Off,pause:!f,section:0,value:0),time:(from:'2017-07-01T00:38:14-0600',mode:absolute,to:'2017-07-01T02:51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9" s="197" t="str">
        <f>IF(AA219&lt;VLOOKUP(AG219,Variables!$AC$3:$AD$8,2,FALSE),"Y","N")</f>
        <v>Y</v>
      </c>
      <c r="X219" s="197">
        <f t="shared" si="85"/>
        <v>1</v>
      </c>
      <c r="Y219" s="197">
        <f t="shared" si="86"/>
        <v>4.4699999999999997E-2</v>
      </c>
      <c r="Z219" s="197">
        <f t="shared" si="87"/>
        <v>2.3296999999999999</v>
      </c>
      <c r="AA219" s="197">
        <f t="shared" si="92"/>
        <v>2.2849999999999997</v>
      </c>
      <c r="AB219" s="54" t="e">
        <f>VLOOKUP(A219,Enforcements!$C$7:$K$13,8,0)</f>
        <v>#N/A</v>
      </c>
      <c r="AC219" s="51" t="e">
        <f>VLOOKUP(A219,Enforcements!$C$7:$E$13,3,0)</f>
        <v>#N/A</v>
      </c>
      <c r="AD219" s="206">
        <f t="shared" si="93"/>
        <v>309</v>
      </c>
      <c r="AE219" s="77" t="str">
        <f t="shared" si="94"/>
        <v>aws s3 cp s3://rtdc.mdm.uploadarchive.raw/RTDC4042/ "%USERPROFILE%\AppData\Local\Temp\OnboardLogs"\RTDC4042\2017-07-01 --exclude "*" --recursive --include "*20170701*" &amp; "%USERPROFILE%\Documents\GitHub\mrs-test-scripts\Headless Mode &amp; Sideloading\WalkAndUnGZ.bat" "%USERPROFILE%\AppData\Local\Temp\OnboardLogs"\RTDC4042\2017-07-01 &amp; aws s3 cp s3://rtdc.mdm.uploadarchive.raw/RTDC4042/ "%USERPROFILE%\AppData\Local\Temp\OnboardLogs"\RTDC4042\2017-07-02 --exclude "*" --recursive --include "*20170702*" &amp; "%USERPROFILE%\Documents\GitHub\mrs-test-scripts\Headless Mode &amp; Sideloading\WalkAndUnGZ.bat" "%USERPROFILE%\AppData\Local\Temp\OnboardLogs"\RTDC4042\2017-07-02</v>
      </c>
      <c r="AF219" s="74" t="str">
        <f t="shared" si="95"/>
        <v>"C:\Program Files (x86)\AstroGrep\AstroGrep.exe" /e /r /s /spath="%USERPROFILE%\AppData\Local\Temp\OnboardLogs" /stypes="app*4042*20170701*" /stext=" 07:.+((SYSTEM_STATE.+slice.+state.+changed )|(ment ac)|(multiple cpu faults)|(system.+state.+changed )|(\[timeout)|(PRM\|1\|D)|(kpr)|(kdp)|(train st.+moving)|(\|lc)|(penalty))"</v>
      </c>
      <c r="AG219" s="209" t="str">
        <f t="shared" si="96"/>
        <v>Other</v>
      </c>
      <c r="AH219" s="78" t="str">
        <f t="shared" si="97"/>
        <v>"%USERPROFILE%\Documents\GitHub\eaglep3\Utilities\RefineRTDCRunTimes.py" --tripid 309-30 --locoid 4042 --swversion DE.1.0.9.0 --startMP 204:447 --initTime 2017-07-01T01:38:14 --startdatetime 2017-07-01T01:40:49 --delay 0 --endMP 300:23297 --enddatetime 2017-07-01T01:51:56 --enforcementcount 0 &gt;&gt;C:\Users\stu\Documents\GitHub\eaglep3-reporting\EC\2017-06-30-refined-times.txt</v>
      </c>
      <c r="AI219" s="96" t="str">
        <f t="shared" si="98"/>
        <v>echo {"issue":{"subject":"","project_id":79,"tracker_id":40,"status_id":1,"priority_id":2,"assigned_to_id":23,"start_date":"2017-07-01","description":"","custom_fields":[{"id":1,"name":"Subdivision","value":"Other"},{"id":4,"name":"Milepost","value":"2.3297"},{"id":17,"name":"Train ID","value":"309-30"},{"id":16,"name":"Locomotive ID","value":"4042"},{"id":130,"name":"Impact","value":""},{"id":150,"name":"Time of Event (Mountain Time)","value":"01:51:56"},{"id":151,"name":"Denver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2" t="str">
        <f t="shared" si="99"/>
        <v>start /low /b %USERPROFILE%\Documents\GitHub\eaglep3\Utilities\DownloadLogsFromS3.py --loco 4042 --day 2017-07-01</v>
      </c>
      <c r="AN219" s="151" t="str">
        <f t="shared" si="100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07:51:56"},{"id":29,"name":"Sharepoint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/>
    </row>
    <row r="220" spans="1:91" s="20" customFormat="1" x14ac:dyDescent="0.25">
      <c r="A220" s="32" t="s">
        <v>658</v>
      </c>
      <c r="B220" s="7">
        <v>4043</v>
      </c>
      <c r="C220" s="21" t="s">
        <v>200</v>
      </c>
      <c r="D220" s="21" t="s">
        <v>934</v>
      </c>
      <c r="E220" s="13">
        <v>42916.199583333335</v>
      </c>
      <c r="F220" s="13">
        <v>42916.202650462961</v>
      </c>
      <c r="G220" s="7">
        <v>4</v>
      </c>
      <c r="H220" s="21" t="s">
        <v>357</v>
      </c>
      <c r="I220" s="13">
        <v>42916.209085648145</v>
      </c>
      <c r="J220" s="7">
        <v>0</v>
      </c>
      <c r="K220" s="89" t="str">
        <f t="shared" si="88"/>
        <v>4043/4044</v>
      </c>
      <c r="L220" s="21" t="str">
        <f>VLOOKUP(A220,'Trips&amp;Operators'!$C$1:$G$99999,5,FALSE)</f>
        <v>DAVIDSON DAVID</v>
      </c>
      <c r="M220" s="6">
        <f t="shared" si="89"/>
        <v>6.435185183363501E-3</v>
      </c>
      <c r="N220" s="7">
        <f t="shared" si="101"/>
        <v>9.2666666640434414</v>
      </c>
      <c r="O220" s="7"/>
      <c r="P220" s="7"/>
      <c r="Q220" s="22"/>
      <c r="R220" s="170"/>
      <c r="S220" s="213">
        <f t="shared" si="84"/>
        <v>1</v>
      </c>
      <c r="T220" s="195" t="str">
        <f t="shared" si="90"/>
        <v>Southbound</v>
      </c>
      <c r="U220" s="19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96" t="str">
        <f t="shared" si="91"/>
        <v>https://d0f6bd738d7f1b3e5a7ca70fe4ff75f0.us-east-1.aws.found.io/app/kibana#/discover/Steve-Slow-Train-Analysis-(2080s-and-2083s)?_g=(refreshInterval:(display:Off,pause:!f,section:0,value:0),time:(from:'2017-06-30T03:47:24-0600',mode:absolute,to:'2017-06-30T06:01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20" s="197" t="str">
        <f>IF(AA220&lt;VLOOKUP(AG220,Variables!$AC$3:$AD$8,2,FALSE),"Y","N")</f>
        <v>Y</v>
      </c>
      <c r="X220" s="197">
        <f t="shared" si="85"/>
        <v>1</v>
      </c>
      <c r="Y220" s="197">
        <f t="shared" si="86"/>
        <v>2.3386999999999998</v>
      </c>
      <c r="Z220" s="197">
        <f t="shared" si="87"/>
        <v>1.47E-2</v>
      </c>
      <c r="AA220" s="197">
        <f t="shared" si="92"/>
        <v>2.3239999999999998</v>
      </c>
      <c r="AB220" s="54" t="e">
        <f>VLOOKUP(A220,Enforcements!$C$7:$K$13,8,0)</f>
        <v>#N/A</v>
      </c>
      <c r="AC220" s="51" t="e">
        <f>VLOOKUP(A220,Enforcements!$C$7:$E$13,3,0)</f>
        <v>#N/A</v>
      </c>
      <c r="AD220" s="206">
        <f t="shared" si="93"/>
        <v>310</v>
      </c>
      <c r="AE220" s="77" t="str">
        <f t="shared" si="94"/>
        <v>aws s3 cp s3://rtdc.mdm.uploadarchive.raw/RTDC4043/ "%USERPROFILE%\AppData\Local\Temp\OnboardLogs"\RTDC4043\2017-06-30 --exclude "*" --recursive --include "*20170630*" &amp; "%USERPROFILE%\Documents\GitHub\mrs-test-scripts\Headless Mode &amp; Sideloading\WalkAndUnGZ.bat" "%USERPROFILE%\AppData\Local\Temp\OnboardLogs"\RTDC4043\2017-06-30 &amp; aws s3 cp s3://rtdc.mdm.uploadarchive.raw/RTDC4043/ "%USERPROFILE%\AppData\Local\Temp\OnboardLogs"\RTDC4043\2017-07-01 --exclude "*" --recursive --include "*20170701*" &amp; "%USERPROFILE%\Documents\GitHub\mrs-test-scripts\Headless Mode &amp; Sideloading\WalkAndUnGZ.bat" "%USERPROFILE%\AppData\Local\Temp\OnboardLogs"\RTDC4043\2017-07-01</v>
      </c>
      <c r="AF220" s="74" t="str">
        <f t="shared" si="95"/>
        <v>"C:\Program Files (x86)\AstroGrep\AstroGrep.exe" /e /r /s /spath="%USERPROFILE%\AppData\Local\Temp\OnboardLogs" /stypes="app*4043*20170630*" /stext=" 11:.+((SYSTEM_STATE.+slice.+state.+changed )|(ment ac)|(multiple cpu faults)|(system.+state.+changed )|(\[timeout)|(PRM\|1\|D)|(kpr)|(kdp)|(train st.+moving)|(\|lc)|(penalty))"</v>
      </c>
      <c r="AG220" s="209" t="str">
        <f t="shared" si="96"/>
        <v>Other</v>
      </c>
      <c r="AH220" s="78" t="str">
        <f t="shared" si="97"/>
        <v>"%USERPROFILE%\Documents\GitHub\eaglep3\Utilities\RefineRTDCRunTimes.py" --tripid 310-30 --locoid 4043 --swversion DE.1.0.9.0 --startMP 300:23387 --initTime 2017-06-30T04:47:24 --startdatetime 2017-06-30T04:51:49 --delay 4 --endMP 204:147 --enddatetime 2017-06-30T05:01:05 --enforcementcount 0 &gt;&gt;C:\Users\stu\Documents\GitHub\eaglep3-reporting\EC\2017-06-30-refined-times.txt</v>
      </c>
      <c r="AI220" s="96" t="str">
        <f t="shared" si="98"/>
        <v>echo {"issue":{"subject":"","project_id":79,"tracker_id":40,"status_id":1,"priority_id":2,"assigned_to_id":23,"start_date":"2017-06-30","description":"","custom_fields":[{"id":1,"name":"Subdivision","value":"Other"},{"id":4,"name":"Milepost","value":"0.0147"},{"id":17,"name":"Train ID","value":"310-30"},{"id":16,"name":"Locomotive ID","value":"4043"},{"id":130,"name":"Impact","value":""},{"id":150,"name":"Time of Event (Mountain Time)","value":"05:01:05"},{"id":151,"name":"Denver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0" s="47"/>
      <c r="AL220" s="47"/>
      <c r="AM220" s="142" t="str">
        <f t="shared" si="99"/>
        <v>start /low /b %USERPROFILE%\Documents\GitHub\eaglep3\Utilities\DownloadLogsFromS3.py --loco 4043 --day 2017-06-30</v>
      </c>
      <c r="AN220" s="151" t="str">
        <f t="shared" si="100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11:01:05"},{"id":29,"name":"Sharepoint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x14ac:dyDescent="0.25">
      <c r="A221" s="32" t="s">
        <v>643</v>
      </c>
      <c r="B221" s="7">
        <v>4060</v>
      </c>
      <c r="C221" s="21" t="s">
        <v>200</v>
      </c>
      <c r="D221" s="21" t="s">
        <v>406</v>
      </c>
      <c r="E221" s="13">
        <v>42916.078043981484</v>
      </c>
      <c r="F221" s="13">
        <v>42916.079398148147</v>
      </c>
      <c r="G221" s="7">
        <v>1</v>
      </c>
      <c r="H221" s="21" t="s">
        <v>935</v>
      </c>
      <c r="I221" s="13">
        <v>42916.084120370368</v>
      </c>
      <c r="J221" s="7">
        <v>0</v>
      </c>
      <c r="K221" s="89" t="str">
        <f t="shared" si="88"/>
        <v>4059/4060</v>
      </c>
      <c r="L221" s="21" t="str">
        <f>VLOOKUP(A221,'Trips&amp;Operators'!$C$1:$G$99999,5,FALSE)</f>
        <v>PERKINS DARREN</v>
      </c>
      <c r="M221" s="6">
        <f t="shared" si="89"/>
        <v>4.7222222201526165E-3</v>
      </c>
      <c r="N221" s="7">
        <f t="shared" si="101"/>
        <v>6.7999999970197678</v>
      </c>
      <c r="O221" s="7"/>
      <c r="P221" s="7"/>
      <c r="Q221" s="22"/>
      <c r="R221" s="170"/>
      <c r="S221" s="213">
        <f t="shared" si="84"/>
        <v>1</v>
      </c>
      <c r="T221" s="195" t="str">
        <f t="shared" si="90"/>
        <v>NorthBound</v>
      </c>
      <c r="U221" s="19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96" t="str">
        <f t="shared" si="91"/>
        <v>https://d0f6bd738d7f1b3e5a7ca70fe4ff75f0.us-east-1.aws.found.io/app/kibana#/discover/Steve-Slow-Train-Analysis-(2080s-and-2083s)?_g=(refreshInterval:(display:Off,pause:!f,section:0,value:0),time:(from:'2017-06-30T00:52:23-0600',mode:absolute,to:'2017-06-30T03:01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21" s="197" t="str">
        <f>IF(AA221&lt;VLOOKUP(AG221,Variables!$AC$3:$AD$8,2,FALSE),"Y","N")</f>
        <v>Y</v>
      </c>
      <c r="X221" s="197">
        <f t="shared" si="85"/>
        <v>1</v>
      </c>
      <c r="Y221" s="197">
        <f t="shared" si="86"/>
        <v>4.6699999999999998E-2</v>
      </c>
      <c r="Z221" s="197">
        <f t="shared" si="87"/>
        <v>2.31</v>
      </c>
      <c r="AA221" s="197">
        <f t="shared" si="92"/>
        <v>2.2633000000000001</v>
      </c>
      <c r="AB221" s="54" t="e">
        <f>VLOOKUP(A221,Enforcements!$C$7:$K$13,8,0)</f>
        <v>#N/A</v>
      </c>
      <c r="AC221" s="51" t="e">
        <f>VLOOKUP(A221,Enforcements!$C$7:$E$13,3,0)</f>
        <v>#N/A</v>
      </c>
      <c r="AD221" s="206">
        <f t="shared" si="93"/>
        <v>311</v>
      </c>
      <c r="AE221" s="77" t="str">
        <f t="shared" si="94"/>
        <v>aws s3 cp s3://rtdc.mdm.uploadarchive.raw/RTDC4060/ "%USERPROFILE%\AppData\Local\Temp\OnboardLogs"\RTDC4060\2017-06-30 --exclude "*" --recursive --include "*20170630*" &amp; "%USERPROFILE%\Documents\GitHub\mrs-test-scripts\Headless Mode &amp; Sideloading\WalkAndUnGZ.bat" "%USERPROFILE%\AppData\Local\Temp\OnboardLogs"\RTDC4060\2017-06-30 &amp; aws s3 cp s3://rtdc.mdm.uploadarchive.raw/RTDC4060/ "%USERPROFILE%\AppData\Local\Temp\OnboardLogs"\RTDC4060\2017-07-01 --exclude "*" --recursive --include "*20170701*" &amp; "%USERPROFILE%\Documents\GitHub\mrs-test-scripts\Headless Mode &amp; Sideloading\WalkAndUnGZ.bat" "%USERPROFILE%\AppData\Local\Temp\OnboardLogs"\RTDC4060\2017-07-01</v>
      </c>
      <c r="AF221" s="74" t="str">
        <f t="shared" si="95"/>
        <v>"C:\Program Files (x86)\AstroGrep\AstroGrep.exe" /e /r /s /spath="%USERPROFILE%\AppData\Local\Temp\OnboardLogs" /stypes="app*4060*20170630*" /stext=" 08:.+((SYSTEM_STATE.+slice.+state.+changed )|(ment ac)|(multiple cpu faults)|(system.+state.+changed )|(\[timeout)|(PRM\|1\|D)|(kpr)|(kdp)|(train st.+moving)|(\|lc)|(penalty))"</v>
      </c>
      <c r="AG221" s="209" t="str">
        <f t="shared" si="96"/>
        <v>Other</v>
      </c>
      <c r="AH221" s="78" t="str">
        <f t="shared" si="97"/>
        <v>"%USERPROFILE%\Documents\GitHub\eaglep3\Utilities\RefineRTDCRunTimes.py" --tripid 311-29 --locoid 4060 --swversion DE.1.0.9.0 --startMP 204:467 --initTime 2017-06-30T01:52:23 --startdatetime 2017-06-30T01:54:20 --delay 1 --endMP 300:23100 --enddatetime 2017-06-30T02:01:08 --enforcementcount 0 &gt;&gt;C:\Users\stu\Documents\GitHub\eaglep3-reporting\EC\2017-06-30-refined-times.txt</v>
      </c>
      <c r="AI221" s="96" t="str">
        <f t="shared" si="98"/>
        <v>echo {"issue":{"subject":"","project_id":79,"tracker_id":40,"status_id":1,"priority_id":2,"assigned_to_id":23,"start_date":"2017-06-30","description":"","custom_fields":[{"id":1,"name":"Subdivision","value":"Other"},{"id":4,"name":"Milepost","value":"2.31"},{"id":17,"name":"Train ID","value":"311-29"},{"id":16,"name":"Locomotive ID","value":"4060"},{"id":130,"name":"Impact","value":""},{"id":150,"name":"Time of Event (Mountain Time)","value":"02:01:08"},{"id":151,"name":"Denver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2" t="str">
        <f t="shared" si="99"/>
        <v>start /low /b %USERPROFILE%\Documents\GitHub\eaglep3\Utilities\DownloadLogsFromS3.py --loco 4060 --day 2017-06-30</v>
      </c>
      <c r="AN221" s="151" t="str">
        <f t="shared" si="100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08:01:08"},{"id":29,"name":"Sharepoint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/>
    </row>
    <row r="222" spans="1:91" x14ac:dyDescent="0.25">
      <c r="A222" s="32" t="s">
        <v>843</v>
      </c>
      <c r="B222" s="7">
        <v>4002</v>
      </c>
      <c r="C222" s="21" t="s">
        <v>200</v>
      </c>
      <c r="D222" s="21" t="s">
        <v>341</v>
      </c>
      <c r="E222" s="13">
        <v>42917.090254629627</v>
      </c>
      <c r="F222" s="13">
        <v>42917.09175925926</v>
      </c>
      <c r="G222" s="7">
        <v>1</v>
      </c>
      <c r="H222" s="21" t="s">
        <v>936</v>
      </c>
      <c r="I222" s="13">
        <v>42917.099803240744</v>
      </c>
      <c r="J222" s="7">
        <v>0</v>
      </c>
      <c r="K222" s="89" t="str">
        <f t="shared" si="88"/>
        <v>4001/4002</v>
      </c>
      <c r="L222" s="21" t="str">
        <f>VLOOKUP(A222,'Trips&amp;Operators'!$C$1:$G$99999,5,FALSE)</f>
        <v>FORTUNATO FRANK</v>
      </c>
      <c r="M222" s="6">
        <f t="shared" si="89"/>
        <v>8.0439814846613444E-3</v>
      </c>
      <c r="N222" s="7">
        <f t="shared" si="101"/>
        <v>11.583333337912336</v>
      </c>
      <c r="O222" s="7"/>
      <c r="P222" s="7"/>
      <c r="Q222" s="22"/>
      <c r="R222" s="170"/>
      <c r="S222" s="213">
        <f t="shared" ref="S222:S253" si="102">SUM(U222:U222)/IF(AG222="EC",12,1)</f>
        <v>1</v>
      </c>
      <c r="T222" s="195" t="str">
        <f t="shared" si="90"/>
        <v>NorthBound</v>
      </c>
      <c r="U222" s="19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196" t="str">
        <f t="shared" si="91"/>
        <v>https://d0f6bd738d7f1b3e5a7ca70fe4ff75f0.us-east-1.aws.found.io/app/kibana#/discover/Steve-Slow-Train-Analysis-(2080s-and-2083s)?_g=(refreshInterval:(display:Off,pause:!f,section:0,value:0),time:(from:'2017-07-01T01:09:58-0600',mode:absolute,to:'2017-07-01T03:23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22" s="197" t="str">
        <f>IF(AA222&lt;VLOOKUP(AG222,Variables!$AC$3:$AD$8,2,FALSE),"Y","N")</f>
        <v>Y</v>
      </c>
      <c r="X222" s="197">
        <f t="shared" si="85"/>
        <v>0</v>
      </c>
      <c r="Y222" s="197">
        <f t="shared" si="86"/>
        <v>4.4900000000000002E-2</v>
      </c>
      <c r="Z222" s="197">
        <f t="shared" si="87"/>
        <v>2.3294999999999999</v>
      </c>
      <c r="AA222" s="197">
        <f t="shared" si="92"/>
        <v>2.2845999999999997</v>
      </c>
      <c r="AB222" s="54" t="e">
        <f>VLOOKUP(A222,Enforcements!$C$7:$K$13,8,0)</f>
        <v>#N/A</v>
      </c>
      <c r="AC222" s="51" t="e">
        <f>VLOOKUP(A222,Enforcements!$C$7:$E$13,3,0)</f>
        <v>#N/A</v>
      </c>
      <c r="AD222" s="206">
        <f t="shared" si="93"/>
        <v>311</v>
      </c>
      <c r="AE222" s="77" t="str">
        <f t="shared" si="94"/>
        <v>aws s3 cp s3://rtdc.mdm.uploadarchive.raw/RTDC4002/ "%USERPROFILE%\AppData\Local\Temp\OnboardLogs"\RTDC4002\2017-07-01 --exclude "*" --recursive --include "*20170701*" &amp; "%USERPROFILE%\Documents\GitHub\mrs-test-scripts\Headless Mode &amp; Sideloading\WalkAndUnGZ.bat" "%USERPROFILE%\AppData\Local\Temp\OnboardLogs"\RTDC4002\2017-07-01 &amp; aws s3 cp s3://rtdc.mdm.uploadarchive.raw/RTDC4002/ "%USERPROFILE%\AppData\Local\Temp\OnboardLogs"\RTDC4002\2017-07-02 --exclude "*" --recursive --include "*20170702*" &amp; "%USERPROFILE%\Documents\GitHub\mrs-test-scripts\Headless Mode &amp; Sideloading\WalkAndUnGZ.bat" "%USERPROFILE%\AppData\Local\Temp\OnboardLogs"\RTDC4002\2017-07-02</v>
      </c>
      <c r="AF222" s="74" t="str">
        <f t="shared" si="95"/>
        <v>"C:\Program Files (x86)\AstroGrep\AstroGrep.exe" /e /r /s /spath="%USERPROFILE%\AppData\Local\Temp\OnboardLogs" /stypes="app*4002*20170701*" /stext=" 08:.+((SYSTEM_STATE.+slice.+state.+changed )|(ment ac)|(multiple cpu faults)|(system.+state.+changed )|(\[timeout)|(PRM\|1\|D)|(kpr)|(kdp)|(train st.+moving)|(\|lc)|(penalty))"</v>
      </c>
      <c r="AG222" s="209" t="str">
        <f t="shared" si="96"/>
        <v>Other</v>
      </c>
      <c r="AH222" s="78" t="str">
        <f t="shared" si="97"/>
        <v>"%USERPROFILE%\Documents\GitHub\eaglep3\Utilities\RefineRTDCRunTimes.py" --tripid 311-30 --locoid 4002 --swversion DE.1.0.9.0 --startMP 204:449 --initTime 2017-07-01T02:09:58 --startdatetime 2017-07-01T02:12:08 --delay 1 --endMP 300:23295 --enddatetime 2017-07-01T02:23:43 --enforcementcount 0 &gt;&gt;C:\Users\stu\Documents\GitHub\eaglep3-reporting\EC\2017-06-30-refined-times.txt</v>
      </c>
      <c r="AI222" s="96" t="str">
        <f t="shared" si="98"/>
        <v>echo {"issue":{"subject":"","project_id":79,"tracker_id":40,"status_id":1,"priority_id":2,"assigned_to_id":23,"start_date":"2017-07-01","description":"","custom_fields":[{"id":1,"name":"Subdivision","value":"Other"},{"id":4,"name":"Milepost","value":"2.3295"},{"id":17,"name":"Train ID","value":"311-30"},{"id":16,"name":"Locomotive ID","value":"4002"},{"id":130,"name":"Impact","value":""},{"id":150,"name":"Time of Event (Mountain Time)","value":"02:23:43"},{"id":151,"name":"Denver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2" t="str">
        <f t="shared" si="99"/>
        <v>start /low /b %USERPROFILE%\Documents\GitHub\eaglep3\Utilities\DownloadLogsFromS3.py --loco 4002 --day 2017-07-01</v>
      </c>
      <c r="AN222" s="151" t="str">
        <f t="shared" si="100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08:23:43"},{"id":29,"name":"Sharepoint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/>
    </row>
    <row r="223" spans="1:91" x14ac:dyDescent="0.25">
      <c r="A223" s="32" t="s">
        <v>667</v>
      </c>
      <c r="B223" s="7">
        <v>4039</v>
      </c>
      <c r="C223" s="21" t="s">
        <v>200</v>
      </c>
      <c r="D223" s="21" t="s">
        <v>937</v>
      </c>
      <c r="E223" s="13">
        <v>42916.221504629626</v>
      </c>
      <c r="F223" s="13">
        <v>42916.225601851853</v>
      </c>
      <c r="G223" s="7">
        <v>5</v>
      </c>
      <c r="H223" s="21" t="s">
        <v>354</v>
      </c>
      <c r="I223" s="13">
        <v>42916.230486111112</v>
      </c>
      <c r="J223" s="7">
        <v>0</v>
      </c>
      <c r="K223" s="89" t="str">
        <f t="shared" si="88"/>
        <v>4039/4040</v>
      </c>
      <c r="L223" s="21" t="str">
        <f>VLOOKUP(A223,'Trips&amp;Operators'!$C$1:$G$99999,5,FALSE)</f>
        <v>BEAM ROSS</v>
      </c>
      <c r="M223" s="6">
        <f t="shared" si="89"/>
        <v>4.8842592586879618E-3</v>
      </c>
      <c r="N223" s="7">
        <f t="shared" si="101"/>
        <v>7.0333333325106651</v>
      </c>
      <c r="O223" s="7"/>
      <c r="P223" s="7"/>
      <c r="Q223" s="22"/>
      <c r="R223" s="170"/>
      <c r="S223" s="213">
        <f t="shared" si="102"/>
        <v>1</v>
      </c>
      <c r="T223" s="195" t="str">
        <f t="shared" si="90"/>
        <v>Southbound</v>
      </c>
      <c r="U223" s="19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196" t="str">
        <f t="shared" si="91"/>
        <v>https://d0f6bd738d7f1b3e5a7ca70fe4ff75f0.us-east-1.aws.found.io/app/kibana#/discover/Steve-Slow-Train-Analysis-(2080s-and-2083s)?_g=(refreshInterval:(display:Off,pause:!f,section:0,value:0),time:(from:'2017-06-30T04:18:58-0600',mode:absolute,to:'2017-06-30T06:31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23" s="197" t="str">
        <f>IF(AA223&lt;VLOOKUP(AG223,Variables!$AC$3:$AD$8,2,FALSE),"Y","N")</f>
        <v>Y</v>
      </c>
      <c r="X223" s="197">
        <f t="shared" si="85"/>
        <v>1</v>
      </c>
      <c r="Y223" s="197">
        <f t="shared" si="86"/>
        <v>2.1772</v>
      </c>
      <c r="Z223" s="197">
        <f t="shared" si="87"/>
        <v>1.3899999999999999E-2</v>
      </c>
      <c r="AA223" s="197">
        <f t="shared" si="92"/>
        <v>2.1633</v>
      </c>
      <c r="AB223" s="54" t="e">
        <f>VLOOKUP(A223,Enforcements!$C$7:$K$13,8,0)</f>
        <v>#N/A</v>
      </c>
      <c r="AC223" s="51" t="e">
        <f>VLOOKUP(A223,Enforcements!$C$7:$E$13,3,0)</f>
        <v>#N/A</v>
      </c>
      <c r="AD223" s="206">
        <f t="shared" si="93"/>
        <v>312</v>
      </c>
      <c r="AE223" s="77" t="str">
        <f t="shared" si="94"/>
        <v>aws s3 cp s3://rtdc.mdm.uploadarchive.raw/RTDC4039/ "%USERPROFILE%\AppData\Local\Temp\OnboardLogs"\RTDC4039\2017-06-30 --exclude "*" --recursive --include "*20170630*" &amp; "%USERPROFILE%\Documents\GitHub\mrs-test-scripts\Headless Mode &amp; Sideloading\WalkAndUnGZ.bat" "%USERPROFILE%\AppData\Local\Temp\OnboardLogs"\RTDC4039\2017-06-30 &amp; aws s3 cp s3://rtdc.mdm.uploadarchive.raw/RTDC4039/ "%USERPROFILE%\AppData\Local\Temp\OnboardLogs"\RTDC4039\2017-07-01 --exclude "*" --recursive --include "*20170701*" &amp; "%USERPROFILE%\Documents\GitHub\mrs-test-scripts\Headless Mode &amp; Sideloading\WalkAndUnGZ.bat" "%USERPROFILE%\AppData\Local\Temp\OnboardLogs"\RTDC4039\2017-07-01</v>
      </c>
      <c r="AF223" s="74" t="str">
        <f t="shared" si="95"/>
        <v>"C:\Program Files (x86)\AstroGrep\AstroGrep.exe" /e /r /s /spath="%USERPROFILE%\AppData\Local\Temp\OnboardLogs" /stypes="app*4039*20170630*" /stext=" 11:.+((SYSTEM_STATE.+slice.+state.+changed )|(ment ac)|(multiple cpu faults)|(system.+state.+changed )|(\[timeout)|(PRM\|1\|D)|(kpr)|(kdp)|(train st.+moving)|(\|lc)|(penalty))"</v>
      </c>
      <c r="AG223" s="209" t="str">
        <f t="shared" si="96"/>
        <v>Other</v>
      </c>
      <c r="AH223" s="78" t="str">
        <f t="shared" si="97"/>
        <v>"%USERPROFILE%\Documents\GitHub\eaglep3\Utilities\RefineRTDCRunTimes.py" --tripid 312-30 --locoid 4039 --swversion DE.1.0.9.0 --startMP 300:21772 --initTime 2017-06-30T05:18:58 --startdatetime 2017-06-30T05:24:52 --delay 5 --endMP 204:139 --enddatetime 2017-06-30T05:31:54 --enforcementcount 0 &gt;&gt;C:\Users\stu\Documents\GitHub\eaglep3-reporting\EC\2017-06-30-refined-times.txt</v>
      </c>
      <c r="AI223" s="96" t="str">
        <f t="shared" si="98"/>
        <v>echo {"issue":{"subject":"","project_id":79,"tracker_id":40,"status_id":1,"priority_id":2,"assigned_to_id":23,"start_date":"2017-06-30","description":"","custom_fields":[{"id":1,"name":"Subdivision","value":"Other"},{"id":4,"name":"Milepost","value":"0.0139"},{"id":17,"name":"Train ID","value":"312-30"},{"id":16,"name":"Locomotive ID","value":"4039"},{"id":130,"name":"Impact","value":""},{"id":150,"name":"Time of Event (Mountain Time)","value":"05:31:54"},{"id":151,"name":"Denver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2" t="str">
        <f t="shared" si="99"/>
        <v>start /low /b %USERPROFILE%\Documents\GitHub\eaglep3\Utilities\DownloadLogsFromS3.py --loco 4039 --day 2017-06-30</v>
      </c>
      <c r="AN223" s="151" t="str">
        <f t="shared" si="100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11:31:54"},{"id":29,"name":"Sharepoint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/>
    </row>
    <row r="224" spans="1:91" x14ac:dyDescent="0.25">
      <c r="A224" s="32" t="s">
        <v>644</v>
      </c>
      <c r="B224" s="7">
        <v>4062</v>
      </c>
      <c r="C224" s="21" t="s">
        <v>200</v>
      </c>
      <c r="D224" s="21" t="s">
        <v>556</v>
      </c>
      <c r="E224" s="13">
        <v>42916.094641203701</v>
      </c>
      <c r="F224" s="13">
        <v>42916.095810185187</v>
      </c>
      <c r="G224" s="7">
        <v>1</v>
      </c>
      <c r="H224" s="21" t="s">
        <v>351</v>
      </c>
      <c r="I224" s="13">
        <v>42916.105347222219</v>
      </c>
      <c r="J224" s="7">
        <v>0</v>
      </c>
      <c r="K224" s="89" t="str">
        <f t="shared" si="88"/>
        <v>4061/4062</v>
      </c>
      <c r="L224" s="21" t="str">
        <f>VLOOKUP(A224,'Trips&amp;Operators'!$C$1:$G$99999,5,FALSE)</f>
        <v>FORTUNATO FRANK</v>
      </c>
      <c r="M224" s="6">
        <f t="shared" si="89"/>
        <v>9.5370370327145793E-3</v>
      </c>
      <c r="N224" s="7">
        <f t="shared" si="101"/>
        <v>13.733333327108994</v>
      </c>
      <c r="O224" s="7"/>
      <c r="P224" s="7"/>
      <c r="Q224" s="22"/>
      <c r="R224" s="170"/>
      <c r="S224" s="213">
        <f t="shared" si="102"/>
        <v>1</v>
      </c>
      <c r="T224" s="195" t="str">
        <f t="shared" si="90"/>
        <v>NorthBound</v>
      </c>
      <c r="U224" s="195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196" t="str">
        <f t="shared" si="91"/>
        <v>https://d0f6bd738d7f1b3e5a7ca70fe4ff75f0.us-east-1.aws.found.io/app/kibana#/discover/Steve-Slow-Train-Analysis-(2080s-and-2083s)?_g=(refreshInterval:(display:Off,pause:!f,section:0,value:0),time:(from:'2017-06-30T01:16:17-0600',mode:absolute,to:'2017-06-30T03:31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24" s="197" t="str">
        <f>IF(AA224&lt;VLOOKUP(AG224,Variables!$AC$3:$AD$8,2,FALSE),"Y","N")</f>
        <v>Y</v>
      </c>
      <c r="X224" s="197">
        <f t="shared" ref="X224:X255" si="103">VALUE(LEFT(AD224,4))-VALUE(LEFT(AD223,4))</f>
        <v>1</v>
      </c>
      <c r="Y224" s="197">
        <f t="shared" si="86"/>
        <v>4.7100000000000003E-2</v>
      </c>
      <c r="Z224" s="197">
        <f t="shared" si="87"/>
        <v>2.3346</v>
      </c>
      <c r="AA224" s="197">
        <f t="shared" si="92"/>
        <v>2.2875000000000001</v>
      </c>
      <c r="AB224" s="54" t="e">
        <f>VLOOKUP(A224,Enforcements!$C$7:$K$13,8,0)</f>
        <v>#N/A</v>
      </c>
      <c r="AC224" s="51" t="e">
        <f>VLOOKUP(A224,Enforcements!$C$7:$E$13,3,0)</f>
        <v>#N/A</v>
      </c>
      <c r="AD224" s="206">
        <f t="shared" si="93"/>
        <v>313</v>
      </c>
      <c r="AE224" s="77" t="str">
        <f t="shared" si="94"/>
        <v>aws s3 cp s3://rtdc.mdm.uploadarchive.raw/RTDC4062/ "%USERPROFILE%\AppData\Local\Temp\OnboardLogs"\RTDC4062\2017-06-30 --exclude "*" --recursive --include "*20170630*" &amp; "%USERPROFILE%\Documents\GitHub\mrs-test-scripts\Headless Mode &amp; Sideloading\WalkAndUnGZ.bat" "%USERPROFILE%\AppData\Local\Temp\OnboardLogs"\RTDC4062\2017-06-30 &amp; aws s3 cp s3://rtdc.mdm.uploadarchive.raw/RTDC4062/ "%USERPROFILE%\AppData\Local\Temp\OnboardLogs"\RTDC4062\2017-07-01 --exclude "*" --recursive --include "*20170701*" &amp; "%USERPROFILE%\Documents\GitHub\mrs-test-scripts\Headless Mode &amp; Sideloading\WalkAndUnGZ.bat" "%USERPROFILE%\AppData\Local\Temp\OnboardLogs"\RTDC4062\2017-07-01</v>
      </c>
      <c r="AF224" s="74" t="str">
        <f t="shared" si="95"/>
        <v>"C:\Program Files (x86)\AstroGrep\AstroGrep.exe" /e /r /s /spath="%USERPROFILE%\AppData\Local\Temp\OnboardLogs" /stypes="app*4062*20170630*" /stext=" 08:.+((SYSTEM_STATE.+slice.+state.+changed )|(ment ac)|(multiple cpu faults)|(system.+state.+changed )|(\[timeout)|(PRM\|1\|D)|(kpr)|(kdp)|(train st.+moving)|(\|lc)|(penalty))"</v>
      </c>
      <c r="AG224" s="209" t="str">
        <f t="shared" si="96"/>
        <v>Other</v>
      </c>
      <c r="AH224" s="78" t="str">
        <f t="shared" si="97"/>
        <v>"%USERPROFILE%\Documents\GitHub\eaglep3\Utilities\RefineRTDCRunTimes.py" --tripid 313-29 --locoid 4062 --swversion DE.1.0.9.0 --startMP 204:471 --initTime 2017-06-30T02:16:17 --startdatetime 2017-06-30T02:17:58 --delay 1 --endMP 300:23346 --enddatetime 2017-06-30T02:31:42 --enforcementcount 0 &gt;&gt;C:\Users\stu\Documents\GitHub\eaglep3-reporting\EC\2017-06-30-refined-times.txt</v>
      </c>
      <c r="AI224" s="96" t="str">
        <f t="shared" si="98"/>
        <v>echo {"issue":{"subject":"","project_id":79,"tracker_id":40,"status_id":1,"priority_id":2,"assigned_to_id":23,"start_date":"2017-06-30","description":"","custom_fields":[{"id":1,"name":"Subdivision","value":"Other"},{"id":4,"name":"Milepost","value":"2.3346"},{"id":17,"name":"Train ID","value":"313-29"},{"id":16,"name":"Locomotive ID","value":"4062"},{"id":130,"name":"Impact","value":""},{"id":150,"name":"Time of Event (Mountain Time)","value":"02:31:42"},{"id":151,"name":"Denver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2" t="str">
        <f t="shared" si="99"/>
        <v>start /low /b %USERPROFILE%\Documents\GitHub\eaglep3\Utilities\DownloadLogsFromS3.py --loco 4062 --day 2017-06-30</v>
      </c>
      <c r="AN224" s="151" t="str">
        <f t="shared" si="100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08:31:42"},{"id":29,"name":"Sharepoint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/>
    </row>
    <row r="225" spans="1:91" x14ac:dyDescent="0.25">
      <c r="A225" s="32" t="s">
        <v>844</v>
      </c>
      <c r="B225" s="7">
        <v>4026</v>
      </c>
      <c r="C225" s="21" t="s">
        <v>200</v>
      </c>
      <c r="D225" s="21" t="s">
        <v>938</v>
      </c>
      <c r="E225" s="13">
        <v>42917.110358796293</v>
      </c>
      <c r="F225" s="13">
        <v>42917.113136574073</v>
      </c>
      <c r="G225" s="7">
        <v>2</v>
      </c>
      <c r="H225" s="21" t="s">
        <v>351</v>
      </c>
      <c r="I225" s="13">
        <v>42917.120648148149</v>
      </c>
      <c r="J225" s="7">
        <v>0</v>
      </c>
      <c r="K225" s="89" t="str">
        <f t="shared" si="88"/>
        <v>4025/4026</v>
      </c>
      <c r="L225" s="21" t="str">
        <f>VLOOKUP(A225,'Trips&amp;Operators'!$C$1:$G$99999,5,FALSE)</f>
        <v>LAMAR NEKESHA</v>
      </c>
      <c r="M225" s="6">
        <f t="shared" si="89"/>
        <v>7.5115740764886141E-3</v>
      </c>
      <c r="N225" s="7">
        <f t="shared" si="101"/>
        <v>10.816666670143604</v>
      </c>
      <c r="O225" s="7"/>
      <c r="P225" s="7"/>
      <c r="Q225" s="22"/>
      <c r="R225" s="170"/>
      <c r="S225" s="213">
        <f t="shared" si="102"/>
        <v>1</v>
      </c>
      <c r="T225" s="195" t="str">
        <f t="shared" si="90"/>
        <v>NorthBound</v>
      </c>
      <c r="U225" s="195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1</v>
      </c>
      <c r="V225" s="196" t="str">
        <f t="shared" si="91"/>
        <v>https://d0f6bd738d7f1b3e5a7ca70fe4ff75f0.us-east-1.aws.found.io/app/kibana#/discover/Steve-Slow-Train-Analysis-(2080s-and-2083s)?_g=(refreshInterval:(display:Off,pause:!f,section:0,value:0),time:(from:'2017-07-01T01:38:55-0600',mode:absolute,to:'2017-07-01T03:53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25" s="197" t="str">
        <f>IF(AA225&lt;VLOOKUP(AG225,Variables!$AC$3:$AD$8,2,FALSE),"Y","N")</f>
        <v>Y</v>
      </c>
      <c r="X225" s="197">
        <f t="shared" si="103"/>
        <v>0</v>
      </c>
      <c r="Y225" s="197">
        <f t="shared" si="86"/>
        <v>5.0200000000000002E-2</v>
      </c>
      <c r="Z225" s="197">
        <f t="shared" si="87"/>
        <v>2.3346</v>
      </c>
      <c r="AA225" s="197">
        <f t="shared" si="92"/>
        <v>2.2844000000000002</v>
      </c>
      <c r="AB225" s="54" t="e">
        <f>VLOOKUP(A225,Enforcements!$C$7:$K$13,8,0)</f>
        <v>#N/A</v>
      </c>
      <c r="AC225" s="51" t="e">
        <f>VLOOKUP(A225,Enforcements!$C$7:$E$13,3,0)</f>
        <v>#N/A</v>
      </c>
      <c r="AD225" s="206">
        <f t="shared" si="93"/>
        <v>313</v>
      </c>
      <c r="AE225" s="77" t="str">
        <f t="shared" si="94"/>
        <v>aws s3 cp s3://rtdc.mdm.uploadarchive.raw/RTDC4026/ "%USERPROFILE%\AppData\Local\Temp\OnboardLogs"\RTDC4026\2017-07-01 --exclude "*" --recursive --include "*20170701*" &amp; "%USERPROFILE%\Documents\GitHub\mrs-test-scripts\Headless Mode &amp; Sideloading\WalkAndUnGZ.bat" "%USERPROFILE%\AppData\Local\Temp\OnboardLogs"\RTDC4026\2017-07-01 &amp; aws s3 cp s3://rtdc.mdm.uploadarchive.raw/RTDC4026/ "%USERPROFILE%\AppData\Local\Temp\OnboardLogs"\RTDC4026\2017-07-02 --exclude "*" --recursive --include "*20170702*" &amp; "%USERPROFILE%\Documents\GitHub\mrs-test-scripts\Headless Mode &amp; Sideloading\WalkAndUnGZ.bat" "%USERPROFILE%\AppData\Local\Temp\OnboardLogs"\RTDC4026\2017-07-02</v>
      </c>
      <c r="AF225" s="74" t="str">
        <f t="shared" si="95"/>
        <v>"C:\Program Files (x86)\AstroGrep\AstroGrep.exe" /e /r /s /spath="%USERPROFILE%\AppData\Local\Temp\OnboardLogs" /stypes="app*4026*20170701*" /stext=" 08:.+((SYSTEM_STATE.+slice.+state.+changed )|(ment ac)|(multiple cpu faults)|(system.+state.+changed )|(\[timeout)|(PRM\|1\|D)|(kpr)|(kdp)|(train st.+moving)|(\|lc)|(penalty))"</v>
      </c>
      <c r="AG225" s="209" t="str">
        <f t="shared" si="96"/>
        <v>Other</v>
      </c>
      <c r="AH225" s="78" t="str">
        <f t="shared" si="97"/>
        <v>"%USERPROFILE%\Documents\GitHub\eaglep3\Utilities\RefineRTDCRunTimes.py" --tripid 313-30 --locoid 4026 --swversion DE.1.0.9.0 --startMP 204:502 --initTime 2017-07-01T02:38:55 --startdatetime 2017-07-01T02:42:55 --delay 2 --endMP 300:23346 --enddatetime 2017-07-01T02:53:44 --enforcementcount 0 &gt;&gt;C:\Users\stu\Documents\GitHub\eaglep3-reporting\EC\2017-06-30-refined-times.txt</v>
      </c>
      <c r="AI225" s="96" t="str">
        <f t="shared" si="98"/>
        <v>echo {"issue":{"subject":"","project_id":79,"tracker_id":40,"status_id":1,"priority_id":2,"assigned_to_id":23,"start_date":"2017-07-01","description":"","custom_fields":[{"id":1,"name":"Subdivision","value":"Other"},{"id":4,"name":"Milepost","value":"2.3346"},{"id":17,"name":"Train ID","value":"313-30"},{"id":16,"name":"Locomotive ID","value":"4026"},{"id":130,"name":"Impact","value":""},{"id":150,"name":"Time of Event (Mountain Time)","value":"02:53:44"},{"id":151,"name":"Denver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2" t="str">
        <f t="shared" si="99"/>
        <v>start /low /b %USERPROFILE%\Documents\GitHub\eaglep3\Utilities\DownloadLogsFromS3.py --loco 4026 --day 2017-07-01</v>
      </c>
      <c r="AN225" s="151" t="str">
        <f t="shared" si="100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08:53:44"},{"id":29,"name":"Sharepoint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/>
    </row>
    <row r="226" spans="1:91" x14ac:dyDescent="0.25">
      <c r="A226" s="32" t="s">
        <v>661</v>
      </c>
      <c r="B226" s="7">
        <v>4058</v>
      </c>
      <c r="C226" s="21" t="s">
        <v>200</v>
      </c>
      <c r="D226" s="21" t="s">
        <v>1049</v>
      </c>
      <c r="E226" s="13">
        <v>42916.199525462966</v>
      </c>
      <c r="F226" s="13">
        <v>42916.205000000002</v>
      </c>
      <c r="G226" s="7">
        <v>7</v>
      </c>
      <c r="H226" s="21" t="s">
        <v>992</v>
      </c>
      <c r="I226" s="13">
        <v>42916.210474537038</v>
      </c>
      <c r="J226" s="7">
        <v>0</v>
      </c>
      <c r="K226" s="89" t="str">
        <f t="shared" si="88"/>
        <v>4057/4058</v>
      </c>
      <c r="L226" s="21" t="str">
        <f>VLOOKUP(A226,'Trips&amp;Operators'!$C$1:$G$99999,5,FALSE)</f>
        <v>GUZMAN DANNY</v>
      </c>
      <c r="M226" s="6">
        <f t="shared" si="89"/>
        <v>5.4745370362070389E-3</v>
      </c>
      <c r="N226" s="7">
        <f t="shared" si="101"/>
        <v>7.883333332138136</v>
      </c>
      <c r="O226" s="7"/>
      <c r="P226" s="7"/>
      <c r="Q226" s="22"/>
      <c r="R226" s="170"/>
      <c r="S226" s="213">
        <f t="shared" si="102"/>
        <v>0</v>
      </c>
      <c r="T226" s="195" t="str">
        <f t="shared" si="90"/>
        <v>NorthBound</v>
      </c>
      <c r="U226" s="195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96" t="str">
        <f t="shared" si="91"/>
        <v>https://d0f6bd738d7f1b3e5a7ca70fe4ff75f0.us-east-1.aws.found.io/app/kibana#/discover/Steve-Slow-Train-Analysis-(2080s-and-2083s)?_g=(refreshInterval:(display:Off,pause:!f,section:0,value:0),time:(from:'2017-06-30T03:47:19-0600',mode:absolute,to:'2017-06-30T06:03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26" s="197" t="str">
        <f>IF(AA226&lt;VLOOKUP(AG226,Variables!$AC$3:$AD$8,2,FALSE),"Y","N")</f>
        <v>Y</v>
      </c>
      <c r="X226" s="197">
        <f t="shared" si="103"/>
        <v>588</v>
      </c>
      <c r="Y226" s="197">
        <f t="shared" ref="Y226:Y257" si="104">RIGHT(D226,LEN(D226)-4)/10000</f>
        <v>3.0327999999999999</v>
      </c>
      <c r="Z226" s="197">
        <f t="shared" ref="Z226:Z257" si="105">RIGHT(H226,LEN(H226)-4)/10000</f>
        <v>5.8940999999999999</v>
      </c>
      <c r="AA226" s="197">
        <f t="shared" si="92"/>
        <v>2.8613</v>
      </c>
      <c r="AB226" s="54" t="e">
        <f>VLOOKUP(A226,Enforcements!$C$7:$K$13,8,0)</f>
        <v>#N/A</v>
      </c>
      <c r="AC226" s="51" t="e">
        <f>VLOOKUP(A226,Enforcements!$C$7:$E$13,3,0)</f>
        <v>#N/A</v>
      </c>
      <c r="AD226" s="206">
        <f t="shared" si="93"/>
        <v>901</v>
      </c>
      <c r="AE226" s="77" t="str">
        <f t="shared" si="94"/>
        <v>aws s3 cp s3://rtdc.mdm.uploadarchive.raw/RTDC4058/ "%USERPROFILE%\AppData\Local\Temp\OnboardLogs"\RTDC4058\2017-06-30 --exclude "*" --recursive --include "*20170630*" &amp; "%USERPROFILE%\Documents\GitHub\mrs-test-scripts\Headless Mode &amp; Sideloading\WalkAndUnGZ.bat" "%USERPROFILE%\AppData\Local\Temp\OnboardLogs"\RTDC4058\2017-06-30 &amp; aws s3 cp s3://rtdc.mdm.uploadarchive.raw/RTDC4058/ "%USERPROFILE%\AppData\Local\Temp\OnboardLogs"\RTDC4058\2017-07-01 --exclude "*" --recursive --include "*20170701*" &amp; "%USERPROFILE%\Documents\GitHub\mrs-test-scripts\Headless Mode &amp; Sideloading\WalkAndUnGZ.bat" "%USERPROFILE%\AppData\Local\Temp\OnboardLogs"\RTDC4058\2017-07-01</v>
      </c>
      <c r="AF226" s="74" t="str">
        <f t="shared" si="95"/>
        <v>"C:\Program Files (x86)\AstroGrep\AstroGrep.exe" /e /r /s /spath="%USERPROFILE%\AppData\Local\Temp\OnboardLogs" /stypes="app*4058*20170630*" /stext=" 11:.+((SYSTEM_STATE.+slice.+state.+changed )|(ment ac)|(multiple cpu faults)|(system.+state.+changed )|(\[timeout)|(PRM\|1\|D)|(kpr)|(kdp)|(train st.+moving)|(\|lc)|(penalty))"</v>
      </c>
      <c r="AG226" s="209" t="str">
        <f t="shared" si="96"/>
        <v>Other</v>
      </c>
      <c r="AH226" s="78" t="str">
        <f t="shared" si="97"/>
        <v>"%USERPROFILE%\Documents\GitHub\eaglep3\Utilities\RefineRTDCRunTimes.py" --tripid 901-30 --locoid 4058 --swversion DE.1.0.9.0 --startMP 300:30328 --initTime 2017-06-30T04:47:19 --startdatetime 2017-06-30T04:55:12 --delay 7 --endMP 300:58941 --enddatetime 2017-06-30T05:03:05 --enforcementcount 0 &gt;&gt;C:\Users\stu\Documents\GitHub\eaglep3-reporting\EC\2017-06-30-refined-times.txt</v>
      </c>
      <c r="AI226" s="96" t="str">
        <f t="shared" si="98"/>
        <v>echo {"issue":{"subject":"","project_id":79,"tracker_id":40,"status_id":1,"priority_id":2,"assigned_to_id":23,"start_date":"2017-06-30","description":"","custom_fields":[{"id":1,"name":"Subdivision","value":"Other"},{"id":4,"name":"Milepost","value":"5.8941"},{"id":17,"name":"Train ID","value":"901-30"},{"id":16,"name":"Locomotive ID","value":"4058"},{"id":130,"name":"Impact","value":""},{"id":150,"name":"Time of Event (Mountain Time)","value":"05:03:05"},{"id":151,"name":"Denver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2" t="str">
        <f t="shared" si="99"/>
        <v>start /low /b %USERPROFILE%\Documents\GitHub\eaglep3\Utilities\DownloadLogsFromS3.py --loco 4058 --day 2017-06-30</v>
      </c>
      <c r="AN226" s="151" t="str">
        <f t="shared" si="100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11:03:05"},{"id":29,"name":"Sharepoint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/>
    </row>
    <row r="227" spans="1:91" x14ac:dyDescent="0.25">
      <c r="A227" s="32" t="s">
        <v>673</v>
      </c>
      <c r="B227" s="7">
        <v>4015</v>
      </c>
      <c r="C227" s="21" t="s">
        <v>200</v>
      </c>
      <c r="D227" s="21" t="s">
        <v>1050</v>
      </c>
      <c r="E227" s="13">
        <v>42916.243078703701</v>
      </c>
      <c r="F227" s="13">
        <v>42916.246770833335</v>
      </c>
      <c r="G227" s="7">
        <v>5</v>
      </c>
      <c r="H227" s="21" t="s">
        <v>1032</v>
      </c>
      <c r="I227" s="13">
        <v>42916.252106481479</v>
      </c>
      <c r="J227" s="7">
        <v>0</v>
      </c>
      <c r="K227" s="89" t="str">
        <f t="shared" si="88"/>
        <v>4015/4016</v>
      </c>
      <c r="L227" s="21" t="str">
        <f>VLOOKUP(A227,'Trips&amp;Operators'!$C$1:$G$99999,5,FALSE)</f>
        <v>LALONDE GREGORY</v>
      </c>
      <c r="M227" s="6">
        <f t="shared" si="89"/>
        <v>5.3356481439550407E-3</v>
      </c>
      <c r="N227" s="7">
        <f t="shared" si="101"/>
        <v>7.6833333272952586</v>
      </c>
      <c r="O227" s="7"/>
      <c r="P227" s="7"/>
      <c r="Q227" s="22"/>
      <c r="R227" s="170"/>
      <c r="S227" s="213">
        <f t="shared" si="102"/>
        <v>1</v>
      </c>
      <c r="T227" s="195" t="str">
        <f t="shared" si="90"/>
        <v>Southbound</v>
      </c>
      <c r="U227" s="195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1</v>
      </c>
      <c r="V227" s="196" t="str">
        <f t="shared" si="91"/>
        <v>https://d0f6bd738d7f1b3e5a7ca70fe4ff75f0.us-east-1.aws.found.io/app/kibana#/discover/Steve-Slow-Train-Analysis-(2080s-and-2083s)?_g=(refreshInterval:(display:Off,pause:!f,section:0,value:0),time:(from:'2017-06-30T04:50:02-0600',mode:absolute,to:'2017-06-30T07:03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27" s="197" t="str">
        <f>IF(AA227&lt;VLOOKUP(AG227,Variables!$AC$3:$AD$8,2,FALSE),"Y","N")</f>
        <v>Y</v>
      </c>
      <c r="X227" s="197">
        <f t="shared" si="103"/>
        <v>1</v>
      </c>
      <c r="Y227" s="197">
        <f t="shared" si="104"/>
        <v>2.3393999999999999</v>
      </c>
      <c r="Z227" s="197">
        <f t="shared" si="105"/>
        <v>6.6400000000000001E-2</v>
      </c>
      <c r="AA227" s="197">
        <f t="shared" si="92"/>
        <v>2.2730000000000001</v>
      </c>
      <c r="AB227" s="54" t="e">
        <f>VLOOKUP(A227,Enforcements!$C$7:$K$13,8,0)</f>
        <v>#N/A</v>
      </c>
      <c r="AC227" s="51" t="e">
        <f>VLOOKUP(A227,Enforcements!$C$7:$E$13,3,0)</f>
        <v>#N/A</v>
      </c>
      <c r="AD227" s="206">
        <f t="shared" si="93"/>
        <v>902</v>
      </c>
      <c r="AE227" s="77" t="str">
        <f t="shared" si="94"/>
        <v>aws s3 cp s3://rtdc.mdm.uploadarchive.raw/RTDC4015/ "%USERPROFILE%\AppData\Local\Temp\OnboardLogs"\RTDC4015\2017-06-30 --exclude "*" --recursive --include "*20170630*" &amp; "%USERPROFILE%\Documents\GitHub\mrs-test-scripts\Headless Mode &amp; Sideloading\WalkAndUnGZ.bat" "%USERPROFILE%\AppData\Local\Temp\OnboardLogs"\RTDC4015\2017-06-30 &amp; aws s3 cp s3://rtdc.mdm.uploadarchive.raw/RTDC4015/ "%USERPROFILE%\AppData\Local\Temp\OnboardLogs"\RTDC4015\2017-07-01 --exclude "*" --recursive --include "*20170701*" &amp; "%USERPROFILE%\Documents\GitHub\mrs-test-scripts\Headless Mode &amp; Sideloading\WalkAndUnGZ.bat" "%USERPROFILE%\AppData\Local\Temp\OnboardLogs"\RTDC4015\2017-07-01</v>
      </c>
      <c r="AF227" s="74" t="str">
        <f t="shared" si="95"/>
        <v>"C:\Program Files (x86)\AstroGrep\AstroGrep.exe" /e /r /s /spath="%USERPROFILE%\AppData\Local\Temp\OnboardLogs" /stypes="app*4015*20170630*" /stext=" 12:.+((SYSTEM_STATE.+slice.+state.+changed )|(ment ac)|(multiple cpu faults)|(system.+state.+changed )|(\[timeout)|(PRM\|1\|D)|(kpr)|(kdp)|(train st.+moving)|(\|lc)|(penalty))"</v>
      </c>
      <c r="AG227" s="209" t="str">
        <f t="shared" si="96"/>
        <v>Other</v>
      </c>
      <c r="AH227" s="78" t="str">
        <f t="shared" si="97"/>
        <v>"%USERPROFILE%\Documents\GitHub\eaglep3\Utilities\RefineRTDCRunTimes.py" --tripid 902-30 --locoid 4015 --swversion DE.1.0.9.0 --startMP 300:23394 --initTime 2017-06-30T05:50:02 --startdatetime 2017-06-30T05:55:21 --delay 5 --endMP 204:664 --enddatetime 2017-06-30T06:03:02 --enforcementcount 0 &gt;&gt;C:\Users\stu\Documents\GitHub\eaglep3-reporting\EC\2017-06-30-refined-times.txt</v>
      </c>
      <c r="AI227" s="96" t="str">
        <f t="shared" si="98"/>
        <v>echo {"issue":{"subject":"","project_id":79,"tracker_id":40,"status_id":1,"priority_id":2,"assigned_to_id":23,"start_date":"2017-06-30","description":"","custom_fields":[{"id":1,"name":"Subdivision","value":"Other"},{"id":4,"name":"Milepost","value":"0.0664"},{"id":17,"name":"Train ID","value":"902-30"},{"id":16,"name":"Locomotive ID","value":"4015"},{"id":130,"name":"Impact","value":""},{"id":150,"name":"Time of Event (Mountain Time)","value":"06:03:02"},{"id":151,"name":"Denver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2" t="str">
        <f t="shared" si="99"/>
        <v>start /low /b %USERPROFILE%\Documents\GitHub\eaglep3\Utilities\DownloadLogsFromS3.py --loco 4015 --day 2017-06-30</v>
      </c>
      <c r="AN227" s="151" t="str">
        <f t="shared" si="100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12:03:02"},{"id":29,"name":"Sharepoint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/>
    </row>
    <row r="228" spans="1:91" x14ac:dyDescent="0.25">
      <c r="A228" s="32" t="s">
        <v>768</v>
      </c>
      <c r="B228" s="7">
        <v>4057</v>
      </c>
      <c r="C228" s="21" t="s">
        <v>200</v>
      </c>
      <c r="D228" s="21" t="s">
        <v>1051</v>
      </c>
      <c r="E228" s="13">
        <v>42916.630347222221</v>
      </c>
      <c r="F228" s="13">
        <v>42916.634351851855</v>
      </c>
      <c r="G228" s="7">
        <v>5</v>
      </c>
      <c r="H228" s="21" t="s">
        <v>1052</v>
      </c>
      <c r="I228" s="13">
        <v>42916.638194444444</v>
      </c>
      <c r="J228" s="7">
        <v>0</v>
      </c>
      <c r="K228" s="89" t="str">
        <f t="shared" si="88"/>
        <v>4057/4058</v>
      </c>
      <c r="L228" s="21" t="str">
        <f>VLOOKUP(A228,'Trips&amp;Operators'!$C$1:$G$99999,5,FALSE)</f>
        <v>YORK EDGAR</v>
      </c>
      <c r="M228" s="6">
        <f t="shared" si="89"/>
        <v>3.8425925886258483E-3</v>
      </c>
      <c r="N228" s="7"/>
      <c r="O228" s="7"/>
      <c r="P228" s="7">
        <f t="shared" si="101"/>
        <v>5.5333333276212215</v>
      </c>
      <c r="Q228" s="22"/>
      <c r="R228" s="170" t="s">
        <v>1094</v>
      </c>
      <c r="S228" s="213">
        <f t="shared" si="102"/>
        <v>1</v>
      </c>
      <c r="T228" s="195" t="str">
        <f t="shared" si="90"/>
        <v>Southbound</v>
      </c>
      <c r="U228" s="195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1</v>
      </c>
      <c r="V228" s="196" t="str">
        <f t="shared" si="91"/>
        <v>https://d0f6bd738d7f1b3e5a7ca70fe4ff75f0.us-east-1.aws.found.io/app/kibana#/discover/Steve-Slow-Train-Analysis-(2080s-and-2083s)?_g=(refreshInterval:(display:Off,pause:!f,section:0,value:0),time:(from:'2017-06-30T14:07:42-0600',mode:absolute,to:'2017-06-30T16:19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28" s="197" t="str">
        <f>IF(AA228&lt;VLOOKUP(AG228,Variables!$AC$3:$AD$8,2,FALSE),"Y","N")</f>
        <v>Y</v>
      </c>
      <c r="X228" s="197">
        <f t="shared" si="103"/>
        <v>2</v>
      </c>
      <c r="Y228" s="197">
        <f t="shared" si="104"/>
        <v>2.3279000000000001</v>
      </c>
      <c r="Z228" s="197">
        <f t="shared" si="105"/>
        <v>0.49480000000000002</v>
      </c>
      <c r="AA228" s="197">
        <f t="shared" si="92"/>
        <v>1.8331</v>
      </c>
      <c r="AB228" s="54" t="e">
        <f>VLOOKUP(A228,Enforcements!$C$7:$K$13,8,0)</f>
        <v>#N/A</v>
      </c>
      <c r="AC228" s="51" t="e">
        <f>VLOOKUP(A228,Enforcements!$C$7:$E$13,3,0)</f>
        <v>#N/A</v>
      </c>
      <c r="AD228" s="206">
        <f t="shared" si="93"/>
        <v>904</v>
      </c>
      <c r="AE228" s="77" t="str">
        <f t="shared" si="94"/>
        <v>aws s3 cp s3://rtdc.mdm.uploadarchive.raw/RTDC4057/ "%USERPROFILE%\AppData\Local\Temp\OnboardLogs"\RTDC4057\2017-06-30 --exclude "*" --recursive --include "*20170630*" &amp; "%USERPROFILE%\Documents\GitHub\mrs-test-scripts\Headless Mode &amp; Sideloading\WalkAndUnGZ.bat" "%USERPROFILE%\AppData\Local\Temp\OnboardLogs"\RTDC4057\2017-06-30 &amp; aws s3 cp s3://rtdc.mdm.uploadarchive.raw/RTDC4057/ "%USERPROFILE%\AppData\Local\Temp\OnboardLogs"\RTDC4057\2017-07-01 --exclude "*" --recursive --include "*20170701*" &amp; "%USERPROFILE%\Documents\GitHub\mrs-test-scripts\Headless Mode &amp; Sideloading\WalkAndUnGZ.bat" "%USERPROFILE%\AppData\Local\Temp\OnboardLogs"\RTDC4057\2017-07-01</v>
      </c>
      <c r="AF228" s="74" t="str">
        <f t="shared" si="95"/>
        <v>"C:\Program Files (x86)\AstroGrep\AstroGrep.exe" /e /r /s /spath="%USERPROFILE%\AppData\Local\Temp\OnboardLogs" /stypes="app*4057*20170630*" /stext=" 21:.+((SYSTEM_STATE.+slice.+state.+changed )|(ment ac)|(multiple cpu faults)|(system.+state.+changed )|(\[timeout)|(PRM\|1\|D)|(kpr)|(kdp)|(train st.+moving)|(\|lc)|(penalty))"</v>
      </c>
      <c r="AG228" s="209" t="str">
        <f t="shared" si="96"/>
        <v>Other</v>
      </c>
      <c r="AH228" s="78" t="str">
        <f t="shared" si="97"/>
        <v>"%USERPROFILE%\Documents\GitHub\eaglep3\Utilities\RefineRTDCRunTimes.py" --tripid 904-30 --locoid 4057 --swversion DE.1.0.9.0 --startMP 300:23279 --initTime 2017-06-30T15:07:42 --startdatetime 2017-06-30T15:13:28 --delay 5 --endMP 300:4948 --enddatetime 2017-06-30T15:19:00 --enforcementcount 0 &gt;&gt;C:\Users\stu\Documents\GitHub\eaglep3-reporting\EC\2017-06-30-refined-times.txt</v>
      </c>
      <c r="AI228" s="96" t="str">
        <f t="shared" si="98"/>
        <v>echo {"issue":{"subject":"Poor GPS under Wewatta St tunnel","project_id":79,"tracker_id":40,"status_id":1,"priority_id":2,"assigned_to_id":23,"start_date":"2017-06-30","description":"","custom_fields":[{"id":1,"name":"Subdivision","value":"Other"},{"id":4,"name":"Milepost","value":"0.4948"},{"id":17,"name":"Train ID","value":"904-30"},{"id":16,"name":"Locomotive ID","value":"4057"},{"id":130,"name":"Impact","value":""},{"id":150,"name":"Time of Event (Mountain Time)","value":"15:19:00"},{"id":151,"name":"Denver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2" t="str">
        <f t="shared" si="99"/>
        <v>start /low /b %USERPROFILE%\Documents\GitHub\eaglep3\Utilities\DownloadLogsFromS3.py --loco 4057 --day 2017-06-30</v>
      </c>
      <c r="AN228" s="151" t="str">
        <f t="shared" si="100"/>
        <v>echo {"issue":{"subject":"Poor GPS under Wewatta St tunnel","project_id":30,"tracker_id":4,"status_id":1,"priority_id":1,"assigned_to_id":10,"start_date":"2017-06-30","description":"","custom_fields":[{"id":30,"name":"Category","value":"Issue"},{"id":3,"name":"Functional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21:19:00"},{"id":29,"name":"Sharepoint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/>
    </row>
    <row r="229" spans="1:91" x14ac:dyDescent="0.25">
      <c r="A229" s="32" t="s">
        <v>804</v>
      </c>
      <c r="B229" s="7">
        <v>4057</v>
      </c>
      <c r="C229" s="21" t="s">
        <v>200</v>
      </c>
      <c r="D229" s="21" t="s">
        <v>1053</v>
      </c>
      <c r="E229" s="13">
        <v>42916.795069444444</v>
      </c>
      <c r="F229" s="13">
        <v>42916.79614583333</v>
      </c>
      <c r="G229" s="7">
        <v>0</v>
      </c>
      <c r="H229" s="21" t="s">
        <v>1054</v>
      </c>
      <c r="I229" s="13">
        <v>42916.805219907408</v>
      </c>
      <c r="J229" s="7">
        <v>0</v>
      </c>
      <c r="K229" s="89" t="str">
        <f t="shared" si="88"/>
        <v>4057/4058</v>
      </c>
      <c r="L229" s="21" t="str">
        <f>VLOOKUP(A229,'Trips&amp;Operators'!$C$1:$G$99999,5,FALSE)</f>
        <v>YORK EDGAR</v>
      </c>
      <c r="M229" s="6">
        <f t="shared" si="89"/>
        <v>9.0740740779438056E-3</v>
      </c>
      <c r="N229" s="7">
        <f t="shared" si="101"/>
        <v>13.06666667223908</v>
      </c>
      <c r="O229" s="7"/>
      <c r="P229" s="7"/>
      <c r="Q229" s="22"/>
      <c r="R229" s="170"/>
      <c r="S229" s="213">
        <f t="shared" si="102"/>
        <v>0</v>
      </c>
      <c r="T229" s="195" t="str">
        <f t="shared" si="90"/>
        <v>Southbound</v>
      </c>
      <c r="U229" s="195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96" t="str">
        <f t="shared" si="91"/>
        <v>https://d0f6bd738d7f1b3e5a7ca70fe4ff75f0.us-east-1.aws.found.io/app/kibana#/discover/Steve-Slow-Train-Analysis-(2080s-and-2083s)?_g=(refreshInterval:(display:Off,pause:!f,section:0,value:0),time:(from:'2017-06-30T18:04:54-0600',mode:absolute,to:'2017-06-30T20:19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29" s="197" t="str">
        <f>IF(AA229&lt;VLOOKUP(AG229,Variables!$AC$3:$AD$8,2,FALSE),"Y","N")</f>
        <v>Y</v>
      </c>
      <c r="X229" s="197">
        <f t="shared" si="103"/>
        <v>2</v>
      </c>
      <c r="Y229" s="197">
        <f t="shared" si="104"/>
        <v>5.8604000000000003</v>
      </c>
      <c r="Z229" s="197">
        <f t="shared" si="105"/>
        <v>2.1373000000000002</v>
      </c>
      <c r="AA229" s="197">
        <f t="shared" si="92"/>
        <v>3.7231000000000001</v>
      </c>
      <c r="AB229" s="54" t="e">
        <f>VLOOKUP(A229,Enforcements!$C$7:$K$13,8,0)</f>
        <v>#N/A</v>
      </c>
      <c r="AC229" s="51" t="e">
        <f>VLOOKUP(A229,Enforcements!$C$7:$E$13,3,0)</f>
        <v>#N/A</v>
      </c>
      <c r="AD229" s="206">
        <f t="shared" si="93"/>
        <v>906</v>
      </c>
      <c r="AE229" s="77" t="str">
        <f t="shared" si="94"/>
        <v>aws s3 cp s3://rtdc.mdm.uploadarchive.raw/RTDC4057/ "%USERPROFILE%\AppData\Local\Temp\OnboardLogs"\RTDC4057\2017-06-30 --exclude "*" --recursive --include "*20170630*" &amp; "%USERPROFILE%\Documents\GitHub\mrs-test-scripts\Headless Mode &amp; Sideloading\WalkAndUnGZ.bat" "%USERPROFILE%\AppData\Local\Temp\OnboardLogs"\RTDC4057\2017-06-30 &amp; aws s3 cp s3://rtdc.mdm.uploadarchive.raw/RTDC4057/ "%USERPROFILE%\AppData\Local\Temp\OnboardLogs"\RTDC4057\2017-07-01 --exclude "*" --recursive --include "*20170701*" &amp; "%USERPROFILE%\Documents\GitHub\mrs-test-scripts\Headless Mode &amp; Sideloading\WalkAndUnGZ.bat" "%USERPROFILE%\AppData\Local\Temp\OnboardLogs"\RTDC4057\2017-07-01</v>
      </c>
      <c r="AF229" s="74" t="str">
        <f t="shared" si="95"/>
        <v>"C:\Program Files (x86)\AstroGrep\AstroGrep.exe" /e /r /s /spath="%USERPROFILE%\AppData\Local\Temp\OnboardLogs" /stypes="app*4057*20170701*" /stext=" 01:.+((SYSTEM_STATE.+slice.+state.+changed )|(ment ac)|(multiple cpu faults)|(system.+state.+changed )|(\[timeout)|(PRM\|1\|D)|(kpr)|(kdp)|(train st.+moving)|(\|lc)|(penalty))"</v>
      </c>
      <c r="AG229" s="209" t="str">
        <f t="shared" si="96"/>
        <v>Other</v>
      </c>
      <c r="AH229" s="78" t="str">
        <f t="shared" si="97"/>
        <v>"%USERPROFILE%\Documents\GitHub\eaglep3\Utilities\RefineRTDCRunTimes.py" --tripid 906-30 --locoid 4057 --swversion DE.1.0.9.0 --startMP 300:58604 --initTime 2017-06-30T19:04:54 --startdatetime 2017-06-30T19:06:27 --delay 0 --endMP 300:21373 --enddatetime 2017-06-30T19:19:31 --enforcementcount 0 &gt;&gt;C:\Users\stu\Documents\GitHub\eaglep3-reporting\EC\2017-06-30-refined-times.txt</v>
      </c>
      <c r="AI229" s="96" t="str">
        <f t="shared" si="98"/>
        <v>echo {"issue":{"subject":"","project_id":79,"tracker_id":40,"status_id":1,"priority_id":2,"assigned_to_id":23,"start_date":"2017-06-30","description":"","custom_fields":[{"id":1,"name":"Subdivision","value":"Other"},{"id":4,"name":"Milepost","value":"2.1373"},{"id":17,"name":"Train ID","value":"906-30"},{"id":16,"name":"Locomotive ID","value":"4057"},{"id":130,"name":"Impact","value":""},{"id":150,"name":"Time of Event (Mountain Time)","value":"19:19:31"},{"id":151,"name":"Denver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2" t="str">
        <f t="shared" si="99"/>
        <v>start /low /b %USERPROFILE%\Documents\GitHub\eaglep3\Utilities\DownloadLogsFromS3.py --loco 4057 --day 2017-06-30</v>
      </c>
      <c r="AN229" s="151" t="str">
        <f t="shared" si="100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01:19:31"},{"id":29,"name":"Sharepoint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/>
    </row>
    <row r="230" spans="1:91" x14ac:dyDescent="0.25">
      <c r="A230" s="32" t="s">
        <v>829</v>
      </c>
      <c r="B230" s="7">
        <v>4015</v>
      </c>
      <c r="C230" s="21" t="s">
        <v>200</v>
      </c>
      <c r="D230" s="21" t="s">
        <v>484</v>
      </c>
      <c r="E230" s="13">
        <v>42916.941701388889</v>
      </c>
      <c r="F230" s="13">
        <v>42916.950439814813</v>
      </c>
      <c r="G230" s="7">
        <v>0</v>
      </c>
      <c r="H230" s="21" t="s">
        <v>1055</v>
      </c>
      <c r="I230" s="13">
        <v>42916.953842592593</v>
      </c>
      <c r="J230" s="7">
        <v>0</v>
      </c>
      <c r="K230" s="89" t="str">
        <f t="shared" si="88"/>
        <v>4015/4016</v>
      </c>
      <c r="L230" s="21" t="str">
        <f>VLOOKUP(A230,'Trips&amp;Operators'!$C$1:$G$99999,5,FALSE)</f>
        <v>LOPES KIMBERLY</v>
      </c>
      <c r="M230" s="6">
        <f t="shared" si="89"/>
        <v>3.4027777801384218E-3</v>
      </c>
      <c r="N230" s="7">
        <f t="shared" si="101"/>
        <v>4.9000000033993274</v>
      </c>
      <c r="O230" s="7"/>
      <c r="P230" s="7"/>
      <c r="Q230" s="22"/>
      <c r="R230" s="170"/>
      <c r="S230" s="213">
        <f t="shared" si="102"/>
        <v>0</v>
      </c>
      <c r="T230" s="195" t="str">
        <f t="shared" si="90"/>
        <v>Southbound</v>
      </c>
      <c r="U230" s="195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96" t="str">
        <f t="shared" si="91"/>
        <v>https://d0f6bd738d7f1b3e5a7ca70fe4ff75f0.us-east-1.aws.found.io/app/kibana#/discover/Steve-Slow-Train-Analysis-(2080s-and-2083s)?_g=(refreshInterval:(display:Off,pause:!f,section:0,value:0),time:(from:'2017-06-30T21:36:03-0600',mode:absolute,to:'2017-06-30T23:53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30" s="197" t="str">
        <f>IF(AA230&lt;VLOOKUP(AG230,Variables!$AC$3:$AD$8,2,FALSE),"Y","N")</f>
        <v>Y</v>
      </c>
      <c r="X230" s="197">
        <f t="shared" si="103"/>
        <v>2</v>
      </c>
      <c r="Y230" s="197">
        <f t="shared" si="104"/>
        <v>5.8632</v>
      </c>
      <c r="Z230" s="197">
        <f t="shared" si="105"/>
        <v>2.1547000000000001</v>
      </c>
      <c r="AA230" s="197">
        <f t="shared" si="92"/>
        <v>3.7084999999999999</v>
      </c>
      <c r="AB230" s="54" t="e">
        <f>VLOOKUP(A230,Enforcements!$C$7:$K$13,8,0)</f>
        <v>#N/A</v>
      </c>
      <c r="AC230" s="51" t="e">
        <f>VLOOKUP(A230,Enforcements!$C$7:$E$13,3,0)</f>
        <v>#N/A</v>
      </c>
      <c r="AD230" s="206">
        <f t="shared" si="93"/>
        <v>908</v>
      </c>
      <c r="AE230" s="77" t="str">
        <f t="shared" si="94"/>
        <v>aws s3 cp s3://rtdc.mdm.uploadarchive.raw/RTDC4015/ "%USERPROFILE%\AppData\Local\Temp\OnboardLogs"\RTDC4015\2017-06-30 --exclude "*" --recursive --include "*20170630*" &amp; "%USERPROFILE%\Documents\GitHub\mrs-test-scripts\Headless Mode &amp; Sideloading\WalkAndUnGZ.bat" "%USERPROFILE%\AppData\Local\Temp\OnboardLogs"\RTDC4015\2017-06-30 &amp; aws s3 cp s3://rtdc.mdm.uploadarchive.raw/RTDC4015/ "%USERPROFILE%\AppData\Local\Temp\OnboardLogs"\RTDC4015\2017-07-01 --exclude "*" --recursive --include "*20170701*" &amp; "%USERPROFILE%\Documents\GitHub\mrs-test-scripts\Headless Mode &amp; Sideloading\WalkAndUnGZ.bat" "%USERPROFILE%\AppData\Local\Temp\OnboardLogs"\RTDC4015\2017-07-01</v>
      </c>
      <c r="AF230" s="74" t="str">
        <f t="shared" si="95"/>
        <v>"C:\Program Files (x86)\AstroGrep\AstroGrep.exe" /e /r /s /spath="%USERPROFILE%\AppData\Local\Temp\OnboardLogs" /stypes="app*4015*20170701*" /stext=" 04:.+((SYSTEM_STATE.+slice.+state.+changed )|(ment ac)|(multiple cpu faults)|(system.+state.+changed )|(\[timeout)|(PRM\|1\|D)|(kpr)|(kdp)|(train st.+moving)|(\|lc)|(penalty))"</v>
      </c>
      <c r="AG230" s="209" t="str">
        <f t="shared" si="96"/>
        <v>Other</v>
      </c>
      <c r="AH230" s="78" t="str">
        <f t="shared" si="97"/>
        <v>"%USERPROFILE%\Documents\GitHub\eaglep3\Utilities\RefineRTDCRunTimes.py" --tripid 908-30 --locoid 4015 --swversion DE.1.0.9.0 --startMP 300:58632 --initTime 2017-06-30T22:36:03 --startdatetime 2017-06-30T22:48:38 --delay 0 --endMP 300:21547 --enddatetime 2017-06-30T22:53:32 --enforcementcount 0 &gt;&gt;C:\Users\stu\Documents\GitHub\eaglep3-reporting\EC\2017-06-30-refined-times.txt</v>
      </c>
      <c r="AI230" s="96" t="str">
        <f t="shared" si="98"/>
        <v>echo {"issue":{"subject":"","project_id":79,"tracker_id":40,"status_id":1,"priority_id":2,"assigned_to_id":23,"start_date":"2017-06-30","description":"","custom_fields":[{"id":1,"name":"Subdivision","value":"Other"},{"id":4,"name":"Milepost","value":"2.1547"},{"id":17,"name":"Train ID","value":"908-30"},{"id":16,"name":"Locomotive ID","value":"4015"},{"id":130,"name":"Impact","value":""},{"id":150,"name":"Time of Event (Mountain Time)","value":"22:53:32"},{"id":151,"name":"Denver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2" t="str">
        <f t="shared" si="99"/>
        <v>start /low /b %USERPROFILE%\Documents\GitHub\eaglep3\Utilities\DownloadLogsFromS3.py --loco 4015 --day 2017-06-30</v>
      </c>
      <c r="AN230" s="151" t="str">
        <f t="shared" si="100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04:53:32"},{"id":29,"name":"Sharepoint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/>
    </row>
    <row r="231" spans="1:91" s="20" customFormat="1" x14ac:dyDescent="0.25">
      <c r="A231" s="32" t="s">
        <v>829</v>
      </c>
      <c r="B231" s="7">
        <v>4016</v>
      </c>
      <c r="C231" s="21" t="s">
        <v>200</v>
      </c>
      <c r="D231" s="21" t="s">
        <v>1056</v>
      </c>
      <c r="E231" s="13">
        <v>42916.949328703704</v>
      </c>
      <c r="F231" s="13">
        <v>42916.950439814813</v>
      </c>
      <c r="G231" s="7">
        <v>1</v>
      </c>
      <c r="H231" s="21" t="s">
        <v>563</v>
      </c>
      <c r="I231" s="13">
        <v>42916.953842592593</v>
      </c>
      <c r="J231" s="7">
        <v>0</v>
      </c>
      <c r="K231" s="89" t="str">
        <f t="shared" si="88"/>
        <v>4015/4016</v>
      </c>
      <c r="L231" s="21" t="str">
        <f>VLOOKUP(A231,'Trips&amp;Operators'!$C$1:$G$99999,5,FALSE)</f>
        <v>LOPES KIMBERLY</v>
      </c>
      <c r="M231" s="6">
        <f t="shared" si="89"/>
        <v>3.4027777801384218E-3</v>
      </c>
      <c r="N231" s="7">
        <f t="shared" si="101"/>
        <v>4.9000000033993274</v>
      </c>
      <c r="O231" s="7"/>
      <c r="P231" s="7"/>
      <c r="Q231" s="22"/>
      <c r="R231" s="170"/>
      <c r="S231" s="213">
        <f t="shared" si="102"/>
        <v>0</v>
      </c>
      <c r="T231" s="195" t="str">
        <f t="shared" si="90"/>
        <v>Southbound</v>
      </c>
      <c r="U231" s="195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96" t="str">
        <f t="shared" si="91"/>
        <v>https://d0f6bd738d7f1b3e5a7ca70fe4ff75f0.us-east-1.aws.found.io/app/kibana#/discover/Steve-Slow-Train-Analysis-(2080s-and-2083s)?_g=(refreshInterval:(display:Off,pause:!f,section:0,value:0),time:(from:'2017-06-30T21:47:02-0600',mode:absolute,to:'2017-06-30T23:53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31" s="197" t="str">
        <f>IF(AA231&lt;VLOOKUP(AG231,Variables!$AC$3:$AD$8,2,FALSE),"Y","N")</f>
        <v>Y</v>
      </c>
      <c r="X231" s="197">
        <f t="shared" si="103"/>
        <v>0</v>
      </c>
      <c r="Y231" s="197">
        <f t="shared" si="104"/>
        <v>2.1852</v>
      </c>
      <c r="Z231" s="197">
        <f t="shared" si="105"/>
        <v>2.3311999999999999</v>
      </c>
      <c r="AA231" s="197">
        <f t="shared" si="92"/>
        <v>0.14599999999999991</v>
      </c>
      <c r="AB231" s="54" t="e">
        <f>VLOOKUP(A231,Enforcements!$C$7:$K$13,8,0)</f>
        <v>#N/A</v>
      </c>
      <c r="AC231" s="51" t="e">
        <f>VLOOKUP(A231,Enforcements!$C$7:$E$13,3,0)</f>
        <v>#N/A</v>
      </c>
      <c r="AD231" s="206">
        <f t="shared" si="93"/>
        <v>908</v>
      </c>
      <c r="AE231" s="77" t="str">
        <f t="shared" si="94"/>
        <v>aws s3 cp s3://rtdc.mdm.uploadarchive.raw/RTDC4016/ "%USERPROFILE%\AppData\Local\Temp\OnboardLogs"\RTDC4016\2017-06-30 --exclude "*" --recursive --include "*20170630*" &amp; "%USERPROFILE%\Documents\GitHub\mrs-test-scripts\Headless Mode &amp; Sideloading\WalkAndUnGZ.bat" "%USERPROFILE%\AppData\Local\Temp\OnboardLogs"\RTDC4016\2017-06-30 &amp; aws s3 cp s3://rtdc.mdm.uploadarchive.raw/RTDC4016/ "%USERPROFILE%\AppData\Local\Temp\OnboardLogs"\RTDC4016\2017-07-01 --exclude "*" --recursive --include "*20170701*" &amp; "%USERPROFILE%\Documents\GitHub\mrs-test-scripts\Headless Mode &amp; Sideloading\WalkAndUnGZ.bat" "%USERPROFILE%\AppData\Local\Temp\OnboardLogs"\RTDC4016\2017-07-01</v>
      </c>
      <c r="AF231" s="74" t="str">
        <f t="shared" si="95"/>
        <v>"C:\Program Files (x86)\AstroGrep\AstroGrep.exe" /e /r /s /spath="%USERPROFILE%\AppData\Local\Temp\OnboardLogs" /stypes="app*4016*20170701*" /stext=" 04:.+((SYSTEM_STATE.+slice.+state.+changed )|(ment ac)|(multiple cpu faults)|(system.+state.+changed )|(\[timeout)|(PRM\|1\|D)|(kpr)|(kdp)|(train st.+moving)|(\|lc)|(penalty))"</v>
      </c>
      <c r="AG231" s="209" t="str">
        <f t="shared" si="96"/>
        <v>Other</v>
      </c>
      <c r="AH231" s="78" t="str">
        <f t="shared" si="97"/>
        <v>"%USERPROFILE%\Documents\GitHub\eaglep3\Utilities\RefineRTDCRunTimes.py" --tripid 908-30 --locoid 4016 --swversion DE.1.0.9.0 --startMP 300:21852 --initTime 2017-06-30T22:47:02 --startdatetime 2017-06-30T22:48:38 --delay 1 --endMP 300:23312 --enddatetime 2017-06-30T22:53:32 --enforcementcount 0 &gt;&gt;C:\Users\stu\Documents\GitHub\eaglep3-reporting\EC\2017-06-30-refined-times.txt</v>
      </c>
      <c r="AI231" s="96" t="str">
        <f t="shared" si="98"/>
        <v>echo {"issue":{"subject":"","project_id":79,"tracker_id":40,"status_id":1,"priority_id":2,"assigned_to_id":23,"start_date":"2017-06-30","description":"","custom_fields":[{"id":1,"name":"Subdivision","value":"Other"},{"id":4,"name":"Milepost","value":"2.3312"},{"id":17,"name":"Train ID","value":"908-30"},{"id":16,"name":"Locomotive ID","value":"4016"},{"id":130,"name":"Impact","value":""},{"id":150,"name":"Time of Event (Mountain Time)","value":"22:53:32"},{"id":151,"name":"Denver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31" s="47"/>
      <c r="AL231" s="47"/>
      <c r="AM231" s="142" t="str">
        <f t="shared" si="99"/>
        <v>start /low /b %USERPROFILE%\Documents\GitHub\eaglep3\Utilities\DownloadLogsFromS3.py --loco 4016 --day 2017-06-30</v>
      </c>
      <c r="AN231" s="151" t="str">
        <f t="shared" si="100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04:53:32"},{"id":29,"name":"Sharepoint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x14ac:dyDescent="0.25">
      <c r="A232" s="32" t="s">
        <v>646</v>
      </c>
      <c r="B232" s="7">
        <v>4025</v>
      </c>
      <c r="C232" s="21" t="s">
        <v>200</v>
      </c>
      <c r="D232" s="21" t="s">
        <v>939</v>
      </c>
      <c r="E232" s="13">
        <v>42916.110138888886</v>
      </c>
      <c r="F232" s="13">
        <v>42916.112916666665</v>
      </c>
      <c r="G232" s="7">
        <v>3</v>
      </c>
      <c r="H232" s="21" t="s">
        <v>940</v>
      </c>
      <c r="I232" s="13">
        <v>42916.118043981478</v>
      </c>
      <c r="J232" s="7">
        <v>0</v>
      </c>
      <c r="K232" s="89" t="str">
        <f t="shared" si="88"/>
        <v>4025/4026</v>
      </c>
      <c r="L232" s="21" t="str">
        <f>VLOOKUP(A232,'Trips&amp;Operators'!$C$1:$G$99999,5,FALSE)</f>
        <v>SPECTOR MICHAEL</v>
      </c>
      <c r="M232" s="6">
        <f t="shared" si="89"/>
        <v>5.1273148128530011E-3</v>
      </c>
      <c r="N232" s="7">
        <f t="shared" si="101"/>
        <v>7.3833333305083215</v>
      </c>
      <c r="O232" s="7"/>
      <c r="P232" s="7"/>
      <c r="Q232" s="22"/>
      <c r="R232" s="170"/>
      <c r="S232" s="213">
        <f t="shared" si="102"/>
        <v>1</v>
      </c>
      <c r="T232" s="195" t="str">
        <f t="shared" si="90"/>
        <v>Southbound</v>
      </c>
      <c r="U232" s="195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1</v>
      </c>
      <c r="V232" s="196" t="str">
        <f t="shared" si="91"/>
        <v>https://d0f6bd738d7f1b3e5a7ca70fe4ff75f0.us-east-1.aws.found.io/app/kibana#/discover/Steve-Slow-Train-Analysis-(2080s-and-2083s)?_g=(refreshInterval:(display:Off,pause:!f,section:0,value:0),time:(from:'2017-06-30T01:38:36-0600',mode:absolute,to:'2017-06-30T03:49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32" s="197" t="str">
        <f>IF(AA232&lt;VLOOKUP(AG232,Variables!$AC$3:$AD$8,2,FALSE),"Y","N")</f>
        <v>Y</v>
      </c>
      <c r="X232" s="197">
        <f t="shared" si="103"/>
        <v>-858</v>
      </c>
      <c r="Y232" s="197">
        <f t="shared" si="104"/>
        <v>2.3439999999999999</v>
      </c>
      <c r="Z232" s="197">
        <f t="shared" si="105"/>
        <v>0.1164</v>
      </c>
      <c r="AA232" s="197">
        <f t="shared" si="92"/>
        <v>2.2275999999999998</v>
      </c>
      <c r="AB232" s="54" t="e">
        <f>VLOOKUP(A232,Enforcements!$C$7:$K$13,8,0)</f>
        <v>#N/A</v>
      </c>
      <c r="AC232" s="51" t="e">
        <f>VLOOKUP(A232,Enforcements!$C$7:$E$13,3,0)</f>
        <v>#N/A</v>
      </c>
      <c r="AD232" s="206">
        <f t="shared" si="93"/>
        <v>50</v>
      </c>
      <c r="AE232" s="77" t="str">
        <f t="shared" si="94"/>
        <v>aws s3 cp s3://rtdc.mdm.uploadarchive.raw/RTDC4025/ "%USERPROFILE%\AppData\Local\Temp\OnboardLogs"\RTDC4025\2017-06-30 --exclude "*" --recursive --include "*20170630*" &amp; "%USERPROFILE%\Documents\GitHub\mrs-test-scripts\Headless Mode &amp; Sideloading\WalkAndUnGZ.bat" "%USERPROFILE%\AppData\Local\Temp\OnboardLogs"\RTDC4025\2017-06-30 &amp; aws s3 cp s3://rtdc.mdm.uploadarchive.raw/RTDC4025/ "%USERPROFILE%\AppData\Local\Temp\OnboardLogs"\RTDC4025\2017-07-01 --exclude "*" --recursive --include "*20170701*" &amp; "%USERPROFILE%\Documents\GitHub\mrs-test-scripts\Headless Mode &amp; Sideloading\WalkAndUnGZ.bat" "%USERPROFILE%\AppData\Local\Temp\OnboardLogs"\RTDC4025\2017-07-01</v>
      </c>
      <c r="AF232" s="74" t="str">
        <f t="shared" si="95"/>
        <v>"C:\Program Files (x86)\AstroGrep\AstroGrep.exe" /e /r /s /spath="%USERPROFILE%\AppData\Local\Temp\OnboardLogs" /stypes="app*4025*20170630*" /stext=" 08:.+((SYSTEM_STATE.+slice.+state.+changed )|(ment ac)|(multiple cpu faults)|(system.+state.+changed )|(\[timeout)|(PRM\|1\|D)|(kpr)|(kdp)|(train st.+moving)|(\|lc)|(penalty))"</v>
      </c>
      <c r="AG232" s="209" t="str">
        <f t="shared" si="96"/>
        <v>Shuttle/Test</v>
      </c>
      <c r="AH232" s="78" t="str">
        <f t="shared" si="97"/>
        <v>"%USERPROFILE%\Documents\GitHub\eaglep3\Utilities\RefineRTDCRunTimes.py" --tripid 50-30 --locoid 4025 --swversion DE.1.0.9.0 --startMP 300:23440 --initTime 2017-06-30T02:38:36 --startdatetime 2017-06-30T02:42:36 --delay 3 --endMP 204:1164 --enddatetime 2017-06-30T02:49:59 --enforcementcount 0 &gt;&gt;C:\Users\stu\Documents\GitHub\eaglep3-reporting\EC\2017-06-30-refined-times.txt</v>
      </c>
      <c r="AI232" s="96" t="str">
        <f t="shared" si="98"/>
        <v>echo {"issue":{"subject":"","project_id":79,"tracker_id":40,"status_id":1,"priority_id":2,"assigned_to_id":23,"start_date":"2017-06-30","description":"","custom_fields":[{"id":1,"name":"Subdivision","value":"Shuttle/Test"},{"id":4,"name":"Milepost","value":"0.1164"},{"id":17,"name":"Train ID","value":"50-30"},{"id":16,"name":"Locomotive ID","value":"4025"},{"id":130,"name":"Impact","value":""},{"id":150,"name":"Time of Event (Mountain Time)","value":"02:49:59"},{"id":151,"name":"Denver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7"/>
      <c r="AL232" s="47"/>
      <c r="AM232" s="142" t="str">
        <f t="shared" si="99"/>
        <v>start /low /b %USERPROFILE%\Documents\GitHub\eaglep3\Utilities\DownloadLogsFromS3.py --loco 4025 --day 2017-06-30</v>
      </c>
      <c r="AN232" s="151" t="str">
        <f t="shared" si="100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08:49:59"},{"id":29,"name":"Sharepoint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/>
    </row>
    <row r="233" spans="1:91" x14ac:dyDescent="0.25">
      <c r="A233" s="32" t="s">
        <v>695</v>
      </c>
      <c r="B233" s="7">
        <v>4025</v>
      </c>
      <c r="C233" s="21" t="s">
        <v>200</v>
      </c>
      <c r="D233" s="21" t="s">
        <v>941</v>
      </c>
      <c r="E233" s="13">
        <v>42916.330775462964</v>
      </c>
      <c r="F233" s="13">
        <v>42916.332199074073</v>
      </c>
      <c r="G233" s="7">
        <v>1</v>
      </c>
      <c r="H233" s="21" t="s">
        <v>390</v>
      </c>
      <c r="I233" s="13">
        <v>42916.333564814813</v>
      </c>
      <c r="J233" s="7">
        <v>0</v>
      </c>
      <c r="K233" s="89" t="str">
        <f t="shared" si="88"/>
        <v>4025/4026</v>
      </c>
      <c r="L233" s="21" t="str">
        <f>VLOOKUP(A233,'Trips&amp;Operators'!$C$1:$G$99999,5,FALSE)</f>
        <v>SPECTOR MICHAEL</v>
      </c>
      <c r="M233" s="6">
        <f t="shared" si="89"/>
        <v>1.3657407398568466E-3</v>
      </c>
      <c r="N233" s="7">
        <f t="shared" si="101"/>
        <v>1.9666666653938591</v>
      </c>
      <c r="O233" s="7"/>
      <c r="P233" s="7"/>
      <c r="Q233" s="22"/>
      <c r="R233" s="170"/>
      <c r="S233" s="213">
        <f t="shared" si="102"/>
        <v>0</v>
      </c>
      <c r="T233" s="195" t="str">
        <f t="shared" si="90"/>
        <v>NorthBound</v>
      </c>
      <c r="U233" s="195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96" t="str">
        <f t="shared" si="91"/>
        <v>https://d0f6bd738d7f1b3e5a7ca70fe4ff75f0.us-east-1.aws.found.io/app/kibana#/discover/Steve-Slow-Train-Analysis-(2080s-and-2083s)?_g=(refreshInterval:(display:Off,pause:!f,section:0,value:0),time:(from:'2017-06-30T06:56:19-0600',mode:absolute,to:'2017-06-30T09:00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33" s="197" t="str">
        <f>IF(AA233&lt;VLOOKUP(AG233,Variables!$AC$3:$AD$8,2,FALSE),"Y","N")</f>
        <v>Y</v>
      </c>
      <c r="X233" s="197">
        <f t="shared" si="103"/>
        <v>1</v>
      </c>
      <c r="Y233" s="197">
        <f t="shared" si="104"/>
        <v>0.3261</v>
      </c>
      <c r="Z233" s="197">
        <f t="shared" si="105"/>
        <v>1.54E-2</v>
      </c>
      <c r="AA233" s="197">
        <f t="shared" si="92"/>
        <v>0.31069999999999998</v>
      </c>
      <c r="AB233" s="54" t="e">
        <f>VLOOKUP(A233,Enforcements!$C$7:$K$13,8,0)</f>
        <v>#N/A</v>
      </c>
      <c r="AC233" s="51" t="e">
        <f>VLOOKUP(A233,Enforcements!$C$7:$E$13,3,0)</f>
        <v>#N/A</v>
      </c>
      <c r="AD233" s="206">
        <f t="shared" si="93"/>
        <v>51</v>
      </c>
      <c r="AE233" s="77" t="str">
        <f t="shared" si="94"/>
        <v>aws s3 cp s3://rtdc.mdm.uploadarchive.raw/RTDC4025/ "%USERPROFILE%\AppData\Local\Temp\OnboardLogs"\RTDC4025\2017-06-30 --exclude "*" --recursive --include "*20170630*" &amp; "%USERPROFILE%\Documents\GitHub\mrs-test-scripts\Headless Mode &amp; Sideloading\WalkAndUnGZ.bat" "%USERPROFILE%\AppData\Local\Temp\OnboardLogs"\RTDC4025\2017-06-30 &amp; aws s3 cp s3://rtdc.mdm.uploadarchive.raw/RTDC4025/ "%USERPROFILE%\AppData\Local\Temp\OnboardLogs"\RTDC4025\2017-07-01 --exclude "*" --recursive --include "*20170701*" &amp; "%USERPROFILE%\Documents\GitHub\mrs-test-scripts\Headless Mode &amp; Sideloading\WalkAndUnGZ.bat" "%USERPROFILE%\AppData\Local\Temp\OnboardLogs"\RTDC4025\2017-07-01</v>
      </c>
      <c r="AF233" s="74" t="str">
        <f t="shared" si="95"/>
        <v>"C:\Program Files (x86)\AstroGrep\AstroGrep.exe" /e /r /s /spath="%USERPROFILE%\AppData\Local\Temp\OnboardLogs" /stypes="app*4025*20170630*" /stext=" 14:.+((SYSTEM_STATE.+slice.+state.+changed )|(ment ac)|(multiple cpu faults)|(system.+state.+changed )|(\[timeout)|(PRM\|1\|D)|(kpr)|(kdp)|(train st.+moving)|(\|lc)|(penalty))"</v>
      </c>
      <c r="AG233" s="209" t="str">
        <f t="shared" si="96"/>
        <v>Shuttle/Test</v>
      </c>
      <c r="AH233" s="78" t="str">
        <f t="shared" si="97"/>
        <v>"%USERPROFILE%\Documents\GitHub\eaglep3\Utilities\RefineRTDCRunTimes.py" --tripid 51-30 --locoid 4025 --swversion DE.1.0.9.0 --startMP 204:3261 --initTime 2017-06-30T07:56:19 --startdatetime 2017-06-30T07:58:22 --delay 1 --endMP 204:154 --enddatetime 2017-06-30T08:00:20 --enforcementcount 0 &gt;&gt;C:\Users\stu\Documents\GitHub\eaglep3-reporting\EC\2017-06-30-refined-times.txt</v>
      </c>
      <c r="AI233" s="96" t="str">
        <f t="shared" si="98"/>
        <v>echo {"issue":{"subject":"","project_id":79,"tracker_id":40,"status_id":1,"priority_id":2,"assigned_to_id":23,"start_date":"2017-06-30","description":"","custom_fields":[{"id":1,"name":"Subdivision","value":"Shuttle/Test"},{"id":4,"name":"Milepost","value":"0.0154"},{"id":17,"name":"Train ID","value":"51-30"},{"id":16,"name":"Locomotive ID","value":"4025"},{"id":130,"name":"Impact","value":""},{"id":150,"name":"Time of Event (Mountain Time)","value":"08:00:20"},{"id":151,"name":"Denver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7"/>
      <c r="AL233" s="47"/>
      <c r="AM233" s="142" t="str">
        <f t="shared" si="99"/>
        <v>start /low /b %USERPROFILE%\Documents\GitHub\eaglep3\Utilities\DownloadLogsFromS3.py --loco 4025 --day 2017-06-30</v>
      </c>
      <c r="AN233" s="151" t="str">
        <f t="shared" si="100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14:00:20"},{"id":29,"name":"Sharepoint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/>
    </row>
    <row r="234" spans="1:91" x14ac:dyDescent="0.25">
      <c r="A234" s="32" t="s">
        <v>695</v>
      </c>
      <c r="B234" s="7">
        <v>4026</v>
      </c>
      <c r="C234" s="21" t="s">
        <v>200</v>
      </c>
      <c r="D234" s="21" t="s">
        <v>942</v>
      </c>
      <c r="E234" s="13">
        <v>42916.324062500003</v>
      </c>
      <c r="F234" s="13">
        <v>42916.332199074073</v>
      </c>
      <c r="G234" s="7">
        <v>1</v>
      </c>
      <c r="H234" s="21" t="s">
        <v>943</v>
      </c>
      <c r="I234" s="13">
        <v>42916.333564814813</v>
      </c>
      <c r="J234" s="7">
        <v>0</v>
      </c>
      <c r="K234" s="89" t="str">
        <f t="shared" si="88"/>
        <v>4025/4026</v>
      </c>
      <c r="L234" s="21" t="str">
        <f>VLOOKUP(A234,'Trips&amp;Operators'!$C$1:$G$99999,5,FALSE)</f>
        <v>SPECTOR MICHAEL</v>
      </c>
      <c r="M234" s="6">
        <f t="shared" si="89"/>
        <v>1.3657407398568466E-3</v>
      </c>
      <c r="N234" s="7">
        <f t="shared" si="101"/>
        <v>1.9666666653938591</v>
      </c>
      <c r="O234" s="7"/>
      <c r="P234" s="7"/>
      <c r="Q234" s="22"/>
      <c r="R234" s="170"/>
      <c r="S234" s="213">
        <f t="shared" si="102"/>
        <v>0</v>
      </c>
      <c r="T234" s="195" t="str">
        <f t="shared" si="90"/>
        <v>NorthBound</v>
      </c>
      <c r="U234" s="195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96" t="str">
        <f t="shared" si="91"/>
        <v>https://d0f6bd738d7f1b3e5a7ca70fe4ff75f0.us-east-1.aws.found.io/app/kibana#/discover/Steve-Slow-Train-Analysis-(2080s-and-2083s)?_g=(refreshInterval:(display:Off,pause:!f,section:0,value:0),time:(from:'2017-06-30T06:46:39-0600',mode:absolute,to:'2017-06-30T09:00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34" s="197" t="str">
        <f>IF(AA234&lt;VLOOKUP(AG234,Variables!$AC$3:$AD$8,2,FALSE),"Y","N")</f>
        <v>Y</v>
      </c>
      <c r="X234" s="197">
        <f t="shared" si="103"/>
        <v>0</v>
      </c>
      <c r="Y234" s="197">
        <f t="shared" si="104"/>
        <v>0.14810000000000001</v>
      </c>
      <c r="Z234" s="197">
        <f t="shared" si="105"/>
        <v>0.35649999999999998</v>
      </c>
      <c r="AA234" s="197">
        <f t="shared" si="92"/>
        <v>0.20839999999999997</v>
      </c>
      <c r="AB234" s="54" t="e">
        <f>VLOOKUP(A234,Enforcements!$C$7:$K$13,8,0)</f>
        <v>#N/A</v>
      </c>
      <c r="AC234" s="51" t="e">
        <f>VLOOKUP(A234,Enforcements!$C$7:$E$13,3,0)</f>
        <v>#N/A</v>
      </c>
      <c r="AD234" s="206">
        <f t="shared" si="93"/>
        <v>51</v>
      </c>
      <c r="AE234" s="77" t="str">
        <f t="shared" si="94"/>
        <v>aws s3 cp s3://rtdc.mdm.uploadarchive.raw/RTDC4026/ "%USERPROFILE%\AppData\Local\Temp\OnboardLogs"\RTDC4026\2017-06-30 --exclude "*" --recursive --include "*20170630*" &amp; "%USERPROFILE%\Documents\GitHub\mrs-test-scripts\Headless Mode &amp; Sideloading\WalkAndUnGZ.bat" "%USERPROFILE%\AppData\Local\Temp\OnboardLogs"\RTDC4026\2017-06-30 &amp; aws s3 cp s3://rtdc.mdm.uploadarchive.raw/RTDC4026/ "%USERPROFILE%\AppData\Local\Temp\OnboardLogs"\RTDC4026\2017-07-01 --exclude "*" --recursive --include "*20170701*" &amp; "%USERPROFILE%\Documents\GitHub\mrs-test-scripts\Headless Mode &amp; Sideloading\WalkAndUnGZ.bat" "%USERPROFILE%\AppData\Local\Temp\OnboardLogs"\RTDC4026\2017-07-01</v>
      </c>
      <c r="AF234" s="74" t="str">
        <f t="shared" si="95"/>
        <v>"C:\Program Files (x86)\AstroGrep\AstroGrep.exe" /e /r /s /spath="%USERPROFILE%\AppData\Local\Temp\OnboardLogs" /stypes="app*4026*20170630*" /stext=" 14:.+((SYSTEM_STATE.+slice.+state.+changed )|(ment ac)|(multiple cpu faults)|(system.+state.+changed )|(\[timeout)|(PRM\|1\|D)|(kpr)|(kdp)|(train st.+moving)|(\|lc)|(penalty))"</v>
      </c>
      <c r="AG234" s="209" t="str">
        <f t="shared" si="96"/>
        <v>Shuttle/Test</v>
      </c>
      <c r="AH234" s="78" t="str">
        <f t="shared" si="97"/>
        <v>"%USERPROFILE%\Documents\GitHub\eaglep3\Utilities\RefineRTDCRunTimes.py" --tripid 51-30 --locoid 4026 --swversion DE.1.0.9.0 --startMP 204:1481 --initTime 2017-06-30T07:46:39 --startdatetime 2017-06-30T07:58:22 --delay 1 --endMP 204:3565 --enddatetime 2017-06-30T08:00:20 --enforcementcount 0 &gt;&gt;C:\Users\stu\Documents\GitHub\eaglep3-reporting\EC\2017-06-30-refined-times.txt</v>
      </c>
      <c r="AI234" s="96" t="str">
        <f t="shared" si="98"/>
        <v>echo {"issue":{"subject":"","project_id":79,"tracker_id":40,"status_id":1,"priority_id":2,"assigned_to_id":23,"start_date":"2017-06-30","description":"","custom_fields":[{"id":1,"name":"Subdivision","value":"Shuttle/Test"},{"id":4,"name":"Milepost","value":"0.3565"},{"id":17,"name":"Train ID","value":"51-30"},{"id":16,"name":"Locomotive ID","value":"4026"},{"id":130,"name":"Impact","value":""},{"id":150,"name":"Time of Event (Mountain Time)","value":"08:00:20"},{"id":151,"name":"Denver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20"/>
      <c r="AK234" s="47"/>
      <c r="AL234" s="47"/>
      <c r="AM234" s="142" t="str">
        <f t="shared" si="99"/>
        <v>start /low /b %USERPROFILE%\Documents\GitHub\eaglep3\Utilities\DownloadLogsFromS3.py --loco 4026 --day 2017-06-30</v>
      </c>
      <c r="AN234" s="151" t="str">
        <f t="shared" si="100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14:00:20"},{"id":29,"name":"Sharepoint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/>
    </row>
    <row r="235" spans="1:91" x14ac:dyDescent="0.25">
      <c r="A235" s="32" t="s">
        <v>725</v>
      </c>
      <c r="B235" s="7">
        <v>4003</v>
      </c>
      <c r="C235" s="21" t="s">
        <v>200</v>
      </c>
      <c r="D235" s="21" t="s">
        <v>944</v>
      </c>
      <c r="E235" s="13">
        <v>42916.449247685188</v>
      </c>
      <c r="F235" s="13">
        <v>42916.452222222222</v>
      </c>
      <c r="G235" s="7">
        <v>4</v>
      </c>
      <c r="H235" s="21">
        <v>8.5368055555555546</v>
      </c>
      <c r="I235" s="13">
        <v>42916.459849537037</v>
      </c>
      <c r="J235" s="7">
        <v>0</v>
      </c>
      <c r="K235" s="89" t="str">
        <f t="shared" si="88"/>
        <v>4003/4004</v>
      </c>
      <c r="L235" s="21" t="str">
        <f>VLOOKUP(A235,'Trips&amp;Operators'!$C$1:$G$99999,5,FALSE)</f>
        <v>CHANDLER KELVIN</v>
      </c>
      <c r="M235" s="6">
        <f t="shared" si="89"/>
        <v>7.6273148151813075E-3</v>
      </c>
      <c r="N235" s="7">
        <f t="shared" si="101"/>
        <v>10.983333333861083</v>
      </c>
      <c r="O235" s="7"/>
      <c r="P235" s="7"/>
      <c r="Q235" s="22"/>
      <c r="R235" s="170"/>
      <c r="S235" s="213">
        <f t="shared" si="102"/>
        <v>0</v>
      </c>
      <c r="T235" s="195" t="str">
        <f t="shared" si="90"/>
        <v>Southbound</v>
      </c>
      <c r="U235" s="195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96" t="str">
        <f t="shared" si="91"/>
        <v>https://d0f6bd738d7f1b3e5a7ca70fe4ff75f0.us-east-1.aws.found.io/app/kibana#/discover/Steve-Slow-Train-Analysis-(2080s-and-2083s)?_g=(refreshInterval:(display:Off,pause:!f,section:0,value:0),time:(from:'2017-06-30T09:46:55-0600',mode:absolute,to:'2017-06-30T12:02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35" s="197" t="str">
        <f>IF(AA235&lt;VLOOKUP(AG235,Variables!$AC$3:$AD$8,2,FALSE),"Y","N")</f>
        <v>N</v>
      </c>
      <c r="X235" s="197">
        <f t="shared" si="103"/>
        <v>1</v>
      </c>
      <c r="Y235" s="197">
        <f t="shared" si="104"/>
        <v>2.3574000000000002</v>
      </c>
      <c r="Z235" s="197">
        <f t="shared" si="105"/>
        <v>68055555.555500001</v>
      </c>
      <c r="AA235" s="197">
        <f t="shared" si="92"/>
        <v>68055553.198100001</v>
      </c>
      <c r="AB235" s="54" t="e">
        <f>VLOOKUP(A235,Enforcements!$C$7:$K$13,8,0)</f>
        <v>#N/A</v>
      </c>
      <c r="AC235" s="51" t="e">
        <f>VLOOKUP(A235,Enforcements!$C$7:$E$13,3,0)</f>
        <v>#N/A</v>
      </c>
      <c r="AD235" s="206">
        <f t="shared" si="93"/>
        <v>52</v>
      </c>
      <c r="AE235" s="77" t="str">
        <f t="shared" si="94"/>
        <v>aws s3 cp s3://rtdc.mdm.uploadarchive.raw/RTDC4003/ "%USERPROFILE%\AppData\Local\Temp\OnboardLogs"\RTDC4003\2017-06-30 --exclude "*" --recursive --include "*20170630*" &amp; "%USERPROFILE%\Documents\GitHub\mrs-test-scripts\Headless Mode &amp; Sideloading\WalkAndUnGZ.bat" "%USERPROFILE%\AppData\Local\Temp\OnboardLogs"\RTDC4003\2017-06-30 &amp; aws s3 cp s3://rtdc.mdm.uploadarchive.raw/RTDC4003/ "%USERPROFILE%\AppData\Local\Temp\OnboardLogs"\RTDC4003\2017-07-01 --exclude "*" --recursive --include "*20170701*" &amp; "%USERPROFILE%\Documents\GitHub\mrs-test-scripts\Headless Mode &amp; Sideloading\WalkAndUnGZ.bat" "%USERPROFILE%\AppData\Local\Temp\OnboardLogs"\RTDC4003\2017-07-01</v>
      </c>
      <c r="AF235" s="74" t="str">
        <f t="shared" si="95"/>
        <v>"C:\Program Files (x86)\AstroGrep\AstroGrep.exe" /e /r /s /spath="%USERPROFILE%\AppData\Local\Temp\OnboardLogs" /stypes="app*4003*20170630*" /stext=" 17:.+((SYSTEM_STATE.+slice.+state.+changed )|(ment ac)|(multiple cpu faults)|(system.+state.+changed )|(\[timeout)|(PRM\|1\|D)|(kpr)|(kdp)|(train st.+moving)|(\|lc)|(penalty))"</v>
      </c>
      <c r="AG235" s="209" t="str">
        <f t="shared" si="96"/>
        <v>Shuttle/Test</v>
      </c>
      <c r="AH235" s="78" t="str">
        <f t="shared" si="97"/>
        <v>"%USERPROFILE%\Documents\GitHub\eaglep3\Utilities\RefineRTDCRunTimes.py" --tripid 52-30 --locoid 4003 --swversion DE.1.0.9.0 --startMP 300:23574 --initTime 2017-06-30T10:46:55 --startdatetime 2017-06-30T10:51:12 --delay 4 --endMP 8.53680555555555 --enddatetime 2017-06-30T11:02:11 --enforcementcount 0 &gt;&gt;C:\Users\stu\Documents\GitHub\eaglep3-reporting\EC\2017-06-30-refined-times.txt</v>
      </c>
      <c r="AI235" s="96" t="str">
        <f t="shared" si="98"/>
        <v>echo {"issue":{"subject":"","project_id":79,"tracker_id":40,"status_id":1,"priority_id":2,"assigned_to_id":23,"start_date":"2017-06-30","description":"","custom_fields":[{"id":1,"name":"Subdivision","value":"Shuttle/Test"},{"id":4,"name":"Milepost","value":"68055555.5555"},{"id":17,"name":"Train ID","value":"52-30"},{"id":16,"name":"Locomotive ID","value":"4003"},{"id":130,"name":"Impact","value":""},{"id":150,"name":"Time of Event (Mountain Time)","value":"11:02:11"},{"id":151,"name":"Denver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20"/>
      <c r="AK235" s="47"/>
      <c r="AL235" s="47"/>
      <c r="AM235" s="142" t="str">
        <f t="shared" si="99"/>
        <v>start /low /b %USERPROFILE%\Documents\GitHub\eaglep3\Utilities\DownloadLogsFromS3.py --loco 4003 --day 2017-06-30</v>
      </c>
      <c r="AN235" s="151" t="str">
        <f t="shared" si="100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17:02:11"},{"id":29,"name":"Sharepoint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/>
    </row>
    <row r="236" spans="1:91" x14ac:dyDescent="0.25">
      <c r="A236" s="32" t="s">
        <v>734</v>
      </c>
      <c r="B236" s="7">
        <v>4023</v>
      </c>
      <c r="C236" s="21" t="s">
        <v>200</v>
      </c>
      <c r="D236" s="21" t="s">
        <v>945</v>
      </c>
      <c r="E236" s="13">
        <v>42916.473576388889</v>
      </c>
      <c r="F236" s="13">
        <v>42916.475104166668</v>
      </c>
      <c r="G236" s="7">
        <v>1</v>
      </c>
      <c r="H236" s="21" t="s">
        <v>356</v>
      </c>
      <c r="I236" s="13">
        <v>42916.476388888892</v>
      </c>
      <c r="J236" s="7">
        <v>0</v>
      </c>
      <c r="K236" s="89" t="str">
        <f t="shared" si="88"/>
        <v>4023/4024</v>
      </c>
      <c r="L236" s="21" t="str">
        <f>VLOOKUP(A236,'Trips&amp;Operators'!$C$1:$G$99999,5,FALSE)</f>
        <v>DE LA ROSA ALEX</v>
      </c>
      <c r="M236" s="6">
        <f t="shared" si="89"/>
        <v>1.2847222242271528E-3</v>
      </c>
      <c r="N236" s="7">
        <f t="shared" si="101"/>
        <v>1.8500000028871</v>
      </c>
      <c r="O236" s="7"/>
      <c r="P236" s="7"/>
      <c r="Q236" s="22"/>
      <c r="R236" s="170"/>
      <c r="S236" s="213">
        <f t="shared" si="102"/>
        <v>0</v>
      </c>
      <c r="T236" s="195" t="str">
        <f t="shared" si="90"/>
        <v>NorthBound</v>
      </c>
      <c r="U236" s="195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196" t="str">
        <f t="shared" si="91"/>
        <v>https://d0f6bd738d7f1b3e5a7ca70fe4ff75f0.us-east-1.aws.found.io/app/kibana#/discover/Steve-Slow-Train-Analysis-(2080s-and-2083s)?_g=(refreshInterval:(display:Off,pause:!f,section:0,value:0),time:(from:'2017-06-30T10:21:57-0600',mode:absolute,to:'2017-06-30T12:26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36" s="197" t="str">
        <f>IF(AA236&lt;VLOOKUP(AG236,Variables!$AC$3:$AD$8,2,FALSE),"Y","N")</f>
        <v>Y</v>
      </c>
      <c r="X236" s="197">
        <f t="shared" si="103"/>
        <v>1</v>
      </c>
      <c r="Y236" s="197">
        <f t="shared" si="104"/>
        <v>0.33179999999999998</v>
      </c>
      <c r="Z236" s="197">
        <f t="shared" si="105"/>
        <v>1.41E-2</v>
      </c>
      <c r="AA236" s="197">
        <f t="shared" si="92"/>
        <v>0.31769999999999998</v>
      </c>
      <c r="AB236" s="54" t="e">
        <f>VLOOKUP(A236,Enforcements!$C$7:$K$13,8,0)</f>
        <v>#N/A</v>
      </c>
      <c r="AC236" s="51" t="e">
        <f>VLOOKUP(A236,Enforcements!$C$7:$E$13,3,0)</f>
        <v>#N/A</v>
      </c>
      <c r="AD236" s="206">
        <f t="shared" si="93"/>
        <v>53</v>
      </c>
      <c r="AE236" s="77" t="str">
        <f t="shared" si="94"/>
        <v>aws s3 cp s3://rtdc.mdm.uploadarchive.raw/RTDC4023/ "%USERPROFILE%\AppData\Local\Temp\OnboardLogs"\RTDC4023\2017-06-30 --exclude "*" --recursive --include "*20170630*" &amp; "%USERPROFILE%\Documents\GitHub\mrs-test-scripts\Headless Mode &amp; Sideloading\WalkAndUnGZ.bat" "%USERPROFILE%\AppData\Local\Temp\OnboardLogs"\RTDC4023\2017-06-30 &amp; aws s3 cp s3://rtdc.mdm.uploadarchive.raw/RTDC4023/ "%USERPROFILE%\AppData\Local\Temp\OnboardLogs"\RTDC4023\2017-07-01 --exclude "*" --recursive --include "*20170701*" &amp; "%USERPROFILE%\Documents\GitHub\mrs-test-scripts\Headless Mode &amp; Sideloading\WalkAndUnGZ.bat" "%USERPROFILE%\AppData\Local\Temp\OnboardLogs"\RTDC4023\2017-07-01</v>
      </c>
      <c r="AF236" s="74" t="str">
        <f t="shared" si="95"/>
        <v>"C:\Program Files (x86)\AstroGrep\AstroGrep.exe" /e /r /s /spath="%USERPROFILE%\AppData\Local\Temp\OnboardLogs" /stypes="app*4023*20170630*" /stext=" 17:.+((SYSTEM_STATE.+slice.+state.+changed )|(ment ac)|(multiple cpu faults)|(system.+state.+changed )|(\[timeout)|(PRM\|1\|D)|(kpr)|(kdp)|(train st.+moving)|(\|lc)|(penalty))"</v>
      </c>
      <c r="AG236" s="209" t="str">
        <f t="shared" si="96"/>
        <v>Shuttle/Test</v>
      </c>
      <c r="AH236" s="78" t="str">
        <f t="shared" si="97"/>
        <v>"%USERPROFILE%\Documents\GitHub\eaglep3\Utilities\RefineRTDCRunTimes.py" --tripid 53-30 --locoid 4023 --swversion DE.1.0.9.0 --startMP 204:3318 --initTime 2017-06-30T11:21:57 --startdatetime 2017-06-30T11:24:09 --delay 1 --endMP 204:141 --enddatetime 2017-06-30T11:26:00 --enforcementcount 0 &gt;&gt;C:\Users\stu\Documents\GitHub\eaglep3-reporting\EC\2017-06-30-refined-times.txt</v>
      </c>
      <c r="AI236" s="96" t="str">
        <f t="shared" si="98"/>
        <v>echo {"issue":{"subject":"","project_id":79,"tracker_id":40,"status_id":1,"priority_id":2,"assigned_to_id":23,"start_date":"2017-06-30","description":"","custom_fields":[{"id":1,"name":"Subdivision","value":"Shuttle/Test"},{"id":4,"name":"Milepost","value":"0.0141"},{"id":17,"name":"Train ID","value":"53-30"},{"id":16,"name":"Locomotive ID","value":"4023"},{"id":130,"name":"Impact","value":""},{"id":150,"name":"Time of Event (Mountain Time)","value":"11:26:00"},{"id":151,"name":"Denver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20"/>
      <c r="AK236" s="47"/>
      <c r="AL236" s="47"/>
      <c r="AM236" s="142" t="str">
        <f t="shared" si="99"/>
        <v>start /low /b %USERPROFILE%\Documents\GitHub\eaglep3\Utilities\DownloadLogsFromS3.py --loco 4023 --day 2017-06-30</v>
      </c>
      <c r="AN236" s="151" t="str">
        <f t="shared" si="100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17:26:00"},{"id":29,"name":"Sharepoint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/>
    </row>
    <row r="237" spans="1:91" x14ac:dyDescent="0.25">
      <c r="A237" s="32" t="s">
        <v>734</v>
      </c>
      <c r="B237" s="7">
        <v>4024</v>
      </c>
      <c r="C237" s="21" t="s">
        <v>200</v>
      </c>
      <c r="D237" s="21" t="s">
        <v>946</v>
      </c>
      <c r="E237" s="13">
        <v>42916.466736111113</v>
      </c>
      <c r="F237" s="13">
        <v>42916.475104166668</v>
      </c>
      <c r="G237" s="7">
        <v>1</v>
      </c>
      <c r="H237" s="21" t="s">
        <v>947</v>
      </c>
      <c r="I237" s="13">
        <v>42916.476388888892</v>
      </c>
      <c r="J237" s="7">
        <v>0</v>
      </c>
      <c r="K237" s="89" t="str">
        <f t="shared" si="88"/>
        <v>4023/4024</v>
      </c>
      <c r="L237" s="21" t="str">
        <f>VLOOKUP(A237,'Trips&amp;Operators'!$C$1:$G$99999,5,FALSE)</f>
        <v>DE LA ROSA ALEX</v>
      </c>
      <c r="M237" s="6">
        <f t="shared" si="89"/>
        <v>1.2847222242271528E-3</v>
      </c>
      <c r="N237" s="7">
        <f t="shared" si="101"/>
        <v>1.8500000028871</v>
      </c>
      <c r="O237" s="7"/>
      <c r="P237" s="7"/>
      <c r="Q237" s="22"/>
      <c r="R237" s="170"/>
      <c r="S237" s="213">
        <f t="shared" si="102"/>
        <v>0</v>
      </c>
      <c r="T237" s="195" t="str">
        <f t="shared" si="90"/>
        <v>NorthBound</v>
      </c>
      <c r="U237" s="195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196" t="str">
        <f t="shared" si="91"/>
        <v>https://d0f6bd738d7f1b3e5a7ca70fe4ff75f0.us-east-1.aws.found.io/app/kibana#/discover/Steve-Slow-Train-Analysis-(2080s-and-2083s)?_g=(refreshInterval:(display:Off,pause:!f,section:0,value:0),time:(from:'2017-06-30T10:12:06-0600',mode:absolute,to:'2017-06-30T12:26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37" s="197" t="str">
        <f>IF(AA237&lt;VLOOKUP(AG237,Variables!$AC$3:$AD$8,2,FALSE),"Y","N")</f>
        <v>Y</v>
      </c>
      <c r="X237" s="197">
        <f t="shared" si="103"/>
        <v>0</v>
      </c>
      <c r="Y237" s="197">
        <f t="shared" si="104"/>
        <v>0.1469</v>
      </c>
      <c r="Z237" s="197">
        <f t="shared" si="105"/>
        <v>0.36259999999999998</v>
      </c>
      <c r="AA237" s="197">
        <f t="shared" si="92"/>
        <v>0.21569999999999998</v>
      </c>
      <c r="AB237" s="54" t="e">
        <f>VLOOKUP(A237,Enforcements!$C$7:$K$13,8,0)</f>
        <v>#N/A</v>
      </c>
      <c r="AC237" s="51" t="e">
        <f>VLOOKUP(A237,Enforcements!$C$7:$E$13,3,0)</f>
        <v>#N/A</v>
      </c>
      <c r="AD237" s="206">
        <f t="shared" si="93"/>
        <v>53</v>
      </c>
      <c r="AE237" s="77" t="str">
        <f t="shared" si="94"/>
        <v>aws s3 cp s3://rtdc.mdm.uploadarchive.raw/RTDC4024/ "%USERPROFILE%\AppData\Local\Temp\OnboardLogs"\RTDC4024\2017-06-30 --exclude "*" --recursive --include "*20170630*" &amp; "%USERPROFILE%\Documents\GitHub\mrs-test-scripts\Headless Mode &amp; Sideloading\WalkAndUnGZ.bat" "%USERPROFILE%\AppData\Local\Temp\OnboardLogs"\RTDC4024\2017-06-30 &amp; aws s3 cp s3://rtdc.mdm.uploadarchive.raw/RTDC4024/ "%USERPROFILE%\AppData\Local\Temp\OnboardLogs"\RTDC4024\2017-07-01 --exclude "*" --recursive --include "*20170701*" &amp; "%USERPROFILE%\Documents\GitHub\mrs-test-scripts\Headless Mode &amp; Sideloading\WalkAndUnGZ.bat" "%USERPROFILE%\AppData\Local\Temp\OnboardLogs"\RTDC4024\2017-07-01</v>
      </c>
      <c r="AF237" s="74" t="str">
        <f t="shared" si="95"/>
        <v>"C:\Program Files (x86)\AstroGrep\AstroGrep.exe" /e /r /s /spath="%USERPROFILE%\AppData\Local\Temp\OnboardLogs" /stypes="app*4024*20170630*" /stext=" 17:.+((SYSTEM_STATE.+slice.+state.+changed )|(ment ac)|(multiple cpu faults)|(system.+state.+changed )|(\[timeout)|(PRM\|1\|D)|(kpr)|(kdp)|(train st.+moving)|(\|lc)|(penalty))"</v>
      </c>
      <c r="AG237" s="209" t="str">
        <f t="shared" si="96"/>
        <v>Shuttle/Test</v>
      </c>
      <c r="AH237" s="78" t="str">
        <f t="shared" si="97"/>
        <v>"%USERPROFILE%\Documents\GitHub\eaglep3\Utilities\RefineRTDCRunTimes.py" --tripid 53-30 --locoid 4024 --swversion DE.1.0.9.0 --startMP 204:1469 --initTime 2017-06-30T11:12:06 --startdatetime 2017-06-30T11:24:09 --delay 1 --endMP 204:3626 --enddatetime 2017-06-30T11:26:00 --enforcementcount 0 &gt;&gt;C:\Users\stu\Documents\GitHub\eaglep3-reporting\EC\2017-06-30-refined-times.txt</v>
      </c>
      <c r="AI237" s="96" t="str">
        <f t="shared" si="98"/>
        <v>echo {"issue":{"subject":"","project_id":79,"tracker_id":40,"status_id":1,"priority_id":2,"assigned_to_id":23,"start_date":"2017-06-30","description":"","custom_fields":[{"id":1,"name":"Subdivision","value":"Shuttle/Test"},{"id":4,"name":"Milepost","value":"0.3626"},{"id":17,"name":"Train ID","value":"53-30"},{"id":16,"name":"Locomotive ID","value":"4024"},{"id":130,"name":"Impact","value":""},{"id":150,"name":"Time of Event (Mountain Time)","value":"11:26:00"},{"id":151,"name":"Denver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20"/>
      <c r="AK237" s="47"/>
      <c r="AL237" s="47"/>
      <c r="AM237" s="142" t="str">
        <f t="shared" si="99"/>
        <v>start /low /b %USERPROFILE%\Documents\GitHub\eaglep3\Utilities\DownloadLogsFromS3.py --loco 4024 --day 2017-06-30</v>
      </c>
      <c r="AN237" s="151" t="str">
        <f t="shared" si="100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17:26:00"},{"id":29,"name":"Sharepoint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/>
    </row>
    <row r="238" spans="1:91" x14ac:dyDescent="0.25">
      <c r="A238" s="32" t="s">
        <v>845</v>
      </c>
      <c r="B238" s="7">
        <v>4049</v>
      </c>
      <c r="C238" s="21" t="s">
        <v>200</v>
      </c>
      <c r="D238" s="21" t="s">
        <v>948</v>
      </c>
      <c r="E238" s="13">
        <v>42917.113587962966</v>
      </c>
      <c r="F238" s="13">
        <v>42917.115844907406</v>
      </c>
      <c r="G238" s="7">
        <v>3</v>
      </c>
      <c r="H238" s="21" t="s">
        <v>949</v>
      </c>
      <c r="I238" s="13">
        <v>42917.122233796297</v>
      </c>
      <c r="J238" s="7">
        <v>0</v>
      </c>
      <c r="K238" s="89" t="str">
        <f t="shared" si="88"/>
        <v>4049/4050</v>
      </c>
      <c r="L238" s="21" t="str">
        <f>VLOOKUP(A238,'Trips&amp;Operators'!$C$1:$G$99999,5,FALSE)</f>
        <v>GRASTON MATHEU</v>
      </c>
      <c r="M238" s="6">
        <f t="shared" si="89"/>
        <v>6.3888888907968067E-3</v>
      </c>
      <c r="N238" s="7">
        <f t="shared" ref="N238:N269" si="106">24*60*SUM($M238:$M238)</f>
        <v>9.2000000027474016</v>
      </c>
      <c r="O238" s="7"/>
      <c r="P238" s="7"/>
      <c r="Q238" s="22"/>
      <c r="R238" s="170"/>
      <c r="S238" s="213">
        <f t="shared" si="102"/>
        <v>0</v>
      </c>
      <c r="T238" s="195" t="str">
        <f t="shared" si="90"/>
        <v>NorthBound</v>
      </c>
      <c r="U238" s="195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196" t="str">
        <f t="shared" si="91"/>
        <v>https://d0f6bd738d7f1b3e5a7ca70fe4ff75f0.us-east-1.aws.found.io/app/kibana#/discover/Steve-Slow-Train-Analysis-(2080s-and-2083s)?_g=(refreshInterval:(display:Off,pause:!f,section:0,value:0),time:(from:'2017-07-01T01:43:34-0600',mode:absolute,to:'2017-07-01T03:56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38" s="197" t="str">
        <f>IF(AA238&lt;VLOOKUP(AG238,Variables!$AC$3:$AD$8,2,FALSE),"Y","N")</f>
        <v>Y</v>
      </c>
      <c r="X238" s="197">
        <f t="shared" si="103"/>
        <v>2</v>
      </c>
      <c r="Y238" s="197">
        <f t="shared" si="104"/>
        <v>2.3494999999999999</v>
      </c>
      <c r="Z238" s="197">
        <f t="shared" si="105"/>
        <v>0.12180000000000001</v>
      </c>
      <c r="AA238" s="197">
        <f t="shared" si="92"/>
        <v>2.2277</v>
      </c>
      <c r="AB238" s="54" t="e">
        <f>VLOOKUP(A238,Enforcements!$C$7:$K$13,8,0)</f>
        <v>#N/A</v>
      </c>
      <c r="AC238" s="51" t="e">
        <f>VLOOKUP(A238,Enforcements!$C$7:$E$13,3,0)</f>
        <v>#N/A</v>
      </c>
      <c r="AD238" s="206">
        <f t="shared" si="93"/>
        <v>55</v>
      </c>
      <c r="AE238" s="77" t="str">
        <f t="shared" si="94"/>
        <v>aws s3 cp s3://rtdc.mdm.uploadarchive.raw/RTDC4049/ "%USERPROFILE%\AppData\Local\Temp\OnboardLogs"\RTDC4049\2017-07-01 --exclude "*" --recursive --include "*20170701*" &amp; "%USERPROFILE%\Documents\GitHub\mrs-test-scripts\Headless Mode &amp; Sideloading\WalkAndUnGZ.bat" "%USERPROFILE%\AppData\Local\Temp\OnboardLogs"\RTDC4049\2017-07-01 &amp; aws s3 cp s3://rtdc.mdm.uploadarchive.raw/RTDC4049/ "%USERPROFILE%\AppData\Local\Temp\OnboardLogs"\RTDC4049\2017-07-02 --exclude "*" --recursive --include "*20170702*" &amp; "%USERPROFILE%\Documents\GitHub\mrs-test-scripts\Headless Mode &amp; Sideloading\WalkAndUnGZ.bat" "%USERPROFILE%\AppData\Local\Temp\OnboardLogs"\RTDC4049\2017-07-02</v>
      </c>
      <c r="AF238" s="74" t="str">
        <f t="shared" si="95"/>
        <v>"C:\Program Files (x86)\AstroGrep\AstroGrep.exe" /e /r /s /spath="%USERPROFILE%\AppData\Local\Temp\OnboardLogs" /stypes="app*4049*20170701*" /stext=" 08:.+((SYSTEM_STATE.+slice.+state.+changed )|(ment ac)|(multiple cpu faults)|(system.+state.+changed )|(\[timeout)|(PRM\|1\|D)|(kpr)|(kdp)|(train st.+moving)|(\|lc)|(penalty))"</v>
      </c>
      <c r="AG238" s="209" t="str">
        <f t="shared" si="96"/>
        <v>Shuttle/Test</v>
      </c>
      <c r="AH238" s="78" t="str">
        <f t="shared" si="97"/>
        <v>"%USERPROFILE%\Documents\GitHub\eaglep3\Utilities\RefineRTDCRunTimes.py" --tripid 55-01 --locoid 4049 --swversion DE.1.0.9.0 --startMP 300:23495 --initTime 2017-07-01T02:43:34 --startdatetime 2017-07-01T02:46:49 --delay 3 --endMP 204:1218 --enddatetime 2017-07-01T02:56:01 --enforcementcount 0 &gt;&gt;C:\Users\stu\Documents\GitHub\eaglep3-reporting\EC\2017-06-30-refined-times.txt</v>
      </c>
      <c r="AI238" s="96" t="str">
        <f t="shared" si="98"/>
        <v>echo {"issue":{"subject":"","project_id":79,"tracker_id":40,"status_id":1,"priority_id":2,"assigned_to_id":23,"start_date":"2017-07-01","description":"","custom_fields":[{"id":1,"name":"Subdivision","value":"Shuttle/Test"},{"id":4,"name":"Milepost","value":"0.1218"},{"id":17,"name":"Train ID","value":"55-01"},{"id":16,"name":"Locomotive ID","value":"4049"},{"id":130,"name":"Impact","value":""},{"id":150,"name":"Time of Event (Mountain Time)","value":"02:56:01"},{"id":151,"name":"Denver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20"/>
      <c r="AK238" s="47"/>
      <c r="AL238" s="47"/>
      <c r="AM238" s="142" t="str">
        <f t="shared" si="99"/>
        <v>start /low /b %USERPROFILE%\Documents\GitHub\eaglep3\Utilities\DownloadLogsFromS3.py --loco 4049 --day 2017-07-01</v>
      </c>
      <c r="AN238" s="151" t="str">
        <f t="shared" si="100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08:56:01"},{"id":29,"name":"Sharepoint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8"/>
    </row>
    <row r="239" spans="1:91" x14ac:dyDescent="0.25">
      <c r="A239" s="32" t="s">
        <v>622</v>
      </c>
      <c r="B239" s="7">
        <v>4063</v>
      </c>
      <c r="C239" s="21" t="s">
        <v>200</v>
      </c>
      <c r="D239" s="21" t="s">
        <v>950</v>
      </c>
      <c r="E239" s="13">
        <v>42916.734733796293</v>
      </c>
      <c r="F239" s="13">
        <v>42916.744525462964</v>
      </c>
      <c r="G239" s="7">
        <v>14</v>
      </c>
      <c r="H239" s="21" t="s">
        <v>951</v>
      </c>
      <c r="I239" s="13">
        <v>42916.749884259261</v>
      </c>
      <c r="J239" s="7">
        <v>0</v>
      </c>
      <c r="K239" s="89" t="str">
        <f t="shared" si="88"/>
        <v>4063/4064</v>
      </c>
      <c r="L239" s="21" t="str">
        <f>VLOOKUP(A239,'Trips&amp;Operators'!$C$1:$G$99999,5,FALSE)</f>
        <v>THOMPSON LESTER</v>
      </c>
      <c r="M239" s="6">
        <f t="shared" si="89"/>
        <v>5.3587962975143455E-3</v>
      </c>
      <c r="N239" s="7">
        <f t="shared" si="106"/>
        <v>7.7166666684206575</v>
      </c>
      <c r="O239" s="7"/>
      <c r="P239" s="7"/>
      <c r="Q239" s="22"/>
      <c r="R239" s="170"/>
      <c r="S239" s="213">
        <f t="shared" si="102"/>
        <v>1</v>
      </c>
      <c r="T239" s="195" t="str">
        <f t="shared" si="90"/>
        <v>Southbound</v>
      </c>
      <c r="U239" s="195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1</v>
      </c>
      <c r="V239" s="196" t="str">
        <f t="shared" si="91"/>
        <v>https://d0f6bd738d7f1b3e5a7ca70fe4ff75f0.us-east-1.aws.found.io/app/kibana#/discover/Steve-Slow-Train-Analysis-(2080s-and-2083s)?_g=(refreshInterval:(display:Off,pause:!f,section:0,value:0),time:(from:'2017-06-30T16:38:01-0600',mode:absolute,to:'2017-06-30T18:59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39" s="197" t="str">
        <f>IF(AA239&lt;VLOOKUP(AG239,Variables!$AC$3:$AD$8,2,FALSE),"Y","N")</f>
        <v>Y</v>
      </c>
      <c r="X239" s="197">
        <f t="shared" si="103"/>
        <v>5</v>
      </c>
      <c r="Y239" s="197">
        <f t="shared" si="104"/>
        <v>2.1034000000000002</v>
      </c>
      <c r="Z239" s="197">
        <f t="shared" si="105"/>
        <v>8.7900000000000006E-2</v>
      </c>
      <c r="AA239" s="197">
        <f t="shared" si="92"/>
        <v>2.0155000000000003</v>
      </c>
      <c r="AB239" s="54" t="e">
        <f>VLOOKUP(A239,Enforcements!$C$7:$K$13,8,0)</f>
        <v>#N/A</v>
      </c>
      <c r="AC239" s="51" t="e">
        <f>VLOOKUP(A239,Enforcements!$C$7:$E$13,3,0)</f>
        <v>#N/A</v>
      </c>
      <c r="AD239" s="206">
        <f t="shared" si="93"/>
        <v>60</v>
      </c>
      <c r="AE239" s="77" t="str">
        <f t="shared" si="94"/>
        <v>aws s3 cp s3://rtdc.mdm.uploadarchive.raw/RTDC4063/ "%USERPROFILE%\AppData\Local\Temp\OnboardLogs"\RTDC4063\2017-06-30 --exclude "*" --recursive --include "*20170630*" &amp; "%USERPROFILE%\Documents\GitHub\mrs-test-scripts\Headless Mode &amp; Sideloading\WalkAndUnGZ.bat" "%USERPROFILE%\AppData\Local\Temp\OnboardLogs"\RTDC4063\2017-06-30 &amp; aws s3 cp s3://rtdc.mdm.uploadarchive.raw/RTDC4063/ "%USERPROFILE%\AppData\Local\Temp\OnboardLogs"\RTDC4063\2017-07-01 --exclude "*" --recursive --include "*20170701*" &amp; "%USERPROFILE%\Documents\GitHub\mrs-test-scripts\Headless Mode &amp; Sideloading\WalkAndUnGZ.bat" "%USERPROFILE%\AppData\Local\Temp\OnboardLogs"\RTDC4063\2017-07-01</v>
      </c>
      <c r="AF239" s="74" t="str">
        <f t="shared" si="95"/>
        <v>"C:\Program Files (x86)\AstroGrep\AstroGrep.exe" /e /r /s /spath="%USERPROFILE%\AppData\Local\Temp\OnboardLogs" /stypes="app*4063*20170630*" /stext=" 23:.+((SYSTEM_STATE.+slice.+state.+changed )|(ment ac)|(multiple cpu faults)|(system.+state.+changed )|(\[timeout)|(PRM\|1\|D)|(kpr)|(kdp)|(train st.+moving)|(\|lc)|(penalty))"</v>
      </c>
      <c r="AG239" s="209" t="str">
        <f t="shared" si="96"/>
        <v>Shuttle/Test</v>
      </c>
      <c r="AH239" s="78" t="str">
        <f t="shared" si="97"/>
        <v>"%USERPROFILE%\Documents\GitHub\eaglep3\Utilities\RefineRTDCRunTimes.py" --tripid 60-30 --locoid 4063 --swversion DE.1.0.9.0 --startMP 300:21034 --initTime 2017-06-30T17:38:01 --startdatetime 2017-06-30T17:52:07 --delay 14 --endMP 204:879 --enddatetime 2017-06-30T17:59:50 --enforcementcount 0 &gt;&gt;C:\Users\stu\Documents\GitHub\eaglep3-reporting\EC\2017-06-30-refined-times.txt</v>
      </c>
      <c r="AI239" s="96" t="str">
        <f t="shared" si="98"/>
        <v>echo {"issue":{"subject":"","project_id":79,"tracker_id":40,"status_id":1,"priority_id":2,"assigned_to_id":23,"start_date":"2017-06-30","description":"","custom_fields":[{"id":1,"name":"Subdivision","value":"Shuttle/Test"},{"id":4,"name":"Milepost","value":"0.0879"},{"id":17,"name":"Train ID","value":"60-30"},{"id":16,"name":"Locomotive ID","value":"4063"},{"id":130,"name":"Impact","value":""},{"id":150,"name":"Time of Event (Mountain Time)","value":"17:59:50"},{"id":151,"name":"Denver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20"/>
      <c r="AK239" s="47"/>
      <c r="AL239" s="47"/>
      <c r="AM239" s="142" t="str">
        <f t="shared" si="99"/>
        <v>start /low /b %USERPROFILE%\Documents\GitHub\eaglep3\Utilities\DownloadLogsFromS3.py --loco 4063 --day 2017-06-30</v>
      </c>
      <c r="AN239" s="151" t="str">
        <f t="shared" si="100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23:59:50"},{"id":29,"name":"Sharepoint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9"/>
    </row>
    <row r="240" spans="1:91" x14ac:dyDescent="0.25">
      <c r="A240" s="32" t="s">
        <v>596</v>
      </c>
      <c r="B240" s="7">
        <v>4019</v>
      </c>
      <c r="C240" s="21" t="s">
        <v>200</v>
      </c>
      <c r="D240" s="21" t="s">
        <v>952</v>
      </c>
      <c r="E240" s="13">
        <v>42916.452453703707</v>
      </c>
      <c r="F240" s="13">
        <v>42916.470358796294</v>
      </c>
      <c r="G240" s="7">
        <v>1</v>
      </c>
      <c r="H240" s="21" t="s">
        <v>953</v>
      </c>
      <c r="I240" s="13">
        <v>42916.483807870369</v>
      </c>
      <c r="J240" s="7">
        <v>0</v>
      </c>
      <c r="K240" s="89" t="str">
        <f t="shared" si="88"/>
        <v>4019/4020</v>
      </c>
      <c r="L240" s="21" t="str">
        <f>VLOOKUP(A240,'Trips&amp;Operators'!$C$1:$G$99999,5,FALSE)</f>
        <v>SANTIZO D. EDY</v>
      </c>
      <c r="M240" s="6">
        <f t="shared" si="89"/>
        <v>1.3449074074742384E-2</v>
      </c>
      <c r="N240" s="7">
        <f t="shared" si="106"/>
        <v>19.366666667629033</v>
      </c>
      <c r="O240" s="7"/>
      <c r="P240" s="7"/>
      <c r="Q240" s="22"/>
      <c r="R240" s="170"/>
      <c r="S240" s="213">
        <f t="shared" si="102"/>
        <v>0</v>
      </c>
      <c r="T240" s="195" t="str">
        <f t="shared" si="90"/>
        <v>NorthBound</v>
      </c>
      <c r="U240" s="195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196" t="str">
        <f t="shared" si="91"/>
        <v>https://d0f6bd738d7f1b3e5a7ca70fe4ff75f0.us-east-1.aws.found.io/app/kibana#/discover/Steve-Slow-Train-Analysis-(2080s-and-2083s)?_g=(refreshInterval:(display:Off,pause:!f,section:0,value:0),time:(from:'2017-06-30T09:51:32-0600',mode:absolute,to:'2017-06-30T12:36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40" s="197" t="str">
        <f>IF(AA240&lt;VLOOKUP(AG240,Variables!$AC$3:$AD$8,2,FALSE),"Y","N")</f>
        <v>Y</v>
      </c>
      <c r="X240" s="197">
        <f t="shared" si="103"/>
        <v>1</v>
      </c>
      <c r="Y240" s="197">
        <f t="shared" si="104"/>
        <v>11.2187</v>
      </c>
      <c r="Z240" s="197">
        <f t="shared" si="105"/>
        <v>2.661</v>
      </c>
      <c r="AA240" s="197">
        <f t="shared" si="92"/>
        <v>8.5577000000000005</v>
      </c>
      <c r="AB240" s="54" t="e">
        <f>VLOOKUP(A240,Enforcements!$C$7:$K$13,8,0)</f>
        <v>#N/A</v>
      </c>
      <c r="AC240" s="51" t="e">
        <f>VLOOKUP(A240,Enforcements!$C$7:$E$13,3,0)</f>
        <v>#N/A</v>
      </c>
      <c r="AD240" s="206">
        <f t="shared" si="93"/>
        <v>61</v>
      </c>
      <c r="AE240" s="77" t="str">
        <f t="shared" si="94"/>
        <v>aws s3 cp s3://rtdc.mdm.uploadarchive.raw/RTDC4019/ "%USERPROFILE%\AppData\Local\Temp\OnboardLogs"\RTDC4019\2017-06-30 --exclude "*" --recursive --include "*20170630*" &amp; "%USERPROFILE%\Documents\GitHub\mrs-test-scripts\Headless Mode &amp; Sideloading\WalkAndUnGZ.bat" "%USERPROFILE%\AppData\Local\Temp\OnboardLogs"\RTDC4019\2017-06-30 &amp; aws s3 cp s3://rtdc.mdm.uploadarchive.raw/RTDC4019/ "%USERPROFILE%\AppData\Local\Temp\OnboardLogs"\RTDC4019\2017-07-01 --exclude "*" --recursive --include "*20170701*" &amp; "%USERPROFILE%\Documents\GitHub\mrs-test-scripts\Headless Mode &amp; Sideloading\WalkAndUnGZ.bat" "%USERPROFILE%\AppData\Local\Temp\OnboardLogs"\RTDC4019\2017-07-01</v>
      </c>
      <c r="AF240" s="74" t="str">
        <f t="shared" si="95"/>
        <v>"C:\Program Files (x86)\AstroGrep\AstroGrep.exe" /e /r /s /spath="%USERPROFILE%\AppData\Local\Temp\OnboardLogs" /stypes="app*4019*20170630*" /stext=" 17:.+((SYSTEM_STATE.+slice.+state.+changed )|(ment ac)|(multiple cpu faults)|(system.+state.+changed )|(\[timeout)|(PRM\|1\|D)|(kpr)|(kdp)|(train st.+moving)|(\|lc)|(penalty))"</v>
      </c>
      <c r="AG240" s="209" t="str">
        <f t="shared" si="96"/>
        <v>Shuttle/Test</v>
      </c>
      <c r="AH240" s="78" t="str">
        <f t="shared" si="97"/>
        <v>"%USERPROFILE%\Documents\GitHub\eaglep3\Utilities\RefineRTDCRunTimes.py" --tripid 61-30 --locoid 4019 --swversion DE.1.0.9.0 --startMP 300:112187 --initTime 2017-06-30T10:51:32 --startdatetime 2017-06-30T11:17:19 --delay 1 --endMP 300:26610 --enddatetime 2017-06-30T11:36:41 --enforcementcount 0 &gt;&gt;C:\Users\stu\Documents\GitHub\eaglep3-reporting\EC\2017-06-30-refined-times.txt</v>
      </c>
      <c r="AI240" s="96" t="str">
        <f t="shared" si="98"/>
        <v>echo {"issue":{"subject":"","project_id":79,"tracker_id":40,"status_id":1,"priority_id":2,"assigned_to_id":23,"start_date":"2017-06-30","description":"","custom_fields":[{"id":1,"name":"Subdivision","value":"Shuttle/Test"},{"id":4,"name":"Milepost","value":"2.661"},{"id":17,"name":"Train ID","value":"61-30"},{"id":16,"name":"Locomotive ID","value":"4019"},{"id":130,"name":"Impact","value":""},{"id":150,"name":"Time of Event (Mountain Time)","value":"11:36:41"},{"id":151,"name":"Denver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20"/>
      <c r="AK240" s="47"/>
      <c r="AL240" s="47"/>
      <c r="AM240" s="142" t="str">
        <f t="shared" si="99"/>
        <v>start /low /b %USERPROFILE%\Documents\GitHub\eaglep3\Utilities\DownloadLogsFromS3.py --loco 4019 --day 2017-06-30</v>
      </c>
      <c r="AN240" s="151" t="str">
        <f t="shared" si="100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17:36:41"},{"id":29,"name":"Sharepoint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0"/>
    </row>
    <row r="241" spans="1:41" x14ac:dyDescent="0.25">
      <c r="A241" s="32" t="s">
        <v>596</v>
      </c>
      <c r="B241" s="7">
        <v>4019</v>
      </c>
      <c r="C241" s="21" t="s">
        <v>200</v>
      </c>
      <c r="D241" s="21" t="s">
        <v>561</v>
      </c>
      <c r="E241" s="13">
        <v>42916.404490740744</v>
      </c>
      <c r="F241" s="13">
        <v>42916.423726851855</v>
      </c>
      <c r="G241" s="7">
        <v>1</v>
      </c>
      <c r="H241" s="21" t="s">
        <v>954</v>
      </c>
      <c r="I241" s="13">
        <v>42916.450624999998</v>
      </c>
      <c r="J241" s="7">
        <v>0</v>
      </c>
      <c r="K241" s="89" t="str">
        <f t="shared" si="88"/>
        <v>4019/4020</v>
      </c>
      <c r="L241" s="21" t="str">
        <f>VLOOKUP(A241,'Trips&amp;Operators'!$C$1:$G$99999,5,FALSE)</f>
        <v>SANTIZO D. EDY</v>
      </c>
      <c r="M241" s="6">
        <f t="shared" si="89"/>
        <v>2.6898148142208811E-2</v>
      </c>
      <c r="N241" s="7">
        <f t="shared" si="106"/>
        <v>38.733333324780688</v>
      </c>
      <c r="O241" s="7"/>
      <c r="P241" s="7"/>
      <c r="Q241" s="22"/>
      <c r="R241" s="170"/>
      <c r="S241" s="213">
        <f t="shared" si="102"/>
        <v>0</v>
      </c>
      <c r="T241" s="195" t="str">
        <f t="shared" si="90"/>
        <v>NorthBound</v>
      </c>
      <c r="U241" s="195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196" t="str">
        <f t="shared" si="91"/>
        <v>https://d0f6bd738d7f1b3e5a7ca70fe4ff75f0.us-east-1.aws.found.io/app/kibana#/discover/Steve-Slow-Train-Analysis-(2080s-and-2083s)?_g=(refreshInterval:(display:Off,pause:!f,section:0,value:0),time:(from:'2017-06-30T08:42:28-0600',mode:absolute,to:'2017-06-30T11:48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41" s="197" t="str">
        <f>IF(AA241&lt;VLOOKUP(AG241,Variables!$AC$3:$AD$8,2,FALSE),"Y","N")</f>
        <v>Y</v>
      </c>
      <c r="X241" s="197">
        <f t="shared" si="103"/>
        <v>0</v>
      </c>
      <c r="Y241" s="197">
        <f t="shared" si="104"/>
        <v>11.2201</v>
      </c>
      <c r="Z241" s="197">
        <f t="shared" si="105"/>
        <v>2.9066000000000001</v>
      </c>
      <c r="AA241" s="197">
        <f t="shared" si="92"/>
        <v>8.3135000000000012</v>
      </c>
      <c r="AB241" s="54" t="e">
        <f>VLOOKUP(A241,Enforcements!$C$7:$K$13,8,0)</f>
        <v>#N/A</v>
      </c>
      <c r="AC241" s="51" t="e">
        <f>VLOOKUP(A241,Enforcements!$C$7:$E$13,3,0)</f>
        <v>#N/A</v>
      </c>
      <c r="AD241" s="206">
        <f t="shared" si="93"/>
        <v>61</v>
      </c>
      <c r="AE241" s="77" t="str">
        <f t="shared" si="94"/>
        <v>aws s3 cp s3://rtdc.mdm.uploadarchive.raw/RTDC4019/ "%USERPROFILE%\AppData\Local\Temp\OnboardLogs"\RTDC4019\2017-06-30 --exclude "*" --recursive --include "*20170630*" &amp; "%USERPROFILE%\Documents\GitHub\mrs-test-scripts\Headless Mode &amp; Sideloading\WalkAndUnGZ.bat" "%USERPROFILE%\AppData\Local\Temp\OnboardLogs"\RTDC4019\2017-06-30 &amp; aws s3 cp s3://rtdc.mdm.uploadarchive.raw/RTDC4019/ "%USERPROFILE%\AppData\Local\Temp\OnboardLogs"\RTDC4019\2017-07-01 --exclude "*" --recursive --include "*20170701*" &amp; "%USERPROFILE%\Documents\GitHub\mrs-test-scripts\Headless Mode &amp; Sideloading\WalkAndUnGZ.bat" "%USERPROFILE%\AppData\Local\Temp\OnboardLogs"\RTDC4019\2017-07-01</v>
      </c>
      <c r="AF241" s="74" t="str">
        <f t="shared" si="95"/>
        <v>"C:\Program Files (x86)\AstroGrep\AstroGrep.exe" /e /r /s /spath="%USERPROFILE%\AppData\Local\Temp\OnboardLogs" /stypes="app*4019*20170630*" /stext=" 16:.+((SYSTEM_STATE.+slice.+state.+changed )|(ment ac)|(multiple cpu faults)|(system.+state.+changed )|(\[timeout)|(PRM\|1\|D)|(kpr)|(kdp)|(train st.+moving)|(\|lc)|(penalty))"</v>
      </c>
      <c r="AG241" s="209" t="str">
        <f t="shared" si="96"/>
        <v>Shuttle/Test</v>
      </c>
      <c r="AH241" s="78" t="str">
        <f t="shared" si="97"/>
        <v>"%USERPROFILE%\Documents\GitHub\eaglep3\Utilities\RefineRTDCRunTimes.py" --tripid 61-30 --locoid 4019 --swversion DE.1.0.9.0 --startMP 300:112201 --initTime 2017-06-30T09:42:28 --startdatetime 2017-06-30T10:10:10 --delay 1 --endMP 300:29066 --enddatetime 2017-06-30T10:48:54 --enforcementcount 0 &gt;&gt;C:\Users\stu\Documents\GitHub\eaglep3-reporting\EC\2017-06-30-refined-times.txt</v>
      </c>
      <c r="AI241" s="96" t="str">
        <f t="shared" si="98"/>
        <v>echo {"issue":{"subject":"","project_id":79,"tracker_id":40,"status_id":1,"priority_id":2,"assigned_to_id":23,"start_date":"2017-06-30","description":"","custom_fields":[{"id":1,"name":"Subdivision","value":"Shuttle/Test"},{"id":4,"name":"Milepost","value":"2.9066"},{"id":17,"name":"Train ID","value":"61-30"},{"id":16,"name":"Locomotive ID","value":"4019"},{"id":130,"name":"Impact","value":""},{"id":150,"name":"Time of Event (Mountain Time)","value":"10:48:54"},{"id":151,"name":"Denver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20"/>
      <c r="AK241" s="47"/>
      <c r="AL241" s="47"/>
      <c r="AM241" s="142" t="str">
        <f t="shared" si="99"/>
        <v>start /low /b %USERPROFILE%\Documents\GitHub\eaglep3\Utilities\DownloadLogsFromS3.py --loco 4019 --day 2017-06-30</v>
      </c>
      <c r="AN241" s="151" t="str">
        <f t="shared" si="100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16:48:54"},{"id":29,"name":"Sharepoint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1"/>
    </row>
    <row r="242" spans="1:41" x14ac:dyDescent="0.25">
      <c r="A242" s="32" t="s">
        <v>596</v>
      </c>
      <c r="B242" s="7">
        <v>4020</v>
      </c>
      <c r="C242" s="21" t="s">
        <v>200</v>
      </c>
      <c r="D242" s="21" t="s">
        <v>955</v>
      </c>
      <c r="E242" s="13">
        <v>42916.468194444446</v>
      </c>
      <c r="F242" s="13">
        <v>42916.470358796294</v>
      </c>
      <c r="G242" s="7">
        <v>2</v>
      </c>
      <c r="H242" s="21" t="s">
        <v>956</v>
      </c>
      <c r="I242" s="13">
        <v>42916.483807870369</v>
      </c>
      <c r="J242" s="7">
        <v>0</v>
      </c>
      <c r="K242" s="89" t="str">
        <f t="shared" si="88"/>
        <v>4019/4020</v>
      </c>
      <c r="L242" s="21" t="str">
        <f>VLOOKUP(A242,'Trips&amp;Operators'!$C$1:$G$99999,5,FALSE)</f>
        <v>SANTIZO D. EDY</v>
      </c>
      <c r="M242" s="6">
        <f t="shared" si="89"/>
        <v>1.3449074074742384E-2</v>
      </c>
      <c r="N242" s="7">
        <f t="shared" si="106"/>
        <v>19.366666667629033</v>
      </c>
      <c r="O242" s="7"/>
      <c r="P242" s="7"/>
      <c r="Q242" s="22"/>
      <c r="R242" s="170"/>
      <c r="S242" s="213">
        <f t="shared" si="102"/>
        <v>0</v>
      </c>
      <c r="T242" s="195" t="str">
        <f t="shared" si="90"/>
        <v>NorthBound</v>
      </c>
      <c r="U242" s="195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196" t="str">
        <f t="shared" si="91"/>
        <v>https://d0f6bd738d7f1b3e5a7ca70fe4ff75f0.us-east-1.aws.found.io/app/kibana#/discover/Steve-Slow-Train-Analysis-(2080s-and-2083s)?_g=(refreshInterval:(display:Off,pause:!f,section:0,value:0),time:(from:'2017-06-30T10:14:12-0600',mode:absolute,to:'2017-06-30T12:36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42" s="197" t="str">
        <f>IF(AA242&lt;VLOOKUP(AG242,Variables!$AC$3:$AD$8,2,FALSE),"Y","N")</f>
        <v>Y</v>
      </c>
      <c r="X242" s="197">
        <f t="shared" si="103"/>
        <v>0</v>
      </c>
      <c r="Y242" s="197">
        <f t="shared" si="104"/>
        <v>2.6932</v>
      </c>
      <c r="Z242" s="197">
        <f t="shared" si="105"/>
        <v>11.2509</v>
      </c>
      <c r="AA242" s="197">
        <f t="shared" si="92"/>
        <v>8.5577000000000005</v>
      </c>
      <c r="AB242" s="54" t="e">
        <f>VLOOKUP(A242,Enforcements!$C$7:$K$13,8,0)</f>
        <v>#N/A</v>
      </c>
      <c r="AC242" s="51" t="e">
        <f>VLOOKUP(A242,Enforcements!$C$7:$E$13,3,0)</f>
        <v>#N/A</v>
      </c>
      <c r="AD242" s="206">
        <f t="shared" si="93"/>
        <v>61</v>
      </c>
      <c r="AE242" s="77" t="str">
        <f t="shared" si="94"/>
        <v>aws s3 cp s3://rtdc.mdm.uploadarchive.raw/RTDC4020/ "%USERPROFILE%\AppData\Local\Temp\OnboardLogs"\RTDC4020\2017-06-30 --exclude "*" --recursive --include "*20170630*" &amp; "%USERPROFILE%\Documents\GitHub\mrs-test-scripts\Headless Mode &amp; Sideloading\WalkAndUnGZ.bat" "%USERPROFILE%\AppData\Local\Temp\OnboardLogs"\RTDC4020\2017-06-30 &amp; aws s3 cp s3://rtdc.mdm.uploadarchive.raw/RTDC4020/ "%USERPROFILE%\AppData\Local\Temp\OnboardLogs"\RTDC4020\2017-07-01 --exclude "*" --recursive --include "*20170701*" &amp; "%USERPROFILE%\Documents\GitHub\mrs-test-scripts\Headless Mode &amp; Sideloading\WalkAndUnGZ.bat" "%USERPROFILE%\AppData\Local\Temp\OnboardLogs"\RTDC4020\2017-07-01</v>
      </c>
      <c r="AF242" s="74" t="str">
        <f t="shared" si="95"/>
        <v>"C:\Program Files (x86)\AstroGrep\AstroGrep.exe" /e /r /s /spath="%USERPROFILE%\AppData\Local\Temp\OnboardLogs" /stypes="app*4020*20170630*" /stext=" 17:.+((SYSTEM_STATE.+slice.+state.+changed )|(ment ac)|(multiple cpu faults)|(system.+state.+changed )|(\[timeout)|(PRM\|1\|D)|(kpr)|(kdp)|(train st.+moving)|(\|lc)|(penalty))"</v>
      </c>
      <c r="AG242" s="209" t="str">
        <f t="shared" si="96"/>
        <v>Shuttle/Test</v>
      </c>
      <c r="AH242" s="78" t="str">
        <f t="shared" si="97"/>
        <v>"%USERPROFILE%\Documents\GitHub\eaglep3\Utilities\RefineRTDCRunTimes.py" --tripid 61-30 --locoid 4020 --swversion DE.1.0.9.0 --startMP 300:26932 --initTime 2017-06-30T11:14:12 --startdatetime 2017-06-30T11:17:19 --delay 2 --endMP 300:112509 --enddatetime 2017-06-30T11:36:41 --enforcementcount 0 &gt;&gt;C:\Users\stu\Documents\GitHub\eaglep3-reporting\EC\2017-06-30-refined-times.txt</v>
      </c>
      <c r="AI242" s="96" t="str">
        <f t="shared" si="98"/>
        <v>echo {"issue":{"subject":"","project_id":79,"tracker_id":40,"status_id":1,"priority_id":2,"assigned_to_id":23,"start_date":"2017-06-30","description":"","custom_fields":[{"id":1,"name":"Subdivision","value":"Shuttle/Test"},{"id":4,"name":"Milepost","value":"11.2509"},{"id":17,"name":"Train ID","value":"61-30"},{"id":16,"name":"Locomotive ID","value":"4020"},{"id":130,"name":"Impact","value":""},{"id":150,"name":"Time of Event (Mountain Time)","value":"11:36:41"},{"id":151,"name":"Denver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2" s="20"/>
      <c r="AK242" s="47"/>
      <c r="AL242" s="47"/>
      <c r="AM242" s="142" t="str">
        <f t="shared" si="99"/>
        <v>start /low /b %USERPROFILE%\Documents\GitHub\eaglep3\Utilities\DownloadLogsFromS3.py --loco 4020 --day 2017-06-30</v>
      </c>
      <c r="AN242" s="151" t="str">
        <f t="shared" si="100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17:36:41"},{"id":29,"name":"Sharepoint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2"/>
    </row>
    <row r="243" spans="1:41" x14ac:dyDescent="0.25">
      <c r="A243" s="32" t="s">
        <v>596</v>
      </c>
      <c r="B243" s="7">
        <v>4020</v>
      </c>
      <c r="C243" s="21" t="s">
        <v>200</v>
      </c>
      <c r="D243" s="21" t="s">
        <v>957</v>
      </c>
      <c r="E243" s="13">
        <v>42916.421886574077</v>
      </c>
      <c r="F243" s="13">
        <v>42916.470358796294</v>
      </c>
      <c r="G243" s="7">
        <v>1</v>
      </c>
      <c r="H243" s="21" t="s">
        <v>958</v>
      </c>
      <c r="I243" s="13">
        <v>42916.483807870369</v>
      </c>
      <c r="J243" s="7">
        <v>0</v>
      </c>
      <c r="K243" s="89" t="str">
        <f t="shared" si="88"/>
        <v>4019/4020</v>
      </c>
      <c r="L243" s="21" t="str">
        <f>VLOOKUP(A243,'Trips&amp;Operators'!$C$1:$G$99999,5,FALSE)</f>
        <v>SANTIZO D. EDY</v>
      </c>
      <c r="M243" s="6">
        <f t="shared" si="89"/>
        <v>1.3449074074742384E-2</v>
      </c>
      <c r="N243" s="7">
        <f t="shared" si="106"/>
        <v>19.366666667629033</v>
      </c>
      <c r="O243" s="7"/>
      <c r="P243" s="7"/>
      <c r="Q243" s="22"/>
      <c r="R243" s="170"/>
      <c r="S243" s="213">
        <f t="shared" si="102"/>
        <v>0</v>
      </c>
      <c r="T243" s="195" t="str">
        <f t="shared" si="90"/>
        <v>NorthBound</v>
      </c>
      <c r="U243" s="195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0</v>
      </c>
      <c r="V243" s="196" t="str">
        <f t="shared" si="91"/>
        <v>https://d0f6bd738d7f1b3e5a7ca70fe4ff75f0.us-east-1.aws.found.io/app/kibana#/discover/Steve-Slow-Train-Analysis-(2080s-and-2083s)?_g=(refreshInterval:(display:Off,pause:!f,section:0,value:0),time:(from:'2017-06-30T09:07:31-0600',mode:absolute,to:'2017-06-30T12:36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43" s="197" t="str">
        <f>IF(AA243&lt;VLOOKUP(AG243,Variables!$AC$3:$AD$8,2,FALSE),"Y","N")</f>
        <v>Y</v>
      </c>
      <c r="X243" s="197">
        <f t="shared" si="103"/>
        <v>0</v>
      </c>
      <c r="Y243" s="197">
        <f t="shared" si="104"/>
        <v>2.9378000000000002</v>
      </c>
      <c r="Z243" s="197">
        <f t="shared" si="105"/>
        <v>11.2502</v>
      </c>
      <c r="AA243" s="197">
        <f t="shared" si="92"/>
        <v>8.3124000000000002</v>
      </c>
      <c r="AB243" s="54" t="e">
        <f>VLOOKUP(A243,Enforcements!$C$7:$K$13,8,0)</f>
        <v>#N/A</v>
      </c>
      <c r="AC243" s="51" t="e">
        <f>VLOOKUP(A243,Enforcements!$C$7:$E$13,3,0)</f>
        <v>#N/A</v>
      </c>
      <c r="AD243" s="206">
        <f t="shared" si="93"/>
        <v>61</v>
      </c>
      <c r="AE243" s="77" t="str">
        <f t="shared" si="94"/>
        <v>aws s3 cp s3://rtdc.mdm.uploadarchive.raw/RTDC4020/ "%USERPROFILE%\AppData\Local\Temp\OnboardLogs"\RTDC4020\2017-06-30 --exclude "*" --recursive --include "*20170630*" &amp; "%USERPROFILE%\Documents\GitHub\mrs-test-scripts\Headless Mode &amp; Sideloading\WalkAndUnGZ.bat" "%USERPROFILE%\AppData\Local\Temp\OnboardLogs"\RTDC4020\2017-06-30 &amp; aws s3 cp s3://rtdc.mdm.uploadarchive.raw/RTDC4020/ "%USERPROFILE%\AppData\Local\Temp\OnboardLogs"\RTDC4020\2017-07-01 --exclude "*" --recursive --include "*20170701*" &amp; "%USERPROFILE%\Documents\GitHub\mrs-test-scripts\Headless Mode &amp; Sideloading\WalkAndUnGZ.bat" "%USERPROFILE%\AppData\Local\Temp\OnboardLogs"\RTDC4020\2017-07-01</v>
      </c>
      <c r="AF243" s="74" t="str">
        <f t="shared" si="95"/>
        <v>"C:\Program Files (x86)\AstroGrep\AstroGrep.exe" /e /r /s /spath="%USERPROFILE%\AppData\Local\Temp\OnboardLogs" /stypes="app*4020*20170630*" /stext=" 17:.+((SYSTEM_STATE.+slice.+state.+changed )|(ment ac)|(multiple cpu faults)|(system.+state.+changed )|(\[timeout)|(PRM\|1\|D)|(kpr)|(kdp)|(train st.+moving)|(\|lc)|(penalty))"</v>
      </c>
      <c r="AG243" s="209" t="str">
        <f t="shared" si="96"/>
        <v>Shuttle/Test</v>
      </c>
      <c r="AH243" s="78" t="str">
        <f t="shared" si="97"/>
        <v>"%USERPROFILE%\Documents\GitHub\eaglep3\Utilities\RefineRTDCRunTimes.py" --tripid 61-30 --locoid 4020 --swversion DE.1.0.9.0 --startMP 300:29378 --initTime 2017-06-30T10:07:31 --startdatetime 2017-06-30T11:17:19 --delay 1 --endMP 300:112502 --enddatetime 2017-06-30T11:36:41 --enforcementcount 0 &gt;&gt;C:\Users\stu\Documents\GitHub\eaglep3-reporting\EC\2017-06-30-refined-times.txt</v>
      </c>
      <c r="AI243" s="96" t="str">
        <f t="shared" si="98"/>
        <v>echo {"issue":{"subject":"","project_id":79,"tracker_id":40,"status_id":1,"priority_id":2,"assigned_to_id":23,"start_date":"2017-06-30","description":"","custom_fields":[{"id":1,"name":"Subdivision","value":"Shuttle/Test"},{"id":4,"name":"Milepost","value":"11.2502"},{"id":17,"name":"Train ID","value":"61-30"},{"id":16,"name":"Locomotive ID","value":"4020"},{"id":130,"name":"Impact","value":""},{"id":150,"name":"Time of Event (Mountain Time)","value":"11:36:41"},{"id":151,"name":"Denver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3" s="20"/>
      <c r="AK243" s="47"/>
      <c r="AL243" s="47"/>
      <c r="AM243" s="142" t="str">
        <f t="shared" si="99"/>
        <v>start /low /b %USERPROFILE%\Documents\GitHub\eaglep3\Utilities\DownloadLogsFromS3.py --loco 4020 --day 2017-06-30</v>
      </c>
      <c r="AN243" s="151" t="str">
        <f t="shared" si="100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17:36:41"},{"id":29,"name":"Sharepoint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3"/>
    </row>
    <row r="244" spans="1:41" x14ac:dyDescent="0.25">
      <c r="A244" s="32" t="s">
        <v>596</v>
      </c>
      <c r="B244" s="7">
        <v>4020</v>
      </c>
      <c r="C244" s="21" t="s">
        <v>200</v>
      </c>
      <c r="D244" s="21" t="s">
        <v>959</v>
      </c>
      <c r="E244" s="13">
        <v>42916.382210648146</v>
      </c>
      <c r="F244" s="13">
        <v>42916.406319444446</v>
      </c>
      <c r="G244" s="7">
        <v>7</v>
      </c>
      <c r="H244" s="21" t="s">
        <v>960</v>
      </c>
      <c r="I244" s="13">
        <v>42916.420069444444</v>
      </c>
      <c r="J244" s="7">
        <v>0</v>
      </c>
      <c r="K244" s="89" t="str">
        <f t="shared" si="88"/>
        <v>4019/4020</v>
      </c>
      <c r="L244" s="21" t="str">
        <f>VLOOKUP(A244,'Trips&amp;Operators'!$C$1:$G$99999,5,FALSE)</f>
        <v>SANTIZO D. EDY</v>
      </c>
      <c r="M244" s="6">
        <f t="shared" si="89"/>
        <v>1.374999999825377E-2</v>
      </c>
      <c r="N244" s="7">
        <f t="shared" si="106"/>
        <v>19.799999997485429</v>
      </c>
      <c r="O244" s="7"/>
      <c r="P244" s="7"/>
      <c r="Q244" s="22"/>
      <c r="R244" s="170"/>
      <c r="S244" s="213">
        <f t="shared" si="102"/>
        <v>0</v>
      </c>
      <c r="T244" s="195" t="str">
        <f t="shared" si="90"/>
        <v>NorthBound</v>
      </c>
      <c r="U244" s="195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0</v>
      </c>
      <c r="V244" s="196" t="str">
        <f t="shared" si="91"/>
        <v>https://d0f6bd738d7f1b3e5a7ca70fe4ff75f0.us-east-1.aws.found.io/app/kibana#/discover/Steve-Slow-Train-Analysis-(2080s-and-2083s)?_g=(refreshInterval:(display:Off,pause:!f,section:0,value:0),time:(from:'2017-06-30T08:10:23-0600',mode:absolute,to:'2017-06-30T11:04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44" s="197" t="str">
        <f>IF(AA244&lt;VLOOKUP(AG244,Variables!$AC$3:$AD$8,2,FALSE),"Y","N")</f>
        <v>Y</v>
      </c>
      <c r="X244" s="197">
        <f t="shared" si="103"/>
        <v>0</v>
      </c>
      <c r="Y244" s="197">
        <f t="shared" si="104"/>
        <v>3.0148000000000001</v>
      </c>
      <c r="Z244" s="197">
        <f t="shared" si="105"/>
        <v>11.2182</v>
      </c>
      <c r="AA244" s="197">
        <f t="shared" si="92"/>
        <v>8.2033999999999985</v>
      </c>
      <c r="AB244" s="54" t="e">
        <f>VLOOKUP(A244,Enforcements!$C$7:$K$13,8,0)</f>
        <v>#N/A</v>
      </c>
      <c r="AC244" s="51" t="e">
        <f>VLOOKUP(A244,Enforcements!$C$7:$E$13,3,0)</f>
        <v>#N/A</v>
      </c>
      <c r="AD244" s="206">
        <f t="shared" si="93"/>
        <v>61</v>
      </c>
      <c r="AE244" s="77" t="str">
        <f t="shared" si="94"/>
        <v>aws s3 cp s3://rtdc.mdm.uploadarchive.raw/RTDC4020/ "%USERPROFILE%\AppData\Local\Temp\OnboardLogs"\RTDC4020\2017-06-30 --exclude "*" --recursive --include "*20170630*" &amp; "%USERPROFILE%\Documents\GitHub\mrs-test-scripts\Headless Mode &amp; Sideloading\WalkAndUnGZ.bat" "%USERPROFILE%\AppData\Local\Temp\OnboardLogs"\RTDC4020\2017-06-30 &amp; aws s3 cp s3://rtdc.mdm.uploadarchive.raw/RTDC4020/ "%USERPROFILE%\AppData\Local\Temp\OnboardLogs"\RTDC4020\2017-07-01 --exclude "*" --recursive --include "*20170701*" &amp; "%USERPROFILE%\Documents\GitHub\mrs-test-scripts\Headless Mode &amp; Sideloading\WalkAndUnGZ.bat" "%USERPROFILE%\AppData\Local\Temp\OnboardLogs"\RTDC4020\2017-07-01</v>
      </c>
      <c r="AF244" s="74" t="str">
        <f t="shared" si="95"/>
        <v>"C:\Program Files (x86)\AstroGrep\AstroGrep.exe" /e /r /s /spath="%USERPROFILE%\AppData\Local\Temp\OnboardLogs" /stypes="app*4020*20170630*" /stext=" 16:.+((SYSTEM_STATE.+slice.+state.+changed )|(ment ac)|(multiple cpu faults)|(system.+state.+changed )|(\[timeout)|(PRM\|1\|D)|(kpr)|(kdp)|(train st.+moving)|(\|lc)|(penalty))"</v>
      </c>
      <c r="AG244" s="209" t="str">
        <f t="shared" si="96"/>
        <v>Shuttle/Test</v>
      </c>
      <c r="AH244" s="78" t="str">
        <f t="shared" si="97"/>
        <v>"%USERPROFILE%\Documents\GitHub\eaglep3\Utilities\RefineRTDCRunTimes.py" --tripid 61-30 --locoid 4020 --swversion DE.1.0.9.0 --startMP 300:30148 --initTime 2017-06-30T09:10:23 --startdatetime 2017-06-30T09:45:06 --delay 7 --endMP 300:112182 --enddatetime 2017-06-30T10:04:54 --enforcementcount 0 &gt;&gt;C:\Users\stu\Documents\GitHub\eaglep3-reporting\EC\2017-06-30-refined-times.txt</v>
      </c>
      <c r="AI244" s="96" t="str">
        <f t="shared" si="98"/>
        <v>echo {"issue":{"subject":"","project_id":79,"tracker_id":40,"status_id":1,"priority_id":2,"assigned_to_id":23,"start_date":"2017-06-30","description":"","custom_fields":[{"id":1,"name":"Subdivision","value":"Shuttle/Test"},{"id":4,"name":"Milepost","value":"11.2182"},{"id":17,"name":"Train ID","value":"61-30"},{"id":16,"name":"Locomotive ID","value":"4020"},{"id":130,"name":"Impact","value":""},{"id":150,"name":"Time of Event (Mountain Time)","value":"10:04:54"},{"id":151,"name":"Denver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4" s="20"/>
      <c r="AK244" s="47"/>
      <c r="AL244" s="47"/>
      <c r="AM244" s="142" t="str">
        <f t="shared" si="99"/>
        <v>start /low /b %USERPROFILE%\Documents\GitHub\eaglep3\Utilities\DownloadLogsFromS3.py --loco 4020 --day 2017-06-30</v>
      </c>
      <c r="AN244" s="151" t="str">
        <f t="shared" si="100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16:04:54"},{"id":29,"name":"Sharepoint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4"/>
    </row>
    <row r="245" spans="1:41" x14ac:dyDescent="0.25">
      <c r="A245" s="32" t="s">
        <v>736</v>
      </c>
      <c r="B245" s="7">
        <v>4004</v>
      </c>
      <c r="C245" s="21" t="s">
        <v>200</v>
      </c>
      <c r="D245" s="21" t="s">
        <v>961</v>
      </c>
      <c r="E245" s="13">
        <v>42916.478321759256</v>
      </c>
      <c r="F245" s="13">
        <v>42916.479826388888</v>
      </c>
      <c r="G245" s="7">
        <v>1</v>
      </c>
      <c r="H245" s="21" t="s">
        <v>962</v>
      </c>
      <c r="I245" s="13">
        <v>42916.484965277778</v>
      </c>
      <c r="J245" s="7">
        <v>0</v>
      </c>
      <c r="K245" s="89" t="str">
        <f t="shared" si="88"/>
        <v>4003/4004</v>
      </c>
      <c r="L245" s="21" t="str">
        <f>VLOOKUP(A245,'Trips&amp;Operators'!$C$1:$G$99999,5,FALSE)</f>
        <v>GEBRETEKLE DAGNEW</v>
      </c>
      <c r="M245" s="6">
        <f t="shared" si="89"/>
        <v>5.1388888896326534E-3</v>
      </c>
      <c r="N245" s="7">
        <f t="shared" si="106"/>
        <v>7.400000001071021</v>
      </c>
      <c r="O245" s="7"/>
      <c r="P245" s="7"/>
      <c r="Q245" s="22"/>
      <c r="R245" s="170"/>
      <c r="S245" s="213">
        <f t="shared" si="102"/>
        <v>1</v>
      </c>
      <c r="T245" s="195" t="str">
        <f t="shared" si="90"/>
        <v>NorthBound</v>
      </c>
      <c r="U245" s="195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1</v>
      </c>
      <c r="V245" s="196" t="str">
        <f t="shared" si="91"/>
        <v>https://d0f6bd738d7f1b3e5a7ca70fe4ff75f0.us-east-1.aws.found.io/app/kibana#/discover/Steve-Slow-Train-Analysis-(2080s-and-2083s)?_g=(refreshInterval:(display:Off,pause:!f,section:0,value:0),time:(from:'2017-06-30T10:28:47-0600',mode:absolute,to:'2017-06-30T12:38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45" s="197" t="str">
        <f>IF(AA245&lt;VLOOKUP(AG245,Variables!$AC$3:$AD$8,2,FALSE),"Y","N")</f>
        <v>Y</v>
      </c>
      <c r="X245" s="197">
        <f t="shared" si="103"/>
        <v>4</v>
      </c>
      <c r="Y245" s="197">
        <f t="shared" si="104"/>
        <v>3.5000000000000003E-2</v>
      </c>
      <c r="Z245" s="197">
        <f t="shared" si="105"/>
        <v>2.4270999999999998</v>
      </c>
      <c r="AA245" s="197">
        <f t="shared" si="92"/>
        <v>2.3920999999999997</v>
      </c>
      <c r="AB245" s="54" t="e">
        <f>VLOOKUP(A245,Enforcements!$C$7:$K$13,8,0)</f>
        <v>#N/A</v>
      </c>
      <c r="AC245" s="51" t="e">
        <f>VLOOKUP(A245,Enforcements!$C$7:$E$13,3,0)</f>
        <v>#N/A</v>
      </c>
      <c r="AD245" s="206">
        <f t="shared" si="93"/>
        <v>65</v>
      </c>
      <c r="AE245" s="77" t="str">
        <f t="shared" si="94"/>
        <v>aws s3 cp s3://rtdc.mdm.uploadarchive.raw/RTDC4004/ "%USERPROFILE%\AppData\Local\Temp\OnboardLogs"\RTDC4004\2017-06-30 --exclude "*" --recursive --include "*20170630*" &amp; "%USERPROFILE%\Documents\GitHub\mrs-test-scripts\Headless Mode &amp; Sideloading\WalkAndUnGZ.bat" "%USERPROFILE%\AppData\Local\Temp\OnboardLogs"\RTDC4004\2017-06-30 &amp; aws s3 cp s3://rtdc.mdm.uploadarchive.raw/RTDC4004/ "%USERPROFILE%\AppData\Local\Temp\OnboardLogs"\RTDC4004\2017-07-01 --exclude "*" --recursive --include "*20170701*" &amp; "%USERPROFILE%\Documents\GitHub\mrs-test-scripts\Headless Mode &amp; Sideloading\WalkAndUnGZ.bat" "%USERPROFILE%\AppData\Local\Temp\OnboardLogs"\RTDC4004\2017-07-01</v>
      </c>
      <c r="AF245" s="74" t="str">
        <f t="shared" si="95"/>
        <v>"C:\Program Files (x86)\AstroGrep\AstroGrep.exe" /e /r /s /spath="%USERPROFILE%\AppData\Local\Temp\OnboardLogs" /stypes="app*4004*20170630*" /stext=" 17:.+((SYSTEM_STATE.+slice.+state.+changed )|(ment ac)|(multiple cpu faults)|(system.+state.+changed )|(\[timeout)|(PRM\|1\|D)|(kpr)|(kdp)|(train st.+moving)|(\|lc)|(penalty))"</v>
      </c>
      <c r="AG245" s="209" t="str">
        <f t="shared" si="96"/>
        <v>Shuttle/Test</v>
      </c>
      <c r="AH245" s="78" t="str">
        <f t="shared" si="97"/>
        <v>"%USERPROFILE%\Documents\GitHub\eaglep3\Utilities\RefineRTDCRunTimes.py" --tripid 65-30 --locoid 4004 --swversion DE.1.0.9.0 --startMP 204:350 --initTime 2017-06-30T11:28:47 --startdatetime 2017-06-30T11:30:57 --delay 1 --endMP 300:24271 --enddatetime 2017-06-30T11:38:21 --enforcementcount 0 &gt;&gt;C:\Users\stu\Documents\GitHub\eaglep3-reporting\EC\2017-06-30-refined-times.txt</v>
      </c>
      <c r="AI245" s="96" t="str">
        <f t="shared" si="98"/>
        <v>echo {"issue":{"subject":"","project_id":79,"tracker_id":40,"status_id":1,"priority_id":2,"assigned_to_id":23,"start_date":"2017-06-30","description":"","custom_fields":[{"id":1,"name":"Subdivision","value":"Shuttle/Test"},{"id":4,"name":"Milepost","value":"2.4271"},{"id":17,"name":"Train ID","value":"65-30"},{"id":16,"name":"Locomotive ID","value":"4004"},{"id":130,"name":"Impact","value":""},{"id":150,"name":"Time of Event (Mountain Time)","value":"11:38:21"},{"id":151,"name":"Denver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5" s="20"/>
      <c r="AK245" s="47"/>
      <c r="AL245" s="47"/>
      <c r="AM245" s="142" t="str">
        <f t="shared" si="99"/>
        <v>start /low /b %USERPROFILE%\Documents\GitHub\eaglep3\Utilities\DownloadLogsFromS3.py --loco 4004 --day 2017-06-30</v>
      </c>
      <c r="AN245" s="151" t="str">
        <f t="shared" si="100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17:38:21"},{"id":29,"name":"Sharepoint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5"/>
    </row>
    <row r="246" spans="1:41" x14ac:dyDescent="0.25">
      <c r="A246" s="32" t="s">
        <v>603</v>
      </c>
      <c r="B246" s="7">
        <v>4027</v>
      </c>
      <c r="C246" s="21" t="s">
        <v>200</v>
      </c>
      <c r="D246" s="21" t="s">
        <v>963</v>
      </c>
      <c r="E246" s="13">
        <v>42916.398206018515</v>
      </c>
      <c r="F246" s="13">
        <v>42916.399814814817</v>
      </c>
      <c r="G246" s="7">
        <v>1</v>
      </c>
      <c r="H246" s="21" t="s">
        <v>417</v>
      </c>
      <c r="I246" s="13">
        <v>42916.40525462963</v>
      </c>
      <c r="J246" s="7">
        <v>0</v>
      </c>
      <c r="K246" s="89" t="str">
        <f t="shared" si="88"/>
        <v>4027/4028</v>
      </c>
      <c r="L246" s="21" t="str">
        <f>VLOOKUP(A246,'Trips&amp;Operators'!$C$1:$G$99999,5,FALSE)</f>
        <v>ROCHA YAOTL</v>
      </c>
      <c r="M246" s="6">
        <f t="shared" si="89"/>
        <v>5.4398148131440394E-3</v>
      </c>
      <c r="N246" s="7">
        <f t="shared" si="106"/>
        <v>7.8333333309274167</v>
      </c>
      <c r="O246" s="7"/>
      <c r="P246" s="7"/>
      <c r="Q246" s="22"/>
      <c r="R246" s="170"/>
      <c r="S246" s="213">
        <f t="shared" si="102"/>
        <v>0</v>
      </c>
      <c r="T246" s="195" t="str">
        <f t="shared" si="90"/>
        <v>NorthBound</v>
      </c>
      <c r="U246" s="195">
        <f>IF(AG246="EC",COUNTIFS(Variables!$M$2:$M$19,IF(T246="NorthBound","&gt;=","&lt;=")&amp;Y246,Variables!$M$2:$M$19,IF(T246="NorthBound","&lt;=","&gt;=")&amp;Z246),COUNTIFS(Variables!$P$2:$P$19,IF(T246="NorthBound","&gt;=","&lt;=")&amp;Y246,Variables!$P$2:$P$19,IF(T246="NorthBound","&lt;=","&gt;=")&amp;Z246))</f>
        <v>0</v>
      </c>
      <c r="V246" s="196" t="str">
        <f t="shared" si="91"/>
        <v>https://d0f6bd738d7f1b3e5a7ca70fe4ff75f0.us-east-1.aws.found.io/app/kibana#/discover/Steve-Slow-Train-Analysis-(2080s-and-2083s)?_g=(refreshInterval:(display:Off,pause:!f,section:0,value:0),time:(from:'2017-06-30T08:33:25-0600',mode:absolute,to:'2017-06-30T10:43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46" s="197" t="str">
        <f>IF(AA246&lt;VLOOKUP(AG246,Variables!$AC$3:$AD$8,2,FALSE),"Y","N")</f>
        <v>Y</v>
      </c>
      <c r="X246" s="197">
        <f t="shared" si="103"/>
        <v>2</v>
      </c>
      <c r="Y246" s="197">
        <f t="shared" si="104"/>
        <v>3.0792000000000002</v>
      </c>
      <c r="Z246" s="197">
        <f t="shared" si="105"/>
        <v>1.38E-2</v>
      </c>
      <c r="AA246" s="197">
        <f t="shared" si="92"/>
        <v>3.0654000000000003</v>
      </c>
      <c r="AB246" s="54" t="e">
        <f>VLOOKUP(A246,Enforcements!$C$7:$K$13,8,0)</f>
        <v>#N/A</v>
      </c>
      <c r="AC246" s="51" t="e">
        <f>VLOOKUP(A246,Enforcements!$C$7:$E$13,3,0)</f>
        <v>#N/A</v>
      </c>
      <c r="AD246" s="206">
        <f t="shared" si="93"/>
        <v>67</v>
      </c>
      <c r="AE246" s="77" t="str">
        <f t="shared" si="94"/>
        <v>aws s3 cp s3://rtdc.mdm.uploadarchive.raw/RTDC4027/ "%USERPROFILE%\AppData\Local\Temp\OnboardLogs"\RTDC4027\2017-06-30 --exclude "*" --recursive --include "*20170630*" &amp; "%USERPROFILE%\Documents\GitHub\mrs-test-scripts\Headless Mode &amp; Sideloading\WalkAndUnGZ.bat" "%USERPROFILE%\AppData\Local\Temp\OnboardLogs"\RTDC4027\2017-06-30 &amp; aws s3 cp s3://rtdc.mdm.uploadarchive.raw/RTDC4027/ "%USERPROFILE%\AppData\Local\Temp\OnboardLogs"\RTDC4027\2017-07-01 --exclude "*" --recursive --include "*20170701*" &amp; "%USERPROFILE%\Documents\GitHub\mrs-test-scripts\Headless Mode &amp; Sideloading\WalkAndUnGZ.bat" "%USERPROFILE%\AppData\Local\Temp\OnboardLogs"\RTDC4027\2017-07-01</v>
      </c>
      <c r="AF246" s="74" t="str">
        <f t="shared" si="95"/>
        <v>"C:\Program Files (x86)\AstroGrep\AstroGrep.exe" /e /r /s /spath="%USERPROFILE%\AppData\Local\Temp\OnboardLogs" /stypes="app*4027*20170630*" /stext=" 15:.+((SYSTEM_STATE.+slice.+state.+changed )|(ment ac)|(multiple cpu faults)|(system.+state.+changed )|(\[timeout)|(PRM\|1\|D)|(kpr)|(kdp)|(train st.+moving)|(\|lc)|(penalty))"</v>
      </c>
      <c r="AG246" s="209" t="str">
        <f t="shared" si="96"/>
        <v>Shuttle/Test</v>
      </c>
      <c r="AH246" s="78" t="str">
        <f t="shared" si="97"/>
        <v>"%USERPROFILE%\Documents\GitHub\eaglep3\Utilities\RefineRTDCRunTimes.py" --tripid 67-30 --locoid 4027 --swversion DE.1.0.9.0 --startMP 300:30792 --initTime 2017-06-30T09:33:25 --startdatetime 2017-06-30T09:35:44 --delay 1 --endMP 204:138 --enddatetime 2017-06-30T09:43:34 --enforcementcount 0 &gt;&gt;C:\Users\stu\Documents\GitHub\eaglep3-reporting\EC\2017-06-30-refined-times.txt</v>
      </c>
      <c r="AI246" s="96" t="str">
        <f t="shared" si="98"/>
        <v>echo {"issue":{"subject":"","project_id":79,"tracker_id":40,"status_id":1,"priority_id":2,"assigned_to_id":23,"start_date":"2017-06-30","description":"","custom_fields":[{"id":1,"name":"Subdivision","value":"Shuttle/Test"},{"id":4,"name":"Milepost","value":"0.0138"},{"id":17,"name":"Train ID","value":"67-30"},{"id":16,"name":"Locomotive ID","value":"4027"},{"id":130,"name":"Impact","value":""},{"id":150,"name":"Time of Event (Mountain Time)","value":"09:43:34"},{"id":151,"name":"Denver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6" s="20"/>
      <c r="AK246" s="47"/>
      <c r="AL246" s="47"/>
      <c r="AM246" s="142" t="str">
        <f t="shared" si="99"/>
        <v>start /low /b %USERPROFILE%\Documents\GitHub\eaglep3\Utilities\DownloadLogsFromS3.py --loco 4027 --day 2017-06-30</v>
      </c>
      <c r="AN246" s="151" t="str">
        <f t="shared" si="100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15:43:34"},{"id":29,"name":"Sharepoint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6"/>
    </row>
    <row r="247" spans="1:41" x14ac:dyDescent="0.25">
      <c r="A247" s="32" t="s">
        <v>603</v>
      </c>
      <c r="B247" s="7">
        <v>4063</v>
      </c>
      <c r="C247" s="21" t="s">
        <v>200</v>
      </c>
      <c r="D247" s="21" t="s">
        <v>559</v>
      </c>
      <c r="E247" s="13">
        <v>42916.54047453704</v>
      </c>
      <c r="F247" s="13">
        <v>42916.542696759258</v>
      </c>
      <c r="G247" s="7">
        <v>1</v>
      </c>
      <c r="H247" s="21" t="s">
        <v>964</v>
      </c>
      <c r="I247" s="13">
        <v>42916.553599537037</v>
      </c>
      <c r="J247" s="7">
        <v>0</v>
      </c>
      <c r="K247" s="89" t="str">
        <f t="shared" si="88"/>
        <v>4063/4064</v>
      </c>
      <c r="L247" s="21" t="str">
        <f>VLOOKUP(A247,'Trips&amp;Operators'!$C$1:$G$99999,5,FALSE)</f>
        <v>ROCHA YAOTL</v>
      </c>
      <c r="M247" s="6">
        <f t="shared" si="89"/>
        <v>1.0902777779847383E-2</v>
      </c>
      <c r="N247" s="7">
        <f t="shared" si="106"/>
        <v>15.700000002980232</v>
      </c>
      <c r="O247" s="7"/>
      <c r="P247" s="7"/>
      <c r="Q247" s="22"/>
      <c r="R247" s="170"/>
      <c r="S247" s="213">
        <f t="shared" si="102"/>
        <v>0</v>
      </c>
      <c r="T247" s="195" t="str">
        <f t="shared" si="90"/>
        <v>NorthBound</v>
      </c>
      <c r="U247" s="195">
        <f>IF(AG247="EC",COUNTIFS(Variables!$M$2:$M$19,IF(T247="NorthBound","&gt;=","&lt;=")&amp;Y247,Variables!$M$2:$M$19,IF(T247="NorthBound","&lt;=","&gt;=")&amp;Z247),COUNTIFS(Variables!$P$2:$P$19,IF(T247="NorthBound","&gt;=","&lt;=")&amp;Y247,Variables!$P$2:$P$19,IF(T247="NorthBound","&lt;=","&gt;=")&amp;Z247))</f>
        <v>0</v>
      </c>
      <c r="V247" s="196" t="str">
        <f t="shared" si="91"/>
        <v>https://d0f6bd738d7f1b3e5a7ca70fe4ff75f0.us-east-1.aws.found.io/app/kibana#/discover/Steve-Slow-Train-Analysis-(2080s-and-2083s)?_g=(refreshInterval:(display:Off,pause:!f,section:0,value:0),time:(from:'2017-06-30T11:58:17-0600',mode:absolute,to:'2017-06-30T14:17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47" s="197" t="str">
        <f>IF(AA247&lt;VLOOKUP(AG247,Variables!$AC$3:$AD$8,2,FALSE),"Y","N")</f>
        <v>Y</v>
      </c>
      <c r="X247" s="197">
        <f t="shared" si="103"/>
        <v>0</v>
      </c>
      <c r="Y247" s="197">
        <f t="shared" si="104"/>
        <v>11.2193</v>
      </c>
      <c r="Z247" s="197">
        <f t="shared" si="105"/>
        <v>2.6629</v>
      </c>
      <c r="AA247" s="197">
        <f t="shared" si="92"/>
        <v>8.5564</v>
      </c>
      <c r="AB247" s="54" t="e">
        <f>VLOOKUP(A247,Enforcements!$C$7:$K$13,8,0)</f>
        <v>#N/A</v>
      </c>
      <c r="AC247" s="51" t="e">
        <f>VLOOKUP(A247,Enforcements!$C$7:$E$13,3,0)</f>
        <v>#N/A</v>
      </c>
      <c r="AD247" s="206">
        <f t="shared" si="93"/>
        <v>67</v>
      </c>
      <c r="AE247" s="77" t="str">
        <f t="shared" si="94"/>
        <v>aws s3 cp s3://rtdc.mdm.uploadarchive.raw/RTDC4063/ "%USERPROFILE%\AppData\Local\Temp\OnboardLogs"\RTDC4063\2017-06-30 --exclude "*" --recursive --include "*20170630*" &amp; "%USERPROFILE%\Documents\GitHub\mrs-test-scripts\Headless Mode &amp; Sideloading\WalkAndUnGZ.bat" "%USERPROFILE%\AppData\Local\Temp\OnboardLogs"\RTDC4063\2017-06-30 &amp; aws s3 cp s3://rtdc.mdm.uploadarchive.raw/RTDC4063/ "%USERPROFILE%\AppData\Local\Temp\OnboardLogs"\RTDC4063\2017-07-01 --exclude "*" --recursive --include "*20170701*" &amp; "%USERPROFILE%\Documents\GitHub\mrs-test-scripts\Headless Mode &amp; Sideloading\WalkAndUnGZ.bat" "%USERPROFILE%\AppData\Local\Temp\OnboardLogs"\RTDC4063\2017-07-01</v>
      </c>
      <c r="AF247" s="74" t="str">
        <f t="shared" si="95"/>
        <v>"C:\Program Files (x86)\AstroGrep\AstroGrep.exe" /e /r /s /spath="%USERPROFILE%\AppData\Local\Temp\OnboardLogs" /stypes="app*4063*20170630*" /stext=" 19:.+((SYSTEM_STATE.+slice.+state.+changed )|(ment ac)|(multiple cpu faults)|(system.+state.+changed )|(\[timeout)|(PRM\|1\|D)|(kpr)|(kdp)|(train st.+moving)|(\|lc)|(penalty))"</v>
      </c>
      <c r="AG247" s="209" t="str">
        <f t="shared" si="96"/>
        <v>Shuttle/Test</v>
      </c>
      <c r="AH247" s="78" t="str">
        <f t="shared" si="97"/>
        <v>"%USERPROFILE%\Documents\GitHub\eaglep3\Utilities\RefineRTDCRunTimes.py" --tripid 67-30 --locoid 4063 --swversion DE.1.0.9.0 --startMP 300:112193 --initTime 2017-06-30T12:58:17 --startdatetime 2017-06-30T13:01:29 --delay 1 --endMP 300:26629 --enddatetime 2017-06-30T13:17:11 --enforcementcount 0 &gt;&gt;C:\Users\stu\Documents\GitHub\eaglep3-reporting\EC\2017-06-30-refined-times.txt</v>
      </c>
      <c r="AI247" s="96" t="str">
        <f t="shared" si="98"/>
        <v>echo {"issue":{"subject":"","project_id":79,"tracker_id":40,"status_id":1,"priority_id":2,"assigned_to_id":23,"start_date":"2017-06-30","description":"","custom_fields":[{"id":1,"name":"Subdivision","value":"Shuttle/Test"},{"id":4,"name":"Milepost","value":"2.6629"},{"id":17,"name":"Train ID","value":"67-30"},{"id":16,"name":"Locomotive ID","value":"4063"},{"id":130,"name":"Impact","value":""},{"id":150,"name":"Time of Event (Mountain Time)","value":"13:17:11"},{"id":151,"name":"Denver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7" s="20"/>
      <c r="AK247" s="47"/>
      <c r="AL247" s="47"/>
      <c r="AM247" s="142" t="str">
        <f t="shared" si="99"/>
        <v>start /low /b %USERPROFILE%\Documents\GitHub\eaglep3\Utilities\DownloadLogsFromS3.py --loco 4063 --day 2017-06-30</v>
      </c>
      <c r="AN247" s="151" t="str">
        <f t="shared" si="100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19:17:11"},{"id":29,"name":"Sharepoint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7"/>
    </row>
    <row r="248" spans="1:41" x14ac:dyDescent="0.25">
      <c r="A248" s="32" t="s">
        <v>603</v>
      </c>
      <c r="B248" s="7">
        <v>4063</v>
      </c>
      <c r="C248" s="21" t="s">
        <v>200</v>
      </c>
      <c r="D248" s="21" t="s">
        <v>965</v>
      </c>
      <c r="E248" s="13">
        <v>42916.517256944448</v>
      </c>
      <c r="F248" s="13">
        <v>42916.542696759258</v>
      </c>
      <c r="G248" s="7">
        <v>6</v>
      </c>
      <c r="H248" s="21" t="s">
        <v>966</v>
      </c>
      <c r="I248" s="13">
        <v>42916.553599537037</v>
      </c>
      <c r="J248" s="7">
        <v>0</v>
      </c>
      <c r="K248" s="89" t="str">
        <f t="shared" si="88"/>
        <v>4063/4064</v>
      </c>
      <c r="L248" s="21" t="str">
        <f>VLOOKUP(A248,'Trips&amp;Operators'!$C$1:$G$99999,5,FALSE)</f>
        <v>ROCHA YAOTL</v>
      </c>
      <c r="M248" s="6">
        <f t="shared" si="89"/>
        <v>1.0902777779847383E-2</v>
      </c>
      <c r="N248" s="7">
        <f t="shared" si="106"/>
        <v>15.700000002980232</v>
      </c>
      <c r="O248" s="7"/>
      <c r="P248" s="7"/>
      <c r="Q248" s="22"/>
      <c r="R248" s="170"/>
      <c r="S248" s="213">
        <f t="shared" si="102"/>
        <v>0</v>
      </c>
      <c r="T248" s="195" t="str">
        <f t="shared" si="90"/>
        <v>NorthBound</v>
      </c>
      <c r="U248" s="195">
        <f>IF(AG248="EC",COUNTIFS(Variables!$M$2:$M$19,IF(T248="NorthBound","&gt;=","&lt;=")&amp;Y248,Variables!$M$2:$M$19,IF(T248="NorthBound","&lt;=","&gt;=")&amp;Z248),COUNTIFS(Variables!$P$2:$P$19,IF(T248="NorthBound","&gt;=","&lt;=")&amp;Y248,Variables!$P$2:$P$19,IF(T248="NorthBound","&lt;=","&gt;=")&amp;Z248))</f>
        <v>0</v>
      </c>
      <c r="V248" s="196" t="str">
        <f t="shared" si="91"/>
        <v>https://d0f6bd738d7f1b3e5a7ca70fe4ff75f0.us-east-1.aws.found.io/app/kibana#/discover/Steve-Slow-Train-Analysis-(2080s-and-2083s)?_g=(refreshInterval:(display:Off,pause:!f,section:0,value:0),time:(from:'2017-06-30T11:24:51-0600',mode:absolute,to:'2017-06-30T14:17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48" s="197" t="str">
        <f>IF(AA248&lt;VLOOKUP(AG248,Variables!$AC$3:$AD$8,2,FALSE),"Y","N")</f>
        <v>Y</v>
      </c>
      <c r="X248" s="197">
        <f t="shared" si="103"/>
        <v>0</v>
      </c>
      <c r="Y248" s="197">
        <f t="shared" si="104"/>
        <v>2.1833</v>
      </c>
      <c r="Z248" s="197">
        <f t="shared" si="105"/>
        <v>2.1625000000000001</v>
      </c>
      <c r="AA248" s="197">
        <f t="shared" si="92"/>
        <v>2.079999999999993E-2</v>
      </c>
      <c r="AB248" s="54" t="e">
        <f>VLOOKUP(A248,Enforcements!$C$7:$K$13,8,0)</f>
        <v>#N/A</v>
      </c>
      <c r="AC248" s="51" t="e">
        <f>VLOOKUP(A248,Enforcements!$C$7:$E$13,3,0)</f>
        <v>#N/A</v>
      </c>
      <c r="AD248" s="206">
        <f t="shared" si="93"/>
        <v>67</v>
      </c>
      <c r="AE248" s="77" t="str">
        <f t="shared" si="94"/>
        <v>aws s3 cp s3://rtdc.mdm.uploadarchive.raw/RTDC4063/ "%USERPROFILE%\AppData\Local\Temp\OnboardLogs"\RTDC4063\2017-06-30 --exclude "*" --recursive --include "*20170630*" &amp; "%USERPROFILE%\Documents\GitHub\mrs-test-scripts\Headless Mode &amp; Sideloading\WalkAndUnGZ.bat" "%USERPROFILE%\AppData\Local\Temp\OnboardLogs"\RTDC4063\2017-06-30 &amp; aws s3 cp s3://rtdc.mdm.uploadarchive.raw/RTDC4063/ "%USERPROFILE%\AppData\Local\Temp\OnboardLogs"\RTDC4063\2017-07-01 --exclude "*" --recursive --include "*20170701*" &amp; "%USERPROFILE%\Documents\GitHub\mrs-test-scripts\Headless Mode &amp; Sideloading\WalkAndUnGZ.bat" "%USERPROFILE%\AppData\Local\Temp\OnboardLogs"\RTDC4063\2017-07-01</v>
      </c>
      <c r="AF248" s="74" t="str">
        <f t="shared" si="95"/>
        <v>"C:\Program Files (x86)\AstroGrep\AstroGrep.exe" /e /r /s /spath="%USERPROFILE%\AppData\Local\Temp\OnboardLogs" /stypes="app*4063*20170630*" /stext=" 19:.+((SYSTEM_STATE.+slice.+state.+changed )|(ment ac)|(multiple cpu faults)|(system.+state.+changed )|(\[timeout)|(PRM\|1\|D)|(kpr)|(kdp)|(train st.+moving)|(\|lc)|(penalty))"</v>
      </c>
      <c r="AG248" s="209" t="str">
        <f t="shared" si="96"/>
        <v>Shuttle/Test</v>
      </c>
      <c r="AH248" s="78" t="str">
        <f t="shared" si="97"/>
        <v>"%USERPROFILE%\Documents\GitHub\eaglep3\Utilities\RefineRTDCRunTimes.py" --tripid 67-30 --locoid 4063 --swversion DE.1.0.9.0 --startMP 300:21833 --initTime 2017-06-30T12:24:51 --startdatetime 2017-06-30T13:01:29 --delay 6 --endMP 300:21625 --enddatetime 2017-06-30T13:17:11 --enforcementcount 0 &gt;&gt;C:\Users\stu\Documents\GitHub\eaglep3-reporting\EC\2017-06-30-refined-times.txt</v>
      </c>
      <c r="AI248" s="96" t="str">
        <f t="shared" si="98"/>
        <v>echo {"issue":{"subject":"","project_id":79,"tracker_id":40,"status_id":1,"priority_id":2,"assigned_to_id":23,"start_date":"2017-06-30","description":"","custom_fields":[{"id":1,"name":"Subdivision","value":"Shuttle/Test"},{"id":4,"name":"Milepost","value":"2.1625"},{"id":17,"name":"Train ID","value":"67-30"},{"id":16,"name":"Locomotive ID","value":"4063"},{"id":130,"name":"Impact","value":""},{"id":150,"name":"Time of Event (Mountain Time)","value":"13:17:11"},{"id":151,"name":"Denver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8" s="20"/>
      <c r="AK248" s="47"/>
      <c r="AL248" s="47"/>
      <c r="AM248" s="142" t="str">
        <f t="shared" si="99"/>
        <v>start /low /b %USERPROFILE%\Documents\GitHub\eaglep3\Utilities\DownloadLogsFromS3.py --loco 4063 --day 2017-06-30</v>
      </c>
      <c r="AN248" s="151" t="str">
        <f t="shared" si="100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19:17:11"},{"id":29,"name":"Sharepoint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8"/>
    </row>
    <row r="249" spans="1:41" x14ac:dyDescent="0.25">
      <c r="A249" s="32" t="s">
        <v>603</v>
      </c>
      <c r="B249" s="7">
        <v>4064</v>
      </c>
      <c r="C249" s="21" t="s">
        <v>200</v>
      </c>
      <c r="D249" s="21" t="s">
        <v>967</v>
      </c>
      <c r="E249" s="13">
        <v>42916.523449074077</v>
      </c>
      <c r="F249" s="13">
        <v>42916.542696759258</v>
      </c>
      <c r="G249" s="7">
        <v>1</v>
      </c>
      <c r="H249" s="21" t="s">
        <v>968</v>
      </c>
      <c r="I249" s="13">
        <v>42916.553599537037</v>
      </c>
      <c r="J249" s="7">
        <v>0</v>
      </c>
      <c r="K249" s="89" t="str">
        <f t="shared" si="88"/>
        <v>4063/4064</v>
      </c>
      <c r="L249" s="21" t="str">
        <f>VLOOKUP(A249,'Trips&amp;Operators'!$C$1:$G$99999,5,FALSE)</f>
        <v>ROCHA YAOTL</v>
      </c>
      <c r="M249" s="6">
        <f t="shared" si="89"/>
        <v>1.0902777779847383E-2</v>
      </c>
      <c r="N249" s="7">
        <f t="shared" si="106"/>
        <v>15.700000002980232</v>
      </c>
      <c r="O249" s="7"/>
      <c r="P249" s="7"/>
      <c r="Q249" s="22"/>
      <c r="R249" s="170"/>
      <c r="S249" s="213">
        <f t="shared" si="102"/>
        <v>0</v>
      </c>
      <c r="T249" s="195" t="str">
        <f t="shared" si="90"/>
        <v>NorthBound</v>
      </c>
      <c r="U249" s="195">
        <f>IF(AG249="EC",COUNTIFS(Variables!$M$2:$M$19,IF(T249="NorthBound","&gt;=","&lt;=")&amp;Y249,Variables!$M$2:$M$19,IF(T249="NorthBound","&lt;=","&gt;=")&amp;Z249),COUNTIFS(Variables!$P$2:$P$19,IF(T249="NorthBound","&gt;=","&lt;=")&amp;Y249,Variables!$P$2:$P$19,IF(T249="NorthBound","&lt;=","&gt;=")&amp;Z249))</f>
        <v>0</v>
      </c>
      <c r="V249" s="196" t="str">
        <f t="shared" si="91"/>
        <v>https://d0f6bd738d7f1b3e5a7ca70fe4ff75f0.us-east-1.aws.found.io/app/kibana#/discover/Steve-Slow-Train-Analysis-(2080s-and-2083s)?_g=(refreshInterval:(display:Off,pause:!f,section:0,value:0),time:(from:'2017-06-30T11:33:46-0600',mode:absolute,to:'2017-06-30T14:17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49" s="197" t="str">
        <f>IF(AA249&lt;VLOOKUP(AG249,Variables!$AC$3:$AD$8,2,FALSE),"Y","N")</f>
        <v>Y</v>
      </c>
      <c r="X249" s="197">
        <f t="shared" si="103"/>
        <v>0</v>
      </c>
      <c r="Y249" s="197">
        <f t="shared" si="104"/>
        <v>2.1928000000000001</v>
      </c>
      <c r="Z249" s="197">
        <f t="shared" si="105"/>
        <v>11.2506</v>
      </c>
      <c r="AA249" s="197">
        <f t="shared" si="92"/>
        <v>9.0578000000000003</v>
      </c>
      <c r="AB249" s="54" t="e">
        <f>VLOOKUP(A249,Enforcements!$C$7:$K$13,8,0)</f>
        <v>#N/A</v>
      </c>
      <c r="AC249" s="51" t="e">
        <f>VLOOKUP(A249,Enforcements!$C$7:$E$13,3,0)</f>
        <v>#N/A</v>
      </c>
      <c r="AD249" s="206">
        <f t="shared" si="93"/>
        <v>67</v>
      </c>
      <c r="AE249" s="77" t="str">
        <f t="shared" si="94"/>
        <v>aws s3 cp s3://rtdc.mdm.uploadarchive.raw/RTDC4064/ "%USERPROFILE%\AppData\Local\Temp\OnboardLogs"\RTDC4064\2017-06-30 --exclude "*" --recursive --include "*20170630*" &amp; "%USERPROFILE%\Documents\GitHub\mrs-test-scripts\Headless Mode &amp; Sideloading\WalkAndUnGZ.bat" "%USERPROFILE%\AppData\Local\Temp\OnboardLogs"\RTDC4064\2017-06-30 &amp; aws s3 cp s3://rtdc.mdm.uploadarchive.raw/RTDC4064/ "%USERPROFILE%\AppData\Local\Temp\OnboardLogs"\RTDC4064\2017-07-01 --exclude "*" --recursive --include "*20170701*" &amp; "%USERPROFILE%\Documents\GitHub\mrs-test-scripts\Headless Mode &amp; Sideloading\WalkAndUnGZ.bat" "%USERPROFILE%\AppData\Local\Temp\OnboardLogs"\RTDC4064\2017-07-01</v>
      </c>
      <c r="AF249" s="74" t="str">
        <f t="shared" si="95"/>
        <v>"C:\Program Files (x86)\AstroGrep\AstroGrep.exe" /e /r /s /spath="%USERPROFILE%\AppData\Local\Temp\OnboardLogs" /stypes="app*4064*20170630*" /stext=" 19:.+((SYSTEM_STATE.+slice.+state.+changed )|(ment ac)|(multiple cpu faults)|(system.+state.+changed )|(\[timeout)|(PRM\|1\|D)|(kpr)|(kdp)|(train st.+moving)|(\|lc)|(penalty))"</v>
      </c>
      <c r="AG249" s="209" t="str">
        <f t="shared" si="96"/>
        <v>Shuttle/Test</v>
      </c>
      <c r="AH249" s="78" t="str">
        <f t="shared" si="97"/>
        <v>"%USERPROFILE%\Documents\GitHub\eaglep3\Utilities\RefineRTDCRunTimes.py" --tripid 67-30 --locoid 4064 --swversion DE.1.0.9.0 --startMP 300:21928 --initTime 2017-06-30T12:33:46 --startdatetime 2017-06-30T13:01:29 --delay 1 --endMP 300:112506 --enddatetime 2017-06-30T13:17:11 --enforcementcount 0 &gt;&gt;C:\Users\stu\Documents\GitHub\eaglep3-reporting\EC\2017-06-30-refined-times.txt</v>
      </c>
      <c r="AI249" s="96" t="str">
        <f t="shared" si="98"/>
        <v>echo {"issue":{"subject":"","project_id":79,"tracker_id":40,"status_id":1,"priority_id":2,"assigned_to_id":23,"start_date":"2017-06-30","description":"","custom_fields":[{"id":1,"name":"Subdivision","value":"Shuttle/Test"},{"id":4,"name":"Milepost","value":"11.2506"},{"id":17,"name":"Train ID","value":"67-30"},{"id":16,"name":"Locomotive ID","value":"4064"},{"id":130,"name":"Impact","value":""},{"id":150,"name":"Time of Event (Mountain Time)","value":"13:17:11"},{"id":151,"name":"Denver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9" s="20"/>
      <c r="AK249" s="47"/>
      <c r="AL249" s="47"/>
      <c r="AM249" s="142" t="str">
        <f t="shared" si="99"/>
        <v>start /low /b %USERPROFILE%\Documents\GitHub\eaglep3\Utilities\DownloadLogsFromS3.py --loco 4064 --day 2017-06-30</v>
      </c>
      <c r="AN249" s="151" t="str">
        <f t="shared" si="100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19:17:11"},{"id":29,"name":"Sharepoint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9"/>
    </row>
    <row r="250" spans="1:41" x14ac:dyDescent="0.25">
      <c r="A250" s="32" t="s">
        <v>606</v>
      </c>
      <c r="B250" s="7">
        <v>4063</v>
      </c>
      <c r="C250" s="21" t="s">
        <v>200</v>
      </c>
      <c r="D250" s="21" t="s">
        <v>969</v>
      </c>
      <c r="E250" s="13">
        <v>42916.588460648149</v>
      </c>
      <c r="F250" s="13">
        <v>42916.591967592591</v>
      </c>
      <c r="G250" s="7">
        <v>4</v>
      </c>
      <c r="H250" s="21" t="s">
        <v>970</v>
      </c>
      <c r="I250" s="13">
        <v>42916.603761574072</v>
      </c>
      <c r="J250" s="7">
        <v>0</v>
      </c>
      <c r="K250" s="89" t="str">
        <f t="shared" si="88"/>
        <v>4063/4064</v>
      </c>
      <c r="L250" s="21" t="str">
        <f>VLOOKUP(A250,'Trips&amp;Operators'!$C$1:$G$99999,5,FALSE)</f>
        <v>BERLING GARY</v>
      </c>
      <c r="M250" s="6">
        <f t="shared" si="89"/>
        <v>1.1793981480877846E-2</v>
      </c>
      <c r="N250" s="7">
        <f t="shared" si="106"/>
        <v>16.983333332464099</v>
      </c>
      <c r="O250" s="7"/>
      <c r="P250" s="7"/>
      <c r="Q250" s="22"/>
      <c r="R250" s="170"/>
      <c r="S250" s="213">
        <f t="shared" si="102"/>
        <v>0</v>
      </c>
      <c r="T250" s="195" t="str">
        <f t="shared" si="90"/>
        <v>NorthBound</v>
      </c>
      <c r="U250" s="195">
        <f>IF(AG250="EC",COUNTIFS(Variables!$M$2:$M$19,IF(T250="NorthBound","&gt;=","&lt;=")&amp;Y250,Variables!$M$2:$M$19,IF(T250="NorthBound","&lt;=","&gt;=")&amp;Z250),COUNTIFS(Variables!$P$2:$P$19,IF(T250="NorthBound","&gt;=","&lt;=")&amp;Y250,Variables!$P$2:$P$19,IF(T250="NorthBound","&lt;=","&gt;=")&amp;Z250))</f>
        <v>0</v>
      </c>
      <c r="V250" s="196" t="str">
        <f t="shared" si="91"/>
        <v>https://d0f6bd738d7f1b3e5a7ca70fe4ff75f0.us-east-1.aws.found.io/app/kibana#/discover/Steve-Slow-Train-Analysis-(2080s-and-2083s)?_g=(refreshInterval:(display:Off,pause:!f,section:0,value:0),time:(from:'2017-06-30T13:07:23-0600',mode:absolute,to:'2017-06-30T15:29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50" s="197" t="str">
        <f>IF(AA250&lt;VLOOKUP(AG250,Variables!$AC$3:$AD$8,2,FALSE),"Y","N")</f>
        <v>Y</v>
      </c>
      <c r="X250" s="197">
        <f t="shared" si="103"/>
        <v>2</v>
      </c>
      <c r="Y250" s="197">
        <f t="shared" si="104"/>
        <v>11.0885</v>
      </c>
      <c r="Z250" s="197">
        <f t="shared" si="105"/>
        <v>2.8580999999999999</v>
      </c>
      <c r="AA250" s="197">
        <f t="shared" si="92"/>
        <v>8.2303999999999995</v>
      </c>
      <c r="AB250" s="54" t="e">
        <f>VLOOKUP(A250,Enforcements!$C$7:$K$13,8,0)</f>
        <v>#N/A</v>
      </c>
      <c r="AC250" s="51" t="e">
        <f>VLOOKUP(A250,Enforcements!$C$7:$E$13,3,0)</f>
        <v>#N/A</v>
      </c>
      <c r="AD250" s="206">
        <f t="shared" si="93"/>
        <v>69</v>
      </c>
      <c r="AE250" s="77" t="str">
        <f t="shared" si="94"/>
        <v>aws s3 cp s3://rtdc.mdm.uploadarchive.raw/RTDC4063/ "%USERPROFILE%\AppData\Local\Temp\OnboardLogs"\RTDC4063\2017-06-30 --exclude "*" --recursive --include "*20170630*" &amp; "%USERPROFILE%\Documents\GitHub\mrs-test-scripts\Headless Mode &amp; Sideloading\WalkAndUnGZ.bat" "%USERPROFILE%\AppData\Local\Temp\OnboardLogs"\RTDC4063\2017-06-30 &amp; aws s3 cp s3://rtdc.mdm.uploadarchive.raw/RTDC4063/ "%USERPROFILE%\AppData\Local\Temp\OnboardLogs"\RTDC4063\2017-07-01 --exclude "*" --recursive --include "*20170701*" &amp; "%USERPROFILE%\Documents\GitHub\mrs-test-scripts\Headless Mode &amp; Sideloading\WalkAndUnGZ.bat" "%USERPROFILE%\AppData\Local\Temp\OnboardLogs"\RTDC4063\2017-07-01</v>
      </c>
      <c r="AF250" s="74" t="str">
        <f t="shared" si="95"/>
        <v>"C:\Program Files (x86)\AstroGrep\AstroGrep.exe" /e /r /s /spath="%USERPROFILE%\AppData\Local\Temp\OnboardLogs" /stypes="app*4063*20170630*" /stext=" 20:.+((SYSTEM_STATE.+slice.+state.+changed )|(ment ac)|(multiple cpu faults)|(system.+state.+changed )|(\[timeout)|(PRM\|1\|D)|(kpr)|(kdp)|(train st.+moving)|(\|lc)|(penalty))"</v>
      </c>
      <c r="AG250" s="209" t="str">
        <f t="shared" si="96"/>
        <v>Shuttle/Test</v>
      </c>
      <c r="AH250" s="78" t="str">
        <f t="shared" si="97"/>
        <v>"%USERPROFILE%\Documents\GitHub\eaglep3\Utilities\RefineRTDCRunTimes.py" --tripid 69-30 --locoid 4063 --swversion DE.1.0.9.0 --startMP 300:110885 --initTime 2017-06-30T14:07:23 --startdatetime 2017-06-30T14:12:26 --delay 4 --endMP 300:28581 --enddatetime 2017-06-30T14:29:25 --enforcementcount 0 &gt;&gt;C:\Users\stu\Documents\GitHub\eaglep3-reporting\EC\2017-06-30-refined-times.txt</v>
      </c>
      <c r="AI250" s="96" t="str">
        <f t="shared" si="98"/>
        <v>echo {"issue":{"subject":"","project_id":79,"tracker_id":40,"status_id":1,"priority_id":2,"assigned_to_id":23,"start_date":"2017-06-30","description":"","custom_fields":[{"id":1,"name":"Subdivision","value":"Shuttle/Test"},{"id":4,"name":"Milepost","value":"2.8581"},{"id":17,"name":"Train ID","value":"69-30"},{"id":16,"name":"Locomotive ID","value":"4063"},{"id":130,"name":"Impact","value":""},{"id":150,"name":"Time of Event (Mountain Time)","value":"14:29:25"},{"id":151,"name":"Denver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0" s="20"/>
      <c r="AK250" s="47"/>
      <c r="AL250" s="47"/>
      <c r="AM250" s="142" t="str">
        <f t="shared" si="99"/>
        <v>start /low /b %USERPROFILE%\Documents\GitHub\eaglep3\Utilities\DownloadLogsFromS3.py --loco 4063 --day 2017-06-30</v>
      </c>
      <c r="AN250" s="151" t="str">
        <f t="shared" si="100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20:29:25"},{"id":29,"name":"Sharepoint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0"/>
    </row>
    <row r="251" spans="1:41" x14ac:dyDescent="0.25">
      <c r="A251" s="32" t="s">
        <v>606</v>
      </c>
      <c r="B251" s="7">
        <v>4063</v>
      </c>
      <c r="C251" s="21" t="s">
        <v>200</v>
      </c>
      <c r="D251" s="21" t="s">
        <v>971</v>
      </c>
      <c r="E251" s="13">
        <v>42916.584687499999</v>
      </c>
      <c r="F251" s="13">
        <v>42916.591967592591</v>
      </c>
      <c r="G251" s="7">
        <v>1</v>
      </c>
      <c r="H251" s="21" t="s">
        <v>972</v>
      </c>
      <c r="I251" s="13">
        <v>42916.603761574072</v>
      </c>
      <c r="J251" s="7">
        <v>0</v>
      </c>
      <c r="K251" s="89" t="str">
        <f t="shared" si="88"/>
        <v>4063/4064</v>
      </c>
      <c r="L251" s="21" t="str">
        <f>VLOOKUP(A251,'Trips&amp;Operators'!$C$1:$G$99999,5,FALSE)</f>
        <v>BERLING GARY</v>
      </c>
      <c r="M251" s="6">
        <f t="shared" si="89"/>
        <v>1.1793981480877846E-2</v>
      </c>
      <c r="N251" s="7">
        <f t="shared" si="106"/>
        <v>16.983333332464099</v>
      </c>
      <c r="O251" s="7"/>
      <c r="P251" s="7"/>
      <c r="Q251" s="22"/>
      <c r="R251" s="170"/>
      <c r="S251" s="213">
        <f t="shared" si="102"/>
        <v>0</v>
      </c>
      <c r="T251" s="195" t="str">
        <f t="shared" si="90"/>
        <v>NorthBound</v>
      </c>
      <c r="U251" s="195">
        <f>IF(AG251="EC",COUNTIFS(Variables!$M$2:$M$19,IF(T251="NorthBound","&gt;=","&lt;=")&amp;Y251,Variables!$M$2:$M$19,IF(T251="NorthBound","&lt;=","&gt;=")&amp;Z251),COUNTIFS(Variables!$P$2:$P$19,IF(T251="NorthBound","&gt;=","&lt;=")&amp;Y251,Variables!$P$2:$P$19,IF(T251="NorthBound","&lt;=","&gt;=")&amp;Z251))</f>
        <v>0</v>
      </c>
      <c r="V251" s="196" t="str">
        <f t="shared" si="91"/>
        <v>https://d0f6bd738d7f1b3e5a7ca70fe4ff75f0.us-east-1.aws.found.io/app/kibana#/discover/Steve-Slow-Train-Analysis-(2080s-and-2083s)?_g=(refreshInterval:(display:Off,pause:!f,section:0,value:0),time:(from:'2017-06-30T13:01:57-0600',mode:absolute,to:'2017-06-30T15:29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51" s="197" t="str">
        <f>IF(AA251&lt;VLOOKUP(AG251,Variables!$AC$3:$AD$8,2,FALSE),"Y","N")</f>
        <v>Y</v>
      </c>
      <c r="X251" s="197">
        <f t="shared" si="103"/>
        <v>0</v>
      </c>
      <c r="Y251" s="197">
        <f t="shared" si="104"/>
        <v>11.1629</v>
      </c>
      <c r="Z251" s="197">
        <f t="shared" si="105"/>
        <v>11.088100000000001</v>
      </c>
      <c r="AA251" s="197">
        <f t="shared" si="92"/>
        <v>7.4799999999999756E-2</v>
      </c>
      <c r="AB251" s="54" t="e">
        <f>VLOOKUP(A251,Enforcements!$C$7:$K$13,8,0)</f>
        <v>#N/A</v>
      </c>
      <c r="AC251" s="51" t="e">
        <f>VLOOKUP(A251,Enforcements!$C$7:$E$13,3,0)</f>
        <v>#N/A</v>
      </c>
      <c r="AD251" s="206">
        <f t="shared" si="93"/>
        <v>69</v>
      </c>
      <c r="AE251" s="77" t="str">
        <f t="shared" si="94"/>
        <v>aws s3 cp s3://rtdc.mdm.uploadarchive.raw/RTDC4063/ "%USERPROFILE%\AppData\Local\Temp\OnboardLogs"\RTDC4063\2017-06-30 --exclude "*" --recursive --include "*20170630*" &amp; "%USERPROFILE%\Documents\GitHub\mrs-test-scripts\Headless Mode &amp; Sideloading\WalkAndUnGZ.bat" "%USERPROFILE%\AppData\Local\Temp\OnboardLogs"\RTDC4063\2017-06-30 &amp; aws s3 cp s3://rtdc.mdm.uploadarchive.raw/RTDC4063/ "%USERPROFILE%\AppData\Local\Temp\OnboardLogs"\RTDC4063\2017-07-01 --exclude "*" --recursive --include "*20170701*" &amp; "%USERPROFILE%\Documents\GitHub\mrs-test-scripts\Headless Mode &amp; Sideloading\WalkAndUnGZ.bat" "%USERPROFILE%\AppData\Local\Temp\OnboardLogs"\RTDC4063\2017-07-01</v>
      </c>
      <c r="AF251" s="74" t="str">
        <f t="shared" si="95"/>
        <v>"C:\Program Files (x86)\AstroGrep\AstroGrep.exe" /e /r /s /spath="%USERPROFILE%\AppData\Local\Temp\OnboardLogs" /stypes="app*4063*20170630*" /stext=" 20:.+((SYSTEM_STATE.+slice.+state.+changed )|(ment ac)|(multiple cpu faults)|(system.+state.+changed )|(\[timeout)|(PRM\|1\|D)|(kpr)|(kdp)|(train st.+moving)|(\|lc)|(penalty))"</v>
      </c>
      <c r="AG251" s="209" t="str">
        <f t="shared" si="96"/>
        <v>Shuttle/Test</v>
      </c>
      <c r="AH251" s="78" t="str">
        <f t="shared" si="97"/>
        <v>"%USERPROFILE%\Documents\GitHub\eaglep3\Utilities\RefineRTDCRunTimes.py" --tripid 69-30 --locoid 4063 --swversion DE.1.0.9.0 --startMP 300:111629 --initTime 2017-06-30T14:01:57 --startdatetime 2017-06-30T14:12:26 --delay 1 --endMP 300:110881 --enddatetime 2017-06-30T14:29:25 --enforcementcount 0 &gt;&gt;C:\Users\stu\Documents\GitHub\eaglep3-reporting\EC\2017-06-30-refined-times.txt</v>
      </c>
      <c r="AI251" s="96" t="str">
        <f t="shared" si="98"/>
        <v>echo {"issue":{"subject":"","project_id":79,"tracker_id":40,"status_id":1,"priority_id":2,"assigned_to_id":23,"start_date":"2017-06-30","description":"","custom_fields":[{"id":1,"name":"Subdivision","value":"Shuttle/Test"},{"id":4,"name":"Milepost","value":"11.0881"},{"id":17,"name":"Train ID","value":"69-30"},{"id":16,"name":"Locomotive ID","value":"4063"},{"id":130,"name":"Impact","value":""},{"id":150,"name":"Time of Event (Mountain Time)","value":"14:29:25"},{"id":151,"name":"Denver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1" s="20"/>
      <c r="AK251" s="47"/>
      <c r="AL251" s="47"/>
      <c r="AM251" s="142" t="str">
        <f t="shared" si="99"/>
        <v>start /low /b %USERPROFILE%\Documents\GitHub\eaglep3\Utilities\DownloadLogsFromS3.py --loco 4063 --day 2017-06-30</v>
      </c>
      <c r="AN251" s="151" t="str">
        <f t="shared" si="100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20:29:25"},{"id":29,"name":"Sharepoint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1"/>
    </row>
    <row r="252" spans="1:41" x14ac:dyDescent="0.25">
      <c r="A252" s="32" t="s">
        <v>606</v>
      </c>
      <c r="B252" s="7">
        <v>4063</v>
      </c>
      <c r="C252" s="21" t="s">
        <v>200</v>
      </c>
      <c r="D252" s="21" t="s">
        <v>560</v>
      </c>
      <c r="E252" s="13">
        <v>42916.579664351855</v>
      </c>
      <c r="F252" s="13">
        <v>42916.591967592591</v>
      </c>
      <c r="G252" s="7">
        <v>2</v>
      </c>
      <c r="H252" s="21" t="s">
        <v>973</v>
      </c>
      <c r="I252" s="13">
        <v>42916.603761574072</v>
      </c>
      <c r="J252" s="7">
        <v>0</v>
      </c>
      <c r="K252" s="89" t="str">
        <f t="shared" si="88"/>
        <v>4063/4064</v>
      </c>
      <c r="L252" s="21" t="str">
        <f>VLOOKUP(A252,'Trips&amp;Operators'!$C$1:$G$99999,5,FALSE)</f>
        <v>BERLING GARY</v>
      </c>
      <c r="M252" s="6">
        <f t="shared" si="89"/>
        <v>1.1793981480877846E-2</v>
      </c>
      <c r="N252" s="7">
        <f t="shared" si="106"/>
        <v>16.983333332464099</v>
      </c>
      <c r="O252" s="7"/>
      <c r="P252" s="7"/>
      <c r="Q252" s="22"/>
      <c r="R252" s="170"/>
      <c r="S252" s="213">
        <f t="shared" si="102"/>
        <v>0</v>
      </c>
      <c r="T252" s="195" t="str">
        <f t="shared" si="90"/>
        <v>NorthBound</v>
      </c>
      <c r="U252" s="195">
        <f>IF(AG252="EC",COUNTIFS(Variables!$M$2:$M$19,IF(T252="NorthBound","&gt;=","&lt;=")&amp;Y252,Variables!$M$2:$M$19,IF(T252="NorthBound","&lt;=","&gt;=")&amp;Z252),COUNTIFS(Variables!$P$2:$P$19,IF(T252="NorthBound","&gt;=","&lt;=")&amp;Y252,Variables!$P$2:$P$19,IF(T252="NorthBound","&lt;=","&gt;=")&amp;Z252))</f>
        <v>0</v>
      </c>
      <c r="V252" s="196" t="str">
        <f t="shared" si="91"/>
        <v>https://d0f6bd738d7f1b3e5a7ca70fe4ff75f0.us-east-1.aws.found.io/app/kibana#/discover/Steve-Slow-Train-Analysis-(2080s-and-2083s)?_g=(refreshInterval:(display:Off,pause:!f,section:0,value:0),time:(from:'2017-06-30T12:54:43-0600',mode:absolute,to:'2017-06-30T15:29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52" s="197" t="str">
        <f>IF(AA252&lt;VLOOKUP(AG252,Variables!$AC$3:$AD$8,2,FALSE),"Y","N")</f>
        <v>Y</v>
      </c>
      <c r="X252" s="197">
        <f t="shared" si="103"/>
        <v>0</v>
      </c>
      <c r="Y252" s="197">
        <f t="shared" si="104"/>
        <v>11.2204</v>
      </c>
      <c r="Z252" s="197">
        <f t="shared" si="105"/>
        <v>11.2058</v>
      </c>
      <c r="AA252" s="197">
        <f t="shared" si="92"/>
        <v>1.4599999999999724E-2</v>
      </c>
      <c r="AB252" s="54" t="e">
        <f>VLOOKUP(A252,Enforcements!$C$7:$K$13,8,0)</f>
        <v>#N/A</v>
      </c>
      <c r="AC252" s="51" t="e">
        <f>VLOOKUP(A252,Enforcements!$C$7:$E$13,3,0)</f>
        <v>#N/A</v>
      </c>
      <c r="AD252" s="206">
        <f t="shared" si="93"/>
        <v>69</v>
      </c>
      <c r="AE252" s="77" t="str">
        <f t="shared" si="94"/>
        <v>aws s3 cp s3://rtdc.mdm.uploadarchive.raw/RTDC4063/ "%USERPROFILE%\AppData\Local\Temp\OnboardLogs"\RTDC4063\2017-06-30 --exclude "*" --recursive --include "*20170630*" &amp; "%USERPROFILE%\Documents\GitHub\mrs-test-scripts\Headless Mode &amp; Sideloading\WalkAndUnGZ.bat" "%USERPROFILE%\AppData\Local\Temp\OnboardLogs"\RTDC4063\2017-06-30 &amp; aws s3 cp s3://rtdc.mdm.uploadarchive.raw/RTDC4063/ "%USERPROFILE%\AppData\Local\Temp\OnboardLogs"\RTDC4063\2017-07-01 --exclude "*" --recursive --include "*20170701*" &amp; "%USERPROFILE%\Documents\GitHub\mrs-test-scripts\Headless Mode &amp; Sideloading\WalkAndUnGZ.bat" "%USERPROFILE%\AppData\Local\Temp\OnboardLogs"\RTDC4063\2017-07-01</v>
      </c>
      <c r="AF252" s="74" t="str">
        <f t="shared" si="95"/>
        <v>"C:\Program Files (x86)\AstroGrep\AstroGrep.exe" /e /r /s /spath="%USERPROFILE%\AppData\Local\Temp\OnboardLogs" /stypes="app*4063*20170630*" /stext=" 20:.+((SYSTEM_STATE.+slice.+state.+changed )|(ment ac)|(multiple cpu faults)|(system.+state.+changed )|(\[timeout)|(PRM\|1\|D)|(kpr)|(kdp)|(train st.+moving)|(\|lc)|(penalty))"</v>
      </c>
      <c r="AG252" s="209" t="str">
        <f t="shared" si="96"/>
        <v>Shuttle/Test</v>
      </c>
      <c r="AH252" s="78" t="str">
        <f t="shared" si="97"/>
        <v>"%USERPROFILE%\Documents\GitHub\eaglep3\Utilities\RefineRTDCRunTimes.py" --tripid 69-30 --locoid 4063 --swversion DE.1.0.9.0 --startMP 300:112204 --initTime 2017-06-30T13:54:43 --startdatetime 2017-06-30T14:12:26 --delay 2 --endMP 300:112058 --enddatetime 2017-06-30T14:29:25 --enforcementcount 0 &gt;&gt;C:\Users\stu\Documents\GitHub\eaglep3-reporting\EC\2017-06-30-refined-times.txt</v>
      </c>
      <c r="AI252" s="96" t="str">
        <f t="shared" si="98"/>
        <v>echo {"issue":{"subject":"","project_id":79,"tracker_id":40,"status_id":1,"priority_id":2,"assigned_to_id":23,"start_date":"2017-06-30","description":"","custom_fields":[{"id":1,"name":"Subdivision","value":"Shuttle/Test"},{"id":4,"name":"Milepost","value":"11.2058"},{"id":17,"name":"Train ID","value":"69-30"},{"id":16,"name":"Locomotive ID","value":"4063"},{"id":130,"name":"Impact","value":""},{"id":150,"name":"Time of Event (Mountain Time)","value":"14:29:25"},{"id":151,"name":"Denver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2" s="20"/>
      <c r="AK252" s="47"/>
      <c r="AL252" s="47"/>
      <c r="AM252" s="142" t="str">
        <f t="shared" si="99"/>
        <v>start /low /b %USERPROFILE%\Documents\GitHub\eaglep3\Utilities\DownloadLogsFromS3.py --loco 4063 --day 2017-06-30</v>
      </c>
      <c r="AN252" s="151" t="str">
        <f t="shared" si="100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20:29:25"},{"id":29,"name":"Sharepoint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2"/>
    </row>
    <row r="253" spans="1:41" x14ac:dyDescent="0.25">
      <c r="A253" s="32" t="s">
        <v>606</v>
      </c>
      <c r="B253" s="7">
        <v>4064</v>
      </c>
      <c r="C253" s="21" t="s">
        <v>200</v>
      </c>
      <c r="D253" s="21" t="s">
        <v>974</v>
      </c>
      <c r="E253" s="13">
        <v>42916.558599537035</v>
      </c>
      <c r="F253" s="13">
        <v>42916.591967592591</v>
      </c>
      <c r="G253" s="7">
        <v>3</v>
      </c>
      <c r="H253" s="21" t="s">
        <v>975</v>
      </c>
      <c r="I253" s="13">
        <v>42916.603761574072</v>
      </c>
      <c r="J253" s="7">
        <v>0</v>
      </c>
      <c r="K253" s="89" t="str">
        <f t="shared" si="88"/>
        <v>4063/4064</v>
      </c>
      <c r="L253" s="21" t="str">
        <f>VLOOKUP(A253,'Trips&amp;Operators'!$C$1:$G$99999,5,FALSE)</f>
        <v>BERLING GARY</v>
      </c>
      <c r="M253" s="6">
        <f t="shared" si="89"/>
        <v>1.1793981480877846E-2</v>
      </c>
      <c r="N253" s="7">
        <f t="shared" si="106"/>
        <v>16.983333332464099</v>
      </c>
      <c r="O253" s="7"/>
      <c r="P253" s="7"/>
      <c r="Q253" s="22"/>
      <c r="R253" s="170"/>
      <c r="S253" s="213">
        <f t="shared" si="102"/>
        <v>0</v>
      </c>
      <c r="T253" s="195" t="str">
        <f t="shared" si="90"/>
        <v>NorthBound</v>
      </c>
      <c r="U253" s="195">
        <f>IF(AG253="EC",COUNTIFS(Variables!$M$2:$M$19,IF(T253="NorthBound","&gt;=","&lt;=")&amp;Y253,Variables!$M$2:$M$19,IF(T253="NorthBound","&lt;=","&gt;=")&amp;Z253),COUNTIFS(Variables!$P$2:$P$19,IF(T253="NorthBound","&gt;=","&lt;=")&amp;Y253,Variables!$P$2:$P$19,IF(T253="NorthBound","&lt;=","&gt;=")&amp;Z253))</f>
        <v>0</v>
      </c>
      <c r="V253" s="196" t="str">
        <f t="shared" si="91"/>
        <v>https://d0f6bd738d7f1b3e5a7ca70fe4ff75f0.us-east-1.aws.found.io/app/kibana#/discover/Steve-Slow-Train-Analysis-(2080s-and-2083s)?_g=(refreshInterval:(display:Off,pause:!f,section:0,value:0),time:(from:'2017-06-30T12:24:23-0600',mode:absolute,to:'2017-06-30T15:29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53" s="197" t="str">
        <f>IF(AA253&lt;VLOOKUP(AG253,Variables!$AC$3:$AD$8,2,FALSE),"Y","N")</f>
        <v>Y</v>
      </c>
      <c r="X253" s="197">
        <f t="shared" si="103"/>
        <v>0</v>
      </c>
      <c r="Y253" s="197">
        <f t="shared" si="104"/>
        <v>2.6945999999999999</v>
      </c>
      <c r="Z253" s="197">
        <f t="shared" si="105"/>
        <v>11.247</v>
      </c>
      <c r="AA253" s="197">
        <f t="shared" si="92"/>
        <v>8.5524000000000004</v>
      </c>
      <c r="AB253" s="54" t="e">
        <f>VLOOKUP(A253,Enforcements!$C$7:$K$13,8,0)</f>
        <v>#N/A</v>
      </c>
      <c r="AC253" s="51" t="e">
        <f>VLOOKUP(A253,Enforcements!$C$7:$E$13,3,0)</f>
        <v>#N/A</v>
      </c>
      <c r="AD253" s="206">
        <f t="shared" si="93"/>
        <v>69</v>
      </c>
      <c r="AE253" s="77" t="str">
        <f t="shared" si="94"/>
        <v>aws s3 cp s3://rtdc.mdm.uploadarchive.raw/RTDC4064/ "%USERPROFILE%\AppData\Local\Temp\OnboardLogs"\RTDC4064\2017-06-30 --exclude "*" --recursive --include "*20170630*" &amp; "%USERPROFILE%\Documents\GitHub\mrs-test-scripts\Headless Mode &amp; Sideloading\WalkAndUnGZ.bat" "%USERPROFILE%\AppData\Local\Temp\OnboardLogs"\RTDC4064\2017-06-30 &amp; aws s3 cp s3://rtdc.mdm.uploadarchive.raw/RTDC4064/ "%USERPROFILE%\AppData\Local\Temp\OnboardLogs"\RTDC4064\2017-07-01 --exclude "*" --recursive --include "*20170701*" &amp; "%USERPROFILE%\Documents\GitHub\mrs-test-scripts\Headless Mode &amp; Sideloading\WalkAndUnGZ.bat" "%USERPROFILE%\AppData\Local\Temp\OnboardLogs"\RTDC4064\2017-07-01</v>
      </c>
      <c r="AF253" s="74" t="str">
        <f t="shared" si="95"/>
        <v>"C:\Program Files (x86)\AstroGrep\AstroGrep.exe" /e /r /s /spath="%USERPROFILE%\AppData\Local\Temp\OnboardLogs" /stypes="app*4064*20170630*" /stext=" 20:.+((SYSTEM_STATE.+slice.+state.+changed )|(ment ac)|(multiple cpu faults)|(system.+state.+changed )|(\[timeout)|(PRM\|1\|D)|(kpr)|(kdp)|(train st.+moving)|(\|lc)|(penalty))"</v>
      </c>
      <c r="AG253" s="209" t="str">
        <f t="shared" si="96"/>
        <v>Shuttle/Test</v>
      </c>
      <c r="AH253" s="78" t="str">
        <f t="shared" si="97"/>
        <v>"%USERPROFILE%\Documents\GitHub\eaglep3\Utilities\RefineRTDCRunTimes.py" --tripid 69-30 --locoid 4064 --swversion DE.1.0.9.0 --startMP 300:26946 --initTime 2017-06-30T13:24:23 --startdatetime 2017-06-30T14:12:26 --delay 3 --endMP 300:112470 --enddatetime 2017-06-30T14:29:25 --enforcementcount 0 &gt;&gt;C:\Users\stu\Documents\GitHub\eaglep3-reporting\EC\2017-06-30-refined-times.txt</v>
      </c>
      <c r="AI253" s="96" t="str">
        <f t="shared" si="98"/>
        <v>echo {"issue":{"subject":"","project_id":79,"tracker_id":40,"status_id":1,"priority_id":2,"assigned_to_id":23,"start_date":"2017-06-30","description":"","custom_fields":[{"id":1,"name":"Subdivision","value":"Shuttle/Test"},{"id":4,"name":"Milepost","value":"11.247"},{"id":17,"name":"Train ID","value":"69-30"},{"id":16,"name":"Locomotive ID","value":"4064"},{"id":130,"name":"Impact","value":""},{"id":150,"name":"Time of Event (Mountain Time)","value":"14:29:25"},{"id":151,"name":"Denver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3" s="20"/>
      <c r="AK253" s="47"/>
      <c r="AL253" s="47"/>
      <c r="AM253" s="142" t="str">
        <f t="shared" si="99"/>
        <v>start /low /b %USERPROFILE%\Documents\GitHub\eaglep3\Utilities\DownloadLogsFromS3.py --loco 4064 --day 2017-06-30</v>
      </c>
      <c r="AN253" s="151" t="str">
        <f t="shared" si="100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20:29:25"},{"id":29,"name":"Sharepoint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3"/>
    </row>
    <row r="254" spans="1:41" x14ac:dyDescent="0.25">
      <c r="A254" s="32" t="s">
        <v>613</v>
      </c>
      <c r="B254" s="7">
        <v>4063</v>
      </c>
      <c r="C254" s="21" t="s">
        <v>200</v>
      </c>
      <c r="D254" s="21" t="s">
        <v>976</v>
      </c>
      <c r="E254" s="13">
        <v>42916.630636574075</v>
      </c>
      <c r="F254" s="13">
        <v>42916.634212962963</v>
      </c>
      <c r="G254" s="7">
        <v>3</v>
      </c>
      <c r="H254" s="21" t="s">
        <v>977</v>
      </c>
      <c r="I254" s="13">
        <v>42916.658946759257</v>
      </c>
      <c r="J254" s="7">
        <v>0</v>
      </c>
      <c r="K254" s="89" t="str">
        <f t="shared" si="88"/>
        <v>4063/4064</v>
      </c>
      <c r="L254" s="21" t="str">
        <f>VLOOKUP(A254,'Trips&amp;Operators'!$C$1:$G$99999,5,FALSE)</f>
        <v>ZEWDU DEREJE</v>
      </c>
      <c r="M254" s="6">
        <f t="shared" si="89"/>
        <v>2.4733796293730848E-2</v>
      </c>
      <c r="N254" s="7">
        <f t="shared" si="106"/>
        <v>35.61666666297242</v>
      </c>
      <c r="O254" s="7"/>
      <c r="P254" s="7"/>
      <c r="Q254" s="22"/>
      <c r="R254" s="170"/>
      <c r="S254" s="213">
        <f t="shared" ref="S254:S281" si="107">SUM(U254:U254)/IF(AG254="EC",12,1)</f>
        <v>0</v>
      </c>
      <c r="T254" s="195" t="str">
        <f t="shared" si="90"/>
        <v>NorthBound</v>
      </c>
      <c r="U254" s="195">
        <f>IF(AG254="EC",COUNTIFS(Variables!$M$2:$M$19,IF(T254="NorthBound","&gt;=","&lt;=")&amp;Y254,Variables!$M$2:$M$19,IF(T254="NorthBound","&lt;=","&gt;=")&amp;Z254),COUNTIFS(Variables!$P$2:$P$19,IF(T254="NorthBound","&gt;=","&lt;=")&amp;Y254,Variables!$P$2:$P$19,IF(T254="NorthBound","&lt;=","&gt;=")&amp;Z254))</f>
        <v>0</v>
      </c>
      <c r="V254" s="196" t="str">
        <f t="shared" si="91"/>
        <v>https://d0f6bd738d7f1b3e5a7ca70fe4ff75f0.us-east-1.aws.found.io/app/kibana#/discover/Steve-Slow-Train-Analysis-(2080s-and-2083s)?_g=(refreshInterval:(display:Off,pause:!f,section:0,value:0),time:(from:'2017-06-30T14:08:07-0600',mode:absolute,to:'2017-06-30T16:48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54" s="197" t="str">
        <f>IF(AA254&lt;VLOOKUP(AG254,Variables!$AC$3:$AD$8,2,FALSE),"Y","N")</f>
        <v>Y</v>
      </c>
      <c r="X254" s="197">
        <f t="shared" si="103"/>
        <v>2</v>
      </c>
      <c r="Y254" s="197">
        <f t="shared" si="104"/>
        <v>11.2197</v>
      </c>
      <c r="Z254" s="197">
        <f t="shared" si="105"/>
        <v>2.8780000000000001</v>
      </c>
      <c r="AA254" s="197">
        <f t="shared" si="92"/>
        <v>8.3416999999999994</v>
      </c>
      <c r="AB254" s="54" t="e">
        <f>VLOOKUP(A254,Enforcements!$C$7:$K$13,8,0)</f>
        <v>#N/A</v>
      </c>
      <c r="AC254" s="51" t="e">
        <f>VLOOKUP(A254,Enforcements!$C$7:$E$13,3,0)</f>
        <v>#N/A</v>
      </c>
      <c r="AD254" s="206">
        <f t="shared" si="93"/>
        <v>71</v>
      </c>
      <c r="AE254" s="77" t="str">
        <f t="shared" si="94"/>
        <v>aws s3 cp s3://rtdc.mdm.uploadarchive.raw/RTDC4063/ "%USERPROFILE%\AppData\Local\Temp\OnboardLogs"\RTDC4063\2017-06-30 --exclude "*" --recursive --include "*20170630*" &amp; "%USERPROFILE%\Documents\GitHub\mrs-test-scripts\Headless Mode &amp; Sideloading\WalkAndUnGZ.bat" "%USERPROFILE%\AppData\Local\Temp\OnboardLogs"\RTDC4063\2017-06-30 &amp; aws s3 cp s3://rtdc.mdm.uploadarchive.raw/RTDC4063/ "%USERPROFILE%\AppData\Local\Temp\OnboardLogs"\RTDC4063\2017-07-01 --exclude "*" --recursive --include "*20170701*" &amp; "%USERPROFILE%\Documents\GitHub\mrs-test-scripts\Headless Mode &amp; Sideloading\WalkAndUnGZ.bat" "%USERPROFILE%\AppData\Local\Temp\OnboardLogs"\RTDC4063\2017-07-01</v>
      </c>
      <c r="AF254" s="74" t="str">
        <f t="shared" si="95"/>
        <v>"C:\Program Files (x86)\AstroGrep\AstroGrep.exe" /e /r /s /spath="%USERPROFILE%\AppData\Local\Temp\OnboardLogs" /stypes="app*4063*20170630*" /stext=" 21:.+((SYSTEM_STATE.+slice.+state.+changed )|(ment ac)|(multiple cpu faults)|(system.+state.+changed )|(\[timeout)|(PRM\|1\|D)|(kpr)|(kdp)|(train st.+moving)|(\|lc)|(penalty))"</v>
      </c>
      <c r="AG254" s="209" t="str">
        <f t="shared" si="96"/>
        <v>Shuttle/Test</v>
      </c>
      <c r="AH254" s="78" t="str">
        <f t="shared" si="97"/>
        <v>"%USERPROFILE%\Documents\GitHub\eaglep3\Utilities\RefineRTDCRunTimes.py" --tripid 71-30 --locoid 4063 --swversion DE.1.0.9.0 --startMP 300:112197 --initTime 2017-06-30T15:08:07 --startdatetime 2017-06-30T15:13:16 --delay 3 --endMP 300:28780 --enddatetime 2017-06-30T15:48:53 --enforcementcount 0 &gt;&gt;C:\Users\stu\Documents\GitHub\eaglep3-reporting\EC\2017-06-30-refined-times.txt</v>
      </c>
      <c r="AI254" s="96" t="str">
        <f t="shared" si="98"/>
        <v>echo {"issue":{"subject":"","project_id":79,"tracker_id":40,"status_id":1,"priority_id":2,"assigned_to_id":23,"start_date":"2017-06-30","description":"","custom_fields":[{"id":1,"name":"Subdivision","value":"Shuttle/Test"},{"id":4,"name":"Milepost","value":"2.878"},{"id":17,"name":"Train ID","value":"71-30"},{"id":16,"name":"Locomotive ID","value":"4063"},{"id":130,"name":"Impact","value":""},{"id":150,"name":"Time of Event (Mountain Time)","value":"15:48:53"},{"id":151,"name":"Denver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4" s="20"/>
      <c r="AK254" s="47"/>
      <c r="AL254" s="47"/>
      <c r="AM254" s="142" t="str">
        <f t="shared" si="99"/>
        <v>start /low /b %USERPROFILE%\Documents\GitHub\eaglep3\Utilities\DownloadLogsFromS3.py --loco 4063 --day 2017-06-30</v>
      </c>
      <c r="AN254" s="151" t="str">
        <f t="shared" si="100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21:48:53"},{"id":29,"name":"Sharepoint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4"/>
    </row>
    <row r="255" spans="1:41" x14ac:dyDescent="0.25">
      <c r="A255" s="32" t="s">
        <v>613</v>
      </c>
      <c r="B255" s="7">
        <v>4064</v>
      </c>
      <c r="C255" s="21" t="s">
        <v>200</v>
      </c>
      <c r="D255" s="21" t="s">
        <v>978</v>
      </c>
      <c r="E255" s="13">
        <v>42916.606030092589</v>
      </c>
      <c r="F255" s="13">
        <v>42916.634212962963</v>
      </c>
      <c r="G255" s="7">
        <v>1</v>
      </c>
      <c r="H255" s="21" t="s">
        <v>562</v>
      </c>
      <c r="I255" s="13">
        <v>42916.658946759257</v>
      </c>
      <c r="J255" s="7">
        <v>0</v>
      </c>
      <c r="K255" s="89" t="str">
        <f t="shared" si="88"/>
        <v>4063/4064</v>
      </c>
      <c r="L255" s="21" t="str">
        <f>VLOOKUP(A255,'Trips&amp;Operators'!$C$1:$G$99999,5,FALSE)</f>
        <v>ZEWDU DEREJE</v>
      </c>
      <c r="M255" s="6">
        <f t="shared" si="89"/>
        <v>2.4733796293730848E-2</v>
      </c>
      <c r="N255" s="7">
        <f t="shared" si="106"/>
        <v>35.61666666297242</v>
      </c>
      <c r="O255" s="7"/>
      <c r="P255" s="7"/>
      <c r="Q255" s="22"/>
      <c r="R255" s="170"/>
      <c r="S255" s="213">
        <f t="shared" si="107"/>
        <v>0</v>
      </c>
      <c r="T255" s="195" t="str">
        <f t="shared" si="90"/>
        <v>NorthBound</v>
      </c>
      <c r="U255" s="195">
        <f>IF(AG255="EC",COUNTIFS(Variables!$M$2:$M$19,IF(T255="NorthBound","&gt;=","&lt;=")&amp;Y255,Variables!$M$2:$M$19,IF(T255="NorthBound","&lt;=","&gt;=")&amp;Z255),COUNTIFS(Variables!$P$2:$P$19,IF(T255="NorthBound","&gt;=","&lt;=")&amp;Y255,Variables!$P$2:$P$19,IF(T255="NorthBound","&lt;=","&gt;=")&amp;Z255))</f>
        <v>0</v>
      </c>
      <c r="V255" s="196" t="str">
        <f t="shared" si="91"/>
        <v>https://d0f6bd738d7f1b3e5a7ca70fe4ff75f0.us-east-1.aws.found.io/app/kibana#/discover/Steve-Slow-Train-Analysis-(2080s-and-2083s)?_g=(refreshInterval:(display:Off,pause:!f,section:0,value:0),time:(from:'2017-06-30T13:32:41-0600',mode:absolute,to:'2017-06-30T16:48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55" s="197" t="str">
        <f>IF(AA255&lt;VLOOKUP(AG255,Variables!$AC$3:$AD$8,2,FALSE),"Y","N")</f>
        <v>Y</v>
      </c>
      <c r="X255" s="197">
        <f t="shared" si="103"/>
        <v>0</v>
      </c>
      <c r="Y255" s="197">
        <f t="shared" si="104"/>
        <v>2.8906999999999998</v>
      </c>
      <c r="Z255" s="197">
        <f t="shared" si="105"/>
        <v>11.2517</v>
      </c>
      <c r="AA255" s="197">
        <f t="shared" si="92"/>
        <v>8.3610000000000007</v>
      </c>
      <c r="AB255" s="54" t="e">
        <f>VLOOKUP(A255,Enforcements!$C$7:$K$13,8,0)</f>
        <v>#N/A</v>
      </c>
      <c r="AC255" s="51" t="e">
        <f>VLOOKUP(A255,Enforcements!$C$7:$E$13,3,0)</f>
        <v>#N/A</v>
      </c>
      <c r="AD255" s="206">
        <f t="shared" si="93"/>
        <v>71</v>
      </c>
      <c r="AE255" s="77" t="str">
        <f t="shared" si="94"/>
        <v>aws s3 cp s3://rtdc.mdm.uploadarchive.raw/RTDC4064/ "%USERPROFILE%\AppData\Local\Temp\OnboardLogs"\RTDC4064\2017-06-30 --exclude "*" --recursive --include "*20170630*" &amp; "%USERPROFILE%\Documents\GitHub\mrs-test-scripts\Headless Mode &amp; Sideloading\WalkAndUnGZ.bat" "%USERPROFILE%\AppData\Local\Temp\OnboardLogs"\RTDC4064\2017-06-30 &amp; aws s3 cp s3://rtdc.mdm.uploadarchive.raw/RTDC4064/ "%USERPROFILE%\AppData\Local\Temp\OnboardLogs"\RTDC4064\2017-07-01 --exclude "*" --recursive --include "*20170701*" &amp; "%USERPROFILE%\Documents\GitHub\mrs-test-scripts\Headless Mode &amp; Sideloading\WalkAndUnGZ.bat" "%USERPROFILE%\AppData\Local\Temp\OnboardLogs"\RTDC4064\2017-07-01</v>
      </c>
      <c r="AF255" s="74" t="str">
        <f t="shared" si="95"/>
        <v>"C:\Program Files (x86)\AstroGrep\AstroGrep.exe" /e /r /s /spath="%USERPROFILE%\AppData\Local\Temp\OnboardLogs" /stypes="app*4064*20170630*" /stext=" 21:.+((SYSTEM_STATE.+slice.+state.+changed )|(ment ac)|(multiple cpu faults)|(system.+state.+changed )|(\[timeout)|(PRM\|1\|D)|(kpr)|(kdp)|(train st.+moving)|(\|lc)|(penalty))"</v>
      </c>
      <c r="AG255" s="209" t="str">
        <f t="shared" si="96"/>
        <v>Shuttle/Test</v>
      </c>
      <c r="AH255" s="78" t="str">
        <f t="shared" si="97"/>
        <v>"%USERPROFILE%\Documents\GitHub\eaglep3\Utilities\RefineRTDCRunTimes.py" --tripid 71-30 --locoid 4064 --swversion DE.1.0.9.0 --startMP 300:28907 --initTime 2017-06-30T14:32:41 --startdatetime 2017-06-30T15:13:16 --delay 1 --endMP 300:112517 --enddatetime 2017-06-30T15:48:53 --enforcementcount 0 &gt;&gt;C:\Users\stu\Documents\GitHub\eaglep3-reporting\EC\2017-06-30-refined-times.txt</v>
      </c>
      <c r="AI255" s="96" t="str">
        <f t="shared" si="98"/>
        <v>echo {"issue":{"subject":"","project_id":79,"tracker_id":40,"status_id":1,"priority_id":2,"assigned_to_id":23,"start_date":"2017-06-30","description":"","custom_fields":[{"id":1,"name":"Subdivision","value":"Shuttle/Test"},{"id":4,"name":"Milepost","value":"11.2517"},{"id":17,"name":"Train ID","value":"71-30"},{"id":16,"name":"Locomotive ID","value":"4064"},{"id":130,"name":"Impact","value":""},{"id":150,"name":"Time of Event (Mountain Time)","value":"15:48:53"},{"id":151,"name":"Denver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5" s="20"/>
      <c r="AK255" s="47"/>
      <c r="AL255" s="47"/>
      <c r="AM255" s="142" t="str">
        <f t="shared" si="99"/>
        <v>start /low /b %USERPROFILE%\Documents\GitHub\eaglep3\Utilities\DownloadLogsFromS3.py --loco 4064 --day 2017-06-30</v>
      </c>
      <c r="AN255" s="151" t="str">
        <f t="shared" si="100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21:48:53"},{"id":29,"name":"Sharepoint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5"/>
    </row>
    <row r="256" spans="1:41" x14ac:dyDescent="0.25">
      <c r="A256" s="32" t="s">
        <v>787</v>
      </c>
      <c r="B256" s="7">
        <v>4014</v>
      </c>
      <c r="C256" s="21" t="s">
        <v>200</v>
      </c>
      <c r="D256" s="21" t="s">
        <v>979</v>
      </c>
      <c r="E256" s="13">
        <v>42916.719664351855</v>
      </c>
      <c r="F256" s="13">
        <v>42916.733738425923</v>
      </c>
      <c r="G256" s="7">
        <v>1</v>
      </c>
      <c r="H256" s="21" t="s">
        <v>465</v>
      </c>
      <c r="I256" s="13">
        <v>42916.740393518521</v>
      </c>
      <c r="J256" s="7">
        <v>0</v>
      </c>
      <c r="K256" s="89" t="str">
        <f t="shared" si="88"/>
        <v>4013/4014</v>
      </c>
      <c r="L256" s="21" t="str">
        <f>VLOOKUP(A256,'Trips&amp;Operators'!$C$1:$G$99999,5,FALSE)</f>
        <v>CHANDLER KELVIN</v>
      </c>
      <c r="M256" s="6">
        <f t="shared" si="89"/>
        <v>6.6550925985211506E-3</v>
      </c>
      <c r="N256" s="7">
        <f t="shared" si="106"/>
        <v>9.5833333418704569</v>
      </c>
      <c r="O256" s="7"/>
      <c r="P256" s="7"/>
      <c r="Q256" s="22"/>
      <c r="R256" s="170"/>
      <c r="S256" s="213">
        <f t="shared" si="107"/>
        <v>1</v>
      </c>
      <c r="T256" s="195" t="str">
        <f t="shared" si="90"/>
        <v>NorthBound</v>
      </c>
      <c r="U256" s="195">
        <f>IF(AG256="EC",COUNTIFS(Variables!$M$2:$M$19,IF(T256="NorthBound","&gt;=","&lt;=")&amp;Y256,Variables!$M$2:$M$19,IF(T256="NorthBound","&lt;=","&gt;=")&amp;Z256),COUNTIFS(Variables!$P$2:$P$19,IF(T256="NorthBound","&gt;=","&lt;=")&amp;Y256,Variables!$P$2:$P$19,IF(T256="NorthBound","&lt;=","&gt;=")&amp;Z256))</f>
        <v>1</v>
      </c>
      <c r="V256" s="196" t="str">
        <f t="shared" si="91"/>
        <v>https://d0f6bd738d7f1b3e5a7ca70fe4ff75f0.us-east-1.aws.found.io/app/kibana#/discover/Steve-Slow-Train-Analysis-(2080s-and-2083s)?_g=(refreshInterval:(display:Off,pause:!f,section:0,value:0),time:(from:'2017-06-30T16:16:19-0600',mode:absolute,to:'2017-06-30T18:46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56" s="197" t="str">
        <f>IF(AA256&lt;VLOOKUP(AG256,Variables!$AC$3:$AD$8,2,FALSE),"Y","N")</f>
        <v>Y</v>
      </c>
      <c r="X256" s="197">
        <f t="shared" ref="X256:X281" si="108">VALUE(LEFT(AD256,4))-VALUE(LEFT(AD255,4))</f>
        <v>2</v>
      </c>
      <c r="Y256" s="197">
        <f t="shared" si="104"/>
        <v>0.1232</v>
      </c>
      <c r="Z256" s="197">
        <f t="shared" si="105"/>
        <v>2.3302</v>
      </c>
      <c r="AA256" s="197">
        <f t="shared" si="92"/>
        <v>2.2069999999999999</v>
      </c>
      <c r="AB256" s="54" t="e">
        <f>VLOOKUP(A256,Enforcements!$C$7:$K$13,8,0)</f>
        <v>#N/A</v>
      </c>
      <c r="AC256" s="51" t="e">
        <f>VLOOKUP(A256,Enforcements!$C$7:$E$13,3,0)</f>
        <v>#N/A</v>
      </c>
      <c r="AD256" s="206">
        <f t="shared" si="93"/>
        <v>73</v>
      </c>
      <c r="AE256" s="77" t="str">
        <f t="shared" si="94"/>
        <v>aws s3 cp s3://rtdc.mdm.uploadarchive.raw/RTDC4014/ "%USERPROFILE%\AppData\Local\Temp\OnboardLogs"\RTDC4014\2017-06-30 --exclude "*" --recursive --include "*20170630*" &amp; "%USERPROFILE%\Documents\GitHub\mrs-test-scripts\Headless Mode &amp; Sideloading\WalkAndUnGZ.bat" "%USERPROFILE%\AppData\Local\Temp\OnboardLogs"\RTDC4014\2017-06-30 &amp; aws s3 cp s3://rtdc.mdm.uploadarchive.raw/RTDC4014/ "%USERPROFILE%\AppData\Local\Temp\OnboardLogs"\RTDC4014\2017-07-01 --exclude "*" --recursive --include "*20170701*" &amp; "%USERPROFILE%\Documents\GitHub\mrs-test-scripts\Headless Mode &amp; Sideloading\WalkAndUnGZ.bat" "%USERPROFILE%\AppData\Local\Temp\OnboardLogs"\RTDC4014\2017-07-01</v>
      </c>
      <c r="AF256" s="74" t="str">
        <f t="shared" si="95"/>
        <v>"C:\Program Files (x86)\AstroGrep\AstroGrep.exe" /e /r /s /spath="%USERPROFILE%\AppData\Local\Temp\OnboardLogs" /stypes="app*4014*20170630*" /stext=" 23:.+((SYSTEM_STATE.+slice.+state.+changed )|(ment ac)|(multiple cpu faults)|(system.+state.+changed )|(\[timeout)|(PRM\|1\|D)|(kpr)|(kdp)|(train st.+moving)|(\|lc)|(penalty))"</v>
      </c>
      <c r="AG256" s="209" t="str">
        <f t="shared" si="96"/>
        <v>Shuttle/Test</v>
      </c>
      <c r="AH256" s="78" t="str">
        <f t="shared" si="97"/>
        <v>"%USERPROFILE%\Documents\GitHub\eaglep3\Utilities\RefineRTDCRunTimes.py" --tripid 73-30 --locoid 4014 --swversion DE.1.0.9.0 --startMP 204:1232 --initTime 2017-06-30T17:16:19 --startdatetime 2017-06-30T17:36:35 --delay 1 --endMP 300:23302 --enddatetime 2017-06-30T17:46:10 --enforcementcount 0 &gt;&gt;C:\Users\stu\Documents\GitHub\eaglep3-reporting\EC\2017-06-30-refined-times.txt</v>
      </c>
      <c r="AI256" s="96" t="str">
        <f t="shared" si="98"/>
        <v>echo {"issue":{"subject":"","project_id":79,"tracker_id":40,"status_id":1,"priority_id":2,"assigned_to_id":23,"start_date":"2017-06-30","description":"","custom_fields":[{"id":1,"name":"Subdivision","value":"Shuttle/Test"},{"id":4,"name":"Milepost","value":"2.3302"},{"id":17,"name":"Train ID","value":"73-30"},{"id":16,"name":"Locomotive ID","value":"4014"},{"id":130,"name":"Impact","value":""},{"id":150,"name":"Time of Event (Mountain Time)","value":"17:46:10"},{"id":151,"name":"Denver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6" s="20"/>
      <c r="AK256" s="47"/>
      <c r="AL256" s="47"/>
      <c r="AM256" s="142" t="str">
        <f t="shared" si="99"/>
        <v>start /low /b %USERPROFILE%\Documents\GitHub\eaglep3\Utilities\DownloadLogsFromS3.py --loco 4014 --day 2017-06-30</v>
      </c>
      <c r="AN256" s="151" t="str">
        <f t="shared" si="100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23:46:10"},{"id":29,"name":"Sharepoint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6"/>
    </row>
    <row r="257" spans="1:41" x14ac:dyDescent="0.25">
      <c r="A257" s="32" t="s">
        <v>776</v>
      </c>
      <c r="B257" s="7">
        <v>4041</v>
      </c>
      <c r="C257" s="21" t="s">
        <v>200</v>
      </c>
      <c r="D257" s="21" t="s">
        <v>980</v>
      </c>
      <c r="E257" s="13">
        <v>42916.683611111112</v>
      </c>
      <c r="F257" s="13">
        <v>42916.684745370374</v>
      </c>
      <c r="G257" s="7">
        <v>1</v>
      </c>
      <c r="H257" s="21" t="s">
        <v>397</v>
      </c>
      <c r="I257" s="13">
        <v>42916.686053240737</v>
      </c>
      <c r="J257" s="7">
        <v>0</v>
      </c>
      <c r="K257" s="89" t="str">
        <f t="shared" si="88"/>
        <v>4041/4042</v>
      </c>
      <c r="L257" s="21" t="str">
        <f>VLOOKUP(A257,'Trips&amp;Operators'!$C$1:$G$99999,5,FALSE)</f>
        <v>BRANDNER MELINDA</v>
      </c>
      <c r="M257" s="6">
        <f t="shared" si="89"/>
        <v>1.3078703632345423E-3</v>
      </c>
      <c r="N257" s="7">
        <f t="shared" si="106"/>
        <v>1.8833333230577409</v>
      </c>
      <c r="O257" s="7"/>
      <c r="P257" s="7"/>
      <c r="Q257" s="22"/>
      <c r="R257" s="170"/>
      <c r="S257" s="213">
        <f t="shared" si="107"/>
        <v>0</v>
      </c>
      <c r="T257" s="195" t="str">
        <f t="shared" si="90"/>
        <v>NorthBound</v>
      </c>
      <c r="U257" s="195">
        <f>IF(AG257="EC",COUNTIFS(Variables!$M$2:$M$19,IF(T257="NorthBound","&gt;=","&lt;=")&amp;Y257,Variables!$M$2:$M$19,IF(T257="NorthBound","&lt;=","&gt;=")&amp;Z257),COUNTIFS(Variables!$P$2:$P$19,IF(T257="NorthBound","&gt;=","&lt;=")&amp;Y257,Variables!$P$2:$P$19,IF(T257="NorthBound","&lt;=","&gt;=")&amp;Z257))</f>
        <v>0</v>
      </c>
      <c r="V257" s="196" t="str">
        <f t="shared" si="91"/>
        <v>https://d0f6bd738d7f1b3e5a7ca70fe4ff75f0.us-east-1.aws.found.io/app/kibana#/discover/Steve-Slow-Train-Analysis-(2080s-and-2083s)?_g=(refreshInterval:(display:Off,pause:!f,section:0,value:0),time:(from:'2017-06-30T15:24:24-0600',mode:absolute,to:'2017-06-30T17:27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57" s="197" t="str">
        <f>IF(AA257&lt;VLOOKUP(AG257,Variables!$AC$3:$AD$8,2,FALSE),"Y","N")</f>
        <v>Y</v>
      </c>
      <c r="X257" s="197">
        <f t="shared" si="108"/>
        <v>2</v>
      </c>
      <c r="Y257" s="197">
        <f t="shared" si="104"/>
        <v>0.3322</v>
      </c>
      <c r="Z257" s="197">
        <f t="shared" si="105"/>
        <v>1.4500000000000001E-2</v>
      </c>
      <c r="AA257" s="197">
        <f t="shared" si="92"/>
        <v>0.31769999999999998</v>
      </c>
      <c r="AB257" s="54" t="e">
        <f>VLOOKUP(A257,Enforcements!$C$7:$K$13,8,0)</f>
        <v>#N/A</v>
      </c>
      <c r="AC257" s="51" t="e">
        <f>VLOOKUP(A257,Enforcements!$C$7:$E$13,3,0)</f>
        <v>#N/A</v>
      </c>
      <c r="AD257" s="206">
        <f t="shared" si="93"/>
        <v>75</v>
      </c>
      <c r="AE257" s="77" t="str">
        <f t="shared" si="94"/>
        <v>aws s3 cp s3://rtdc.mdm.uploadarchive.raw/RTDC4041/ "%USERPROFILE%\AppData\Local\Temp\OnboardLogs"\RTDC4041\2017-06-30 --exclude "*" --recursive --include "*20170630*" &amp; "%USERPROFILE%\Documents\GitHub\mrs-test-scripts\Headless Mode &amp; Sideloading\WalkAndUnGZ.bat" "%USERPROFILE%\AppData\Local\Temp\OnboardLogs"\RTDC4041\2017-06-30 &amp; aws s3 cp s3://rtdc.mdm.uploadarchive.raw/RTDC4041/ "%USERPROFILE%\AppData\Local\Temp\OnboardLogs"\RTDC4041\2017-07-01 --exclude "*" --recursive --include "*20170701*" &amp; "%USERPROFILE%\Documents\GitHub\mrs-test-scripts\Headless Mode &amp; Sideloading\WalkAndUnGZ.bat" "%USERPROFILE%\AppData\Local\Temp\OnboardLogs"\RTDC4041\2017-07-01</v>
      </c>
      <c r="AF257" s="74" t="str">
        <f t="shared" si="95"/>
        <v>"C:\Program Files (x86)\AstroGrep\AstroGrep.exe" /e /r /s /spath="%USERPROFILE%\AppData\Local\Temp\OnboardLogs" /stypes="app*4041*20170630*" /stext=" 22:.+((SYSTEM_STATE.+slice.+state.+changed )|(ment ac)|(multiple cpu faults)|(system.+state.+changed )|(\[timeout)|(PRM\|1\|D)|(kpr)|(kdp)|(train st.+moving)|(\|lc)|(penalty))"</v>
      </c>
      <c r="AG257" s="209" t="str">
        <f t="shared" si="96"/>
        <v>Shuttle/Test</v>
      </c>
      <c r="AH257" s="78" t="str">
        <f t="shared" si="97"/>
        <v>"%USERPROFILE%\Documents\GitHub\eaglep3\Utilities\RefineRTDCRunTimes.py" --tripid 75-30 --locoid 4041 --swversion DE.1.0.9.0 --startMP 204:3322 --initTime 2017-06-30T16:24:24 --startdatetime 2017-06-30T16:26:02 --delay 1 --endMP 204:145 --enddatetime 2017-06-30T16:27:55 --enforcementcount 0 &gt;&gt;C:\Users\stu\Documents\GitHub\eaglep3-reporting\EC\2017-06-30-refined-times.txt</v>
      </c>
      <c r="AI257" s="96" t="str">
        <f t="shared" si="98"/>
        <v>echo {"issue":{"subject":"","project_id":79,"tracker_id":40,"status_id":1,"priority_id":2,"assigned_to_id":23,"start_date":"2017-06-30","description":"","custom_fields":[{"id":1,"name":"Subdivision","value":"Shuttle/Test"},{"id":4,"name":"Milepost","value":"0.0145"},{"id":17,"name":"Train ID","value":"75-30"},{"id":16,"name":"Locomotive ID","value":"4041"},{"id":130,"name":"Impact","value":""},{"id":150,"name":"Time of Event (Mountain Time)","value":"16:27:55"},{"id":151,"name":"Denver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7" s="20"/>
      <c r="AK257" s="47"/>
      <c r="AL257" s="47"/>
      <c r="AM257" s="142" t="str">
        <f t="shared" si="99"/>
        <v>start /low /b %USERPROFILE%\Documents\GitHub\eaglep3\Utilities\DownloadLogsFromS3.py --loco 4041 --day 2017-06-30</v>
      </c>
      <c r="AN257" s="151" t="str">
        <f t="shared" si="100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22:27:55"},{"id":29,"name":"Sharepoint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7"/>
    </row>
    <row r="258" spans="1:41" x14ac:dyDescent="0.25">
      <c r="A258" s="32" t="s">
        <v>776</v>
      </c>
      <c r="B258" s="7">
        <v>4042</v>
      </c>
      <c r="C258" s="21" t="s">
        <v>200</v>
      </c>
      <c r="D258" s="21" t="s">
        <v>981</v>
      </c>
      <c r="E258" s="13">
        <v>42916.679907407408</v>
      </c>
      <c r="F258" s="13">
        <v>42916.684745370374</v>
      </c>
      <c r="G258" s="7">
        <v>1</v>
      </c>
      <c r="H258" s="21" t="s">
        <v>982</v>
      </c>
      <c r="I258" s="13">
        <v>42916.686053240737</v>
      </c>
      <c r="J258" s="7">
        <v>0</v>
      </c>
      <c r="K258" s="89" t="str">
        <f t="shared" si="88"/>
        <v>4041/4042</v>
      </c>
      <c r="L258" s="21" t="str">
        <f>VLOOKUP(A258,'Trips&amp;Operators'!$C$1:$G$99999,5,FALSE)</f>
        <v>BRANDNER MELINDA</v>
      </c>
      <c r="M258" s="6">
        <f t="shared" si="89"/>
        <v>1.3078703632345423E-3</v>
      </c>
      <c r="N258" s="7">
        <f t="shared" si="106"/>
        <v>1.8833333230577409</v>
      </c>
      <c r="O258" s="7"/>
      <c r="P258" s="7"/>
      <c r="Q258" s="22"/>
      <c r="R258" s="170"/>
      <c r="S258" s="213">
        <f t="shared" si="107"/>
        <v>0</v>
      </c>
      <c r="T258" s="195" t="str">
        <f t="shared" si="90"/>
        <v>NorthBound</v>
      </c>
      <c r="U258" s="195">
        <f>IF(AG258="EC",COUNTIFS(Variables!$M$2:$M$19,IF(T258="NorthBound","&gt;=","&lt;=")&amp;Y258,Variables!$M$2:$M$19,IF(T258="NorthBound","&lt;=","&gt;=")&amp;Z258),COUNTIFS(Variables!$P$2:$P$19,IF(T258="NorthBound","&gt;=","&lt;=")&amp;Y258,Variables!$P$2:$P$19,IF(T258="NorthBound","&lt;=","&gt;=")&amp;Z258))</f>
        <v>0</v>
      </c>
      <c r="V258" s="196" t="str">
        <f t="shared" si="91"/>
        <v>https://d0f6bd738d7f1b3e5a7ca70fe4ff75f0.us-east-1.aws.found.io/app/kibana#/discover/Steve-Slow-Train-Analysis-(2080s-and-2083s)?_g=(refreshInterval:(display:Off,pause:!f,section:0,value:0),time:(from:'2017-06-30T15:19:04-0600',mode:absolute,to:'2017-06-30T17:27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58" s="197" t="str">
        <f>IF(AA258&lt;VLOOKUP(AG258,Variables!$AC$3:$AD$8,2,FALSE),"Y","N")</f>
        <v>Y</v>
      </c>
      <c r="X258" s="197">
        <f t="shared" si="108"/>
        <v>0</v>
      </c>
      <c r="Y258" s="197">
        <f t="shared" ref="Y258:Y281" si="109">RIGHT(D258,LEN(D258)-4)/10000</f>
        <v>0.1328</v>
      </c>
      <c r="Z258" s="197">
        <f t="shared" ref="Z258:Z281" si="110">RIGHT(H258,LEN(H258)-4)/10000</f>
        <v>0.36080000000000001</v>
      </c>
      <c r="AA258" s="197">
        <f t="shared" si="92"/>
        <v>0.22800000000000001</v>
      </c>
      <c r="AB258" s="54" t="e">
        <f>VLOOKUP(A258,Enforcements!$C$7:$K$13,8,0)</f>
        <v>#N/A</v>
      </c>
      <c r="AC258" s="51" t="e">
        <f>VLOOKUP(A258,Enforcements!$C$7:$E$13,3,0)</f>
        <v>#N/A</v>
      </c>
      <c r="AD258" s="206">
        <f t="shared" si="93"/>
        <v>75</v>
      </c>
      <c r="AE258" s="77" t="str">
        <f t="shared" si="94"/>
        <v>aws s3 cp s3://rtdc.mdm.uploadarchive.raw/RTDC4042/ "%USERPROFILE%\AppData\Local\Temp\OnboardLogs"\RTDC4042\2017-06-30 --exclude "*" --recursive --include "*20170630*" &amp; "%USERPROFILE%\Documents\GitHub\mrs-test-scripts\Headless Mode &amp; Sideloading\WalkAndUnGZ.bat" "%USERPROFILE%\AppData\Local\Temp\OnboardLogs"\RTDC4042\2017-06-30 &amp; aws s3 cp s3://rtdc.mdm.uploadarchive.raw/RTDC4042/ "%USERPROFILE%\AppData\Local\Temp\OnboardLogs"\RTDC4042\2017-07-01 --exclude "*" --recursive --include "*20170701*" &amp; "%USERPROFILE%\Documents\GitHub\mrs-test-scripts\Headless Mode &amp; Sideloading\WalkAndUnGZ.bat" "%USERPROFILE%\AppData\Local\Temp\OnboardLogs"\RTDC4042\2017-07-01</v>
      </c>
      <c r="AF258" s="74" t="str">
        <f t="shared" si="95"/>
        <v>"C:\Program Files (x86)\AstroGrep\AstroGrep.exe" /e /r /s /spath="%USERPROFILE%\AppData\Local\Temp\OnboardLogs" /stypes="app*4042*20170630*" /stext=" 22:.+((SYSTEM_STATE.+slice.+state.+changed )|(ment ac)|(multiple cpu faults)|(system.+state.+changed )|(\[timeout)|(PRM\|1\|D)|(kpr)|(kdp)|(train st.+moving)|(\|lc)|(penalty))"</v>
      </c>
      <c r="AG258" s="209" t="str">
        <f t="shared" si="96"/>
        <v>Shuttle/Test</v>
      </c>
      <c r="AH258" s="78" t="str">
        <f t="shared" si="97"/>
        <v>"%USERPROFILE%\Documents\GitHub\eaglep3\Utilities\RefineRTDCRunTimes.py" --tripid 75-30 --locoid 4042 --swversion DE.1.0.9.0 --startMP 204:1328 --initTime 2017-06-30T16:19:04 --startdatetime 2017-06-30T16:26:02 --delay 1 --endMP 204:3608 --enddatetime 2017-06-30T16:27:55 --enforcementcount 0 &gt;&gt;C:\Users\stu\Documents\GitHub\eaglep3-reporting\EC\2017-06-30-refined-times.txt</v>
      </c>
      <c r="AI258" s="96" t="str">
        <f t="shared" si="98"/>
        <v>echo {"issue":{"subject":"","project_id":79,"tracker_id":40,"status_id":1,"priority_id":2,"assigned_to_id":23,"start_date":"2017-06-30","description":"","custom_fields":[{"id":1,"name":"Subdivision","value":"Shuttle/Test"},{"id":4,"name":"Milepost","value":"0.3608"},{"id":17,"name":"Train ID","value":"75-30"},{"id":16,"name":"Locomotive ID","value":"4042"},{"id":130,"name":"Impact","value":""},{"id":150,"name":"Time of Event (Mountain Time)","value":"16:27:55"},{"id":151,"name":"Denver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8" s="20"/>
      <c r="AK258" s="47"/>
      <c r="AL258" s="47"/>
      <c r="AM258" s="142" t="str">
        <f t="shared" si="99"/>
        <v>start /low /b %USERPROFILE%\Documents\GitHub\eaglep3\Utilities\DownloadLogsFromS3.py --loco 4042 --day 2017-06-30</v>
      </c>
      <c r="AN258" s="151" t="str">
        <f t="shared" si="100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22:27:55"},{"id":29,"name":"Sharepoint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8"/>
    </row>
    <row r="259" spans="1:41" x14ac:dyDescent="0.25">
      <c r="A259" s="32" t="s">
        <v>792</v>
      </c>
      <c r="B259" s="7">
        <v>4003</v>
      </c>
      <c r="C259" s="21" t="s">
        <v>200</v>
      </c>
      <c r="D259" s="21" t="s">
        <v>983</v>
      </c>
      <c r="E259" s="13">
        <v>42916.733564814815</v>
      </c>
      <c r="F259" s="13">
        <v>42916.736018518517</v>
      </c>
      <c r="G259" s="7">
        <v>3</v>
      </c>
      <c r="H259" s="21" t="s">
        <v>984</v>
      </c>
      <c r="I259" s="13">
        <v>42916.743622685186</v>
      </c>
      <c r="J259" s="7">
        <v>0</v>
      </c>
      <c r="K259" s="89" t="str">
        <f t="shared" si="88"/>
        <v>4003/4004</v>
      </c>
      <c r="L259" s="21" t="str">
        <f>VLOOKUP(A259,'Trips&amp;Operators'!$C$1:$G$99999,5,FALSE)</f>
        <v>FORTUNATO FRANK</v>
      </c>
      <c r="M259" s="6">
        <f t="shared" si="89"/>
        <v>7.6041666688979603E-3</v>
      </c>
      <c r="N259" s="7">
        <f t="shared" si="106"/>
        <v>10.950000003213063</v>
      </c>
      <c r="O259" s="7"/>
      <c r="P259" s="7"/>
      <c r="Q259" s="22"/>
      <c r="R259" s="170"/>
      <c r="S259" s="213">
        <f t="shared" si="107"/>
        <v>1</v>
      </c>
      <c r="T259" s="195" t="str">
        <f t="shared" si="90"/>
        <v>Southbound</v>
      </c>
      <c r="U259" s="195">
        <f>IF(AG259="EC",COUNTIFS(Variables!$M$2:$M$19,IF(T259="NorthBound","&gt;=","&lt;=")&amp;Y259,Variables!$M$2:$M$19,IF(T259="NorthBound","&lt;=","&gt;=")&amp;Z259),COUNTIFS(Variables!$P$2:$P$19,IF(T259="NorthBound","&gt;=","&lt;=")&amp;Y259,Variables!$P$2:$P$19,IF(T259="NorthBound","&lt;=","&gt;=")&amp;Z259))</f>
        <v>1</v>
      </c>
      <c r="V259" s="196" t="str">
        <f t="shared" si="91"/>
        <v>https://d0f6bd738d7f1b3e5a7ca70fe4ff75f0.us-east-1.aws.found.io/app/kibana#/discover/Steve-Slow-Train-Analysis-(2080s-and-2083s)?_g=(refreshInterval:(display:Off,pause:!f,section:0,value:0),time:(from:'2017-06-30T16:36:20-0600',mode:absolute,to:'2017-06-30T18:50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59" s="197" t="str">
        <f>IF(AA259&lt;VLOOKUP(AG259,Variables!$AC$3:$AD$8,2,FALSE),"Y","N")</f>
        <v>Y</v>
      </c>
      <c r="X259" s="197">
        <f t="shared" si="108"/>
        <v>1</v>
      </c>
      <c r="Y259" s="197">
        <f t="shared" si="109"/>
        <v>2.3237000000000001</v>
      </c>
      <c r="Z259" s="197">
        <f t="shared" si="110"/>
        <v>1.2200000000000001E-2</v>
      </c>
      <c r="AA259" s="197">
        <f t="shared" si="92"/>
        <v>2.3115000000000001</v>
      </c>
      <c r="AB259" s="54" t="e">
        <f>VLOOKUP(A259,Enforcements!$C$7:$K$13,8,0)</f>
        <v>#N/A</v>
      </c>
      <c r="AC259" s="51" t="e">
        <f>VLOOKUP(A259,Enforcements!$C$7:$E$13,3,0)</f>
        <v>#N/A</v>
      </c>
      <c r="AD259" s="206">
        <f t="shared" si="93"/>
        <v>76</v>
      </c>
      <c r="AE259" s="77" t="str">
        <f t="shared" si="94"/>
        <v>aws s3 cp s3://rtdc.mdm.uploadarchive.raw/RTDC4003/ "%USERPROFILE%\AppData\Local\Temp\OnboardLogs"\RTDC4003\2017-06-30 --exclude "*" --recursive --include "*20170630*" &amp; "%USERPROFILE%\Documents\GitHub\mrs-test-scripts\Headless Mode &amp; Sideloading\WalkAndUnGZ.bat" "%USERPROFILE%\AppData\Local\Temp\OnboardLogs"\RTDC4003\2017-06-30 &amp; aws s3 cp s3://rtdc.mdm.uploadarchive.raw/RTDC4003/ "%USERPROFILE%\AppData\Local\Temp\OnboardLogs"\RTDC4003\2017-07-01 --exclude "*" --recursive --include "*20170701*" &amp; "%USERPROFILE%\Documents\GitHub\mrs-test-scripts\Headless Mode &amp; Sideloading\WalkAndUnGZ.bat" "%USERPROFILE%\AppData\Local\Temp\OnboardLogs"\RTDC4003\2017-07-01</v>
      </c>
      <c r="AF259" s="74" t="str">
        <f t="shared" si="95"/>
        <v>"C:\Program Files (x86)\AstroGrep\AstroGrep.exe" /e /r /s /spath="%USERPROFILE%\AppData\Local\Temp\OnboardLogs" /stypes="app*4003*20170630*" /stext=" 23:.+((SYSTEM_STATE.+slice.+state.+changed )|(ment ac)|(multiple cpu faults)|(system.+state.+changed )|(\[timeout)|(PRM\|1\|D)|(kpr)|(kdp)|(train st.+moving)|(\|lc)|(penalty))"</v>
      </c>
      <c r="AG259" s="209" t="str">
        <f t="shared" si="96"/>
        <v>Shuttle/Test</v>
      </c>
      <c r="AH259" s="78" t="str">
        <f t="shared" si="97"/>
        <v>"%USERPROFILE%\Documents\GitHub\eaglep3\Utilities\RefineRTDCRunTimes.py" --tripid 76-30 --locoid 4003 --swversion DE.1.0.9.0 --startMP 300:23237 --initTime 2017-06-30T17:36:20 --startdatetime 2017-06-30T17:39:52 --delay 3 --endMP 204:122 --enddatetime 2017-06-30T17:50:49 --enforcementcount 0 &gt;&gt;C:\Users\stu\Documents\GitHub\eaglep3-reporting\EC\2017-06-30-refined-times.txt</v>
      </c>
      <c r="AI259" s="96" t="str">
        <f t="shared" si="98"/>
        <v>echo {"issue":{"subject":"","project_id":79,"tracker_id":40,"status_id":1,"priority_id":2,"assigned_to_id":23,"start_date":"2017-06-30","description":"","custom_fields":[{"id":1,"name":"Subdivision","value":"Shuttle/Test"},{"id":4,"name":"Milepost","value":"0.0122"},{"id":17,"name":"Train ID","value":"76-30"},{"id":16,"name":"Locomotive ID","value":"4003"},{"id":130,"name":"Impact","value":""},{"id":150,"name":"Time of Event (Mountain Time)","value":"17:50:49"},{"id":151,"name":"Denver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9" s="20"/>
      <c r="AK259" s="47"/>
      <c r="AL259" s="47"/>
      <c r="AM259" s="142" t="str">
        <f t="shared" si="99"/>
        <v>start /low /b %USERPROFILE%\Documents\GitHub\eaglep3\Utilities\DownloadLogsFromS3.py --loco 4003 --day 2017-06-30</v>
      </c>
      <c r="AN259" s="151" t="str">
        <f t="shared" si="100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23:50:49"},{"id":29,"name":"Sharepoint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9"/>
    </row>
    <row r="260" spans="1:41" x14ac:dyDescent="0.25">
      <c r="A260" s="32" t="s">
        <v>783</v>
      </c>
      <c r="B260" s="7">
        <v>4022</v>
      </c>
      <c r="C260" s="21" t="s">
        <v>200</v>
      </c>
      <c r="D260" s="21" t="s">
        <v>985</v>
      </c>
      <c r="E260" s="13">
        <v>42916.704710648148</v>
      </c>
      <c r="F260" s="13">
        <v>42916.706689814811</v>
      </c>
      <c r="G260" s="7">
        <v>1</v>
      </c>
      <c r="H260" s="21" t="s">
        <v>508</v>
      </c>
      <c r="I260" s="13">
        <v>42916.712766203702</v>
      </c>
      <c r="J260" s="7">
        <v>0</v>
      </c>
      <c r="K260" s="89" t="str">
        <f t="shared" si="88"/>
        <v>4021/4022</v>
      </c>
      <c r="L260" s="21" t="str">
        <f>VLOOKUP(A260,'Trips&amp;Operators'!$C$1:$G$99999,5,FALSE)</f>
        <v>DE LA ROSA ALEX</v>
      </c>
      <c r="M260" s="6">
        <f t="shared" si="89"/>
        <v>6.0763888905057684E-3</v>
      </c>
      <c r="N260" s="7">
        <f t="shared" si="106"/>
        <v>8.7500000023283064</v>
      </c>
      <c r="O260" s="7"/>
      <c r="P260" s="7"/>
      <c r="Q260" s="22"/>
      <c r="R260" s="170"/>
      <c r="S260" s="213">
        <f t="shared" si="107"/>
        <v>1</v>
      </c>
      <c r="T260" s="195" t="str">
        <f t="shared" si="90"/>
        <v>NorthBound</v>
      </c>
      <c r="U260" s="195">
        <f>IF(AG260="EC",COUNTIFS(Variables!$M$2:$M$19,IF(T260="NorthBound","&gt;=","&lt;=")&amp;Y260,Variables!$M$2:$M$19,IF(T260="NorthBound","&lt;=","&gt;=")&amp;Z260),COUNTIFS(Variables!$P$2:$P$19,IF(T260="NorthBound","&gt;=","&lt;=")&amp;Y260,Variables!$P$2:$P$19,IF(T260="NorthBound","&lt;=","&gt;=")&amp;Z260))</f>
        <v>1</v>
      </c>
      <c r="V260" s="196" t="str">
        <f t="shared" si="91"/>
        <v>https://d0f6bd738d7f1b3e5a7ca70fe4ff75f0.us-east-1.aws.found.io/app/kibana#/discover/Steve-Slow-Train-Analysis-(2080s-and-2083s)?_g=(refreshInterval:(display:Off,pause:!f,section:0,value:0),time:(from:'2017-06-30T15:54:47-0600',mode:absolute,to:'2017-06-30T18:06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60" s="197" t="str">
        <f>IF(AA260&lt;VLOOKUP(AG260,Variables!$AC$3:$AD$8,2,FALSE),"Y","N")</f>
        <v>Y</v>
      </c>
      <c r="X260" s="197">
        <f t="shared" si="108"/>
        <v>1</v>
      </c>
      <c r="Y260" s="197">
        <f t="shared" si="109"/>
        <v>0.122</v>
      </c>
      <c r="Z260" s="197">
        <f t="shared" si="110"/>
        <v>2.3308</v>
      </c>
      <c r="AA260" s="197">
        <f t="shared" si="92"/>
        <v>2.2088000000000001</v>
      </c>
      <c r="AB260" s="54" t="e">
        <f>VLOOKUP(A260,Enforcements!$C$7:$K$13,8,0)</f>
        <v>#N/A</v>
      </c>
      <c r="AC260" s="51" t="e">
        <f>VLOOKUP(A260,Enforcements!$C$7:$E$13,3,0)</f>
        <v>#N/A</v>
      </c>
      <c r="AD260" s="206">
        <f t="shared" si="93"/>
        <v>77</v>
      </c>
      <c r="AE260" s="77" t="str">
        <f t="shared" si="94"/>
        <v>aws s3 cp s3://rtdc.mdm.uploadarchive.raw/RTDC4022/ "%USERPROFILE%\AppData\Local\Temp\OnboardLogs"\RTDC4022\2017-06-30 --exclude "*" --recursive --include "*20170630*" &amp; "%USERPROFILE%\Documents\GitHub\mrs-test-scripts\Headless Mode &amp; Sideloading\WalkAndUnGZ.bat" "%USERPROFILE%\AppData\Local\Temp\OnboardLogs"\RTDC4022\2017-06-30 &amp; aws s3 cp s3://rtdc.mdm.uploadarchive.raw/RTDC4022/ "%USERPROFILE%\AppData\Local\Temp\OnboardLogs"\RTDC4022\2017-07-01 --exclude "*" --recursive --include "*20170701*" &amp; "%USERPROFILE%\Documents\GitHub\mrs-test-scripts\Headless Mode &amp; Sideloading\WalkAndUnGZ.bat" "%USERPROFILE%\AppData\Local\Temp\OnboardLogs"\RTDC4022\2017-07-01</v>
      </c>
      <c r="AF260" s="74" t="str">
        <f t="shared" si="95"/>
        <v>"C:\Program Files (x86)\AstroGrep\AstroGrep.exe" /e /r /s /spath="%USERPROFILE%\AppData\Local\Temp\OnboardLogs" /stypes="app*4022*20170630*" /stext=" 23:.+((SYSTEM_STATE.+slice.+state.+changed )|(ment ac)|(multiple cpu faults)|(system.+state.+changed )|(\[timeout)|(PRM\|1\|D)|(kpr)|(kdp)|(train st.+moving)|(\|lc)|(penalty))"</v>
      </c>
      <c r="AG260" s="209" t="str">
        <f t="shared" si="96"/>
        <v>Shuttle/Test</v>
      </c>
      <c r="AH260" s="78" t="str">
        <f t="shared" si="97"/>
        <v>"%USERPROFILE%\Documents\GitHub\eaglep3\Utilities\RefineRTDCRunTimes.py" --tripid 77-30 --locoid 4022 --swversion DE.1.0.9.0 --startMP 204:1220 --initTime 2017-06-30T16:54:47 --startdatetime 2017-06-30T16:57:38 --delay 1 --endMP 300:23308 --enddatetime 2017-06-30T17:06:23 --enforcementcount 0 &gt;&gt;C:\Users\stu\Documents\GitHub\eaglep3-reporting\EC\2017-06-30-refined-times.txt</v>
      </c>
      <c r="AI260" s="96" t="str">
        <f t="shared" si="98"/>
        <v>echo {"issue":{"subject":"","project_id":79,"tracker_id":40,"status_id":1,"priority_id":2,"assigned_to_id":23,"start_date":"2017-06-30","description":"","custom_fields":[{"id":1,"name":"Subdivision","value":"Shuttle/Test"},{"id":4,"name":"Milepost","value":"2.3308"},{"id":17,"name":"Train ID","value":"77-30"},{"id":16,"name":"Locomotive ID","value":"4022"},{"id":130,"name":"Impact","value":""},{"id":150,"name":"Time of Event (Mountain Time)","value":"17:06:23"},{"id":151,"name":"Denver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0" s="20"/>
      <c r="AK260" s="47"/>
      <c r="AL260" s="47"/>
      <c r="AM260" s="142" t="str">
        <f t="shared" si="99"/>
        <v>start /low /b %USERPROFILE%\Documents\GitHub\eaglep3\Utilities\DownloadLogsFromS3.py --loco 4022 --day 2017-06-30</v>
      </c>
      <c r="AN260" s="151" t="str">
        <f t="shared" si="100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23:06:23"},{"id":29,"name":"Sharepoint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0"/>
    </row>
    <row r="261" spans="1:41" x14ac:dyDescent="0.25">
      <c r="A261" s="32" t="s">
        <v>633</v>
      </c>
      <c r="B261" s="7">
        <v>4011</v>
      </c>
      <c r="C261" s="21" t="s">
        <v>200</v>
      </c>
      <c r="D261" s="21" t="s">
        <v>986</v>
      </c>
      <c r="E261" s="13">
        <v>42916.829224537039</v>
      </c>
      <c r="F261" s="13">
        <v>42916.831620370373</v>
      </c>
      <c r="G261" s="7">
        <v>3</v>
      </c>
      <c r="H261" s="21" t="s">
        <v>987</v>
      </c>
      <c r="I261" s="13">
        <v>42916.836365740739</v>
      </c>
      <c r="J261" s="7">
        <v>0</v>
      </c>
      <c r="K261" s="89" t="str">
        <f t="shared" si="88"/>
        <v>4011/4012</v>
      </c>
      <c r="L261" s="21" t="str">
        <f>VLOOKUP(A261,'Trips&amp;Operators'!$C$1:$G$99999,5,FALSE)</f>
        <v>BIRENBAUM THOMAS</v>
      </c>
      <c r="M261" s="6">
        <f t="shared" si="89"/>
        <v>4.7453703664359637E-3</v>
      </c>
      <c r="N261" s="7">
        <f t="shared" si="106"/>
        <v>6.8333333276677877</v>
      </c>
      <c r="O261" s="7"/>
      <c r="P261" s="7"/>
      <c r="Q261" s="22"/>
      <c r="R261" s="170"/>
      <c r="S261" s="213">
        <f t="shared" si="107"/>
        <v>1</v>
      </c>
      <c r="T261" s="195" t="str">
        <f t="shared" si="90"/>
        <v>Southbound</v>
      </c>
      <c r="U261" s="195">
        <f>IF(AG261="EC",COUNTIFS(Variables!$M$2:$M$19,IF(T261="NorthBound","&gt;=","&lt;=")&amp;Y261,Variables!$M$2:$M$19,IF(T261="NorthBound","&lt;=","&gt;=")&amp;Z261),COUNTIFS(Variables!$P$2:$P$19,IF(T261="NorthBound","&gt;=","&lt;=")&amp;Y261,Variables!$P$2:$P$19,IF(T261="NorthBound","&lt;=","&gt;=")&amp;Z261))</f>
        <v>1</v>
      </c>
      <c r="V261" s="196" t="str">
        <f t="shared" si="91"/>
        <v>https://d0f6bd738d7f1b3e5a7ca70fe4ff75f0.us-east-1.aws.found.io/app/kibana#/discover/Steve-Slow-Train-Analysis-(2080s-and-2083s)?_g=(refreshInterval:(display:Off,pause:!f,section:0,value:0),time:(from:'2017-06-30T18:54:05-0600',mode:absolute,to:'2017-06-30T21:04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61" s="197" t="str">
        <f>IF(AA261&lt;VLOOKUP(AG261,Variables!$AC$3:$AD$8,2,FALSE),"Y","N")</f>
        <v>Y</v>
      </c>
      <c r="X261" s="197">
        <f t="shared" si="108"/>
        <v>1</v>
      </c>
      <c r="Y261" s="197">
        <f t="shared" si="109"/>
        <v>2.2572999999999999</v>
      </c>
      <c r="Z261" s="197">
        <f t="shared" si="110"/>
        <v>0.44259999999999999</v>
      </c>
      <c r="AA261" s="197">
        <f t="shared" si="92"/>
        <v>1.8146999999999998</v>
      </c>
      <c r="AB261" s="54" t="e">
        <f>VLOOKUP(A261,Enforcements!$C$7:$K$13,8,0)</f>
        <v>#N/A</v>
      </c>
      <c r="AC261" s="51" t="e">
        <f>VLOOKUP(A261,Enforcements!$C$7:$E$13,3,0)</f>
        <v>#N/A</v>
      </c>
      <c r="AD261" s="206">
        <f t="shared" si="93"/>
        <v>78</v>
      </c>
      <c r="AE261" s="77" t="str">
        <f t="shared" si="94"/>
        <v>aws s3 cp s3://rtdc.mdm.uploadarchive.raw/RTDC4011/ "%USERPROFILE%\AppData\Local\Temp\OnboardLogs"\RTDC4011\2017-06-30 --exclude "*" --recursive --include "*20170630*" &amp; "%USERPROFILE%\Documents\GitHub\mrs-test-scripts\Headless Mode &amp; Sideloading\WalkAndUnGZ.bat" "%USERPROFILE%\AppData\Local\Temp\OnboardLogs"\RTDC4011\2017-06-30 &amp; aws s3 cp s3://rtdc.mdm.uploadarchive.raw/RTDC4011/ "%USERPROFILE%\AppData\Local\Temp\OnboardLogs"\RTDC4011\2017-07-01 --exclude "*" --recursive --include "*20170701*" &amp; "%USERPROFILE%\Documents\GitHub\mrs-test-scripts\Headless Mode &amp; Sideloading\WalkAndUnGZ.bat" "%USERPROFILE%\AppData\Local\Temp\OnboardLogs"\RTDC4011\2017-07-01</v>
      </c>
      <c r="AF261" s="74" t="str">
        <f t="shared" si="95"/>
        <v>"C:\Program Files (x86)\AstroGrep\AstroGrep.exe" /e /r /s /spath="%USERPROFILE%\AppData\Local\Temp\OnboardLogs" /stypes="app*4011*20170701*" /stext=" 02:.+((SYSTEM_STATE.+slice.+state.+changed )|(ment ac)|(multiple cpu faults)|(system.+state.+changed )|(\[timeout)|(PRM\|1\|D)|(kpr)|(kdp)|(train st.+moving)|(\|lc)|(penalty))"</v>
      </c>
      <c r="AG261" s="209" t="str">
        <f t="shared" si="96"/>
        <v>Shuttle/Test</v>
      </c>
      <c r="AH261" s="78" t="str">
        <f t="shared" si="97"/>
        <v>"%USERPROFILE%\Documents\GitHub\eaglep3\Utilities\RefineRTDCRunTimes.py" --tripid 78-30 --locoid 4011 --swversion DE.1.0.9.0 --startMP 300:22573 --initTime 2017-06-30T19:54:05 --startdatetime 2017-06-30T19:57:32 --delay 3 --endMP 204:4426 --enddatetime 2017-06-30T20:04:22 --enforcementcount 0 &gt;&gt;C:\Users\stu\Documents\GitHub\eaglep3-reporting\EC\2017-06-30-refined-times.txt</v>
      </c>
      <c r="AI261" s="96" t="str">
        <f t="shared" si="98"/>
        <v>echo {"issue":{"subject":"","project_id":79,"tracker_id":40,"status_id":1,"priority_id":2,"assigned_to_id":23,"start_date":"2017-06-30","description":"","custom_fields":[{"id":1,"name":"Subdivision","value":"Shuttle/Test"},{"id":4,"name":"Milepost","value":"0.4426"},{"id":17,"name":"Train ID","value":"78-30"},{"id":16,"name":"Locomotive ID","value":"4011"},{"id":130,"name":"Impact","value":""},{"id":150,"name":"Time of Event (Mountain Time)","value":"20:04:22"},{"id":151,"name":"Denver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1" s="20"/>
      <c r="AK261" s="47"/>
      <c r="AL261" s="47"/>
      <c r="AM261" s="142" t="str">
        <f t="shared" si="99"/>
        <v>start /low /b %USERPROFILE%\Documents\GitHub\eaglep3\Utilities\DownloadLogsFromS3.py --loco 4011 --day 2017-06-30</v>
      </c>
      <c r="AN261" s="151" t="str">
        <f t="shared" si="100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02:04:22"},{"id":29,"name":"Sharepoint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1"/>
    </row>
    <row r="262" spans="1:41" x14ac:dyDescent="0.25">
      <c r="A262" s="32" t="s">
        <v>609</v>
      </c>
      <c r="B262" s="7">
        <v>4013</v>
      </c>
      <c r="C262" s="21" t="s">
        <v>200</v>
      </c>
      <c r="D262" s="21" t="s">
        <v>997</v>
      </c>
      <c r="E262" s="13">
        <v>42916.598298611112</v>
      </c>
      <c r="F262" s="13">
        <v>42916.599849537037</v>
      </c>
      <c r="G262" s="7">
        <v>1</v>
      </c>
      <c r="H262" s="21" t="s">
        <v>397</v>
      </c>
      <c r="I262" s="13">
        <v>42916.601064814815</v>
      </c>
      <c r="J262" s="7">
        <v>0</v>
      </c>
      <c r="K262" s="89" t="str">
        <f t="shared" si="88"/>
        <v>4013/4014</v>
      </c>
      <c r="L262" s="21" t="str">
        <f>VLOOKUP(A262,'Trips&amp;Operators'!$C$1:$G$99999,5,FALSE)</f>
        <v>DE LA ROSA ALEX</v>
      </c>
      <c r="M262" s="6">
        <f t="shared" si="89"/>
        <v>1.2152777781011537E-3</v>
      </c>
      <c r="N262" s="7">
        <f t="shared" si="106"/>
        <v>1.7500000004656613</v>
      </c>
      <c r="O262" s="7"/>
      <c r="P262" s="7"/>
      <c r="Q262" s="22"/>
      <c r="R262" s="170"/>
      <c r="S262" s="213">
        <f t="shared" si="107"/>
        <v>0</v>
      </c>
      <c r="T262" s="195" t="str">
        <f t="shared" si="90"/>
        <v>NorthBound</v>
      </c>
      <c r="U262" s="195">
        <f>IF(AG262="EC",COUNTIFS(Variables!$M$2:$M$19,IF(T262="NorthBound","&gt;=","&lt;=")&amp;Y262,Variables!$M$2:$M$19,IF(T262="NorthBound","&lt;=","&gt;=")&amp;Z262),COUNTIFS(Variables!$P$2:$P$19,IF(T262="NorthBound","&gt;=","&lt;=")&amp;Y262,Variables!$P$2:$P$19,IF(T262="NorthBound","&lt;=","&gt;=")&amp;Z262))</f>
        <v>0</v>
      </c>
      <c r="V262" s="196" t="str">
        <f t="shared" si="91"/>
        <v>https://d0f6bd738d7f1b3e5a7ca70fe4ff75f0.us-east-1.aws.found.io/app/kibana#/discover/Steve-Slow-Train-Analysis-(2080s-and-2083s)?_g=(refreshInterval:(display:Off,pause:!f,section:0,value:0),time:(from:'2017-06-30T13:21:33-0600',mode:absolute,to:'2017-06-30T15:25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62" s="197" t="str">
        <f>IF(AA262&lt;VLOOKUP(AG262,Variables!$AC$3:$AD$8,2,FALSE),"Y","N")</f>
        <v>Y</v>
      </c>
      <c r="X262" s="197">
        <f t="shared" si="108"/>
        <v>3</v>
      </c>
      <c r="Y262" s="197">
        <f t="shared" si="109"/>
        <v>0.32879999999999998</v>
      </c>
      <c r="Z262" s="197">
        <f t="shared" si="110"/>
        <v>1.4500000000000001E-2</v>
      </c>
      <c r="AA262" s="197">
        <f t="shared" si="92"/>
        <v>0.31429999999999997</v>
      </c>
      <c r="AB262" s="54" t="e">
        <f>VLOOKUP(A262,Enforcements!$C$7:$K$13,8,0)</f>
        <v>#N/A</v>
      </c>
      <c r="AC262" s="51" t="e">
        <f>VLOOKUP(A262,Enforcements!$C$7:$E$13,3,0)</f>
        <v>#N/A</v>
      </c>
      <c r="AD262" s="206">
        <f t="shared" si="93"/>
        <v>81</v>
      </c>
      <c r="AE262" s="77" t="str">
        <f t="shared" si="94"/>
        <v>aws s3 cp s3://rtdc.mdm.uploadarchive.raw/RTDC4013/ "%USERPROFILE%\AppData\Local\Temp\OnboardLogs"\RTDC4013\2017-06-30 --exclude "*" --recursive --include "*20170630*" &amp; "%USERPROFILE%\Documents\GitHub\mrs-test-scripts\Headless Mode &amp; Sideloading\WalkAndUnGZ.bat" "%USERPROFILE%\AppData\Local\Temp\OnboardLogs"\RTDC4013\2017-06-30 &amp; aws s3 cp s3://rtdc.mdm.uploadarchive.raw/RTDC4013/ "%USERPROFILE%\AppData\Local\Temp\OnboardLogs"\RTDC4013\2017-07-01 --exclude "*" --recursive --include "*20170701*" &amp; "%USERPROFILE%\Documents\GitHub\mrs-test-scripts\Headless Mode &amp; Sideloading\WalkAndUnGZ.bat" "%USERPROFILE%\AppData\Local\Temp\OnboardLogs"\RTDC4013\2017-07-01</v>
      </c>
      <c r="AF262" s="74" t="str">
        <f t="shared" si="95"/>
        <v>"C:\Program Files (x86)\AstroGrep\AstroGrep.exe" /e /r /s /spath="%USERPROFILE%\AppData\Local\Temp\OnboardLogs" /stypes="app*4013*20170630*" /stext=" 20:.+((SYSTEM_STATE.+slice.+state.+changed )|(ment ac)|(multiple cpu faults)|(system.+state.+changed )|(\[timeout)|(PRM\|1\|D)|(kpr)|(kdp)|(train st.+moving)|(\|lc)|(penalty))"</v>
      </c>
      <c r="AG262" s="209" t="str">
        <f t="shared" si="96"/>
        <v>Shuttle/Test</v>
      </c>
      <c r="AH262" s="78" t="str">
        <f t="shared" si="97"/>
        <v>"%USERPROFILE%\Documents\GitHub\eaglep3\Utilities\RefineRTDCRunTimes.py" --tripid 81-30 --locoid 4013 --swversion DE.1.0.9.0 --startMP 204:3288 --initTime 2017-06-30T14:21:33 --startdatetime 2017-06-30T14:23:47 --delay 1 --endMP 204:145 --enddatetime 2017-06-30T14:25:32 --enforcementcount 0 &gt;&gt;C:\Users\stu\Documents\GitHub\eaglep3-reporting\EC\2017-06-30-refined-times.txt</v>
      </c>
      <c r="AI262" s="96" t="str">
        <f t="shared" si="98"/>
        <v>echo {"issue":{"subject":"","project_id":79,"tracker_id":40,"status_id":1,"priority_id":2,"assigned_to_id":23,"start_date":"2017-06-30","description":"","custom_fields":[{"id":1,"name":"Subdivision","value":"Shuttle/Test"},{"id":4,"name":"Milepost","value":"0.0145"},{"id":17,"name":"Train ID","value":"81-30"},{"id":16,"name":"Locomotive ID","value":"4013"},{"id":130,"name":"Impact","value":""},{"id":150,"name":"Time of Event (Mountain Time)","value":"14:25:32"},{"id":151,"name":"Denver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2" s="20"/>
      <c r="AK262" s="47"/>
      <c r="AL262" s="47"/>
      <c r="AM262" s="142" t="str">
        <f t="shared" si="99"/>
        <v>start /low /b %USERPROFILE%\Documents\GitHub\eaglep3\Utilities\DownloadLogsFromS3.py --loco 4013 --day 2017-06-30</v>
      </c>
      <c r="AN262" s="151" t="str">
        <f t="shared" si="100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20:25:32"},{"id":29,"name":"Sharepoint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2"/>
    </row>
    <row r="263" spans="1:41" x14ac:dyDescent="0.25">
      <c r="A263" s="32" t="s">
        <v>609</v>
      </c>
      <c r="B263" s="7">
        <v>4014</v>
      </c>
      <c r="C263" s="21" t="s">
        <v>200</v>
      </c>
      <c r="D263" s="21" t="s">
        <v>570</v>
      </c>
      <c r="E263" s="13">
        <v>42916.59039351852</v>
      </c>
      <c r="F263" s="13">
        <v>42916.599849537037</v>
      </c>
      <c r="G263" s="7">
        <v>1</v>
      </c>
      <c r="H263" s="21" t="s">
        <v>998</v>
      </c>
      <c r="I263" s="13">
        <v>42916.601064814815</v>
      </c>
      <c r="J263" s="7">
        <v>0</v>
      </c>
      <c r="K263" s="89" t="str">
        <f t="shared" si="88"/>
        <v>4013/4014</v>
      </c>
      <c r="L263" s="21" t="str">
        <f>VLOOKUP(A263,'Trips&amp;Operators'!$C$1:$G$99999,5,FALSE)</f>
        <v>DE LA ROSA ALEX</v>
      </c>
      <c r="M263" s="6">
        <f t="shared" si="89"/>
        <v>1.2152777781011537E-3</v>
      </c>
      <c r="N263" s="7">
        <f t="shared" si="106"/>
        <v>1.7500000004656613</v>
      </c>
      <c r="O263" s="7"/>
      <c r="P263" s="7"/>
      <c r="Q263" s="22"/>
      <c r="R263" s="170"/>
      <c r="S263" s="213">
        <f t="shared" si="107"/>
        <v>0</v>
      </c>
      <c r="T263" s="195" t="str">
        <f t="shared" si="90"/>
        <v>NorthBound</v>
      </c>
      <c r="U263" s="195">
        <f>IF(AG263="EC",COUNTIFS(Variables!$M$2:$M$19,IF(T263="NorthBound","&gt;=","&lt;=")&amp;Y263,Variables!$M$2:$M$19,IF(T263="NorthBound","&lt;=","&gt;=")&amp;Z263),COUNTIFS(Variables!$P$2:$P$19,IF(T263="NorthBound","&gt;=","&lt;=")&amp;Y263,Variables!$P$2:$P$19,IF(T263="NorthBound","&lt;=","&gt;=")&amp;Z263))</f>
        <v>0</v>
      </c>
      <c r="V263" s="196" t="str">
        <f t="shared" si="91"/>
        <v>https://d0f6bd738d7f1b3e5a7ca70fe4ff75f0.us-east-1.aws.found.io/app/kibana#/discover/Steve-Slow-Train-Analysis-(2080s-and-2083s)?_g=(refreshInterval:(display:Off,pause:!f,section:0,value:0),time:(from:'2017-06-30T13:10:10-0600',mode:absolute,to:'2017-06-30T15:25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63" s="197" t="str">
        <f>IF(AA263&lt;VLOOKUP(AG263,Variables!$AC$3:$AD$8,2,FALSE),"Y","N")</f>
        <v>Y</v>
      </c>
      <c r="X263" s="197">
        <f t="shared" si="108"/>
        <v>0</v>
      </c>
      <c r="Y263" s="197">
        <f t="shared" si="109"/>
        <v>0.11559999999999999</v>
      </c>
      <c r="Z263" s="197">
        <f t="shared" si="110"/>
        <v>0.36120000000000002</v>
      </c>
      <c r="AA263" s="197">
        <f t="shared" si="92"/>
        <v>0.24560000000000004</v>
      </c>
      <c r="AB263" s="54" t="e">
        <f>VLOOKUP(A263,Enforcements!$C$7:$K$13,8,0)</f>
        <v>#N/A</v>
      </c>
      <c r="AC263" s="51" t="e">
        <f>VLOOKUP(A263,Enforcements!$C$7:$E$13,3,0)</f>
        <v>#N/A</v>
      </c>
      <c r="AD263" s="206">
        <f t="shared" si="93"/>
        <v>81</v>
      </c>
      <c r="AE263" s="77" t="str">
        <f t="shared" si="94"/>
        <v>aws s3 cp s3://rtdc.mdm.uploadarchive.raw/RTDC4014/ "%USERPROFILE%\AppData\Local\Temp\OnboardLogs"\RTDC4014\2017-06-30 --exclude "*" --recursive --include "*20170630*" &amp; "%USERPROFILE%\Documents\GitHub\mrs-test-scripts\Headless Mode &amp; Sideloading\WalkAndUnGZ.bat" "%USERPROFILE%\AppData\Local\Temp\OnboardLogs"\RTDC4014\2017-06-30 &amp; aws s3 cp s3://rtdc.mdm.uploadarchive.raw/RTDC4014/ "%USERPROFILE%\AppData\Local\Temp\OnboardLogs"\RTDC4014\2017-07-01 --exclude "*" --recursive --include "*20170701*" &amp; "%USERPROFILE%\Documents\GitHub\mrs-test-scripts\Headless Mode &amp; Sideloading\WalkAndUnGZ.bat" "%USERPROFILE%\AppData\Local\Temp\OnboardLogs"\RTDC4014\2017-07-01</v>
      </c>
      <c r="AF263" s="74" t="str">
        <f t="shared" si="95"/>
        <v>"C:\Program Files (x86)\AstroGrep\AstroGrep.exe" /e /r /s /spath="%USERPROFILE%\AppData\Local\Temp\OnboardLogs" /stypes="app*4014*20170630*" /stext=" 20:.+((SYSTEM_STATE.+slice.+state.+changed )|(ment ac)|(multiple cpu faults)|(system.+state.+changed )|(\[timeout)|(PRM\|1\|D)|(kpr)|(kdp)|(train st.+moving)|(\|lc)|(penalty))"</v>
      </c>
      <c r="AG263" s="209" t="str">
        <f t="shared" si="96"/>
        <v>Shuttle/Test</v>
      </c>
      <c r="AH263" s="78" t="str">
        <f t="shared" si="97"/>
        <v>"%USERPROFILE%\Documents\GitHub\eaglep3\Utilities\RefineRTDCRunTimes.py" --tripid 81-30 --locoid 4014 --swversion DE.1.0.9.0 --startMP 204:1156 --initTime 2017-06-30T14:10:10 --startdatetime 2017-06-30T14:23:47 --delay 1 --endMP 204:3612 --enddatetime 2017-06-30T14:25:32 --enforcementcount 0 &gt;&gt;C:\Users\stu\Documents\GitHub\eaglep3-reporting\EC\2017-06-30-refined-times.txt</v>
      </c>
      <c r="AI263" s="96" t="str">
        <f t="shared" si="98"/>
        <v>echo {"issue":{"subject":"","project_id":79,"tracker_id":40,"status_id":1,"priority_id":2,"assigned_to_id":23,"start_date":"2017-06-30","description":"","custom_fields":[{"id":1,"name":"Subdivision","value":"Shuttle/Test"},{"id":4,"name":"Milepost","value":"0.3612"},{"id":17,"name":"Train ID","value":"81-30"},{"id":16,"name":"Locomotive ID","value":"4014"},{"id":130,"name":"Impact","value":""},{"id":150,"name":"Time of Event (Mountain Time)","value":"14:25:32"},{"id":151,"name":"Denver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3" s="20"/>
      <c r="AK263" s="47"/>
      <c r="AL263" s="47"/>
      <c r="AM263" s="142" t="str">
        <f t="shared" si="99"/>
        <v>start /low /b %USERPROFILE%\Documents\GitHub\eaglep3\Utilities\DownloadLogsFromS3.py --loco 4014 --day 2017-06-30</v>
      </c>
      <c r="AN263" s="151" t="str">
        <f t="shared" si="100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20:25:32"},{"id":29,"name":"Sharepoint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3"/>
    </row>
    <row r="264" spans="1:41" x14ac:dyDescent="0.25">
      <c r="A264" s="32" t="s">
        <v>818</v>
      </c>
      <c r="B264" s="7">
        <v>4011</v>
      </c>
      <c r="C264" s="21" t="s">
        <v>200</v>
      </c>
      <c r="D264" s="21" t="s">
        <v>1005</v>
      </c>
      <c r="E264" s="13">
        <v>42916.998518518521</v>
      </c>
      <c r="F264" s="13">
        <v>42917.023773148147</v>
      </c>
      <c r="G264" s="7">
        <v>1</v>
      </c>
      <c r="H264" s="21" t="s">
        <v>1006</v>
      </c>
      <c r="I264" s="13">
        <v>42917.027384259258</v>
      </c>
      <c r="J264" s="7">
        <v>0</v>
      </c>
      <c r="K264" s="89" t="str">
        <f t="shared" si="88"/>
        <v>4011/4012</v>
      </c>
      <c r="L264" s="21" t="str">
        <f>VLOOKUP(A264,'Trips&amp;Operators'!$C$1:$G$99999,5,FALSE)</f>
        <v>BIRENBAUM THOMAS</v>
      </c>
      <c r="M264" s="6">
        <f t="shared" si="89"/>
        <v>3.6111111112404615E-3</v>
      </c>
      <c r="N264" s="7">
        <f t="shared" si="106"/>
        <v>5.2000000001862645</v>
      </c>
      <c r="O264" s="7"/>
      <c r="P264" s="7"/>
      <c r="Q264" s="22"/>
      <c r="R264" s="170"/>
      <c r="S264" s="213">
        <f t="shared" si="107"/>
        <v>0</v>
      </c>
      <c r="T264" s="195" t="str">
        <f t="shared" si="90"/>
        <v>Southbound</v>
      </c>
      <c r="U264" s="195">
        <f>IF(AG264="EC",COUNTIFS(Variables!$M$2:$M$19,IF(T264="NorthBound","&gt;=","&lt;=")&amp;Y264,Variables!$M$2:$M$19,IF(T264="NorthBound","&lt;=","&gt;=")&amp;Z264),COUNTIFS(Variables!$P$2:$P$19,IF(T264="NorthBound","&gt;=","&lt;=")&amp;Y264,Variables!$P$2:$P$19,IF(T264="NorthBound","&lt;=","&gt;=")&amp;Z264))</f>
        <v>0</v>
      </c>
      <c r="V264" s="196" t="str">
        <f t="shared" si="91"/>
        <v>https://d0f6bd738d7f1b3e5a7ca70fe4ff75f0.us-east-1.aws.found.io/app/kibana#/discover/Steve-Slow-Train-Analysis-(2080s-and-2083s)?_g=(refreshInterval:(display:Off,pause:!f,section:0,value:0),time:(from:'2017-06-30T22:57:52-0600',mode:absolute,to:'2017-07-01T01:39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64" s="197" t="str">
        <f>IF(AA264&lt;VLOOKUP(AG264,Variables!$AC$3:$AD$8,2,FALSE),"Y","N")</f>
        <v>Y</v>
      </c>
      <c r="X264" s="197">
        <f t="shared" si="108"/>
        <v>1</v>
      </c>
      <c r="Y264" s="197">
        <f t="shared" si="109"/>
        <v>23.295300000000001</v>
      </c>
      <c r="Z264" s="197">
        <f t="shared" si="110"/>
        <v>18.893699999999999</v>
      </c>
      <c r="AA264" s="197">
        <f t="shared" si="92"/>
        <v>4.401600000000002</v>
      </c>
      <c r="AB264" s="54" t="e">
        <f>VLOOKUP(A264,Enforcements!$C$7:$K$13,8,0)</f>
        <v>#N/A</v>
      </c>
      <c r="AC264" s="51" t="e">
        <f>VLOOKUP(A264,Enforcements!$C$7:$E$13,3,0)</f>
        <v>#N/A</v>
      </c>
      <c r="AD264" s="206">
        <f t="shared" si="93"/>
        <v>82</v>
      </c>
      <c r="AE264" s="77" t="str">
        <f t="shared" si="94"/>
        <v>aws s3 cp s3://rtdc.mdm.uploadarchive.raw/RTDC4011/ "%USERPROFILE%\AppData\Local\Temp\OnboardLogs"\RTDC4011\2017-07-01 --exclude "*" --recursive --include "*20170701*" &amp; "%USERPROFILE%\Documents\GitHub\mrs-test-scripts\Headless Mode &amp; Sideloading\WalkAndUnGZ.bat" "%USERPROFILE%\AppData\Local\Temp\OnboardLogs"\RTDC4011\2017-07-01 &amp; aws s3 cp s3://rtdc.mdm.uploadarchive.raw/RTDC4011/ "%USERPROFILE%\AppData\Local\Temp\OnboardLogs"\RTDC4011\2017-07-02 --exclude "*" --recursive --include "*20170702*" &amp; "%USERPROFILE%\Documents\GitHub\mrs-test-scripts\Headless Mode &amp; Sideloading\WalkAndUnGZ.bat" "%USERPROFILE%\AppData\Local\Temp\OnboardLogs"\RTDC4011\2017-07-02</v>
      </c>
      <c r="AF264" s="74" t="str">
        <f t="shared" si="95"/>
        <v>"C:\Program Files (x86)\AstroGrep\AstroGrep.exe" /e /r /s /spath="%USERPROFILE%\AppData\Local\Temp\OnboardLogs" /stypes="app*4011*20170701*" /stext=" 06:.+((SYSTEM_STATE.+slice.+state.+changed )|(ment ac)|(multiple cpu faults)|(system.+state.+changed )|(\[timeout)|(PRM\|1\|D)|(kpr)|(kdp)|(train st.+moving)|(\|lc)|(penalty))"</v>
      </c>
      <c r="AG264" s="209" t="str">
        <f t="shared" si="96"/>
        <v>Shuttle/Test</v>
      </c>
      <c r="AH264" s="78" t="str">
        <f t="shared" si="97"/>
        <v>"%USERPROFILE%\Documents\GitHub\eaglep3\Utilities\RefineRTDCRunTimes.py" --tripid 82-30 --locoid 4011 --swversion DE.1.0.9.0 --startMP 204:232953 --initTime 2017-06-30T23:57:52 --startdatetime 2017-07-01T00:34:14 --delay 1 --endMP 204:188937 --enddatetime 2017-07-01T00:39:26 --enforcementcount 0 &gt;&gt;C:\Users\stu\Documents\GitHub\eaglep3-reporting\EC\2017-06-30-refined-times.txt</v>
      </c>
      <c r="AI264" s="96" t="str">
        <f t="shared" si="98"/>
        <v>echo {"issue":{"subject":"","project_id":79,"tracker_id":40,"status_id":1,"priority_id":2,"assigned_to_id":23,"start_date":"2017-07-01","description":"","custom_fields":[{"id":1,"name":"Subdivision","value":"Shuttle/Test"},{"id":4,"name":"Milepost","value":"18.8937"},{"id":17,"name":"Train ID","value":"82-30"},{"id":16,"name":"Locomotive ID","value":"4011"},{"id":130,"name":"Impact","value":""},{"id":150,"name":"Time of Event (Mountain Time)","value":"00:39:26"},{"id":151,"name":"Denver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4" s="20"/>
      <c r="AK264" s="47"/>
      <c r="AL264" s="47"/>
      <c r="AM264" s="142" t="str">
        <f t="shared" si="99"/>
        <v>start /low /b %USERPROFILE%\Documents\GitHub\eaglep3\Utilities\DownloadLogsFromS3.py --loco 4011 --day 2017-07-01</v>
      </c>
      <c r="AN264" s="151" t="str">
        <f t="shared" si="100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06:39:26"},{"id":29,"name":"Sharepoint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4"/>
    </row>
    <row r="265" spans="1:41" x14ac:dyDescent="0.25">
      <c r="A265" s="32" t="s">
        <v>818</v>
      </c>
      <c r="B265" s="7">
        <v>4011</v>
      </c>
      <c r="C265" s="21" t="s">
        <v>200</v>
      </c>
      <c r="D265" s="21" t="s">
        <v>899</v>
      </c>
      <c r="E265" s="13">
        <v>42917.02202546296</v>
      </c>
      <c r="F265" s="13">
        <v>42917.042500000003</v>
      </c>
      <c r="G265" s="7">
        <v>1</v>
      </c>
      <c r="H265" s="21" t="s">
        <v>1007</v>
      </c>
      <c r="I265" s="13">
        <v>42917.07953703704</v>
      </c>
      <c r="J265" s="7">
        <v>0</v>
      </c>
      <c r="K265" s="89" t="str">
        <f t="shared" si="88"/>
        <v>4011/4012</v>
      </c>
      <c r="L265" s="21" t="str">
        <f>VLOOKUP(A265,'Trips&amp;Operators'!$C$1:$G$99999,5,FALSE)</f>
        <v>BIRENBAUM THOMAS</v>
      </c>
      <c r="M265" s="6">
        <f t="shared" si="89"/>
        <v>3.7037037036498077E-2</v>
      </c>
      <c r="N265" s="7">
        <f t="shared" si="106"/>
        <v>53.333333332557231</v>
      </c>
      <c r="O265" s="7"/>
      <c r="P265" s="7"/>
      <c r="Q265" s="22"/>
      <c r="R265" s="170"/>
      <c r="S265" s="213">
        <f t="shared" si="107"/>
        <v>0</v>
      </c>
      <c r="T265" s="195" t="str">
        <f t="shared" si="90"/>
        <v>Southbound</v>
      </c>
      <c r="U265" s="195">
        <f>IF(AG265="EC",COUNTIFS(Variables!$M$2:$M$19,IF(T265="NorthBound","&gt;=","&lt;=")&amp;Y265,Variables!$M$2:$M$19,IF(T265="NorthBound","&lt;=","&gt;=")&amp;Z265),COUNTIFS(Variables!$P$2:$P$19,IF(T265="NorthBound","&gt;=","&lt;=")&amp;Y265,Variables!$P$2:$P$19,IF(T265="NorthBound","&lt;=","&gt;=")&amp;Z265))</f>
        <v>0</v>
      </c>
      <c r="V265" s="196" t="str">
        <f t="shared" si="91"/>
        <v>https://d0f6bd738d7f1b3e5a7ca70fe4ff75f0.us-east-1.aws.found.io/app/kibana#/discover/Steve-Slow-Train-Analysis-(2080s-and-2083s)?_g=(refreshInterval:(display:Off,pause:!f,section:0,value:0),time:(from:'2017-06-30T23:31:43-0600',mode:absolute,to:'2017-07-01T02:54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65" s="197" t="str">
        <f>IF(AA265&lt;VLOOKUP(AG265,Variables!$AC$3:$AD$8,2,FALSE),"Y","N")</f>
        <v>Y</v>
      </c>
      <c r="X265" s="197">
        <f t="shared" si="108"/>
        <v>0</v>
      </c>
      <c r="Y265" s="197">
        <f t="shared" si="109"/>
        <v>23.296500000000002</v>
      </c>
      <c r="Z265" s="197">
        <f t="shared" si="110"/>
        <v>18.912600000000001</v>
      </c>
      <c r="AA265" s="197">
        <f t="shared" si="92"/>
        <v>4.3839000000000006</v>
      </c>
      <c r="AB265" s="54" t="e">
        <f>VLOOKUP(A265,Enforcements!$C$7:$K$13,8,0)</f>
        <v>#N/A</v>
      </c>
      <c r="AC265" s="51" t="e">
        <f>VLOOKUP(A265,Enforcements!$C$7:$E$13,3,0)</f>
        <v>#N/A</v>
      </c>
      <c r="AD265" s="206">
        <f t="shared" si="93"/>
        <v>82</v>
      </c>
      <c r="AE265" s="77" t="str">
        <f t="shared" si="94"/>
        <v>aws s3 cp s3://rtdc.mdm.uploadarchive.raw/RTDC4011/ "%USERPROFILE%\AppData\Local\Temp\OnboardLogs"\RTDC4011\2017-07-01 --exclude "*" --recursive --include "*20170701*" &amp; "%USERPROFILE%\Documents\GitHub\mrs-test-scripts\Headless Mode &amp; Sideloading\WalkAndUnGZ.bat" "%USERPROFILE%\AppData\Local\Temp\OnboardLogs"\RTDC4011\2017-07-01 &amp; aws s3 cp s3://rtdc.mdm.uploadarchive.raw/RTDC4011/ "%USERPROFILE%\AppData\Local\Temp\OnboardLogs"\RTDC4011\2017-07-02 --exclude "*" --recursive --include "*20170702*" &amp; "%USERPROFILE%\Documents\GitHub\mrs-test-scripts\Headless Mode &amp; Sideloading\WalkAndUnGZ.bat" "%USERPROFILE%\AppData\Local\Temp\OnboardLogs"\RTDC4011\2017-07-02</v>
      </c>
      <c r="AF265" s="74" t="str">
        <f t="shared" si="95"/>
        <v>"C:\Program Files (x86)\AstroGrep\AstroGrep.exe" /e /r /s /spath="%USERPROFILE%\AppData\Local\Temp\OnboardLogs" /stypes="app*4011*20170701*" /stext=" 07:.+((SYSTEM_STATE.+slice.+state.+changed )|(ment ac)|(multiple cpu faults)|(system.+state.+changed )|(\[timeout)|(PRM\|1\|D)|(kpr)|(kdp)|(train st.+moving)|(\|lc)|(penalty))"</v>
      </c>
      <c r="AG265" s="209" t="str">
        <f t="shared" si="96"/>
        <v>Shuttle/Test</v>
      </c>
      <c r="AH265" s="78" t="str">
        <f t="shared" si="97"/>
        <v>"%USERPROFILE%\Documents\GitHub\eaglep3\Utilities\RefineRTDCRunTimes.py" --tripid 82-30 --locoid 4011 --swversion DE.1.0.9.0 --startMP 204:232965 --initTime 2017-07-01T00:31:43 --startdatetime 2017-07-01T01:01:12 --delay 1 --endMP 204:189126 --enddatetime 2017-07-01T01:54:32 --enforcementcount 0 &gt;&gt;C:\Users\stu\Documents\GitHub\eaglep3-reporting\EC\2017-06-30-refined-times.txt</v>
      </c>
      <c r="AI265" s="96" t="str">
        <f t="shared" si="98"/>
        <v>echo {"issue":{"subject":"","project_id":79,"tracker_id":40,"status_id":1,"priority_id":2,"assigned_to_id":23,"start_date":"2017-07-01","description":"","custom_fields":[{"id":1,"name":"Subdivision","value":"Shuttle/Test"},{"id":4,"name":"Milepost","value":"18.9126"},{"id":17,"name":"Train ID","value":"82-30"},{"id":16,"name":"Locomotive ID","value":"4011"},{"id":130,"name":"Impact","value":""},{"id":150,"name":"Time of Event (Mountain Time)","value":"01:54:32"},{"id":151,"name":"Denver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5" s="20"/>
      <c r="AK265" s="47"/>
      <c r="AL265" s="47"/>
      <c r="AM265" s="142" t="str">
        <f t="shared" si="99"/>
        <v>start /low /b %USERPROFILE%\Documents\GitHub\eaglep3\Utilities\DownloadLogsFromS3.py --loco 4011 --day 2017-07-01</v>
      </c>
      <c r="AN265" s="151" t="str">
        <f t="shared" si="100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07:54:32"},{"id":29,"name":"Sharepoint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5"/>
    </row>
    <row r="266" spans="1:41" x14ac:dyDescent="0.25">
      <c r="A266" s="32" t="s">
        <v>818</v>
      </c>
      <c r="B266" s="7">
        <v>4011</v>
      </c>
      <c r="C266" s="21" t="s">
        <v>200</v>
      </c>
      <c r="D266" s="21" t="s">
        <v>538</v>
      </c>
      <c r="E266" s="13">
        <v>42916.955960648149</v>
      </c>
      <c r="F266" s="13">
        <v>42916.983842592592</v>
      </c>
      <c r="G266" s="7">
        <v>0</v>
      </c>
      <c r="H266" s="21" t="s">
        <v>1008</v>
      </c>
      <c r="I266" s="13">
        <v>42916.987557870372</v>
      </c>
      <c r="J266" s="7">
        <v>0</v>
      </c>
      <c r="K266" s="89" t="str">
        <f t="shared" si="88"/>
        <v>4011/4012</v>
      </c>
      <c r="L266" s="21" t="str">
        <f>VLOOKUP(A266,'Trips&amp;Operators'!$C$1:$G$99999,5,FALSE)</f>
        <v>BIRENBAUM THOMAS</v>
      </c>
      <c r="M266" s="6">
        <f t="shared" si="89"/>
        <v>3.7152777804294601E-3</v>
      </c>
      <c r="N266" s="7">
        <f t="shared" si="106"/>
        <v>5.3500000038184226</v>
      </c>
      <c r="O266" s="7"/>
      <c r="P266" s="7"/>
      <c r="Q266" s="22"/>
      <c r="R266" s="170"/>
      <c r="S266" s="213">
        <f t="shared" si="107"/>
        <v>0</v>
      </c>
      <c r="T266" s="195" t="str">
        <f t="shared" si="90"/>
        <v>Southbound</v>
      </c>
      <c r="U266" s="195">
        <f>IF(AG266="EC",COUNTIFS(Variables!$M$2:$M$19,IF(T266="NorthBound","&gt;=","&lt;=")&amp;Y266,Variables!$M$2:$M$19,IF(T266="NorthBound","&lt;=","&gt;=")&amp;Z266),COUNTIFS(Variables!$P$2:$P$19,IF(T266="NorthBound","&gt;=","&lt;=")&amp;Y266,Variables!$P$2:$P$19,IF(T266="NorthBound","&lt;=","&gt;=")&amp;Z266))</f>
        <v>0</v>
      </c>
      <c r="V266" s="196" t="str">
        <f t="shared" si="91"/>
        <v>https://d0f6bd738d7f1b3e5a7ca70fe4ff75f0.us-east-1.aws.found.io/app/kibana#/discover/Steve-Slow-Train-Analysis-(2080s-and-2083s)?_g=(refreshInterval:(display:Off,pause:!f,section:0,value:0),time:(from:'2017-06-30T21:56:35-0600',mode:absolute,to:'2017-07-01T00:42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66" s="197" t="str">
        <f>IF(AA266&lt;VLOOKUP(AG266,Variables!$AC$3:$AD$8,2,FALSE),"Y","N")</f>
        <v>Y</v>
      </c>
      <c r="X266" s="197">
        <f t="shared" si="108"/>
        <v>0</v>
      </c>
      <c r="Y266" s="197">
        <f t="shared" si="109"/>
        <v>23.296700000000001</v>
      </c>
      <c r="Z266" s="197">
        <f t="shared" si="110"/>
        <v>18.963100000000001</v>
      </c>
      <c r="AA266" s="197">
        <f t="shared" si="92"/>
        <v>4.3336000000000006</v>
      </c>
      <c r="AB266" s="54" t="e">
        <f>VLOOKUP(A266,Enforcements!$C$7:$K$13,8,0)</f>
        <v>#N/A</v>
      </c>
      <c r="AC266" s="51" t="e">
        <f>VLOOKUP(A266,Enforcements!$C$7:$E$13,3,0)</f>
        <v>#N/A</v>
      </c>
      <c r="AD266" s="206">
        <f t="shared" si="93"/>
        <v>82</v>
      </c>
      <c r="AE266" s="77" t="str">
        <f t="shared" si="94"/>
        <v>aws s3 cp s3://rtdc.mdm.uploadarchive.raw/RTDC4011/ "%USERPROFILE%\AppData\Local\Temp\OnboardLogs"\RTDC4011\2017-06-30 --exclude "*" --recursive --include "*20170630*" &amp; "%USERPROFILE%\Documents\GitHub\mrs-test-scripts\Headless Mode &amp; Sideloading\WalkAndUnGZ.bat" "%USERPROFILE%\AppData\Local\Temp\OnboardLogs"\RTDC4011\2017-06-30 &amp; aws s3 cp s3://rtdc.mdm.uploadarchive.raw/RTDC4011/ "%USERPROFILE%\AppData\Local\Temp\OnboardLogs"\RTDC4011\2017-07-01 --exclude "*" --recursive --include "*20170701*" &amp; "%USERPROFILE%\Documents\GitHub\mrs-test-scripts\Headless Mode &amp; Sideloading\WalkAndUnGZ.bat" "%USERPROFILE%\AppData\Local\Temp\OnboardLogs"\RTDC4011\2017-07-01</v>
      </c>
      <c r="AF266" s="74" t="str">
        <f t="shared" si="95"/>
        <v>"C:\Program Files (x86)\AstroGrep\AstroGrep.exe" /e /r /s /spath="%USERPROFILE%\AppData\Local\Temp\OnboardLogs" /stypes="app*4011*20170701*" /stext=" 05:.+((SYSTEM_STATE.+slice.+state.+changed )|(ment ac)|(multiple cpu faults)|(system.+state.+changed )|(\[timeout)|(PRM\|1\|D)|(kpr)|(kdp)|(train st.+moving)|(\|lc)|(penalty))"</v>
      </c>
      <c r="AG266" s="209" t="str">
        <f t="shared" si="96"/>
        <v>Shuttle/Test</v>
      </c>
      <c r="AH266" s="78" t="str">
        <f t="shared" si="97"/>
        <v>"%USERPROFILE%\Documents\GitHub\eaglep3\Utilities\RefineRTDCRunTimes.py" --tripid 82-30 --locoid 4011 --swversion DE.1.0.9.0 --startMP 204:232967 --initTime 2017-06-30T22:56:35 --startdatetime 2017-06-30T23:36:44 --delay 0 --endMP 204:189631 --enddatetime 2017-06-30T23:42:05 --enforcementcount 0 &gt;&gt;C:\Users\stu\Documents\GitHub\eaglep3-reporting\EC\2017-06-30-refined-times.txt</v>
      </c>
      <c r="AI266" s="96" t="str">
        <f t="shared" si="98"/>
        <v>echo {"issue":{"subject":"","project_id":79,"tracker_id":40,"status_id":1,"priority_id":2,"assigned_to_id":23,"start_date":"2017-06-30","description":"","custom_fields":[{"id":1,"name":"Subdivision","value":"Shuttle/Test"},{"id":4,"name":"Milepost","value":"18.9631"},{"id":17,"name":"Train ID","value":"82-30"},{"id":16,"name":"Locomotive ID","value":"4011"},{"id":130,"name":"Impact","value":""},{"id":150,"name":"Time of Event (Mountain Time)","value":"23:42:05"},{"id":151,"name":"Denver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6" s="20"/>
      <c r="AK266" s="47"/>
      <c r="AL266" s="47"/>
      <c r="AM266" s="142" t="str">
        <f t="shared" si="99"/>
        <v>start /low /b %USERPROFILE%\Documents\GitHub\eaglep3\Utilities\DownloadLogsFromS3.py --loco 4011 --day 2017-06-30</v>
      </c>
      <c r="AN266" s="151" t="str">
        <f t="shared" si="100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05:42:05"},{"id":29,"name":"Sharepoint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6"/>
    </row>
    <row r="267" spans="1:41" x14ac:dyDescent="0.25">
      <c r="A267" s="32" t="s">
        <v>818</v>
      </c>
      <c r="B267" s="7">
        <v>4011</v>
      </c>
      <c r="C267" s="21" t="s">
        <v>200</v>
      </c>
      <c r="D267" s="21" t="s">
        <v>410</v>
      </c>
      <c r="E267" s="13">
        <v>42916.97824074074</v>
      </c>
      <c r="F267" s="13">
        <v>42917.005057870374</v>
      </c>
      <c r="G267" s="7">
        <v>0</v>
      </c>
      <c r="H267" s="21" t="s">
        <v>1009</v>
      </c>
      <c r="I267" s="13">
        <v>42917.008634259262</v>
      </c>
      <c r="J267" s="7">
        <v>0</v>
      </c>
      <c r="K267" s="89" t="str">
        <f t="shared" si="88"/>
        <v>4011/4012</v>
      </c>
      <c r="L267" s="21" t="str">
        <f>VLOOKUP(A267,'Trips&amp;Operators'!$C$1:$G$99999,5,FALSE)</f>
        <v>BIRENBAUM THOMAS</v>
      </c>
      <c r="M267" s="6">
        <f t="shared" si="89"/>
        <v>3.5763888881774619E-3</v>
      </c>
      <c r="N267" s="7">
        <f t="shared" si="106"/>
        <v>5.1499999989755452</v>
      </c>
      <c r="O267" s="7"/>
      <c r="P267" s="7"/>
      <c r="Q267" s="22"/>
      <c r="R267" s="170"/>
      <c r="S267" s="213">
        <f t="shared" si="107"/>
        <v>0</v>
      </c>
      <c r="T267" s="195" t="str">
        <f t="shared" si="90"/>
        <v>Southbound</v>
      </c>
      <c r="U267" s="195">
        <f>IF(AG267="EC",COUNTIFS(Variables!$M$2:$M$19,IF(T267="NorthBound","&gt;=","&lt;=")&amp;Y267,Variables!$M$2:$M$19,IF(T267="NorthBound","&lt;=","&gt;=")&amp;Z267),COUNTIFS(Variables!$P$2:$P$19,IF(T267="NorthBound","&gt;=","&lt;=")&amp;Y267,Variables!$P$2:$P$19,IF(T267="NorthBound","&lt;=","&gt;=")&amp;Z267))</f>
        <v>0</v>
      </c>
      <c r="V267" s="196" t="str">
        <f t="shared" si="91"/>
        <v>https://d0f6bd738d7f1b3e5a7ca70fe4ff75f0.us-east-1.aws.found.io/app/kibana#/discover/Steve-Slow-Train-Analysis-(2080s-and-2083s)?_g=(refreshInterval:(display:Off,pause:!f,section:0,value:0),time:(from:'2017-06-30T22:28:40-0600',mode:absolute,to:'2017-07-01T01:12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67" s="197" t="str">
        <f>IF(AA267&lt;VLOOKUP(AG267,Variables!$AC$3:$AD$8,2,FALSE),"Y","N")</f>
        <v>Y</v>
      </c>
      <c r="X267" s="197">
        <f t="shared" si="108"/>
        <v>0</v>
      </c>
      <c r="Y267" s="197">
        <f t="shared" si="109"/>
        <v>23.2971</v>
      </c>
      <c r="Z267" s="197">
        <f t="shared" si="110"/>
        <v>18.8932</v>
      </c>
      <c r="AA267" s="197">
        <f t="shared" si="92"/>
        <v>4.4039000000000001</v>
      </c>
      <c r="AB267" s="54" t="e">
        <f>VLOOKUP(A267,Enforcements!$C$7:$K$13,8,0)</f>
        <v>#N/A</v>
      </c>
      <c r="AC267" s="51" t="e">
        <f>VLOOKUP(A267,Enforcements!$C$7:$E$13,3,0)</f>
        <v>#N/A</v>
      </c>
      <c r="AD267" s="206">
        <f t="shared" si="93"/>
        <v>82</v>
      </c>
      <c r="AE267" s="77" t="str">
        <f t="shared" si="94"/>
        <v>aws s3 cp s3://rtdc.mdm.uploadarchive.raw/RTDC4011/ "%USERPROFILE%\AppData\Local\Temp\OnboardLogs"\RTDC4011\2017-07-01 --exclude "*" --recursive --include "*20170701*" &amp; "%USERPROFILE%\Documents\GitHub\mrs-test-scripts\Headless Mode &amp; Sideloading\WalkAndUnGZ.bat" "%USERPROFILE%\AppData\Local\Temp\OnboardLogs"\RTDC4011\2017-07-01 &amp; aws s3 cp s3://rtdc.mdm.uploadarchive.raw/RTDC4011/ "%USERPROFILE%\AppData\Local\Temp\OnboardLogs"\RTDC4011\2017-07-02 --exclude "*" --recursive --include "*20170702*" &amp; "%USERPROFILE%\Documents\GitHub\mrs-test-scripts\Headless Mode &amp; Sideloading\WalkAndUnGZ.bat" "%USERPROFILE%\AppData\Local\Temp\OnboardLogs"\RTDC4011\2017-07-02</v>
      </c>
      <c r="AF267" s="74" t="str">
        <f t="shared" si="95"/>
        <v>"C:\Program Files (x86)\AstroGrep\AstroGrep.exe" /e /r /s /spath="%USERPROFILE%\AppData\Local\Temp\OnboardLogs" /stypes="app*4011*20170701*" /stext=" 06:.+((SYSTEM_STATE.+slice.+state.+changed )|(ment ac)|(multiple cpu faults)|(system.+state.+changed )|(\[timeout)|(PRM\|1\|D)|(kpr)|(kdp)|(train st.+moving)|(\|lc)|(penalty))"</v>
      </c>
      <c r="AG267" s="209" t="str">
        <f t="shared" si="96"/>
        <v>Shuttle/Test</v>
      </c>
      <c r="AH267" s="78" t="str">
        <f t="shared" si="97"/>
        <v>"%USERPROFILE%\Documents\GitHub\eaglep3\Utilities\RefineRTDCRunTimes.py" --tripid 82-30 --locoid 4011 --swversion DE.1.0.9.0 --startMP 204:232971 --initTime 2017-06-30T23:28:40 --startdatetime 2017-07-01T00:07:17 --delay 0 --endMP 204:188932 --enddatetime 2017-07-01T00:12:26 --enforcementcount 0 &gt;&gt;C:\Users\stu\Documents\GitHub\eaglep3-reporting\EC\2017-06-30-refined-times.txt</v>
      </c>
      <c r="AI267" s="96" t="str">
        <f t="shared" si="98"/>
        <v>echo {"issue":{"subject":"","project_id":79,"tracker_id":40,"status_id":1,"priority_id":2,"assigned_to_id":23,"start_date":"2017-07-01","description":"","custom_fields":[{"id":1,"name":"Subdivision","value":"Shuttle/Test"},{"id":4,"name":"Milepost","value":"18.8932"},{"id":17,"name":"Train ID","value":"82-30"},{"id":16,"name":"Locomotive ID","value":"4011"},{"id":130,"name":"Impact","value":""},{"id":150,"name":"Time of Event (Mountain Time)","value":"00:12:26"},{"id":151,"name":"Denver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7" s="20"/>
      <c r="AK267" s="47"/>
      <c r="AL267" s="47"/>
      <c r="AM267" s="142" t="str">
        <f t="shared" si="99"/>
        <v>start /low /b %USERPROFILE%\Documents\GitHub\eaglep3\Utilities\DownloadLogsFromS3.py --loco 4011 --day 2017-07-01</v>
      </c>
      <c r="AN267" s="151" t="str">
        <f t="shared" si="100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06:12:26"},{"id":29,"name":"Sharepoint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7"/>
    </row>
    <row r="268" spans="1:41" x14ac:dyDescent="0.25">
      <c r="A268" s="32" t="s">
        <v>818</v>
      </c>
      <c r="B268" s="7">
        <v>4011</v>
      </c>
      <c r="C268" s="21" t="s">
        <v>200</v>
      </c>
      <c r="D268" s="21" t="s">
        <v>452</v>
      </c>
      <c r="E268" s="13">
        <v>42916.934050925927</v>
      </c>
      <c r="F268" s="13">
        <v>42916.959537037037</v>
      </c>
      <c r="G268" s="7">
        <v>1</v>
      </c>
      <c r="H268" s="21" t="s">
        <v>1010</v>
      </c>
      <c r="I268" s="13">
        <v>42916.967685185184</v>
      </c>
      <c r="J268" s="7">
        <v>0</v>
      </c>
      <c r="K268" s="89" t="str">
        <f t="shared" si="88"/>
        <v>4011/4012</v>
      </c>
      <c r="L268" s="21" t="str">
        <f>VLOOKUP(A268,'Trips&amp;Operators'!$C$1:$G$99999,5,FALSE)</f>
        <v>BIRENBAUM THOMAS</v>
      </c>
      <c r="M268" s="6">
        <f t="shared" si="89"/>
        <v>8.1481481465743855E-3</v>
      </c>
      <c r="N268" s="7">
        <f t="shared" si="106"/>
        <v>11.733333331067115</v>
      </c>
      <c r="O268" s="7"/>
      <c r="P268" s="7"/>
      <c r="Q268" s="22"/>
      <c r="R268" s="170"/>
      <c r="S268" s="213">
        <f t="shared" si="107"/>
        <v>0</v>
      </c>
      <c r="T268" s="195" t="str">
        <f t="shared" si="90"/>
        <v>Southbound</v>
      </c>
      <c r="U268" s="195">
        <f>IF(AG268="EC",COUNTIFS(Variables!$M$2:$M$19,IF(T268="NorthBound","&gt;=","&lt;=")&amp;Y268,Variables!$M$2:$M$19,IF(T268="NorthBound","&lt;=","&gt;=")&amp;Z268),COUNTIFS(Variables!$P$2:$P$19,IF(T268="NorthBound","&gt;=","&lt;=")&amp;Y268,Variables!$P$2:$P$19,IF(T268="NorthBound","&lt;=","&gt;=")&amp;Z268))</f>
        <v>0</v>
      </c>
      <c r="V268" s="196" t="str">
        <f t="shared" si="91"/>
        <v>https://d0f6bd738d7f1b3e5a7ca70fe4ff75f0.us-east-1.aws.found.io/app/kibana#/discover/Steve-Slow-Train-Analysis-(2080s-and-2083s)?_g=(refreshInterval:(display:Off,pause:!f,section:0,value:0),time:(from:'2017-06-30T21:25:02-0600',mode:absolute,to:'2017-07-01T00:13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68" s="197" t="str">
        <f>IF(AA268&lt;VLOOKUP(AG268,Variables!$AC$3:$AD$8,2,FALSE),"Y","N")</f>
        <v>Y</v>
      </c>
      <c r="X268" s="197">
        <f t="shared" si="108"/>
        <v>0</v>
      </c>
      <c r="Y268" s="197">
        <f t="shared" si="109"/>
        <v>23.2973</v>
      </c>
      <c r="Z268" s="197">
        <f t="shared" si="110"/>
        <v>18.939900000000002</v>
      </c>
      <c r="AA268" s="197">
        <f t="shared" si="92"/>
        <v>4.3573999999999984</v>
      </c>
      <c r="AB268" s="54" t="e">
        <f>VLOOKUP(A268,Enforcements!$C$7:$K$13,8,0)</f>
        <v>#N/A</v>
      </c>
      <c r="AC268" s="51" t="e">
        <f>VLOOKUP(A268,Enforcements!$C$7:$E$13,3,0)</f>
        <v>#N/A</v>
      </c>
      <c r="AD268" s="206">
        <f t="shared" si="93"/>
        <v>82</v>
      </c>
      <c r="AE268" s="77" t="str">
        <f t="shared" si="94"/>
        <v>aws s3 cp s3://rtdc.mdm.uploadarchive.raw/RTDC4011/ "%USERPROFILE%\AppData\Local\Temp\OnboardLogs"\RTDC4011\2017-06-30 --exclude "*" --recursive --include "*20170630*" &amp; "%USERPROFILE%\Documents\GitHub\mrs-test-scripts\Headless Mode &amp; Sideloading\WalkAndUnGZ.bat" "%USERPROFILE%\AppData\Local\Temp\OnboardLogs"\RTDC4011\2017-06-30 &amp; aws s3 cp s3://rtdc.mdm.uploadarchive.raw/RTDC4011/ "%USERPROFILE%\AppData\Local\Temp\OnboardLogs"\RTDC4011\2017-07-01 --exclude "*" --recursive --include "*20170701*" &amp; "%USERPROFILE%\Documents\GitHub\mrs-test-scripts\Headless Mode &amp; Sideloading\WalkAndUnGZ.bat" "%USERPROFILE%\AppData\Local\Temp\OnboardLogs"\RTDC4011\2017-07-01</v>
      </c>
      <c r="AF268" s="74" t="str">
        <f t="shared" si="95"/>
        <v>"C:\Program Files (x86)\AstroGrep\AstroGrep.exe" /e /r /s /spath="%USERPROFILE%\AppData\Local\Temp\OnboardLogs" /stypes="app*4011*20170701*" /stext=" 05:.+((SYSTEM_STATE.+slice.+state.+changed )|(ment ac)|(multiple cpu faults)|(system.+state.+changed )|(\[timeout)|(PRM\|1\|D)|(kpr)|(kdp)|(train st.+moving)|(\|lc)|(penalty))"</v>
      </c>
      <c r="AG268" s="209" t="str">
        <f t="shared" si="96"/>
        <v>Shuttle/Test</v>
      </c>
      <c r="AH268" s="78" t="str">
        <f t="shared" si="97"/>
        <v>"%USERPROFILE%\Documents\GitHub\eaglep3\Utilities\RefineRTDCRunTimes.py" --tripid 82-30 --locoid 4011 --swversion DE.1.0.9.0 --startMP 204:232973 --initTime 2017-06-30T22:25:02 --startdatetime 2017-06-30T23:01:44 --delay 1 --endMP 204:189399 --enddatetime 2017-06-30T23:13:28 --enforcementcount 0 &gt;&gt;C:\Users\stu\Documents\GitHub\eaglep3-reporting\EC\2017-06-30-refined-times.txt</v>
      </c>
      <c r="AI268" s="96" t="str">
        <f t="shared" si="98"/>
        <v>echo {"issue":{"subject":"","project_id":79,"tracker_id":40,"status_id":1,"priority_id":2,"assigned_to_id":23,"start_date":"2017-06-30","description":"","custom_fields":[{"id":1,"name":"Subdivision","value":"Shuttle/Test"},{"id":4,"name":"Milepost","value":"18.9399"},{"id":17,"name":"Train ID","value":"82-30"},{"id":16,"name":"Locomotive ID","value":"4011"},{"id":130,"name":"Impact","value":""},{"id":150,"name":"Time of Event (Mountain Time)","value":"23:13:28"},{"id":151,"name":"Denver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8" s="20"/>
      <c r="AK268" s="47"/>
      <c r="AL268" s="47"/>
      <c r="AM268" s="142" t="str">
        <f t="shared" si="99"/>
        <v>start /low /b %USERPROFILE%\Documents\GitHub\eaglep3\Utilities\DownloadLogsFromS3.py --loco 4011 --day 2017-06-30</v>
      </c>
      <c r="AN268" s="151" t="str">
        <f t="shared" si="100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05:13:28"},{"id":29,"name":"Sharepoint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8"/>
    </row>
    <row r="269" spans="1:41" x14ac:dyDescent="0.25">
      <c r="A269" s="32" t="s">
        <v>818</v>
      </c>
      <c r="B269" s="7">
        <v>4011</v>
      </c>
      <c r="C269" s="21" t="s">
        <v>200</v>
      </c>
      <c r="D269" s="21" t="s">
        <v>437</v>
      </c>
      <c r="E269" s="13">
        <v>42917.040625000001</v>
      </c>
      <c r="F269" s="13">
        <v>42917.042500000003</v>
      </c>
      <c r="G269" s="7">
        <v>1</v>
      </c>
      <c r="H269" s="21" t="s">
        <v>1011</v>
      </c>
      <c r="I269" s="13">
        <v>42917.07953703704</v>
      </c>
      <c r="J269" s="7">
        <v>0</v>
      </c>
      <c r="K269" s="89" t="str">
        <f t="shared" ref="K269:K281" si="111">IF(ISEVEN(B269),(B269-1)&amp;"/"&amp;B269,B269&amp;"/"&amp;(B269+1))</f>
        <v>4011/4012</v>
      </c>
      <c r="L269" s="21" t="str">
        <f>VLOOKUP(A269,'Trips&amp;Operators'!$C$1:$G$99999,5,FALSE)</f>
        <v>BIRENBAUM THOMAS</v>
      </c>
      <c r="M269" s="6">
        <f t="shared" ref="M269:M281" si="112">I269-F269</f>
        <v>3.7037037036498077E-2</v>
      </c>
      <c r="N269" s="7">
        <f t="shared" si="106"/>
        <v>53.333333332557231</v>
      </c>
      <c r="O269" s="7"/>
      <c r="P269" s="7"/>
      <c r="Q269" s="22"/>
      <c r="R269" s="170"/>
      <c r="S269" s="213">
        <f t="shared" si="107"/>
        <v>1</v>
      </c>
      <c r="T269" s="195" t="str">
        <f t="shared" ref="T269:T281" si="113">IF(ISEVEN(LEFT(AD269,4)),"Southbound","NorthBound")</f>
        <v>Southbound</v>
      </c>
      <c r="U269" s="195">
        <f>IF(AG269="EC",COUNTIFS(Variables!$M$2:$M$19,IF(T269="NorthBound","&gt;=","&lt;=")&amp;Y269,Variables!$M$2:$M$19,IF(T269="NorthBound","&lt;=","&gt;=")&amp;Z269),COUNTIFS(Variables!$P$2:$P$19,IF(T269="NorthBound","&gt;=","&lt;=")&amp;Y269,Variables!$P$2:$P$19,IF(T269="NorthBound","&lt;=","&gt;=")&amp;Z269))</f>
        <v>1</v>
      </c>
      <c r="V269" s="196" t="str">
        <f t="shared" ref="V269:V281" si="114">"https://d0f6bd738d7f1b3e5a7ca70fe4ff75f0.us-east-1.aws.found.io/app/kibana#/discover/Steve-Slow-Train-Analysis-(2080s-and-2083s)?_g="&amp;"(refreshInterval:(display:Off,pause:!f,section:0,value:0),time:(from:'"&amp;TEXT(E269-1/24,"yyyy-MM-DDThh:mm:ss")&amp;utc_offset&amp;"00"&amp;"',mode:absolute,to:'"&amp;TEXT(I269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269&amp;"%22')),sort:!(Time.ISO8601,asc))"</f>
        <v>https://d0f6bd738d7f1b3e5a7ca70fe4ff75f0.us-east-1.aws.found.io/app/kibana#/discover/Steve-Slow-Train-Analysis-(2080s-and-2083s)?_g=(refreshInterval:(display:Off,pause:!f,section:0,value:0),time:(from:'2017-06-30T23:58:30-0600',mode:absolute,to:'2017-07-01T02:54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69" s="197" t="str">
        <f>IF(AA269&lt;VLOOKUP(AG269,Variables!$AC$3:$AD$8,2,FALSE),"Y","N")</f>
        <v>Y</v>
      </c>
      <c r="X269" s="197">
        <f t="shared" si="108"/>
        <v>0</v>
      </c>
      <c r="Y269" s="197">
        <f t="shared" si="109"/>
        <v>23.297799999999999</v>
      </c>
      <c r="Z269" s="197">
        <f t="shared" si="110"/>
        <v>3.5900000000000001E-2</v>
      </c>
      <c r="AA269" s="197">
        <f t="shared" ref="AA269:AA281" si="115">ABS(Z269-Y269)</f>
        <v>23.261899999999997</v>
      </c>
      <c r="AB269" s="54" t="e">
        <f>VLOOKUP(A269,Enforcements!$C$7:$K$13,8,0)</f>
        <v>#N/A</v>
      </c>
      <c r="AC269" s="51" t="e">
        <f>VLOOKUP(A269,Enforcements!$C$7:$E$13,3,0)</f>
        <v>#N/A</v>
      </c>
      <c r="AD269" s="206">
        <f t="shared" ref="AD269:AD281" si="116">VALUE(LEFT(A269,LEN(A269)-3))</f>
        <v>82</v>
      </c>
      <c r="AE269" s="77" t="str">
        <f t="shared" ref="AE269:AE281" si="117">"aws s3 cp "&amp;s3_bucket&amp;"/RTDC"&amp;B269&amp;"/ "&amp;search_path&amp;"\RTDC"&amp;B269&amp;"\"&amp;TEXT(F269,"YYYY-MM-DD")&amp;" --exclude ""*"" --recursive --include ""*"&amp;TEXT(F269,"YYYYMMDD")&amp;"*"" &amp; """&amp;walkandungz&amp;""" "&amp;search_path&amp;"\RTDC"&amp;B269&amp;"\"&amp;TEXT(F269,"YYYY-MM-DD")
&amp;" &amp; "&amp;"aws s3 cp "&amp;s3_bucket&amp;"/RTDC"&amp;B269&amp;"/ "&amp;search_path&amp;"\RTDC"&amp;B269&amp;"\"&amp;TEXT(F269+1,"YYYY-MM-DD")&amp;" --exclude ""*"" --recursive --include ""*"&amp;TEXT(F269+1,"YYYYMMDD")&amp;"*"" &amp; """&amp;walkandungz&amp;""" "&amp;search_path&amp;"\RTDC"&amp;B269&amp;"\"&amp;TEXT(F269+1,"YYYY-MM-DD")</f>
        <v>aws s3 cp s3://rtdc.mdm.uploadarchive.raw/RTDC4011/ "%USERPROFILE%\AppData\Local\Temp\OnboardLogs"\RTDC4011\2017-07-01 --exclude "*" --recursive --include "*20170701*" &amp; "%USERPROFILE%\Documents\GitHub\mrs-test-scripts\Headless Mode &amp; Sideloading\WalkAndUnGZ.bat" "%USERPROFILE%\AppData\Local\Temp\OnboardLogs"\RTDC4011\2017-07-01 &amp; aws s3 cp s3://rtdc.mdm.uploadarchive.raw/RTDC4011/ "%USERPROFILE%\AppData\Local\Temp\OnboardLogs"\RTDC4011\2017-07-02 --exclude "*" --recursive --include "*20170702*" &amp; "%USERPROFILE%\Documents\GitHub\mrs-test-scripts\Headless Mode &amp; Sideloading\WalkAndUnGZ.bat" "%USERPROFILE%\AppData\Local\Temp\OnboardLogs"\RTDC4011\2017-07-02</v>
      </c>
      <c r="AF269" s="74" t="str">
        <f t="shared" ref="AF269:AF281" si="118">astrogrep_path&amp;" /e /r /s /spath="&amp;search_path&amp;" /stypes=""app*"&amp;B269&amp;"*"&amp;TEXT(I269-utc_offset/24,"YYYYMMDD")&amp;"*"" /stext="" "&amp;TEXT(I269-utc_offset/24,"HH")&amp;search_regexp&amp;""""</f>
        <v>"C:\Program Files (x86)\AstroGrep\AstroGrep.exe" /e /r /s /spath="%USERPROFILE%\AppData\Local\Temp\OnboardLogs" /stypes="app*4011*20170701*" /stext=" 07:.+((SYSTEM_STATE.+slice.+state.+changed )|(ment ac)|(multiple cpu faults)|(system.+state.+changed )|(\[timeout)|(PRM\|1\|D)|(kpr)|(kdp)|(train st.+moving)|(\|lc)|(penalty))"</v>
      </c>
      <c r="AG269" s="209" t="str">
        <f t="shared" ref="AG269:AG281" si="119">DetSubdiv(A269)</f>
        <v>Shuttle/Test</v>
      </c>
      <c r="AH269" s="78" t="str">
        <f t="shared" ref="AH269:AH281" si="120">refinertdcruntimes&amp;" --tripid "&amp;A269&amp;" --locoid "&amp;B269&amp;" --swversion "&amp;C269&amp;" --startMP "&amp;D269&amp;" --initTime "&amp;TEXT(E269,"yyyy-mm-ddTHH:MM:SS")&amp;" --startdatetime "&amp;TEXT(F269,"yyyy-mm-ddTHH:MM:SS")&amp;" --delay "&amp;G269&amp;" --endMP "&amp;H269&amp;" --enddatetime "&amp;TEXT(I269,"yyyy-mm-ddTHH:MM:SS")&amp;" --enforcementcount "&amp;J269&amp;IF(outputrefinedruntimes," &gt;&gt;"&amp;RefinedRTDCRunTimesOutputFile,"")</f>
        <v>"%USERPROFILE%\Documents\GitHub\eaglep3\Utilities\RefineRTDCRunTimes.py" --tripid 82-30 --locoid 4011 --swversion DE.1.0.9.0 --startMP 204:232978 --initTime 2017-07-01T00:58:30 --startdatetime 2017-07-01T01:01:12 --delay 1 --endMP 204:359 --enddatetime 2017-07-01T01:54:32 --enforcementcount 0 &gt;&gt;C:\Users\stu\Documents\GitHub\eaglep3-reporting\EC\2017-06-30-refined-times.txt</v>
      </c>
      <c r="AI269" s="96" t="str">
        <f t="shared" ref="AI269:AI281" si="121">"echo {""issue"":{""subject"":"""&amp;R269&amp;""",""project_id"":79,""tracker_id"":40,""status_id"":"&amp;redmine_status&amp;",""priority_id"":"&amp;redmine_priority&amp;",""assigned_to_id"":"&amp;redmine_assignee&amp;",""start_date"":"""&amp;TEXT(I269,"YYYY-mm-dd")&amp;""",""description"":"""&amp;AJ269&amp;""",""custom_fields"":[{""id"":1,""name"":""Subdivision"",""value"":"""&amp;AG269&amp;"""},{""id"":4,""name"":""Milepost"",""value"":"""&amp;Z269&amp;"""},{""id"":17,""name"":""Train ID"",""value"":"""&amp;A269&amp;"""},{""id"":16,""name"":""Locomotive ID"",""value"":"""&amp;B269&amp;"""},{""id"":130,""name"":""Impact"",""value"":"""&amp;AK269&amp;"""},{""id"":150,""name"":""Time of Event (Mountain Time)"",""value"":"""&amp;TEXT(I269,"hh:mm:ss")&amp;"""},{""id"":151,""name"":""Denver Issue ID"",""value"":"""&amp;"""},{""id"":178,""name"":""Operational Impact"",""value"":"""&amp;redmine_op_impact&amp;"""},{""id"":179,""name"":""Denver Segment Assigned"",""value"":"""&amp;AL269&amp;"""}]}}"&amp;"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-01","description":"","custom_fields":[{"id":1,"name":"Subdivision","value":"Shuttle/Test"},{"id":4,"name":"Milepost","value":"0.0359"},{"id":17,"name":"Train ID","value":"82-30"},{"id":16,"name":"Locomotive ID","value":"4011"},{"id":130,"name":"Impact","value":""},{"id":150,"name":"Time of Event (Mountain Time)","value":"01:54:32"},{"id":151,"name":"Denver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9" s="20"/>
      <c r="AK269" s="47"/>
      <c r="AL269" s="47"/>
      <c r="AM269" s="142" t="str">
        <f t="shared" ref="AM269:AM281" si="122">"start /low /b "&amp;dls3logs&amp;" --loco "&amp;B269&amp;" --day "&amp;TEXT(F269,"YYYY-MM-DD")</f>
        <v>start /low /b %USERPROFILE%\Documents\GitHub\eaglep3\Utilities\DownloadLogsFromS3.py --loco 4011 --day 2017-07-01</v>
      </c>
      <c r="AN269" s="151" t="str">
        <f t="shared" ref="AN269:AN281" si="123">"echo {""issue"":{""subject"":"""&amp;R269&amp;""",""project_id"":30,""tracker_id"":4,""status_id"":"&amp;redmine_status_wcr&amp;",""priority_id"":"&amp;redmine_priority_wcr&amp;",""assigned_to_id"":"&amp;redmine_assignee_wcr&amp;",""start_date"":"""&amp;TEXT(I269-utc_offset/24,"YYYY-mm-dd")&amp;""",""description"":"""&amp;AJ269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ID"",""value"":"""&amp;B269&amp;"""},{""id"":20,""name"":""RR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UTC"",""value"":"""&amp;TEXT(I269-utc_offset/24,"YYYY-MM-DD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07:54:32"},{"id":29,"name":"Sharepoint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9"/>
    </row>
    <row r="270" spans="1:41" x14ac:dyDescent="0.25">
      <c r="A270" s="32" t="s">
        <v>818</v>
      </c>
      <c r="B270" s="7">
        <v>4011</v>
      </c>
      <c r="C270" s="21" t="s">
        <v>200</v>
      </c>
      <c r="D270" s="21" t="s">
        <v>480</v>
      </c>
      <c r="E270" s="13">
        <v>42916.870648148149</v>
      </c>
      <c r="F270" s="13">
        <v>42916.905277777776</v>
      </c>
      <c r="G270" s="7">
        <v>1</v>
      </c>
      <c r="H270" s="21" t="s">
        <v>1012</v>
      </c>
      <c r="I270" s="13">
        <v>42916.913645833331</v>
      </c>
      <c r="J270" s="7">
        <v>0</v>
      </c>
      <c r="K270" s="89" t="str">
        <f t="shared" si="111"/>
        <v>4011/4012</v>
      </c>
      <c r="L270" s="21" t="str">
        <f>VLOOKUP(A270,'Trips&amp;Operators'!$C$1:$G$99999,5,FALSE)</f>
        <v>BIRENBAUM THOMAS</v>
      </c>
      <c r="M270" s="6">
        <f t="shared" si="112"/>
        <v>8.3680555544560775E-3</v>
      </c>
      <c r="N270" s="7">
        <f t="shared" ref="N270:N281" si="124">24*60*SUM($M270:$M270)</f>
        <v>12.049999998416752</v>
      </c>
      <c r="O270" s="7"/>
      <c r="P270" s="7"/>
      <c r="Q270" s="22"/>
      <c r="R270" s="170"/>
      <c r="S270" s="213">
        <f t="shared" si="107"/>
        <v>0</v>
      </c>
      <c r="T270" s="195" t="str">
        <f t="shared" si="113"/>
        <v>Southbound</v>
      </c>
      <c r="U270" s="195">
        <f>IF(AG270="EC",COUNTIFS(Variables!$M$2:$M$19,IF(T270="NorthBound","&gt;=","&lt;=")&amp;Y270,Variables!$M$2:$M$19,IF(T270="NorthBound","&lt;=","&gt;=")&amp;Z270),COUNTIFS(Variables!$P$2:$P$19,IF(T270="NorthBound","&gt;=","&lt;=")&amp;Y270,Variables!$P$2:$P$19,IF(T270="NorthBound","&lt;=","&gt;=")&amp;Z270))</f>
        <v>0</v>
      </c>
      <c r="V270" s="196" t="str">
        <f t="shared" si="114"/>
        <v>https://d0f6bd738d7f1b3e5a7ca70fe4ff75f0.us-east-1.aws.found.io/app/kibana#/discover/Steve-Slow-Train-Analysis-(2080s-and-2083s)?_g=(refreshInterval:(display:Off,pause:!f,section:0,value:0),time:(from:'2017-06-30T19:53:44-0600',mode:absolute,to:'2017-06-30T22:55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70" s="197" t="str">
        <f>IF(AA270&lt;VLOOKUP(AG270,Variables!$AC$3:$AD$8,2,FALSE),"Y","N")</f>
        <v>Y</v>
      </c>
      <c r="X270" s="197">
        <f t="shared" si="108"/>
        <v>0</v>
      </c>
      <c r="Y270" s="197">
        <f t="shared" si="109"/>
        <v>23.297999999999998</v>
      </c>
      <c r="Z270" s="197">
        <f t="shared" si="110"/>
        <v>15.4001</v>
      </c>
      <c r="AA270" s="197">
        <f t="shared" si="115"/>
        <v>7.8978999999999981</v>
      </c>
      <c r="AB270" s="54" t="e">
        <f>VLOOKUP(A270,Enforcements!$C$7:$K$13,8,0)</f>
        <v>#N/A</v>
      </c>
      <c r="AC270" s="51" t="e">
        <f>VLOOKUP(A270,Enforcements!$C$7:$E$13,3,0)</f>
        <v>#N/A</v>
      </c>
      <c r="AD270" s="206">
        <f t="shared" si="116"/>
        <v>82</v>
      </c>
      <c r="AE270" s="77" t="str">
        <f t="shared" si="117"/>
        <v>aws s3 cp s3://rtdc.mdm.uploadarchive.raw/RTDC4011/ "%USERPROFILE%\AppData\Local\Temp\OnboardLogs"\RTDC4011\2017-06-30 --exclude "*" --recursive --include "*20170630*" &amp; "%USERPROFILE%\Documents\GitHub\mrs-test-scripts\Headless Mode &amp; Sideloading\WalkAndUnGZ.bat" "%USERPROFILE%\AppData\Local\Temp\OnboardLogs"\RTDC4011\2017-06-30 &amp; aws s3 cp s3://rtdc.mdm.uploadarchive.raw/RTDC4011/ "%USERPROFILE%\AppData\Local\Temp\OnboardLogs"\RTDC4011\2017-07-01 --exclude "*" --recursive --include "*20170701*" &amp; "%USERPROFILE%\Documents\GitHub\mrs-test-scripts\Headless Mode &amp; Sideloading\WalkAndUnGZ.bat" "%USERPROFILE%\AppData\Local\Temp\OnboardLogs"\RTDC4011\2017-07-01</v>
      </c>
      <c r="AF270" s="74" t="str">
        <f t="shared" si="118"/>
        <v>"C:\Program Files (x86)\AstroGrep\AstroGrep.exe" /e /r /s /spath="%USERPROFILE%\AppData\Local\Temp\OnboardLogs" /stypes="app*4011*20170701*" /stext=" 03:.+((SYSTEM_STATE.+slice.+state.+changed )|(ment ac)|(multiple cpu faults)|(system.+state.+changed )|(\[timeout)|(PRM\|1\|D)|(kpr)|(kdp)|(train st.+moving)|(\|lc)|(penalty))"</v>
      </c>
      <c r="AG270" s="209" t="str">
        <f t="shared" si="119"/>
        <v>Shuttle/Test</v>
      </c>
      <c r="AH270" s="78" t="str">
        <f t="shared" si="120"/>
        <v>"%USERPROFILE%\Documents\GitHub\eaglep3\Utilities\RefineRTDCRunTimes.py" --tripid 82-30 --locoid 4011 --swversion DE.1.0.9.0 --startMP 204:232980 --initTime 2017-06-30T20:53:44 --startdatetime 2017-06-30T21:43:36 --delay 1 --endMP 204:154001 --enddatetime 2017-06-30T21:55:39 --enforcementcount 0 &gt;&gt;C:\Users\stu\Documents\GitHub\eaglep3-reporting\EC\2017-06-30-refined-times.txt</v>
      </c>
      <c r="AI270" s="96" t="str">
        <f t="shared" si="121"/>
        <v>echo {"issue":{"subject":"","project_id":79,"tracker_id":40,"status_id":1,"priority_id":2,"assigned_to_id":23,"start_date":"2017-06-30","description":"","custom_fields":[{"id":1,"name":"Subdivision","value":"Shuttle/Test"},{"id":4,"name":"Milepost","value":"15.4001"},{"id":17,"name":"Train ID","value":"82-30"},{"id":16,"name":"Locomotive ID","value":"4011"},{"id":130,"name":"Impact","value":""},{"id":150,"name":"Time of Event (Mountain Time)","value":"21:55:39"},{"id":151,"name":"Denver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0" s="20"/>
      <c r="AK270" s="47"/>
      <c r="AL270" s="47"/>
      <c r="AM270" s="142" t="str">
        <f t="shared" si="122"/>
        <v>start /low /b %USERPROFILE%\Documents\GitHub\eaglep3\Utilities\DownloadLogsFromS3.py --loco 4011 --day 2017-06-30</v>
      </c>
      <c r="AN270" s="151" t="str">
        <f t="shared" si="12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03:55:39"},{"id":29,"name":"Sharepoint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0"/>
    </row>
    <row r="271" spans="1:41" x14ac:dyDescent="0.25">
      <c r="A271" s="32" t="s">
        <v>818</v>
      </c>
      <c r="B271" s="7">
        <v>4011</v>
      </c>
      <c r="C271" s="21" t="s">
        <v>200</v>
      </c>
      <c r="D271" s="21" t="s">
        <v>446</v>
      </c>
      <c r="E271" s="13">
        <v>42916.902615740742</v>
      </c>
      <c r="F271" s="13">
        <v>42916.938761574071</v>
      </c>
      <c r="G271" s="7">
        <v>0</v>
      </c>
      <c r="H271" s="21" t="s">
        <v>1013</v>
      </c>
      <c r="I271" s="13">
        <v>42916.945625</v>
      </c>
      <c r="J271" s="7">
        <v>0</v>
      </c>
      <c r="K271" s="89" t="str">
        <f t="shared" si="111"/>
        <v>4011/4012</v>
      </c>
      <c r="L271" s="21" t="str">
        <f>VLOOKUP(A271,'Trips&amp;Operators'!$C$1:$G$99999,5,FALSE)</f>
        <v>BIRENBAUM THOMAS</v>
      </c>
      <c r="M271" s="6">
        <f t="shared" si="112"/>
        <v>6.8634259296231903E-3</v>
      </c>
      <c r="N271" s="7">
        <f t="shared" si="124"/>
        <v>9.8833333386573941</v>
      </c>
      <c r="O271" s="7"/>
      <c r="P271" s="7"/>
      <c r="Q271" s="22"/>
      <c r="R271" s="170"/>
      <c r="S271" s="213">
        <f t="shared" si="107"/>
        <v>0</v>
      </c>
      <c r="T271" s="195" t="str">
        <f t="shared" si="113"/>
        <v>Southbound</v>
      </c>
      <c r="U271" s="195">
        <f>IF(AG271="EC",COUNTIFS(Variables!$M$2:$M$19,IF(T271="NorthBound","&gt;=","&lt;=")&amp;Y271,Variables!$M$2:$M$19,IF(T271="NorthBound","&lt;=","&gt;=")&amp;Z271),COUNTIFS(Variables!$P$2:$P$19,IF(T271="NorthBound","&gt;=","&lt;=")&amp;Y271,Variables!$P$2:$P$19,IF(T271="NorthBound","&lt;=","&gt;=")&amp;Z271))</f>
        <v>0</v>
      </c>
      <c r="V271" s="196" t="str">
        <f t="shared" si="114"/>
        <v>https://d0f6bd738d7f1b3e5a7ca70fe4ff75f0.us-east-1.aws.found.io/app/kibana#/discover/Steve-Slow-Train-Analysis-(2080s-and-2083s)?_g=(refreshInterval:(display:Off,pause:!f,section:0,value:0),time:(from:'2017-06-30T20:39:46-0600',mode:absolute,to:'2017-06-30T23:41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71" s="197" t="str">
        <f>IF(AA271&lt;VLOOKUP(AG271,Variables!$AC$3:$AD$8,2,FALSE),"Y","N")</f>
        <v>Y</v>
      </c>
      <c r="X271" s="197">
        <f t="shared" si="108"/>
        <v>0</v>
      </c>
      <c r="Y271" s="197">
        <f t="shared" si="109"/>
        <v>23.298400000000001</v>
      </c>
      <c r="Z271" s="197">
        <f t="shared" si="110"/>
        <v>16.098600000000001</v>
      </c>
      <c r="AA271" s="197">
        <f t="shared" si="115"/>
        <v>7.1997999999999998</v>
      </c>
      <c r="AB271" s="54" t="e">
        <f>VLOOKUP(A271,Enforcements!$C$7:$K$13,8,0)</f>
        <v>#N/A</v>
      </c>
      <c r="AC271" s="51" t="e">
        <f>VLOOKUP(A271,Enforcements!$C$7:$E$13,3,0)</f>
        <v>#N/A</v>
      </c>
      <c r="AD271" s="206">
        <f t="shared" si="116"/>
        <v>82</v>
      </c>
      <c r="AE271" s="77" t="str">
        <f t="shared" si="117"/>
        <v>aws s3 cp s3://rtdc.mdm.uploadarchive.raw/RTDC4011/ "%USERPROFILE%\AppData\Local\Temp\OnboardLogs"\RTDC4011\2017-06-30 --exclude "*" --recursive --include "*20170630*" &amp; "%USERPROFILE%\Documents\GitHub\mrs-test-scripts\Headless Mode &amp; Sideloading\WalkAndUnGZ.bat" "%USERPROFILE%\AppData\Local\Temp\OnboardLogs"\RTDC4011\2017-06-30 &amp; aws s3 cp s3://rtdc.mdm.uploadarchive.raw/RTDC4011/ "%USERPROFILE%\AppData\Local\Temp\OnboardLogs"\RTDC4011\2017-07-01 --exclude "*" --recursive --include "*20170701*" &amp; "%USERPROFILE%\Documents\GitHub\mrs-test-scripts\Headless Mode &amp; Sideloading\WalkAndUnGZ.bat" "%USERPROFILE%\AppData\Local\Temp\OnboardLogs"\RTDC4011\2017-07-01</v>
      </c>
      <c r="AF271" s="74" t="str">
        <f t="shared" si="118"/>
        <v>"C:\Program Files (x86)\AstroGrep\AstroGrep.exe" /e /r /s /spath="%USERPROFILE%\AppData\Local\Temp\OnboardLogs" /stypes="app*4011*20170701*" /stext=" 04:.+((SYSTEM_STATE.+slice.+state.+changed )|(ment ac)|(multiple cpu faults)|(system.+state.+changed )|(\[timeout)|(PRM\|1\|D)|(kpr)|(kdp)|(train st.+moving)|(\|lc)|(penalty))"</v>
      </c>
      <c r="AG271" s="209" t="str">
        <f t="shared" si="119"/>
        <v>Shuttle/Test</v>
      </c>
      <c r="AH271" s="78" t="str">
        <f t="shared" si="120"/>
        <v>"%USERPROFILE%\Documents\GitHub\eaglep3\Utilities\RefineRTDCRunTimes.py" --tripid 82-30 --locoid 4011 --swversion DE.1.0.9.0 --startMP 204:232984 --initTime 2017-06-30T21:39:46 --startdatetime 2017-06-30T22:31:49 --delay 0 --endMP 204:160986 --enddatetime 2017-06-30T22:41:42 --enforcementcount 0 &gt;&gt;C:\Users\stu\Documents\GitHub\eaglep3-reporting\EC\2017-06-30-refined-times.txt</v>
      </c>
      <c r="AI271" s="96" t="str">
        <f t="shared" si="121"/>
        <v>echo {"issue":{"subject":"","project_id":79,"tracker_id":40,"status_id":1,"priority_id":2,"assigned_to_id":23,"start_date":"2017-06-30","description":"","custom_fields":[{"id":1,"name":"Subdivision","value":"Shuttle/Test"},{"id":4,"name":"Milepost","value":"16.0986"},{"id":17,"name":"Train ID","value":"82-30"},{"id":16,"name":"Locomotive ID","value":"4011"},{"id":130,"name":"Impact","value":""},{"id":150,"name":"Time of Event (Mountain Time)","value":"22:41:42"},{"id":151,"name":"Denver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1" s="20"/>
      <c r="AK271" s="47"/>
      <c r="AL271" s="47"/>
      <c r="AM271" s="142" t="str">
        <f t="shared" si="122"/>
        <v>start /low /b %USERPROFILE%\Documents\GitHub\eaglep3\Utilities\DownloadLogsFromS3.py --loco 4011 --day 2017-06-30</v>
      </c>
      <c r="AN271" s="151" t="str">
        <f t="shared" si="12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04:41:42"},{"id":29,"name":"Sharepoint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1"/>
    </row>
    <row r="272" spans="1:41" x14ac:dyDescent="0.25">
      <c r="A272" s="32" t="s">
        <v>635</v>
      </c>
      <c r="B272" s="7">
        <v>4012</v>
      </c>
      <c r="C272" s="21" t="s">
        <v>200</v>
      </c>
      <c r="D272" s="21" t="s">
        <v>1021</v>
      </c>
      <c r="E272" s="13">
        <v>42916.839826388888</v>
      </c>
      <c r="F272" s="13">
        <v>42916.891296296293</v>
      </c>
      <c r="G272" s="7">
        <v>1</v>
      </c>
      <c r="H272" s="21" t="s">
        <v>1022</v>
      </c>
      <c r="I272" s="13">
        <v>42916.901296296295</v>
      </c>
      <c r="J272" s="7">
        <v>0</v>
      </c>
      <c r="K272" s="89" t="str">
        <f t="shared" si="111"/>
        <v>4011/4012</v>
      </c>
      <c r="L272" s="21" t="str">
        <f>VLOOKUP(A272,'Trips&amp;Operators'!$C$1:$G$99999,5,FALSE)</f>
        <v>BIRENBAUM THOMAS</v>
      </c>
      <c r="M272" s="6">
        <f t="shared" si="112"/>
        <v>1.0000000002037268E-2</v>
      </c>
      <c r="N272" s="7">
        <f t="shared" si="124"/>
        <v>14.400000002933666</v>
      </c>
      <c r="O272" s="7"/>
      <c r="P272" s="7"/>
      <c r="Q272" s="22"/>
      <c r="R272" s="170"/>
      <c r="S272" s="213">
        <f t="shared" si="107"/>
        <v>1</v>
      </c>
      <c r="T272" s="195" t="str">
        <f t="shared" si="113"/>
        <v>NorthBound</v>
      </c>
      <c r="U272" s="195">
        <f>IF(AG272="EC",COUNTIFS(Variables!$M$2:$M$19,IF(T272="NorthBound","&gt;=","&lt;=")&amp;Y272,Variables!$M$2:$M$19,IF(T272="NorthBound","&lt;=","&gt;=")&amp;Z272),COUNTIFS(Variables!$P$2:$P$19,IF(T272="NorthBound","&gt;=","&lt;=")&amp;Y272,Variables!$P$2:$P$19,IF(T272="NorthBound","&lt;=","&gt;=")&amp;Z272))</f>
        <v>1</v>
      </c>
      <c r="V272" s="196" t="str">
        <f t="shared" si="114"/>
        <v>https://d0f6bd738d7f1b3e5a7ca70fe4ff75f0.us-east-1.aws.found.io/app/kibana#/discover/Steve-Slow-Train-Analysis-(2080s-and-2083s)?_g=(refreshInterval:(display:Off,pause:!f,section:0,value:0),time:(from:'2017-06-30T19:09:21-0600',mode:absolute,to:'2017-06-30T22:37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72" s="197" t="str">
        <f>IF(AA272&lt;VLOOKUP(AG272,Variables!$AC$3:$AD$8,2,FALSE),"Y","N")</f>
        <v>Y</v>
      </c>
      <c r="X272" s="197">
        <f t="shared" si="108"/>
        <v>1</v>
      </c>
      <c r="Y272" s="197">
        <f t="shared" si="109"/>
        <v>0.1134</v>
      </c>
      <c r="Z272" s="197">
        <f t="shared" si="110"/>
        <v>23.331600000000002</v>
      </c>
      <c r="AA272" s="197">
        <f t="shared" si="115"/>
        <v>23.218200000000003</v>
      </c>
      <c r="AB272" s="54" t="e">
        <f>VLOOKUP(A272,Enforcements!$C$7:$K$13,8,0)</f>
        <v>#N/A</v>
      </c>
      <c r="AC272" s="51" t="e">
        <f>VLOOKUP(A272,Enforcements!$C$7:$E$13,3,0)</f>
        <v>#N/A</v>
      </c>
      <c r="AD272" s="206">
        <f t="shared" si="116"/>
        <v>83</v>
      </c>
      <c r="AE272" s="77" t="str">
        <f t="shared" si="117"/>
        <v>aws s3 cp s3://rtdc.mdm.uploadarchive.raw/RTDC4012/ "%USERPROFILE%\AppData\Local\Temp\OnboardLogs"\RTDC4012\2017-06-30 --exclude "*" --recursive --include "*20170630*" &amp; "%USERPROFILE%\Documents\GitHub\mrs-test-scripts\Headless Mode &amp; Sideloading\WalkAndUnGZ.bat" "%USERPROFILE%\AppData\Local\Temp\OnboardLogs"\RTDC4012\2017-06-30 &amp; aws s3 cp s3://rtdc.mdm.uploadarchive.raw/RTDC4012/ "%USERPROFILE%\AppData\Local\Temp\OnboardLogs"\RTDC4012\2017-07-01 --exclude "*" --recursive --include "*20170701*" &amp; "%USERPROFILE%\Documents\GitHub\mrs-test-scripts\Headless Mode &amp; Sideloading\WalkAndUnGZ.bat" "%USERPROFILE%\AppData\Local\Temp\OnboardLogs"\RTDC4012\2017-07-01</v>
      </c>
      <c r="AF272" s="74" t="str">
        <f t="shared" si="118"/>
        <v>"C:\Program Files (x86)\AstroGrep\AstroGrep.exe" /e /r /s /spath="%USERPROFILE%\AppData\Local\Temp\OnboardLogs" /stypes="app*4012*20170701*" /stext=" 03:.+((SYSTEM_STATE.+slice.+state.+changed )|(ment ac)|(multiple cpu faults)|(system.+state.+changed )|(\[timeout)|(PRM\|1\|D)|(kpr)|(kdp)|(train st.+moving)|(\|lc)|(penalty))"</v>
      </c>
      <c r="AG272" s="209" t="str">
        <f t="shared" si="119"/>
        <v>Shuttle/Test</v>
      </c>
      <c r="AH272" s="78" t="str">
        <f t="shared" si="120"/>
        <v>"%USERPROFILE%\Documents\GitHub\eaglep3\Utilities\RefineRTDCRunTimes.py" --tripid 83-30 --locoid 4012 --swversion DE.1.0.9.0 --startMP 204:1134 --initTime 2017-06-30T20:09:21 --startdatetime 2017-06-30T21:23:28 --delay 1 --endMP 204:233316 --enddatetime 2017-06-30T21:37:52 --enforcementcount 0 &gt;&gt;C:\Users\stu\Documents\GitHub\eaglep3-reporting\EC\2017-06-30-refined-times.txt</v>
      </c>
      <c r="AI272" s="96" t="str">
        <f t="shared" si="121"/>
        <v>echo {"issue":{"subject":"","project_id":79,"tracker_id":40,"status_id":1,"priority_id":2,"assigned_to_id":23,"start_date":"2017-06-30","description":"","custom_fields":[{"id":1,"name":"Subdivision","value":"Shuttle/Test"},{"id":4,"name":"Milepost","value":"23.3316"},{"id":17,"name":"Train ID","value":"83-30"},{"id":16,"name":"Locomotive ID","value":"4012"},{"id":130,"name":"Impact","value":""},{"id":150,"name":"Time of Event (Mountain Time)","value":"21:37:52"},{"id":151,"name":"Denver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2" s="20"/>
      <c r="AK272" s="47"/>
      <c r="AL272" s="47"/>
      <c r="AM272" s="142" t="str">
        <f t="shared" si="122"/>
        <v>start /low /b %USERPROFILE%\Documents\GitHub\eaglep3\Utilities\DownloadLogsFromS3.py --loco 4012 --day 2017-06-30</v>
      </c>
      <c r="AN272" s="151" t="str">
        <f t="shared" si="12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03:37:52"},{"id":29,"name":"Sharepoint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2"/>
    </row>
    <row r="273" spans="1:41" x14ac:dyDescent="0.25">
      <c r="A273" s="32" t="s">
        <v>635</v>
      </c>
      <c r="B273" s="7">
        <v>4012</v>
      </c>
      <c r="C273" s="21" t="s">
        <v>200</v>
      </c>
      <c r="D273" s="21" t="s">
        <v>1023</v>
      </c>
      <c r="E273" s="13">
        <v>42916.888796296298</v>
      </c>
      <c r="F273" s="13">
        <v>42916.915706018517</v>
      </c>
      <c r="G273" s="7">
        <v>1</v>
      </c>
      <c r="H273" s="21" t="s">
        <v>461</v>
      </c>
      <c r="I273" s="13">
        <v>42916.915937500002</v>
      </c>
      <c r="J273" s="7">
        <v>0</v>
      </c>
      <c r="K273" s="89" t="str">
        <f t="shared" si="111"/>
        <v>4011/4012</v>
      </c>
      <c r="L273" s="21" t="str">
        <f>VLOOKUP(A273,'Trips&amp;Operators'!$C$1:$G$99999,5,FALSE)</f>
        <v>BIRENBAUM THOMAS</v>
      </c>
      <c r="M273" s="6">
        <f t="shared" si="112"/>
        <v>2.3148148466134444E-4</v>
      </c>
      <c r="N273" s="7">
        <f t="shared" si="124"/>
        <v>0.33333333791233599</v>
      </c>
      <c r="O273" s="7"/>
      <c r="P273" s="7"/>
      <c r="Q273" s="22"/>
      <c r="R273" s="170"/>
      <c r="S273" s="213">
        <f t="shared" si="107"/>
        <v>0</v>
      </c>
      <c r="T273" s="195" t="str">
        <f t="shared" si="113"/>
        <v>NorthBound</v>
      </c>
      <c r="U273" s="195">
        <f>IF(AG273="EC",COUNTIFS(Variables!$M$2:$M$19,IF(T273="NorthBound","&gt;=","&lt;=")&amp;Y273,Variables!$M$2:$M$19,IF(T273="NorthBound","&lt;=","&gt;=")&amp;Z273),COUNTIFS(Variables!$P$2:$P$19,IF(T273="NorthBound","&gt;=","&lt;=")&amp;Y273,Variables!$P$2:$P$19,IF(T273="NorthBound","&lt;=","&gt;=")&amp;Z273))</f>
        <v>0</v>
      </c>
      <c r="V273" s="196" t="str">
        <f t="shared" si="114"/>
        <v>https://d0f6bd738d7f1b3e5a7ca70fe4ff75f0.us-east-1.aws.found.io/app/kibana#/discover/Steve-Slow-Train-Analysis-(2080s-and-2083s)?_g=(refreshInterval:(display:Off,pause:!f,section:0,value:0),time:(from:'2017-06-30T20:19:52-0600',mode:absolute,to:'2017-06-30T22:58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73" s="197" t="str">
        <f>IF(AA273&lt;VLOOKUP(AG273,Variables!$AC$3:$AD$8,2,FALSE),"Y","N")</f>
        <v>Y</v>
      </c>
      <c r="X273" s="197">
        <f t="shared" si="108"/>
        <v>0</v>
      </c>
      <c r="Y273" s="197">
        <f t="shared" si="109"/>
        <v>15.426600000000001</v>
      </c>
      <c r="Z273" s="197">
        <f t="shared" si="110"/>
        <v>23.3293</v>
      </c>
      <c r="AA273" s="197">
        <f t="shared" si="115"/>
        <v>7.9026999999999994</v>
      </c>
      <c r="AB273" s="54" t="e">
        <f>VLOOKUP(A273,Enforcements!$C$7:$K$13,8,0)</f>
        <v>#N/A</v>
      </c>
      <c r="AC273" s="51" t="e">
        <f>VLOOKUP(A273,Enforcements!$C$7:$E$13,3,0)</f>
        <v>#N/A</v>
      </c>
      <c r="AD273" s="206">
        <f t="shared" si="116"/>
        <v>83</v>
      </c>
      <c r="AE273" s="77" t="str">
        <f t="shared" si="117"/>
        <v>aws s3 cp s3://rtdc.mdm.uploadarchive.raw/RTDC4012/ "%USERPROFILE%\AppData\Local\Temp\OnboardLogs"\RTDC4012\2017-06-30 --exclude "*" --recursive --include "*20170630*" &amp; "%USERPROFILE%\Documents\GitHub\mrs-test-scripts\Headless Mode &amp; Sideloading\WalkAndUnGZ.bat" "%USERPROFILE%\AppData\Local\Temp\OnboardLogs"\RTDC4012\2017-06-30 &amp; aws s3 cp s3://rtdc.mdm.uploadarchive.raw/RTDC4012/ "%USERPROFILE%\AppData\Local\Temp\OnboardLogs"\RTDC4012\2017-07-01 --exclude "*" --recursive --include "*20170701*" &amp; "%USERPROFILE%\Documents\GitHub\mrs-test-scripts\Headless Mode &amp; Sideloading\WalkAndUnGZ.bat" "%USERPROFILE%\AppData\Local\Temp\OnboardLogs"\RTDC4012\2017-07-01</v>
      </c>
      <c r="AF273" s="74" t="str">
        <f t="shared" si="118"/>
        <v>"C:\Program Files (x86)\AstroGrep\AstroGrep.exe" /e /r /s /spath="%USERPROFILE%\AppData\Local\Temp\OnboardLogs" /stypes="app*4012*20170701*" /stext=" 03:.+((SYSTEM_STATE.+slice.+state.+changed )|(ment ac)|(multiple cpu faults)|(system.+state.+changed )|(\[timeout)|(PRM\|1\|D)|(kpr)|(kdp)|(train st.+moving)|(\|lc)|(penalty))"</v>
      </c>
      <c r="AG273" s="209" t="str">
        <f t="shared" si="119"/>
        <v>Shuttle/Test</v>
      </c>
      <c r="AH273" s="78" t="str">
        <f t="shared" si="120"/>
        <v>"%USERPROFILE%\Documents\GitHub\eaglep3\Utilities\RefineRTDCRunTimes.py" --tripid 83-30 --locoid 4012 --swversion DE.1.0.9.0 --startMP 204:154266 --initTime 2017-06-30T21:19:52 --startdatetime 2017-06-30T21:58:37 --delay 1 --endMP 204:233293 --enddatetime 2017-06-30T21:58:57 --enforcementcount 0 &gt;&gt;C:\Users\stu\Documents\GitHub\eaglep3-reporting\EC\2017-06-30-refined-times.txt</v>
      </c>
      <c r="AI273" s="96" t="str">
        <f t="shared" si="121"/>
        <v>echo {"issue":{"subject":"","project_id":79,"tracker_id":40,"status_id":1,"priority_id":2,"assigned_to_id":23,"start_date":"2017-06-30","description":"","custom_fields":[{"id":1,"name":"Subdivision","value":"Shuttle/Test"},{"id":4,"name":"Milepost","value":"23.3293"},{"id":17,"name":"Train ID","value":"83-30"},{"id":16,"name":"Locomotive ID","value":"4012"},{"id":130,"name":"Impact","value":""},{"id":150,"name":"Time of Event (Mountain Time)","value":"21:58:57"},{"id":151,"name":"Denver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3" s="20"/>
      <c r="AK273" s="47"/>
      <c r="AL273" s="47"/>
      <c r="AM273" s="142" t="str">
        <f t="shared" si="122"/>
        <v>start /low /b %USERPROFILE%\Documents\GitHub\eaglep3\Utilities\DownloadLogsFromS3.py --loco 4012 --day 2017-06-30</v>
      </c>
      <c r="AN273" s="151" t="str">
        <f t="shared" si="12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03:58:57"},{"id":29,"name":"Sharepoint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3"/>
    </row>
    <row r="274" spans="1:41" x14ac:dyDescent="0.25">
      <c r="A274" s="32" t="s">
        <v>635</v>
      </c>
      <c r="B274" s="7">
        <v>4012</v>
      </c>
      <c r="C274" s="21" t="s">
        <v>200</v>
      </c>
      <c r="D274" s="21" t="s">
        <v>1024</v>
      </c>
      <c r="E274" s="13">
        <v>42916.914386574077</v>
      </c>
      <c r="F274" s="13">
        <v>42916.915706018517</v>
      </c>
      <c r="G274" s="7">
        <v>0</v>
      </c>
      <c r="H274" s="21" t="s">
        <v>1025</v>
      </c>
      <c r="I274" s="13">
        <v>42916.915937500002</v>
      </c>
      <c r="J274" s="7">
        <v>0</v>
      </c>
      <c r="K274" s="89" t="str">
        <f t="shared" si="111"/>
        <v>4011/4012</v>
      </c>
      <c r="L274" s="21" t="str">
        <f>VLOOKUP(A274,'Trips&amp;Operators'!$C$1:$G$99999,5,FALSE)</f>
        <v>BIRENBAUM THOMAS</v>
      </c>
      <c r="M274" s="6">
        <f t="shared" si="112"/>
        <v>2.3148148466134444E-4</v>
      </c>
      <c r="N274" s="7">
        <f t="shared" si="124"/>
        <v>0.33333333791233599</v>
      </c>
      <c r="O274" s="7"/>
      <c r="P274" s="7"/>
      <c r="Q274" s="22"/>
      <c r="R274" s="170"/>
      <c r="S274" s="213">
        <f t="shared" si="107"/>
        <v>0</v>
      </c>
      <c r="T274" s="195" t="str">
        <f t="shared" si="113"/>
        <v>NorthBound</v>
      </c>
      <c r="U274" s="195">
        <f>IF(AG274="EC",COUNTIFS(Variables!$M$2:$M$19,IF(T274="NorthBound","&gt;=","&lt;=")&amp;Y274,Variables!$M$2:$M$19,IF(T274="NorthBound","&lt;=","&gt;=")&amp;Z274),COUNTIFS(Variables!$P$2:$P$19,IF(T274="NorthBound","&gt;=","&lt;=")&amp;Y274,Variables!$P$2:$P$19,IF(T274="NorthBound","&lt;=","&gt;=")&amp;Z274))</f>
        <v>0</v>
      </c>
      <c r="V274" s="196" t="str">
        <f t="shared" si="114"/>
        <v>https://d0f6bd738d7f1b3e5a7ca70fe4ff75f0.us-east-1.aws.found.io/app/kibana#/discover/Steve-Slow-Train-Analysis-(2080s-and-2083s)?_g=(refreshInterval:(display:Off,pause:!f,section:0,value:0),time:(from:'2017-06-30T20:56:43-0600',mode:absolute,to:'2017-06-30T22:58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74" s="197" t="str">
        <f>IF(AA274&lt;VLOOKUP(AG274,Variables!$AC$3:$AD$8,2,FALSE),"Y","N")</f>
        <v>Y</v>
      </c>
      <c r="X274" s="197">
        <f t="shared" si="108"/>
        <v>0</v>
      </c>
      <c r="Y274" s="197">
        <f t="shared" si="109"/>
        <v>16.134599999999999</v>
      </c>
      <c r="Z274" s="197">
        <f t="shared" si="110"/>
        <v>16.186199999999999</v>
      </c>
      <c r="AA274" s="197">
        <f t="shared" si="115"/>
        <v>5.1600000000000534E-2</v>
      </c>
      <c r="AB274" s="54" t="e">
        <f>VLOOKUP(A274,Enforcements!$C$7:$K$13,8,0)</f>
        <v>#N/A</v>
      </c>
      <c r="AC274" s="51" t="e">
        <f>VLOOKUP(A274,Enforcements!$C$7:$E$13,3,0)</f>
        <v>#N/A</v>
      </c>
      <c r="AD274" s="206">
        <f t="shared" si="116"/>
        <v>83</v>
      </c>
      <c r="AE274" s="77" t="str">
        <f t="shared" si="117"/>
        <v>aws s3 cp s3://rtdc.mdm.uploadarchive.raw/RTDC4012/ "%USERPROFILE%\AppData\Local\Temp\OnboardLogs"\RTDC4012\2017-06-30 --exclude "*" --recursive --include "*20170630*" &amp; "%USERPROFILE%\Documents\GitHub\mrs-test-scripts\Headless Mode &amp; Sideloading\WalkAndUnGZ.bat" "%USERPROFILE%\AppData\Local\Temp\OnboardLogs"\RTDC4012\2017-06-30 &amp; aws s3 cp s3://rtdc.mdm.uploadarchive.raw/RTDC4012/ "%USERPROFILE%\AppData\Local\Temp\OnboardLogs"\RTDC4012\2017-07-01 --exclude "*" --recursive --include "*20170701*" &amp; "%USERPROFILE%\Documents\GitHub\mrs-test-scripts\Headless Mode &amp; Sideloading\WalkAndUnGZ.bat" "%USERPROFILE%\AppData\Local\Temp\OnboardLogs"\RTDC4012\2017-07-01</v>
      </c>
      <c r="AF274" s="74" t="str">
        <f t="shared" si="118"/>
        <v>"C:\Program Files (x86)\AstroGrep\AstroGrep.exe" /e /r /s /spath="%USERPROFILE%\AppData\Local\Temp\OnboardLogs" /stypes="app*4012*20170701*" /stext=" 03:.+((SYSTEM_STATE.+slice.+state.+changed )|(ment ac)|(multiple cpu faults)|(system.+state.+changed )|(\[timeout)|(PRM\|1\|D)|(kpr)|(kdp)|(train st.+moving)|(\|lc)|(penalty))"</v>
      </c>
      <c r="AG274" s="209" t="str">
        <f t="shared" si="119"/>
        <v>Shuttle/Test</v>
      </c>
      <c r="AH274" s="78" t="str">
        <f t="shared" si="120"/>
        <v>"%USERPROFILE%\Documents\GitHub\eaglep3\Utilities\RefineRTDCRunTimes.py" --tripid 83-30 --locoid 4012 --swversion DE.1.0.9.0 --startMP 204:161346 --initTime 2017-06-30T21:56:43 --startdatetime 2017-06-30T21:58:37 --delay 0 --endMP 204:161862 --enddatetime 2017-06-30T21:58:57 --enforcementcount 0 &gt;&gt;C:\Users\stu\Documents\GitHub\eaglep3-reporting\EC\2017-06-30-refined-times.txt</v>
      </c>
      <c r="AI274" s="96" t="str">
        <f t="shared" si="121"/>
        <v>echo {"issue":{"subject":"","project_id":79,"tracker_id":40,"status_id":1,"priority_id":2,"assigned_to_id":23,"start_date":"2017-06-30","description":"","custom_fields":[{"id":1,"name":"Subdivision","value":"Shuttle/Test"},{"id":4,"name":"Milepost","value":"16.1862"},{"id":17,"name":"Train ID","value":"83-30"},{"id":16,"name":"Locomotive ID","value":"4012"},{"id":130,"name":"Impact","value":""},{"id":150,"name":"Time of Event (Mountain Time)","value":"21:58:57"},{"id":151,"name":"Denver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4" s="20"/>
      <c r="AK274" s="47"/>
      <c r="AL274" s="47"/>
      <c r="AM274" s="142" t="str">
        <f t="shared" si="122"/>
        <v>start /low /b %USERPROFILE%\Documents\GitHub\eaglep3\Utilities\DownloadLogsFromS3.py --loco 4012 --day 2017-06-30</v>
      </c>
      <c r="AN274" s="151" t="str">
        <f t="shared" si="12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03:58:57"},{"id":29,"name":"Sharepoint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4"/>
    </row>
    <row r="275" spans="1:41" x14ac:dyDescent="0.25">
      <c r="A275" s="32" t="s">
        <v>635</v>
      </c>
      <c r="B275" s="7">
        <v>4012</v>
      </c>
      <c r="C275" s="21" t="s">
        <v>200</v>
      </c>
      <c r="D275" s="21" t="s">
        <v>1026</v>
      </c>
      <c r="E275" s="13">
        <v>42916.988946759258</v>
      </c>
      <c r="F275" s="13">
        <v>42917.011064814818</v>
      </c>
      <c r="G275" s="7">
        <v>1</v>
      </c>
      <c r="H275" s="21" t="s">
        <v>923</v>
      </c>
      <c r="I275" s="13">
        <v>42917.021180555559</v>
      </c>
      <c r="J275" s="7">
        <v>0</v>
      </c>
      <c r="K275" s="89" t="str">
        <f t="shared" si="111"/>
        <v>4011/4012</v>
      </c>
      <c r="L275" s="21" t="str">
        <f>VLOOKUP(A275,'Trips&amp;Operators'!$C$1:$G$99999,5,FALSE)</f>
        <v>BIRENBAUM THOMAS</v>
      </c>
      <c r="M275" s="6">
        <f t="shared" si="112"/>
        <v>1.0115740740729962E-2</v>
      </c>
      <c r="N275" s="7">
        <f t="shared" si="124"/>
        <v>14.566666666651145</v>
      </c>
      <c r="O275" s="7"/>
      <c r="P275" s="7"/>
      <c r="Q275" s="22"/>
      <c r="R275" s="170"/>
      <c r="S275" s="213">
        <f t="shared" si="107"/>
        <v>0</v>
      </c>
      <c r="T275" s="195" t="str">
        <f t="shared" si="113"/>
        <v>NorthBound</v>
      </c>
      <c r="U275" s="195">
        <f>IF(AG275="EC",COUNTIFS(Variables!$M$2:$M$19,IF(T275="NorthBound","&gt;=","&lt;=")&amp;Y275,Variables!$M$2:$M$19,IF(T275="NorthBound","&lt;=","&gt;=")&amp;Z275),COUNTIFS(Variables!$P$2:$P$19,IF(T275="NorthBound","&gt;=","&lt;=")&amp;Y275,Variables!$P$2:$P$19,IF(T275="NorthBound","&lt;=","&gt;=")&amp;Z275))</f>
        <v>0</v>
      </c>
      <c r="V275" s="196" t="str">
        <f t="shared" si="114"/>
        <v>https://d0f6bd738d7f1b3e5a7ca70fe4ff75f0.us-east-1.aws.found.io/app/kibana#/discover/Steve-Slow-Train-Analysis-(2080s-and-2083s)?_g=(refreshInterval:(display:Off,pause:!f,section:0,value:0),time:(from:'2017-06-30T22:44:05-0600',mode:absolute,to:'2017-07-01T01:30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75" s="197" t="str">
        <f>IF(AA275&lt;VLOOKUP(AG275,Variables!$AC$3:$AD$8,2,FALSE),"Y","N")</f>
        <v>Y</v>
      </c>
      <c r="X275" s="197">
        <f t="shared" si="108"/>
        <v>0</v>
      </c>
      <c r="Y275" s="197">
        <f t="shared" si="109"/>
        <v>18.923999999999999</v>
      </c>
      <c r="Z275" s="197">
        <f t="shared" si="110"/>
        <v>23.3278</v>
      </c>
      <c r="AA275" s="197">
        <f t="shared" si="115"/>
        <v>4.4038000000000004</v>
      </c>
      <c r="AB275" s="54" t="e">
        <f>VLOOKUP(A275,Enforcements!$C$7:$K$13,8,0)</f>
        <v>#N/A</v>
      </c>
      <c r="AC275" s="51" t="e">
        <f>VLOOKUP(A275,Enforcements!$C$7:$E$13,3,0)</f>
        <v>#N/A</v>
      </c>
      <c r="AD275" s="206">
        <f t="shared" si="116"/>
        <v>83</v>
      </c>
      <c r="AE275" s="77" t="str">
        <f t="shared" si="117"/>
        <v>aws s3 cp s3://rtdc.mdm.uploadarchive.raw/RTDC4012/ "%USERPROFILE%\AppData\Local\Temp\OnboardLogs"\RTDC4012\2017-07-01 --exclude "*" --recursive --include "*20170701*" &amp; "%USERPROFILE%\Documents\GitHub\mrs-test-scripts\Headless Mode &amp; Sideloading\WalkAndUnGZ.bat" "%USERPROFILE%\AppData\Local\Temp\OnboardLogs"\RTDC4012\2017-07-01 &amp; aws s3 cp s3://rtdc.mdm.uploadarchive.raw/RTDC4012/ "%USERPROFILE%\AppData\Local\Temp\OnboardLogs"\RTDC4012\2017-07-02 --exclude "*" --recursive --include "*20170702*" &amp; "%USERPROFILE%\Documents\GitHub\mrs-test-scripts\Headless Mode &amp; Sideloading\WalkAndUnGZ.bat" "%USERPROFILE%\AppData\Local\Temp\OnboardLogs"\RTDC4012\2017-07-02</v>
      </c>
      <c r="AF275" s="74" t="str">
        <f t="shared" si="118"/>
        <v>"C:\Program Files (x86)\AstroGrep\AstroGrep.exe" /e /r /s /spath="%USERPROFILE%\AppData\Local\Temp\OnboardLogs" /stypes="app*4012*20170701*" /stext=" 06:.+((SYSTEM_STATE.+slice.+state.+changed )|(ment ac)|(multiple cpu faults)|(system.+state.+changed )|(\[timeout)|(PRM\|1\|D)|(kpr)|(kdp)|(train st.+moving)|(\|lc)|(penalty))"</v>
      </c>
      <c r="AG275" s="209" t="str">
        <f t="shared" si="119"/>
        <v>Shuttle/Test</v>
      </c>
      <c r="AH275" s="78" t="str">
        <f t="shared" si="120"/>
        <v>"%USERPROFILE%\Documents\GitHub\eaglep3\Utilities\RefineRTDCRunTimes.py" --tripid 83-30 --locoid 4012 --swversion DE.1.0.9.0 --startMP 204:189240 --initTime 2017-06-30T23:44:05 --startdatetime 2017-07-01T00:15:56 --delay 1 --endMP 204:233278 --enddatetime 2017-07-01T00:30:30 --enforcementcount 0 &gt;&gt;C:\Users\stu\Documents\GitHub\eaglep3-reporting\EC\2017-06-30-refined-times.txt</v>
      </c>
      <c r="AI275" s="96" t="str">
        <f t="shared" si="121"/>
        <v>echo {"issue":{"subject":"","project_id":79,"tracker_id":40,"status_id":1,"priority_id":2,"assigned_to_id":23,"start_date":"2017-07-01","description":"","custom_fields":[{"id":1,"name":"Subdivision","value":"Shuttle/Test"},{"id":4,"name":"Milepost","value":"23.3278"},{"id":17,"name":"Train ID","value":"83-30"},{"id":16,"name":"Locomotive ID","value":"4012"},{"id":130,"name":"Impact","value":""},{"id":150,"name":"Time of Event (Mountain Time)","value":"00:30:30"},{"id":151,"name":"Denver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5" s="20"/>
      <c r="AK275" s="47"/>
      <c r="AL275" s="47"/>
      <c r="AM275" s="142" t="str">
        <f t="shared" si="122"/>
        <v>start /low /b %USERPROFILE%\Documents\GitHub\eaglep3\Utilities\DownloadLogsFromS3.py --loco 4012 --day 2017-07-01</v>
      </c>
      <c r="AN275" s="151" t="str">
        <f t="shared" si="12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06:30:30"},{"id":29,"name":"Sharepoint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5"/>
    </row>
    <row r="276" spans="1:41" x14ac:dyDescent="0.25">
      <c r="A276" s="32" t="s">
        <v>635</v>
      </c>
      <c r="B276" s="7">
        <v>4012</v>
      </c>
      <c r="C276" s="21" t="s">
        <v>200</v>
      </c>
      <c r="D276" s="21" t="s">
        <v>1027</v>
      </c>
      <c r="E276" s="13">
        <v>42917.009814814817</v>
      </c>
      <c r="F276" s="13">
        <v>42917.031018518515</v>
      </c>
      <c r="G276" s="7">
        <v>1</v>
      </c>
      <c r="H276" s="21" t="s">
        <v>498</v>
      </c>
      <c r="I276" s="13">
        <v>42917.038807870369</v>
      </c>
      <c r="J276" s="7">
        <v>0</v>
      </c>
      <c r="K276" s="89" t="str">
        <f t="shared" si="111"/>
        <v>4011/4012</v>
      </c>
      <c r="L276" s="21" t="str">
        <f>VLOOKUP(A276,'Trips&amp;Operators'!$C$1:$G$99999,5,FALSE)</f>
        <v>BIRENBAUM THOMAS</v>
      </c>
      <c r="M276" s="6">
        <f t="shared" si="112"/>
        <v>7.7893518537166528E-3</v>
      </c>
      <c r="N276" s="7">
        <f t="shared" si="124"/>
        <v>11.21666666935198</v>
      </c>
      <c r="O276" s="7"/>
      <c r="P276" s="7"/>
      <c r="Q276" s="22"/>
      <c r="R276" s="170"/>
      <c r="S276" s="213">
        <f t="shared" si="107"/>
        <v>0</v>
      </c>
      <c r="T276" s="195" t="str">
        <f t="shared" si="113"/>
        <v>NorthBound</v>
      </c>
      <c r="U276" s="195">
        <f>IF(AG276="EC",COUNTIFS(Variables!$M$2:$M$19,IF(T276="NorthBound","&gt;=","&lt;=")&amp;Y276,Variables!$M$2:$M$19,IF(T276="NorthBound","&lt;=","&gt;=")&amp;Z276),COUNTIFS(Variables!$P$2:$P$19,IF(T276="NorthBound","&gt;=","&lt;=")&amp;Y276,Variables!$P$2:$P$19,IF(T276="NorthBound","&lt;=","&gt;=")&amp;Z276))</f>
        <v>0</v>
      </c>
      <c r="V276" s="196" t="str">
        <f t="shared" si="114"/>
        <v>https://d0f6bd738d7f1b3e5a7ca70fe4ff75f0.us-east-1.aws.found.io/app/kibana#/discover/Steve-Slow-Train-Analysis-(2080s-and-2083s)?_g=(refreshInterval:(display:Off,pause:!f,section:0,value:0),time:(from:'2017-06-30T23:14:08-0600',mode:absolute,to:'2017-07-01T01:55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76" s="197" t="str">
        <f>IF(AA276&lt;VLOOKUP(AG276,Variables!$AC$3:$AD$8,2,FALSE),"Y","N")</f>
        <v>Y</v>
      </c>
      <c r="X276" s="197">
        <f t="shared" si="108"/>
        <v>0</v>
      </c>
      <c r="Y276" s="197">
        <f t="shared" si="109"/>
        <v>18.9252</v>
      </c>
      <c r="Z276" s="197">
        <f t="shared" si="110"/>
        <v>23.329699999999999</v>
      </c>
      <c r="AA276" s="197">
        <f t="shared" si="115"/>
        <v>4.4044999999999987</v>
      </c>
      <c r="AB276" s="54" t="e">
        <f>VLOOKUP(A276,Enforcements!$C$7:$K$13,8,0)</f>
        <v>#N/A</v>
      </c>
      <c r="AC276" s="51" t="e">
        <f>VLOOKUP(A276,Enforcements!$C$7:$E$13,3,0)</f>
        <v>#N/A</v>
      </c>
      <c r="AD276" s="206">
        <f t="shared" si="116"/>
        <v>83</v>
      </c>
      <c r="AE276" s="77" t="str">
        <f t="shared" si="117"/>
        <v>aws s3 cp s3://rtdc.mdm.uploadarchive.raw/RTDC4012/ "%USERPROFILE%\AppData\Local\Temp\OnboardLogs"\RTDC4012\2017-07-01 --exclude "*" --recursive --include "*20170701*" &amp; "%USERPROFILE%\Documents\GitHub\mrs-test-scripts\Headless Mode &amp; Sideloading\WalkAndUnGZ.bat" "%USERPROFILE%\AppData\Local\Temp\OnboardLogs"\RTDC4012\2017-07-01 &amp; aws s3 cp s3://rtdc.mdm.uploadarchive.raw/RTDC4012/ "%USERPROFILE%\AppData\Local\Temp\OnboardLogs"\RTDC4012\2017-07-02 --exclude "*" --recursive --include "*20170702*" &amp; "%USERPROFILE%\Documents\GitHub\mrs-test-scripts\Headless Mode &amp; Sideloading\WalkAndUnGZ.bat" "%USERPROFILE%\AppData\Local\Temp\OnboardLogs"\RTDC4012\2017-07-02</v>
      </c>
      <c r="AF276" s="74" t="str">
        <f t="shared" si="118"/>
        <v>"C:\Program Files (x86)\AstroGrep\AstroGrep.exe" /e /r /s /spath="%USERPROFILE%\AppData\Local\Temp\OnboardLogs" /stypes="app*4012*20170701*" /stext=" 06:.+((SYSTEM_STATE.+slice.+state.+changed )|(ment ac)|(multiple cpu faults)|(system.+state.+changed )|(\[timeout)|(PRM\|1\|D)|(kpr)|(kdp)|(train st.+moving)|(\|lc)|(penalty))"</v>
      </c>
      <c r="AG276" s="209" t="str">
        <f t="shared" si="119"/>
        <v>Shuttle/Test</v>
      </c>
      <c r="AH276" s="78" t="str">
        <f t="shared" si="120"/>
        <v>"%USERPROFILE%\Documents\GitHub\eaglep3\Utilities\RefineRTDCRunTimes.py" --tripid 83-30 --locoid 4012 --swversion DE.1.0.9.0 --startMP 204:189252 --initTime 2017-07-01T00:14:08 --startdatetime 2017-07-01T00:44:40 --delay 1 --endMP 204:233297 --enddatetime 2017-07-01T00:55:53 --enforcementcount 0 &gt;&gt;C:\Users\stu\Documents\GitHub\eaglep3-reporting\EC\2017-06-30-refined-times.txt</v>
      </c>
      <c r="AI276" s="96" t="str">
        <f t="shared" si="121"/>
        <v>echo {"issue":{"subject":"","project_id":79,"tracker_id":40,"status_id":1,"priority_id":2,"assigned_to_id":23,"start_date":"2017-07-01","description":"","custom_fields":[{"id":1,"name":"Subdivision","value":"Shuttle/Test"},{"id":4,"name":"Milepost","value":"23.3297"},{"id":17,"name":"Train ID","value":"83-30"},{"id":16,"name":"Locomotive ID","value":"4012"},{"id":130,"name":"Impact","value":""},{"id":150,"name":"Time of Event (Mountain Time)","value":"00:55:53"},{"id":151,"name":"Denver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6" s="20"/>
      <c r="AK276" s="47"/>
      <c r="AL276" s="47"/>
      <c r="AM276" s="142" t="str">
        <f t="shared" si="122"/>
        <v>start /low /b %USERPROFILE%\Documents\GitHub\eaglep3\Utilities\DownloadLogsFromS3.py --loco 4012 --day 2017-07-01</v>
      </c>
      <c r="AN276" s="151" t="str">
        <f t="shared" si="12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06:55:53"},{"id":29,"name":"Sharepoint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77" spans="1:41" x14ac:dyDescent="0.25">
      <c r="A277" s="32" t="s">
        <v>635</v>
      </c>
      <c r="B277" s="7">
        <v>4012</v>
      </c>
      <c r="C277" s="21" t="s">
        <v>200</v>
      </c>
      <c r="D277" s="21" t="s">
        <v>1028</v>
      </c>
      <c r="E277" s="13">
        <v>42917.028900462959</v>
      </c>
      <c r="F277" s="13">
        <v>42917.031018518515</v>
      </c>
      <c r="G277" s="7">
        <v>1</v>
      </c>
      <c r="H277" s="21" t="s">
        <v>498</v>
      </c>
      <c r="I277" s="13">
        <v>42917.038807870369</v>
      </c>
      <c r="J277" s="7">
        <v>0</v>
      </c>
      <c r="K277" s="89" t="str">
        <f t="shared" si="111"/>
        <v>4011/4012</v>
      </c>
      <c r="L277" s="21" t="str">
        <f>VLOOKUP(A277,'Trips&amp;Operators'!$C$1:$G$99999,5,FALSE)</f>
        <v>BIRENBAUM THOMAS</v>
      </c>
      <c r="M277" s="6">
        <f t="shared" si="112"/>
        <v>7.7893518537166528E-3</v>
      </c>
      <c r="N277" s="7">
        <f t="shared" si="124"/>
        <v>11.21666666935198</v>
      </c>
      <c r="O277" s="7"/>
      <c r="P277" s="7"/>
      <c r="Q277" s="22"/>
      <c r="R277" s="170"/>
      <c r="S277" s="213">
        <f t="shared" si="107"/>
        <v>0</v>
      </c>
      <c r="T277" s="195" t="str">
        <f t="shared" si="113"/>
        <v>NorthBound</v>
      </c>
      <c r="U277" s="195">
        <f>IF(AG277="EC",COUNTIFS(Variables!$M$2:$M$19,IF(T277="NorthBound","&gt;=","&lt;=")&amp;Y277,Variables!$M$2:$M$19,IF(T277="NorthBound","&lt;=","&gt;=")&amp;Z277),COUNTIFS(Variables!$P$2:$P$19,IF(T277="NorthBound","&gt;=","&lt;=")&amp;Y277,Variables!$P$2:$P$19,IF(T277="NorthBound","&lt;=","&gt;=")&amp;Z277))</f>
        <v>0</v>
      </c>
      <c r="V277" s="196" t="str">
        <f t="shared" si="114"/>
        <v>https://d0f6bd738d7f1b3e5a7ca70fe4ff75f0.us-east-1.aws.found.io/app/kibana#/discover/Steve-Slow-Train-Analysis-(2080s-and-2083s)?_g=(refreshInterval:(display:Off,pause:!f,section:0,value:0),time:(from:'2017-06-30T23:41:37-0600',mode:absolute,to:'2017-07-01T01:55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77" s="197" t="str">
        <f>IF(AA277&lt;VLOOKUP(AG277,Variables!$AC$3:$AD$8,2,FALSE),"Y","N")</f>
        <v>Y</v>
      </c>
      <c r="X277" s="197">
        <f t="shared" si="108"/>
        <v>0</v>
      </c>
      <c r="Y277" s="197">
        <f t="shared" si="109"/>
        <v>18.9436</v>
      </c>
      <c r="Z277" s="197">
        <f t="shared" si="110"/>
        <v>23.329699999999999</v>
      </c>
      <c r="AA277" s="197">
        <f t="shared" si="115"/>
        <v>4.386099999999999</v>
      </c>
      <c r="AB277" s="54" t="e">
        <f>VLOOKUP(A277,Enforcements!$C$7:$K$13,8,0)</f>
        <v>#N/A</v>
      </c>
      <c r="AC277" s="51" t="e">
        <f>VLOOKUP(A277,Enforcements!$C$7:$E$13,3,0)</f>
        <v>#N/A</v>
      </c>
      <c r="AD277" s="206">
        <f t="shared" si="116"/>
        <v>83</v>
      </c>
      <c r="AE277" s="77" t="str">
        <f t="shared" si="117"/>
        <v>aws s3 cp s3://rtdc.mdm.uploadarchive.raw/RTDC4012/ "%USERPROFILE%\AppData\Local\Temp\OnboardLogs"\RTDC4012\2017-07-01 --exclude "*" --recursive --include "*20170701*" &amp; "%USERPROFILE%\Documents\GitHub\mrs-test-scripts\Headless Mode &amp; Sideloading\WalkAndUnGZ.bat" "%USERPROFILE%\AppData\Local\Temp\OnboardLogs"\RTDC4012\2017-07-01 &amp; aws s3 cp s3://rtdc.mdm.uploadarchive.raw/RTDC4012/ "%USERPROFILE%\AppData\Local\Temp\OnboardLogs"\RTDC4012\2017-07-02 --exclude "*" --recursive --include "*20170702*" &amp; "%USERPROFILE%\Documents\GitHub\mrs-test-scripts\Headless Mode &amp; Sideloading\WalkAndUnGZ.bat" "%USERPROFILE%\AppData\Local\Temp\OnboardLogs"\RTDC4012\2017-07-02</v>
      </c>
      <c r="AF277" s="74" t="str">
        <f t="shared" si="118"/>
        <v>"C:\Program Files (x86)\AstroGrep\AstroGrep.exe" /e /r /s /spath="%USERPROFILE%\AppData\Local\Temp\OnboardLogs" /stypes="app*4012*20170701*" /stext=" 06:.+((SYSTEM_STATE.+slice.+state.+changed )|(ment ac)|(multiple cpu faults)|(system.+state.+changed )|(\[timeout)|(PRM\|1\|D)|(kpr)|(kdp)|(train st.+moving)|(\|lc)|(penalty))"</v>
      </c>
      <c r="AG277" s="209" t="str">
        <f t="shared" si="119"/>
        <v>Shuttle/Test</v>
      </c>
      <c r="AH277" s="78" t="str">
        <f t="shared" si="120"/>
        <v>"%USERPROFILE%\Documents\GitHub\eaglep3\Utilities\RefineRTDCRunTimes.py" --tripid 83-30 --locoid 4012 --swversion DE.1.0.9.0 --startMP 204:189436 --initTime 2017-07-01T00:41:37 --startdatetime 2017-07-01T00:44:40 --delay 1 --endMP 204:233297 --enddatetime 2017-07-01T00:55:53 --enforcementcount 0 &gt;&gt;C:\Users\stu\Documents\GitHub\eaglep3-reporting\EC\2017-06-30-refined-times.txt</v>
      </c>
      <c r="AI277" s="96" t="str">
        <f t="shared" si="121"/>
        <v>echo {"issue":{"subject":"","project_id":79,"tracker_id":40,"status_id":1,"priority_id":2,"assigned_to_id":23,"start_date":"2017-07-01","description":"","custom_fields":[{"id":1,"name":"Subdivision","value":"Shuttle/Test"},{"id":4,"name":"Milepost","value":"23.3297"},{"id":17,"name":"Train ID","value":"83-30"},{"id":16,"name":"Locomotive ID","value":"4012"},{"id":130,"name":"Impact","value":""},{"id":150,"name":"Time of Event (Mountain Time)","value":"00:55:53"},{"id":151,"name":"Denver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7" s="20"/>
      <c r="AK277" s="47"/>
      <c r="AL277" s="47"/>
      <c r="AM277" s="142" t="str">
        <f t="shared" si="122"/>
        <v>start /low /b %USERPROFILE%\Documents\GitHub\eaglep3\Utilities\DownloadLogsFromS3.py --loco 4012 --day 2017-07-01</v>
      </c>
      <c r="AN277" s="151" t="str">
        <f t="shared" si="12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06:55:53"},{"id":29,"name":"Sharepoint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78" spans="1:41" x14ac:dyDescent="0.25">
      <c r="A278" s="32" t="s">
        <v>635</v>
      </c>
      <c r="B278" s="7">
        <v>4012</v>
      </c>
      <c r="C278" s="21" t="s">
        <v>200</v>
      </c>
      <c r="D278" s="21" t="s">
        <v>1029</v>
      </c>
      <c r="E278" s="13">
        <v>42916.946886574071</v>
      </c>
      <c r="F278" s="13">
        <v>42916.969907407409</v>
      </c>
      <c r="G278" s="7">
        <v>0</v>
      </c>
      <c r="H278" s="21" t="s">
        <v>481</v>
      </c>
      <c r="I278" s="13">
        <v>42916.977210648147</v>
      </c>
      <c r="J278" s="7">
        <v>0</v>
      </c>
      <c r="K278" s="89" t="str">
        <f t="shared" si="111"/>
        <v>4011/4012</v>
      </c>
      <c r="L278" s="21" t="str">
        <f>VLOOKUP(A278,'Trips&amp;Operators'!$C$1:$G$99999,5,FALSE)</f>
        <v>BIRENBAUM THOMAS</v>
      </c>
      <c r="M278" s="6">
        <f t="shared" si="112"/>
        <v>7.3032407381106168E-3</v>
      </c>
      <c r="N278" s="7">
        <f t="shared" si="124"/>
        <v>10.516666662879288</v>
      </c>
      <c r="O278" s="7"/>
      <c r="P278" s="7"/>
      <c r="Q278" s="22"/>
      <c r="R278" s="170"/>
      <c r="S278" s="213">
        <f t="shared" si="107"/>
        <v>0</v>
      </c>
      <c r="T278" s="195" t="str">
        <f t="shared" si="113"/>
        <v>NorthBound</v>
      </c>
      <c r="U278" s="195">
        <f>IF(AG278="EC",COUNTIFS(Variables!$M$2:$M$19,IF(T278="NorthBound","&gt;=","&lt;=")&amp;Y278,Variables!$M$2:$M$19,IF(T278="NorthBound","&lt;=","&gt;=")&amp;Z278),COUNTIFS(Variables!$P$2:$P$19,IF(T278="NorthBound","&gt;=","&lt;=")&amp;Y278,Variables!$P$2:$P$19,IF(T278="NorthBound","&lt;=","&gt;=")&amp;Z278))</f>
        <v>0</v>
      </c>
      <c r="V278" s="196" t="str">
        <f t="shared" si="114"/>
        <v>https://d0f6bd738d7f1b3e5a7ca70fe4ff75f0.us-east-1.aws.found.io/app/kibana#/discover/Steve-Slow-Train-Analysis-(2080s-and-2083s)?_g=(refreshInterval:(display:Off,pause:!f,section:0,value:0),time:(from:'2017-06-30T21:43:31-0600',mode:absolute,to:'2017-07-01T00:27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78" s="197" t="str">
        <f>IF(AA278&lt;VLOOKUP(AG278,Variables!$AC$3:$AD$8,2,FALSE),"Y","N")</f>
        <v>Y</v>
      </c>
      <c r="X278" s="197">
        <f t="shared" si="108"/>
        <v>0</v>
      </c>
      <c r="Y278" s="197">
        <f t="shared" si="109"/>
        <v>18.9711</v>
      </c>
      <c r="Z278" s="197">
        <f t="shared" si="110"/>
        <v>23.328199999999999</v>
      </c>
      <c r="AA278" s="197">
        <f t="shared" si="115"/>
        <v>4.3570999999999991</v>
      </c>
      <c r="AB278" s="54" t="e">
        <f>VLOOKUP(A278,Enforcements!$C$7:$K$13,8,0)</f>
        <v>#N/A</v>
      </c>
      <c r="AC278" s="51" t="e">
        <f>VLOOKUP(A278,Enforcements!$C$7:$E$13,3,0)</f>
        <v>#N/A</v>
      </c>
      <c r="AD278" s="206">
        <f t="shared" si="116"/>
        <v>83</v>
      </c>
      <c r="AE278" s="77" t="str">
        <f t="shared" si="117"/>
        <v>aws s3 cp s3://rtdc.mdm.uploadarchive.raw/RTDC4012/ "%USERPROFILE%\AppData\Local\Temp\OnboardLogs"\RTDC4012\2017-06-30 --exclude "*" --recursive --include "*20170630*" &amp; "%USERPROFILE%\Documents\GitHub\mrs-test-scripts\Headless Mode &amp; Sideloading\WalkAndUnGZ.bat" "%USERPROFILE%\AppData\Local\Temp\OnboardLogs"\RTDC4012\2017-06-30 &amp; aws s3 cp s3://rtdc.mdm.uploadarchive.raw/RTDC4012/ "%USERPROFILE%\AppData\Local\Temp\OnboardLogs"\RTDC4012\2017-07-01 --exclude "*" --recursive --include "*20170701*" &amp; "%USERPROFILE%\Documents\GitHub\mrs-test-scripts\Headless Mode &amp; Sideloading\WalkAndUnGZ.bat" "%USERPROFILE%\AppData\Local\Temp\OnboardLogs"\RTDC4012\2017-07-01</v>
      </c>
      <c r="AF278" s="74" t="str">
        <f t="shared" si="118"/>
        <v>"C:\Program Files (x86)\AstroGrep\AstroGrep.exe" /e /r /s /spath="%USERPROFILE%\AppData\Local\Temp\OnboardLogs" /stypes="app*4012*20170701*" /stext=" 05:.+((SYSTEM_STATE.+slice.+state.+changed )|(ment ac)|(multiple cpu faults)|(system.+state.+changed )|(\[timeout)|(PRM\|1\|D)|(kpr)|(kdp)|(train st.+moving)|(\|lc)|(penalty))"</v>
      </c>
      <c r="AG278" s="209" t="str">
        <f t="shared" si="119"/>
        <v>Shuttle/Test</v>
      </c>
      <c r="AH278" s="78" t="str">
        <f t="shared" si="120"/>
        <v>"%USERPROFILE%\Documents\GitHub\eaglep3\Utilities\RefineRTDCRunTimes.py" --tripid 83-30 --locoid 4012 --swversion DE.1.0.9.0 --startMP 204:189711 --initTime 2017-06-30T22:43:31 --startdatetime 2017-06-30T23:16:40 --delay 0 --endMP 204:233282 --enddatetime 2017-06-30T23:27:11 --enforcementcount 0 &gt;&gt;C:\Users\stu\Documents\GitHub\eaglep3-reporting\EC\2017-06-30-refined-times.txt</v>
      </c>
      <c r="AI278" s="96" t="str">
        <f t="shared" si="121"/>
        <v>echo {"issue":{"subject":"","project_id":79,"tracker_id":40,"status_id":1,"priority_id":2,"assigned_to_id":23,"start_date":"2017-06-30","description":"","custom_fields":[{"id":1,"name":"Subdivision","value":"Shuttle/Test"},{"id":4,"name":"Milepost","value":"23.3282"},{"id":17,"name":"Train ID","value":"83-30"},{"id":16,"name":"Locomotive ID","value":"4012"},{"id":130,"name":"Impact","value":""},{"id":150,"name":"Time of Event (Mountain Time)","value":"23:27:11"},{"id":151,"name":"Denver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8" s="20"/>
      <c r="AK278" s="47"/>
      <c r="AL278" s="47"/>
      <c r="AM278" s="142" t="str">
        <f t="shared" si="122"/>
        <v>start /low /b %USERPROFILE%\Documents\GitHub\eaglep3\Utilities\DownloadLogsFromS3.py --loco 4012 --day 2017-06-30</v>
      </c>
      <c r="AN278" s="151" t="str">
        <f t="shared" si="12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05:27:11"},{"id":29,"name":"Sharepoint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79" spans="1:41" x14ac:dyDescent="0.25">
      <c r="A279" s="32" t="s">
        <v>635</v>
      </c>
      <c r="B279" s="7">
        <v>4012</v>
      </c>
      <c r="C279" s="21" t="s">
        <v>200</v>
      </c>
      <c r="D279" s="21" t="s">
        <v>1030</v>
      </c>
      <c r="E279" s="13">
        <v>42916.968761574077</v>
      </c>
      <c r="F279" s="13">
        <v>42916.990648148145</v>
      </c>
      <c r="G279" s="7">
        <v>0</v>
      </c>
      <c r="H279" s="21" t="s">
        <v>539</v>
      </c>
      <c r="I279" s="13">
        <v>42916.997430555559</v>
      </c>
      <c r="J279" s="7">
        <v>0</v>
      </c>
      <c r="K279" s="89" t="str">
        <f t="shared" si="111"/>
        <v>4011/4012</v>
      </c>
      <c r="L279" s="21" t="str">
        <f>VLOOKUP(A279,'Trips&amp;Operators'!$C$1:$G$99999,5,FALSE)</f>
        <v>BIRENBAUM THOMAS</v>
      </c>
      <c r="M279" s="6">
        <f t="shared" si="112"/>
        <v>6.7824074139934964E-3</v>
      </c>
      <c r="N279" s="7">
        <f t="shared" si="124"/>
        <v>9.7666666761506349</v>
      </c>
      <c r="O279" s="7"/>
      <c r="P279" s="7"/>
      <c r="Q279" s="22"/>
      <c r="R279" s="170"/>
      <c r="S279" s="213">
        <f t="shared" si="107"/>
        <v>0</v>
      </c>
      <c r="T279" s="195" t="str">
        <f t="shared" si="113"/>
        <v>NorthBound</v>
      </c>
      <c r="U279" s="195">
        <f>IF(AG279="EC",COUNTIFS(Variables!$M$2:$M$19,IF(T279="NorthBound","&gt;=","&lt;=")&amp;Y279,Variables!$M$2:$M$19,IF(T279="NorthBound","&lt;=","&gt;=")&amp;Z279),COUNTIFS(Variables!$P$2:$P$19,IF(T279="NorthBound","&gt;=","&lt;=")&amp;Y279,Variables!$P$2:$P$19,IF(T279="NorthBound","&lt;=","&gt;=")&amp;Z279))</f>
        <v>0</v>
      </c>
      <c r="V279" s="196" t="str">
        <f t="shared" si="114"/>
        <v>https://d0f6bd738d7f1b3e5a7ca70fe4ff75f0.us-east-1.aws.found.io/app/kibana#/discover/Steve-Slow-Train-Analysis-(2080s-and-2083s)?_g=(refreshInterval:(display:Off,pause:!f,section:0,value:0),time:(from:'2017-06-30T22:15:01-0600',mode:absolute,to:'2017-07-01T00:56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79" s="197" t="str">
        <f>IF(AA279&lt;VLOOKUP(AG279,Variables!$AC$3:$AD$8,2,FALSE),"Y","N")</f>
        <v>Y</v>
      </c>
      <c r="X279" s="197">
        <f t="shared" si="108"/>
        <v>0</v>
      </c>
      <c r="Y279" s="197">
        <f t="shared" si="109"/>
        <v>18.994199999999999</v>
      </c>
      <c r="Z279" s="197">
        <f t="shared" si="110"/>
        <v>23.329499999999999</v>
      </c>
      <c r="AA279" s="197">
        <f t="shared" si="115"/>
        <v>4.3353000000000002</v>
      </c>
      <c r="AB279" s="54" t="e">
        <f>VLOOKUP(A279,Enforcements!$C$7:$K$13,8,0)</f>
        <v>#N/A</v>
      </c>
      <c r="AC279" s="51" t="e">
        <f>VLOOKUP(A279,Enforcements!$C$7:$E$13,3,0)</f>
        <v>#N/A</v>
      </c>
      <c r="AD279" s="206">
        <f t="shared" si="116"/>
        <v>83</v>
      </c>
      <c r="AE279" s="77" t="str">
        <f t="shared" si="117"/>
        <v>aws s3 cp s3://rtdc.mdm.uploadarchive.raw/RTDC4012/ "%USERPROFILE%\AppData\Local\Temp\OnboardLogs"\RTDC4012\2017-06-30 --exclude "*" --recursive --include "*20170630*" &amp; "%USERPROFILE%\Documents\GitHub\mrs-test-scripts\Headless Mode &amp; Sideloading\WalkAndUnGZ.bat" "%USERPROFILE%\AppData\Local\Temp\OnboardLogs"\RTDC4012\2017-06-30 &amp; aws s3 cp s3://rtdc.mdm.uploadarchive.raw/RTDC4012/ "%USERPROFILE%\AppData\Local\Temp\OnboardLogs"\RTDC4012\2017-07-01 --exclude "*" --recursive --include "*20170701*" &amp; "%USERPROFILE%\Documents\GitHub\mrs-test-scripts\Headless Mode &amp; Sideloading\WalkAndUnGZ.bat" "%USERPROFILE%\AppData\Local\Temp\OnboardLogs"\RTDC4012\2017-07-01</v>
      </c>
      <c r="AF279" s="74" t="str">
        <f t="shared" si="118"/>
        <v>"C:\Program Files (x86)\AstroGrep\AstroGrep.exe" /e /r /s /spath="%USERPROFILE%\AppData\Local\Temp\OnboardLogs" /stypes="app*4012*20170701*" /stext=" 05:.+((SYSTEM_STATE.+slice.+state.+changed )|(ment ac)|(multiple cpu faults)|(system.+state.+changed )|(\[timeout)|(PRM\|1\|D)|(kpr)|(kdp)|(train st.+moving)|(\|lc)|(penalty))"</v>
      </c>
      <c r="AG279" s="209" t="str">
        <f t="shared" si="119"/>
        <v>Shuttle/Test</v>
      </c>
      <c r="AH279" s="78" t="str">
        <f t="shared" si="120"/>
        <v>"%USERPROFILE%\Documents\GitHub\eaglep3\Utilities\RefineRTDCRunTimes.py" --tripid 83-30 --locoid 4012 --swversion DE.1.0.9.0 --startMP 204:189942 --initTime 2017-06-30T23:15:01 --startdatetime 2017-06-30T23:46:32 --delay 0 --endMP 204:233295 --enddatetime 2017-06-30T23:56:18 --enforcementcount 0 &gt;&gt;C:\Users\stu\Documents\GitHub\eaglep3-reporting\EC\2017-06-30-refined-times.txt</v>
      </c>
      <c r="AI279" s="96" t="str">
        <f t="shared" si="121"/>
        <v>echo {"issue":{"subject":"","project_id":79,"tracker_id":40,"status_id":1,"priority_id":2,"assigned_to_id":23,"start_date":"2017-06-30","description":"","custom_fields":[{"id":1,"name":"Subdivision","value":"Shuttle/Test"},{"id":4,"name":"Milepost","value":"23.3295"},{"id":17,"name":"Train ID","value":"83-30"},{"id":16,"name":"Locomotive ID","value":"4012"},{"id":130,"name":"Impact","value":""},{"id":150,"name":"Time of Event (Mountain Time)","value":"23:56:18"},{"id":151,"name":"Denver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9" s="20"/>
      <c r="AK279" s="47"/>
      <c r="AL279" s="47"/>
      <c r="AM279" s="142" t="str">
        <f t="shared" si="122"/>
        <v>start /low /b %USERPROFILE%\Documents\GitHub\eaglep3\Utilities\DownloadLogsFromS3.py --loco 4012 --day 2017-06-30</v>
      </c>
      <c r="AN279" s="151" t="str">
        <f t="shared" si="12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05:56:18"},{"id":29,"name":"Sharepoint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80" spans="1:41" x14ac:dyDescent="0.25">
      <c r="A280" s="32" t="s">
        <v>635</v>
      </c>
      <c r="B280" s="7">
        <v>4012</v>
      </c>
      <c r="C280" s="21" t="s">
        <v>200</v>
      </c>
      <c r="D280" s="21" t="s">
        <v>1031</v>
      </c>
      <c r="E280" s="13">
        <v>42917.082013888888</v>
      </c>
      <c r="F280" s="13">
        <v>42917.083611111113</v>
      </c>
      <c r="G280" s="7">
        <v>1</v>
      </c>
      <c r="H280" s="21" t="s">
        <v>558</v>
      </c>
      <c r="I280" s="13">
        <v>42917.094282407408</v>
      </c>
      <c r="J280" s="7">
        <v>0</v>
      </c>
      <c r="K280" s="89" t="str">
        <f t="shared" si="111"/>
        <v>4011/4012</v>
      </c>
      <c r="L280" s="21" t="str">
        <f>VLOOKUP(A280,'Trips&amp;Operators'!$C$1:$G$99999,5,FALSE)</f>
        <v>BIRENBAUM THOMAS</v>
      </c>
      <c r="M280" s="6">
        <f t="shared" si="112"/>
        <v>1.0671296295186039E-2</v>
      </c>
      <c r="N280" s="7">
        <f t="shared" si="124"/>
        <v>15.366666665067896</v>
      </c>
      <c r="O280" s="7"/>
      <c r="P280" s="7"/>
      <c r="Q280" s="22"/>
      <c r="R280" s="170"/>
      <c r="S280" s="213">
        <f t="shared" si="107"/>
        <v>1</v>
      </c>
      <c r="T280" s="195" t="str">
        <f t="shared" si="113"/>
        <v>NorthBound</v>
      </c>
      <c r="U280" s="195">
        <f>IF(AG280="EC",COUNTIFS(Variables!$M$2:$M$19,IF(T280="NorthBound","&gt;=","&lt;=")&amp;Y280,Variables!$M$2:$M$19,IF(T280="NorthBound","&lt;=","&gt;=")&amp;Z280),COUNTIFS(Variables!$P$2:$P$19,IF(T280="NorthBound","&gt;=","&lt;=")&amp;Y280,Variables!$P$2:$P$19,IF(T280="NorthBound","&lt;=","&gt;=")&amp;Z280))</f>
        <v>1</v>
      </c>
      <c r="V280" s="196" t="str">
        <f t="shared" si="114"/>
        <v>https://d0f6bd738d7f1b3e5a7ca70fe4ff75f0.us-east-1.aws.found.io/app/kibana#/discover/Steve-Slow-Train-Analysis-(2080s-and-2083s)?_g=(refreshInterval:(display:Off,pause:!f,section:0,value:0),time:(from:'2017-07-01T00:58:06-0600',mode:absolute,to:'2017-07-01T03:15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80" s="197" t="str">
        <f>IF(AA280&lt;VLOOKUP(AG280,Variables!$AC$3:$AD$8,2,FALSE),"Y","N")</f>
        <v>Y</v>
      </c>
      <c r="X280" s="197">
        <f t="shared" si="108"/>
        <v>0</v>
      </c>
      <c r="Y280" s="197">
        <f t="shared" si="109"/>
        <v>6.7400000000000002E-2</v>
      </c>
      <c r="Z280" s="197">
        <f t="shared" si="110"/>
        <v>2.3285</v>
      </c>
      <c r="AA280" s="197">
        <f t="shared" si="115"/>
        <v>2.2610999999999999</v>
      </c>
      <c r="AB280" s="54" t="e">
        <f>VLOOKUP(A280,Enforcements!$C$7:$K$13,8,0)</f>
        <v>#N/A</v>
      </c>
      <c r="AC280" s="51" t="e">
        <f>VLOOKUP(A280,Enforcements!$C$7:$E$13,3,0)</f>
        <v>#N/A</v>
      </c>
      <c r="AD280" s="206">
        <f t="shared" si="116"/>
        <v>83</v>
      </c>
      <c r="AE280" s="77" t="str">
        <f t="shared" si="117"/>
        <v>aws s3 cp s3://rtdc.mdm.uploadarchive.raw/RTDC4012/ "%USERPROFILE%\AppData\Local\Temp\OnboardLogs"\RTDC4012\2017-07-01 --exclude "*" --recursive --include "*20170701*" &amp; "%USERPROFILE%\Documents\GitHub\mrs-test-scripts\Headless Mode &amp; Sideloading\WalkAndUnGZ.bat" "%USERPROFILE%\AppData\Local\Temp\OnboardLogs"\RTDC4012\2017-07-01 &amp; aws s3 cp s3://rtdc.mdm.uploadarchive.raw/RTDC4012/ "%USERPROFILE%\AppData\Local\Temp\OnboardLogs"\RTDC4012\2017-07-02 --exclude "*" --recursive --include "*20170702*" &amp; "%USERPROFILE%\Documents\GitHub\mrs-test-scripts\Headless Mode &amp; Sideloading\WalkAndUnGZ.bat" "%USERPROFILE%\AppData\Local\Temp\OnboardLogs"\RTDC4012\2017-07-02</v>
      </c>
      <c r="AF280" s="74" t="str">
        <f t="shared" si="118"/>
        <v>"C:\Program Files (x86)\AstroGrep\AstroGrep.exe" /e /r /s /spath="%USERPROFILE%\AppData\Local\Temp\OnboardLogs" /stypes="app*4012*20170701*" /stext=" 08:.+((SYSTEM_STATE.+slice.+state.+changed )|(ment ac)|(multiple cpu faults)|(system.+state.+changed )|(\[timeout)|(PRM\|1\|D)|(kpr)|(kdp)|(train st.+moving)|(\|lc)|(penalty))"</v>
      </c>
      <c r="AG280" s="209" t="str">
        <f t="shared" si="119"/>
        <v>Shuttle/Test</v>
      </c>
      <c r="AH280" s="78" t="str">
        <f t="shared" si="120"/>
        <v>"%USERPROFILE%\Documents\GitHub\eaglep3\Utilities\RefineRTDCRunTimes.py" --tripid 83-30 --locoid 4012 --swversion DE.1.0.9.0 --startMP 204:674 --initTime 2017-07-01T01:58:06 --startdatetime 2017-07-01T02:00:24 --delay 1 --endMP 300:23285 --enddatetime 2017-07-01T02:15:46 --enforcementcount 0 &gt;&gt;C:\Users\stu\Documents\GitHub\eaglep3-reporting\EC\2017-06-30-refined-times.txt</v>
      </c>
      <c r="AI280" s="96" t="str">
        <f t="shared" si="121"/>
        <v>echo {"issue":{"subject":"","project_id":79,"tracker_id":40,"status_id":1,"priority_id":2,"assigned_to_id":23,"start_date":"2017-07-01","description":"","custom_fields":[{"id":1,"name":"Subdivision","value":"Shuttle/Test"},{"id":4,"name":"Milepost","value":"2.3285"},{"id":17,"name":"Train ID","value":"83-30"},{"id":16,"name":"Locomotive ID","value":"4012"},{"id":130,"name":"Impact","value":""},{"id":150,"name":"Time of Event (Mountain Time)","value":"02:15:46"},{"id":151,"name":"Denver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0" s="20"/>
      <c r="AK280" s="47"/>
      <c r="AL280" s="47"/>
      <c r="AM280" s="142" t="str">
        <f t="shared" si="122"/>
        <v>start /low /b %USERPROFILE%\Documents\GitHub\eaglep3\Utilities\DownloadLogsFromS3.py --loco 4012 --day 2017-07-01</v>
      </c>
      <c r="AN280" s="151" t="str">
        <f t="shared" si="12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08:15:46"},{"id":29,"name":"Sharepoint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81" spans="1:41" x14ac:dyDescent="0.25">
      <c r="A281" s="32" t="s">
        <v>798</v>
      </c>
      <c r="B281" s="7">
        <v>4004</v>
      </c>
      <c r="C281" s="21" t="s">
        <v>200</v>
      </c>
      <c r="D281" s="21" t="s">
        <v>413</v>
      </c>
      <c r="E281" s="13">
        <v>42916.767476851855</v>
      </c>
      <c r="F281" s="13">
        <v>42916.769641203704</v>
      </c>
      <c r="G281" s="7">
        <v>2</v>
      </c>
      <c r="H281" s="21" t="s">
        <v>1048</v>
      </c>
      <c r="I281" s="13">
        <v>42916.775219907409</v>
      </c>
      <c r="J281" s="7">
        <v>0</v>
      </c>
      <c r="K281" s="89" t="str">
        <f t="shared" si="111"/>
        <v>4003/4004</v>
      </c>
      <c r="L281" s="21" t="str">
        <f>VLOOKUP(A281,'Trips&amp;Operators'!$C$1:$G$99999,5,FALSE)</f>
        <v>BRANDNER MELINDA</v>
      </c>
      <c r="M281" s="6">
        <f t="shared" si="112"/>
        <v>5.5787037053960375E-3</v>
      </c>
      <c r="N281" s="7">
        <f t="shared" si="124"/>
        <v>8.0333333357702941</v>
      </c>
      <c r="O281" s="7"/>
      <c r="P281" s="7"/>
      <c r="Q281" s="22"/>
      <c r="R281" s="170"/>
      <c r="S281" s="213">
        <f t="shared" si="107"/>
        <v>0</v>
      </c>
      <c r="T281" s="195" t="str">
        <f t="shared" si="113"/>
        <v>Southbound</v>
      </c>
      <c r="U281" s="195">
        <f>IF(AG281="EC",COUNTIFS(Variables!$M$2:$M$19,IF(T281="NorthBound","&gt;=","&lt;=")&amp;Y281,Variables!$M$2:$M$19,IF(T281="NorthBound","&lt;=","&gt;=")&amp;Z281),COUNTIFS(Variables!$P$2:$P$19,IF(T281="NorthBound","&gt;=","&lt;=")&amp;Y281,Variables!$P$2:$P$19,IF(T281="NorthBound","&lt;=","&gt;=")&amp;Z281))</f>
        <v>0</v>
      </c>
      <c r="V281" s="196" t="str">
        <f t="shared" si="114"/>
        <v>https://d0f6bd738d7f1b3e5a7ca70fe4ff75f0.us-east-1.aws.found.io/app/kibana#/discover/Steve-Slow-Train-Analysis-(2080s-and-2083s)?_g=(refreshInterval:(display:Off,pause:!f,section:0,value:0),time:(from:'2017-06-30T17:25:10-0600',mode:absolute,to:'2017-06-30T19:36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81" s="197" t="str">
        <f>IF(AA281&lt;VLOOKUP(AG281,Variables!$AC$3:$AD$8,2,FALSE),"Y","N")</f>
        <v>Y</v>
      </c>
      <c r="X281" s="197">
        <f t="shared" si="108"/>
        <v>5</v>
      </c>
      <c r="Y281" s="197">
        <f t="shared" si="109"/>
        <v>4.4200000000000003E-2</v>
      </c>
      <c r="Z281" s="197">
        <f t="shared" si="110"/>
        <v>2.3007</v>
      </c>
      <c r="AA281" s="197">
        <f t="shared" si="115"/>
        <v>2.2565</v>
      </c>
      <c r="AB281" s="54" t="e">
        <f>VLOOKUP(A281,Enforcements!$C$7:$K$13,8,0)</f>
        <v>#N/A</v>
      </c>
      <c r="AC281" s="51" t="e">
        <f>VLOOKUP(A281,Enforcements!$C$7:$E$13,3,0)</f>
        <v>#N/A</v>
      </c>
      <c r="AD281" s="206">
        <f t="shared" si="116"/>
        <v>88</v>
      </c>
      <c r="AE281" s="77" t="str">
        <f t="shared" si="117"/>
        <v>aws s3 cp s3://rtdc.mdm.uploadarchive.raw/RTDC4004/ "%USERPROFILE%\AppData\Local\Temp\OnboardLogs"\RTDC4004\2017-06-30 --exclude "*" --recursive --include "*20170630*" &amp; "%USERPROFILE%\Documents\GitHub\mrs-test-scripts\Headless Mode &amp; Sideloading\WalkAndUnGZ.bat" "%USERPROFILE%\AppData\Local\Temp\OnboardLogs"\RTDC4004\2017-06-30 &amp; aws s3 cp s3://rtdc.mdm.uploadarchive.raw/RTDC4004/ "%USERPROFILE%\AppData\Local\Temp\OnboardLogs"\RTDC4004\2017-07-01 --exclude "*" --recursive --include "*20170701*" &amp; "%USERPROFILE%\Documents\GitHub\mrs-test-scripts\Headless Mode &amp; Sideloading\WalkAndUnGZ.bat" "%USERPROFILE%\AppData\Local\Temp\OnboardLogs"\RTDC4004\2017-07-01</v>
      </c>
      <c r="AF281" s="74" t="str">
        <f t="shared" si="118"/>
        <v>"C:\Program Files (x86)\AstroGrep\AstroGrep.exe" /e /r /s /spath="%USERPROFILE%\AppData\Local\Temp\OnboardLogs" /stypes="app*4004*20170701*" /stext=" 00:.+((SYSTEM_STATE.+slice.+state.+changed )|(ment ac)|(multiple cpu faults)|(system.+state.+changed )|(\[timeout)|(PRM\|1\|D)|(kpr)|(kdp)|(train st.+moving)|(\|lc)|(penalty))"</v>
      </c>
      <c r="AG281" s="209" t="str">
        <f t="shared" si="119"/>
        <v>Shuttle/Test</v>
      </c>
      <c r="AH281" s="78" t="str">
        <f t="shared" si="120"/>
        <v>"%USERPROFILE%\Documents\GitHub\eaglep3\Utilities\RefineRTDCRunTimes.py" --tripid 88-30 --locoid 4004 --swversion DE.1.0.9.0 --startMP 204:442 --initTime 2017-06-30T18:25:10 --startdatetime 2017-06-30T18:28:17 --delay 2 --endMP 300:23007 --enddatetime 2017-06-30T18:36:19 --enforcementcount 0 &gt;&gt;C:\Users\stu\Documents\GitHub\eaglep3-reporting\EC\2017-06-30-refined-times.txt</v>
      </c>
      <c r="AI281" s="96" t="str">
        <f t="shared" si="121"/>
        <v>echo {"issue":{"subject":"","project_id":79,"tracker_id":40,"status_id":1,"priority_id":2,"assigned_to_id":23,"start_date":"2017-06-30","description":"","custom_fields":[{"id":1,"name":"Subdivision","value":"Shuttle/Test"},{"id":4,"name":"Milepost","value":"2.3007"},{"id":17,"name":"Train ID","value":"88-30"},{"id":16,"name":"Locomotive ID","value":"4004"},{"id":130,"name":"Impact","value":""},{"id":150,"name":"Time of Event (Mountain Time)","value":"18:36:19"},{"id":151,"name":"Denver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1" s="20"/>
      <c r="AK281" s="47"/>
      <c r="AL281" s="47"/>
      <c r="AM281" s="142" t="str">
        <f t="shared" si="122"/>
        <v>start /low /b %USERPROFILE%\Documents\GitHub\eaglep3\Utilities\DownloadLogsFromS3.py --loco 4004 --day 2017-06-30</v>
      </c>
      <c r="AN281" s="151" t="str">
        <f t="shared" si="12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00:36:19"},{"id":29,"name":"Sharepoint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</sheetData>
  <autoFilter ref="A12:AG281"/>
  <sortState ref="A13:AN233">
    <sortCondition ref="AG13:AG233"/>
    <sortCondition ref="AD13:AD233"/>
  </sortState>
  <mergeCells count="1">
    <mergeCell ref="A11:P11"/>
  </mergeCells>
  <conditionalFormatting sqref="W11:W12 W13:X1048576">
    <cfRule type="cellIs" dxfId="10" priority="415" operator="equal">
      <formula>"Y"</formula>
    </cfRule>
  </conditionalFormatting>
  <conditionalFormatting sqref="X13:X1048576">
    <cfRule type="cellIs" dxfId="9" priority="398" operator="greaterThan">
      <formula>1</formula>
    </cfRule>
  </conditionalFormatting>
  <conditionalFormatting sqref="X12:X1048576">
    <cfRule type="cellIs" dxfId="8" priority="395" operator="equal">
      <formula>0</formula>
    </cfRule>
  </conditionalFormatting>
  <conditionalFormatting sqref="A13:S281">
    <cfRule type="expression" dxfId="7" priority="389" stopIfTrue="1">
      <formula>$P13&gt;0</formula>
    </cfRule>
    <cfRule type="expression" dxfId="6" priority="390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A13:S281</xm:sqref>
        </x14:conditionalFormatting>
        <x14:conditionalFormatting xmlns:xm="http://schemas.microsoft.com/office/excel/2006/main">
          <x14:cfRule type="expression" priority="7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A13:S281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AK13:AK281</xm:sqref>
        </x14:dataValidation>
        <x14:dataValidation type="list" allowBlank="1" showInputMessage="1" showErrorMessage="1">
          <x14:formula1>
            <xm:f>'Redmine List Values'!$C$2:$C$15</xm:f>
          </x14:formula1>
          <xm:sqref>AL13:AL281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77"/>
  <sheetViews>
    <sheetView topLeftCell="A2" zoomScaleNormal="100" workbookViewId="0">
      <selection activeCell="P33" sqref="P33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13.1406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72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72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00">
        <f>COUNTIF($O$7:$O$276,"=Y")</f>
        <v>3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01">
        <f>COUNTA($O$7:$O$276)-O2</f>
        <v>68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72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16" t="str">
        <f>"Eagle P3 Braking Events - "&amp;TEXT(Variables!$A$2,"YYYY-mm-dd")</f>
        <v>Eagle P3 Braking Events - 2017-06-30</v>
      </c>
      <c r="B5" s="216"/>
      <c r="C5" s="216"/>
      <c r="D5" s="216"/>
      <c r="E5" s="216"/>
      <c r="F5" s="216"/>
      <c r="G5" s="216"/>
      <c r="H5" s="216"/>
      <c r="I5" s="216"/>
      <c r="J5" s="216"/>
      <c r="K5" s="216"/>
      <c r="L5" s="216"/>
      <c r="M5" s="216"/>
      <c r="N5" s="216"/>
      <c r="O5" s="216"/>
      <c r="P5" s="128"/>
      <c r="R5" s="80"/>
      <c r="S5" s="83"/>
      <c r="T5" s="85"/>
      <c r="V5" s="44"/>
      <c r="X5" s="207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149</v>
      </c>
      <c r="J6" s="114" t="s">
        <v>30</v>
      </c>
      <c r="K6" s="114" t="s">
        <v>29</v>
      </c>
      <c r="L6" s="114" t="s">
        <v>28</v>
      </c>
      <c r="M6" s="99" t="s">
        <v>150</v>
      </c>
      <c r="N6" s="129" t="s">
        <v>47</v>
      </c>
      <c r="O6" s="202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430</v>
      </c>
      <c r="X6" s="208" t="s">
        <v>423</v>
      </c>
      <c r="Y6" s="105" t="s">
        <v>143</v>
      </c>
      <c r="Z6" s="158" t="s">
        <v>144</v>
      </c>
      <c r="AA6" s="106" t="s">
        <v>117</v>
      </c>
      <c r="AB6" s="106" t="s">
        <v>145</v>
      </c>
      <c r="AC6" s="118" t="s">
        <v>169</v>
      </c>
      <c r="AD6" s="107" t="s">
        <v>186</v>
      </c>
      <c r="AE6" s="143" t="s">
        <v>193</v>
      </c>
    </row>
    <row r="7" spans="1:32" s="1" customFormat="1" x14ac:dyDescent="0.25">
      <c r="A7" s="31">
        <v>42916.713379629633</v>
      </c>
      <c r="B7" s="30" t="s">
        <v>586</v>
      </c>
      <c r="C7" s="30" t="s">
        <v>619</v>
      </c>
      <c r="D7" s="30" t="s">
        <v>49</v>
      </c>
      <c r="E7" s="30" t="s">
        <v>187</v>
      </c>
      <c r="F7" s="42">
        <v>0</v>
      </c>
      <c r="G7" s="42">
        <v>200</v>
      </c>
      <c r="H7" s="42">
        <v>27002</v>
      </c>
      <c r="I7" s="42">
        <v>27167</v>
      </c>
      <c r="J7" s="30" t="s">
        <v>188</v>
      </c>
      <c r="K7" s="42">
        <v>27053</v>
      </c>
      <c r="L7" s="131" t="s">
        <v>50</v>
      </c>
      <c r="M7" s="132">
        <f t="shared" ref="M7:M38" si="0">CONVERT((I7-K7)/10000,"mi","ft")*IF(L7="Increasing Mileposts (1)",-1,1)</f>
        <v>-60.192</v>
      </c>
      <c r="N7" s="133" t="str">
        <f>VLOOKUP(C7,'Trips&amp;Operators'!$C$1:$G$99999,5,FALSE)</f>
        <v>LEVERE CRAIG</v>
      </c>
      <c r="O7" s="203" t="s">
        <v>180</v>
      </c>
      <c r="P7" s="134" t="s">
        <v>449</v>
      </c>
      <c r="Q7" s="30"/>
      <c r="R7" s="81" t="str">
        <f>VLOOKUP(C7,'Train Runs'!$A$13:$AE$9930,31,0)</f>
        <v>aws s3 cp s3://rtdc.mdm.uploadarchive.raw/RTDC4024/ "%USERPROFILE%\AppData\Local\Temp\OnboardLogs"\RTDC4024\2017-06-30 --exclude "*" --recursive --include "*20170630*" &amp; "%USERPROFILE%\Documents\GitHub\mrs-test-scripts\Headless Mode &amp; Sideloading\WalkAndUnGZ.bat" "%USERPROFILE%\AppData\Local\Temp\OnboardLogs"\RTDC4024\2017-06-30 &amp; aws s3 cp s3://rtdc.mdm.uploadarchive.raw/RTDC4024/ "%USERPROFILE%\AppData\Local\Temp\OnboardLogs"\RTDC4024\2017-07-01 --exclude "*" --recursive --include "*20170701*" &amp; "%USERPROFILE%\Documents\GitHub\mrs-test-scripts\Headless Mode &amp; Sideloading\WalkAndUnGZ.bat" "%USERPROFILE%\AppData\Local\Temp\OnboardLogs"\RTDC4024\2017-07-01</v>
      </c>
      <c r="S7" s="84" t="str">
        <f>VLOOKUP(C7,'Train Runs'!$A$13:$AE$9930,22,0)</f>
        <v>https://d0f6bd738d7f1b3e5a7ca70fe4ff75f0.us-east-1.aws.found.io/app/kibana#/discover/Steve-Slow-Train-Analysis-(2080s-and-2083s)?_g=(refreshInterval:(display:Off,pause:!f,section:0,value:0),time:(from:'2017-06-30T15:54:25-0600',mode:absolute,to:'2017-06-30T18:39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7" s="86" t="str">
        <f t="shared" ref="T7:T38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/stypes="*4024*201706302*" /stext=" 23:.+((SYSTEM_STATE.+slice.+state.+changed )|(ment ac)|(multiple cpu faults)|(system.+state.+changed )|(\[timeout)|(PRM\|1\|D)|(kpr)|(kdp)|(train st.+moving)|(\|lc)|(penalty))"</v>
      </c>
      <c r="U7" s="9" t="str">
        <f t="shared" ref="U7:U38" si="2">MID(B7,13,4)</f>
        <v>4024</v>
      </c>
      <c r="V7" s="31">
        <f t="shared" ref="V7:V38" si="3">A7-utc_offset/24</f>
        <v>42916.963379629633</v>
      </c>
      <c r="W7" s="45" t="str">
        <f t="shared" ref="W7:W38" si="4">DetSubdiv(C7)</f>
        <v>EC</v>
      </c>
      <c r="X7" s="22">
        <f t="shared" ref="X7:X38" si="5">VALUE(LEFT(C7,LEN(C7)-3))</f>
        <v>207</v>
      </c>
      <c r="Y7" s="96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arrival","project_id":79,"tracker_id":40,"status_id":1,"priority_id":2,"assigned_to_id":23,"start_date":"2017-06-30","description":"","custom_fields":[{"id":1,"name":"Subdivision","value":"EC"},{"id":4,"name":"Milepost","value":"2.7053"},{"id":17,"name":"Train ID","value":"207-30"},{"id":16,"name":"Locomotive ID","value":"4024"},{"id":130,"name":"Impact","value":""},{"id":150,"name":"Time of Event (Mountain Time)","value":"17:07:16"},{"id":151,"name":"Denver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 t="shared" ref="AC7:AC38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/c/Users/stu/AppData/Local/Temp/OnboardLogs/RTDC4024 --include="*4024*201706302*"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"%USERPROFILE%\AppData\Local\Temp\OnboardLogs"\RTDC4024\*4024*201706302* &gt;&gt; 2017-06-30-SliceDisagreementCheck.txt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4024 --day 2017-06-30</v>
      </c>
    </row>
    <row r="8" spans="1:32" s="1" customFormat="1" x14ac:dyDescent="0.25">
      <c r="A8" s="31">
        <v>42916.197800925926</v>
      </c>
      <c r="B8" s="30" t="s">
        <v>579</v>
      </c>
      <c r="C8" s="30" t="s">
        <v>580</v>
      </c>
      <c r="D8" s="30" t="s">
        <v>49</v>
      </c>
      <c r="E8" s="30" t="s">
        <v>187</v>
      </c>
      <c r="F8" s="42">
        <v>0</v>
      </c>
      <c r="G8" s="42">
        <v>93</v>
      </c>
      <c r="H8" s="42">
        <v>27564</v>
      </c>
      <c r="I8" s="42">
        <v>27490</v>
      </c>
      <c r="J8" s="30" t="s">
        <v>188</v>
      </c>
      <c r="K8" s="42">
        <v>27350</v>
      </c>
      <c r="L8" s="131" t="s">
        <v>51</v>
      </c>
      <c r="M8" s="132">
        <f t="shared" si="0"/>
        <v>73.92</v>
      </c>
      <c r="N8" s="133" t="str">
        <f>VLOOKUP(C8,'Trips&amp;Operators'!$C$1:$G$99999,5,FALSE)</f>
        <v>STARKS ANGELINA</v>
      </c>
      <c r="O8" s="203" t="s">
        <v>180</v>
      </c>
      <c r="P8" s="134" t="s">
        <v>515</v>
      </c>
      <c r="Q8" s="30"/>
      <c r="R8" s="81" t="str">
        <f>VLOOKUP(C8,'Train Runs'!$A$13:$AE$9930,31,0)</f>
        <v>aws s3 cp s3://rtdc.mdm.uploadarchive.raw/RTDC4023/ "%USERPROFILE%\AppData\Local\Temp\OnboardLogs"\RTDC4023\2017-06-30 --exclude "*" --recursive --include "*20170630*" &amp; "%USERPROFILE%\Documents\GitHub\mrs-test-scripts\Headless Mode &amp; Sideloading\WalkAndUnGZ.bat" "%USERPROFILE%\AppData\Local\Temp\OnboardLogs"\RTDC4023\2017-06-30 &amp; aws s3 cp s3://rtdc.mdm.uploadarchive.raw/RTDC4023/ "%USERPROFILE%\AppData\Local\Temp\OnboardLogs"\RTDC4023\2017-07-01 --exclude "*" --recursive --include "*20170701*" &amp; "%USERPROFILE%\Documents\GitHub\mrs-test-scripts\Headless Mode &amp; Sideloading\WalkAndUnGZ.bat" "%USERPROFILE%\AppData\Local\Temp\OnboardLogs"\RTDC4023\2017-07-01</v>
      </c>
      <c r="S8" s="84" t="str">
        <f>VLOOKUP(C8,'Train Runs'!$A$13:$AE$9930,22,0)</f>
        <v>https://d0f6bd738d7f1b3e5a7ca70fe4ff75f0.us-east-1.aws.found.io/app/kibana#/discover/Steve-Slow-Train-Analysis-(2080s-and-2083s)?_g=(refreshInterval:(display:Off,pause:!f,section:0,value:0),time:(from:'2017-06-30T03:09:33-0600',mode:absolute,to:'2017-06-30T05:54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8" s="86" t="str">
        <f t="shared" si="1"/>
        <v>"C:\Program Files (x86)\AstroGrep\AstroGrep.exe" /e /r /s /spath="%USERPROFILE%\AppData\Local\Temp\OnboardLogs" /stypes="*4023*201706301*" /stext=" 10:.+((SYSTEM_STATE.+slice.+state.+changed )|(ment ac)|(multiple cpu faults)|(system.+state.+changed )|(\[timeout)|(PRM\|1\|D)|(kpr)|(kdp)|(train st.+moving)|(\|lc)|(penalty))"</v>
      </c>
      <c r="U8" s="9" t="str">
        <f t="shared" si="2"/>
        <v>4023</v>
      </c>
      <c r="V8" s="31">
        <f t="shared" si="3"/>
        <v>42916.447800925926</v>
      </c>
      <c r="W8" s="45" t="str">
        <f t="shared" si="4"/>
        <v>EC</v>
      </c>
      <c r="X8" s="22">
        <f t="shared" si="5"/>
        <v>102</v>
      </c>
      <c r="Y8" s="96" t="str">
        <f t="shared" si="6"/>
        <v>echo {"issue":{"subject":"Form C","project_id":79,"tracker_id":40,"status_id":1,"priority_id":2,"assigned_to_id":23,"start_date":"2017-06-30","description":"","custom_fields":[{"id":1,"name":"Subdivision","value":"EC"},{"id":4,"name":"Milepost","value":"2.735"},{"id":17,"name":"Train ID","value":"102-30"},{"id":16,"name":"Locomotive ID","value":"4023"},{"id":130,"name":"Impact","value":""},{"id":150,"name":"Time of Event (Mountain Time)","value":"04:44:50"},{"id":151,"name":"Denver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/c/Users/stu/AppData/Local/Temp/OnboardLogs/RTDC4023 --include="*4023*201706301*"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"%USERPROFILE%\AppData\Local\Temp\OnboardLogs"\RTDC4023\*4023*201706301* &gt;&gt; 2017-06-30-SliceDisagreementCheck.txt</v>
      </c>
      <c r="AE8" s="145" t="str">
        <f t="shared" ref="AE8:AE71" si="9">"start /low /b "&amp;dls3logs&amp;" --loco "&amp;U8&amp;" --day "&amp;TEXT(V8,"YYYY-MM-DD")</f>
        <v>start /low /b %USERPROFILE%\Documents\GitHub\eaglep3\Utilities\DownloadLogsFromS3.py --loco 4023 --day 2017-06-30</v>
      </c>
    </row>
    <row r="9" spans="1:32" s="1" customFormat="1" x14ac:dyDescent="0.25">
      <c r="A9" s="31">
        <v>42916.198344907411</v>
      </c>
      <c r="B9" s="30" t="s">
        <v>579</v>
      </c>
      <c r="C9" s="30" t="s">
        <v>580</v>
      </c>
      <c r="D9" s="30" t="s">
        <v>49</v>
      </c>
      <c r="E9" s="30" t="s">
        <v>187</v>
      </c>
      <c r="F9" s="42">
        <v>0</v>
      </c>
      <c r="G9" s="42">
        <v>20</v>
      </c>
      <c r="H9" s="42">
        <v>27408</v>
      </c>
      <c r="I9" s="42">
        <v>27386</v>
      </c>
      <c r="J9" s="30" t="s">
        <v>188</v>
      </c>
      <c r="K9" s="42">
        <v>27350</v>
      </c>
      <c r="L9" s="131" t="s">
        <v>51</v>
      </c>
      <c r="M9" s="132">
        <f t="shared" si="0"/>
        <v>19.007999999999999</v>
      </c>
      <c r="N9" s="133" t="str">
        <f>VLOOKUP(C9,'Trips&amp;Operators'!$C$1:$G$99999,5,FALSE)</f>
        <v>STARKS ANGELINA</v>
      </c>
      <c r="O9" s="203" t="s">
        <v>180</v>
      </c>
      <c r="P9" s="134" t="s">
        <v>515</v>
      </c>
      <c r="Q9" s="30"/>
      <c r="R9" s="81" t="str">
        <f>VLOOKUP(C9,'Train Runs'!$A$13:$AE$9930,31,0)</f>
        <v>aws s3 cp s3://rtdc.mdm.uploadarchive.raw/RTDC4023/ "%USERPROFILE%\AppData\Local\Temp\OnboardLogs"\RTDC4023\2017-06-30 --exclude "*" --recursive --include "*20170630*" &amp; "%USERPROFILE%\Documents\GitHub\mrs-test-scripts\Headless Mode &amp; Sideloading\WalkAndUnGZ.bat" "%USERPROFILE%\AppData\Local\Temp\OnboardLogs"\RTDC4023\2017-06-30 &amp; aws s3 cp s3://rtdc.mdm.uploadarchive.raw/RTDC4023/ "%USERPROFILE%\AppData\Local\Temp\OnboardLogs"\RTDC4023\2017-07-01 --exclude "*" --recursive --include "*20170701*" &amp; "%USERPROFILE%\Documents\GitHub\mrs-test-scripts\Headless Mode &amp; Sideloading\WalkAndUnGZ.bat" "%USERPROFILE%\AppData\Local\Temp\OnboardLogs"\RTDC4023\2017-07-01</v>
      </c>
      <c r="S9" s="84" t="str">
        <f>VLOOKUP(C9,'Train Runs'!$A$13:$AE$9930,22,0)</f>
        <v>https://d0f6bd738d7f1b3e5a7ca70fe4ff75f0.us-east-1.aws.found.io/app/kibana#/discover/Steve-Slow-Train-Analysis-(2080s-and-2083s)?_g=(refreshInterval:(display:Off,pause:!f,section:0,value:0),time:(from:'2017-06-30T03:09:33-0600',mode:absolute,to:'2017-06-30T05:54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9" s="86" t="str">
        <f t="shared" si="1"/>
        <v>"C:\Program Files (x86)\AstroGrep\AstroGrep.exe" /e /r /s /spath="%USERPROFILE%\AppData\Local\Temp\OnboardLogs" /stypes="*4023*201706301*" /stext=" 10:.+((SYSTEM_STATE.+slice.+state.+changed )|(ment ac)|(multiple cpu faults)|(system.+state.+changed )|(\[timeout)|(PRM\|1\|D)|(kpr)|(kdp)|(train st.+moving)|(\|lc)|(penalty))"</v>
      </c>
      <c r="U9" s="9" t="str">
        <f t="shared" si="2"/>
        <v>4023</v>
      </c>
      <c r="V9" s="31">
        <f t="shared" si="3"/>
        <v>42916.448344907411</v>
      </c>
      <c r="W9" s="45" t="str">
        <f t="shared" si="4"/>
        <v>EC</v>
      </c>
      <c r="X9" s="22">
        <f t="shared" si="5"/>
        <v>102</v>
      </c>
      <c r="Y9" s="96" t="str">
        <f t="shared" si="6"/>
        <v>echo {"issue":{"subject":"Form C","project_id":79,"tracker_id":40,"status_id":1,"priority_id":2,"assigned_to_id":23,"start_date":"2017-06-30","description":"","custom_fields":[{"id":1,"name":"Subdivision","value":"EC"},{"id":4,"name":"Milepost","value":"2.735"},{"id":17,"name":"Train ID","value":"102-30"},{"id":16,"name":"Locomotive ID","value":"4023"},{"id":130,"name":"Impact","value":""},{"id":150,"name":"Time of Event (Mountain Time)","value":"04:45:37"},{"id":151,"name":"Denver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/c/Users/stu/AppData/Local/Temp/OnboardLogs/RTDC4023 --include="*4023*201706301*"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"%USERPROFILE%\AppData\Local\Temp\OnboardLogs"\RTDC4023\*4023*201706301* &gt;&gt; 2017-06-30-SliceDisagreementCheck.txt</v>
      </c>
      <c r="AE9" s="145" t="str">
        <f t="shared" si="9"/>
        <v>start /low /b %USERPROFILE%\Documents\GitHub\eaglep3\Utilities\DownloadLogsFromS3.py --loco 4023 --day 2017-06-30</v>
      </c>
    </row>
    <row r="10" spans="1:32" s="1" customFormat="1" x14ac:dyDescent="0.25">
      <c r="A10" s="31">
        <v>42916.821712962963</v>
      </c>
      <c r="B10" s="30" t="s">
        <v>601</v>
      </c>
      <c r="C10" s="30" t="s">
        <v>632</v>
      </c>
      <c r="D10" s="30" t="s">
        <v>49</v>
      </c>
      <c r="E10" s="30" t="s">
        <v>187</v>
      </c>
      <c r="F10" s="42">
        <v>0</v>
      </c>
      <c r="G10" s="42">
        <v>115</v>
      </c>
      <c r="H10" s="42">
        <v>27351</v>
      </c>
      <c r="I10" s="42">
        <v>27247</v>
      </c>
      <c r="J10" s="30" t="s">
        <v>188</v>
      </c>
      <c r="K10" s="42">
        <v>27350</v>
      </c>
      <c r="L10" s="131" t="s">
        <v>51</v>
      </c>
      <c r="M10" s="132">
        <f t="shared" si="0"/>
        <v>-54.384</v>
      </c>
      <c r="N10" s="133" t="str">
        <f>VLOOKUP(C10,'Trips&amp;Operators'!$C$1:$G$99999,5,FALSE)</f>
        <v>PERKINS DARREN</v>
      </c>
      <c r="O10" s="203" t="s">
        <v>180</v>
      </c>
      <c r="P10" s="134" t="s">
        <v>515</v>
      </c>
      <c r="Q10" s="30"/>
      <c r="R10" s="81" t="str">
        <f>VLOOKUP(C10,'Train Runs'!$A$13:$AE$9930,31,0)</f>
        <v>aws s3 cp s3://rtdc.mdm.uploadarchive.raw/RTDC4041/ "%USERPROFILE%\AppData\Local\Temp\OnboardLogs"\RTDC4041\2017-06-30 --exclude "*" --recursive --include "*20170630*" &amp; "%USERPROFILE%\Documents\GitHub\mrs-test-scripts\Headless Mode &amp; Sideloading\WalkAndUnGZ.bat" "%USERPROFILE%\AppData\Local\Temp\OnboardLogs"\RTDC4041\2017-06-30 &amp; aws s3 cp s3://rtdc.mdm.uploadarchive.raw/RTDC4041/ "%USERPROFILE%\AppData\Local\Temp\OnboardLogs"\RTDC4041\2017-07-01 --exclude "*" --recursive --include "*20170701*" &amp; "%USERPROFILE%\Documents\GitHub\mrs-test-scripts\Headless Mode &amp; Sideloading\WalkAndUnGZ.bat" "%USERPROFILE%\AppData\Local\Temp\OnboardLogs"\RTDC4041\2017-07-01</v>
      </c>
      <c r="S10" s="84" t="str">
        <f>VLOOKUP(C10,'Train Runs'!$A$13:$AE$9930,22,0)</f>
        <v>https://d0f6bd738d7f1b3e5a7ca70fe4ff75f0.us-east-1.aws.found.io/app/kibana#/discover/Steve-Slow-Train-Analysis-(2080s-and-2083s)?_g=(refreshInterval:(display:Off,pause:!f,section:0,value:0),time:(from:'2017-06-30T17:56:56-0600',mode:absolute,to:'2017-06-30T20:50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0" s="86" t="str">
        <f t="shared" si="1"/>
        <v>"C:\Program Files (x86)\AstroGrep\AstroGrep.exe" /e /r /s /spath="%USERPROFILE%\AppData\Local\Temp\OnboardLogs" /stypes="*4041*201707010*" /stext=" 01:.+((SYSTEM_STATE.+slice.+state.+changed )|(ment ac)|(multiple cpu faults)|(system.+state.+changed )|(\[timeout)|(PRM\|1\|D)|(kpr)|(kdp)|(train st.+moving)|(\|lc)|(penalty))"</v>
      </c>
      <c r="U10" s="9" t="str">
        <f t="shared" si="2"/>
        <v>4041</v>
      </c>
      <c r="V10" s="31">
        <f t="shared" si="3"/>
        <v>42917.071712962963</v>
      </c>
      <c r="W10" s="45" t="str">
        <f t="shared" si="4"/>
        <v>EC</v>
      </c>
      <c r="X10" s="22">
        <f t="shared" si="5"/>
        <v>218</v>
      </c>
      <c r="Y10" s="96" t="str">
        <f t="shared" si="6"/>
        <v>echo {"issue":{"subject":"Form C","project_id":79,"tracker_id":40,"status_id":1,"priority_id":2,"assigned_to_id":23,"start_date":"2017-06-30","description":"","custom_fields":[{"id":1,"name":"Subdivision","value":"EC"},{"id":4,"name":"Milepost","value":"2.735"},{"id":17,"name":"Train ID","value":"218-30"},{"id":16,"name":"Locomotive ID","value":"4041"},{"id":130,"name":"Impact","value":""},{"id":150,"name":"Time of Event (Mountain Time)","value":"19:43:16"},{"id":151,"name":"Denver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/c/Users/stu/AppData/Local/Temp/OnboardLogs/RTDC4041 --include="*4041*201707010*"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"%USERPROFILE%\AppData\Local\Temp\OnboardLogs"\RTDC4041\*4041*201707010* &gt;&gt; 2017-06-30-SliceDisagreementCheck.txt</v>
      </c>
      <c r="AE10" s="145" t="str">
        <f t="shared" si="9"/>
        <v>start /low /b %USERPROFILE%\Documents\GitHub\eaglep3\Utilities\DownloadLogsFromS3.py --loco 4041 --day 2017-07-01</v>
      </c>
    </row>
    <row r="11" spans="1:32" s="1" customFormat="1" x14ac:dyDescent="0.25">
      <c r="A11" s="31">
        <v>42916.66542824074</v>
      </c>
      <c r="B11" s="30" t="s">
        <v>366</v>
      </c>
      <c r="C11" s="30" t="s">
        <v>614</v>
      </c>
      <c r="D11" s="30" t="s">
        <v>49</v>
      </c>
      <c r="E11" s="30" t="s">
        <v>187</v>
      </c>
      <c r="F11" s="42">
        <v>10</v>
      </c>
      <c r="G11" s="42">
        <v>88</v>
      </c>
      <c r="H11" s="42">
        <v>27440</v>
      </c>
      <c r="I11" s="42">
        <v>27364</v>
      </c>
      <c r="J11" s="30" t="s">
        <v>188</v>
      </c>
      <c r="K11" s="42">
        <v>27350</v>
      </c>
      <c r="L11" s="131" t="s">
        <v>51</v>
      </c>
      <c r="M11" s="132">
        <f t="shared" si="0"/>
        <v>7.3920000000000003</v>
      </c>
      <c r="N11" s="133" t="str">
        <f>VLOOKUP(C11,'Trips&amp;Operators'!$C$1:$G$99999,5,FALSE)</f>
        <v>HOLCOMB KAMDEN</v>
      </c>
      <c r="O11" s="203" t="s">
        <v>180</v>
      </c>
      <c r="P11" s="134" t="s">
        <v>449</v>
      </c>
      <c r="Q11" s="30"/>
      <c r="R11" s="81" t="str">
        <f>VLOOKUP(C11,'Train Runs'!$A$13:$AE$9930,31,0)</f>
        <v>aws s3 cp s3://rtdc.mdm.uploadarchive.raw/RTDC4039/ "%USERPROFILE%\AppData\Local\Temp\OnboardLogs"\RTDC4039\2017-06-30 --exclude "*" --recursive --include "*20170630*" &amp; "%USERPROFILE%\Documents\GitHub\mrs-test-scripts\Headless Mode &amp; Sideloading\WalkAndUnGZ.bat" "%USERPROFILE%\AppData\Local\Temp\OnboardLogs"\RTDC4039\2017-06-30 &amp; aws s3 cp s3://rtdc.mdm.uploadarchive.raw/RTDC4039/ "%USERPROFILE%\AppData\Local\Temp\OnboardLogs"\RTDC4039\2017-07-01 --exclude "*" --recursive --include "*20170701*" &amp; "%USERPROFILE%\Documents\GitHub\mrs-test-scripts\Headless Mode &amp; Sideloading\WalkAndUnGZ.bat" "%USERPROFILE%\AppData\Local\Temp\OnboardLogs"\RTDC4039\2017-07-01</v>
      </c>
      <c r="S11" s="84" t="str">
        <f>VLOOKUP(C11,'Train Runs'!$A$13:$AE$9930,22,0)</f>
        <v>https://d0f6bd738d7f1b3e5a7ca70fe4ff75f0.us-east-1.aws.found.io/app/kibana#/discover/Steve-Slow-Train-Analysis-(2080s-and-2083s)?_g=(refreshInterval:(display:Off,pause:!f,section:0,value:0),time:(from:'2017-06-30T14:22:47-0600',mode:absolute,to:'2017-06-30T16:58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1" s="86" t="str">
        <f t="shared" si="1"/>
        <v>"C:\Program Files (x86)\AstroGrep\AstroGrep.exe" /e /r /s /spath="%USERPROFILE%\AppData\Local\Temp\OnboardLogs" /stypes="*4039*201706302*" /stext=" 21:.+((SYSTEM_STATE.+slice.+state.+changed )|(ment ac)|(multiple cpu faults)|(system.+state.+changed )|(\[timeout)|(PRM\|1\|D)|(kpr)|(kdp)|(train st.+moving)|(\|lc)|(penalty))"</v>
      </c>
      <c r="U11" s="9" t="str">
        <f t="shared" si="2"/>
        <v>4039</v>
      </c>
      <c r="V11" s="31">
        <f t="shared" si="3"/>
        <v>42916.91542824074</v>
      </c>
      <c r="W11" s="45" t="str">
        <f t="shared" si="4"/>
        <v>EC</v>
      </c>
      <c r="X11" s="22">
        <f t="shared" si="5"/>
        <v>188</v>
      </c>
      <c r="Y11" s="96" t="str">
        <f t="shared" si="6"/>
        <v>echo {"issue":{"subject":"Early arrival","project_id":79,"tracker_id":40,"status_id":1,"priority_id":2,"assigned_to_id":23,"start_date":"2017-06-30","description":"","custom_fields":[{"id":1,"name":"Subdivision","value":"EC"},{"id":4,"name":"Milepost","value":"2.735"},{"id":17,"name":"Train ID","value":"188-30"},{"id":16,"name":"Locomotive ID","value":"4039"},{"id":130,"name":"Impact","value":""},{"id":150,"name":"Time of Event (Mountain Time)","value":"15:58:13"},{"id":151,"name":"Denver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/c/Users/stu/AppData/Local/Temp/OnboardLogs/RTDC4039 --include="*4039*201706302*"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"%USERPROFILE%\AppData\Local\Temp\OnboardLogs"\RTDC4039\*4039*201706302* &gt;&gt; 2017-06-30-SliceDisagreementCheck.txt</v>
      </c>
      <c r="AE11" s="145" t="str">
        <f t="shared" si="9"/>
        <v>start /low /b %USERPROFILE%\Documents\GitHub\eaglep3\Utilities\DownloadLogsFromS3.py --loco 4039 --day 2017-06-30</v>
      </c>
    </row>
    <row r="12" spans="1:32" s="1" customFormat="1" x14ac:dyDescent="0.25">
      <c r="A12" s="31">
        <v>42916.665034722224</v>
      </c>
      <c r="B12" s="30" t="s">
        <v>366</v>
      </c>
      <c r="C12" s="30" t="s">
        <v>614</v>
      </c>
      <c r="D12" s="30" t="s">
        <v>49</v>
      </c>
      <c r="E12" s="30" t="s">
        <v>187</v>
      </c>
      <c r="F12" s="42">
        <v>100</v>
      </c>
      <c r="G12" s="42">
        <v>208</v>
      </c>
      <c r="H12" s="42">
        <v>27736</v>
      </c>
      <c r="I12" s="42">
        <v>27500</v>
      </c>
      <c r="J12" s="30" t="s">
        <v>188</v>
      </c>
      <c r="K12" s="42">
        <v>27350</v>
      </c>
      <c r="L12" s="131" t="s">
        <v>51</v>
      </c>
      <c r="M12" s="132">
        <f t="shared" si="0"/>
        <v>79.2</v>
      </c>
      <c r="N12" s="133" t="str">
        <f>VLOOKUP(C12,'Trips&amp;Operators'!$C$1:$G$99999,5,FALSE)</f>
        <v>HOLCOMB KAMDEN</v>
      </c>
      <c r="O12" s="203" t="s">
        <v>180</v>
      </c>
      <c r="P12" s="134" t="s">
        <v>449</v>
      </c>
      <c r="Q12" s="30"/>
      <c r="R12" s="81" t="str">
        <f>VLOOKUP(C12,'Train Runs'!$A$13:$AE$9930,31,0)</f>
        <v>aws s3 cp s3://rtdc.mdm.uploadarchive.raw/RTDC4039/ "%USERPROFILE%\AppData\Local\Temp\OnboardLogs"\RTDC4039\2017-06-30 --exclude "*" --recursive --include "*20170630*" &amp; "%USERPROFILE%\Documents\GitHub\mrs-test-scripts\Headless Mode &amp; Sideloading\WalkAndUnGZ.bat" "%USERPROFILE%\AppData\Local\Temp\OnboardLogs"\RTDC4039\2017-06-30 &amp; aws s3 cp s3://rtdc.mdm.uploadarchive.raw/RTDC4039/ "%USERPROFILE%\AppData\Local\Temp\OnboardLogs"\RTDC4039\2017-07-01 --exclude "*" --recursive --include "*20170701*" &amp; "%USERPROFILE%\Documents\GitHub\mrs-test-scripts\Headless Mode &amp; Sideloading\WalkAndUnGZ.bat" "%USERPROFILE%\AppData\Local\Temp\OnboardLogs"\RTDC4039\2017-07-01</v>
      </c>
      <c r="S12" s="84" t="str">
        <f>VLOOKUP(C12,'Train Runs'!$A$13:$AE$9930,22,0)</f>
        <v>https://d0f6bd738d7f1b3e5a7ca70fe4ff75f0.us-east-1.aws.found.io/app/kibana#/discover/Steve-Slow-Train-Analysis-(2080s-and-2083s)?_g=(refreshInterval:(display:Off,pause:!f,section:0,value:0),time:(from:'2017-06-30T14:22:47-0600',mode:absolute,to:'2017-06-30T16:58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2" s="86" t="str">
        <f t="shared" si="1"/>
        <v>"C:\Program Files (x86)\AstroGrep\AstroGrep.exe" /e /r /s /spath="%USERPROFILE%\AppData\Local\Temp\OnboardLogs" /stypes="*4039*201706302*" /stext=" 21:.+((SYSTEM_STATE.+slice.+state.+changed )|(ment ac)|(multiple cpu faults)|(system.+state.+changed )|(\[timeout)|(PRM\|1\|D)|(kpr)|(kdp)|(train st.+moving)|(\|lc)|(penalty))"</v>
      </c>
      <c r="U12" s="9" t="str">
        <f t="shared" si="2"/>
        <v>4039</v>
      </c>
      <c r="V12" s="31">
        <f t="shared" si="3"/>
        <v>42916.915034722224</v>
      </c>
      <c r="W12" s="45" t="str">
        <f t="shared" si="4"/>
        <v>EC</v>
      </c>
      <c r="X12" s="22">
        <f t="shared" si="5"/>
        <v>188</v>
      </c>
      <c r="Y12" s="96" t="str">
        <f t="shared" si="6"/>
        <v>echo {"issue":{"subject":"Early arrival","project_id":79,"tracker_id":40,"status_id":1,"priority_id":2,"assigned_to_id":23,"start_date":"2017-06-30","description":"","custom_fields":[{"id":1,"name":"Subdivision","value":"EC"},{"id":4,"name":"Milepost","value":"2.735"},{"id":17,"name":"Train ID","value":"188-30"},{"id":16,"name":"Locomotive ID","value":"4039"},{"id":130,"name":"Impact","value":""},{"id":150,"name":"Time of Event (Mountain Time)","value":"15:57:39"},{"id":151,"name":"Denver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 t="shared" si="7"/>
        <v>grep -hrE -A400 "Enforcement Action" /c/Users/stu/AppData/Local/Temp/OnboardLogs/RTDC4039 --include="*4039*201706302*"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"%USERPROFILE%\AppData\Local\Temp\OnboardLogs"\RTDC4039\*4039*201706302* &gt;&gt; 2017-06-30-SliceDisagreementCheck.txt</v>
      </c>
      <c r="AE12" s="145" t="str">
        <f t="shared" si="9"/>
        <v>start /low /b %USERPROFILE%\Documents\GitHub\eaglep3\Utilities\DownloadLogsFromS3.py --loco 4039 --day 2017-06-30</v>
      </c>
    </row>
    <row r="13" spans="1:32" s="1" customFormat="1" x14ac:dyDescent="0.25">
      <c r="A13" s="31">
        <v>42916.269618055558</v>
      </c>
      <c r="B13" s="30" t="s">
        <v>579</v>
      </c>
      <c r="C13" s="30" t="s">
        <v>585</v>
      </c>
      <c r="D13" s="30" t="s">
        <v>49</v>
      </c>
      <c r="E13" s="30" t="s">
        <v>187</v>
      </c>
      <c r="F13" s="42">
        <v>0</v>
      </c>
      <c r="G13" s="42">
        <v>187</v>
      </c>
      <c r="H13" s="42">
        <v>31074</v>
      </c>
      <c r="I13" s="42">
        <v>30872</v>
      </c>
      <c r="J13" s="30" t="s">
        <v>188</v>
      </c>
      <c r="K13" s="42">
        <v>30970</v>
      </c>
      <c r="L13" s="131" t="s">
        <v>51</v>
      </c>
      <c r="M13" s="132">
        <f t="shared" si="0"/>
        <v>-51.744</v>
      </c>
      <c r="N13" s="133" t="str">
        <f>VLOOKUP(C13,'Trips&amp;Operators'!$C$1:$G$99999,5,FALSE)</f>
        <v>STARKS ANGELINA</v>
      </c>
      <c r="O13" s="203" t="s">
        <v>180</v>
      </c>
      <c r="P13" s="134" t="s">
        <v>449</v>
      </c>
      <c r="Q13" s="30"/>
      <c r="R13" s="81" t="str">
        <f>VLOOKUP(C13,'Train Runs'!$A$13:$AE$9930,31,0)</f>
        <v>aws s3 cp s3://rtdc.mdm.uploadarchive.raw/RTDC4023/ "%USERPROFILE%\AppData\Local\Temp\OnboardLogs"\RTDC4023\2017-06-30 --exclude "*" --recursive --include "*20170630*" &amp; "%USERPROFILE%\Documents\GitHub\mrs-test-scripts\Headless Mode &amp; Sideloading\WalkAndUnGZ.bat" "%USERPROFILE%\AppData\Local\Temp\OnboardLogs"\RTDC4023\2017-06-30 &amp; aws s3 cp s3://rtdc.mdm.uploadarchive.raw/RTDC4023/ "%USERPROFILE%\AppData\Local\Temp\OnboardLogs"\RTDC4023\2017-07-01 --exclude "*" --recursive --include "*20170701*" &amp; "%USERPROFILE%\Documents\GitHub\mrs-test-scripts\Headless Mode &amp; Sideloading\WalkAndUnGZ.bat" "%USERPROFILE%\AppData\Local\Temp\OnboardLogs"\RTDC4023\2017-07-01</v>
      </c>
      <c r="S13" s="84" t="str">
        <f>VLOOKUP(C13,'Train Runs'!$A$13:$AE$9930,22,0)</f>
        <v>https://d0f6bd738d7f1b3e5a7ca70fe4ff75f0.us-east-1.aws.found.io/app/kibana#/discover/Steve-Slow-Train-Analysis-(2080s-and-2083s)?_g=(refreshInterval:(display:Off,pause:!f,section:0,value:0),time:(from:'2017-06-30T04:56:12-0600',mode:absolute,to:'2017-06-30T07:37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13" s="86" t="str">
        <f t="shared" si="1"/>
        <v>"C:\Program Files (x86)\AstroGrep\AstroGrep.exe" /e /r /s /spath="%USERPROFILE%\AppData\Local\Temp\OnboardLogs" /stypes="*4023*201706301*" /stext=" 12:.+((SYSTEM_STATE.+slice.+state.+changed )|(ment ac)|(multiple cpu faults)|(system.+state.+changed )|(\[timeout)|(PRM\|1\|D)|(kpr)|(kdp)|(train st.+moving)|(\|lc)|(penalty))"</v>
      </c>
      <c r="U13" s="9" t="str">
        <f t="shared" si="2"/>
        <v>4023</v>
      </c>
      <c r="V13" s="31">
        <f t="shared" si="3"/>
        <v>42916.519618055558</v>
      </c>
      <c r="W13" s="45" t="str">
        <f t="shared" si="4"/>
        <v>EC</v>
      </c>
      <c r="X13" s="22">
        <f t="shared" si="5"/>
        <v>112</v>
      </c>
      <c r="Y13" s="96" t="str">
        <f t="shared" si="6"/>
        <v>echo {"issue":{"subject":"Early arrival","project_id":79,"tracker_id":40,"status_id":1,"priority_id":2,"assigned_to_id":23,"start_date":"2017-06-30","description":"","custom_fields":[{"id":1,"name":"Subdivision","value":"EC"},{"id":4,"name":"Milepost","value":"3.097"},{"id":17,"name":"Train ID","value":"112-30"},{"id":16,"name":"Locomotive ID","value":"4023"},{"id":130,"name":"Impact","value":""},{"id":150,"name":"Time of Event (Mountain Time)","value":"06:28:15"},{"id":151,"name":"Denver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 t="shared" si="7"/>
        <v>grep -hrE -A400 "Enforcement Action" /c/Users/stu/AppData/Local/Temp/OnboardLogs/RTDC4023 --include="*4023*201706301*"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"%USERPROFILE%\AppData\Local\Temp\OnboardLogs"\RTDC4023\*4023*201706301* &gt;&gt; 2017-06-30-SliceDisagreementCheck.txt</v>
      </c>
      <c r="AE13" s="145" t="str">
        <f t="shared" si="9"/>
        <v>start /low /b %USERPROFILE%\Documents\GitHub\eaglep3\Utilities\DownloadLogsFromS3.py --loco 4023 --day 2017-06-30</v>
      </c>
    </row>
    <row r="14" spans="1:32" x14ac:dyDescent="0.25">
      <c r="A14" s="31">
        <v>42916.603263888886</v>
      </c>
      <c r="B14" s="30" t="s">
        <v>601</v>
      </c>
      <c r="C14" s="30" t="s">
        <v>608</v>
      </c>
      <c r="D14" s="30" t="s">
        <v>49</v>
      </c>
      <c r="E14" s="30" t="s">
        <v>187</v>
      </c>
      <c r="F14" s="42">
        <v>10</v>
      </c>
      <c r="G14" s="42">
        <v>74</v>
      </c>
      <c r="H14" s="42">
        <v>43086</v>
      </c>
      <c r="I14" s="42">
        <v>42942</v>
      </c>
      <c r="J14" s="30" t="s">
        <v>188</v>
      </c>
      <c r="K14" s="42">
        <v>42961</v>
      </c>
      <c r="L14" s="131" t="s">
        <v>51</v>
      </c>
      <c r="M14" s="132">
        <f t="shared" si="0"/>
        <v>-10.032</v>
      </c>
      <c r="N14" s="133" t="str">
        <f>VLOOKUP(C14,'Trips&amp;Operators'!$C$1:$G$99999,5,FALSE)</f>
        <v>BRANDNER MELINDA</v>
      </c>
      <c r="O14" s="203" t="s">
        <v>180</v>
      </c>
      <c r="P14" s="134" t="s">
        <v>449</v>
      </c>
      <c r="Q14" s="30"/>
      <c r="R14" s="81" t="str">
        <f>VLOOKUP(C14,'Train Runs'!$A$13:$AE$9930,31,0)</f>
        <v>aws s3 cp s3://rtdc.mdm.uploadarchive.raw/RTDC4041/ "%USERPROFILE%\AppData\Local\Temp\OnboardLogs"\RTDC4041\2017-06-30 --exclude "*" --recursive --include "*20170630*" &amp; "%USERPROFILE%\Documents\GitHub\mrs-test-scripts\Headless Mode &amp; Sideloading\WalkAndUnGZ.bat" "%USERPROFILE%\AppData\Local\Temp\OnboardLogs"\RTDC4041\2017-06-30 &amp; aws s3 cp s3://rtdc.mdm.uploadarchive.raw/RTDC4041/ "%USERPROFILE%\AppData\Local\Temp\OnboardLogs"\RTDC4041\2017-07-01 --exclude "*" --recursive --include "*20170701*" &amp; "%USERPROFILE%\Documents\GitHub\mrs-test-scripts\Headless Mode &amp; Sideloading\WalkAndUnGZ.bat" "%USERPROFILE%\AppData\Local\Temp\OnboardLogs"\RTDC4041\2017-07-01</v>
      </c>
      <c r="S14" s="84" t="str">
        <f>VLOOKUP(C14,'Train Runs'!$A$13:$AE$9930,22,0)</f>
        <v>https://d0f6bd738d7f1b3e5a7ca70fe4ff75f0.us-east-1.aws.found.io/app/kibana#/discover/Steve-Slow-Train-Analysis-(2080s-and-2083s)?_g=(refreshInterval:(display:Off,pause:!f,section:0,value:0),time:(from:'2017-06-30T12:58:02-0600',mode:absolute,to:'2017-06-30T15:43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4" s="86" t="str">
        <f t="shared" si="1"/>
        <v>"C:\Program Files (x86)\AstroGrep\AstroGrep.exe" /e /r /s /spath="%USERPROFILE%\AppData\Local\Temp\OnboardLogs" /stypes="*4041*201706302*" /stext=" 20:.+((SYSTEM_STATE.+slice.+state.+changed )|(ment ac)|(multiple cpu faults)|(system.+state.+changed )|(\[timeout)|(PRM\|1\|D)|(kpr)|(kdp)|(train st.+moving)|(\|lc)|(penalty))"</v>
      </c>
      <c r="U14" s="9" t="str">
        <f t="shared" si="2"/>
        <v>4041</v>
      </c>
      <c r="V14" s="31">
        <f t="shared" si="3"/>
        <v>42916.853263888886</v>
      </c>
      <c r="W14" s="45" t="str">
        <f t="shared" si="4"/>
        <v>EC</v>
      </c>
      <c r="X14" s="22">
        <f t="shared" si="5"/>
        <v>176</v>
      </c>
      <c r="Y14" s="96" t="str">
        <f t="shared" si="6"/>
        <v>echo {"issue":{"subject":"Early arrival","project_id":79,"tracker_id":40,"status_id":1,"priority_id":2,"assigned_to_id":23,"start_date":"2017-06-30","description":"","custom_fields":[{"id":1,"name":"Subdivision","value":"EC"},{"id":4,"name":"Milepost","value":"4.2961"},{"id":17,"name":"Train ID","value":"176-30"},{"id":16,"name":"Locomotive ID","value":"4041"},{"id":130,"name":"Impact","value":""},{"id":150,"name":"Time of Event (Mountain Time)","value":"14:28:42"},{"id":151,"name":"Denver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 t="shared" si="7"/>
        <v>grep -hrE -A400 "Enforcement Action" /c/Users/stu/AppData/Local/Temp/OnboardLogs/RTDC4041 --include="*4041*201706302*"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"%USERPROFILE%\AppData\Local\Temp\OnboardLogs"\RTDC4041\*4041*201706302* &gt;&gt; 2017-06-30-SliceDisagreementCheck.txt</v>
      </c>
      <c r="AE14" s="145" t="str">
        <f t="shared" si="9"/>
        <v>start /low /b %USERPROFILE%\Documents\GitHub\eaglep3\Utilities\DownloadLogsFromS3.py --loco 4041 --day 2017-06-30</v>
      </c>
      <c r="AF14" s="1"/>
    </row>
    <row r="15" spans="1:32" x14ac:dyDescent="0.25">
      <c r="A15" s="31">
        <v>42916.602835648147</v>
      </c>
      <c r="B15" s="30" t="s">
        <v>601</v>
      </c>
      <c r="C15" s="30" t="s">
        <v>608</v>
      </c>
      <c r="D15" s="30" t="s">
        <v>49</v>
      </c>
      <c r="E15" s="30" t="s">
        <v>187</v>
      </c>
      <c r="F15" s="42">
        <v>260</v>
      </c>
      <c r="G15" s="42">
        <v>347</v>
      </c>
      <c r="H15" s="42">
        <v>44162</v>
      </c>
      <c r="I15" s="42">
        <v>43151</v>
      </c>
      <c r="J15" s="30" t="s">
        <v>188</v>
      </c>
      <c r="K15" s="42">
        <v>42961</v>
      </c>
      <c r="L15" s="131" t="s">
        <v>51</v>
      </c>
      <c r="M15" s="132">
        <f t="shared" si="0"/>
        <v>100.32</v>
      </c>
      <c r="N15" s="133" t="str">
        <f>VLOOKUP(C15,'Trips&amp;Operators'!$C$1:$G$99999,5,FALSE)</f>
        <v>BRANDNER MELINDA</v>
      </c>
      <c r="O15" s="203" t="s">
        <v>180</v>
      </c>
      <c r="P15" s="134" t="s">
        <v>449</v>
      </c>
      <c r="Q15" s="30"/>
      <c r="R15" s="81" t="str">
        <f>VLOOKUP(C15,'Train Runs'!$A$13:$AE$9930,31,0)</f>
        <v>aws s3 cp s3://rtdc.mdm.uploadarchive.raw/RTDC4041/ "%USERPROFILE%\AppData\Local\Temp\OnboardLogs"\RTDC4041\2017-06-30 --exclude "*" --recursive --include "*20170630*" &amp; "%USERPROFILE%\Documents\GitHub\mrs-test-scripts\Headless Mode &amp; Sideloading\WalkAndUnGZ.bat" "%USERPROFILE%\AppData\Local\Temp\OnboardLogs"\RTDC4041\2017-06-30 &amp; aws s3 cp s3://rtdc.mdm.uploadarchive.raw/RTDC4041/ "%USERPROFILE%\AppData\Local\Temp\OnboardLogs"\RTDC4041\2017-07-01 --exclude "*" --recursive --include "*20170701*" &amp; "%USERPROFILE%\Documents\GitHub\mrs-test-scripts\Headless Mode &amp; Sideloading\WalkAndUnGZ.bat" "%USERPROFILE%\AppData\Local\Temp\OnboardLogs"\RTDC4041\2017-07-01</v>
      </c>
      <c r="S15" s="84" t="str">
        <f>VLOOKUP(C15,'Train Runs'!$A$13:$AE$9930,22,0)</f>
        <v>https://d0f6bd738d7f1b3e5a7ca70fe4ff75f0.us-east-1.aws.found.io/app/kibana#/discover/Steve-Slow-Train-Analysis-(2080s-and-2083s)?_g=(refreshInterval:(display:Off,pause:!f,section:0,value:0),time:(from:'2017-06-30T12:58:02-0600',mode:absolute,to:'2017-06-30T15:43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5" s="86" t="str">
        <f t="shared" si="1"/>
        <v>"C:\Program Files (x86)\AstroGrep\AstroGrep.exe" /e /r /s /spath="%USERPROFILE%\AppData\Local\Temp\OnboardLogs" /stypes="*4041*201706302*" /stext=" 20:.+((SYSTEM_STATE.+slice.+state.+changed )|(ment ac)|(multiple cpu faults)|(system.+state.+changed )|(\[timeout)|(PRM\|1\|D)|(kpr)|(kdp)|(train st.+moving)|(\|lc)|(penalty))"</v>
      </c>
      <c r="U15" s="9" t="str">
        <f t="shared" si="2"/>
        <v>4041</v>
      </c>
      <c r="V15" s="31">
        <f t="shared" si="3"/>
        <v>42916.852835648147</v>
      </c>
      <c r="W15" s="45" t="str">
        <f t="shared" si="4"/>
        <v>EC</v>
      </c>
      <c r="X15" s="22">
        <f t="shared" si="5"/>
        <v>176</v>
      </c>
      <c r="Y15" s="96" t="str">
        <f t="shared" si="6"/>
        <v>echo {"issue":{"subject":"Early arrival","project_id":79,"tracker_id":40,"status_id":1,"priority_id":2,"assigned_to_id":23,"start_date":"2017-06-30","description":"","custom_fields":[{"id":1,"name":"Subdivision","value":"EC"},{"id":4,"name":"Milepost","value":"4.2961"},{"id":17,"name":"Train ID","value":"176-30"},{"id":16,"name":"Locomotive ID","value":"4041"},{"id":130,"name":"Impact","value":""},{"id":150,"name":"Time of Event (Mountain Time)","value":"14:28:05"},{"id":151,"name":"Denver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 t="shared" si="7"/>
        <v>grep -hrE -A400 "Enforcement Action" /c/Users/stu/AppData/Local/Temp/OnboardLogs/RTDC4041 --include="*4041*201706302*"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"%USERPROFILE%\AppData\Local\Temp\OnboardLogs"\RTDC4041\*4041*201706302* &gt;&gt; 2017-06-30-SliceDisagreementCheck.txt</v>
      </c>
      <c r="AE15" s="145" t="str">
        <f t="shared" si="9"/>
        <v>start /low /b %USERPROFILE%\Documents\GitHub\eaglep3\Utilities\DownloadLogsFromS3.py --loco 4041 --day 2017-06-30</v>
      </c>
      <c r="AF15" s="1"/>
    </row>
    <row r="16" spans="1:32" x14ac:dyDescent="0.25">
      <c r="A16" s="31">
        <v>42916.807743055557</v>
      </c>
      <c r="B16" s="30" t="s">
        <v>366</v>
      </c>
      <c r="C16" s="30" t="s">
        <v>630</v>
      </c>
      <c r="D16" s="30" t="s">
        <v>49</v>
      </c>
      <c r="E16" s="30" t="s">
        <v>187</v>
      </c>
      <c r="F16" s="42">
        <v>230</v>
      </c>
      <c r="G16" s="42">
        <v>281</v>
      </c>
      <c r="H16" s="42">
        <v>58660</v>
      </c>
      <c r="I16" s="42">
        <v>58001</v>
      </c>
      <c r="J16" s="30" t="s">
        <v>188</v>
      </c>
      <c r="K16" s="42">
        <v>58301</v>
      </c>
      <c r="L16" s="131" t="s">
        <v>51</v>
      </c>
      <c r="M16" s="132">
        <f t="shared" si="0"/>
        <v>-158.4</v>
      </c>
      <c r="N16" s="133" t="str">
        <f>VLOOKUP(C16,'Trips&amp;Operators'!$C$1:$G$99999,5,FALSE)</f>
        <v>HOLCOMB KAMDEN</v>
      </c>
      <c r="O16" s="203" t="s">
        <v>180</v>
      </c>
      <c r="P16" s="134" t="s">
        <v>449</v>
      </c>
      <c r="Q16" s="30"/>
      <c r="R16" s="81" t="str">
        <f>VLOOKUP(C16,'Train Runs'!$A$13:$AE$9930,31,0)</f>
        <v>aws s3 cp s3://rtdc.mdm.uploadarchive.raw/RTDC4039/ "%USERPROFILE%\AppData\Local\Temp\OnboardLogs"\RTDC4039\2017-06-30 --exclude "*" --recursive --include "*20170630*" &amp; "%USERPROFILE%\Documents\GitHub\mrs-test-scripts\Headless Mode &amp; Sideloading\WalkAndUnGZ.bat" "%USERPROFILE%\AppData\Local\Temp\OnboardLogs"\RTDC4039\2017-06-30 &amp; aws s3 cp s3://rtdc.mdm.uploadarchive.raw/RTDC4039/ "%USERPROFILE%\AppData\Local\Temp\OnboardLogs"\RTDC4039\2017-07-01 --exclude "*" --recursive --include "*20170701*" &amp; "%USERPROFILE%\Documents\GitHub\mrs-test-scripts\Headless Mode &amp; Sideloading\WalkAndUnGZ.bat" "%USERPROFILE%\AppData\Local\Temp\OnboardLogs"\RTDC4039\2017-07-01</v>
      </c>
      <c r="S16" s="84" t="str">
        <f>VLOOKUP(C16,'Train Runs'!$A$13:$AE$9930,22,0)</f>
        <v>https://d0f6bd738d7f1b3e5a7ca70fe4ff75f0.us-east-1.aws.found.io/app/kibana#/discover/Steve-Slow-Train-Analysis-(2080s-and-2083s)?_g=(refreshInterval:(display:Off,pause:!f,section:0,value:0),time:(from:'2017-06-30T17:52:54-0600',mode:absolute,to:'2017-06-30T20:37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6" s="86" t="str">
        <f t="shared" si="1"/>
        <v>"C:\Program Files (x86)\AstroGrep\AstroGrep.exe" /e /r /s /spath="%USERPROFILE%\AppData\Local\Temp\OnboardLogs" /stypes="*4039*201707010*" /stext=" 01:.+((SYSTEM_STATE.+slice.+state.+changed )|(ment ac)|(multiple cpu faults)|(system.+state.+changed )|(\[timeout)|(PRM\|1\|D)|(kpr)|(kdp)|(train st.+moving)|(\|lc)|(penalty))"</v>
      </c>
      <c r="U16" s="9" t="str">
        <f t="shared" si="2"/>
        <v>4039</v>
      </c>
      <c r="V16" s="31">
        <f t="shared" si="3"/>
        <v>42917.057743055557</v>
      </c>
      <c r="W16" s="45" t="str">
        <f t="shared" si="4"/>
        <v>EC</v>
      </c>
      <c r="X16" s="22">
        <f t="shared" si="5"/>
        <v>216</v>
      </c>
      <c r="Y16" s="96" t="str">
        <f t="shared" si="6"/>
        <v>echo {"issue":{"subject":"Early arrival","project_id":79,"tracker_id":40,"status_id":1,"priority_id":2,"assigned_to_id":23,"start_date":"2017-06-30","description":"","custom_fields":[{"id":1,"name":"Subdivision","value":"EC"},{"id":4,"name":"Milepost","value":"5.8301"},{"id":17,"name":"Train ID","value":"216-30"},{"id":16,"name":"Locomotive ID","value":"4039"},{"id":130,"name":"Impact","value":""},{"id":150,"name":"Time of Event (Mountain Time)","value":"19:23:09"},{"id":151,"name":"Denver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 t="shared" si="7"/>
        <v>grep -hrE -A400 "Enforcement Action" /c/Users/stu/AppData/Local/Temp/OnboardLogs/RTDC4039 --include="*4039*201707010*"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"%USERPROFILE%\AppData\Local\Temp\OnboardLogs"\RTDC4039\*4039*201707010* &gt;&gt; 2017-06-30-SliceDisagreementCheck.txt</v>
      </c>
      <c r="AE16" s="145" t="str">
        <f t="shared" si="9"/>
        <v>start /low /b %USERPROFILE%\Documents\GitHub\eaglep3\Utilities\DownloadLogsFromS3.py --loco 4039 --day 2017-07-01</v>
      </c>
      <c r="AF16" s="1"/>
    </row>
    <row r="17" spans="1:32" x14ac:dyDescent="0.25">
      <c r="A17" s="31">
        <v>42916.754918981482</v>
      </c>
      <c r="B17" s="30" t="s">
        <v>408</v>
      </c>
      <c r="C17" s="30" t="s">
        <v>624</v>
      </c>
      <c r="D17" s="30" t="s">
        <v>49</v>
      </c>
      <c r="E17" s="30" t="s">
        <v>187</v>
      </c>
      <c r="F17" s="42">
        <v>280</v>
      </c>
      <c r="G17" s="42">
        <v>331</v>
      </c>
      <c r="H17" s="42">
        <v>58506</v>
      </c>
      <c r="I17" s="42">
        <v>57720</v>
      </c>
      <c r="J17" s="30" t="s">
        <v>188</v>
      </c>
      <c r="K17" s="42">
        <v>58301</v>
      </c>
      <c r="L17" s="131" t="s">
        <v>51</v>
      </c>
      <c r="M17" s="132">
        <f t="shared" si="0"/>
        <v>-306.76799999999997</v>
      </c>
      <c r="N17" s="133" t="str">
        <f>VLOOKUP(C17,'Trips&amp;Operators'!$C$1:$G$99999,5,FALSE)</f>
        <v>STEWART MICHAEL</v>
      </c>
      <c r="O17" s="203" t="s">
        <v>180</v>
      </c>
      <c r="P17" s="134" t="s">
        <v>449</v>
      </c>
      <c r="Q17" s="30"/>
      <c r="R17" s="81" t="str">
        <f>VLOOKUP(C17,'Train Runs'!$A$13:$AE$9930,31,0)</f>
        <v>aws s3 cp s3://rtdc.mdm.uploadarchive.raw/RTDC4001/ "%USERPROFILE%\AppData\Local\Temp\OnboardLogs"\RTDC4001\2017-06-30 --exclude "*" --recursive --include "*20170630*" &amp; "%USERPROFILE%\Documents\GitHub\mrs-test-scripts\Headless Mode &amp; Sideloading\WalkAndUnGZ.bat" "%USERPROFILE%\AppData\Local\Temp\OnboardLogs"\RTDC4001\2017-06-30 &amp; aws s3 cp s3://rtdc.mdm.uploadarchive.raw/RTDC4001/ "%USERPROFILE%\AppData\Local\Temp\OnboardLogs"\RTDC4001\2017-07-01 --exclude "*" --recursive --include "*20170701*" &amp; "%USERPROFILE%\Documents\GitHub\mrs-test-scripts\Headless Mode &amp; Sideloading\WalkAndUnGZ.bat" "%USERPROFILE%\AppData\Local\Temp\OnboardLogs"\RTDC4001\2017-07-01</v>
      </c>
      <c r="S17" s="84" t="str">
        <f>VLOOKUP(C17,'Train Runs'!$A$13:$AE$9930,22,0)</f>
        <v>https://d0f6bd738d7f1b3e5a7ca70fe4ff75f0.us-east-1.aws.found.io/app/kibana#/discover/Steve-Slow-Train-Analysis-(2080s-and-2083s)?_g=(refreshInterval:(display:Off,pause:!f,section:0,value:0),time:(from:'2017-06-30T16:38:33-0600',mode:absolute,to:'2017-06-30T19:21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17" s="86" t="str">
        <f t="shared" si="1"/>
        <v>"C:\Program Files (x86)\AstroGrep\AstroGrep.exe" /e /r /s /spath="%USERPROFILE%\AppData\Local\Temp\OnboardLogs" /stypes="*4001*201707010*" /stext=" 00:.+((SYSTEM_STATE.+slice.+state.+changed )|(ment ac)|(multiple cpu faults)|(system.+state.+changed )|(\[timeout)|(PRM\|1\|D)|(kpr)|(kdp)|(train st.+moving)|(\|lc)|(penalty))"</v>
      </c>
      <c r="U17" s="9" t="str">
        <f t="shared" si="2"/>
        <v>4001</v>
      </c>
      <c r="V17" s="31">
        <f t="shared" si="3"/>
        <v>42917.004918981482</v>
      </c>
      <c r="W17" s="45" t="str">
        <f t="shared" si="4"/>
        <v>EC</v>
      </c>
      <c r="X17" s="22">
        <f t="shared" si="5"/>
        <v>206</v>
      </c>
      <c r="Y17" s="96" t="str">
        <f t="shared" si="6"/>
        <v>echo {"issue":{"subject":"Early arrival","project_id":79,"tracker_id":40,"status_id":1,"priority_id":2,"assigned_to_id":23,"start_date":"2017-06-30","description":"","custom_fields":[{"id":1,"name":"Subdivision","value":"EC"},{"id":4,"name":"Milepost","value":"5.8301"},{"id":17,"name":"Train ID","value":"206-30"},{"id":16,"name":"Locomotive ID","value":"4001"},{"id":130,"name":"Impact","value":""},{"id":150,"name":"Time of Event (Mountain Time)","value":"18:07:05"},{"id":151,"name":"Denver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 t="shared" si="7"/>
        <v>grep -hrE -A400 "Enforcement Action" /c/Users/stu/AppData/Local/Temp/OnboardLogs/RTDC4001 --include="*4001*201707010*"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"%USERPROFILE%\AppData\Local\Temp\OnboardLogs"\RTDC4001\*4001*201707010* &gt;&gt; 2017-06-30-SliceDisagreementCheck.txt</v>
      </c>
      <c r="AE17" s="145" t="str">
        <f t="shared" si="9"/>
        <v>start /low /b %USERPROFILE%\Documents\GitHub\eaglep3\Utilities\DownloadLogsFromS3.py --loco 4001 --day 2017-07-01</v>
      </c>
      <c r="AF17" s="1"/>
    </row>
    <row r="18" spans="1:32" x14ac:dyDescent="0.25">
      <c r="A18" s="31">
        <v>42916.353321759256</v>
      </c>
      <c r="B18" s="30" t="s">
        <v>592</v>
      </c>
      <c r="C18" s="30" t="s">
        <v>593</v>
      </c>
      <c r="D18" s="30" t="s">
        <v>49</v>
      </c>
      <c r="E18" s="30" t="s">
        <v>187</v>
      </c>
      <c r="F18" s="42">
        <v>0</v>
      </c>
      <c r="G18" s="42">
        <v>520</v>
      </c>
      <c r="H18" s="42">
        <v>58136</v>
      </c>
      <c r="I18" s="42">
        <v>59352</v>
      </c>
      <c r="J18" s="30" t="s">
        <v>188</v>
      </c>
      <c r="K18" s="42">
        <v>58783</v>
      </c>
      <c r="L18" s="131" t="s">
        <v>50</v>
      </c>
      <c r="M18" s="132">
        <f t="shared" si="0"/>
        <v>-300.43200000000002</v>
      </c>
      <c r="N18" s="133" t="str">
        <f>VLOOKUP(C18,'Trips&amp;Operators'!$C$1:$G$99999,5,FALSE)</f>
        <v>SPECTOR MICHAEL</v>
      </c>
      <c r="O18" s="203" t="s">
        <v>180</v>
      </c>
      <c r="P18" s="134" t="s">
        <v>449</v>
      </c>
      <c r="Q18" s="30"/>
      <c r="R18" s="81" t="str">
        <f>VLOOKUP(C18,'Train Runs'!$A$13:$AE$9930,31,0)</f>
        <v>aws s3 cp s3://rtdc.mdm.uploadarchive.raw/RTDC4026/ "%USERPROFILE%\AppData\Local\Temp\OnboardLogs"\RTDC4026\2017-06-30 --exclude "*" --recursive --include "*20170630*" &amp; "%USERPROFILE%\Documents\GitHub\mrs-test-scripts\Headless Mode &amp; Sideloading\WalkAndUnGZ.bat" "%USERPROFILE%\AppData\Local\Temp\OnboardLogs"\RTDC4026\2017-06-30 &amp; aws s3 cp s3://rtdc.mdm.uploadarchive.raw/RTDC4026/ "%USERPROFILE%\AppData\Local\Temp\OnboardLogs"\RTDC4026\2017-07-01 --exclude "*" --recursive --include "*20170701*" &amp; "%USERPROFILE%\Documents\GitHub\mrs-test-scripts\Headless Mode &amp; Sideloading\WalkAndUnGZ.bat" "%USERPROFILE%\AppData\Local\Temp\OnboardLogs"\RTDC4026\2017-07-01</v>
      </c>
      <c r="S18" s="84" t="str">
        <f>VLOOKUP(C18,'Train Runs'!$A$13:$AE$9930,22,0)</f>
        <v>https://d0f6bd738d7f1b3e5a7ca70fe4ff75f0.us-east-1.aws.found.io/app/kibana#/discover/Steve-Slow-Train-Analysis-(2080s-and-2083s)?_g=(refreshInterval:(display:Off,pause:!f,section:0,value:0),time:(from:'2017-06-30T07:04:12-0600',mode:absolute,to:'2017-06-30T09:54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18" s="86" t="str">
        <f t="shared" si="1"/>
        <v>"C:\Program Files (x86)\AstroGrep\AstroGrep.exe" /e /r /s /spath="%USERPROFILE%\AppData\Local\Temp\OnboardLogs" /stypes="*4026*201706301*" /stext=" 14:.+((SYSTEM_STATE.+slice.+state.+changed )|(ment ac)|(multiple cpu faults)|(system.+state.+changed )|(\[timeout)|(PRM\|1\|D)|(kpr)|(kdp)|(train st.+moving)|(\|lc)|(penalty))"</v>
      </c>
      <c r="U18" s="9" t="str">
        <f t="shared" si="2"/>
        <v>4026</v>
      </c>
      <c r="V18" s="31">
        <f t="shared" si="3"/>
        <v>42916.603321759256</v>
      </c>
      <c r="W18" s="45" t="str">
        <f t="shared" si="4"/>
        <v>EC</v>
      </c>
      <c r="X18" s="22">
        <f t="shared" si="5"/>
        <v>137</v>
      </c>
      <c r="Y18" s="96" t="str">
        <f t="shared" si="6"/>
        <v>echo {"issue":{"subject":"Early arrival","project_id":79,"tracker_id":40,"status_id":1,"priority_id":2,"assigned_to_id":23,"start_date":"2017-06-30","description":"","custom_fields":[{"id":1,"name":"Subdivision","value":"EC"},{"id":4,"name":"Milepost","value":"5.8783"},{"id":17,"name":"Train ID","value":"137-30"},{"id":16,"name":"Locomotive ID","value":"4026"},{"id":130,"name":"Impact","value":""},{"id":150,"name":"Time of Event (Mountain Time)","value":"08:28:47"},{"id":151,"name":"Denver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 t="shared" si="7"/>
        <v>grep -hrE -A400 "Enforcement Action" /c/Users/stu/AppData/Local/Temp/OnboardLogs/RTDC4026 --include="*4026*201706301*"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"%USERPROFILE%\AppData\Local\Temp\OnboardLogs"\RTDC4026\*4026*201706301* &gt;&gt; 2017-06-30-SliceDisagreementCheck.txt</v>
      </c>
      <c r="AE18" s="145" t="str">
        <f t="shared" si="9"/>
        <v>start /low /b %USERPROFILE%\Documents\GitHub\eaglep3\Utilities\DownloadLogsFromS3.py --loco 4026 --day 2017-06-30</v>
      </c>
      <c r="AF18" s="1"/>
    </row>
    <row r="19" spans="1:32" x14ac:dyDescent="0.25">
      <c r="A19" s="31">
        <v>42916.75980324074</v>
      </c>
      <c r="B19" s="30" t="s">
        <v>369</v>
      </c>
      <c r="C19" s="30" t="s">
        <v>623</v>
      </c>
      <c r="D19" s="30" t="s">
        <v>49</v>
      </c>
      <c r="E19" s="30" t="s">
        <v>187</v>
      </c>
      <c r="F19" s="42">
        <v>0</v>
      </c>
      <c r="G19" s="42">
        <v>426</v>
      </c>
      <c r="H19" s="42">
        <v>62654</v>
      </c>
      <c r="I19" s="42">
        <v>63624</v>
      </c>
      <c r="J19" s="30" t="s">
        <v>188</v>
      </c>
      <c r="K19" s="42">
        <v>63069</v>
      </c>
      <c r="L19" s="131" t="s">
        <v>50</v>
      </c>
      <c r="M19" s="132">
        <f t="shared" si="0"/>
        <v>-293.04000000000002</v>
      </c>
      <c r="N19" s="133" t="str">
        <f>VLOOKUP(C19,'Trips&amp;Operators'!$C$1:$G$99999,5,FALSE)</f>
        <v>HOLCOMB KAMDEN</v>
      </c>
      <c r="O19" s="203" t="s">
        <v>180</v>
      </c>
      <c r="P19" s="134" t="s">
        <v>449</v>
      </c>
      <c r="Q19" s="30"/>
      <c r="R19" s="81" t="str">
        <f>VLOOKUP(C19,'Train Runs'!$A$13:$AE$9930,31,0)</f>
        <v>aws s3 cp s3://rtdc.mdm.uploadarchive.raw/RTDC4040/ "%USERPROFILE%\AppData\Local\Temp\OnboardLogs"\RTDC4040\2017-06-30 --exclude "*" --recursive --include "*20170630*" &amp; "%USERPROFILE%\Documents\GitHub\mrs-test-scripts\Headless Mode &amp; Sideloading\WalkAndUnGZ.bat" "%USERPROFILE%\AppData\Local\Temp\OnboardLogs"\RTDC4040\2017-06-30 &amp; aws s3 cp s3://rtdc.mdm.uploadarchive.raw/RTDC4040/ "%USERPROFILE%\AppData\Local\Temp\OnboardLogs"\RTDC4040\2017-07-01 --exclude "*" --recursive --include "*20170701*" &amp; "%USERPROFILE%\Documents\GitHub\mrs-test-scripts\Headless Mode &amp; Sideloading\WalkAndUnGZ.bat" "%USERPROFILE%\AppData\Local\Temp\OnboardLogs"\RTDC4040\2017-07-01</v>
      </c>
      <c r="S19" s="84" t="str">
        <f>VLOOKUP(C19,'Train Runs'!$A$13:$AE$9930,22,0)</f>
        <v>https://d0f6bd738d7f1b3e5a7ca70fe4ff75f0.us-east-1.aws.found.io/app/kibana#/discover/Steve-Slow-Train-Analysis-(2080s-and-2083s)?_g=(refreshInterval:(display:Off,pause:!f,section:0,value:0),time:(from:'2017-06-30T16:56:29-0600',mode:absolute,to:'2017-06-30T19:37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19" s="86" t="str">
        <f t="shared" si="1"/>
        <v>"C:\Program Files (x86)\AstroGrep\AstroGrep.exe" /e /r /s /spath="%USERPROFILE%\AppData\Local\Temp\OnboardLogs" /stypes="*4040*201707010*" /stext=" 00:.+((SYSTEM_STATE.+slice.+state.+changed )|(ment ac)|(multiple cpu faults)|(system.+state.+changed )|(\[timeout)|(PRM\|1\|D)|(kpr)|(kdp)|(train st.+moving)|(\|lc)|(penalty))"</v>
      </c>
      <c r="U19" s="9" t="str">
        <f t="shared" si="2"/>
        <v>4040</v>
      </c>
      <c r="V19" s="31">
        <f t="shared" si="3"/>
        <v>42917.00980324074</v>
      </c>
      <c r="W19" s="45" t="str">
        <f t="shared" si="4"/>
        <v>EC</v>
      </c>
      <c r="X19" s="22">
        <f t="shared" si="5"/>
        <v>215</v>
      </c>
      <c r="Y19" s="96" t="str">
        <f t="shared" si="6"/>
        <v>echo {"issue":{"subject":"Early arrival","project_id":79,"tracker_id":40,"status_id":1,"priority_id":2,"assigned_to_id":23,"start_date":"2017-06-30","description":"","custom_fields":[{"id":1,"name":"Subdivision","value":"EC"},{"id":4,"name":"Milepost","value":"6.3069"},{"id":17,"name":"Train ID","value":"215-30"},{"id":16,"name":"Locomotive ID","value":"4040"},{"id":130,"name":"Impact","value":""},{"id":150,"name":"Time of Event (Mountain Time)","value":"18:14:07"},{"id":151,"name":"Denver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 t="shared" si="7"/>
        <v>grep -hrE -A400 "Enforcement Action" /c/Users/stu/AppData/Local/Temp/OnboardLogs/RTDC4040 --include="*4040*201707010*"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"%USERPROFILE%\AppData\Local\Temp\OnboardLogs"\RTDC4040\*4040*201707010* &gt;&gt; 2017-06-30-SliceDisagreementCheck.txt</v>
      </c>
      <c r="AE19" s="145" t="str">
        <f t="shared" si="9"/>
        <v>start /low /b %USERPROFILE%\Documents\GitHub\eaglep3\Utilities\DownloadLogsFromS3.py --loco 4040 --day 2017-07-01</v>
      </c>
      <c r="AF19" s="1"/>
    </row>
    <row r="20" spans="1:32" x14ac:dyDescent="0.25">
      <c r="A20" s="31">
        <v>42916.770671296297</v>
      </c>
      <c r="B20" s="30" t="s">
        <v>355</v>
      </c>
      <c r="C20" s="30" t="s">
        <v>625</v>
      </c>
      <c r="D20" s="30" t="s">
        <v>49</v>
      </c>
      <c r="E20" s="30" t="s">
        <v>187</v>
      </c>
      <c r="F20" s="42">
        <v>0</v>
      </c>
      <c r="G20" s="42">
        <v>502</v>
      </c>
      <c r="H20" s="42">
        <v>62491</v>
      </c>
      <c r="I20" s="42">
        <v>63861</v>
      </c>
      <c r="J20" s="30" t="s">
        <v>188</v>
      </c>
      <c r="K20" s="42">
        <v>63069</v>
      </c>
      <c r="L20" s="131" t="s">
        <v>50</v>
      </c>
      <c r="M20" s="132">
        <f t="shared" si="0"/>
        <v>-418.17599999999999</v>
      </c>
      <c r="N20" s="133" t="str">
        <f>VLOOKUP(C20,'Trips&amp;Operators'!$C$1:$G$99999,5,FALSE)</f>
        <v>PERKINS DARREN</v>
      </c>
      <c r="O20" s="203" t="s">
        <v>180</v>
      </c>
      <c r="P20" s="134" t="s">
        <v>449</v>
      </c>
      <c r="Q20" s="30"/>
      <c r="R20" s="81" t="str">
        <f>VLOOKUP(C20,'Train Runs'!$A$13:$AE$9930,31,0)</f>
        <v>aws s3 cp s3://rtdc.mdm.uploadarchive.raw/RTDC4042/ "%USERPROFILE%\AppData\Local\Temp\OnboardLogs"\RTDC4042\2017-06-30 --exclude "*" --recursive --include "*20170630*" &amp; "%USERPROFILE%\Documents\GitHub\mrs-test-scripts\Headless Mode &amp; Sideloading\WalkAndUnGZ.bat" "%USERPROFILE%\AppData\Local\Temp\OnboardLogs"\RTDC4042\2017-06-30 &amp; aws s3 cp s3://rtdc.mdm.uploadarchive.raw/RTDC4042/ "%USERPROFILE%\AppData\Local\Temp\OnboardLogs"\RTDC4042\2017-07-01 --exclude "*" --recursive --include "*20170701*" &amp; "%USERPROFILE%\Documents\GitHub\mrs-test-scripts\Headless Mode &amp; Sideloading\WalkAndUnGZ.bat" "%USERPROFILE%\AppData\Local\Temp\OnboardLogs"\RTDC4042\2017-07-01</v>
      </c>
      <c r="S20" s="84" t="str">
        <f>VLOOKUP(C20,'Train Runs'!$A$13:$AE$9930,22,0)</f>
        <v>https://d0f6bd738d7f1b3e5a7ca70fe4ff75f0.us-east-1.aws.found.io/app/kibana#/discover/Steve-Slow-Train-Analysis-(2080s-and-2083s)?_g=(refreshInterval:(display:Off,pause:!f,section:0,value:0),time:(from:'2017-06-30T17:10:13-0600',mode:absolute,to:'2017-06-30T19:52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20" s="86" t="str">
        <f t="shared" si="1"/>
        <v>"C:\Program Files (x86)\AstroGrep\AstroGrep.exe" /e /r /s /spath="%USERPROFILE%\AppData\Local\Temp\OnboardLogs" /stypes="*4042*201707010*" /stext=" 00:.+((SYSTEM_STATE.+slice.+state.+changed )|(ment ac)|(multiple cpu faults)|(system.+state.+changed )|(\[timeout)|(PRM\|1\|D)|(kpr)|(kdp)|(train st.+moving)|(\|lc)|(penalty))"</v>
      </c>
      <c r="U20" s="9" t="str">
        <f t="shared" si="2"/>
        <v>4042</v>
      </c>
      <c r="V20" s="31">
        <f t="shared" si="3"/>
        <v>42917.020671296297</v>
      </c>
      <c r="W20" s="45" t="str">
        <f t="shared" si="4"/>
        <v>EC</v>
      </c>
      <c r="X20" s="22">
        <f t="shared" si="5"/>
        <v>217</v>
      </c>
      <c r="Y20" s="96" t="str">
        <f t="shared" si="6"/>
        <v>echo {"issue":{"subject":"Early arrival","project_id":79,"tracker_id":40,"status_id":1,"priority_id":2,"assigned_to_id":23,"start_date":"2017-06-30","description":"","custom_fields":[{"id":1,"name":"Subdivision","value":"EC"},{"id":4,"name":"Milepost","value":"6.3069"},{"id":17,"name":"Train ID","value":"217-30"},{"id":16,"name":"Locomotive ID","value":"4042"},{"id":130,"name":"Impact","value":""},{"id":150,"name":"Time of Event (Mountain Time)","value":"18:29:46"},{"id":151,"name":"Denver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 t="shared" si="7"/>
        <v>grep -hrE -A400 "Enforcement Action" /c/Users/stu/AppData/Local/Temp/OnboardLogs/RTDC4042 --include="*4042*201707010*"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"%USERPROFILE%\AppData\Local\Temp\OnboardLogs"\RTDC4042\*4042*201707010* &gt;&gt; 2017-06-30-SliceDisagreementCheck.txt</v>
      </c>
      <c r="AE20" s="145" t="str">
        <f t="shared" si="9"/>
        <v>start /low /b %USERPROFILE%\Documents\GitHub\eaglep3\Utilities\DownloadLogsFromS3.py --loco 4042 --day 2017-07-01</v>
      </c>
      <c r="AF20" s="1"/>
    </row>
    <row r="21" spans="1:32" x14ac:dyDescent="0.25">
      <c r="A21" s="31">
        <v>42916.600231481483</v>
      </c>
      <c r="B21" s="30" t="s">
        <v>601</v>
      </c>
      <c r="C21" s="30" t="s">
        <v>608</v>
      </c>
      <c r="D21" s="30" t="s">
        <v>49</v>
      </c>
      <c r="E21" s="30" t="s">
        <v>187</v>
      </c>
      <c r="F21" s="42">
        <v>110</v>
      </c>
      <c r="G21" s="42">
        <v>160</v>
      </c>
      <c r="H21" s="42">
        <v>63913</v>
      </c>
      <c r="I21" s="42">
        <v>63733</v>
      </c>
      <c r="J21" s="30" t="s">
        <v>188</v>
      </c>
      <c r="K21" s="42">
        <v>63309</v>
      </c>
      <c r="L21" s="131" t="s">
        <v>51</v>
      </c>
      <c r="M21" s="132">
        <f t="shared" si="0"/>
        <v>223.87200000000001</v>
      </c>
      <c r="N21" s="133" t="str">
        <f>VLOOKUP(C21,'Trips&amp;Operators'!$C$1:$G$99999,5,FALSE)</f>
        <v>BRANDNER MELINDA</v>
      </c>
      <c r="O21" s="203" t="s">
        <v>180</v>
      </c>
      <c r="P21" s="134" t="s">
        <v>449</v>
      </c>
      <c r="Q21" s="30"/>
      <c r="R21" s="81" t="str">
        <f>VLOOKUP(C21,'Train Runs'!$A$13:$AE$9930,31,0)</f>
        <v>aws s3 cp s3://rtdc.mdm.uploadarchive.raw/RTDC4041/ "%USERPROFILE%\AppData\Local\Temp\OnboardLogs"\RTDC4041\2017-06-30 --exclude "*" --recursive --include "*20170630*" &amp; "%USERPROFILE%\Documents\GitHub\mrs-test-scripts\Headless Mode &amp; Sideloading\WalkAndUnGZ.bat" "%USERPROFILE%\AppData\Local\Temp\OnboardLogs"\RTDC4041\2017-06-30 &amp; aws s3 cp s3://rtdc.mdm.uploadarchive.raw/RTDC4041/ "%USERPROFILE%\AppData\Local\Temp\OnboardLogs"\RTDC4041\2017-07-01 --exclude "*" --recursive --include "*20170701*" &amp; "%USERPROFILE%\Documents\GitHub\mrs-test-scripts\Headless Mode &amp; Sideloading\WalkAndUnGZ.bat" "%USERPROFILE%\AppData\Local\Temp\OnboardLogs"\RTDC4041\2017-07-01</v>
      </c>
      <c r="S21" s="84" t="str">
        <f>VLOOKUP(C21,'Train Runs'!$A$13:$AE$9930,22,0)</f>
        <v>https://d0f6bd738d7f1b3e5a7ca70fe4ff75f0.us-east-1.aws.found.io/app/kibana#/discover/Steve-Slow-Train-Analysis-(2080s-and-2083s)?_g=(refreshInterval:(display:Off,pause:!f,section:0,value:0),time:(from:'2017-06-30T12:58:02-0600',mode:absolute,to:'2017-06-30T15:43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1" s="86" t="str">
        <f t="shared" si="1"/>
        <v>"C:\Program Files (x86)\AstroGrep\AstroGrep.exe" /e /r /s /spath="%USERPROFILE%\AppData\Local\Temp\OnboardLogs" /stypes="*4041*201706302*" /stext=" 20:.+((SYSTEM_STATE.+slice.+state.+changed )|(ment ac)|(multiple cpu faults)|(system.+state.+changed )|(\[timeout)|(PRM\|1\|D)|(kpr)|(kdp)|(train st.+moving)|(\|lc)|(penalty))"</v>
      </c>
      <c r="U21" s="9" t="str">
        <f t="shared" si="2"/>
        <v>4041</v>
      </c>
      <c r="V21" s="31">
        <f t="shared" si="3"/>
        <v>42916.850231481483</v>
      </c>
      <c r="W21" s="45" t="str">
        <f t="shared" si="4"/>
        <v>EC</v>
      </c>
      <c r="X21" s="22">
        <f t="shared" si="5"/>
        <v>176</v>
      </c>
      <c r="Y21" s="96" t="str">
        <f t="shared" si="6"/>
        <v>echo {"issue":{"subject":"Early arrival","project_id":79,"tracker_id":40,"status_id":1,"priority_id":2,"assigned_to_id":23,"start_date":"2017-06-30","description":"","custom_fields":[{"id":1,"name":"Subdivision","value":"EC"},{"id":4,"name":"Milepost","value":"6.3309"},{"id":17,"name":"Train ID","value":"176-30"},{"id":16,"name":"Locomotive ID","value":"4041"},{"id":130,"name":"Impact","value":""},{"id":150,"name":"Time of Event (Mountain Time)","value":"14:24:20"},{"id":151,"name":"Denver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 t="shared" si="7"/>
        <v>grep -hrE -A400 "Enforcement Action" /c/Users/stu/AppData/Local/Temp/OnboardLogs/RTDC4041 --include="*4041*201706302*"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"%USERPROFILE%\AppData\Local\Temp\OnboardLogs"\RTDC4041\*4041*201706302* &gt;&gt; 2017-06-30-SliceDisagreementCheck.txt</v>
      </c>
      <c r="AE21" s="145" t="str">
        <f t="shared" si="9"/>
        <v>start /low /b %USERPROFILE%\Documents\GitHub\eaglep3\Utilities\DownloadLogsFromS3.py --loco 4041 --day 2017-06-30</v>
      </c>
      <c r="AF21" s="1"/>
    </row>
    <row r="22" spans="1:32" x14ac:dyDescent="0.25">
      <c r="A22" s="31">
        <v>42916.732569444444</v>
      </c>
      <c r="B22" s="30" t="s">
        <v>366</v>
      </c>
      <c r="C22" s="30" t="s">
        <v>621</v>
      </c>
      <c r="D22" s="30" t="s">
        <v>49</v>
      </c>
      <c r="E22" s="30" t="s">
        <v>187</v>
      </c>
      <c r="F22" s="42">
        <v>110</v>
      </c>
      <c r="G22" s="42">
        <v>361</v>
      </c>
      <c r="H22" s="42">
        <v>65121</v>
      </c>
      <c r="I22" s="42">
        <v>64241</v>
      </c>
      <c r="J22" s="30" t="s">
        <v>188</v>
      </c>
      <c r="K22" s="42">
        <v>63309</v>
      </c>
      <c r="L22" s="131" t="s">
        <v>51</v>
      </c>
      <c r="M22" s="132">
        <f t="shared" si="0"/>
        <v>492.096</v>
      </c>
      <c r="N22" s="133" t="str">
        <f>VLOOKUP(C22,'Trips&amp;Operators'!$C$1:$G$99999,5,FALSE)</f>
        <v>HOLCOMB KAMDEN</v>
      </c>
      <c r="O22" s="203" t="s">
        <v>180</v>
      </c>
      <c r="P22" s="134" t="s">
        <v>449</v>
      </c>
      <c r="Q22" s="30"/>
      <c r="R22" s="81" t="str">
        <f>VLOOKUP(C22,'Train Runs'!$A$13:$AE$9930,31,0)</f>
        <v>aws s3 cp s3://rtdc.mdm.uploadarchive.raw/RTDC4039/ "%USERPROFILE%\AppData\Local\Temp\OnboardLogs"\RTDC4039\2017-06-30 --exclude "*" --recursive --include "*20170630*" &amp; "%USERPROFILE%\Documents\GitHub\mrs-test-scripts\Headless Mode &amp; Sideloading\WalkAndUnGZ.bat" "%USERPROFILE%\AppData\Local\Temp\OnboardLogs"\RTDC4039\2017-06-30 &amp; aws s3 cp s3://rtdc.mdm.uploadarchive.raw/RTDC4039/ "%USERPROFILE%\AppData\Local\Temp\OnboardLogs"\RTDC4039\2017-07-01 --exclude "*" --recursive --include "*20170701*" &amp; "%USERPROFILE%\Documents\GitHub\mrs-test-scripts\Headless Mode &amp; Sideloading\WalkAndUnGZ.bat" "%USERPROFILE%\AppData\Local\Temp\OnboardLogs"\RTDC4039\2017-07-01</v>
      </c>
      <c r="S22" s="84" t="str">
        <f>VLOOKUP(C22,'Train Runs'!$A$13:$AE$9930,22,0)</f>
        <v>https://d0f6bd738d7f1b3e5a7ca70fe4ff75f0.us-east-1.aws.found.io/app/kibana#/discover/Steve-Slow-Train-Analysis-(2080s-and-2083s)?_g=(refreshInterval:(display:Off,pause:!f,section:0,value:0),time:(from:'2017-06-30T16:07:59-0600',mode:absolute,to:'2017-06-30T18:51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22" s="86" t="str">
        <f t="shared" si="1"/>
        <v>"C:\Program Files (x86)\AstroGrep\AstroGrep.exe" /e /r /s /spath="%USERPROFILE%\AppData\Local\Temp\OnboardLogs" /stypes="*4039*201706302*" /stext=" 23:.+((SYSTEM_STATE.+slice.+state.+changed )|(ment ac)|(multiple cpu faults)|(system.+state.+changed )|(\[timeout)|(PRM\|1\|D)|(kpr)|(kdp)|(train st.+moving)|(\|lc)|(penalty))"</v>
      </c>
      <c r="U22" s="9" t="str">
        <f t="shared" si="2"/>
        <v>4039</v>
      </c>
      <c r="V22" s="31">
        <f t="shared" si="3"/>
        <v>42916.982569444444</v>
      </c>
      <c r="W22" s="45" t="str">
        <f t="shared" si="4"/>
        <v>EC</v>
      </c>
      <c r="X22" s="22">
        <f t="shared" si="5"/>
        <v>202</v>
      </c>
      <c r="Y22" s="96" t="str">
        <f t="shared" si="6"/>
        <v>echo {"issue":{"subject":"Early arrival","project_id":79,"tracker_id":40,"status_id":1,"priority_id":2,"assigned_to_id":23,"start_date":"2017-06-30","description":"","custom_fields":[{"id":1,"name":"Subdivision","value":"EC"},{"id":4,"name":"Milepost","value":"6.3309"},{"id":17,"name":"Train ID","value":"202-30"},{"id":16,"name":"Locomotive ID","value":"4039"},{"id":130,"name":"Impact","value":""},{"id":150,"name":"Time of Event (Mountain Time)","value":"17:34:54"},{"id":151,"name":"Denver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 t="shared" si="7"/>
        <v>grep -hrE -A400 "Enforcement Action" /c/Users/stu/AppData/Local/Temp/OnboardLogs/RTDC4039 --include="*4039*201706302*"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"%USERPROFILE%\AppData\Local\Temp\OnboardLogs"\RTDC4039\*4039*201706302* &gt;&gt; 2017-06-30-SliceDisagreementCheck.txt</v>
      </c>
      <c r="AE22" s="145" t="str">
        <f t="shared" si="9"/>
        <v>start /low /b %USERPROFILE%\Documents\GitHub\eaglep3\Utilities\DownloadLogsFromS3.py --loco 4039 --day 2017-06-30</v>
      </c>
      <c r="AF22" s="1"/>
    </row>
    <row r="23" spans="1:32" x14ac:dyDescent="0.25">
      <c r="A23" s="31">
        <v>42916.430034722223</v>
      </c>
      <c r="B23" s="30" t="s">
        <v>457</v>
      </c>
      <c r="C23" s="30" t="s">
        <v>597</v>
      </c>
      <c r="D23" s="30" t="s">
        <v>49</v>
      </c>
      <c r="E23" s="30" t="s">
        <v>187</v>
      </c>
      <c r="F23" s="42">
        <v>430</v>
      </c>
      <c r="G23" s="42">
        <v>485</v>
      </c>
      <c r="H23" s="42">
        <v>79615</v>
      </c>
      <c r="I23" s="42">
        <v>78283</v>
      </c>
      <c r="J23" s="30" t="s">
        <v>188</v>
      </c>
      <c r="K23" s="42">
        <v>78469</v>
      </c>
      <c r="L23" s="131" t="s">
        <v>51</v>
      </c>
      <c r="M23" s="132">
        <f t="shared" si="0"/>
        <v>-98.207999999999998</v>
      </c>
      <c r="N23" s="133" t="str">
        <f>VLOOKUP(C23,'Trips&amp;Operators'!$C$1:$G$99999,5,FALSE)</f>
        <v>CUSHING HARRY</v>
      </c>
      <c r="O23" s="203" t="s">
        <v>180</v>
      </c>
      <c r="P23" s="134" t="s">
        <v>449</v>
      </c>
      <c r="Q23" s="30"/>
      <c r="R23" s="81" t="str">
        <f>VLOOKUP(C23,'Train Runs'!$A$13:$AE$9930,31,0)</f>
        <v>aws s3 cp s3://rtdc.mdm.uploadarchive.raw/RTDC4031/ "%USERPROFILE%\AppData\Local\Temp\OnboardLogs"\RTDC4031\2017-06-30 --exclude "*" --recursive --include "*20170630*" &amp; "%USERPROFILE%\Documents\GitHub\mrs-test-scripts\Headless Mode &amp; Sideloading\WalkAndUnGZ.bat" "%USERPROFILE%\AppData\Local\Temp\OnboardLogs"\RTDC4031\2017-06-30 &amp; aws s3 cp s3://rtdc.mdm.uploadarchive.raw/RTDC4031/ "%USERPROFILE%\AppData\Local\Temp\OnboardLogs"\RTDC4031\2017-07-01 --exclude "*" --recursive --include "*20170701*" &amp; "%USERPROFILE%\Documents\GitHub\mrs-test-scripts\Headless Mode &amp; Sideloading\WalkAndUnGZ.bat" "%USERPROFILE%\AppData\Local\Temp\OnboardLogs"\RTDC4031\2017-07-01</v>
      </c>
      <c r="S23" s="84" t="str">
        <f>VLOOKUP(C23,'Train Runs'!$A$13:$AE$9930,22,0)</f>
        <v>https://d0f6bd738d7f1b3e5a7ca70fe4ff75f0.us-east-1.aws.found.io/app/kibana#/discover/Steve-Slow-Train-Analysis-(2080s-and-2083s)?_g=(refreshInterval:(display:Off,pause:!f,section:0,value:0),time:(from:'2017-06-30T08:52:37-0600',mode:absolute,to:'2017-06-30T11:38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23" s="86" t="str">
        <f t="shared" si="1"/>
        <v>"C:\Program Files (x86)\AstroGrep\AstroGrep.exe" /e /r /s /spath="%USERPROFILE%\AppData\Local\Temp\OnboardLogs" /stypes="*4031*201706301*" /stext=" 16:.+((SYSTEM_STATE.+slice.+state.+changed )|(ment ac)|(multiple cpu faults)|(system.+state.+changed )|(\[timeout)|(PRM\|1\|D)|(kpr)|(kdp)|(train st.+moving)|(\|lc)|(penalty))"</v>
      </c>
      <c r="U23" s="9" t="str">
        <f t="shared" si="2"/>
        <v>4031</v>
      </c>
      <c r="V23" s="31">
        <f t="shared" si="3"/>
        <v>42916.680034722223</v>
      </c>
      <c r="W23" s="45" t="str">
        <f t="shared" si="4"/>
        <v>EC</v>
      </c>
      <c r="X23" s="22">
        <f t="shared" si="5"/>
        <v>144</v>
      </c>
      <c r="Y23" s="96" t="str">
        <f t="shared" si="6"/>
        <v>echo {"issue":{"subject":"Early arrival","project_id":79,"tracker_id":40,"status_id":1,"priority_id":2,"assigned_to_id":23,"start_date":"2017-06-30","description":"","custom_fields":[{"id":1,"name":"Subdivision","value":"EC"},{"id":4,"name":"Milepost","value":"7.8469"},{"id":17,"name":"Train ID","value":"144-30"},{"id":16,"name":"Locomotive ID","value":"4031"},{"id":130,"name":"Impact","value":""},{"id":150,"name":"Time of Event (Mountain Time)","value":"10:19:15"},{"id":151,"name":"Denver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 t="shared" si="7"/>
        <v>grep -hrE -A400 "Enforcement Action" /c/Users/stu/AppData/Local/Temp/OnboardLogs/RTDC4031 --include="*4031*201706301*"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"%USERPROFILE%\AppData\Local\Temp\OnboardLogs"\RTDC4031\*4031*201706301* &gt;&gt; 2017-06-30-SliceDisagreementCheck.txt</v>
      </c>
      <c r="AE23" s="145" t="str">
        <f t="shared" si="9"/>
        <v>start /low /b %USERPROFILE%\Documents\GitHub\eaglep3\Utilities\DownloadLogsFromS3.py --loco 4031 --day 2017-06-30</v>
      </c>
      <c r="AF23" s="1"/>
    </row>
    <row r="24" spans="1:32" x14ac:dyDescent="0.25">
      <c r="A24" s="31">
        <v>42916.210856481484</v>
      </c>
      <c r="B24" s="30" t="s">
        <v>457</v>
      </c>
      <c r="C24" s="30" t="s">
        <v>582</v>
      </c>
      <c r="D24" s="30" t="s">
        <v>96</v>
      </c>
      <c r="E24" s="30" t="s">
        <v>187</v>
      </c>
      <c r="F24" s="42">
        <v>370</v>
      </c>
      <c r="G24" s="42">
        <v>422</v>
      </c>
      <c r="H24" s="42">
        <v>109015</v>
      </c>
      <c r="I24" s="42">
        <v>107816</v>
      </c>
      <c r="J24" s="30" t="s">
        <v>188</v>
      </c>
      <c r="K24" s="42">
        <v>109135</v>
      </c>
      <c r="L24" s="131" t="s">
        <v>51</v>
      </c>
      <c r="M24" s="132">
        <f t="shared" si="0"/>
        <v>-696.4319999999999</v>
      </c>
      <c r="N24" s="133" t="str">
        <f>VLOOKUP(C24,'Trips&amp;Operators'!$C$1:$G$99999,5,FALSE)</f>
        <v>CUSHING HARRY</v>
      </c>
      <c r="O24" s="203" t="s">
        <v>180</v>
      </c>
      <c r="P24" s="134" t="s">
        <v>449</v>
      </c>
      <c r="Q24" s="30"/>
      <c r="R24" s="81" t="str">
        <f>VLOOKUP(C24,'Train Runs'!$A$13:$AE$9930,31,0)</f>
        <v>aws s3 cp s3://rtdc.mdm.uploadarchive.raw/RTDC4031/ "%USERPROFILE%\AppData\Local\Temp\OnboardLogs"\RTDC4031\2017-06-30 --exclude "*" --recursive --include "*20170630*" &amp; "%USERPROFILE%\Documents\GitHub\mrs-test-scripts\Headless Mode &amp; Sideloading\WalkAndUnGZ.bat" "%USERPROFILE%\AppData\Local\Temp\OnboardLogs"\RTDC4031\2017-06-30 &amp; aws s3 cp s3://rtdc.mdm.uploadarchive.raw/RTDC4031/ "%USERPROFILE%\AppData\Local\Temp\OnboardLogs"\RTDC4031\2017-07-01 --exclude "*" --recursive --include "*20170701*" &amp; "%USERPROFILE%\Documents\GitHub\mrs-test-scripts\Headless Mode &amp; Sideloading\WalkAndUnGZ.bat" "%USERPROFILE%\AppData\Local\Temp\OnboardLogs"\RTDC4031\2017-07-01</v>
      </c>
      <c r="S24" s="84" t="str">
        <f>VLOOKUP(C24,'Train Runs'!$A$13:$AE$9930,22,0)</f>
        <v>https://d0f6bd738d7f1b3e5a7ca70fe4ff75f0.us-east-1.aws.found.io/app/kibana#/discover/Steve-Slow-Train-Analysis-(2080s-and-2083s)?_g=(refreshInterval:(display:Off,pause:!f,section:0,value:0),time:(from:'2017-06-30T03:33:22-0600',mode:absolute,to:'2017-06-30T06:26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24" s="86" t="str">
        <f t="shared" si="1"/>
        <v>"C:\Program Files (x86)\AstroGrep\AstroGrep.exe" /e /r /s /spath="%USERPROFILE%\AppData\Local\Temp\OnboardLogs" /stypes="*4031*201706301*" /stext=" 11:.+((SYSTEM_STATE.+slice.+state.+changed )|(ment ac)|(multiple cpu faults)|(system.+state.+changed )|(\[timeout)|(PRM\|1\|D)|(kpr)|(kdp)|(train st.+moving)|(\|lc)|(penalty))"</v>
      </c>
      <c r="U24" s="9" t="str">
        <f t="shared" si="2"/>
        <v>4031</v>
      </c>
      <c r="V24" s="31">
        <f t="shared" si="3"/>
        <v>42916.460856481484</v>
      </c>
      <c r="W24" s="45" t="str">
        <f t="shared" si="4"/>
        <v>EC</v>
      </c>
      <c r="X24" s="22">
        <f t="shared" si="5"/>
        <v>104</v>
      </c>
      <c r="Y24" s="96" t="str">
        <f t="shared" si="6"/>
        <v>echo {"issue":{"subject":"Early arrival","project_id":79,"tracker_id":40,"status_id":1,"priority_id":2,"assigned_to_id":23,"start_date":"2017-06-30","description":"","custom_fields":[{"id":1,"name":"Subdivision","value":"EC"},{"id":4,"name":"Milepost","value":"10.9135"},{"id":17,"name":"Train ID","value":"104-30"},{"id":16,"name":"Locomotive ID","value":"4031"},{"id":130,"name":"Impact","value":""},{"id":150,"name":"Time of Event (Mountain Time)","value":"05:03:38"},{"id":151,"name":"Denver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 t="shared" si="7"/>
        <v>grep -hrE -A400 "Enforcement Action" /c/Users/stu/AppData/Local/Temp/OnboardLogs/RTDC4031 --include="*4031*201706301*"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"%USERPROFILE%\AppData\Local\Temp\OnboardLogs"\RTDC4031\*4031*201706301* &gt;&gt; 2017-06-30-SliceDisagreementCheck.txt</v>
      </c>
      <c r="AE24" s="145" t="str">
        <f t="shared" si="9"/>
        <v>start /low /b %USERPROFILE%\Documents\GitHub\eaglep3\Utilities\DownloadLogsFromS3.py --loco 4031 --day 2017-06-30</v>
      </c>
      <c r="AF24" s="1"/>
    </row>
    <row r="25" spans="1:32" x14ac:dyDescent="0.25">
      <c r="A25" s="31">
        <v>42916.780636574076</v>
      </c>
      <c r="B25" s="30" t="s">
        <v>398</v>
      </c>
      <c r="C25" s="30" t="s">
        <v>628</v>
      </c>
      <c r="D25" s="30" t="s">
        <v>49</v>
      </c>
      <c r="E25" s="30" t="s">
        <v>187</v>
      </c>
      <c r="F25" s="42">
        <v>400</v>
      </c>
      <c r="G25" s="42">
        <v>450</v>
      </c>
      <c r="H25" s="42">
        <v>110250</v>
      </c>
      <c r="I25" s="42">
        <v>108936</v>
      </c>
      <c r="J25" s="30" t="s">
        <v>188</v>
      </c>
      <c r="K25" s="42">
        <v>109135</v>
      </c>
      <c r="L25" s="131" t="s">
        <v>51</v>
      </c>
      <c r="M25" s="132">
        <f t="shared" si="0"/>
        <v>-105.072</v>
      </c>
      <c r="N25" s="133" t="str">
        <f>VLOOKUP(C25,'Trips&amp;Operators'!$C$1:$G$99999,5,FALSE)</f>
        <v>LEVIN SCOTT</v>
      </c>
      <c r="O25" s="203" t="s">
        <v>180</v>
      </c>
      <c r="P25" s="134" t="s">
        <v>449</v>
      </c>
      <c r="Q25" s="30"/>
      <c r="R25" s="81" t="str">
        <f>VLOOKUP(C25,'Train Runs'!$A$13:$AE$9930,31,0)</f>
        <v>aws s3 cp s3://rtdc.mdm.uploadarchive.raw/RTDC4043/ "%USERPROFILE%\AppData\Local\Temp\OnboardLogs"\RTDC4043\2017-06-30 --exclude "*" --recursive --include "*20170630*" &amp; "%USERPROFILE%\Documents\GitHub\mrs-test-scripts\Headless Mode &amp; Sideloading\WalkAndUnGZ.bat" "%USERPROFILE%\AppData\Local\Temp\OnboardLogs"\RTDC4043\2017-06-30 &amp; aws s3 cp s3://rtdc.mdm.uploadarchive.raw/RTDC4043/ "%USERPROFILE%\AppData\Local\Temp\OnboardLogs"\RTDC4043\2017-07-01 --exclude "*" --recursive --include "*20170701*" &amp; "%USERPROFILE%\Documents\GitHub\mrs-test-scripts\Headless Mode &amp; Sideloading\WalkAndUnGZ.bat" "%USERPROFILE%\AppData\Local\Temp\OnboardLogs"\RTDC4043\2017-07-01</v>
      </c>
      <c r="S25" s="84" t="str">
        <f>VLOOKUP(C25,'Train Runs'!$A$13:$AE$9930,22,0)</f>
        <v>https://d0f6bd738d7f1b3e5a7ca70fe4ff75f0.us-east-1.aws.found.io/app/kibana#/discover/Steve-Slow-Train-Analysis-(2080s-and-2083s)?_g=(refreshInterval:(display:Off,pause:!f,section:0,value:0),time:(from:'2017-06-30T17:22:34-0600',mode:absolute,to:'2017-06-30T20:05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25" s="86" t="str">
        <f t="shared" si="1"/>
        <v>"C:\Program Files (x86)\AstroGrep\AstroGrep.exe" /e /r /s /spath="%USERPROFILE%\AppData\Local\Temp\OnboardLogs" /stypes="*4043*201707010*" /stext=" 00:.+((SYSTEM_STATE.+slice.+state.+changed )|(ment ac)|(multiple cpu faults)|(system.+state.+changed )|(\[timeout)|(PRM\|1\|D)|(kpr)|(kdp)|(train st.+moving)|(\|lc)|(penalty))"</v>
      </c>
      <c r="U25" s="9" t="str">
        <f t="shared" si="2"/>
        <v>4043</v>
      </c>
      <c r="V25" s="31">
        <f t="shared" si="3"/>
        <v>42917.030636574076</v>
      </c>
      <c r="W25" s="45" t="str">
        <f t="shared" si="4"/>
        <v>EC</v>
      </c>
      <c r="X25" s="22">
        <f t="shared" si="5"/>
        <v>212</v>
      </c>
      <c r="Y25" s="96" t="str">
        <f t="shared" si="6"/>
        <v>echo {"issue":{"subject":"Early arrival","project_id":79,"tracker_id":40,"status_id":1,"priority_id":2,"assigned_to_id":23,"start_date":"2017-06-30","description":"","custom_fields":[{"id":1,"name":"Subdivision","value":"EC"},{"id":4,"name":"Milepost","value":"10.9135"},{"id":17,"name":"Train ID","value":"212-30"},{"id":16,"name":"Locomotive ID","value":"4043"},{"id":130,"name":"Impact","value":""},{"id":150,"name":"Time of Event (Mountain Time)","value":"18:44:07"},{"id":151,"name":"Denver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 t="shared" si="7"/>
        <v>grep -hrE -A400 "Enforcement Action" /c/Users/stu/AppData/Local/Temp/OnboardLogs/RTDC4043 --include="*4043*201707010*"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"%USERPROFILE%\AppData\Local\Temp\OnboardLogs"\RTDC4043\*4043*201707010* &gt;&gt; 2017-06-30-SliceDisagreementCheck.txt</v>
      </c>
      <c r="AE25" s="145" t="str">
        <f t="shared" si="9"/>
        <v>start /low /b %USERPROFILE%\Documents\GitHub\eaglep3\Utilities\DownloadLogsFromS3.py --loco 4043 --day 2017-07-01</v>
      </c>
      <c r="AF25" s="1"/>
    </row>
    <row r="26" spans="1:32" x14ac:dyDescent="0.25">
      <c r="A26" s="31">
        <v>42916.752881944441</v>
      </c>
      <c r="B26" s="30" t="s">
        <v>369</v>
      </c>
      <c r="C26" s="30" t="s">
        <v>623</v>
      </c>
      <c r="D26" s="30" t="s">
        <v>49</v>
      </c>
      <c r="E26" s="30" t="s">
        <v>198</v>
      </c>
      <c r="F26" s="42">
        <v>400</v>
      </c>
      <c r="G26" s="42">
        <v>583</v>
      </c>
      <c r="H26" s="42">
        <v>14761</v>
      </c>
      <c r="I26" s="42">
        <v>17681</v>
      </c>
      <c r="J26" s="30" t="s">
        <v>199</v>
      </c>
      <c r="K26" s="42">
        <v>17867</v>
      </c>
      <c r="L26" s="131" t="s">
        <v>50</v>
      </c>
      <c r="M26" s="132">
        <f t="shared" si="0"/>
        <v>98.207999999999998</v>
      </c>
      <c r="N26" s="133" t="str">
        <f>VLOOKUP(C26,'Trips&amp;Operators'!$C$1:$G$99999,5,FALSE)</f>
        <v>HOLCOMB KAMDEN</v>
      </c>
      <c r="O26" s="203" t="s">
        <v>180</v>
      </c>
      <c r="P26" s="134"/>
      <c r="Q26" s="30"/>
      <c r="R26" s="81" t="str">
        <f>VLOOKUP(C26,'Train Runs'!$A$13:$AE$9930,31,0)</f>
        <v>aws s3 cp s3://rtdc.mdm.uploadarchive.raw/RTDC4040/ "%USERPROFILE%\AppData\Local\Temp\OnboardLogs"\RTDC4040\2017-06-30 --exclude "*" --recursive --include "*20170630*" &amp; "%USERPROFILE%\Documents\GitHub\mrs-test-scripts\Headless Mode &amp; Sideloading\WalkAndUnGZ.bat" "%USERPROFILE%\AppData\Local\Temp\OnboardLogs"\RTDC4040\2017-06-30 &amp; aws s3 cp s3://rtdc.mdm.uploadarchive.raw/RTDC4040/ "%USERPROFILE%\AppData\Local\Temp\OnboardLogs"\RTDC4040\2017-07-01 --exclude "*" --recursive --include "*20170701*" &amp; "%USERPROFILE%\Documents\GitHub\mrs-test-scripts\Headless Mode &amp; Sideloading\WalkAndUnGZ.bat" "%USERPROFILE%\AppData\Local\Temp\OnboardLogs"\RTDC4040\2017-07-01</v>
      </c>
      <c r="S26" s="84" t="str">
        <f>VLOOKUP(C26,'Train Runs'!$A$13:$AE$9930,22,0)</f>
        <v>https://d0f6bd738d7f1b3e5a7ca70fe4ff75f0.us-east-1.aws.found.io/app/kibana#/discover/Steve-Slow-Train-Analysis-(2080s-and-2083s)?_g=(refreshInterval:(display:Off,pause:!f,section:0,value:0),time:(from:'2017-06-30T16:56:29-0600',mode:absolute,to:'2017-06-30T19:37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26" s="86" t="str">
        <f t="shared" si="1"/>
        <v>"C:\Program Files (x86)\AstroGrep\AstroGrep.exe" /e /r /s /spath="%USERPROFILE%\AppData\Local\Temp\OnboardLogs" /stypes="*4040*201707010*" /stext=" 00:.+((SYSTEM_STATE.+slice.+state.+changed )|(ment ac)|(multiple cpu faults)|(system.+state.+changed )|(\[timeout)|(PRM\|1\|D)|(kpr)|(kdp)|(train st.+moving)|(\|lc)|(penalty))"</v>
      </c>
      <c r="U26" s="9" t="str">
        <f t="shared" si="2"/>
        <v>4040</v>
      </c>
      <c r="V26" s="31">
        <f t="shared" si="3"/>
        <v>42917.002881944441</v>
      </c>
      <c r="W26" s="45" t="str">
        <f t="shared" si="4"/>
        <v>EC</v>
      </c>
      <c r="X26" s="22">
        <f t="shared" si="5"/>
        <v>215</v>
      </c>
      <c r="Y26" s="96" t="str">
        <f t="shared" si="6"/>
        <v>echo {"issue":{"subject":"","project_id":79,"tracker_id":40,"status_id":1,"priority_id":2,"assigned_to_id":23,"start_date":"2017-06-30","description":"","custom_fields":[{"id":1,"name":"Subdivision","value":"EC"},{"id":4,"name":"Milepost","value":"1.7867"},{"id":17,"name":"Train ID","value":"215-30"},{"id":16,"name":"Locomotive ID","value":"4040"},{"id":130,"name":"Impact","value":""},{"id":150,"name":"Time of Event (Mountain Time)","value":"18:04:09"},{"id":151,"name":"Denver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 t="shared" si="7"/>
        <v>grep -hrE -A400 "Enforcement Action" /c/Users/stu/AppData/Local/Temp/OnboardLogs/RTDC4040 --include="*4040*201707010*"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"%USERPROFILE%\AppData\Local\Temp\OnboardLogs"\RTDC4040\*4040*201707010* &gt;&gt; 2017-06-30-SliceDisagreementCheck.txt</v>
      </c>
      <c r="AE26" s="145" t="str">
        <f t="shared" si="9"/>
        <v>start /low /b %USERPROFILE%\Documents\GitHub\eaglep3\Utilities\DownloadLogsFromS3.py --loco 4040 --day 2017-07-01</v>
      </c>
      <c r="AF26" s="1"/>
    </row>
    <row r="27" spans="1:32" x14ac:dyDescent="0.25">
      <c r="A27" s="31">
        <v>42916.763865740744</v>
      </c>
      <c r="B27" s="30" t="s">
        <v>355</v>
      </c>
      <c r="C27" s="30" t="s">
        <v>625</v>
      </c>
      <c r="D27" s="30" t="s">
        <v>49</v>
      </c>
      <c r="E27" s="30" t="s">
        <v>198</v>
      </c>
      <c r="F27" s="42">
        <v>400</v>
      </c>
      <c r="G27" s="42">
        <v>472</v>
      </c>
      <c r="H27" s="42">
        <v>17120</v>
      </c>
      <c r="I27" s="42">
        <v>17796</v>
      </c>
      <c r="J27" s="30" t="s">
        <v>199</v>
      </c>
      <c r="K27" s="42">
        <v>17867</v>
      </c>
      <c r="L27" s="131" t="s">
        <v>50</v>
      </c>
      <c r="M27" s="132">
        <f t="shared" si="0"/>
        <v>37.488</v>
      </c>
      <c r="N27" s="133" t="str">
        <f>VLOOKUP(C27,'Trips&amp;Operators'!$C$1:$G$99999,5,FALSE)</f>
        <v>PERKINS DARREN</v>
      </c>
      <c r="O27" s="203" t="s">
        <v>180</v>
      </c>
      <c r="P27" s="134"/>
      <c r="Q27" s="30"/>
      <c r="R27" s="81" t="str">
        <f>VLOOKUP(C27,'Train Runs'!$A$13:$AE$9930,31,0)</f>
        <v>aws s3 cp s3://rtdc.mdm.uploadarchive.raw/RTDC4042/ "%USERPROFILE%\AppData\Local\Temp\OnboardLogs"\RTDC4042\2017-06-30 --exclude "*" --recursive --include "*20170630*" &amp; "%USERPROFILE%\Documents\GitHub\mrs-test-scripts\Headless Mode &amp; Sideloading\WalkAndUnGZ.bat" "%USERPROFILE%\AppData\Local\Temp\OnboardLogs"\RTDC4042\2017-06-30 &amp; aws s3 cp s3://rtdc.mdm.uploadarchive.raw/RTDC4042/ "%USERPROFILE%\AppData\Local\Temp\OnboardLogs"\RTDC4042\2017-07-01 --exclude "*" --recursive --include "*20170701*" &amp; "%USERPROFILE%\Documents\GitHub\mrs-test-scripts\Headless Mode &amp; Sideloading\WalkAndUnGZ.bat" "%USERPROFILE%\AppData\Local\Temp\OnboardLogs"\RTDC4042\2017-07-01</v>
      </c>
      <c r="S27" s="84" t="str">
        <f>VLOOKUP(C27,'Train Runs'!$A$13:$AE$9930,22,0)</f>
        <v>https://d0f6bd738d7f1b3e5a7ca70fe4ff75f0.us-east-1.aws.found.io/app/kibana#/discover/Steve-Slow-Train-Analysis-(2080s-and-2083s)?_g=(refreshInterval:(display:Off,pause:!f,section:0,value:0),time:(from:'2017-06-30T17:10:13-0600',mode:absolute,to:'2017-06-30T19:52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27" s="86" t="str">
        <f t="shared" si="1"/>
        <v>"C:\Program Files (x86)\AstroGrep\AstroGrep.exe" /e /r /s /spath="%USERPROFILE%\AppData\Local\Temp\OnboardLogs" /stypes="*4042*201707010*" /stext=" 00:.+((SYSTEM_STATE.+slice.+state.+changed )|(ment ac)|(multiple cpu faults)|(system.+state.+changed )|(\[timeout)|(PRM\|1\|D)|(kpr)|(kdp)|(train st.+moving)|(\|lc)|(penalty))"</v>
      </c>
      <c r="U27" s="9" t="str">
        <f t="shared" si="2"/>
        <v>4042</v>
      </c>
      <c r="V27" s="31">
        <f t="shared" si="3"/>
        <v>42917.013865740744</v>
      </c>
      <c r="W27" s="45" t="str">
        <f t="shared" si="4"/>
        <v>EC</v>
      </c>
      <c r="X27" s="22">
        <f t="shared" si="5"/>
        <v>217</v>
      </c>
      <c r="Y27" s="96" t="str">
        <f t="shared" si="6"/>
        <v>echo {"issue":{"subject":"","project_id":79,"tracker_id":40,"status_id":1,"priority_id":2,"assigned_to_id":23,"start_date":"2017-06-30","description":"","custom_fields":[{"id":1,"name":"Subdivision","value":"EC"},{"id":4,"name":"Milepost","value":"1.7867"},{"id":17,"name":"Train ID","value":"217-30"},{"id":16,"name":"Locomotive ID","value":"4042"},{"id":130,"name":"Impact","value":""},{"id":150,"name":"Time of Event (Mountain Time)","value":"18:19:58"},{"id":151,"name":"Denver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 t="shared" si="7"/>
        <v>grep -hrE -A400 "Enforcement Action" /c/Users/stu/AppData/Local/Temp/OnboardLogs/RTDC4042 --include="*4042*201707010*"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"%USERPROFILE%\AppData\Local\Temp\OnboardLogs"\RTDC4042\*4042*201707010* &gt;&gt; 2017-06-30-SliceDisagreementCheck.txt</v>
      </c>
      <c r="AE27" s="145" t="str">
        <f t="shared" si="9"/>
        <v>start /low /b %USERPROFILE%\Documents\GitHub\eaglep3\Utilities\DownloadLogsFromS3.py --loco 4042 --day 2017-07-01</v>
      </c>
      <c r="AF27" s="1"/>
    </row>
    <row r="28" spans="1:32" x14ac:dyDescent="0.25">
      <c r="A28" s="31">
        <v>42916.345231481479</v>
      </c>
      <c r="B28" s="30" t="s">
        <v>579</v>
      </c>
      <c r="C28" s="30" t="s">
        <v>591</v>
      </c>
      <c r="D28" s="30" t="s">
        <v>49</v>
      </c>
      <c r="E28" s="30" t="s">
        <v>198</v>
      </c>
      <c r="F28" s="42">
        <v>300</v>
      </c>
      <c r="G28" s="42">
        <v>511</v>
      </c>
      <c r="H28" s="42">
        <v>24564</v>
      </c>
      <c r="I28" s="42">
        <v>22795</v>
      </c>
      <c r="J28" s="30" t="s">
        <v>199</v>
      </c>
      <c r="K28" s="42">
        <v>21848</v>
      </c>
      <c r="L28" s="131" t="s">
        <v>51</v>
      </c>
      <c r="M28" s="132">
        <f t="shared" si="0"/>
        <v>500.01600000000002</v>
      </c>
      <c r="N28" s="133" t="str">
        <f>VLOOKUP(C28,'Trips&amp;Operators'!$C$1:$G$99999,5,FALSE)</f>
        <v>STARKS ANGELINA</v>
      </c>
      <c r="O28" s="203" t="s">
        <v>180</v>
      </c>
      <c r="P28" s="134"/>
      <c r="Q28" s="30"/>
      <c r="R28" s="81" t="str">
        <f>VLOOKUP(C28,'Train Runs'!$A$13:$AE$9930,31,0)</f>
        <v>aws s3 cp s3://rtdc.mdm.uploadarchive.raw/RTDC4023/ "%USERPROFILE%\AppData\Local\Temp\OnboardLogs"\RTDC4023\2017-06-30 --exclude "*" --recursive --include "*20170630*" &amp; "%USERPROFILE%\Documents\GitHub\mrs-test-scripts\Headless Mode &amp; Sideloading\WalkAndUnGZ.bat" "%USERPROFILE%\AppData\Local\Temp\OnboardLogs"\RTDC4023\2017-06-30 &amp; aws s3 cp s3://rtdc.mdm.uploadarchive.raw/RTDC4023/ "%USERPROFILE%\AppData\Local\Temp\OnboardLogs"\RTDC4023\2017-07-01 --exclude "*" --recursive --include "*20170701*" &amp; "%USERPROFILE%\Documents\GitHub\mrs-test-scripts\Headless Mode &amp; Sideloading\WalkAndUnGZ.bat" "%USERPROFILE%\AppData\Local\Temp\OnboardLogs"\RTDC4023\2017-07-01</v>
      </c>
      <c r="S28" s="84" t="str">
        <f>VLOOKUP(C28,'Train Runs'!$A$13:$AE$9930,22,0)</f>
        <v>https://d0f6bd738d7f1b3e5a7ca70fe4ff75f0.us-east-1.aws.found.io/app/kibana#/discover/Steve-Slow-Train-Analysis-(2080s-and-2083s)?_g=(refreshInterval:(display:Off,pause:!f,section:0,value:0),time:(from:'2017-06-30T06:24:20-0600',mode:absolute,to:'2017-06-30T09:23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28" s="86" t="str">
        <f t="shared" si="1"/>
        <v>"C:\Program Files (x86)\AstroGrep\AstroGrep.exe" /e /r /s /spath="%USERPROFILE%\AppData\Local\Temp\OnboardLogs" /stypes="*4023*201706301*" /stext=" 14:.+((SYSTEM_STATE.+slice.+state.+changed )|(ment ac)|(multiple cpu faults)|(system.+state.+changed )|(\[timeout)|(PRM\|1\|D)|(kpr)|(kdp)|(train st.+moving)|(\|lc)|(penalty))"</v>
      </c>
      <c r="U28" s="9" t="str">
        <f t="shared" si="2"/>
        <v>4023</v>
      </c>
      <c r="V28" s="31">
        <f t="shared" si="3"/>
        <v>42916.595231481479</v>
      </c>
      <c r="W28" s="45" t="str">
        <f t="shared" si="4"/>
        <v>EC</v>
      </c>
      <c r="X28" s="22">
        <f t="shared" si="5"/>
        <v>126</v>
      </c>
      <c r="Y28" s="96" t="str">
        <f t="shared" si="6"/>
        <v>echo {"issue":{"subject":"","project_id":79,"tracker_id":40,"status_id":1,"priority_id":2,"assigned_to_id":23,"start_date":"2017-06-30","description":"","custom_fields":[{"id":1,"name":"Subdivision","value":"EC"},{"id":4,"name":"Milepost","value":"2.1848"},{"id":17,"name":"Train ID","value":"126-30"},{"id":16,"name":"Locomotive ID","value":"4023"},{"id":130,"name":"Impact","value":""},{"id":150,"name":"Time of Event (Mountain Time)","value":"08:17:08"},{"id":151,"name":"Denver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 t="shared" si="7"/>
        <v>grep -hrE -A400 "Enforcement Action" /c/Users/stu/AppData/Local/Temp/OnboardLogs/RTDC4023 --include="*4023*201706301*"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"%USERPROFILE%\AppData\Local\Temp\OnboardLogs"\RTDC4023\*4023*201706301* &gt;&gt; 2017-06-30-SliceDisagreementCheck.txt</v>
      </c>
      <c r="AE28" s="145" t="str">
        <f t="shared" si="9"/>
        <v>start /low /b %USERPROFILE%\Documents\GitHub\eaglep3\Utilities\DownloadLogsFromS3.py --loco 4023 --day 2017-06-30</v>
      </c>
      <c r="AF28" s="1"/>
    </row>
    <row r="29" spans="1:32" x14ac:dyDescent="0.25">
      <c r="A29" s="31">
        <v>42916.591446759259</v>
      </c>
      <c r="B29" s="30" t="s">
        <v>366</v>
      </c>
      <c r="C29" s="30" t="s">
        <v>607</v>
      </c>
      <c r="D29" s="30" t="s">
        <v>49</v>
      </c>
      <c r="E29" s="30" t="s">
        <v>198</v>
      </c>
      <c r="F29" s="42">
        <v>200</v>
      </c>
      <c r="G29" s="42">
        <v>250</v>
      </c>
      <c r="H29" s="42">
        <v>30617</v>
      </c>
      <c r="I29" s="42">
        <v>30190</v>
      </c>
      <c r="J29" s="30" t="s">
        <v>199</v>
      </c>
      <c r="K29" s="42">
        <v>30562</v>
      </c>
      <c r="L29" s="131" t="s">
        <v>51</v>
      </c>
      <c r="M29" s="132">
        <f t="shared" si="0"/>
        <v>-196.416</v>
      </c>
      <c r="N29" s="133" t="str">
        <f>VLOOKUP(C29,'Trips&amp;Operators'!$C$1:$G$99999,5,FALSE)</f>
        <v>HOLCOMB KAMDEN</v>
      </c>
      <c r="O29" s="203" t="s">
        <v>180</v>
      </c>
      <c r="P29" s="134"/>
      <c r="Q29" s="30"/>
      <c r="R29" s="81" t="str">
        <f>VLOOKUP(C29,'Train Runs'!$A$13:$AE$9930,31,0)</f>
        <v>aws s3 cp s3://rtdc.mdm.uploadarchive.raw/RTDC4039/ "%USERPROFILE%\AppData\Local\Temp\OnboardLogs"\RTDC4039\2017-06-30 --exclude "*" --recursive --include "*20170630*" &amp; "%USERPROFILE%\Documents\GitHub\mrs-test-scripts\Headless Mode &amp; Sideloading\WalkAndUnGZ.bat" "%USERPROFILE%\AppData\Local\Temp\OnboardLogs"\RTDC4039\2017-06-30 &amp; aws s3 cp s3://rtdc.mdm.uploadarchive.raw/RTDC4039/ "%USERPROFILE%\AppData\Local\Temp\OnboardLogs"\RTDC4039\2017-07-01 --exclude "*" --recursive --include "*20170701*" &amp; "%USERPROFILE%\Documents\GitHub\mrs-test-scripts\Headless Mode &amp; Sideloading\WalkAndUnGZ.bat" "%USERPROFILE%\AppData\Local\Temp\OnboardLogs"\RTDC4039\2017-07-01</v>
      </c>
      <c r="S29" s="84" t="str">
        <f>VLOOKUP(C29,'Train Runs'!$A$13:$AE$9930,22,0)</f>
        <v>https://d0f6bd738d7f1b3e5a7ca70fe4ff75f0.us-east-1.aws.found.io/app/kibana#/discover/Steve-Slow-Train-Analysis-(2080s-and-2083s)?_g=(refreshInterval:(display:Off,pause:!f,section:0,value:0),time:(from:'2017-06-30T12:38:17-0600',mode:absolute,to:'2017-06-30T15:20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29" s="86" t="str">
        <f t="shared" si="1"/>
        <v>"C:\Program Files (x86)\AstroGrep\AstroGrep.exe" /e /r /s /spath="%USERPROFILE%\AppData\Local\Temp\OnboardLogs" /stypes="*4039*201706302*" /stext=" 20:.+((SYSTEM_STATE.+slice.+state.+changed )|(ment ac)|(multiple cpu faults)|(system.+state.+changed )|(\[timeout)|(PRM\|1\|D)|(kpr)|(kdp)|(train st.+moving)|(\|lc)|(penalty))"</v>
      </c>
      <c r="U29" s="9" t="str">
        <f t="shared" si="2"/>
        <v>4039</v>
      </c>
      <c r="V29" s="31">
        <f t="shared" si="3"/>
        <v>42916.841446759259</v>
      </c>
      <c r="W29" s="45" t="str">
        <f t="shared" si="4"/>
        <v>EC</v>
      </c>
      <c r="X29" s="22">
        <f t="shared" si="5"/>
        <v>174</v>
      </c>
      <c r="Y29" s="96" t="str">
        <f t="shared" si="6"/>
        <v>echo {"issue":{"subject":"","project_id":79,"tracker_id":40,"status_id":1,"priority_id":2,"assigned_to_id":23,"start_date":"2017-06-30","description":"","custom_fields":[{"id":1,"name":"Subdivision","value":"EC"},{"id":4,"name":"Milepost","value":"3.0562"},{"id":17,"name":"Train ID","value":"174-30"},{"id":16,"name":"Locomotive ID","value":"4039"},{"id":130,"name":"Impact","value":""},{"id":150,"name":"Time of Event (Mountain Time)","value":"14:11:41"},{"id":151,"name":"Denver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 t="shared" si="7"/>
        <v>grep -hrE -A400 "Enforcement Action" /c/Users/stu/AppData/Local/Temp/OnboardLogs/RTDC4039 --include="*4039*201706302*"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"%USERPROFILE%\AppData\Local\Temp\OnboardLogs"\RTDC4039\*4039*201706302* &gt;&gt; 2017-06-30-SliceDisagreementCheck.txt</v>
      </c>
      <c r="AE29" s="145" t="str">
        <f t="shared" si="9"/>
        <v>start /low /b %USERPROFILE%\Documents\GitHub\eaglep3\Utilities\DownloadLogsFromS3.py --loco 4039 --day 2017-06-30</v>
      </c>
      <c r="AF29" s="1"/>
    </row>
    <row r="30" spans="1:32" x14ac:dyDescent="0.25">
      <c r="A30" s="31">
        <v>42916.295740740738</v>
      </c>
      <c r="B30" s="30" t="s">
        <v>586</v>
      </c>
      <c r="C30" s="30" t="s">
        <v>587</v>
      </c>
      <c r="D30" s="30" t="s">
        <v>49</v>
      </c>
      <c r="E30" s="30" t="s">
        <v>198</v>
      </c>
      <c r="F30" s="42">
        <v>700</v>
      </c>
      <c r="G30" s="42">
        <v>794</v>
      </c>
      <c r="H30" s="42">
        <v>112207</v>
      </c>
      <c r="I30" s="42">
        <v>116122</v>
      </c>
      <c r="J30" s="30" t="s">
        <v>199</v>
      </c>
      <c r="K30" s="42">
        <v>114444</v>
      </c>
      <c r="L30" s="131" t="s">
        <v>50</v>
      </c>
      <c r="M30" s="132">
        <f t="shared" si="0"/>
        <v>-885.98400000000004</v>
      </c>
      <c r="N30" s="133" t="str">
        <f>VLOOKUP(C30,'Trips&amp;Operators'!$C$1:$G$99999,5,FALSE)</f>
        <v>STARKS ANGELINA</v>
      </c>
      <c r="O30" s="203" t="s">
        <v>180</v>
      </c>
      <c r="P30" s="134"/>
      <c r="Q30" s="30"/>
      <c r="R30" s="81" t="str">
        <f>VLOOKUP(C30,'Train Runs'!$A$13:$AE$9930,31,0)</f>
        <v>aws s3 cp s3://rtdc.mdm.uploadarchive.raw/RTDC4024/ "%USERPROFILE%\AppData\Local\Temp\OnboardLogs"\RTDC4024\2017-06-30 --exclude "*" --recursive --include "*20170630*" &amp; "%USERPROFILE%\Documents\GitHub\mrs-test-scripts\Headless Mode &amp; Sideloading\WalkAndUnGZ.bat" "%USERPROFILE%\AppData\Local\Temp\OnboardLogs"\RTDC4024\2017-06-30 &amp; aws s3 cp s3://rtdc.mdm.uploadarchive.raw/RTDC4024/ "%USERPROFILE%\AppData\Local\Temp\OnboardLogs"\RTDC4024\2017-07-01 --exclude "*" --recursive --include "*20170701*" &amp; "%USERPROFILE%\Documents\GitHub\mrs-test-scripts\Headless Mode &amp; Sideloading\WalkAndUnGZ.bat" "%USERPROFILE%\AppData\Local\Temp\OnboardLogs"\RTDC4024\2017-07-01</v>
      </c>
      <c r="S30" s="84" t="str">
        <f>VLOOKUP(C30,'Train Runs'!$A$13:$AE$9930,22,0)</f>
        <v>https://d0f6bd738d7f1b3e5a7ca70fe4ff75f0.us-east-1.aws.found.io/app/kibana#/discover/Steve-Slow-Train-Analysis-(2080s-and-2083s)?_g=(refreshInterval:(display:Off,pause:!f,section:0,value:0),time:(from:'2017-06-30T05:41:46-0600',mode:absolute,to:'2017-06-30T08:22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30" s="86" t="str">
        <f t="shared" si="1"/>
        <v>"C:\Program Files (x86)\AstroGrep\AstroGrep.exe" /e /r /s /spath="%USERPROFILE%\AppData\Local\Temp\OnboardLogs" /stypes="*4024*201706301*" /stext=" 13:.+((SYSTEM_STATE.+slice.+state.+changed )|(ment ac)|(multiple cpu faults)|(system.+state.+changed )|(\[timeout)|(PRM\|1\|D)|(kpr)|(kdp)|(train st.+moving)|(\|lc)|(penalty))"</v>
      </c>
      <c r="U30" s="9" t="str">
        <f t="shared" si="2"/>
        <v>4024</v>
      </c>
      <c r="V30" s="31">
        <f t="shared" si="3"/>
        <v>42916.545740740738</v>
      </c>
      <c r="W30" s="45" t="str">
        <f t="shared" si="4"/>
        <v>EC</v>
      </c>
      <c r="X30" s="22">
        <f t="shared" si="5"/>
        <v>125</v>
      </c>
      <c r="Y30" s="96" t="str">
        <f t="shared" si="6"/>
        <v>echo {"issue":{"subject":"","project_id":79,"tracker_id":40,"status_id":1,"priority_id":2,"assigned_to_id":23,"start_date":"2017-06-30","description":"","custom_fields":[{"id":1,"name":"Subdivision","value":"EC"},{"id":4,"name":"Milepost","value":"11.4444"},{"id":17,"name":"Train ID","value":"125-30"},{"id":16,"name":"Locomotive ID","value":"4024"},{"id":130,"name":"Impact","value":""},{"id":150,"name":"Time of Event (Mountain Time)","value":"07:05:52"},{"id":151,"name":"Denver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 t="shared" si="7"/>
        <v>grep -hrE -A400 "Enforcement Action" /c/Users/stu/AppData/Local/Temp/OnboardLogs/RTDC4024 --include="*4024*201706301*"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"%USERPROFILE%\AppData\Local\Temp\OnboardLogs"\RTDC4024\*4024*201706301* &gt;&gt; 2017-06-30-SliceDisagreementCheck.txt</v>
      </c>
      <c r="AE30" s="145" t="str">
        <f t="shared" si="9"/>
        <v>start /low /b %USERPROFILE%\Documents\GitHub\eaglep3\Utilities\DownloadLogsFromS3.py --loco 4024 --day 2017-06-30</v>
      </c>
      <c r="AF30" s="1"/>
    </row>
    <row r="31" spans="1:32" s="20" customFormat="1" x14ac:dyDescent="0.25">
      <c r="A31" s="31">
        <v>42916.691921296297</v>
      </c>
      <c r="B31" s="30" t="s">
        <v>369</v>
      </c>
      <c r="C31" s="30" t="s">
        <v>617</v>
      </c>
      <c r="D31" s="30" t="s">
        <v>49</v>
      </c>
      <c r="E31" s="30" t="s">
        <v>198</v>
      </c>
      <c r="F31" s="42">
        <v>400</v>
      </c>
      <c r="G31" s="42">
        <v>573</v>
      </c>
      <c r="H31" s="42">
        <v>115446</v>
      </c>
      <c r="I31" s="42">
        <v>117023</v>
      </c>
      <c r="J31" s="30" t="s">
        <v>199</v>
      </c>
      <c r="K31" s="42">
        <v>116838</v>
      </c>
      <c r="L31" s="131" t="s">
        <v>50</v>
      </c>
      <c r="M31" s="132">
        <f t="shared" si="0"/>
        <v>-97.68</v>
      </c>
      <c r="N31" s="133" t="str">
        <f>VLOOKUP(C31,'Trips&amp;Operators'!$C$1:$G$99999,5,FALSE)</f>
        <v>HOLCOMB KAMDEN</v>
      </c>
      <c r="O31" s="203" t="s">
        <v>180</v>
      </c>
      <c r="P31" s="134"/>
      <c r="Q31" s="30"/>
      <c r="R31" s="81" t="str">
        <f>VLOOKUP(C31,'Train Runs'!$A$13:$AE$9930,31,0)</f>
        <v>aws s3 cp s3://rtdc.mdm.uploadarchive.raw/RTDC4040/ "%USERPROFILE%\AppData\Local\Temp\OnboardLogs"\RTDC4040\2017-06-30 --exclude "*" --recursive --include "*20170630*" &amp; "%USERPROFILE%\Documents\GitHub\mrs-test-scripts\Headless Mode &amp; Sideloading\WalkAndUnGZ.bat" "%USERPROFILE%\AppData\Local\Temp\OnboardLogs"\RTDC4040\2017-06-30 &amp; aws s3 cp s3://rtdc.mdm.uploadarchive.raw/RTDC4040/ "%USERPROFILE%\AppData\Local\Temp\OnboardLogs"\RTDC4040\2017-07-01 --exclude "*" --recursive --include "*20170701*" &amp; "%USERPROFILE%\Documents\GitHub\mrs-test-scripts\Headless Mode &amp; Sideloading\WalkAndUnGZ.bat" "%USERPROFILE%\AppData\Local\Temp\OnboardLogs"\RTDC4040\2017-07-01</v>
      </c>
      <c r="S31" s="84" t="str">
        <f>VLOOKUP(C31,'Train Runs'!$A$13:$AE$9930,22,0)</f>
        <v>https://d0f6bd738d7f1b3e5a7ca70fe4ff75f0.us-east-1.aws.found.io/app/kibana#/discover/Steve-Slow-Train-Analysis-(2080s-and-2083s)?_g=(refreshInterval:(display:Off,pause:!f,section:0,value:0),time:(from:'2017-06-30T15:08:34-0600',mode:absolute,to:'2017-06-30T17:52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31" s="86" t="str">
        <f t="shared" si="1"/>
        <v>"C:\Program Files (x86)\AstroGrep\AstroGrep.exe" /e /r /s /spath="%USERPROFILE%\AppData\Local\Temp\OnboardLogs" /stypes="*4040*201706302*" /stext=" 22:.+((SYSTEM_STATE.+slice.+state.+changed )|(ment ac)|(multiple cpu faults)|(system.+state.+changed )|(\[timeout)|(PRM\|1\|D)|(kpr)|(kdp)|(train st.+moving)|(\|lc)|(penalty))"</v>
      </c>
      <c r="U31" s="9" t="str">
        <f t="shared" si="2"/>
        <v>4040</v>
      </c>
      <c r="V31" s="31">
        <f t="shared" si="3"/>
        <v>42916.941921296297</v>
      </c>
      <c r="W31" s="45" t="str">
        <f t="shared" si="4"/>
        <v>EC</v>
      </c>
      <c r="X31" s="22">
        <f t="shared" si="5"/>
        <v>201</v>
      </c>
      <c r="Y31" s="96" t="str">
        <f t="shared" si="6"/>
        <v>echo {"issue":{"subject":"","project_id":79,"tracker_id":40,"status_id":1,"priority_id":2,"assigned_to_id":23,"start_date":"2017-06-30","description":"","custom_fields":[{"id":1,"name":"Subdivision","value":"EC"},{"id":4,"name":"Milepost","value":"11.6838"},{"id":17,"name":"Train ID","value":"201-30"},{"id":16,"name":"Locomotive ID","value":"4040"},{"id":130,"name":"Impact","value":""},{"id":150,"name":"Time of Event (Mountain Time)","value":"16:36:22"},{"id":151,"name":"Denver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59"/>
      <c r="AA31" s="47"/>
      <c r="AB31" s="47"/>
      <c r="AC31" s="115" t="str">
        <f t="shared" si="7"/>
        <v>grep -hrE -A400 "Enforcement Action" /c/Users/stu/AppData/Local/Temp/OnboardLogs/RTDC4040 --include="*4040*201706302*"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"%USERPROFILE%\AppData\Local\Temp\OnboardLogs"\RTDC4040\*4040*201706302* &gt;&gt; 2017-06-30-SliceDisagreementCheck.txt</v>
      </c>
      <c r="AE31" s="145" t="str">
        <f t="shared" si="9"/>
        <v>start /low /b %USERPROFILE%\Documents\GitHub\eaglep3\Utilities\DownloadLogsFromS3.py --loco 4040 --day 2017-06-30</v>
      </c>
      <c r="AF31" s="1"/>
    </row>
    <row r="32" spans="1:32" x14ac:dyDescent="0.25">
      <c r="A32" s="31">
        <v>42916.333495370367</v>
      </c>
      <c r="B32" s="30" t="s">
        <v>579</v>
      </c>
      <c r="C32" s="30" t="s">
        <v>591</v>
      </c>
      <c r="D32" s="30" t="s">
        <v>49</v>
      </c>
      <c r="E32" s="30" t="s">
        <v>198</v>
      </c>
      <c r="F32" s="42">
        <v>400</v>
      </c>
      <c r="G32" s="42">
        <v>454</v>
      </c>
      <c r="H32" s="42">
        <v>120433</v>
      </c>
      <c r="I32" s="42">
        <v>119382</v>
      </c>
      <c r="J32" s="30" t="s">
        <v>199</v>
      </c>
      <c r="K32" s="42">
        <v>119716</v>
      </c>
      <c r="L32" s="131" t="s">
        <v>51</v>
      </c>
      <c r="M32" s="132">
        <f t="shared" si="0"/>
        <v>-176.352</v>
      </c>
      <c r="N32" s="133" t="str">
        <f>VLOOKUP(C32,'Trips&amp;Operators'!$C$1:$G$99999,5,FALSE)</f>
        <v>STARKS ANGELINA</v>
      </c>
      <c r="O32" s="203" t="s">
        <v>180</v>
      </c>
      <c r="P32" s="134"/>
      <c r="Q32" s="30"/>
      <c r="R32" s="81" t="str">
        <f>VLOOKUP(C32,'Train Runs'!$A$13:$AE$9930,31,0)</f>
        <v>aws s3 cp s3://rtdc.mdm.uploadarchive.raw/RTDC4023/ "%USERPROFILE%\AppData\Local\Temp\OnboardLogs"\RTDC4023\2017-06-30 --exclude "*" --recursive --include "*20170630*" &amp; "%USERPROFILE%\Documents\GitHub\mrs-test-scripts\Headless Mode &amp; Sideloading\WalkAndUnGZ.bat" "%USERPROFILE%\AppData\Local\Temp\OnboardLogs"\RTDC4023\2017-06-30 &amp; aws s3 cp s3://rtdc.mdm.uploadarchive.raw/RTDC4023/ "%USERPROFILE%\AppData\Local\Temp\OnboardLogs"\RTDC4023\2017-07-01 --exclude "*" --recursive --include "*20170701*" &amp; "%USERPROFILE%\Documents\GitHub\mrs-test-scripts\Headless Mode &amp; Sideloading\WalkAndUnGZ.bat" "%USERPROFILE%\AppData\Local\Temp\OnboardLogs"\RTDC4023\2017-07-01</v>
      </c>
      <c r="S32" s="84" t="str">
        <f>VLOOKUP(C32,'Train Runs'!$A$13:$AE$9930,22,0)</f>
        <v>https://d0f6bd738d7f1b3e5a7ca70fe4ff75f0.us-east-1.aws.found.io/app/kibana#/discover/Steve-Slow-Train-Analysis-(2080s-and-2083s)?_g=(refreshInterval:(display:Off,pause:!f,section:0,value:0),time:(from:'2017-06-30T06:24:20-0600',mode:absolute,to:'2017-06-30T09:23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32" s="86" t="str">
        <f t="shared" si="1"/>
        <v>"C:\Program Files (x86)\AstroGrep\AstroGrep.exe" /e /r /s /spath="%USERPROFILE%\AppData\Local\Temp\OnboardLogs" /stypes="*4023*201706301*" /stext=" 14:.+((SYSTEM_STATE.+slice.+state.+changed )|(ment ac)|(multiple cpu faults)|(system.+state.+changed )|(\[timeout)|(PRM\|1\|D)|(kpr)|(kdp)|(train st.+moving)|(\|lc)|(penalty))"</v>
      </c>
      <c r="U32" s="9" t="str">
        <f t="shared" si="2"/>
        <v>4023</v>
      </c>
      <c r="V32" s="31">
        <f t="shared" si="3"/>
        <v>42916.583495370367</v>
      </c>
      <c r="W32" s="45" t="str">
        <f t="shared" si="4"/>
        <v>EC</v>
      </c>
      <c r="X32" s="22">
        <f t="shared" si="5"/>
        <v>126</v>
      </c>
      <c r="Y32" s="96" t="str">
        <f t="shared" si="6"/>
        <v>echo {"issue":{"subject":"","project_id":79,"tracker_id":40,"status_id":1,"priority_id":2,"assigned_to_id":23,"start_date":"2017-06-30","description":"","custom_fields":[{"id":1,"name":"Subdivision","value":"EC"},{"id":4,"name":"Milepost","value":"11.9716"},{"id":17,"name":"Train ID","value":"126-30"},{"id":16,"name":"Locomotive ID","value":"4023"},{"id":130,"name":"Impact","value":""},{"id":150,"name":"Time of Event (Mountain Time)","value":"08:00:14"},{"id":151,"name":"Denver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59"/>
      <c r="AA32" s="47"/>
      <c r="AB32" s="47"/>
      <c r="AC32" s="115" t="str">
        <f t="shared" si="7"/>
        <v>grep -hrE -A400 "Enforcement Action" /c/Users/stu/AppData/Local/Temp/OnboardLogs/RTDC4023 --include="*4023*201706301*"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"%USERPROFILE%\AppData\Local\Temp\OnboardLogs"\RTDC4023\*4023*201706301* &gt;&gt; 2017-06-30-SliceDisagreementCheck.txt</v>
      </c>
      <c r="AE32" s="145" t="str">
        <f t="shared" si="9"/>
        <v>start /low /b %USERPROFILE%\Documents\GitHub\eaglep3\Utilities\DownloadLogsFromS3.py --loco 4023 --day 2017-06-30</v>
      </c>
      <c r="AF32" s="1"/>
    </row>
    <row r="33" spans="1:32" x14ac:dyDescent="0.25">
      <c r="A33" s="31">
        <v>42916.239560185182</v>
      </c>
      <c r="B33" s="30" t="s">
        <v>363</v>
      </c>
      <c r="C33" s="30" t="s">
        <v>583</v>
      </c>
      <c r="D33" s="30" t="s">
        <v>96</v>
      </c>
      <c r="E33" s="30" t="s">
        <v>198</v>
      </c>
      <c r="F33" s="42">
        <v>550</v>
      </c>
      <c r="G33" s="42">
        <v>602</v>
      </c>
      <c r="H33" s="42">
        <v>222101</v>
      </c>
      <c r="I33" s="42">
        <v>219691</v>
      </c>
      <c r="J33" s="30" t="s">
        <v>199</v>
      </c>
      <c r="K33" s="42">
        <v>224581</v>
      </c>
      <c r="L33" s="131" t="s">
        <v>51</v>
      </c>
      <c r="M33" s="132">
        <f t="shared" si="0"/>
        <v>-2581.92</v>
      </c>
      <c r="N33" s="133" t="str">
        <f>VLOOKUP(C33,'Trips&amp;Operators'!$C$1:$G$99999,5,FALSE)</f>
        <v>DAVIS WENDY</v>
      </c>
      <c r="O33" s="203" t="s">
        <v>180</v>
      </c>
      <c r="P33" s="134"/>
      <c r="Q33" s="30"/>
      <c r="R33" s="81" t="str">
        <f>VLOOKUP(C33,'Train Runs'!$A$13:$AE$9930,31,0)</f>
        <v>aws s3 cp s3://rtdc.mdm.uploadarchive.raw/RTDC4021/ "%USERPROFILE%\AppData\Local\Temp\OnboardLogs"\RTDC4021\2017-06-30 --exclude "*" --recursive --include "*20170630*" &amp; "%USERPROFILE%\Documents\GitHub\mrs-test-scripts\Headless Mode &amp; Sideloading\WalkAndUnGZ.bat" "%USERPROFILE%\AppData\Local\Temp\OnboardLogs"\RTDC4021\2017-06-30 &amp; aws s3 cp s3://rtdc.mdm.uploadarchive.raw/RTDC4021/ "%USERPROFILE%\AppData\Local\Temp\OnboardLogs"\RTDC4021\2017-07-01 --exclude "*" --recursive --include "*20170701*" &amp; "%USERPROFILE%\Documents\GitHub\mrs-test-scripts\Headless Mode &amp; Sideloading\WalkAndUnGZ.bat" "%USERPROFILE%\AppData\Local\Temp\OnboardLogs"\RTDC4021\2017-07-01</v>
      </c>
      <c r="S33" s="84" t="str">
        <f>VLOOKUP(C33,'Train Runs'!$A$13:$AE$9930,22,0)</f>
        <v>https://d0f6bd738d7f1b3e5a7ca70fe4ff75f0.us-east-1.aws.found.io/app/kibana#/discover/Steve-Slow-Train-Analysis-(2080s-and-2083s)?_g=(refreshInterval:(display:Off,pause:!f,section:0,value:0),time:(from:'2017-06-30T04:38:30-0600',mode:absolute,to:'2017-06-30T07:21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33" s="86" t="str">
        <f t="shared" si="1"/>
        <v>"C:\Program Files (x86)\AstroGrep\AstroGrep.exe" /e /r /s /spath="%USERPROFILE%\AppData\Local\Temp\OnboardLogs" /stypes="*4021*201706301*" /stext=" 11:.+((SYSTEM_STATE.+slice.+state.+changed )|(ment ac)|(multiple cpu faults)|(system.+state.+changed )|(\[timeout)|(PRM\|1\|D)|(kpr)|(kdp)|(train st.+moving)|(\|lc)|(penalty))"</v>
      </c>
      <c r="U33" s="9" t="str">
        <f t="shared" si="2"/>
        <v>4021</v>
      </c>
      <c r="V33" s="31">
        <f t="shared" si="3"/>
        <v>42916.489560185182</v>
      </c>
      <c r="W33" s="45" t="str">
        <f t="shared" si="4"/>
        <v>EC</v>
      </c>
      <c r="X33" s="22">
        <f t="shared" si="5"/>
        <v>110</v>
      </c>
      <c r="Y33" s="96" t="str">
        <f t="shared" si="6"/>
        <v>echo {"issue":{"subject":"","project_id":79,"tracker_id":40,"status_id":1,"priority_id":2,"assigned_to_id":23,"start_date":"2017-06-30","description":"","custom_fields":[{"id":1,"name":"Subdivision","value":"EC"},{"id":4,"name":"Milepost","value":"22.4581"},{"id":17,"name":"Train ID","value":"110-30"},{"id":16,"name":"Locomotive ID","value":"4021"},{"id":130,"name":"Impact","value":""},{"id":150,"name":"Time of Event (Mountain Time)","value":"05:44:58"},{"id":151,"name":"Denver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59"/>
      <c r="AA33" s="47"/>
      <c r="AB33" s="47"/>
      <c r="AC33" s="115" t="str">
        <f t="shared" si="7"/>
        <v>grep -hrE -A400 "Enforcement Action" /c/Users/stu/AppData/Local/Temp/OnboardLogs/RTDC4021 --include="*4021*201706301*"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"%USERPROFILE%\AppData\Local\Temp\OnboardLogs"\RTDC4021\*4021*201706301* &gt;&gt; 2017-06-30-SliceDisagreementCheck.txt</v>
      </c>
      <c r="AE33" s="145" t="str">
        <f t="shared" si="9"/>
        <v>start /low /b %USERPROFILE%\Documents\GitHub\eaglep3\Utilities\DownloadLogsFromS3.py --loco 4021 --day 2017-06-30</v>
      </c>
      <c r="AF33" s="1"/>
    </row>
    <row r="34" spans="1:32" x14ac:dyDescent="0.25">
      <c r="A34" s="31">
        <v>42916.177361111113</v>
      </c>
      <c r="B34" s="30" t="s">
        <v>579</v>
      </c>
      <c r="C34" s="30" t="s">
        <v>580</v>
      </c>
      <c r="D34" s="30" t="s">
        <v>96</v>
      </c>
      <c r="E34" s="30" t="s">
        <v>198</v>
      </c>
      <c r="F34" s="42">
        <v>350</v>
      </c>
      <c r="G34" s="42">
        <v>400</v>
      </c>
      <c r="H34" s="42">
        <v>224788</v>
      </c>
      <c r="I34" s="42">
        <v>223303</v>
      </c>
      <c r="J34" s="30" t="s">
        <v>199</v>
      </c>
      <c r="K34" s="42">
        <v>232107</v>
      </c>
      <c r="L34" s="131" t="s">
        <v>51</v>
      </c>
      <c r="M34" s="132">
        <f t="shared" si="0"/>
        <v>-4648.5119999999997</v>
      </c>
      <c r="N34" s="133" t="str">
        <f>VLOOKUP(C34,'Trips&amp;Operators'!$C$1:$G$99999,5,FALSE)</f>
        <v>STARKS ANGELINA</v>
      </c>
      <c r="O34" s="203" t="s">
        <v>180</v>
      </c>
      <c r="P34" s="134"/>
      <c r="Q34" s="30"/>
      <c r="R34" s="81" t="str">
        <f>VLOOKUP(C34,'Train Runs'!$A$13:$AE$9930,31,0)</f>
        <v>aws s3 cp s3://rtdc.mdm.uploadarchive.raw/RTDC4023/ "%USERPROFILE%\AppData\Local\Temp\OnboardLogs"\RTDC4023\2017-06-30 --exclude "*" --recursive --include "*20170630*" &amp; "%USERPROFILE%\Documents\GitHub\mrs-test-scripts\Headless Mode &amp; Sideloading\WalkAndUnGZ.bat" "%USERPROFILE%\AppData\Local\Temp\OnboardLogs"\RTDC4023\2017-06-30 &amp; aws s3 cp s3://rtdc.mdm.uploadarchive.raw/RTDC4023/ "%USERPROFILE%\AppData\Local\Temp\OnboardLogs"\RTDC4023\2017-07-01 --exclude "*" --recursive --include "*20170701*" &amp; "%USERPROFILE%\Documents\GitHub\mrs-test-scripts\Headless Mode &amp; Sideloading\WalkAndUnGZ.bat" "%USERPROFILE%\AppData\Local\Temp\OnboardLogs"\RTDC4023\2017-07-01</v>
      </c>
      <c r="S34" s="84" t="str">
        <f>VLOOKUP(C34,'Train Runs'!$A$13:$AE$9930,22,0)</f>
        <v>https://d0f6bd738d7f1b3e5a7ca70fe4ff75f0.us-east-1.aws.found.io/app/kibana#/discover/Steve-Slow-Train-Analysis-(2080s-and-2083s)?_g=(refreshInterval:(display:Off,pause:!f,section:0,value:0),time:(from:'2017-06-30T03:09:33-0600',mode:absolute,to:'2017-06-30T05:54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34" s="86" t="str">
        <f t="shared" si="1"/>
        <v>"C:\Program Files (x86)\AstroGrep\AstroGrep.exe" /e /r /s /spath="%USERPROFILE%\AppData\Local\Temp\OnboardLogs" /stypes="*4023*201706301*" /stext=" 10:.+((SYSTEM_STATE.+slice.+state.+changed )|(ment ac)|(multiple cpu faults)|(system.+state.+changed )|(\[timeout)|(PRM\|1\|D)|(kpr)|(kdp)|(train st.+moving)|(\|lc)|(penalty))"</v>
      </c>
      <c r="U34" s="9" t="str">
        <f t="shared" si="2"/>
        <v>4023</v>
      </c>
      <c r="V34" s="31">
        <f t="shared" si="3"/>
        <v>42916.427361111113</v>
      </c>
      <c r="W34" s="45" t="str">
        <f t="shared" si="4"/>
        <v>EC</v>
      </c>
      <c r="X34" s="22">
        <f t="shared" si="5"/>
        <v>102</v>
      </c>
      <c r="Y34" s="96" t="str">
        <f t="shared" si="6"/>
        <v>echo {"issue":{"subject":"","project_id":79,"tracker_id":40,"status_id":1,"priority_id":2,"assigned_to_id":23,"start_date":"2017-06-30","description":"","custom_fields":[{"id":1,"name":"Subdivision","value":"EC"},{"id":4,"name":"Milepost","value":"23.2107"},{"id":17,"name":"Train ID","value":"102-30"},{"id":16,"name":"Locomotive ID","value":"4023"},{"id":130,"name":"Impact","value":""},{"id":150,"name":"Time of Event (Mountain Time)","value":"04:15:24"},{"id":151,"name":"Denver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59"/>
      <c r="AA34" s="47"/>
      <c r="AB34" s="47"/>
      <c r="AC34" s="115" t="str">
        <f t="shared" si="7"/>
        <v>grep -hrE -A400 "Enforcement Action" /c/Users/stu/AppData/Local/Temp/OnboardLogs/RTDC4023 --include="*4023*201706301*"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"%USERPROFILE%\AppData\Local\Temp\OnboardLogs"\RTDC4023\*4023*201706301* &gt;&gt; 2017-06-30-SliceDisagreementCheck.txt</v>
      </c>
      <c r="AE34" s="145" t="str">
        <f t="shared" si="9"/>
        <v>start /low /b %USERPROFILE%\Documents\GitHub\eaglep3\Utilities\DownloadLogsFromS3.py --loco 4023 --day 2017-06-30</v>
      </c>
      <c r="AF34" s="1"/>
    </row>
    <row r="35" spans="1:32" x14ac:dyDescent="0.25">
      <c r="A35" s="31">
        <v>42917.085636574076</v>
      </c>
      <c r="B35" s="30" t="s">
        <v>408</v>
      </c>
      <c r="C35" s="30" t="s">
        <v>636</v>
      </c>
      <c r="D35" s="30" t="s">
        <v>49</v>
      </c>
      <c r="E35" s="30" t="s">
        <v>359</v>
      </c>
      <c r="F35" s="42">
        <v>0</v>
      </c>
      <c r="G35" s="42">
        <v>154</v>
      </c>
      <c r="H35" s="42">
        <v>5378</v>
      </c>
      <c r="I35" s="42">
        <v>5106</v>
      </c>
      <c r="J35" s="30" t="s">
        <v>360</v>
      </c>
      <c r="K35" s="42">
        <v>4677</v>
      </c>
      <c r="L35" s="131" t="s">
        <v>51</v>
      </c>
      <c r="M35" s="132">
        <f t="shared" si="0"/>
        <v>226.512</v>
      </c>
      <c r="N35" s="133" t="str">
        <f>VLOOKUP(C35,'Trips&amp;Operators'!$C$1:$G$99999,5,FALSE)</f>
        <v>FORTUNATO FRANK</v>
      </c>
      <c r="O35" s="203" t="s">
        <v>395</v>
      </c>
      <c r="P35" s="134" t="s">
        <v>456</v>
      </c>
      <c r="Q35" s="30"/>
      <c r="R35" s="81" t="str">
        <f>VLOOKUP(C35,'Train Runs'!$A$13:$AE$9930,31,0)</f>
        <v>aws s3 cp s3://rtdc.mdm.uploadarchive.raw/RTDC4001/ "%USERPROFILE%\AppData\Local\Temp\OnboardLogs"\RTDC4001\2017-07-01 --exclude "*" --recursive --include "*20170701*" &amp; "%USERPROFILE%\Documents\GitHub\mrs-test-scripts\Headless Mode &amp; Sideloading\WalkAndUnGZ.bat" "%USERPROFILE%\AppData\Local\Temp\OnboardLogs"\RTDC4001\2017-07-01 &amp; aws s3 cp s3://rtdc.mdm.uploadarchive.raw/RTDC4001/ "%USERPROFILE%\AppData\Local\Temp\OnboardLogs"\RTDC4001\2017-07-02 --exclude "*" --recursive --include "*20170702*" &amp; "%USERPROFILE%\Documents\GitHub\mrs-test-scripts\Headless Mode &amp; Sideloading\WalkAndUnGZ.bat" "%USERPROFILE%\AppData\Local\Temp\OnboardLogs"\RTDC4001\2017-07-02</v>
      </c>
      <c r="S35" s="84" t="str">
        <f>VLOOKUP(C35,'Train Runs'!$A$13:$AE$9930,22,0)</f>
        <v>https://d0f6bd738d7f1b3e5a7ca70fe4ff75f0.us-east-1.aws.found.io/app/kibana#/discover/Steve-Slow-Train-Analysis-(2080s-and-2083s)?_g=(refreshInterval:(display:Off,pause:!f,section:0,value:0),time:(from:'2017-07-01T00:09:32-0600',mode:absolute,to:'2017-07-01T03:03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35" s="86" t="str">
        <f t="shared" si="1"/>
        <v>"C:\Program Files (x86)\AstroGrep\AstroGrep.exe" /e /r /s /spath="%USERPROFILE%\AppData\Local\Temp\OnboardLogs" /stypes="*4001*201707010*" /stext=" 08:.+((SYSTEM_STATE.+slice.+state.+changed )|(ment ac)|(multiple cpu faults)|(system.+state.+changed )|(\[timeout)|(PRM\|1\|D)|(kpr)|(kdp)|(train st.+moving)|(\|lc)|(penalty))"</v>
      </c>
      <c r="U35" s="9" t="str">
        <f t="shared" si="2"/>
        <v>4001</v>
      </c>
      <c r="V35" s="31">
        <f t="shared" si="3"/>
        <v>42917.335636574076</v>
      </c>
      <c r="W35" s="45" t="str">
        <f t="shared" si="4"/>
        <v>EC</v>
      </c>
      <c r="X35" s="22">
        <f t="shared" si="5"/>
        <v>244</v>
      </c>
      <c r="Y35" s="96" t="str">
        <f t="shared" si="6"/>
        <v>echo {"issue":{"subject":"Wi-MAX data drop","project_id":79,"tracker_id":40,"status_id":1,"priority_id":2,"assigned_to_id":23,"start_date":"2017-07-01","description":"","custom_fields":[{"id":1,"name":"Subdivision","value":"EC"},{"id":4,"name":"Milepost","value":"0.4677"},{"id":17,"name":"Train ID","value":"244-30"},{"id":16,"name":"Locomotive ID","value":"4001"},{"id":130,"name":"Impact","value":""},{"id":150,"name":"Time of Event (Mountain Time)","value":"02:03:19"},{"id":151,"name":"Denver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59"/>
      <c r="AA35" s="47"/>
      <c r="AB35" s="47"/>
      <c r="AC35" s="115" t="str">
        <f t="shared" si="7"/>
        <v>grep -hrE -A400 "Enforcement Action" /c/Users/stu/AppData/Local/Temp/OnboardLogs/RTDC4001 --include="*4001*201707010*"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"%USERPROFILE%\AppData\Local\Temp\OnboardLogs"\RTDC4001\*4001*201707010* &gt;&gt; 2017-06-30-SliceDisagreementCheck.txt</v>
      </c>
      <c r="AE35" s="145" t="str">
        <f t="shared" si="9"/>
        <v>start /low /b %USERPROFILE%\Documents\GitHub\eaglep3\Utilities\DownloadLogsFromS3.py --loco 4001 --day 2017-07-01</v>
      </c>
      <c r="AF35" s="1"/>
    </row>
    <row r="36" spans="1:32" x14ac:dyDescent="0.25">
      <c r="A36" s="31">
        <v>42916.197604166664</v>
      </c>
      <c r="B36" s="30" t="s">
        <v>409</v>
      </c>
      <c r="C36" s="30" t="s">
        <v>581</v>
      </c>
      <c r="D36" s="30" t="s">
        <v>49</v>
      </c>
      <c r="E36" s="30" t="s">
        <v>359</v>
      </c>
      <c r="F36" s="42">
        <v>0</v>
      </c>
      <c r="G36" s="42">
        <v>303</v>
      </c>
      <c r="H36" s="42">
        <v>63802</v>
      </c>
      <c r="I36" s="42">
        <v>64315</v>
      </c>
      <c r="J36" s="30" t="s">
        <v>360</v>
      </c>
      <c r="K36" s="42">
        <v>63995</v>
      </c>
      <c r="L36" s="131" t="s">
        <v>50</v>
      </c>
      <c r="M36" s="132">
        <f t="shared" si="0"/>
        <v>-168.96</v>
      </c>
      <c r="N36" s="133" t="str">
        <f>VLOOKUP(C36,'Trips&amp;Operators'!$C$1:$G$99999,5,FALSE)</f>
        <v>GEBRETEKLE DAGNEW</v>
      </c>
      <c r="O36" s="203" t="s">
        <v>395</v>
      </c>
      <c r="P36" s="134" t="s">
        <v>456</v>
      </c>
      <c r="Q36" s="30"/>
      <c r="R36" s="81" t="str">
        <f>VLOOKUP(C36,'Train Runs'!$A$13:$AE$9930,31,0)</f>
        <v>aws s3 cp s3://rtdc.mdm.uploadarchive.raw/RTDC4002/ "%USERPROFILE%\AppData\Local\Temp\OnboardLogs"\RTDC4002\2017-06-30 --exclude "*" --recursive --include "*20170630*" &amp; "%USERPROFILE%\Documents\GitHub\mrs-test-scripts\Headless Mode &amp; Sideloading\WalkAndUnGZ.bat" "%USERPROFILE%\AppData\Local\Temp\OnboardLogs"\RTDC4002\2017-06-30 &amp; aws s3 cp s3://rtdc.mdm.uploadarchive.raw/RTDC4002/ "%USERPROFILE%\AppData\Local\Temp\OnboardLogs"\RTDC4002\2017-07-01 --exclude "*" --recursive --include "*20170701*" &amp; "%USERPROFILE%\Documents\GitHub\mrs-test-scripts\Headless Mode &amp; Sideloading\WalkAndUnGZ.bat" "%USERPROFILE%\AppData\Local\Temp\OnboardLogs"\RTDC4002\2017-07-01</v>
      </c>
      <c r="S36" s="84" t="str">
        <f>VLOOKUP(C36,'Train Runs'!$A$13:$AE$9930,22,0)</f>
        <v>https://d0f6bd738d7f1b3e5a7ca70fe4ff75f0.us-east-1.aws.found.io/app/kibana#/discover/Steve-Slow-Train-Analysis-(2080s-and-2083s)?_g=(refreshInterval:(display:Off,pause:!f,section:0,value:0),time:(from:'2017-06-30T03:27:25-0600',mode:absolute,to:'2017-06-30T06:09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36" s="86" t="str">
        <f t="shared" si="1"/>
        <v>"C:\Program Files (x86)\AstroGrep\AstroGrep.exe" /e /r /s /spath="%USERPROFILE%\AppData\Local\Temp\OnboardLogs" /stypes="*4002*201706301*" /stext=" 10:.+((SYSTEM_STATE.+slice.+state.+changed )|(ment ac)|(multiple cpu faults)|(system.+state.+changed )|(\[timeout)|(PRM\|1\|D)|(kpr)|(kdp)|(train st.+moving)|(\|lc)|(penalty))"</v>
      </c>
      <c r="U36" s="9" t="str">
        <f t="shared" si="2"/>
        <v>4002</v>
      </c>
      <c r="V36" s="31">
        <f t="shared" si="3"/>
        <v>42916.447604166664</v>
      </c>
      <c r="W36" s="45" t="str">
        <f t="shared" si="4"/>
        <v>EC</v>
      </c>
      <c r="X36" s="22">
        <f t="shared" si="5"/>
        <v>107</v>
      </c>
      <c r="Y36" s="96" t="str">
        <f t="shared" si="6"/>
        <v>echo {"issue":{"subject":"Wi-MAX data drop","project_id":79,"tracker_id":40,"status_id":1,"priority_id":2,"assigned_to_id":23,"start_date":"2017-06-30","description":"","custom_fields":[{"id":1,"name":"Subdivision","value":"EC"},{"id":4,"name":"Milepost","value":"6.3995"},{"id":17,"name":"Train ID","value":"107-30"},{"id":16,"name":"Locomotive ID","value":"4002"},{"id":130,"name":"Impact","value":""},{"id":150,"name":"Time of Event (Mountain Time)","value":"04:44:33"},{"id":151,"name":"Denver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59"/>
      <c r="AA36" s="47"/>
      <c r="AB36" s="47"/>
      <c r="AC36" s="115" t="str">
        <f t="shared" si="7"/>
        <v>grep -hrE -A400 "Enforcement Action" /c/Users/stu/AppData/Local/Temp/OnboardLogs/RTDC4002 --include="*4002*201706301*"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"%USERPROFILE%\AppData\Local\Temp\OnboardLogs"\RTDC4002\*4002*201706301* &gt;&gt; 2017-06-30-SliceDisagreementCheck.txt</v>
      </c>
      <c r="AE36" s="145" t="str">
        <f t="shared" si="9"/>
        <v>start /low /b %USERPROFILE%\Documents\GitHub\eaglep3\Utilities\DownloadLogsFromS3.py --loco 4002 --day 2017-06-30</v>
      </c>
      <c r="AF36" s="1"/>
    </row>
    <row r="37" spans="1:32" x14ac:dyDescent="0.25">
      <c r="A37" s="31">
        <v>42916.328773148147</v>
      </c>
      <c r="B37" s="30" t="s">
        <v>363</v>
      </c>
      <c r="C37" s="30" t="s">
        <v>588</v>
      </c>
      <c r="D37" s="30" t="s">
        <v>49</v>
      </c>
      <c r="E37" s="30" t="s">
        <v>589</v>
      </c>
      <c r="F37" s="42">
        <v>0</v>
      </c>
      <c r="G37" s="42">
        <v>345</v>
      </c>
      <c r="H37" s="42">
        <v>58128</v>
      </c>
      <c r="I37" s="42">
        <v>56922</v>
      </c>
      <c r="J37" s="30" t="s">
        <v>590</v>
      </c>
      <c r="K37" s="42">
        <v>57801</v>
      </c>
      <c r="L37" s="131" t="s">
        <v>51</v>
      </c>
      <c r="M37" s="132">
        <f t="shared" si="0"/>
        <v>-464.11200000000002</v>
      </c>
      <c r="N37" s="133" t="str">
        <f>VLOOKUP(C37,'Trips&amp;Operators'!$C$1:$G$99999,5,FALSE)</f>
        <v>DAVIS WENDY</v>
      </c>
      <c r="O37" s="203" t="s">
        <v>395</v>
      </c>
      <c r="P37" s="134" t="s">
        <v>456</v>
      </c>
      <c r="Q37" s="30"/>
      <c r="R37" s="81" t="str">
        <f>VLOOKUP(C37,'Train Runs'!$A$13:$AE$9930,31,0)</f>
        <v>aws s3 cp s3://rtdc.mdm.uploadarchive.raw/RTDC4021/ "%USERPROFILE%\AppData\Local\Temp\OnboardLogs"\RTDC4021\2017-06-30 --exclude "*" --recursive --include "*20170630*" &amp; "%USERPROFILE%\Documents\GitHub\mrs-test-scripts\Headless Mode &amp; Sideloading\WalkAndUnGZ.bat" "%USERPROFILE%\AppData\Local\Temp\OnboardLogs"\RTDC4021\2017-06-30 &amp; aws s3 cp s3://rtdc.mdm.uploadarchive.raw/RTDC4021/ "%USERPROFILE%\AppData\Local\Temp\OnboardLogs"\RTDC4021\2017-07-01 --exclude "*" --recursive --include "*20170701*" &amp; "%USERPROFILE%\Documents\GitHub\mrs-test-scripts\Headless Mode &amp; Sideloading\WalkAndUnGZ.bat" "%USERPROFILE%\AppData\Local\Temp\OnboardLogs"\RTDC4021\2017-07-01</v>
      </c>
      <c r="S37" s="84" t="str">
        <f>VLOOKUP(C37,'Train Runs'!$A$13:$AE$9930,22,0)</f>
        <v>https://d0f6bd738d7f1b3e5a7ca70fe4ff75f0.us-east-1.aws.found.io/app/kibana#/discover/Steve-Slow-Train-Analysis-(2080s-and-2083s)?_g=(refreshInterval:(display:Off,pause:!f,section:0,value:0),time:(from:'2017-06-30T06:24:03-0600',mode:absolute,to:'2017-06-30T09:12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37" s="86" t="str">
        <f t="shared" si="1"/>
        <v>"C:\Program Files (x86)\AstroGrep\AstroGrep.exe" /e /r /s /spath="%USERPROFILE%\AppData\Local\Temp\OnboardLogs" /stypes="*4021*201706301*" /stext=" 13:.+((SYSTEM_STATE.+slice.+state.+changed )|(ment ac)|(multiple cpu faults)|(system.+state.+changed )|(\[timeout)|(PRM\|1\|D)|(kpr)|(kdp)|(train st.+moving)|(\|lc)|(penalty))"</v>
      </c>
      <c r="U37" s="9" t="str">
        <f t="shared" si="2"/>
        <v>4021</v>
      </c>
      <c r="V37" s="31">
        <f t="shared" si="3"/>
        <v>42916.578773148147</v>
      </c>
      <c r="W37" s="45" t="str">
        <f t="shared" si="4"/>
        <v>EC</v>
      </c>
      <c r="X37" s="22">
        <f t="shared" si="5"/>
        <v>124</v>
      </c>
      <c r="Y37" s="96" t="str">
        <f t="shared" si="6"/>
        <v>echo {"issue":{"subject":"Wi-MAX data drop","project_id":79,"tracker_id":40,"status_id":1,"priority_id":2,"assigned_to_id":23,"start_date":"2017-06-30","description":"","custom_fields":[{"id":1,"name":"Subdivision","value":"EC"},{"id":4,"name":"Milepost","value":"5.7801"},{"id":17,"name":"Train ID","value":"124-30"},{"id":16,"name":"Locomotive ID","value":"4021"},{"id":130,"name":"Impact","value":""},{"id":150,"name":"Time of Event (Mountain Time)","value":"07:53:26"},{"id":151,"name":"Denver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59"/>
      <c r="AA37" s="47"/>
      <c r="AB37" s="47"/>
      <c r="AC37" s="115" t="str">
        <f t="shared" si="7"/>
        <v>grep -hrE -A400 "Enforcement Action" /c/Users/stu/AppData/Local/Temp/OnboardLogs/RTDC4021 --include="*4021*201706301*"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"%USERPROFILE%\AppData\Local\Temp\OnboardLogs"\RTDC4021\*4021*201706301* &gt;&gt; 2017-06-30-SliceDisagreementCheck.txt</v>
      </c>
      <c r="AE37" s="145" t="str">
        <f t="shared" si="9"/>
        <v>start /low /b %USERPROFILE%\Documents\GitHub\eaglep3\Utilities\DownloadLogsFromS3.py --loco 4021 --day 2017-06-30</v>
      </c>
      <c r="AF37" s="1"/>
    </row>
    <row r="38" spans="1:32" x14ac:dyDescent="0.25">
      <c r="A38" s="31">
        <v>42916.536365740743</v>
      </c>
      <c r="B38" s="30" t="s">
        <v>601</v>
      </c>
      <c r="C38" s="30" t="s">
        <v>602</v>
      </c>
      <c r="D38" s="30" t="s">
        <v>49</v>
      </c>
      <c r="E38" s="30" t="s">
        <v>181</v>
      </c>
      <c r="F38" s="42">
        <v>0</v>
      </c>
      <c r="G38" s="42">
        <v>52</v>
      </c>
      <c r="H38" s="42">
        <v>169</v>
      </c>
      <c r="I38" s="42">
        <v>123</v>
      </c>
      <c r="J38" s="30" t="s">
        <v>182</v>
      </c>
      <c r="K38" s="42">
        <v>1</v>
      </c>
      <c r="L38" s="131" t="s">
        <v>51</v>
      </c>
      <c r="M38" s="132">
        <f t="shared" si="0"/>
        <v>64.415999999999997</v>
      </c>
      <c r="N38" s="133" t="str">
        <f>VLOOKUP(C38,'Trips&amp;Operators'!$C$1:$G$99999,5,FALSE)</f>
        <v>BRANDNER MELINDA</v>
      </c>
      <c r="O38" s="203" t="s">
        <v>180</v>
      </c>
      <c r="P38" s="134"/>
      <c r="Q38" s="30"/>
      <c r="R38" s="81" t="str">
        <f>VLOOKUP(C38,'Train Runs'!$A$13:$AE$9930,31,0)</f>
        <v>aws s3 cp s3://rtdc.mdm.uploadarchive.raw/RTDC4041/ "%USERPROFILE%\AppData\Local\Temp\OnboardLogs"\RTDC4041\2017-06-30 --exclude "*" --recursive --include "*20170630*" &amp; "%USERPROFILE%\Documents\GitHub\mrs-test-scripts\Headless Mode &amp; Sideloading\WalkAndUnGZ.bat" "%USERPROFILE%\AppData\Local\Temp\OnboardLogs"\RTDC4041\2017-06-30 &amp; aws s3 cp s3://rtdc.mdm.uploadarchive.raw/RTDC4041/ "%USERPROFILE%\AppData\Local\Temp\OnboardLogs"\RTDC4041\2017-07-01 --exclude "*" --recursive --include "*20170701*" &amp; "%USERPROFILE%\Documents\GitHub\mrs-test-scripts\Headless Mode &amp; Sideloading\WalkAndUnGZ.bat" "%USERPROFILE%\AppData\Local\Temp\OnboardLogs"\RTDC4041\2017-07-01</v>
      </c>
      <c r="S38" s="84" t="str">
        <f>VLOOKUP(C38,'Train Runs'!$A$13:$AE$9930,22,0)</f>
        <v>https://d0f6bd738d7f1b3e5a7ca70fe4ff75f0.us-east-1.aws.found.io/app/kibana#/discover/Steve-Slow-Train-Analysis-(2080s-and-2083s)?_g=(refreshInterval:(display:Off,pause:!f,section:0,value:0),time:(from:'2017-06-30T11:07:33-0600',mode:absolute,to:'2017-06-30T13:52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38" s="86" t="str">
        <f t="shared" si="1"/>
        <v>"C:\Program Files (x86)\AstroGrep\AstroGrep.exe" /e /r /s /spath="%USERPROFILE%\AppData\Local\Temp\OnboardLogs" /stypes="*4041*201706301*" /stext=" 18:.+((SYSTEM_STATE.+slice.+state.+changed )|(ment ac)|(multiple cpu faults)|(system.+state.+changed )|(\[timeout)|(PRM\|1\|D)|(kpr)|(kdp)|(train st.+moving)|(\|lc)|(penalty))"</v>
      </c>
      <c r="U38" s="9" t="str">
        <f t="shared" si="2"/>
        <v>4041</v>
      </c>
      <c r="V38" s="31">
        <f t="shared" si="3"/>
        <v>42916.786365740743</v>
      </c>
      <c r="W38" s="45" t="str">
        <f t="shared" si="4"/>
        <v>EC</v>
      </c>
      <c r="X38" s="22">
        <f t="shared" si="5"/>
        <v>162</v>
      </c>
      <c r="Y38" s="96" t="str">
        <f t="shared" si="6"/>
        <v>echo {"issue":{"subject":"","project_id":79,"tracker_id":40,"status_id":1,"priority_id":2,"assigned_to_id":23,"start_date":"2017-06-30","description":"","custom_fields":[{"id":1,"name":"Subdivision","value":"EC"},{"id":4,"name":"Milepost","value":"0.0001"},{"id":17,"name":"Train ID","value":"162-30"},{"id":16,"name":"Locomotive ID","value":"4041"},{"id":130,"name":"Impact","value":""},{"id":150,"name":"Time of Event (Mountain Time)","value":"12:52:22"},{"id":151,"name":"Denver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59"/>
      <c r="AA38" s="47"/>
      <c r="AB38" s="47"/>
      <c r="AC38" s="115" t="str">
        <f t="shared" si="7"/>
        <v>grep -hrE -A400 "Enforcement Action" /c/Users/stu/AppData/Local/Temp/OnboardLogs/RTDC4041 --include="*4041*201706301*"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"%USERPROFILE%\AppData\Local\Temp\OnboardLogs"\RTDC4041\*4041*201706301* &gt;&gt; 2017-06-30-SliceDisagreementCheck.txt</v>
      </c>
      <c r="AE38" s="145" t="str">
        <f t="shared" si="9"/>
        <v>start /low /b %USERPROFILE%\Documents\GitHub\eaglep3\Utilities\DownloadLogsFromS3.py --loco 4041 --day 2017-06-30</v>
      </c>
      <c r="AF38" s="1"/>
    </row>
    <row r="39" spans="1:32" x14ac:dyDescent="0.25">
      <c r="A39" s="31">
        <v>42916.691400462965</v>
      </c>
      <c r="B39" s="30" t="s">
        <v>408</v>
      </c>
      <c r="C39" s="30" t="s">
        <v>616</v>
      </c>
      <c r="D39" s="30" t="s">
        <v>49</v>
      </c>
      <c r="E39" s="30" t="s">
        <v>181</v>
      </c>
      <c r="F39" s="42">
        <v>0</v>
      </c>
      <c r="G39" s="42">
        <v>67</v>
      </c>
      <c r="H39" s="42">
        <v>236</v>
      </c>
      <c r="I39" s="42">
        <v>130</v>
      </c>
      <c r="J39" s="30" t="s">
        <v>182</v>
      </c>
      <c r="K39" s="42">
        <v>1</v>
      </c>
      <c r="L39" s="131" t="s">
        <v>51</v>
      </c>
      <c r="M39" s="132">
        <f t="shared" ref="M39:M70" si="10">CONVERT((I39-K39)/10000,"mi","ft")*IF(L39="Increasing Mileposts (1)",-1,1)</f>
        <v>68.111999999999995</v>
      </c>
      <c r="N39" s="133" t="str">
        <f>VLOOKUP(C39,'Trips&amp;Operators'!$C$1:$G$99999,5,FALSE)</f>
        <v>STEWART MICHAEL</v>
      </c>
      <c r="O39" s="203" t="s">
        <v>180</v>
      </c>
      <c r="P39" s="134"/>
      <c r="Q39" s="30"/>
      <c r="R39" s="81" t="str">
        <f>VLOOKUP(C39,'Train Runs'!$A$13:$AE$9930,31,0)</f>
        <v>aws s3 cp s3://rtdc.mdm.uploadarchive.raw/RTDC4001/ "%USERPROFILE%\AppData\Local\Temp\OnboardLogs"\RTDC4001\2017-06-30 --exclude "*" --recursive --include "*20170630*" &amp; "%USERPROFILE%\Documents\GitHub\mrs-test-scripts\Headless Mode &amp; Sideloading\WalkAndUnGZ.bat" "%USERPROFILE%\AppData\Local\Temp\OnboardLogs"\RTDC4001\2017-06-30 &amp; aws s3 cp s3://rtdc.mdm.uploadarchive.raw/RTDC4001/ "%USERPROFILE%\AppData\Local\Temp\OnboardLogs"\RTDC4001\2017-07-01 --exclude "*" --recursive --include "*20170701*" &amp; "%USERPROFILE%\Documents\GitHub\mrs-test-scripts\Headless Mode &amp; Sideloading\WalkAndUnGZ.bat" "%USERPROFILE%\AppData\Local\Temp\OnboardLogs"\RTDC4001\2017-07-01</v>
      </c>
      <c r="S39" s="84" t="str">
        <f>VLOOKUP(C39,'Train Runs'!$A$13:$AE$9930,22,0)</f>
        <v>https://d0f6bd738d7f1b3e5a7ca70fe4ff75f0.us-east-1.aws.found.io/app/kibana#/discover/Steve-Slow-Train-Analysis-(2080s-and-2083s)?_g=(refreshInterval:(display:Off,pause:!f,section:0,value:0),time:(from:'2017-06-30T14:51:51-0600',mode:absolute,to:'2017-06-30T17:35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39" s="86" t="str">
        <f t="shared" ref="T39:T70" si="11">astrogrep_path&amp;" /e /r /s /spath="&amp;search_path&amp;" /stypes=""*"&amp;U39&amp;"*"&amp;TEXT(A39-utc_offset/24,"YYYYMMDD")&amp;LEFT(TEXT(A39-utc_offset/24,"HH"),1)&amp;"*"" /stext="" "&amp;TEXT(A39-utc_offset/24,"HH")&amp;search_regexp&amp;""""</f>
        <v>"C:\Program Files (x86)\AstroGrep\AstroGrep.exe" /e /r /s /spath="%USERPROFILE%\AppData\Local\Temp\OnboardLogs" /stypes="*4001*201706302*" /stext=" 22:.+((SYSTEM_STATE.+slice.+state.+changed )|(ment ac)|(multiple cpu faults)|(system.+state.+changed )|(\[timeout)|(PRM\|1\|D)|(kpr)|(kdp)|(train st.+moving)|(\|lc)|(penalty))"</v>
      </c>
      <c r="U39" s="9" t="str">
        <f t="shared" ref="U39:U70" si="12">MID(B39,13,4)</f>
        <v>4001</v>
      </c>
      <c r="V39" s="31">
        <f t="shared" ref="V39:V70" si="13">A39-utc_offset/24</f>
        <v>42916.941400462965</v>
      </c>
      <c r="W39" s="45" t="str">
        <f t="shared" ref="W39:W70" si="14">DetSubdiv(C39)</f>
        <v>EC</v>
      </c>
      <c r="X39" s="22">
        <f t="shared" ref="X39:X70" si="15">VALUE(LEFT(C39,LEN(C39)-3))</f>
        <v>192</v>
      </c>
      <c r="Y39" s="96" t="str">
        <f t="shared" ref="Y39:Y70" si="16"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{"issue":{"subject":"","project_id":79,"tracker_id":40,"status_id":1,"priority_id":2,"assigned_to_id":23,"start_date":"2017-06-30","description":"","custom_fields":[{"id":1,"name":"Subdivision","value":"EC"},{"id":4,"name":"Milepost","value":"0.0001"},{"id":17,"name":"Train ID","value":"192-30"},{"id":16,"name":"Locomotive ID","value":"4001"},{"id":130,"name":"Impact","value":""},{"id":150,"name":"Time of Event (Mountain Time)","value":"16:35:37"},{"id":151,"name":"Denver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59"/>
      <c r="AA39" s="47"/>
      <c r="AB39" s="47"/>
      <c r="AC39" s="115" t="str">
        <f t="shared" ref="AC39:AC70" si="17">"grep -hrE -A400 ""Enforcement Action"" "&amp;"/c/Users/stu/AppData/Local/Temp/OnboardLogs"&amp;"/RTDC"&amp;U39&amp;" --include=""*"&amp;U39&amp;"*"&amp;TEXT(A39-utc_offset/24,"YYYYMMDD")&amp;LEFT(TEXT(A39-utc_offset/24,"HH"),1)&amp;"*"" | grep -E ""((Enforcement Ac)|(PRM))"" -"</f>
        <v>grep -hrE -A400 "Enforcement Action" /c/Users/stu/AppData/Local/Temp/OnboardLogs/RTDC4001 --include="*4001*201706302*"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"%USERPROFILE%\AppData\Local\Temp\OnboardLogs"\RTDC4001\*4001*201706302* &gt;&gt; 2017-06-30-SliceDisagreementCheck.txt</v>
      </c>
      <c r="AE39" s="145" t="str">
        <f t="shared" si="9"/>
        <v>start /low /b %USERPROFILE%\Documents\GitHub\eaglep3\Utilities\DownloadLogsFromS3.py --loco 4001 --day 2017-06-30</v>
      </c>
      <c r="AF39" s="1"/>
    </row>
    <row r="40" spans="1:32" x14ac:dyDescent="0.25">
      <c r="A40" s="31">
        <v>42916.817395833335</v>
      </c>
      <c r="B40" s="30" t="s">
        <v>366</v>
      </c>
      <c r="C40" s="30" t="s">
        <v>630</v>
      </c>
      <c r="D40" s="30" t="s">
        <v>49</v>
      </c>
      <c r="E40" s="30" t="s">
        <v>181</v>
      </c>
      <c r="F40" s="42">
        <v>0</v>
      </c>
      <c r="G40" s="42">
        <v>53</v>
      </c>
      <c r="H40" s="42">
        <v>150</v>
      </c>
      <c r="I40" s="42">
        <v>107</v>
      </c>
      <c r="J40" s="30" t="s">
        <v>182</v>
      </c>
      <c r="K40" s="42">
        <v>1</v>
      </c>
      <c r="L40" s="131" t="s">
        <v>51</v>
      </c>
      <c r="M40" s="132">
        <f t="shared" si="10"/>
        <v>55.968000000000004</v>
      </c>
      <c r="N40" s="133" t="str">
        <f>VLOOKUP(C40,'Trips&amp;Operators'!$C$1:$G$99999,5,FALSE)</f>
        <v>HOLCOMB KAMDEN</v>
      </c>
      <c r="O40" s="203" t="s">
        <v>180</v>
      </c>
      <c r="P40" s="134"/>
      <c r="Q40" s="30"/>
      <c r="R40" s="81" t="str">
        <f>VLOOKUP(C40,'Train Runs'!$A$13:$AE$9930,31,0)</f>
        <v>aws s3 cp s3://rtdc.mdm.uploadarchive.raw/RTDC4039/ "%USERPROFILE%\AppData\Local\Temp\OnboardLogs"\RTDC4039\2017-06-30 --exclude "*" --recursive --include "*20170630*" &amp; "%USERPROFILE%\Documents\GitHub\mrs-test-scripts\Headless Mode &amp; Sideloading\WalkAndUnGZ.bat" "%USERPROFILE%\AppData\Local\Temp\OnboardLogs"\RTDC4039\2017-06-30 &amp; aws s3 cp s3://rtdc.mdm.uploadarchive.raw/RTDC4039/ "%USERPROFILE%\AppData\Local\Temp\OnboardLogs"\RTDC4039\2017-07-01 --exclude "*" --recursive --include "*20170701*" &amp; "%USERPROFILE%\Documents\GitHub\mrs-test-scripts\Headless Mode &amp; Sideloading\WalkAndUnGZ.bat" "%USERPROFILE%\AppData\Local\Temp\OnboardLogs"\RTDC4039\2017-07-01</v>
      </c>
      <c r="S40" s="84" t="str">
        <f>VLOOKUP(C40,'Train Runs'!$A$13:$AE$9930,22,0)</f>
        <v>https://d0f6bd738d7f1b3e5a7ca70fe4ff75f0.us-east-1.aws.found.io/app/kibana#/discover/Steve-Slow-Train-Analysis-(2080s-and-2083s)?_g=(refreshInterval:(display:Off,pause:!f,section:0,value:0),time:(from:'2017-06-30T17:52:54-0600',mode:absolute,to:'2017-06-30T20:37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40" s="86" t="str">
        <f t="shared" si="11"/>
        <v>"C:\Program Files (x86)\AstroGrep\AstroGrep.exe" /e /r /s /spath="%USERPROFILE%\AppData\Local\Temp\OnboardLogs" /stypes="*4039*201707010*" /stext=" 01:.+((SYSTEM_STATE.+slice.+state.+changed )|(ment ac)|(multiple cpu faults)|(system.+state.+changed )|(\[timeout)|(PRM\|1\|D)|(kpr)|(kdp)|(train st.+moving)|(\|lc)|(penalty))"</v>
      </c>
      <c r="U40" s="9" t="str">
        <f t="shared" si="12"/>
        <v>4039</v>
      </c>
      <c r="V40" s="31">
        <f t="shared" si="13"/>
        <v>42917.067395833335</v>
      </c>
      <c r="W40" s="45" t="str">
        <f t="shared" si="14"/>
        <v>EC</v>
      </c>
      <c r="X40" s="22">
        <f t="shared" si="15"/>
        <v>216</v>
      </c>
      <c r="Y40" s="96" t="str">
        <f t="shared" si="16"/>
        <v>echo {"issue":{"subject":"","project_id":79,"tracker_id":40,"status_id":1,"priority_id":2,"assigned_to_id":23,"start_date":"2017-06-30","description":"","custom_fields":[{"id":1,"name":"Subdivision","value":"EC"},{"id":4,"name":"Milepost","value":"0.0001"},{"id":17,"name":"Train ID","value":"216-30"},{"id":16,"name":"Locomotive ID","value":"4039"},{"id":130,"name":"Impact","value":""},{"id":150,"name":"Time of Event (Mountain Time)","value":"19:37:03"},{"id":151,"name":"Denver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59"/>
      <c r="AA40" s="47"/>
      <c r="AB40" s="47"/>
      <c r="AC40" s="115" t="str">
        <f t="shared" si="17"/>
        <v>grep -hrE -A400 "Enforcement Action" /c/Users/stu/AppData/Local/Temp/OnboardLogs/RTDC4039 --include="*4039*201707010*"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"%USERPROFILE%\AppData\Local\Temp\OnboardLogs"\RTDC4039\*4039*201707010* &gt;&gt; 2017-06-30-SliceDisagreementCheck.txt</v>
      </c>
      <c r="AE40" s="145" t="str">
        <f t="shared" si="9"/>
        <v>start /low /b %USERPROFILE%\Documents\GitHub\eaglep3\Utilities\DownloadLogsFromS3.py --loco 4039 --day 2017-07-01</v>
      </c>
      <c r="AF40" s="1"/>
    </row>
    <row r="41" spans="1:32" x14ac:dyDescent="0.25">
      <c r="A41" s="31">
        <v>42916.826666666668</v>
      </c>
      <c r="B41" s="30" t="s">
        <v>601</v>
      </c>
      <c r="C41" s="30" t="s">
        <v>632</v>
      </c>
      <c r="D41" s="30" t="s">
        <v>49</v>
      </c>
      <c r="E41" s="30" t="s">
        <v>181</v>
      </c>
      <c r="F41" s="42">
        <v>0</v>
      </c>
      <c r="G41" s="42">
        <v>92</v>
      </c>
      <c r="H41" s="42">
        <v>251</v>
      </c>
      <c r="I41" s="42">
        <v>161</v>
      </c>
      <c r="J41" s="30" t="s">
        <v>182</v>
      </c>
      <c r="K41" s="42">
        <v>1</v>
      </c>
      <c r="L41" s="131" t="s">
        <v>51</v>
      </c>
      <c r="M41" s="132">
        <f t="shared" si="10"/>
        <v>84.48</v>
      </c>
      <c r="N41" s="133" t="str">
        <f>VLOOKUP(C41,'Trips&amp;Operators'!$C$1:$G$99999,5,FALSE)</f>
        <v>PERKINS DARREN</v>
      </c>
      <c r="O41" s="203" t="s">
        <v>180</v>
      </c>
      <c r="P41" s="134"/>
      <c r="Q41" s="30"/>
      <c r="R41" s="81" t="str">
        <f>VLOOKUP(C41,'Train Runs'!$A$13:$AE$9930,31,0)</f>
        <v>aws s3 cp s3://rtdc.mdm.uploadarchive.raw/RTDC4041/ "%USERPROFILE%\AppData\Local\Temp\OnboardLogs"\RTDC4041\2017-06-30 --exclude "*" --recursive --include "*20170630*" &amp; "%USERPROFILE%\Documents\GitHub\mrs-test-scripts\Headless Mode &amp; Sideloading\WalkAndUnGZ.bat" "%USERPROFILE%\AppData\Local\Temp\OnboardLogs"\RTDC4041\2017-06-30 &amp; aws s3 cp s3://rtdc.mdm.uploadarchive.raw/RTDC4041/ "%USERPROFILE%\AppData\Local\Temp\OnboardLogs"\RTDC4041\2017-07-01 --exclude "*" --recursive --include "*20170701*" &amp; "%USERPROFILE%\Documents\GitHub\mrs-test-scripts\Headless Mode &amp; Sideloading\WalkAndUnGZ.bat" "%USERPROFILE%\AppData\Local\Temp\OnboardLogs"\RTDC4041\2017-07-01</v>
      </c>
      <c r="S41" s="84" t="str">
        <f>VLOOKUP(C41,'Train Runs'!$A$13:$AE$9930,22,0)</f>
        <v>https://d0f6bd738d7f1b3e5a7ca70fe4ff75f0.us-east-1.aws.found.io/app/kibana#/discover/Steve-Slow-Train-Analysis-(2080s-and-2083s)?_g=(refreshInterval:(display:Off,pause:!f,section:0,value:0),time:(from:'2017-06-30T17:56:56-0600',mode:absolute,to:'2017-06-30T20:50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41" s="86" t="str">
        <f t="shared" si="11"/>
        <v>"C:\Program Files (x86)\AstroGrep\AstroGrep.exe" /e /r /s /spath="%USERPROFILE%\AppData\Local\Temp\OnboardLogs" /stypes="*4041*201707010*" /stext=" 01:.+((SYSTEM_STATE.+slice.+state.+changed )|(ment ac)|(multiple cpu faults)|(system.+state.+changed )|(\[timeout)|(PRM\|1\|D)|(kpr)|(kdp)|(train st.+moving)|(\|lc)|(penalty))"</v>
      </c>
      <c r="U41" s="9" t="str">
        <f t="shared" si="12"/>
        <v>4041</v>
      </c>
      <c r="V41" s="31">
        <f t="shared" si="13"/>
        <v>42917.076666666668</v>
      </c>
      <c r="W41" s="45" t="str">
        <f t="shared" si="14"/>
        <v>EC</v>
      </c>
      <c r="X41" s="22">
        <f t="shared" si="15"/>
        <v>218</v>
      </c>
      <c r="Y41" s="96" t="str">
        <f t="shared" si="16"/>
        <v>echo {"issue":{"subject":"","project_id":79,"tracker_id":40,"status_id":1,"priority_id":2,"assigned_to_id":23,"start_date":"2017-06-30","description":"","custom_fields":[{"id":1,"name":"Subdivision","value":"EC"},{"id":4,"name":"Milepost","value":"0.0001"},{"id":17,"name":"Train ID","value":"218-30"},{"id":16,"name":"Locomotive ID","value":"4041"},{"id":130,"name":"Impact","value":""},{"id":150,"name":"Time of Event (Mountain Time)","value":"19:50:24"},{"id":151,"name":"Denver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59"/>
      <c r="AA41" s="47"/>
      <c r="AB41" s="47"/>
      <c r="AC41" s="115" t="str">
        <f t="shared" si="17"/>
        <v>grep -hrE -A400 "Enforcement Action" /c/Users/stu/AppData/Local/Temp/OnboardLogs/RTDC4041 --include="*4041*201707010*"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"%USERPROFILE%\AppData\Local\Temp\OnboardLogs"\RTDC4041\*4041*201707010* &gt;&gt; 2017-06-30-SliceDisagreementCheck.txt</v>
      </c>
      <c r="AE41" s="145" t="str">
        <f t="shared" si="9"/>
        <v>start /low /b %USERPROFILE%\Documents\GitHub\eaglep3\Utilities\DownloadLogsFromS3.py --loco 4041 --day 2017-07-01</v>
      </c>
      <c r="AF41" s="1"/>
    </row>
    <row r="42" spans="1:32" x14ac:dyDescent="0.25">
      <c r="A42" s="31">
        <v>42916.342233796298</v>
      </c>
      <c r="B42" s="30" t="s">
        <v>363</v>
      </c>
      <c r="C42" s="30" t="s">
        <v>588</v>
      </c>
      <c r="D42" s="30" t="s">
        <v>49</v>
      </c>
      <c r="E42" s="30" t="s">
        <v>181</v>
      </c>
      <c r="F42" s="42">
        <v>0</v>
      </c>
      <c r="G42" s="42">
        <v>28</v>
      </c>
      <c r="H42" s="42">
        <v>910</v>
      </c>
      <c r="I42" s="42">
        <v>878</v>
      </c>
      <c r="J42" s="30" t="s">
        <v>182</v>
      </c>
      <c r="K42" s="42">
        <v>826</v>
      </c>
      <c r="L42" s="131" t="s">
        <v>51</v>
      </c>
      <c r="M42" s="132">
        <f t="shared" si="10"/>
        <v>27.456</v>
      </c>
      <c r="N42" s="133" t="str">
        <f>VLOOKUP(C42,'Trips&amp;Operators'!$C$1:$G$99999,5,FALSE)</f>
        <v>DAVIS WENDY</v>
      </c>
      <c r="O42" s="203" t="s">
        <v>180</v>
      </c>
      <c r="P42" s="134"/>
      <c r="Q42" s="30"/>
      <c r="R42" s="81" t="str">
        <f>VLOOKUP(C42,'Train Runs'!$A$13:$AE$9930,31,0)</f>
        <v>aws s3 cp s3://rtdc.mdm.uploadarchive.raw/RTDC4021/ "%USERPROFILE%\AppData\Local\Temp\OnboardLogs"\RTDC4021\2017-06-30 --exclude "*" --recursive --include "*20170630*" &amp; "%USERPROFILE%\Documents\GitHub\mrs-test-scripts\Headless Mode &amp; Sideloading\WalkAndUnGZ.bat" "%USERPROFILE%\AppData\Local\Temp\OnboardLogs"\RTDC4021\2017-06-30 &amp; aws s3 cp s3://rtdc.mdm.uploadarchive.raw/RTDC4021/ "%USERPROFILE%\AppData\Local\Temp\OnboardLogs"\RTDC4021\2017-07-01 --exclude "*" --recursive --include "*20170701*" &amp; "%USERPROFILE%\Documents\GitHub\mrs-test-scripts\Headless Mode &amp; Sideloading\WalkAndUnGZ.bat" "%USERPROFILE%\AppData\Local\Temp\OnboardLogs"\RTDC4021\2017-07-01</v>
      </c>
      <c r="S42" s="84" t="str">
        <f>VLOOKUP(C42,'Train Runs'!$A$13:$AE$9930,22,0)</f>
        <v>https://d0f6bd738d7f1b3e5a7ca70fe4ff75f0.us-east-1.aws.found.io/app/kibana#/discover/Steve-Slow-Train-Analysis-(2080s-and-2083s)?_g=(refreshInterval:(display:Off,pause:!f,section:0,value:0),time:(from:'2017-06-30T06:24:03-0600',mode:absolute,to:'2017-06-30T09:12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42" s="86" t="str">
        <f t="shared" si="11"/>
        <v>"C:\Program Files (x86)\AstroGrep\AstroGrep.exe" /e /r /s /spath="%USERPROFILE%\AppData\Local\Temp\OnboardLogs" /stypes="*4021*201706301*" /stext=" 14:.+((SYSTEM_STATE.+slice.+state.+changed )|(ment ac)|(multiple cpu faults)|(system.+state.+changed )|(\[timeout)|(PRM\|1\|D)|(kpr)|(kdp)|(train st.+moving)|(\|lc)|(penalty))"</v>
      </c>
      <c r="U42" s="9" t="str">
        <f t="shared" si="12"/>
        <v>4021</v>
      </c>
      <c r="V42" s="31">
        <f t="shared" si="13"/>
        <v>42916.592233796298</v>
      </c>
      <c r="W42" s="45" t="str">
        <f t="shared" si="14"/>
        <v>EC</v>
      </c>
      <c r="X42" s="22">
        <f t="shared" si="15"/>
        <v>124</v>
      </c>
      <c r="Y42" s="96" t="str">
        <f t="shared" si="16"/>
        <v>echo {"issue":{"subject":"","project_id":79,"tracker_id":40,"status_id":1,"priority_id":2,"assigned_to_id":23,"start_date":"2017-06-30","description":"","custom_fields":[{"id":1,"name":"Subdivision","value":"EC"},{"id":4,"name":"Milepost","value":"0.0826"},{"id":17,"name":"Train ID","value":"124-30"},{"id":16,"name":"Locomotive ID","value":"4021"},{"id":130,"name":"Impact","value":""},{"id":150,"name":"Time of Event (Mountain Time)","value":"08:12:49"},{"id":151,"name":"Denver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159"/>
      <c r="AA42" s="47"/>
      <c r="AB42" s="47"/>
      <c r="AC42" s="115" t="str">
        <f t="shared" si="17"/>
        <v>grep -hrE -A400 "Enforcement Action" /c/Users/stu/AppData/Local/Temp/OnboardLogs/RTDC4021 --include="*4021*201706301*"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"%USERPROFILE%\AppData\Local\Temp\OnboardLogs"\RTDC4021\*4021*201706301* &gt;&gt; 2017-06-30-SliceDisagreementCheck.txt</v>
      </c>
      <c r="AE42" s="145" t="str">
        <f t="shared" si="9"/>
        <v>start /low /b %USERPROFILE%\Documents\GitHub\eaglep3\Utilities\DownloadLogsFromS3.py --loco 4021 --day 2017-06-30</v>
      </c>
      <c r="AF42" s="1"/>
    </row>
    <row r="43" spans="1:32" x14ac:dyDescent="0.25">
      <c r="A43" s="31">
        <v>42916.613611111112</v>
      </c>
      <c r="B43" s="30" t="s">
        <v>601</v>
      </c>
      <c r="C43" s="30" t="s">
        <v>608</v>
      </c>
      <c r="D43" s="30" t="s">
        <v>49</v>
      </c>
      <c r="E43" s="30" t="s">
        <v>181</v>
      </c>
      <c r="F43" s="42">
        <v>0</v>
      </c>
      <c r="G43" s="42">
        <v>66</v>
      </c>
      <c r="H43" s="42">
        <v>1069</v>
      </c>
      <c r="I43" s="42">
        <v>990</v>
      </c>
      <c r="J43" s="30" t="s">
        <v>182</v>
      </c>
      <c r="K43" s="42">
        <v>839</v>
      </c>
      <c r="L43" s="131" t="s">
        <v>51</v>
      </c>
      <c r="M43" s="132">
        <f t="shared" si="10"/>
        <v>79.727999999999994</v>
      </c>
      <c r="N43" s="133" t="str">
        <f>VLOOKUP(C43,'Trips&amp;Operators'!$C$1:$G$99999,5,FALSE)</f>
        <v>BRANDNER MELINDA</v>
      </c>
      <c r="O43" s="203" t="s">
        <v>180</v>
      </c>
      <c r="P43" s="134"/>
      <c r="Q43" s="30"/>
      <c r="R43" s="81" t="str">
        <f>VLOOKUP(C43,'Train Runs'!$A$13:$AE$9930,31,0)</f>
        <v>aws s3 cp s3://rtdc.mdm.uploadarchive.raw/RTDC4041/ "%USERPROFILE%\AppData\Local\Temp\OnboardLogs"\RTDC4041\2017-06-30 --exclude "*" --recursive --include "*20170630*" &amp; "%USERPROFILE%\Documents\GitHub\mrs-test-scripts\Headless Mode &amp; Sideloading\WalkAndUnGZ.bat" "%USERPROFILE%\AppData\Local\Temp\OnboardLogs"\RTDC4041\2017-06-30 &amp; aws s3 cp s3://rtdc.mdm.uploadarchive.raw/RTDC4041/ "%USERPROFILE%\AppData\Local\Temp\OnboardLogs"\RTDC4041\2017-07-01 --exclude "*" --recursive --include "*20170701*" &amp; "%USERPROFILE%\Documents\GitHub\mrs-test-scripts\Headless Mode &amp; Sideloading\WalkAndUnGZ.bat" "%USERPROFILE%\AppData\Local\Temp\OnboardLogs"\RTDC4041\2017-07-01</v>
      </c>
      <c r="S43" s="84" t="str">
        <f>VLOOKUP(C43,'Train Runs'!$A$13:$AE$9930,22,0)</f>
        <v>https://d0f6bd738d7f1b3e5a7ca70fe4ff75f0.us-east-1.aws.found.io/app/kibana#/discover/Steve-Slow-Train-Analysis-(2080s-and-2083s)?_g=(refreshInterval:(display:Off,pause:!f,section:0,value:0),time:(from:'2017-06-30T12:58:02-0600',mode:absolute,to:'2017-06-30T15:43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43" s="86" t="str">
        <f t="shared" si="11"/>
        <v>"C:\Program Files (x86)\AstroGrep\AstroGrep.exe" /e /r /s /spath="%USERPROFILE%\AppData\Local\Temp\OnboardLogs" /stypes="*4041*201706302*" /stext=" 20:.+((SYSTEM_STATE.+slice.+state.+changed )|(ment ac)|(multiple cpu faults)|(system.+state.+changed )|(\[timeout)|(PRM\|1\|D)|(kpr)|(kdp)|(train st.+moving)|(\|lc)|(penalty))"</v>
      </c>
      <c r="U43" s="9" t="str">
        <f t="shared" si="12"/>
        <v>4041</v>
      </c>
      <c r="V43" s="31">
        <f t="shared" si="13"/>
        <v>42916.863611111112</v>
      </c>
      <c r="W43" s="45" t="str">
        <f t="shared" si="14"/>
        <v>EC</v>
      </c>
      <c r="X43" s="22">
        <f t="shared" si="15"/>
        <v>176</v>
      </c>
      <c r="Y43" s="96" t="str">
        <f t="shared" si="16"/>
        <v>echo {"issue":{"subject":"","project_id":79,"tracker_id":40,"status_id":1,"priority_id":2,"assigned_to_id":23,"start_date":"2017-06-30","description":"","custom_fields":[{"id":1,"name":"Subdivision","value":"EC"},{"id":4,"name":"Milepost","value":"0.0839"},{"id":17,"name":"Train ID","value":"176-30"},{"id":16,"name":"Locomotive ID","value":"4041"},{"id":130,"name":"Impact","value":""},{"id":150,"name":"Time of Event (Mountain Time)","value":"14:43:36"},{"id":151,"name":"Denver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159"/>
      <c r="AA43" s="47"/>
      <c r="AB43" s="47"/>
      <c r="AC43" s="115" t="str">
        <f t="shared" si="17"/>
        <v>grep -hrE -A400 "Enforcement Action" /c/Users/stu/AppData/Local/Temp/OnboardLogs/RTDC4041 --include="*4041*201706302*"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"%USERPROFILE%\AppData\Local\Temp\OnboardLogs"\RTDC4041\*4041*201706302* &gt;&gt; 2017-06-30-SliceDisagreementCheck.txt</v>
      </c>
      <c r="AE43" s="145" t="str">
        <f t="shared" si="9"/>
        <v>start /low /b %USERPROFILE%\Documents\GitHub\eaglep3\Utilities\DownloadLogsFromS3.py --loco 4041 --day 2017-06-30</v>
      </c>
      <c r="AF43" s="1"/>
    </row>
    <row r="44" spans="1:32" x14ac:dyDescent="0.25">
      <c r="A44" s="31">
        <v>42916.684560185182</v>
      </c>
      <c r="B44" s="30" t="s">
        <v>365</v>
      </c>
      <c r="C44" s="30" t="s">
        <v>615</v>
      </c>
      <c r="D44" s="30" t="s">
        <v>49</v>
      </c>
      <c r="E44" s="30" t="s">
        <v>181</v>
      </c>
      <c r="F44" s="42">
        <v>0</v>
      </c>
      <c r="G44" s="42">
        <v>23</v>
      </c>
      <c r="H44" s="42">
        <v>892</v>
      </c>
      <c r="I44" s="42">
        <v>877</v>
      </c>
      <c r="J44" s="30" t="s">
        <v>182</v>
      </c>
      <c r="K44" s="42">
        <v>839</v>
      </c>
      <c r="L44" s="131" t="s">
        <v>51</v>
      </c>
      <c r="M44" s="132">
        <f t="shared" si="10"/>
        <v>20.064</v>
      </c>
      <c r="N44" s="133" t="str">
        <f>VLOOKUP(C44,'Trips&amp;Operators'!$C$1:$G$99999,5,FALSE)</f>
        <v>DE LA ROSA ALEX</v>
      </c>
      <c r="O44" s="203" t="s">
        <v>180</v>
      </c>
      <c r="P44" s="134"/>
      <c r="Q44" s="30"/>
      <c r="R44" s="81" t="str">
        <f>VLOOKUP(C44,'Train Runs'!$A$13:$AE$9930,31,0)</f>
        <v>aws s3 cp s3://rtdc.mdm.uploadarchive.raw/RTDC4013/ "%USERPROFILE%\AppData\Local\Temp\OnboardLogs"\RTDC4013\2017-06-30 --exclude "*" --recursive --include "*20170630*" &amp; "%USERPROFILE%\Documents\GitHub\mrs-test-scripts\Headless Mode &amp; Sideloading\WalkAndUnGZ.bat" "%USERPROFILE%\AppData\Local\Temp\OnboardLogs"\RTDC4013\2017-06-30 &amp; aws s3 cp s3://rtdc.mdm.uploadarchive.raw/RTDC4013/ "%USERPROFILE%\AppData\Local\Temp\OnboardLogs"\RTDC4013\2017-07-01 --exclude "*" --recursive --include "*20170701*" &amp; "%USERPROFILE%\Documents\GitHub\mrs-test-scripts\Headless Mode &amp; Sideloading\WalkAndUnGZ.bat" "%USERPROFILE%\AppData\Local\Temp\OnboardLogs"\RTDC4013\2017-07-01</v>
      </c>
      <c r="S44" s="84" t="str">
        <f>VLOOKUP(C44,'Train Runs'!$A$13:$AE$9930,22,0)</f>
        <v>https://d0f6bd738d7f1b3e5a7ca70fe4ff75f0.us-east-1.aws.found.io/app/kibana#/discover/Steve-Slow-Train-Analysis-(2080s-and-2083s)?_g=(refreshInterval:(display:Off,pause:!f,section:0,value:0),time:(from:'2017-06-30T14:37:14-0600',mode:absolute,to:'2017-06-30T17:25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44" s="86" t="str">
        <f t="shared" si="11"/>
        <v>"C:\Program Files (x86)\AstroGrep\AstroGrep.exe" /e /r /s /spath="%USERPROFILE%\AppData\Local\Temp\OnboardLogs" /stypes="*4013*201706302*" /stext=" 22:.+((SYSTEM_STATE.+slice.+state.+changed )|(ment ac)|(multiple cpu faults)|(system.+state.+changed )|(\[timeout)|(PRM\|1\|D)|(kpr)|(kdp)|(train st.+moving)|(\|lc)|(penalty))"</v>
      </c>
      <c r="U44" s="9" t="str">
        <f t="shared" si="12"/>
        <v>4013</v>
      </c>
      <c r="V44" s="31">
        <f t="shared" si="13"/>
        <v>42916.934560185182</v>
      </c>
      <c r="W44" s="45" t="str">
        <f t="shared" si="14"/>
        <v>EC</v>
      </c>
      <c r="X44" s="22">
        <f t="shared" si="15"/>
        <v>190</v>
      </c>
      <c r="Y44" s="96" t="str">
        <f t="shared" si="16"/>
        <v>echo {"issue":{"subject":"","project_id":79,"tracker_id":40,"status_id":1,"priority_id":2,"assigned_to_id":23,"start_date":"2017-06-30","description":"","custom_fields":[{"id":1,"name":"Subdivision","value":"EC"},{"id":4,"name":"Milepost","value":"0.0839"},{"id":17,"name":"Train ID","value":"190-30"},{"id":16,"name":"Locomotive ID","value":"4013"},{"id":130,"name":"Impact","value":""},{"id":150,"name":"Time of Event (Mountain Time)","value":"16:25:46"},{"id":151,"name":"Denver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159"/>
      <c r="AA44" s="47"/>
      <c r="AB44" s="47"/>
      <c r="AC44" s="115" t="str">
        <f t="shared" si="17"/>
        <v>grep -hrE -A400 "Enforcement Action" /c/Users/stu/AppData/Local/Temp/OnboardLogs/RTDC4013 --include="*4013*201706302*" | grep -E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"%USERPROFILE%\AppData\Local\Temp\OnboardLogs"\RTDC4013\*4013*201706302* &gt;&gt; 2017-06-30-SliceDisagreementCheck.txt</v>
      </c>
      <c r="AE44" s="145" t="str">
        <f t="shared" si="9"/>
        <v>start /low /b %USERPROFILE%\Documents\GitHub\eaglep3\Utilities\DownloadLogsFromS3.py --loco 4013 --day 2017-06-30</v>
      </c>
      <c r="AF44" s="1"/>
    </row>
    <row r="45" spans="1:32" x14ac:dyDescent="0.25">
      <c r="A45" s="31">
        <v>42916.546273148146</v>
      </c>
      <c r="B45" s="30" t="s">
        <v>418</v>
      </c>
      <c r="C45" s="30" t="s">
        <v>604</v>
      </c>
      <c r="D45" s="30" t="s">
        <v>49</v>
      </c>
      <c r="E45" s="30" t="s">
        <v>181</v>
      </c>
      <c r="F45" s="42">
        <v>0</v>
      </c>
      <c r="G45" s="42">
        <v>33</v>
      </c>
      <c r="H45" s="42">
        <v>233370</v>
      </c>
      <c r="I45" s="42">
        <v>233383</v>
      </c>
      <c r="J45" s="30" t="s">
        <v>182</v>
      </c>
      <c r="K45" s="42">
        <v>233491</v>
      </c>
      <c r="L45" s="131" t="s">
        <v>50</v>
      </c>
      <c r="M45" s="132">
        <f t="shared" si="10"/>
        <v>57.024000000000001</v>
      </c>
      <c r="N45" s="133" t="str">
        <f>VLOOKUP(C45,'Trips&amp;Operators'!$C$1:$G$99999,5,FALSE)</f>
        <v>SULLIVAN BRANDON</v>
      </c>
      <c r="O45" s="203" t="s">
        <v>180</v>
      </c>
      <c r="P45" s="134"/>
      <c r="Q45" s="30"/>
      <c r="R45" s="81" t="str">
        <f>VLOOKUP(C45,'Train Runs'!$A$13:$AE$9930,31,0)</f>
        <v>aws s3 cp s3://rtdc.mdm.uploadarchive.raw/RTDC4032/ "%USERPROFILE%\AppData\Local\Temp\OnboardLogs"\RTDC4032\2017-06-30 --exclude "*" --recursive --include "*20170630*" &amp; "%USERPROFILE%\Documents\GitHub\mrs-test-scripts\Headless Mode &amp; Sideloading\WalkAndUnGZ.bat" "%USERPROFILE%\AppData\Local\Temp\OnboardLogs"\RTDC4032\2017-06-30 &amp; aws s3 cp s3://rtdc.mdm.uploadarchive.raw/RTDC4032/ "%USERPROFILE%\AppData\Local\Temp\OnboardLogs"\RTDC4032\2017-07-01 --exclude "*" --recursive --include "*20170701*" &amp; "%USERPROFILE%\Documents\GitHub\mrs-test-scripts\Headless Mode &amp; Sideloading\WalkAndUnGZ.bat" "%USERPROFILE%\AppData\Local\Temp\OnboardLogs"\RTDC4032\2017-07-01</v>
      </c>
      <c r="S45" s="84" t="str">
        <f>VLOOKUP(C45,'Train Runs'!$A$13:$AE$9930,22,0)</f>
        <v>https://d0f6bd738d7f1b3e5a7ca70fe4ff75f0.us-east-1.aws.found.io/app/kibana#/discover/Steve-Slow-Train-Analysis-(2080s-and-2083s)?_g=(refreshInterval:(display:Off,pause:!f,section:0,value:0),time:(from:'2017-06-30T11:22:37-0600',mode:absolute,to:'2017-06-30T14:06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45" s="86" t="str">
        <f t="shared" si="11"/>
        <v>"C:\Program Files (x86)\AstroGrep\AstroGrep.exe" /e /r /s /spath="%USERPROFILE%\AppData\Local\Temp\OnboardLogs" /stypes="*4032*201706301*" /stext=" 19:.+((SYSTEM_STATE.+slice.+state.+changed )|(ment ac)|(multiple cpu faults)|(system.+state.+changed )|(\[timeout)|(PRM\|1\|D)|(kpr)|(kdp)|(train st.+moving)|(\|lc)|(penalty))"</v>
      </c>
      <c r="U45" s="9" t="str">
        <f t="shared" si="12"/>
        <v>4032</v>
      </c>
      <c r="V45" s="31">
        <f t="shared" si="13"/>
        <v>42916.796273148146</v>
      </c>
      <c r="W45" s="45" t="str">
        <f t="shared" si="14"/>
        <v>EC</v>
      </c>
      <c r="X45" s="22">
        <f t="shared" si="15"/>
        <v>171</v>
      </c>
      <c r="Y45" s="96" t="str">
        <f t="shared" si="16"/>
        <v>echo {"issue":{"subject":"","project_id":79,"tracker_id":40,"status_id":1,"priority_id":2,"assigned_to_id":23,"start_date":"2017-06-30","description":"","custom_fields":[{"id":1,"name":"Subdivision","value":"EC"},{"id":4,"name":"Milepost","value":"23.3491"},{"id":17,"name":"Train ID","value":"171-30"},{"id":16,"name":"Locomotive ID","value":"4032"},{"id":130,"name":"Impact","value":""},{"id":150,"name":"Time of Event (Mountain Time)","value":"13:06:38"},{"id":151,"name":"Denver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159"/>
      <c r="AA45" s="47"/>
      <c r="AB45" s="47"/>
      <c r="AC45" s="115" t="str">
        <f t="shared" si="17"/>
        <v>grep -hrE -A400 "Enforcement Action" /c/Users/stu/AppData/Local/Temp/OnboardLogs/RTDC4032 --include="*4032*201706301*" | grep -E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"%USERPROFILE%\AppData\Local\Temp\OnboardLogs"\RTDC4032\*4032*201706301* &gt;&gt; 2017-06-30-SliceDisagreementCheck.txt</v>
      </c>
      <c r="AE45" s="145" t="str">
        <f t="shared" si="9"/>
        <v>start /low /b %USERPROFILE%\Documents\GitHub\eaglep3\Utilities\DownloadLogsFromS3.py --loco 4032 --day 2017-06-30</v>
      </c>
      <c r="AF45" s="1"/>
    </row>
    <row r="46" spans="1:32" x14ac:dyDescent="0.25">
      <c r="A46" s="31">
        <v>42916.556250000001</v>
      </c>
      <c r="B46" s="30" t="s">
        <v>369</v>
      </c>
      <c r="C46" s="30" t="s">
        <v>605</v>
      </c>
      <c r="D46" s="30" t="s">
        <v>49</v>
      </c>
      <c r="E46" s="30" t="s">
        <v>181</v>
      </c>
      <c r="F46" s="42">
        <v>0</v>
      </c>
      <c r="G46" s="42">
        <v>47</v>
      </c>
      <c r="H46" s="42">
        <v>233336</v>
      </c>
      <c r="I46" s="42">
        <v>233355</v>
      </c>
      <c r="J46" s="30" t="s">
        <v>182</v>
      </c>
      <c r="K46" s="42">
        <v>233491</v>
      </c>
      <c r="L46" s="131" t="s">
        <v>50</v>
      </c>
      <c r="M46" s="132">
        <f t="shared" si="10"/>
        <v>71.808000000000007</v>
      </c>
      <c r="N46" s="133" t="str">
        <f>VLOOKUP(C46,'Trips&amp;Operators'!$C$1:$G$99999,5,FALSE)</f>
        <v>HOLCOMB KAMDEN</v>
      </c>
      <c r="O46" s="203" t="s">
        <v>180</v>
      </c>
      <c r="P46" s="134"/>
      <c r="Q46" s="30"/>
      <c r="R46" s="81" t="str">
        <f>VLOOKUP(C46,'Train Runs'!$A$13:$AE$9930,31,0)</f>
        <v>aws s3 cp s3://rtdc.mdm.uploadarchive.raw/RTDC4040/ "%USERPROFILE%\AppData\Local\Temp\OnboardLogs"\RTDC4040\2017-06-30 --exclude "*" --recursive --include "*20170630*" &amp; "%USERPROFILE%\Documents\GitHub\mrs-test-scripts\Headless Mode &amp; Sideloading\WalkAndUnGZ.bat" "%USERPROFILE%\AppData\Local\Temp\OnboardLogs"\RTDC4040\2017-06-30 &amp; aws s3 cp s3://rtdc.mdm.uploadarchive.raw/RTDC4040/ "%USERPROFILE%\AppData\Local\Temp\OnboardLogs"\RTDC4040\2017-07-01 --exclude "*" --recursive --include "*20170701*" &amp; "%USERPROFILE%\Documents\GitHub\mrs-test-scripts\Headless Mode &amp; Sideloading\WalkAndUnGZ.bat" "%USERPROFILE%\AppData\Local\Temp\OnboardLogs"\RTDC4040\2017-07-01</v>
      </c>
      <c r="S46" s="84" t="str">
        <f>VLOOKUP(C46,'Train Runs'!$A$13:$AE$9930,22,0)</f>
        <v>https://d0f6bd738d7f1b3e5a7ca70fe4ff75f0.us-east-1.aws.found.io/app/kibana#/discover/Steve-Slow-Train-Analysis-(2080s-and-2083s)?_g=(refreshInterval:(display:Off,pause:!f,section:0,value:0),time:(from:'2017-06-30T11:37:20-0600',mode:absolute,to:'2017-06-30T14:21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46" s="86" t="str">
        <f t="shared" si="11"/>
        <v>"C:\Program Files (x86)\AstroGrep\AstroGrep.exe" /e /r /s /spath="%USERPROFILE%\AppData\Local\Temp\OnboardLogs" /stypes="*4040*201706301*" /stext=" 19:.+((SYSTEM_STATE.+slice.+state.+changed )|(ment ac)|(multiple cpu faults)|(system.+state.+changed )|(\[timeout)|(PRM\|1\|D)|(kpr)|(kdp)|(train st.+moving)|(\|lc)|(penalty))"</v>
      </c>
      <c r="U46" s="9" t="str">
        <f t="shared" si="12"/>
        <v>4040</v>
      </c>
      <c r="V46" s="31">
        <f t="shared" si="13"/>
        <v>42916.806250000001</v>
      </c>
      <c r="W46" s="45" t="str">
        <f t="shared" si="14"/>
        <v>EC</v>
      </c>
      <c r="X46" s="22">
        <f t="shared" si="15"/>
        <v>173</v>
      </c>
      <c r="Y46" s="96" t="str">
        <f t="shared" si="16"/>
        <v>echo {"issue":{"subject":"","project_id":79,"tracker_id":40,"status_id":1,"priority_id":2,"assigned_to_id":23,"start_date":"2017-06-30","description":"","custom_fields":[{"id":1,"name":"Subdivision","value":"EC"},{"id":4,"name":"Milepost","value":"23.3491"},{"id":17,"name":"Train ID","value":"173-30"},{"id":16,"name":"Locomotive ID","value":"4040"},{"id":130,"name":"Impact","value":""},{"id":150,"name":"Time of Event (Mountain Time)","value":"13:21:00"},{"id":151,"name":"Denver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159"/>
      <c r="AA46" s="47"/>
      <c r="AB46" s="47"/>
      <c r="AC46" s="115" t="str">
        <f t="shared" si="17"/>
        <v>grep -hrE -A400 "Enforcement Action" /c/Users/stu/AppData/Local/Temp/OnboardLogs/RTDC4040 --include="*4040*201706301*" | grep -E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"%USERPROFILE%\AppData\Local\Temp\OnboardLogs"\RTDC4040\*4040*201706301* &gt;&gt; 2017-06-30-SliceDisagreementCheck.txt</v>
      </c>
      <c r="AE46" s="145" t="str">
        <f t="shared" si="9"/>
        <v>start /low /b %USERPROFILE%\Documents\GitHub\eaglep3\Utilities\DownloadLogsFromS3.py --loco 4040 --day 2017-06-30</v>
      </c>
      <c r="AF46" s="1"/>
    </row>
    <row r="47" spans="1:32" x14ac:dyDescent="0.25">
      <c r="A47" s="31">
        <v>42916.619189814817</v>
      </c>
      <c r="B47" s="30" t="s">
        <v>418</v>
      </c>
      <c r="C47" s="30" t="s">
        <v>611</v>
      </c>
      <c r="D47" s="30" t="s">
        <v>49</v>
      </c>
      <c r="E47" s="30" t="s">
        <v>181</v>
      </c>
      <c r="F47" s="42">
        <v>0</v>
      </c>
      <c r="G47" s="42">
        <v>65</v>
      </c>
      <c r="H47" s="42">
        <v>233236</v>
      </c>
      <c r="I47" s="42">
        <v>233308</v>
      </c>
      <c r="J47" s="30" t="s">
        <v>182</v>
      </c>
      <c r="K47" s="42">
        <v>233491</v>
      </c>
      <c r="L47" s="131" t="s">
        <v>50</v>
      </c>
      <c r="M47" s="132">
        <f t="shared" si="10"/>
        <v>96.623999999999995</v>
      </c>
      <c r="N47" s="133" t="str">
        <f>VLOOKUP(C47,'Trips&amp;Operators'!$C$1:$G$99999,5,FALSE)</f>
        <v>SULLIVAN BRANDON</v>
      </c>
      <c r="O47" s="203" t="s">
        <v>180</v>
      </c>
      <c r="P47" s="134"/>
      <c r="Q47" s="30"/>
      <c r="R47" s="81" t="str">
        <f>VLOOKUP(C47,'Train Runs'!$A$13:$AE$9930,31,0)</f>
        <v>aws s3 cp s3://rtdc.mdm.uploadarchive.raw/RTDC4032/ "%USERPROFILE%\AppData\Local\Temp\OnboardLogs"\RTDC4032\2017-06-30 --exclude "*" --recursive --include "*20170630*" &amp; "%USERPROFILE%\Documents\GitHub\mrs-test-scripts\Headless Mode &amp; Sideloading\WalkAndUnGZ.bat" "%USERPROFILE%\AppData\Local\Temp\OnboardLogs"\RTDC4032\2017-06-30 &amp; aws s3 cp s3://rtdc.mdm.uploadarchive.raw/RTDC4032/ "%USERPROFILE%\AppData\Local\Temp\OnboardLogs"\RTDC4032\2017-07-01 --exclude "*" --recursive --include "*20170701*" &amp; "%USERPROFILE%\Documents\GitHub\mrs-test-scripts\Headless Mode &amp; Sideloading\WalkAndUnGZ.bat" "%USERPROFILE%\AppData\Local\Temp\OnboardLogs"\RTDC4032\2017-07-01</v>
      </c>
      <c r="S47" s="84" t="str">
        <f>VLOOKUP(C47,'Train Runs'!$A$13:$AE$9930,22,0)</f>
        <v>https://d0f6bd738d7f1b3e5a7ca70fe4ff75f0.us-east-1.aws.found.io/app/kibana#/discover/Steve-Slow-Train-Analysis-(2080s-and-2083s)?_g=(refreshInterval:(display:Off,pause:!f,section:0,value:0),time:(from:'2017-06-30T13:08:57-0600',mode:absolute,to:'2017-06-30T15:51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47" s="86" t="str">
        <f t="shared" si="11"/>
        <v>"C:\Program Files (x86)\AstroGrep\AstroGrep.exe" /e /r /s /spath="%USERPROFILE%\AppData\Local\Temp\OnboardLogs" /stypes="*4032*201706302*" /stext=" 20:.+((SYSTEM_STATE.+slice.+state.+changed )|(ment ac)|(multiple cpu faults)|(system.+state.+changed )|(\[timeout)|(PRM\|1\|D)|(kpr)|(kdp)|(train st.+moving)|(\|lc)|(penalty))"</v>
      </c>
      <c r="U47" s="9" t="str">
        <f t="shared" si="12"/>
        <v>4032</v>
      </c>
      <c r="V47" s="31">
        <f t="shared" si="13"/>
        <v>42916.869189814817</v>
      </c>
      <c r="W47" s="45" t="str">
        <f t="shared" si="14"/>
        <v>EC</v>
      </c>
      <c r="X47" s="22">
        <f t="shared" si="15"/>
        <v>185</v>
      </c>
      <c r="Y47" s="96" t="str">
        <f t="shared" si="16"/>
        <v>echo {"issue":{"subject":"","project_id":79,"tracker_id":40,"status_id":1,"priority_id":2,"assigned_to_id":23,"start_date":"2017-06-30","description":"","custom_fields":[{"id":1,"name":"Subdivision","value":"EC"},{"id":4,"name":"Milepost","value":"23.3491"},{"id":17,"name":"Train ID","value":"185-30"},{"id":16,"name":"Locomotive ID","value":"4032"},{"id":130,"name":"Impact","value":""},{"id":150,"name":"Time of Event (Mountain Time)","value":"14:51:38"},{"id":151,"name":"Denver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159"/>
      <c r="AA47" s="47"/>
      <c r="AB47" s="47"/>
      <c r="AC47" s="115" t="str">
        <f t="shared" si="17"/>
        <v>grep -hrE -A400 "Enforcement Action" /c/Users/stu/AppData/Local/Temp/OnboardLogs/RTDC4032 --include="*4032*201706302*" | grep -E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"%USERPROFILE%\AppData\Local\Temp\OnboardLogs"\RTDC4032\*4032*201706302* &gt;&gt; 2017-06-30-SliceDisagreementCheck.txt</v>
      </c>
      <c r="AE47" s="145" t="str">
        <f t="shared" si="9"/>
        <v>start /low /b %USERPROFILE%\Documents\GitHub\eaglep3\Utilities\DownloadLogsFromS3.py --loco 4032 --day 2017-06-30</v>
      </c>
      <c r="AF47" s="1"/>
    </row>
    <row r="48" spans="1:32" x14ac:dyDescent="0.25">
      <c r="A48" s="31">
        <v>42916.692708333336</v>
      </c>
      <c r="B48" s="30" t="s">
        <v>418</v>
      </c>
      <c r="C48" s="30" t="s">
        <v>618</v>
      </c>
      <c r="D48" s="30" t="s">
        <v>49</v>
      </c>
      <c r="E48" s="30" t="s">
        <v>181</v>
      </c>
      <c r="F48" s="42">
        <v>0</v>
      </c>
      <c r="G48" s="42">
        <v>33</v>
      </c>
      <c r="H48" s="42">
        <v>233383</v>
      </c>
      <c r="I48" s="42">
        <v>233399</v>
      </c>
      <c r="J48" s="30" t="s">
        <v>182</v>
      </c>
      <c r="K48" s="42">
        <v>233491</v>
      </c>
      <c r="L48" s="131" t="s">
        <v>50</v>
      </c>
      <c r="M48" s="132">
        <f t="shared" si="10"/>
        <v>48.576000000000001</v>
      </c>
      <c r="N48" s="133" t="str">
        <f>VLOOKUP(C48,'Trips&amp;Operators'!$C$1:$G$99999,5,FALSE)</f>
        <v>SULLIVAN BRANDON</v>
      </c>
      <c r="O48" s="203" t="s">
        <v>180</v>
      </c>
      <c r="P48" s="134"/>
      <c r="Q48" s="30"/>
      <c r="R48" s="81" t="str">
        <f>VLOOKUP(C48,'Train Runs'!$A$13:$AE$9930,31,0)</f>
        <v>aws s3 cp s3://rtdc.mdm.uploadarchive.raw/RTDC4032/ "%USERPROFILE%\AppData\Local\Temp\OnboardLogs"\RTDC4032\2017-06-30 --exclude "*" --recursive --include "*20170630*" &amp; "%USERPROFILE%\Documents\GitHub\mrs-test-scripts\Headless Mode &amp; Sideloading\WalkAndUnGZ.bat" "%USERPROFILE%\AppData\Local\Temp\OnboardLogs"\RTDC4032\2017-06-30 &amp; aws s3 cp s3://rtdc.mdm.uploadarchive.raw/RTDC4032/ "%USERPROFILE%\AppData\Local\Temp\OnboardLogs"\RTDC4032\2017-07-01 --exclude "*" --recursive --include "*20170701*" &amp; "%USERPROFILE%\Documents\GitHub\mrs-test-scripts\Headless Mode &amp; Sideloading\WalkAndUnGZ.bat" "%USERPROFILE%\AppData\Local\Temp\OnboardLogs"\RTDC4032\2017-07-01</v>
      </c>
      <c r="S48" s="84" t="str">
        <f>VLOOKUP(C48,'Train Runs'!$A$13:$AE$9930,22,0)</f>
        <v>https://d0f6bd738d7f1b3e5a7ca70fe4ff75f0.us-east-1.aws.found.io/app/kibana#/discover/Steve-Slow-Train-Analysis-(2080s-and-2083s)?_g=(refreshInterval:(display:Off,pause:!f,section:0,value:0),time:(from:'2017-06-30T14:53:21-0600',mode:absolute,to:'2017-06-30T17:37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48" s="86" t="str">
        <f t="shared" si="11"/>
        <v>"C:\Program Files (x86)\AstroGrep\AstroGrep.exe" /e /r /s /spath="%USERPROFILE%\AppData\Local\Temp\OnboardLogs" /stypes="*4032*201706302*" /stext=" 22:.+((SYSTEM_STATE.+slice.+state.+changed )|(ment ac)|(multiple cpu faults)|(system.+state.+changed )|(\[timeout)|(PRM\|1\|D)|(kpr)|(kdp)|(train st.+moving)|(\|lc)|(penalty))"</v>
      </c>
      <c r="U48" s="9" t="str">
        <f t="shared" si="12"/>
        <v>4032</v>
      </c>
      <c r="V48" s="31">
        <f t="shared" si="13"/>
        <v>42916.942708333336</v>
      </c>
      <c r="W48" s="45" t="str">
        <f t="shared" si="14"/>
        <v>EC</v>
      </c>
      <c r="X48" s="22">
        <f t="shared" si="15"/>
        <v>199</v>
      </c>
      <c r="Y48" s="96" t="str">
        <f t="shared" si="16"/>
        <v>echo {"issue":{"subject":"","project_id":79,"tracker_id":40,"status_id":1,"priority_id":2,"assigned_to_id":23,"start_date":"2017-06-30","description":"","custom_fields":[{"id":1,"name":"Subdivision","value":"EC"},{"id":4,"name":"Milepost","value":"23.3491"},{"id":17,"name":"Train ID","value":"199-30"},{"id":16,"name":"Locomotive ID","value":"4032"},{"id":130,"name":"Impact","value":""},{"id":150,"name":"Time of Event (Mountain Time)","value":"16:37:30"},{"id":151,"name":"Denver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159"/>
      <c r="AA48" s="47"/>
      <c r="AB48" s="47"/>
      <c r="AC48" s="115" t="str">
        <f t="shared" si="17"/>
        <v>grep -hrE -A400 "Enforcement Action" /c/Users/stu/AppData/Local/Temp/OnboardLogs/RTDC4032 --include="*4032*201706302*" | grep -E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"%USERPROFILE%\AppData\Local\Temp\OnboardLogs"\RTDC4032\*4032*201706302* &gt;&gt; 2017-06-30-SliceDisagreementCheck.txt</v>
      </c>
      <c r="AE48" s="145" t="str">
        <f t="shared" si="9"/>
        <v>start /low /b %USERPROFILE%\Documents\GitHub\eaglep3\Utilities\DownloadLogsFromS3.py --loco 4032 --day 2017-06-30</v>
      </c>
      <c r="AF48" s="1"/>
    </row>
    <row r="49" spans="1:32" x14ac:dyDescent="0.25">
      <c r="A49" s="31">
        <v>42916.702916666669</v>
      </c>
      <c r="B49" s="30" t="s">
        <v>369</v>
      </c>
      <c r="C49" s="30" t="s">
        <v>617</v>
      </c>
      <c r="D49" s="30" t="s">
        <v>49</v>
      </c>
      <c r="E49" s="30" t="s">
        <v>181</v>
      </c>
      <c r="F49" s="42">
        <v>0</v>
      </c>
      <c r="G49" s="42">
        <v>36</v>
      </c>
      <c r="H49" s="42">
        <v>233361</v>
      </c>
      <c r="I49" s="42">
        <v>233376</v>
      </c>
      <c r="J49" s="30" t="s">
        <v>182</v>
      </c>
      <c r="K49" s="42">
        <v>233491</v>
      </c>
      <c r="L49" s="131" t="s">
        <v>50</v>
      </c>
      <c r="M49" s="132">
        <f t="shared" si="10"/>
        <v>60.72</v>
      </c>
      <c r="N49" s="133" t="str">
        <f>VLOOKUP(C49,'Trips&amp;Operators'!$C$1:$G$99999,5,FALSE)</f>
        <v>HOLCOMB KAMDEN</v>
      </c>
      <c r="O49" s="203" t="s">
        <v>180</v>
      </c>
      <c r="P49" s="134"/>
      <c r="Q49" s="30"/>
      <c r="R49" s="81" t="str">
        <f>VLOOKUP(C49,'Train Runs'!$A$13:$AE$9930,31,0)</f>
        <v>aws s3 cp s3://rtdc.mdm.uploadarchive.raw/RTDC4040/ "%USERPROFILE%\AppData\Local\Temp\OnboardLogs"\RTDC4040\2017-06-30 --exclude "*" --recursive --include "*20170630*" &amp; "%USERPROFILE%\Documents\GitHub\mrs-test-scripts\Headless Mode &amp; Sideloading\WalkAndUnGZ.bat" "%USERPROFILE%\AppData\Local\Temp\OnboardLogs"\RTDC4040\2017-06-30 &amp; aws s3 cp s3://rtdc.mdm.uploadarchive.raw/RTDC4040/ "%USERPROFILE%\AppData\Local\Temp\OnboardLogs"\RTDC4040\2017-07-01 --exclude "*" --recursive --include "*20170701*" &amp; "%USERPROFILE%\Documents\GitHub\mrs-test-scripts\Headless Mode &amp; Sideloading\WalkAndUnGZ.bat" "%USERPROFILE%\AppData\Local\Temp\OnboardLogs"\RTDC4040\2017-07-01</v>
      </c>
      <c r="S49" s="84" t="str">
        <f>VLOOKUP(C49,'Train Runs'!$A$13:$AE$9930,22,0)</f>
        <v>https://d0f6bd738d7f1b3e5a7ca70fe4ff75f0.us-east-1.aws.found.io/app/kibana#/discover/Steve-Slow-Train-Analysis-(2080s-and-2083s)?_g=(refreshInterval:(display:Off,pause:!f,section:0,value:0),time:(from:'2017-06-30T15:08:34-0600',mode:absolute,to:'2017-06-30T17:52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49" s="86" t="str">
        <f t="shared" si="11"/>
        <v>"C:\Program Files (x86)\AstroGrep\AstroGrep.exe" /e /r /s /spath="%USERPROFILE%\AppData\Local\Temp\OnboardLogs" /stypes="*4040*201706302*" /stext=" 22:.+((SYSTEM_STATE.+slice.+state.+changed )|(ment ac)|(multiple cpu faults)|(system.+state.+changed )|(\[timeout)|(PRM\|1\|D)|(kpr)|(kdp)|(train st.+moving)|(\|lc)|(penalty))"</v>
      </c>
      <c r="U49" s="9" t="str">
        <f t="shared" si="12"/>
        <v>4040</v>
      </c>
      <c r="V49" s="31">
        <f t="shared" si="13"/>
        <v>42916.952916666669</v>
      </c>
      <c r="W49" s="45" t="str">
        <f t="shared" si="14"/>
        <v>EC</v>
      </c>
      <c r="X49" s="22">
        <f t="shared" si="15"/>
        <v>201</v>
      </c>
      <c r="Y49" s="96" t="str">
        <f t="shared" si="16"/>
        <v>echo {"issue":{"subject":"","project_id":79,"tracker_id":40,"status_id":1,"priority_id":2,"assigned_to_id":23,"start_date":"2017-06-30","description":"","custom_fields":[{"id":1,"name":"Subdivision","value":"EC"},{"id":4,"name":"Milepost","value":"23.3491"},{"id":17,"name":"Train ID","value":"201-30"},{"id":16,"name":"Locomotive ID","value":"4040"},{"id":130,"name":"Impact","value":""},{"id":150,"name":"Time of Event (Mountain Time)","value":"16:52:12"},{"id":151,"name":"Denver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159"/>
      <c r="AA49" s="47"/>
      <c r="AB49" s="47"/>
      <c r="AC49" s="115" t="str">
        <f t="shared" si="17"/>
        <v>grep -hrE -A400 "Enforcement Action" /c/Users/stu/AppData/Local/Temp/OnboardLogs/RTDC4040 --include="*4040*201706302*" | grep -E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"%USERPROFILE%\AppData\Local\Temp\OnboardLogs"\RTDC4040\*4040*201706302* &gt;&gt; 2017-06-30-SliceDisagreementCheck.txt</v>
      </c>
      <c r="AE49" s="145" t="str">
        <f t="shared" si="9"/>
        <v>start /low /b %USERPROFILE%\Documents\GitHub\eaglep3\Utilities\DownloadLogsFromS3.py --loco 4040 --day 2017-06-30</v>
      </c>
      <c r="AF49" s="1"/>
    </row>
    <row r="50" spans="1:32" x14ac:dyDescent="0.25">
      <c r="A50" s="31">
        <v>42916.715081018519</v>
      </c>
      <c r="B50" s="30" t="s">
        <v>355</v>
      </c>
      <c r="C50" s="30" t="s">
        <v>620</v>
      </c>
      <c r="D50" s="30" t="s">
        <v>49</v>
      </c>
      <c r="E50" s="30" t="s">
        <v>181</v>
      </c>
      <c r="F50" s="42">
        <v>0</v>
      </c>
      <c r="G50" s="42">
        <v>42</v>
      </c>
      <c r="H50" s="42">
        <v>233324</v>
      </c>
      <c r="I50" s="42">
        <v>233368</v>
      </c>
      <c r="J50" s="30" t="s">
        <v>182</v>
      </c>
      <c r="K50" s="42">
        <v>233491</v>
      </c>
      <c r="L50" s="131" t="s">
        <v>50</v>
      </c>
      <c r="M50" s="132">
        <f t="shared" si="10"/>
        <v>64.944000000000003</v>
      </c>
      <c r="N50" s="133" t="str">
        <f>VLOOKUP(C50,'Trips&amp;Operators'!$C$1:$G$99999,5,FALSE)</f>
        <v>BRANDNER MELINDA</v>
      </c>
      <c r="O50" s="203" t="s">
        <v>180</v>
      </c>
      <c r="P50" s="134"/>
      <c r="Q50" s="30"/>
      <c r="R50" s="81" t="str">
        <f>VLOOKUP(C50,'Train Runs'!$A$13:$AE$9930,31,0)</f>
        <v>aws s3 cp s3://rtdc.mdm.uploadarchive.raw/RTDC4042/ "%USERPROFILE%\AppData\Local\Temp\OnboardLogs"\RTDC4042\2017-06-30 --exclude "*" --recursive --include "*20170630*" &amp; "%USERPROFILE%\Documents\GitHub\mrs-test-scripts\Headless Mode &amp; Sideloading\WalkAndUnGZ.bat" "%USERPROFILE%\AppData\Local\Temp\OnboardLogs"\RTDC4042\2017-06-30 &amp; aws s3 cp s3://rtdc.mdm.uploadarchive.raw/RTDC4042/ "%USERPROFILE%\AppData\Local\Temp\OnboardLogs"\RTDC4042\2017-07-01 --exclude "*" --recursive --include "*20170701*" &amp; "%USERPROFILE%\Documents\GitHub\mrs-test-scripts\Headless Mode &amp; Sideloading\WalkAndUnGZ.bat" "%USERPROFILE%\AppData\Local\Temp\OnboardLogs"\RTDC4042\2017-07-01</v>
      </c>
      <c r="S50" s="84" t="str">
        <f>VLOOKUP(C50,'Train Runs'!$A$13:$AE$9930,22,0)</f>
        <v>https://d0f6bd738d7f1b3e5a7ca70fe4ff75f0.us-east-1.aws.found.io/app/kibana#/discover/Steve-Slow-Train-Analysis-(2080s-and-2083s)?_g=(refreshInterval:(display:Off,pause:!f,section:0,value:0),time:(from:'2017-06-30T15:30:02-0600',mode:absolute,to:'2017-06-30T18:09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50" s="86" t="str">
        <f t="shared" si="11"/>
        <v>"C:\Program Files (x86)\AstroGrep\AstroGrep.exe" /e /r /s /spath="%USERPROFILE%\AppData\Local\Temp\OnboardLogs" /stypes="*4042*201706302*" /stext=" 23:.+((SYSTEM_STATE.+slice.+state.+changed )|(ment ac)|(multiple cpu faults)|(system.+state.+changed )|(\[timeout)|(PRM\|1\|D)|(kpr)|(kdp)|(train st.+moving)|(\|lc)|(penalty))"</v>
      </c>
      <c r="U50" s="9" t="str">
        <f t="shared" si="12"/>
        <v>4042</v>
      </c>
      <c r="V50" s="31">
        <f t="shared" si="13"/>
        <v>42916.965081018519</v>
      </c>
      <c r="W50" s="45" t="str">
        <f t="shared" si="14"/>
        <v>EC</v>
      </c>
      <c r="X50" s="22">
        <f t="shared" si="15"/>
        <v>203</v>
      </c>
      <c r="Y50" s="96" t="str">
        <f t="shared" si="16"/>
        <v>echo {"issue":{"subject":"","project_id":79,"tracker_id":40,"status_id":1,"priority_id":2,"assigned_to_id":23,"start_date":"2017-06-30","description":"","custom_fields":[{"id":1,"name":"Subdivision","value":"EC"},{"id":4,"name":"Milepost","value":"23.3491"},{"id":17,"name":"Train ID","value":"203-30"},{"id":16,"name":"Locomotive ID","value":"4042"},{"id":130,"name":"Impact","value":""},{"id":150,"name":"Time of Event (Mountain Time)","value":"17:09:43"},{"id":151,"name":"Denver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159"/>
      <c r="AA50" s="47"/>
      <c r="AB50" s="47"/>
      <c r="AC50" s="115" t="str">
        <f t="shared" si="17"/>
        <v>grep -hrE -A400 "Enforcement Action" /c/Users/stu/AppData/Local/Temp/OnboardLogs/RTDC4042 --include="*4042*201706302*" | grep -E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"&amp;TEXT(Variables!$A$2,"YYYY-MM-DD")&amp;"-SliceDisagreementCheck.txt"</f>
        <v>grep -hSE "Enforcement Action" "%USERPROFILE%\AppData\Local\Temp\OnboardLogs"\RTDC4042\*4042*201706302* &gt;&gt; 2017-06-30-SliceDisagreementCheck.txt</v>
      </c>
      <c r="AE50" s="145" t="str">
        <f t="shared" si="9"/>
        <v>start /low /b %USERPROFILE%\Documents\GitHub\eaglep3\Utilities\DownloadLogsFromS3.py --loco 4042 --day 2017-06-30</v>
      </c>
      <c r="AF50" s="1"/>
    </row>
    <row r="51" spans="1:32" x14ac:dyDescent="0.25">
      <c r="A51" s="31">
        <v>42916.764733796299</v>
      </c>
      <c r="B51" s="30" t="s">
        <v>418</v>
      </c>
      <c r="C51" s="30" t="s">
        <v>626</v>
      </c>
      <c r="D51" s="30" t="s">
        <v>49</v>
      </c>
      <c r="E51" s="30" t="s">
        <v>181</v>
      </c>
      <c r="F51" s="42">
        <v>0</v>
      </c>
      <c r="G51" s="42">
        <v>90</v>
      </c>
      <c r="H51" s="42">
        <v>233121</v>
      </c>
      <c r="I51" s="42">
        <v>233217</v>
      </c>
      <c r="J51" s="30" t="s">
        <v>182</v>
      </c>
      <c r="K51" s="42">
        <v>233491</v>
      </c>
      <c r="L51" s="131" t="s">
        <v>50</v>
      </c>
      <c r="M51" s="132">
        <f t="shared" si="10"/>
        <v>144.672</v>
      </c>
      <c r="N51" s="133" t="str">
        <f>VLOOKUP(C51,'Trips&amp;Operators'!$C$1:$G$99999,5,FALSE)</f>
        <v>HELVIE ADAM</v>
      </c>
      <c r="O51" s="203" t="s">
        <v>180</v>
      </c>
      <c r="P51" s="134"/>
      <c r="Q51" s="30"/>
      <c r="R51" s="81" t="str">
        <f>VLOOKUP(C51,'Train Runs'!$A$13:$AE$9930,31,0)</f>
        <v>aws s3 cp s3://rtdc.mdm.uploadarchive.raw/RTDC4032/ "%USERPROFILE%\AppData\Local\Temp\OnboardLogs"\RTDC4032\2017-06-30 --exclude "*" --recursive --include "*20170630*" &amp; "%USERPROFILE%\Documents\GitHub\mrs-test-scripts\Headless Mode &amp; Sideloading\WalkAndUnGZ.bat" "%USERPROFILE%\AppData\Local\Temp\OnboardLogs"\RTDC4032\2017-06-30 &amp; aws s3 cp s3://rtdc.mdm.uploadarchive.raw/RTDC4032/ "%USERPROFILE%\AppData\Local\Temp\OnboardLogs"\RTDC4032\2017-07-01 --exclude "*" --recursive --include "*20170701*" &amp; "%USERPROFILE%\Documents\GitHub\mrs-test-scripts\Headless Mode &amp; Sideloading\WalkAndUnGZ.bat" "%USERPROFILE%\AppData\Local\Temp\OnboardLogs"\RTDC4032\2017-07-01</v>
      </c>
      <c r="S51" s="84" t="str">
        <f>VLOOKUP(C51,'Train Runs'!$A$13:$AE$9930,22,0)</f>
        <v>https://d0f6bd738d7f1b3e5a7ca70fe4ff75f0.us-east-1.aws.found.io/app/kibana#/discover/Steve-Slow-Train-Analysis-(2080s-and-2083s)?_g=(refreshInterval:(display:Off,pause:!f,section:0,value:0),time:(from:'2017-06-30T16:38:39-0600',mode:absolute,to:'2017-06-30T19:21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51" s="86" t="str">
        <f t="shared" si="11"/>
        <v>"C:\Program Files (x86)\AstroGrep\AstroGrep.exe" /e /r /s /spath="%USERPROFILE%\AppData\Local\Temp\OnboardLogs" /stypes="*4032*201707010*" /stext=" 00:.+((SYSTEM_STATE.+slice.+state.+changed )|(ment ac)|(multiple cpu faults)|(system.+state.+changed )|(\[timeout)|(PRM\|1\|D)|(kpr)|(kdp)|(train st.+moving)|(\|lc)|(penalty))"</v>
      </c>
      <c r="U51" s="9" t="str">
        <f t="shared" si="12"/>
        <v>4032</v>
      </c>
      <c r="V51" s="31">
        <f t="shared" si="13"/>
        <v>42917.014733796299</v>
      </c>
      <c r="W51" s="45" t="str">
        <f t="shared" si="14"/>
        <v>EC</v>
      </c>
      <c r="X51" s="22">
        <f t="shared" si="15"/>
        <v>213</v>
      </c>
      <c r="Y51" s="96" t="str">
        <f t="shared" si="16"/>
        <v>echo {"issue":{"subject":"","project_id":79,"tracker_id":40,"status_id":1,"priority_id":2,"assigned_to_id":23,"start_date":"2017-06-30","description":"","custom_fields":[{"id":1,"name":"Subdivision","value":"EC"},{"id":4,"name":"Milepost","value":"23.3491"},{"id":17,"name":"Train ID","value":"213-30"},{"id":16,"name":"Locomotive ID","value":"4032"},{"id":130,"name":"Impact","value":""},{"id":150,"name":"Time of Event (Mountain Time)","value":"18:21:13"},{"id":151,"name":"Denver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159"/>
      <c r="AA51" s="47"/>
      <c r="AB51" s="47"/>
      <c r="AC51" s="115" t="str">
        <f t="shared" si="17"/>
        <v>grep -hrE -A400 "Enforcement Action" /c/Users/stu/AppData/Local/Temp/OnboardLogs/RTDC4032 --include="*4032*201707010*" | grep -E "((Enforcement Ac)|(PRM))" -</v>
      </c>
      <c r="AD51" s="1" t="str">
        <f>"grep -hSE ""Enforcement Action"" "&amp;search_path&amp;"\RTDC"&amp;U51&amp;"\*"&amp;U51&amp;"*"&amp;TEXT(A51-utc_offset/24,"YYYYMMDD")&amp;LEFT(TEXT(A51-utc_offset/24,"HH"),1)&amp;"* &gt;&gt; "&amp;TEXT(Variables!$A$2,"YYYY-MM-DD")&amp;"-SliceDisagreementCheck.txt"</f>
        <v>grep -hSE "Enforcement Action" "%USERPROFILE%\AppData\Local\Temp\OnboardLogs"\RTDC4032\*4032*201707010* &gt;&gt; 2017-06-30-SliceDisagreementCheck.txt</v>
      </c>
      <c r="AE51" s="145" t="str">
        <f t="shared" si="9"/>
        <v>start /low /b %USERPROFILE%\Documents\GitHub\eaglep3\Utilities\DownloadLogsFromS3.py --loco 4032 --day 2017-07-01</v>
      </c>
      <c r="AF51" s="1"/>
    </row>
    <row r="52" spans="1:32" x14ac:dyDescent="0.25">
      <c r="A52" s="31">
        <v>42916.776238425926</v>
      </c>
      <c r="B52" s="30" t="s">
        <v>369</v>
      </c>
      <c r="C52" s="30" t="s">
        <v>623</v>
      </c>
      <c r="D52" s="30" t="s">
        <v>49</v>
      </c>
      <c r="E52" s="30" t="s">
        <v>181</v>
      </c>
      <c r="F52" s="42">
        <v>0</v>
      </c>
      <c r="G52" s="42">
        <v>47</v>
      </c>
      <c r="H52" s="42">
        <v>233268</v>
      </c>
      <c r="I52" s="42">
        <v>233307</v>
      </c>
      <c r="J52" s="30" t="s">
        <v>182</v>
      </c>
      <c r="K52" s="42">
        <v>233491</v>
      </c>
      <c r="L52" s="131" t="s">
        <v>50</v>
      </c>
      <c r="M52" s="132">
        <f t="shared" si="10"/>
        <v>97.152000000000001</v>
      </c>
      <c r="N52" s="133" t="str">
        <f>VLOOKUP(C52,'Trips&amp;Operators'!$C$1:$G$99999,5,FALSE)</f>
        <v>HOLCOMB KAMDEN</v>
      </c>
      <c r="O52" s="203" t="s">
        <v>180</v>
      </c>
      <c r="P52" s="134"/>
      <c r="Q52" s="30"/>
      <c r="R52" s="81" t="str">
        <f>VLOOKUP(C52,'Train Runs'!$A$13:$AE$9930,31,0)</f>
        <v>aws s3 cp s3://rtdc.mdm.uploadarchive.raw/RTDC4040/ "%USERPROFILE%\AppData\Local\Temp\OnboardLogs"\RTDC4040\2017-06-30 --exclude "*" --recursive --include "*20170630*" &amp; "%USERPROFILE%\Documents\GitHub\mrs-test-scripts\Headless Mode &amp; Sideloading\WalkAndUnGZ.bat" "%USERPROFILE%\AppData\Local\Temp\OnboardLogs"\RTDC4040\2017-06-30 &amp; aws s3 cp s3://rtdc.mdm.uploadarchive.raw/RTDC4040/ "%USERPROFILE%\AppData\Local\Temp\OnboardLogs"\RTDC4040\2017-07-01 --exclude "*" --recursive --include "*20170701*" &amp; "%USERPROFILE%\Documents\GitHub\mrs-test-scripts\Headless Mode &amp; Sideloading\WalkAndUnGZ.bat" "%USERPROFILE%\AppData\Local\Temp\OnboardLogs"\RTDC4040\2017-07-01</v>
      </c>
      <c r="S52" s="84" t="str">
        <f>VLOOKUP(C52,'Train Runs'!$A$13:$AE$9930,22,0)</f>
        <v>https://d0f6bd738d7f1b3e5a7ca70fe4ff75f0.us-east-1.aws.found.io/app/kibana#/discover/Steve-Slow-Train-Analysis-(2080s-and-2083s)?_g=(refreshInterval:(display:Off,pause:!f,section:0,value:0),time:(from:'2017-06-30T16:56:29-0600',mode:absolute,to:'2017-06-30T19:37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52" s="86" t="str">
        <f t="shared" si="11"/>
        <v>"C:\Program Files (x86)\AstroGrep\AstroGrep.exe" /e /r /s /spath="%USERPROFILE%\AppData\Local\Temp\OnboardLogs" /stypes="*4040*201707010*" /stext=" 00:.+((SYSTEM_STATE.+slice.+state.+changed )|(ment ac)|(multiple cpu faults)|(system.+state.+changed )|(\[timeout)|(PRM\|1\|D)|(kpr)|(kdp)|(train st.+moving)|(\|lc)|(penalty))"</v>
      </c>
      <c r="U52" s="9" t="str">
        <f t="shared" si="12"/>
        <v>4040</v>
      </c>
      <c r="V52" s="31">
        <f t="shared" si="13"/>
        <v>42917.026238425926</v>
      </c>
      <c r="W52" s="45" t="str">
        <f t="shared" si="14"/>
        <v>EC</v>
      </c>
      <c r="X52" s="22">
        <f t="shared" si="15"/>
        <v>215</v>
      </c>
      <c r="Y52" s="96" t="str">
        <f t="shared" si="16"/>
        <v>echo {"issue":{"subject":"","project_id":79,"tracker_id":40,"status_id":1,"priority_id":2,"assigned_to_id":23,"start_date":"2017-06-30","description":"","custom_fields":[{"id":1,"name":"Subdivision","value":"EC"},{"id":4,"name":"Milepost","value":"23.3491"},{"id":17,"name":"Train ID","value":"215-30"},{"id":16,"name":"Locomotive ID","value":"4040"},{"id":130,"name":"Impact","value":""},{"id":150,"name":"Time of Event (Mountain Time)","value":"18:37:47"},{"id":151,"name":"Denver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159"/>
      <c r="AA52" s="47"/>
      <c r="AB52" s="47"/>
      <c r="AC52" s="115" t="str">
        <f t="shared" si="17"/>
        <v>grep -hrE -A400 "Enforcement Action" /c/Users/stu/AppData/Local/Temp/OnboardLogs/RTDC4040 --include="*4040*201707010*" | grep -E "((Enforcement Ac)|(PRM))" -</v>
      </c>
      <c r="AD52" s="1" t="str">
        <f>"grep -hSE ""Enforcement Action"" "&amp;search_path&amp;"\RTDC"&amp;U52&amp;"\*"&amp;U52&amp;"*"&amp;TEXT(A52-utc_offset/24,"YYYYMMDD")&amp;LEFT(TEXT(A52-utc_offset/24,"HH"),1)&amp;"* &gt;&gt; "&amp;TEXT(Variables!$A$2,"YYYY-MM-DD")&amp;"-SliceDisagreementCheck.txt"</f>
        <v>grep -hSE "Enforcement Action" "%USERPROFILE%\AppData\Local\Temp\OnboardLogs"\RTDC4040\*4040*201707010* &gt;&gt; 2017-06-30-SliceDisagreementCheck.txt</v>
      </c>
      <c r="AE52" s="145" t="str">
        <f t="shared" si="9"/>
        <v>start /low /b %USERPROFILE%\Documents\GitHub\eaglep3\Utilities\DownloadLogsFromS3.py --loco 4040 --day 2017-07-01</v>
      </c>
      <c r="AF52" s="1"/>
    </row>
    <row r="53" spans="1:32" x14ac:dyDescent="0.25">
      <c r="A53" s="31">
        <v>42916.796990740739</v>
      </c>
      <c r="B53" s="30" t="s">
        <v>409</v>
      </c>
      <c r="C53" s="30" t="s">
        <v>629</v>
      </c>
      <c r="D53" s="30" t="s">
        <v>49</v>
      </c>
      <c r="E53" s="30" t="s">
        <v>181</v>
      </c>
      <c r="F53" s="42">
        <v>0</v>
      </c>
      <c r="G53" s="42">
        <v>53</v>
      </c>
      <c r="H53" s="42">
        <v>233322</v>
      </c>
      <c r="I53" s="42">
        <v>233368</v>
      </c>
      <c r="J53" s="30" t="s">
        <v>182</v>
      </c>
      <c r="K53" s="42">
        <v>233491</v>
      </c>
      <c r="L53" s="131" t="s">
        <v>50</v>
      </c>
      <c r="M53" s="132">
        <f t="shared" si="10"/>
        <v>64.944000000000003</v>
      </c>
      <c r="N53" s="133" t="str">
        <f>VLOOKUP(C53,'Trips&amp;Operators'!$C$1:$G$99999,5,FALSE)</f>
        <v>FORTUNATO FRANK</v>
      </c>
      <c r="O53" s="203" t="s">
        <v>180</v>
      </c>
      <c r="P53" s="134"/>
      <c r="Q53" s="30"/>
      <c r="R53" s="81" t="str">
        <f>VLOOKUP(C53,'Train Runs'!$A$13:$AE$9930,31,0)</f>
        <v>aws s3 cp s3://rtdc.mdm.uploadarchive.raw/RTDC4002/ "%USERPROFILE%\AppData\Local\Temp\OnboardLogs"\RTDC4002\2017-06-30 --exclude "*" --recursive --include "*20170630*" &amp; "%USERPROFILE%\Documents\GitHub\mrs-test-scripts\Headless Mode &amp; Sideloading\WalkAndUnGZ.bat" "%USERPROFILE%\AppData\Local\Temp\OnboardLogs"\RTDC4002\2017-06-30 &amp; aws s3 cp s3://rtdc.mdm.uploadarchive.raw/RTDC4002/ "%USERPROFILE%\AppData\Local\Temp\OnboardLogs"\RTDC4002\2017-07-01 --exclude "*" --recursive --include "*20170701*" &amp; "%USERPROFILE%\Documents\GitHub\mrs-test-scripts\Headless Mode &amp; Sideloading\WalkAndUnGZ.bat" "%USERPROFILE%\AppData\Local\Temp\OnboardLogs"\RTDC4002\2017-07-01</v>
      </c>
      <c r="S53" s="84" t="str">
        <f>VLOOKUP(C53,'Train Runs'!$A$13:$AE$9930,22,0)</f>
        <v>https://d0f6bd738d7f1b3e5a7ca70fe4ff75f0.us-east-1.aws.found.io/app/kibana#/discover/Steve-Slow-Train-Analysis-(2080s-and-2083s)?_g=(refreshInterval:(display:Off,pause:!f,section:0,value:0),time:(from:'2017-06-30T17:24:23-0600',mode:absolute,to:'2017-06-30T20:07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53" s="86" t="str">
        <f t="shared" si="11"/>
        <v>"C:\Program Files (x86)\AstroGrep\AstroGrep.exe" /e /r /s /spath="%USERPROFILE%\AppData\Local\Temp\OnboardLogs" /stypes="*4002*201707010*" /stext=" 01:.+((SYSTEM_STATE.+slice.+state.+changed )|(ment ac)|(multiple cpu faults)|(system.+state.+changed )|(\[timeout)|(PRM\|1\|D)|(kpr)|(kdp)|(train st.+moving)|(\|lc)|(penalty))"</v>
      </c>
      <c r="U53" s="9" t="str">
        <f t="shared" si="12"/>
        <v>4002</v>
      </c>
      <c r="V53" s="31">
        <f t="shared" si="13"/>
        <v>42917.046990740739</v>
      </c>
      <c r="W53" s="45" t="str">
        <f t="shared" si="14"/>
        <v>EC</v>
      </c>
      <c r="X53" s="22">
        <f t="shared" si="15"/>
        <v>219</v>
      </c>
      <c r="Y53" s="96" t="str">
        <f t="shared" si="16"/>
        <v>echo {"issue":{"subject":"","project_id":79,"tracker_id":40,"status_id":1,"priority_id":2,"assigned_to_id":23,"start_date":"2017-06-30","description":"","custom_fields":[{"id":1,"name":"Subdivision","value":"EC"},{"id":4,"name":"Milepost","value":"23.3491"},{"id":17,"name":"Train ID","value":"219-30"},{"id":16,"name":"Locomotive ID","value":"4002"},{"id":130,"name":"Impact","value":""},{"id":150,"name":"Time of Event (Mountain Time)","value":"19:07:40"},{"id":151,"name":"Denver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159"/>
      <c r="AA53" s="47"/>
      <c r="AB53" s="47"/>
      <c r="AC53" s="115" t="str">
        <f t="shared" si="17"/>
        <v>grep -hrE -A400 "Enforcement Action" /c/Users/stu/AppData/Local/Temp/OnboardLogs/RTDC4002 --include="*4002*201707010*" | grep -E "((Enforcement Ac)|(PRM))" -</v>
      </c>
      <c r="AD53" s="1" t="str">
        <f>"grep -hSE ""Enforcement Action"" "&amp;search_path&amp;"\RTDC"&amp;U53&amp;"\*"&amp;U53&amp;"*"&amp;TEXT(A53-utc_offset/24,"YYYYMMDD")&amp;LEFT(TEXT(A53-utc_offset/24,"HH"),1)&amp;"* &gt;&gt; "&amp;TEXT(Variables!$A$2,"YYYY-MM-DD")&amp;"-SliceDisagreementCheck.txt"</f>
        <v>grep -hSE "Enforcement Action" "%USERPROFILE%\AppData\Local\Temp\OnboardLogs"\RTDC4002\*4002*201707010* &gt;&gt; 2017-06-30-SliceDisagreementCheck.txt</v>
      </c>
      <c r="AE53" s="145" t="str">
        <f t="shared" si="9"/>
        <v>start /low /b %USERPROFILE%\Documents\GitHub\eaglep3\Utilities\DownloadLogsFromS3.py --loco 4002 --day 2017-07-01</v>
      </c>
      <c r="AF53" s="1"/>
    </row>
    <row r="54" spans="1:32" x14ac:dyDescent="0.25">
      <c r="A54" s="31">
        <v>42916.436249999999</v>
      </c>
      <c r="B54" s="30" t="s">
        <v>594</v>
      </c>
      <c r="C54" s="30" t="s">
        <v>598</v>
      </c>
      <c r="D54" s="30" t="s">
        <v>49</v>
      </c>
      <c r="E54" s="30" t="s">
        <v>198</v>
      </c>
      <c r="F54" s="42">
        <v>400</v>
      </c>
      <c r="G54" s="42">
        <v>488</v>
      </c>
      <c r="H54" s="42">
        <v>35134</v>
      </c>
      <c r="I54" s="42">
        <v>37023</v>
      </c>
      <c r="J54" s="30" t="s">
        <v>199</v>
      </c>
      <c r="K54" s="42">
        <v>38172</v>
      </c>
      <c r="L54" s="131" t="s">
        <v>50</v>
      </c>
      <c r="M54" s="132">
        <f t="shared" si="10"/>
        <v>606.67200000000003</v>
      </c>
      <c r="N54" s="133" t="str">
        <f>VLOOKUP(C54,'Trips&amp;Operators'!$C$1:$G$99999,5,FALSE)</f>
        <v>LALONDE GREGORY</v>
      </c>
      <c r="O54" s="203" t="s">
        <v>180</v>
      </c>
      <c r="P54" s="134"/>
      <c r="Q54" s="30"/>
      <c r="R54" s="81" t="str">
        <f>VLOOKUP(C54,'Train Runs'!$A$13:$AE$9930,31,0)</f>
        <v>aws s3 cp s3://rtdc.mdm.uploadarchive.raw/RTDC4016/ "%USERPROFILE%\AppData\Local\Temp\OnboardLogs"\RTDC4016\2017-06-30 --exclude "*" --recursive --include "*20170630*" &amp; "%USERPROFILE%\Documents\GitHub\mrs-test-scripts\Headless Mode &amp; Sideloading\WalkAndUnGZ.bat" "%USERPROFILE%\AppData\Local\Temp\OnboardLogs"\RTDC4016\2017-06-30 &amp; aws s3 cp s3://rtdc.mdm.uploadarchive.raw/RTDC4016/ "%USERPROFILE%\AppData\Local\Temp\OnboardLogs"\RTDC4016\2017-07-01 --exclude "*" --recursive --include "*20170701*" &amp; "%USERPROFILE%\Documents\GitHub\mrs-test-scripts\Headless Mode &amp; Sideloading\WalkAndUnGZ.bat" "%USERPROFILE%\AppData\Local\Temp\OnboardLogs"\RTDC4016\2017-07-01</v>
      </c>
      <c r="S54" s="84" t="str">
        <f>VLOOKUP(C54,'Train Runs'!$A$13:$AE$9930,22,0)</f>
        <v>https://d0f6bd738d7f1b3e5a7ca70fe4ff75f0.us-east-1.aws.found.io/app/kibana#/discover/Steve-Slow-Train-Analysis-(2080s-and-2083s)?_g=(refreshInterval:(display:Off,pause:!f,section:0,value:0),time:(from:'2017-06-30T08:57:34-0600',mode:absolute,to:'2017-06-30T11:34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54" s="86" t="str">
        <f t="shared" si="11"/>
        <v>"C:\Program Files (x86)\AstroGrep\AstroGrep.exe" /e /r /s /spath="%USERPROFILE%\AppData\Local\Temp\OnboardLogs" /stypes="*4016*201706301*" /stext=" 16:.+((SYSTEM_STATE.+slice.+state.+changed )|(ment ac)|(multiple cpu faults)|(system.+state.+changed )|(\[timeout)|(PRM\|1\|D)|(kpr)|(kdp)|(train st.+moving)|(\|lc)|(penalty))"</v>
      </c>
      <c r="U54" s="9" t="str">
        <f t="shared" si="12"/>
        <v>4016</v>
      </c>
      <c r="V54" s="31">
        <f t="shared" si="13"/>
        <v>42916.686249999999</v>
      </c>
      <c r="W54" s="45" t="str">
        <f t="shared" si="14"/>
        <v>NW</v>
      </c>
      <c r="X54" s="22">
        <f t="shared" si="15"/>
        <v>815</v>
      </c>
      <c r="Y54" s="96" t="str">
        <f t="shared" si="16"/>
        <v>echo {"issue":{"subject":"","project_id":79,"tracker_id":40,"status_id":1,"priority_id":2,"assigned_to_id":23,"start_date":"2017-06-30","description":"","custom_fields":[{"id":1,"name":"Subdivision","value":"NW"},{"id":4,"name":"Milepost","value":"3.8172"},{"id":17,"name":"Train ID","value":"815-30"},{"id":16,"name":"Locomotive ID","value":"4016"},{"id":130,"name":"Impact","value":""},{"id":150,"name":"Time of Event (Mountain Time)","value":"10:28:12"},{"id":151,"name":"Denver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159"/>
      <c r="AA54" s="47"/>
      <c r="AB54" s="47"/>
      <c r="AC54" s="115" t="str">
        <f t="shared" si="17"/>
        <v>grep -hrE -A400 "Enforcement Action" /c/Users/stu/AppData/Local/Temp/OnboardLogs/RTDC4016 --include="*4016*201706301*" | grep -E "((Enforcement Ac)|(PRM))" -</v>
      </c>
      <c r="AD54" s="1" t="str">
        <f>"grep -hSE ""Enforcement Action"" "&amp;search_path&amp;"\RTDC"&amp;U54&amp;"\*"&amp;U54&amp;"*"&amp;TEXT(A54-utc_offset/24,"YYYYMMDD")&amp;LEFT(TEXT(A54-utc_offset/24,"HH"),1)&amp;"* &gt;&gt; "&amp;TEXT(Variables!$A$2,"YYYY-MM-DD")&amp;"-SliceDisagreementCheck.txt"</f>
        <v>grep -hSE "Enforcement Action" "%USERPROFILE%\AppData\Local\Temp\OnboardLogs"\RTDC4016\*4016*201706301* &gt;&gt; 2017-06-30-SliceDisagreementCheck.txt</v>
      </c>
      <c r="AE54" s="145" t="str">
        <f t="shared" si="9"/>
        <v>start /low /b %USERPROFILE%\Documents\GitHub\eaglep3\Utilities\DownloadLogsFromS3.py --loco 4016 --day 2017-06-30</v>
      </c>
      <c r="AF54" s="1"/>
    </row>
    <row r="55" spans="1:32" x14ac:dyDescent="0.25">
      <c r="A55" s="31">
        <v>42916.605844907404</v>
      </c>
      <c r="B55" s="30" t="s">
        <v>594</v>
      </c>
      <c r="C55" s="30" t="s">
        <v>610</v>
      </c>
      <c r="D55" s="30" t="s">
        <v>49</v>
      </c>
      <c r="E55" s="30" t="s">
        <v>198</v>
      </c>
      <c r="F55" s="42">
        <v>150</v>
      </c>
      <c r="G55" s="42">
        <v>331</v>
      </c>
      <c r="H55" s="42">
        <v>55547</v>
      </c>
      <c r="I55" s="42">
        <v>56198</v>
      </c>
      <c r="J55" s="30" t="s">
        <v>199</v>
      </c>
      <c r="K55" s="42">
        <v>57008</v>
      </c>
      <c r="L55" s="131" t="s">
        <v>50</v>
      </c>
      <c r="M55" s="132">
        <f t="shared" si="10"/>
        <v>427.68</v>
      </c>
      <c r="N55" s="133" t="str">
        <f>VLOOKUP(C55,'Trips&amp;Operators'!$C$1:$G$99999,5,FALSE)</f>
        <v>DELGADO DIANAH</v>
      </c>
      <c r="O55" s="203" t="s">
        <v>180</v>
      </c>
      <c r="P55" s="134"/>
      <c r="Q55" s="30"/>
      <c r="R55" s="81" t="str">
        <f>VLOOKUP(C55,'Train Runs'!$A$13:$AE$9930,31,0)</f>
        <v>aws s3 cp s3://rtdc.mdm.uploadarchive.raw/RTDC4016/ "%USERPROFILE%\AppData\Local\Temp\OnboardLogs"\RTDC4016\2017-06-30 --exclude "*" --recursive --include "*20170630*" &amp; "%USERPROFILE%\Documents\GitHub\mrs-test-scripts\Headless Mode &amp; Sideloading\WalkAndUnGZ.bat" "%USERPROFILE%\AppData\Local\Temp\OnboardLogs"\RTDC4016\2017-06-30 &amp; aws s3 cp s3://rtdc.mdm.uploadarchive.raw/RTDC4016/ "%USERPROFILE%\AppData\Local\Temp\OnboardLogs"\RTDC4016\2017-07-01 --exclude "*" --recursive --include "*20170701*" &amp; "%USERPROFILE%\Documents\GitHub\mrs-test-scripts\Headless Mode &amp; Sideloading\WalkAndUnGZ.bat" "%USERPROFILE%\AppData\Local\Temp\OnboardLogs"\RTDC4016\2017-07-01</v>
      </c>
      <c r="S55" s="84" t="str">
        <f>VLOOKUP(C55,'Train Runs'!$A$13:$AE$9930,22,0)</f>
        <v>https://d0f6bd738d7f1b3e5a7ca70fe4ff75f0.us-east-1.aws.found.io/app/kibana#/discover/Steve-Slow-Train-Analysis-(2080s-and-2083s)?_g=(refreshInterval:(display:Off,pause:!f,section:0,value:0),time:(from:'2017-06-30T13:06:14-0600',mode:absolute,to:'2017-06-30T15:35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55" s="86" t="str">
        <f t="shared" si="11"/>
        <v>"C:\Program Files (x86)\AstroGrep\AstroGrep.exe" /e /r /s /spath="%USERPROFILE%\AppData\Local\Temp\OnboardLogs" /stypes="*4016*201706302*" /stext=" 20:.+((SYSTEM_STATE.+slice.+state.+changed )|(ment ac)|(multiple cpu faults)|(system.+state.+changed )|(\[timeout)|(PRM\|1\|D)|(kpr)|(kdp)|(train st.+moving)|(\|lc)|(penalty))"</v>
      </c>
      <c r="U55" s="9" t="str">
        <f t="shared" si="12"/>
        <v>4016</v>
      </c>
      <c r="V55" s="31">
        <f t="shared" si="13"/>
        <v>42916.855844907404</v>
      </c>
      <c r="W55" s="45" t="str">
        <f t="shared" si="14"/>
        <v>NW</v>
      </c>
      <c r="X55" s="22">
        <f t="shared" si="15"/>
        <v>823</v>
      </c>
      <c r="Y55" s="96" t="str">
        <f t="shared" si="16"/>
        <v>echo {"issue":{"subject":"","project_id":79,"tracker_id":40,"status_id":1,"priority_id":2,"assigned_to_id":23,"start_date":"2017-06-30","description":"","custom_fields":[{"id":1,"name":"Subdivision","value":"NW"},{"id":4,"name":"Milepost","value":"5.7008"},{"id":17,"name":"Train ID","value":"823-30"},{"id":16,"name":"Locomotive ID","value":"4016"},{"id":130,"name":"Impact","value":""},{"id":150,"name":"Time of Event (Mountain Time)","value":"14:32:25"},{"id":151,"name":"Denver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5" s="159"/>
      <c r="AA55" s="47"/>
      <c r="AB55" s="47"/>
      <c r="AC55" s="115" t="str">
        <f t="shared" si="17"/>
        <v>grep -hrE -A400 "Enforcement Action" /c/Users/stu/AppData/Local/Temp/OnboardLogs/RTDC4016 --include="*4016*201706302*" | grep -E "((Enforcement Ac)|(PRM))" -</v>
      </c>
      <c r="AD55" s="1" t="str">
        <f>"grep -hSE ""Enforcement Action"" "&amp;search_path&amp;"\RTDC"&amp;U55&amp;"\*"&amp;U55&amp;"*"&amp;TEXT(A55-utc_offset/24,"YYYYMMDD")&amp;LEFT(TEXT(A55-utc_offset/24,"HH"),1)&amp;"* &gt;&gt; "&amp;TEXT(Variables!$A$2,"YYYY-MM-DD")&amp;"-SliceDisagreementCheck.txt"</f>
        <v>grep -hSE "Enforcement Action" "%USERPROFILE%\AppData\Local\Temp\OnboardLogs"\RTDC4016\*4016*201706302* &gt;&gt; 2017-06-30-SliceDisagreementCheck.txt</v>
      </c>
      <c r="AE55" s="145" t="str">
        <f t="shared" si="9"/>
        <v>start /low /b %USERPROFILE%\Documents\GitHub\eaglep3\Utilities\DownloadLogsFromS3.py --loco 4016 --day 2017-06-30</v>
      </c>
      <c r="AF55" s="1"/>
    </row>
    <row r="56" spans="1:32" x14ac:dyDescent="0.25">
      <c r="A56" s="31">
        <v>42916.814305555556</v>
      </c>
      <c r="B56" s="30" t="s">
        <v>594</v>
      </c>
      <c r="C56" s="30" t="s">
        <v>631</v>
      </c>
      <c r="D56" s="30" t="s">
        <v>49</v>
      </c>
      <c r="E56" s="30" t="s">
        <v>198</v>
      </c>
      <c r="F56" s="42">
        <v>150</v>
      </c>
      <c r="G56" s="42">
        <v>302</v>
      </c>
      <c r="H56" s="42">
        <v>55888</v>
      </c>
      <c r="I56" s="42">
        <v>56410</v>
      </c>
      <c r="J56" s="30" t="s">
        <v>199</v>
      </c>
      <c r="K56" s="42">
        <v>57008</v>
      </c>
      <c r="L56" s="131" t="s">
        <v>50</v>
      </c>
      <c r="M56" s="132">
        <f t="shared" si="10"/>
        <v>315.74400000000003</v>
      </c>
      <c r="N56" s="133" t="str">
        <f>VLOOKUP(C56,'Trips&amp;Operators'!$C$1:$G$99999,5,FALSE)</f>
        <v>DELGADO DIANAH</v>
      </c>
      <c r="O56" s="203" t="s">
        <v>180</v>
      </c>
      <c r="P56" s="134"/>
      <c r="Q56" s="30"/>
      <c r="R56" s="81" t="str">
        <f>VLOOKUP(C56,'Train Runs'!$A$13:$AE$9930,31,0)</f>
        <v>aws s3 cp s3://rtdc.mdm.uploadarchive.raw/RTDC4016/ "%USERPROFILE%\AppData\Local\Temp\OnboardLogs"\RTDC4016\2017-06-30 --exclude "*" --recursive --include "*20170630*" &amp; "%USERPROFILE%\Documents\GitHub\mrs-test-scripts\Headless Mode &amp; Sideloading\WalkAndUnGZ.bat" "%USERPROFILE%\AppData\Local\Temp\OnboardLogs"\RTDC4016\2017-06-30 &amp; aws s3 cp s3://rtdc.mdm.uploadarchive.raw/RTDC4016/ "%USERPROFILE%\AppData\Local\Temp\OnboardLogs"\RTDC4016\2017-07-01 --exclude "*" --recursive --include "*20170701*" &amp; "%USERPROFILE%\Documents\GitHub\mrs-test-scripts\Headless Mode &amp; Sideloading\WalkAndUnGZ.bat" "%USERPROFILE%\AppData\Local\Temp\OnboardLogs"\RTDC4016\2017-07-01</v>
      </c>
      <c r="S56" s="84" t="str">
        <f>VLOOKUP(C56,'Train Runs'!$A$13:$AE$9930,22,0)</f>
        <v>https://d0f6bd738d7f1b3e5a7ca70fe4ff75f0.us-east-1.aws.found.io/app/kibana#/discover/Steve-Slow-Train-Analysis-(2080s-and-2083s)?_g=(refreshInterval:(display:Off,pause:!f,section:0,value:0),time:(from:'2017-06-30T18:03:51-0600',mode:absolute,to:'2017-06-30T20:35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56" s="86" t="str">
        <f t="shared" si="11"/>
        <v>"C:\Program Files (x86)\AstroGrep\AstroGrep.exe" /e /r /s /spath="%USERPROFILE%\AppData\Local\Temp\OnboardLogs" /stypes="*4016*201707010*" /stext=" 01:.+((SYSTEM_STATE.+slice.+state.+changed )|(ment ac)|(multiple cpu faults)|(system.+state.+changed )|(\[timeout)|(PRM\|1\|D)|(kpr)|(kdp)|(train st.+moving)|(\|lc)|(penalty))"</v>
      </c>
      <c r="U56" s="9" t="str">
        <f t="shared" si="12"/>
        <v>4016</v>
      </c>
      <c r="V56" s="31">
        <f t="shared" si="13"/>
        <v>42917.064305555556</v>
      </c>
      <c r="W56" s="45" t="str">
        <f t="shared" si="14"/>
        <v>NW</v>
      </c>
      <c r="X56" s="22">
        <f t="shared" si="15"/>
        <v>841</v>
      </c>
      <c r="Y56" s="96" t="str">
        <f t="shared" si="16"/>
        <v>echo {"issue":{"subject":"","project_id":79,"tracker_id":40,"status_id":1,"priority_id":2,"assigned_to_id":23,"start_date":"2017-06-30","description":"","custom_fields":[{"id":1,"name":"Subdivision","value":"NW"},{"id":4,"name":"Milepost","value":"5.7008"},{"id":17,"name":"Train ID","value":"841-30"},{"id":16,"name":"Locomotive ID","value":"4016"},{"id":130,"name":"Impact","value":""},{"id":150,"name":"Time of Event (Mountain Time)","value":"19:32:36"},{"id":151,"name":"Denver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6" s="159"/>
      <c r="AA56" s="47"/>
      <c r="AB56" s="47"/>
      <c r="AC56" s="115" t="str">
        <f t="shared" si="17"/>
        <v>grep -hrE -A400 "Enforcement Action" /c/Users/stu/AppData/Local/Temp/OnboardLogs/RTDC4016 --include="*4016*201707010*" | grep -E "((Enforcement Ac)|(PRM))" -</v>
      </c>
      <c r="AD56" s="1" t="str">
        <f>"grep -hSE ""Enforcement Action"" "&amp;search_path&amp;"\RTDC"&amp;U56&amp;"\*"&amp;U56&amp;"*"&amp;TEXT(A56-utc_offset/24,"YYYYMMDD")&amp;LEFT(TEXT(A56-utc_offset/24,"HH"),1)&amp;"* &gt;&gt; "&amp;TEXT(Variables!$A$2,"YYYY-MM-DD")&amp;"-SliceDisagreementCheck.txt"</f>
        <v>grep -hSE "Enforcement Action" "%USERPROFILE%\AppData\Local\Temp\OnboardLogs"\RTDC4016\*4016*201707010* &gt;&gt; 2017-06-30-SliceDisagreementCheck.txt</v>
      </c>
      <c r="AE56" s="145" t="str">
        <f t="shared" si="9"/>
        <v>start /low /b %USERPROFILE%\Documents\GitHub\eaglep3\Utilities\DownloadLogsFromS3.py --loco 4016 --day 2017-07-01</v>
      </c>
      <c r="AF56" s="1"/>
    </row>
    <row r="57" spans="1:32" x14ac:dyDescent="0.25">
      <c r="A57" s="31">
        <v>42916.530173611114</v>
      </c>
      <c r="B57" s="30" t="s">
        <v>599</v>
      </c>
      <c r="C57" s="30" t="s">
        <v>600</v>
      </c>
      <c r="D57" s="30" t="s">
        <v>96</v>
      </c>
      <c r="E57" s="30" t="s">
        <v>198</v>
      </c>
      <c r="F57" s="42">
        <v>150</v>
      </c>
      <c r="G57" s="42">
        <v>202</v>
      </c>
      <c r="H57" s="42">
        <v>56931</v>
      </c>
      <c r="I57" s="42">
        <v>56399</v>
      </c>
      <c r="J57" s="30" t="s">
        <v>199</v>
      </c>
      <c r="K57" s="42">
        <v>59050</v>
      </c>
      <c r="L57" s="131" t="s">
        <v>51</v>
      </c>
      <c r="M57" s="132">
        <f t="shared" si="10"/>
        <v>-1399.7280000000001</v>
      </c>
      <c r="N57" s="133" t="str">
        <f>VLOOKUP(C57,'Trips&amp;Operators'!$C$1:$G$99999,5,FALSE)</f>
        <v>LALONDE GREGORY</v>
      </c>
      <c r="O57" s="203" t="s">
        <v>180</v>
      </c>
      <c r="P57" s="134"/>
      <c r="Q57" s="30"/>
      <c r="R57" s="81" t="str">
        <f>VLOOKUP(C57,'Train Runs'!$A$13:$AE$9930,31,0)</f>
        <v>aws s3 cp s3://rtdc.mdm.uploadarchive.raw/RTDC4015/ "%USERPROFILE%\AppData\Local\Temp\OnboardLogs"\RTDC4015\2017-06-30 --exclude "*" --recursive --include "*20170630*" &amp; "%USERPROFILE%\Documents\GitHub\mrs-test-scripts\Headless Mode &amp; Sideloading\WalkAndUnGZ.bat" "%USERPROFILE%\AppData\Local\Temp\OnboardLogs"\RTDC4015\2017-06-30 &amp; aws s3 cp s3://rtdc.mdm.uploadarchive.raw/RTDC4015/ "%USERPROFILE%\AppData\Local\Temp\OnboardLogs"\RTDC4015\2017-07-01 --exclude "*" --recursive --include "*20170701*" &amp; "%USERPROFILE%\Documents\GitHub\mrs-test-scripts\Headless Mode &amp; Sideloading\WalkAndUnGZ.bat" "%USERPROFILE%\AppData\Local\Temp\OnboardLogs"\RTDC4015\2017-07-01</v>
      </c>
      <c r="S57" s="84" t="str">
        <f>VLOOKUP(C57,'Train Runs'!$A$13:$AE$9930,22,0)</f>
        <v>https://d0f6bd738d7f1b3e5a7ca70fe4ff75f0.us-east-1.aws.found.io/app/kibana#/discover/Steve-Slow-Train-Analysis-(2080s-and-2083s)?_g=(refreshInterval:(display:Off,pause:!f,section:0,value:0),time:(from:'2017-06-30T11:35:40-0600',mode:absolute,to:'2017-06-30T13:54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57" s="86" t="str">
        <f t="shared" si="11"/>
        <v>"C:\Program Files (x86)\AstroGrep\AstroGrep.exe" /e /r /s /spath="%USERPROFILE%\AppData\Local\Temp\OnboardLogs" /stypes="*4015*201706301*" /stext=" 18:.+((SYSTEM_STATE.+slice.+state.+changed )|(ment ac)|(multiple cpu faults)|(system.+state.+changed )|(\[timeout)|(PRM\|1\|D)|(kpr)|(kdp)|(train st.+moving)|(\|lc)|(penalty))"</v>
      </c>
      <c r="U57" s="9" t="str">
        <f t="shared" si="12"/>
        <v>4015</v>
      </c>
      <c r="V57" s="31">
        <f t="shared" si="13"/>
        <v>42916.780173611114</v>
      </c>
      <c r="W57" s="45" t="str">
        <f t="shared" si="14"/>
        <v>NW</v>
      </c>
      <c r="X57" s="22">
        <f t="shared" si="15"/>
        <v>820</v>
      </c>
      <c r="Y57" s="96" t="str">
        <f t="shared" si="16"/>
        <v>echo {"issue":{"subject":"","project_id":79,"tracker_id":40,"status_id":1,"priority_id":2,"assigned_to_id":23,"start_date":"2017-06-30","description":"","custom_fields":[{"id":1,"name":"Subdivision","value":"NW"},{"id":4,"name":"Milepost","value":"5.905"},{"id":17,"name":"Train ID","value":"820-30"},{"id":16,"name":"Locomotive ID","value":"4015"},{"id":130,"name":"Impact","value":""},{"id":150,"name":"Time of Event (Mountain Time)","value":"12:43:27"},{"id":151,"name":"Denver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7" s="159"/>
      <c r="AA57" s="47"/>
      <c r="AB57" s="47"/>
      <c r="AC57" s="115" t="str">
        <f t="shared" si="17"/>
        <v>grep -hrE -A400 "Enforcement Action" /c/Users/stu/AppData/Local/Temp/OnboardLogs/RTDC4015 --include="*4015*201706301*" | grep -E "((Enforcement Ac)|(PRM))" -</v>
      </c>
      <c r="AD57" s="1" t="str">
        <f>"grep -hSE ""Enforcement Action"" "&amp;search_path&amp;"\RTDC"&amp;U57&amp;"\*"&amp;U57&amp;"*"&amp;TEXT(A57-utc_offset/24,"YYYYMMDD")&amp;LEFT(TEXT(A57-utc_offset/24,"HH"),1)&amp;"* &gt;&gt; "&amp;TEXT(Variables!$A$2,"YYYY-MM-DD")&amp;"-SliceDisagreementCheck.txt"</f>
        <v>grep -hSE "Enforcement Action" "%USERPROFILE%\AppData\Local\Temp\OnboardLogs"\RTDC4015\*4015*201706301* &gt;&gt; 2017-06-30-SliceDisagreementCheck.txt</v>
      </c>
      <c r="AE57" s="145" t="str">
        <f t="shared" si="9"/>
        <v>start /low /b %USERPROFILE%\Documents\GitHub\eaglep3\Utilities\DownloadLogsFromS3.py --loco 4015 --day 2017-06-30</v>
      </c>
      <c r="AF57" s="1"/>
    </row>
    <row r="58" spans="1:32" x14ac:dyDescent="0.25">
      <c r="A58" s="31">
        <v>42916.267523148148</v>
      </c>
      <c r="B58" s="30" t="s">
        <v>458</v>
      </c>
      <c r="C58" s="30" t="s">
        <v>584</v>
      </c>
      <c r="D58" s="30" t="s">
        <v>49</v>
      </c>
      <c r="E58" s="30" t="s">
        <v>181</v>
      </c>
      <c r="F58" s="42">
        <v>0</v>
      </c>
      <c r="G58" s="42">
        <v>50</v>
      </c>
      <c r="H58" s="42">
        <v>736</v>
      </c>
      <c r="I58" s="42">
        <v>694</v>
      </c>
      <c r="J58" s="30" t="s">
        <v>182</v>
      </c>
      <c r="K58" s="42">
        <v>575</v>
      </c>
      <c r="L58" s="131" t="s">
        <v>51</v>
      </c>
      <c r="M58" s="132">
        <f t="shared" si="10"/>
        <v>62.832000000000001</v>
      </c>
      <c r="N58" s="133" t="str">
        <f>VLOOKUP(C58,'Trips&amp;Operators'!$C$1:$G$99999,5,FALSE)</f>
        <v>GUZMAN DANNY</v>
      </c>
      <c r="O58" s="203" t="s">
        <v>180</v>
      </c>
      <c r="P58" s="134"/>
      <c r="Q58" s="30"/>
      <c r="R58" s="81" t="str">
        <f>VLOOKUP(C58,'Train Runs'!$A$13:$AE$9930,31,0)</f>
        <v>aws s3 cp s3://rtdc.mdm.uploadarchive.raw/RTDC4057/ "%USERPROFILE%\AppData\Local\Temp\OnboardLogs"\RTDC4057\2017-06-30 --exclude "*" --recursive --include "*20170630*" &amp; "%USERPROFILE%\Documents\GitHub\mrs-test-scripts\Headless Mode &amp; Sideloading\WalkAndUnGZ.bat" "%USERPROFILE%\AppData\Local\Temp\OnboardLogs"\RTDC4057\2017-06-30 &amp; aws s3 cp s3://rtdc.mdm.uploadarchive.raw/RTDC4057/ "%USERPROFILE%\AppData\Local\Temp\OnboardLogs"\RTDC4057\2017-07-01 --exclude "*" --recursive --include "*20170701*" &amp; "%USERPROFILE%\Documents\GitHub\mrs-test-scripts\Headless Mode &amp; Sideloading\WalkAndUnGZ.bat" "%USERPROFILE%\AppData\Local\Temp\OnboardLogs"\RTDC4057\2017-07-01</v>
      </c>
      <c r="S58" s="84" t="str">
        <f>VLOOKUP(C58,'Train Runs'!$A$13:$AE$9930,22,0)</f>
        <v>https://d0f6bd738d7f1b3e5a7ca70fe4ff75f0.us-east-1.aws.found.io/app/kibana#/discover/Steve-Slow-Train-Analysis-(2080s-and-2083s)?_g=(refreshInterval:(display:Off,pause:!f,section:0,value:0),time:(from:'2017-06-30T05:06:12-0600',mode:absolute,to:'2017-06-30T07:25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58" s="86" t="str">
        <f t="shared" si="11"/>
        <v>"C:\Program Files (x86)\AstroGrep\AstroGrep.exe" /e /r /s /spath="%USERPROFILE%\AppData\Local\Temp\OnboardLogs" /stypes="*4057*201706301*" /stext=" 12:.+((SYSTEM_STATE.+slice.+state.+changed )|(ment ac)|(multiple cpu faults)|(system.+state.+changed )|(\[timeout)|(PRM\|1\|D)|(kpr)|(kdp)|(train st.+moving)|(\|lc)|(penalty))"</v>
      </c>
      <c r="U58" s="9" t="str">
        <f t="shared" si="12"/>
        <v>4057</v>
      </c>
      <c r="V58" s="31">
        <f t="shared" si="13"/>
        <v>42916.517523148148</v>
      </c>
      <c r="W58" s="45" t="str">
        <f t="shared" si="14"/>
        <v>NW</v>
      </c>
      <c r="X58" s="22">
        <f t="shared" si="15"/>
        <v>802</v>
      </c>
      <c r="Y58" s="96" t="str">
        <f t="shared" si="16"/>
        <v>echo {"issue":{"subject":"","project_id":79,"tracker_id":40,"status_id":1,"priority_id":2,"assigned_to_id":23,"start_date":"2017-06-30","description":"","custom_fields":[{"id":1,"name":"Subdivision","value":"NW"},{"id":4,"name":"Milepost","value":"0.0575"},{"id":17,"name":"Train ID","value":"802-30"},{"id":16,"name":"Locomotive ID","value":"4057"},{"id":130,"name":"Impact","value":""},{"id":150,"name":"Time of Event (Mountain Time)","value":"06:25:14"},{"id":151,"name":"Denver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8" s="159"/>
      <c r="AA58" s="47"/>
      <c r="AB58" s="47"/>
      <c r="AC58" s="115" t="str">
        <f t="shared" si="17"/>
        <v>grep -hrE -A400 "Enforcement Action" /c/Users/stu/AppData/Local/Temp/OnboardLogs/RTDC4057 --include="*4057*201706301*" | grep -E "((Enforcement Ac)|(PRM))" -</v>
      </c>
      <c r="AD58" s="1" t="str">
        <f>"grep -hSE ""Enforcement Action"" "&amp;search_path&amp;"\RTDC"&amp;U58&amp;"\*"&amp;U58&amp;"*"&amp;TEXT(A58-utc_offset/24,"YYYYMMDD")&amp;LEFT(TEXT(A58-utc_offset/24,"HH"),1)&amp;"* &gt;&gt; "&amp;TEXT(Variables!$A$2,"YYYY-MM-DD")&amp;"-SliceDisagreementCheck.txt"</f>
        <v>grep -hSE "Enforcement Action" "%USERPROFILE%\AppData\Local\Temp\OnboardLogs"\RTDC4057\*4057*201706301* &gt;&gt; 2017-06-30-SliceDisagreementCheck.txt</v>
      </c>
      <c r="AE58" s="145" t="str">
        <f t="shared" si="9"/>
        <v>start /low /b %USERPROFILE%\Documents\GitHub\eaglep3\Utilities\DownloadLogsFromS3.py --loco 4057 --day 2017-06-30</v>
      </c>
      <c r="AF58" s="1"/>
    </row>
    <row r="59" spans="1:32" x14ac:dyDescent="0.25">
      <c r="A59" s="31">
        <v>42916.621111111112</v>
      </c>
      <c r="B59" s="30" t="s">
        <v>599</v>
      </c>
      <c r="C59" s="30" t="s">
        <v>612</v>
      </c>
      <c r="D59" s="30" t="s">
        <v>49</v>
      </c>
      <c r="E59" s="30" t="s">
        <v>181</v>
      </c>
      <c r="F59" s="42">
        <v>0</v>
      </c>
      <c r="G59" s="42">
        <v>33</v>
      </c>
      <c r="H59" s="42">
        <v>663</v>
      </c>
      <c r="I59" s="42">
        <v>638</v>
      </c>
      <c r="J59" s="30" t="s">
        <v>182</v>
      </c>
      <c r="K59" s="42">
        <v>575</v>
      </c>
      <c r="L59" s="131" t="s">
        <v>51</v>
      </c>
      <c r="M59" s="132">
        <f t="shared" si="10"/>
        <v>33.264000000000003</v>
      </c>
      <c r="N59" s="133" t="str">
        <f>VLOOKUP(C59,'Trips&amp;Operators'!$C$1:$G$99999,5,FALSE)</f>
        <v>DELGADO DIANAH</v>
      </c>
      <c r="O59" s="203" t="s">
        <v>180</v>
      </c>
      <c r="P59" s="134"/>
      <c r="Q59" s="30"/>
      <c r="R59" s="81" t="str">
        <f>VLOOKUP(C59,'Train Runs'!$A$13:$AE$9930,31,0)</f>
        <v>aws s3 cp s3://rtdc.mdm.uploadarchive.raw/RTDC4015/ "%USERPROFILE%\AppData\Local\Temp\OnboardLogs"\RTDC4015\2017-06-30 --exclude "*" --recursive --include "*20170630*" &amp; "%USERPROFILE%\Documents\GitHub\mrs-test-scripts\Headless Mode &amp; Sideloading\WalkAndUnGZ.bat" "%USERPROFILE%\AppData\Local\Temp\OnboardLogs"\RTDC4015\2017-06-30 &amp; aws s3 cp s3://rtdc.mdm.uploadarchive.raw/RTDC4015/ "%USERPROFILE%\AppData\Local\Temp\OnboardLogs"\RTDC4015\2017-07-01 --exclude "*" --recursive --include "*20170701*" &amp; "%USERPROFILE%\Documents\GitHub\mrs-test-scripts\Headless Mode &amp; Sideloading\WalkAndUnGZ.bat" "%USERPROFILE%\AppData\Local\Temp\OnboardLogs"\RTDC4015\2017-07-01</v>
      </c>
      <c r="S59" s="84" t="str">
        <f>VLOOKUP(C59,'Train Runs'!$A$13:$AE$9930,22,0)</f>
        <v>https://d0f6bd738d7f1b3e5a7ca70fe4ff75f0.us-east-1.aws.found.io/app/kibana#/discover/Steve-Slow-Train-Analysis-(2080s-and-2083s)?_g=(refreshInterval:(display:Off,pause:!f,section:0,value:0),time:(from:'2017-06-30T13:37:05-0600',mode:absolute,to:'2017-06-30T15:54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59" s="86" t="str">
        <f t="shared" si="11"/>
        <v>"C:\Program Files (x86)\AstroGrep\AstroGrep.exe" /e /r /s /spath="%USERPROFILE%\AppData\Local\Temp\OnboardLogs" /stypes="*4015*201706302*" /stext=" 20:.+((SYSTEM_STATE.+slice.+state.+changed )|(ment ac)|(multiple cpu faults)|(system.+state.+changed )|(\[timeout)|(PRM\|1\|D)|(kpr)|(kdp)|(train st.+moving)|(\|lc)|(penalty))"</v>
      </c>
      <c r="U59" s="9" t="str">
        <f t="shared" si="12"/>
        <v>4015</v>
      </c>
      <c r="V59" s="31">
        <f t="shared" si="13"/>
        <v>42916.871111111112</v>
      </c>
      <c r="W59" s="45" t="str">
        <f t="shared" si="14"/>
        <v>NW</v>
      </c>
      <c r="X59" s="22">
        <f t="shared" si="15"/>
        <v>824</v>
      </c>
      <c r="Y59" s="96" t="str">
        <f t="shared" si="16"/>
        <v>echo {"issue":{"subject":"","project_id":79,"tracker_id":40,"status_id":1,"priority_id":2,"assigned_to_id":23,"start_date":"2017-06-30","description":"","custom_fields":[{"id":1,"name":"Subdivision","value":"NW"},{"id":4,"name":"Milepost","value":"0.0575"},{"id":17,"name":"Train ID","value":"824-30"},{"id":16,"name":"Locomotive ID","value":"4015"},{"id":130,"name":"Impact","value":""},{"id":150,"name":"Time of Event (Mountain Time)","value":"14:54:24"},{"id":151,"name":"Denver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9" s="159"/>
      <c r="AA59" s="47"/>
      <c r="AB59" s="47"/>
      <c r="AC59" s="115" t="str">
        <f t="shared" si="17"/>
        <v>grep -hrE -A400 "Enforcement Action" /c/Users/stu/AppData/Local/Temp/OnboardLogs/RTDC4015 --include="*4015*201706302*" | grep -E "((Enforcement Ac)|(PRM))" -</v>
      </c>
      <c r="AD59" s="1" t="str">
        <f>"grep -hSE ""Enforcement Action"" "&amp;search_path&amp;"\RTDC"&amp;U59&amp;"\*"&amp;U59&amp;"*"&amp;TEXT(A59-utc_offset/24,"YYYYMMDD")&amp;LEFT(TEXT(A59-utc_offset/24,"HH"),1)&amp;"* &gt;&gt; "&amp;TEXT(Variables!$A$2,"YYYY-MM-DD")&amp;"-SliceDisagreementCheck.txt"</f>
        <v>grep -hSE "Enforcement Action" "%USERPROFILE%\AppData\Local\Temp\OnboardLogs"\RTDC4015\*4015*201706302* &gt;&gt; 2017-06-30-SliceDisagreementCheck.txt</v>
      </c>
      <c r="AE59" s="145" t="str">
        <f t="shared" si="9"/>
        <v>start /low /b %USERPROFILE%\Documents\GitHub\eaglep3\Utilities\DownloadLogsFromS3.py --loco 4015 --day 2017-06-30</v>
      </c>
      <c r="AF59" s="1"/>
    </row>
    <row r="60" spans="1:32" x14ac:dyDescent="0.25">
      <c r="A60" s="31">
        <v>42916.913101851853</v>
      </c>
      <c r="B60" s="30" t="s">
        <v>599</v>
      </c>
      <c r="C60" s="30" t="s">
        <v>634</v>
      </c>
      <c r="D60" s="30" t="s">
        <v>49</v>
      </c>
      <c r="E60" s="30" t="s">
        <v>181</v>
      </c>
      <c r="F60" s="42">
        <v>0</v>
      </c>
      <c r="G60" s="42">
        <v>52</v>
      </c>
      <c r="H60" s="42">
        <v>776</v>
      </c>
      <c r="I60" s="42">
        <v>740</v>
      </c>
      <c r="J60" s="30" t="s">
        <v>182</v>
      </c>
      <c r="K60" s="42">
        <v>575</v>
      </c>
      <c r="L60" s="131" t="s">
        <v>51</v>
      </c>
      <c r="M60" s="132">
        <f t="shared" si="10"/>
        <v>87.12</v>
      </c>
      <c r="N60" s="133" t="str">
        <f>VLOOKUP(C60,'Trips&amp;Operators'!$C$1:$G$99999,5,FALSE)</f>
        <v>LOPES KIMBERLY</v>
      </c>
      <c r="O60" s="203" t="s">
        <v>180</v>
      </c>
      <c r="P60" s="134"/>
      <c r="Q60" s="30"/>
      <c r="R60" s="81" t="str">
        <f>VLOOKUP(C60,'Train Runs'!$A$13:$AE$9930,31,0)</f>
        <v>aws s3 cp s3://rtdc.mdm.uploadarchive.raw/RTDC4015/ "%USERPROFILE%\AppData\Local\Temp\OnboardLogs"\RTDC4015\2017-06-30 --exclude "*" --recursive --include "*20170630*" &amp; "%USERPROFILE%\Documents\GitHub\mrs-test-scripts\Headless Mode &amp; Sideloading\WalkAndUnGZ.bat" "%USERPROFILE%\AppData\Local\Temp\OnboardLogs"\RTDC4015\2017-06-30 &amp; aws s3 cp s3://rtdc.mdm.uploadarchive.raw/RTDC4015/ "%USERPROFILE%\AppData\Local\Temp\OnboardLogs"\RTDC4015\2017-07-01 --exclude "*" --recursive --include "*20170701*" &amp; "%USERPROFILE%\Documents\GitHub\mrs-test-scripts\Headless Mode &amp; Sideloading\WalkAndUnGZ.bat" "%USERPROFILE%\AppData\Local\Temp\OnboardLogs"\RTDC4015\2017-07-01</v>
      </c>
      <c r="S60" s="84" t="str">
        <f>VLOOKUP(C60,'Train Runs'!$A$13:$AE$9930,22,0)</f>
        <v>https://d0f6bd738d7f1b3e5a7ca70fe4ff75f0.us-east-1.aws.found.io/app/kibana#/discover/Steve-Slow-Train-Analysis-(2080s-and-2083s)?_g=(refreshInterval:(display:Off,pause:!f,section:0,value:0),time:(from:'2017-06-30T20:36:25-0600',mode:absolute,to:'2017-06-30T22:54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60" s="86" t="str">
        <f t="shared" si="11"/>
        <v>"C:\Program Files (x86)\AstroGrep\AstroGrep.exe" /e /r /s /spath="%USERPROFILE%\AppData\Local\Temp\OnboardLogs" /stypes="*4015*201707010*" /stext=" 03:.+((SYSTEM_STATE.+slice.+state.+changed )|(ment ac)|(multiple cpu faults)|(system.+state.+changed )|(\[timeout)|(PRM\|1\|D)|(kpr)|(kdp)|(train st.+moving)|(\|lc)|(penalty))"</v>
      </c>
      <c r="U60" s="9" t="str">
        <f t="shared" si="12"/>
        <v>4015</v>
      </c>
      <c r="V60" s="31">
        <f t="shared" si="13"/>
        <v>42917.163101851853</v>
      </c>
      <c r="W60" s="45" t="str">
        <f t="shared" si="14"/>
        <v>NW</v>
      </c>
      <c r="X60" s="22">
        <f t="shared" si="15"/>
        <v>844</v>
      </c>
      <c r="Y60" s="96" t="str">
        <f t="shared" si="16"/>
        <v>echo {"issue":{"subject":"","project_id":79,"tracker_id":40,"status_id":1,"priority_id":2,"assigned_to_id":23,"start_date":"2017-06-30","description":"","custom_fields":[{"id":1,"name":"Subdivision","value":"NW"},{"id":4,"name":"Milepost","value":"0.0575"},{"id":17,"name":"Train ID","value":"844-30"},{"id":16,"name":"Locomotive ID","value":"4015"},{"id":130,"name":"Impact","value":""},{"id":150,"name":"Time of Event (Mountain Time)","value":"21:54:52"},{"id":151,"name":"Denver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0" s="159"/>
      <c r="AA60" s="47"/>
      <c r="AB60" s="47"/>
      <c r="AC60" s="115" t="str">
        <f t="shared" si="17"/>
        <v>grep -hrE -A400 "Enforcement Action" /c/Users/stu/AppData/Local/Temp/OnboardLogs/RTDC4015 --include="*4015*201707010*" | grep -E "((Enforcement Ac)|(PRM))" -</v>
      </c>
      <c r="AD60" s="1" t="str">
        <f>"grep -hSE ""Enforcement Action"" "&amp;search_path&amp;"\RTDC"&amp;U60&amp;"\*"&amp;U60&amp;"*"&amp;TEXT(A60-utc_offset/24,"YYYYMMDD")&amp;LEFT(TEXT(A60-utc_offset/24,"HH"),1)&amp;"* &gt;&gt; "&amp;TEXT(Variables!$A$2,"YYYY-MM-DD")&amp;"-SliceDisagreementCheck.txt"</f>
        <v>grep -hSE "Enforcement Action" "%USERPROFILE%\AppData\Local\Temp\OnboardLogs"\RTDC4015\*4015*201707010* &gt;&gt; 2017-06-30-SliceDisagreementCheck.txt</v>
      </c>
      <c r="AE60" s="145" t="str">
        <f t="shared" si="9"/>
        <v>start /low /b %USERPROFILE%\Documents\GitHub\eaglep3\Utilities\DownloadLogsFromS3.py --loco 4015 --day 2017-07-01</v>
      </c>
      <c r="AF60" s="1"/>
    </row>
    <row r="61" spans="1:32" x14ac:dyDescent="0.25">
      <c r="A61" s="31">
        <v>42916.356550925928</v>
      </c>
      <c r="B61" s="30" t="s">
        <v>594</v>
      </c>
      <c r="C61" s="30" t="s">
        <v>595</v>
      </c>
      <c r="D61" s="30" t="s">
        <v>49</v>
      </c>
      <c r="E61" s="30" t="s">
        <v>181</v>
      </c>
      <c r="F61" s="42">
        <v>0</v>
      </c>
      <c r="G61" s="42">
        <v>44</v>
      </c>
      <c r="H61" s="42">
        <v>58890</v>
      </c>
      <c r="I61" s="42">
        <v>58926</v>
      </c>
      <c r="J61" s="30" t="s">
        <v>182</v>
      </c>
      <c r="K61" s="42">
        <v>59048</v>
      </c>
      <c r="L61" s="131" t="s">
        <v>50</v>
      </c>
      <c r="M61" s="132">
        <f t="shared" si="10"/>
        <v>64.415999999999997</v>
      </c>
      <c r="N61" s="133" t="str">
        <f>VLOOKUP(C61,'Trips&amp;Operators'!$C$1:$G$99999,5,FALSE)</f>
        <v>LALONDE GREGORY</v>
      </c>
      <c r="O61" s="203" t="s">
        <v>180</v>
      </c>
      <c r="P61" s="134"/>
      <c r="Q61" s="30"/>
      <c r="R61" s="81" t="str">
        <f>VLOOKUP(C61,'Train Runs'!$A$13:$AE$9930,31,0)</f>
        <v>aws s3 cp s3://rtdc.mdm.uploadarchive.raw/RTDC4016/ "%USERPROFILE%\AppData\Local\Temp\OnboardLogs"\RTDC4016\2017-06-30 --exclude "*" --recursive --include "*20170630*" &amp; "%USERPROFILE%\Documents\GitHub\mrs-test-scripts\Headless Mode &amp; Sideloading\WalkAndUnGZ.bat" "%USERPROFILE%\AppData\Local\Temp\OnboardLogs"\RTDC4016\2017-06-30 &amp; aws s3 cp s3://rtdc.mdm.uploadarchive.raw/RTDC4016/ "%USERPROFILE%\AppData\Local\Temp\OnboardLogs"\RTDC4016\2017-07-01 --exclude "*" --recursive --include "*20170701*" &amp; "%USERPROFILE%\Documents\GitHub\mrs-test-scripts\Headless Mode &amp; Sideloading\WalkAndUnGZ.bat" "%USERPROFILE%\AppData\Local\Temp\OnboardLogs"\RTDC4016\2017-07-01</v>
      </c>
      <c r="S61" s="84" t="str">
        <f>VLOOKUP(C61,'Train Runs'!$A$13:$AE$9930,22,0)</f>
        <v>https://d0f6bd738d7f1b3e5a7ca70fe4ff75f0.us-east-1.aws.found.io/app/kibana#/discover/Steve-Slow-Train-Analysis-(2080s-and-2083s)?_g=(refreshInterval:(display:Off,pause:!f,section:0,value:0),time:(from:'2017-06-30T06:57:51-0600',mode:absolute,to:'2017-06-30T09:33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61" s="86" t="str">
        <f t="shared" si="11"/>
        <v>"C:\Program Files (x86)\AstroGrep\AstroGrep.exe" /e /r /s /spath="%USERPROFILE%\AppData\Local\Temp\OnboardLogs" /stypes="*4016*201706301*" /stext=" 14:.+((SYSTEM_STATE.+slice.+state.+changed )|(ment ac)|(multiple cpu faults)|(system.+state.+changed )|(\[timeout)|(PRM\|1\|D)|(kpr)|(kdp)|(train st.+moving)|(\|lc)|(penalty))"</v>
      </c>
      <c r="U61" s="9" t="str">
        <f t="shared" si="12"/>
        <v>4016</v>
      </c>
      <c r="V61" s="31">
        <f t="shared" si="13"/>
        <v>42916.606550925928</v>
      </c>
      <c r="W61" s="45" t="str">
        <f t="shared" si="14"/>
        <v>NW</v>
      </c>
      <c r="X61" s="22">
        <f t="shared" si="15"/>
        <v>811</v>
      </c>
      <c r="Y61" s="96" t="str">
        <f t="shared" si="16"/>
        <v>echo {"issue":{"subject":"","project_id":79,"tracker_id":40,"status_id":1,"priority_id":2,"assigned_to_id":23,"start_date":"2017-06-30","description":"","custom_fields":[{"id":1,"name":"Subdivision","value":"NW"},{"id":4,"name":"Milepost","value":"5.9048"},{"id":17,"name":"Train ID","value":"811-30"},{"id":16,"name":"Locomotive ID","value":"4016"},{"id":130,"name":"Impact","value":""},{"id":150,"name":"Time of Event (Mountain Time)","value":"08:33:26"},{"id":151,"name":"Denver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1" s="159"/>
      <c r="AA61" s="47"/>
      <c r="AB61" s="47"/>
      <c r="AC61" s="115" t="str">
        <f t="shared" si="17"/>
        <v>grep -hrE -A400 "Enforcement Action" /c/Users/stu/AppData/Local/Temp/OnboardLogs/RTDC4016 --include="*4016*201706301*" | grep -E "((Enforcement Ac)|(PRM))" -</v>
      </c>
      <c r="AD61" s="1" t="str">
        <f>"grep -hSE ""Enforcement Action"" "&amp;search_path&amp;"\RTDC"&amp;U61&amp;"\*"&amp;U61&amp;"*"&amp;TEXT(A61-utc_offset/24,"YYYYMMDD")&amp;LEFT(TEXT(A61-utc_offset/24,"HH"),1)&amp;"* &gt;&gt; "&amp;TEXT(Variables!$A$2,"YYYY-MM-DD")&amp;"-SliceDisagreementCheck.txt"</f>
        <v>grep -hSE "Enforcement Action" "%USERPROFILE%\AppData\Local\Temp\OnboardLogs"\RTDC4016\*4016*201706301* &gt;&gt; 2017-06-30-SliceDisagreementCheck.txt</v>
      </c>
      <c r="AE61" s="145" t="str">
        <f t="shared" si="9"/>
        <v>start /low /b %USERPROFILE%\Documents\GitHub\eaglep3\Utilities\DownloadLogsFromS3.py --loco 4016 --day 2017-06-30</v>
      </c>
      <c r="AF61" s="1"/>
    </row>
    <row r="62" spans="1:32" x14ac:dyDescent="0.25">
      <c r="A62" s="31">
        <v>42916.774525462963</v>
      </c>
      <c r="B62" s="30" t="s">
        <v>594</v>
      </c>
      <c r="C62" s="30" t="s">
        <v>627</v>
      </c>
      <c r="D62" s="30" t="s">
        <v>49</v>
      </c>
      <c r="E62" s="30" t="s">
        <v>181</v>
      </c>
      <c r="F62" s="42">
        <v>0</v>
      </c>
      <c r="G62" s="42">
        <v>53</v>
      </c>
      <c r="H62" s="42">
        <v>58922</v>
      </c>
      <c r="I62" s="42">
        <v>58976</v>
      </c>
      <c r="J62" s="30" t="s">
        <v>182</v>
      </c>
      <c r="K62" s="42">
        <v>59048</v>
      </c>
      <c r="L62" s="131" t="s">
        <v>50</v>
      </c>
      <c r="M62" s="132">
        <f t="shared" si="10"/>
        <v>38.015999999999998</v>
      </c>
      <c r="N62" s="133" t="str">
        <f>VLOOKUP(C62,'Trips&amp;Operators'!$C$1:$G$99999,5,FALSE)</f>
        <v>DELGADO DIANAH</v>
      </c>
      <c r="O62" s="203" t="s">
        <v>180</v>
      </c>
      <c r="P62" s="134"/>
      <c r="Q62" s="30"/>
      <c r="R62" s="81" t="str">
        <f>VLOOKUP(C62,'Train Runs'!$A$13:$AE$9930,31,0)</f>
        <v>aws s3 cp s3://rtdc.mdm.uploadarchive.raw/RTDC4016/ "%USERPROFILE%\AppData\Local\Temp\OnboardLogs"\RTDC4016\2017-06-30 --exclude "*" --recursive --include "*20170630*" &amp; "%USERPROFILE%\Documents\GitHub\mrs-test-scripts\Headless Mode &amp; Sideloading\WalkAndUnGZ.bat" "%USERPROFILE%\AppData\Local\Temp\OnboardLogs"\RTDC4016\2017-06-30 &amp; aws s3 cp s3://rtdc.mdm.uploadarchive.raw/RTDC4016/ "%USERPROFILE%\AppData\Local\Temp\OnboardLogs"\RTDC4016\2017-07-01 --exclude "*" --recursive --include "*20170701*" &amp; "%USERPROFILE%\Documents\GitHub\mrs-test-scripts\Headless Mode &amp; Sideloading\WalkAndUnGZ.bat" "%USERPROFILE%\AppData\Local\Temp\OnboardLogs"\RTDC4016\2017-07-01</v>
      </c>
      <c r="S62" s="84" t="str">
        <f>VLOOKUP(C62,'Train Runs'!$A$13:$AE$9930,22,0)</f>
        <v>https://d0f6bd738d7f1b3e5a7ca70fe4ff75f0.us-east-1.aws.found.io/app/kibana#/discover/Steve-Slow-Train-Analysis-(2080s-and-2083s)?_g=(refreshInterval:(display:Off,pause:!f,section:0,value:0),time:(from:'2017-06-30T17:01:26-0600',mode:absolute,to:'2017-06-30T19:35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62" s="86" t="str">
        <f t="shared" si="11"/>
        <v>"C:\Program Files (x86)\AstroGrep\AstroGrep.exe" /e /r /s /spath="%USERPROFILE%\AppData\Local\Temp\OnboardLogs" /stypes="*4016*201707010*" /stext=" 00:.+((SYSTEM_STATE.+slice.+state.+changed )|(ment ac)|(multiple cpu faults)|(system.+state.+changed )|(\[timeout)|(PRM\|1\|D)|(kpr)|(kdp)|(train st.+moving)|(\|lc)|(penalty))"</v>
      </c>
      <c r="U62" s="9" t="str">
        <f t="shared" si="12"/>
        <v>4016</v>
      </c>
      <c r="V62" s="31">
        <f t="shared" si="13"/>
        <v>42917.024525462963</v>
      </c>
      <c r="W62" s="45" t="str">
        <f t="shared" si="14"/>
        <v>NW</v>
      </c>
      <c r="X62" s="22">
        <f t="shared" si="15"/>
        <v>837</v>
      </c>
      <c r="Y62" s="96" t="str">
        <f t="shared" si="16"/>
        <v>echo {"issue":{"subject":"","project_id":79,"tracker_id":40,"status_id":1,"priority_id":2,"assigned_to_id":23,"start_date":"2017-06-30","description":"","custom_fields":[{"id":1,"name":"Subdivision","value":"NW"},{"id":4,"name":"Milepost","value":"5.9048"},{"id":17,"name":"Train ID","value":"837-30"},{"id":16,"name":"Locomotive ID","value":"4016"},{"id":130,"name":"Impact","value":""},{"id":150,"name":"Time of Event (Mountain Time)","value":"18:35:19"},{"id":151,"name":"Denver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2" s="159"/>
      <c r="AA62" s="47"/>
      <c r="AB62" s="47"/>
      <c r="AC62" s="115" t="str">
        <f t="shared" si="17"/>
        <v>grep -hrE -A400 "Enforcement Action" /c/Users/stu/AppData/Local/Temp/OnboardLogs/RTDC4016 --include="*4016*201707010*" | grep -E "((Enforcement Ac)|(PRM))" -</v>
      </c>
      <c r="AD62" s="1" t="str">
        <f>"grep -hSE ""Enforcement Action"" "&amp;search_path&amp;"\RTDC"&amp;U62&amp;"\*"&amp;U62&amp;"*"&amp;TEXT(A62-utc_offset/24,"YYYYMMDD")&amp;LEFT(TEXT(A62-utc_offset/24,"HH"),1)&amp;"* &gt;&gt; "&amp;TEXT(Variables!$A$2,"YYYY-MM-DD")&amp;"-SliceDisagreementCheck.txt"</f>
        <v>grep -hSE "Enforcement Action" "%USERPROFILE%\AppData\Local\Temp\OnboardLogs"\RTDC4016\*4016*201707010* &gt;&gt; 2017-06-30-SliceDisagreementCheck.txt</v>
      </c>
      <c r="AE62" s="145" t="str">
        <f t="shared" si="9"/>
        <v>start /low /b %USERPROFILE%\Documents\GitHub\eaglep3\Utilities\DownloadLogsFromS3.py --loco 4016 --day 2017-07-01</v>
      </c>
      <c r="AF62" s="1"/>
    </row>
    <row r="63" spans="1:32" x14ac:dyDescent="0.25">
      <c r="A63" s="31">
        <v>42916.600659722222</v>
      </c>
      <c r="B63" s="30" t="s">
        <v>517</v>
      </c>
      <c r="C63" s="30" t="s">
        <v>606</v>
      </c>
      <c r="D63" s="30" t="s">
        <v>49</v>
      </c>
      <c r="E63" s="30" t="s">
        <v>198</v>
      </c>
      <c r="F63" s="42">
        <v>300</v>
      </c>
      <c r="G63" s="42">
        <v>352</v>
      </c>
      <c r="H63" s="42">
        <v>49117</v>
      </c>
      <c r="I63" s="42">
        <v>48098</v>
      </c>
      <c r="J63" s="30" t="s">
        <v>199</v>
      </c>
      <c r="K63" s="42">
        <v>47783</v>
      </c>
      <c r="L63" s="131" t="s">
        <v>51</v>
      </c>
      <c r="M63" s="132">
        <f t="shared" si="10"/>
        <v>166.32</v>
      </c>
      <c r="N63" s="133" t="str">
        <f>VLOOKUP(C63,'Trips&amp;Operators'!$C$1:$G$99999,5,FALSE)</f>
        <v>BERLING GARY</v>
      </c>
      <c r="O63" s="203" t="s">
        <v>180</v>
      </c>
      <c r="P63" s="134"/>
      <c r="Q63" s="30"/>
      <c r="R63" s="81" t="str">
        <f>VLOOKUP(C63,'Train Runs'!$A$13:$AE$9930,31,0)</f>
        <v>aws s3 cp s3://rtdc.mdm.uploadarchive.raw/RTDC4063/ "%USERPROFILE%\AppData\Local\Temp\OnboardLogs"\RTDC4063\2017-06-30 --exclude "*" --recursive --include "*20170630*" &amp; "%USERPROFILE%\Documents\GitHub\mrs-test-scripts\Headless Mode &amp; Sideloading\WalkAndUnGZ.bat" "%USERPROFILE%\AppData\Local\Temp\OnboardLogs"\RTDC4063\2017-06-30 &amp; aws s3 cp s3://rtdc.mdm.uploadarchive.raw/RTDC4063/ "%USERPROFILE%\AppData\Local\Temp\OnboardLogs"\RTDC4063\2017-07-01 --exclude "*" --recursive --include "*20170701*" &amp; "%USERPROFILE%\Documents\GitHub\mrs-test-scripts\Headless Mode &amp; Sideloading\WalkAndUnGZ.bat" "%USERPROFILE%\AppData\Local\Temp\OnboardLogs"\RTDC4063\2017-07-01</v>
      </c>
      <c r="S63" s="84" t="str">
        <f>VLOOKUP(C63,'Train Runs'!$A$13:$AE$9930,22,0)</f>
        <v>https://d0f6bd738d7f1b3e5a7ca70fe4ff75f0.us-east-1.aws.found.io/app/kibana#/discover/Steve-Slow-Train-Analysis-(2080s-and-2083s)?_g=(refreshInterval:(display:Off,pause:!f,section:0,value:0),time:(from:'2017-06-30T13:07:23-0600',mode:absolute,to:'2017-06-30T15:29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63" s="86" t="str">
        <f t="shared" si="11"/>
        <v>"C:\Program Files (x86)\AstroGrep\AstroGrep.exe" /e /r /s /spath="%USERPROFILE%\AppData\Local\Temp\OnboardLogs" /stypes="*4063*201706302*" /stext=" 20:.+((SYSTEM_STATE.+slice.+state.+changed )|(ment ac)|(multiple cpu faults)|(system.+state.+changed )|(\[timeout)|(PRM\|1\|D)|(kpr)|(kdp)|(train st.+moving)|(\|lc)|(penalty))"</v>
      </c>
      <c r="U63" s="9" t="str">
        <f t="shared" si="12"/>
        <v>4063</v>
      </c>
      <c r="V63" s="31">
        <f t="shared" si="13"/>
        <v>42916.850659722222</v>
      </c>
      <c r="W63" s="45" t="str">
        <f t="shared" si="14"/>
        <v>Shuttle/Test</v>
      </c>
      <c r="X63" s="22">
        <f t="shared" si="15"/>
        <v>69</v>
      </c>
      <c r="Y63" s="96" t="str">
        <f t="shared" si="16"/>
        <v>echo {"issue":{"subject":"","project_id":79,"tracker_id":40,"status_id":1,"priority_id":2,"assigned_to_id":23,"start_date":"2017-06-30","description":"","custom_fields":[{"id":1,"name":"Subdivision","value":"Shuttle/Test"},{"id":4,"name":"Milepost","value":"4.7783"},{"id":17,"name":"Train ID","value":"69-30"},{"id":16,"name":"Locomotive ID","value":"4063"},{"id":130,"name":"Impact","value":""},{"id":150,"name":"Time of Event (Mountain Time)","value":"14:24:57"},{"id":151,"name":"Denver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3" s="159"/>
      <c r="AA63" s="47"/>
      <c r="AB63" s="47"/>
      <c r="AC63" s="115" t="str">
        <f t="shared" si="17"/>
        <v>grep -hrE -A400 "Enforcement Action" /c/Users/stu/AppData/Local/Temp/OnboardLogs/RTDC4063 --include="*4063*201706302*" | grep -E "((Enforcement Ac)|(PRM))" -</v>
      </c>
      <c r="AD63" s="1" t="str">
        <f>"grep -hSE ""Enforcement Action"" "&amp;search_path&amp;"\RTDC"&amp;U63&amp;"\*"&amp;U63&amp;"*"&amp;TEXT(A63-utc_offset/24,"YYYYMMDD")&amp;LEFT(TEXT(A63-utc_offset/24,"HH"),1)&amp;"* &gt;&gt; "&amp;TEXT(Variables!$A$2,"YYYY-MM-DD")&amp;"-SliceDisagreementCheck.txt"</f>
        <v>grep -hSE "Enforcement Action" "%USERPROFILE%\AppData\Local\Temp\OnboardLogs"\RTDC4063\*4063*201706302* &gt;&gt; 2017-06-30-SliceDisagreementCheck.txt</v>
      </c>
      <c r="AE63" s="145" t="str">
        <f t="shared" si="9"/>
        <v>start /low /b %USERPROFILE%\Documents\GitHub\eaglep3\Utilities\DownloadLogsFromS3.py --loco 4063 --day 2017-06-30</v>
      </c>
      <c r="AF63" s="1"/>
    </row>
    <row r="64" spans="1:32" x14ac:dyDescent="0.25">
      <c r="A64" s="31">
        <v>42916.636597222219</v>
      </c>
      <c r="B64" s="30" t="s">
        <v>517</v>
      </c>
      <c r="C64" s="30" t="s">
        <v>613</v>
      </c>
      <c r="D64" s="30" t="s">
        <v>96</v>
      </c>
      <c r="E64" s="30" t="s">
        <v>198</v>
      </c>
      <c r="F64" s="42">
        <v>150</v>
      </c>
      <c r="G64" s="42">
        <v>204</v>
      </c>
      <c r="H64" s="42">
        <v>109535</v>
      </c>
      <c r="I64" s="42">
        <v>109137</v>
      </c>
      <c r="J64" s="30" t="s">
        <v>199</v>
      </c>
      <c r="K64" s="42">
        <v>112550</v>
      </c>
      <c r="L64" s="131" t="s">
        <v>51</v>
      </c>
      <c r="M64" s="132">
        <f t="shared" si="10"/>
        <v>-1802.0640000000001</v>
      </c>
      <c r="N64" s="133" t="str">
        <f>VLOOKUP(C64,'Trips&amp;Operators'!$C$1:$G$99999,5,FALSE)</f>
        <v>ZEWDU DEREJE</v>
      </c>
      <c r="O64" s="203" t="s">
        <v>180</v>
      </c>
      <c r="P64" s="134"/>
      <c r="Q64" s="30"/>
      <c r="R64" s="81" t="str">
        <f>VLOOKUP(C64,'Train Runs'!$A$13:$AE$9930,31,0)</f>
        <v>aws s3 cp s3://rtdc.mdm.uploadarchive.raw/RTDC4063/ "%USERPROFILE%\AppData\Local\Temp\OnboardLogs"\RTDC4063\2017-06-30 --exclude "*" --recursive --include "*20170630*" &amp; "%USERPROFILE%\Documents\GitHub\mrs-test-scripts\Headless Mode &amp; Sideloading\WalkAndUnGZ.bat" "%USERPROFILE%\AppData\Local\Temp\OnboardLogs"\RTDC4063\2017-06-30 &amp; aws s3 cp s3://rtdc.mdm.uploadarchive.raw/RTDC4063/ "%USERPROFILE%\AppData\Local\Temp\OnboardLogs"\RTDC4063\2017-07-01 --exclude "*" --recursive --include "*20170701*" &amp; "%USERPROFILE%\Documents\GitHub\mrs-test-scripts\Headless Mode &amp; Sideloading\WalkAndUnGZ.bat" "%USERPROFILE%\AppData\Local\Temp\OnboardLogs"\RTDC4063\2017-07-01</v>
      </c>
      <c r="S64" s="84" t="str">
        <f>VLOOKUP(C64,'Train Runs'!$A$13:$AE$9930,22,0)</f>
        <v>https://d0f6bd738d7f1b3e5a7ca70fe4ff75f0.us-east-1.aws.found.io/app/kibana#/discover/Steve-Slow-Train-Analysis-(2080s-and-2083s)?_g=(refreshInterval:(display:Off,pause:!f,section:0,value:0),time:(from:'2017-06-30T14:08:07-0600',mode:absolute,to:'2017-06-30T16:48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64" s="86" t="str">
        <f t="shared" si="11"/>
        <v>"C:\Program Files (x86)\AstroGrep\AstroGrep.exe" /e /r /s /spath="%USERPROFILE%\AppData\Local\Temp\OnboardLogs" /stypes="*4063*201706302*" /stext=" 21:.+((SYSTEM_STATE.+slice.+state.+changed )|(ment ac)|(multiple cpu faults)|(system.+state.+changed )|(\[timeout)|(PRM\|1\|D)|(kpr)|(kdp)|(train st.+moving)|(\|lc)|(penalty))"</v>
      </c>
      <c r="U64" s="9" t="str">
        <f t="shared" si="12"/>
        <v>4063</v>
      </c>
      <c r="V64" s="31">
        <f t="shared" si="13"/>
        <v>42916.886597222219</v>
      </c>
      <c r="W64" s="45" t="str">
        <f t="shared" si="14"/>
        <v>Shuttle/Test</v>
      </c>
      <c r="X64" s="22">
        <f t="shared" si="15"/>
        <v>71</v>
      </c>
      <c r="Y64" s="96" t="str">
        <f t="shared" si="16"/>
        <v>echo {"issue":{"subject":"","project_id":79,"tracker_id":40,"status_id":1,"priority_id":2,"assigned_to_id":23,"start_date":"2017-06-30","description":"","custom_fields":[{"id":1,"name":"Subdivision","value":"Shuttle/Test"},{"id":4,"name":"Milepost","value":"11.255"},{"id":17,"name":"Train ID","value":"71-30"},{"id":16,"name":"Locomotive ID","value":"4063"},{"id":130,"name":"Impact","value":""},{"id":150,"name":"Time of Event (Mountain Time)","value":"15:16:42"},{"id":151,"name":"Denver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4" s="159"/>
      <c r="AA64" s="47"/>
      <c r="AB64" s="47"/>
      <c r="AC64" s="115" t="str">
        <f t="shared" si="17"/>
        <v>grep -hrE -A400 "Enforcement Action" /c/Users/stu/AppData/Local/Temp/OnboardLogs/RTDC4063 --include="*4063*201706302*" | grep -E "((Enforcement Ac)|(PRM))" -</v>
      </c>
      <c r="AD64" s="1" t="str">
        <f>"grep -hSE ""Enforcement Action"" "&amp;search_path&amp;"\RTDC"&amp;U64&amp;"\*"&amp;U64&amp;"*"&amp;TEXT(A64-utc_offset/24,"YYYYMMDD")&amp;LEFT(TEXT(A64-utc_offset/24,"HH"),1)&amp;"* &gt;&gt; "&amp;TEXT(Variables!$A$2,"YYYY-MM-DD")&amp;"-SliceDisagreementCheck.txt"</f>
        <v>grep -hSE "Enforcement Action" "%USERPROFILE%\AppData\Local\Temp\OnboardLogs"\RTDC4063\*4063*201706302* &gt;&gt; 2017-06-30-SliceDisagreementCheck.txt</v>
      </c>
      <c r="AE64" s="145" t="str">
        <f t="shared" si="9"/>
        <v>start /low /b %USERPROFILE%\Documents\GitHub\eaglep3\Utilities\DownloadLogsFromS3.py --loco 4063 --day 2017-06-30</v>
      </c>
      <c r="AF64" s="1"/>
    </row>
    <row r="65" spans="1:32" x14ac:dyDescent="0.25">
      <c r="A65" s="31">
        <v>42916.836365740739</v>
      </c>
      <c r="B65" s="30" t="s">
        <v>485</v>
      </c>
      <c r="C65" s="30" t="s">
        <v>633</v>
      </c>
      <c r="D65" s="30" t="s">
        <v>96</v>
      </c>
      <c r="E65" s="30" t="s">
        <v>359</v>
      </c>
      <c r="F65" s="42">
        <v>0</v>
      </c>
      <c r="G65" s="42">
        <v>135</v>
      </c>
      <c r="H65" s="42">
        <v>4760</v>
      </c>
      <c r="I65" s="42">
        <v>4540</v>
      </c>
      <c r="J65" s="30" t="s">
        <v>360</v>
      </c>
      <c r="K65" s="42">
        <v>4790</v>
      </c>
      <c r="L65" s="131" t="s">
        <v>51</v>
      </c>
      <c r="M65" s="132">
        <f t="shared" si="10"/>
        <v>-132</v>
      </c>
      <c r="N65" s="133" t="str">
        <f>VLOOKUP(C65,'Trips&amp;Operators'!$C$1:$G$99999,5,FALSE)</f>
        <v>BIRENBAUM THOMAS</v>
      </c>
      <c r="O65" s="203" t="s">
        <v>180</v>
      </c>
      <c r="P65" s="134"/>
      <c r="Q65" s="30"/>
      <c r="R65" s="81" t="str">
        <f>VLOOKUP(C65,'Train Runs'!$A$13:$AE$9930,31,0)</f>
        <v>aws s3 cp s3://rtdc.mdm.uploadarchive.raw/RTDC4011/ "%USERPROFILE%\AppData\Local\Temp\OnboardLogs"\RTDC4011\2017-06-30 --exclude "*" --recursive --include "*20170630*" &amp; "%USERPROFILE%\Documents\GitHub\mrs-test-scripts\Headless Mode &amp; Sideloading\WalkAndUnGZ.bat" "%USERPROFILE%\AppData\Local\Temp\OnboardLogs"\RTDC4011\2017-06-30 &amp; aws s3 cp s3://rtdc.mdm.uploadarchive.raw/RTDC4011/ "%USERPROFILE%\AppData\Local\Temp\OnboardLogs"\RTDC4011\2017-07-01 --exclude "*" --recursive --include "*20170701*" &amp; "%USERPROFILE%\Documents\GitHub\mrs-test-scripts\Headless Mode &amp; Sideloading\WalkAndUnGZ.bat" "%USERPROFILE%\AppData\Local\Temp\OnboardLogs"\RTDC4011\2017-07-01</v>
      </c>
      <c r="S65" s="84" t="str">
        <f>VLOOKUP(C65,'Train Runs'!$A$13:$AE$9930,22,0)</f>
        <v>https://d0f6bd738d7f1b3e5a7ca70fe4ff75f0.us-east-1.aws.found.io/app/kibana#/discover/Steve-Slow-Train-Analysis-(2080s-and-2083s)?_g=(refreshInterval:(display:Off,pause:!f,section:0,value:0),time:(from:'2017-06-30T18:54:05-0600',mode:absolute,to:'2017-06-30T21:04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65" s="86" t="str">
        <f t="shared" si="11"/>
        <v>"C:\Program Files (x86)\AstroGrep\AstroGrep.exe" /e /r /s /spath="%USERPROFILE%\AppData\Local\Temp\OnboardLogs" /stypes="*4011*201707010*" /stext=" 02:.+((SYSTEM_STATE.+slice.+state.+changed )|(ment ac)|(multiple cpu faults)|(system.+state.+changed )|(\[timeout)|(PRM\|1\|D)|(kpr)|(kdp)|(train st.+moving)|(\|lc)|(penalty))"</v>
      </c>
      <c r="U65" s="9" t="str">
        <f t="shared" si="12"/>
        <v>4011</v>
      </c>
      <c r="V65" s="31">
        <f t="shared" si="13"/>
        <v>42917.086365740739</v>
      </c>
      <c r="W65" s="45" t="str">
        <f t="shared" si="14"/>
        <v>Shuttle/Test</v>
      </c>
      <c r="X65" s="22">
        <f t="shared" si="15"/>
        <v>78</v>
      </c>
      <c r="Y65" s="96" t="str">
        <f t="shared" si="16"/>
        <v>echo {"issue":{"subject":"","project_id":79,"tracker_id":40,"status_id":1,"priority_id":2,"assigned_to_id":23,"start_date":"2017-06-30","description":"","custom_fields":[{"id":1,"name":"Subdivision","value":"Shuttle/Test"},{"id":4,"name":"Milepost","value":"0.479"},{"id":17,"name":"Train ID","value":"78-30"},{"id":16,"name":"Locomotive ID","value":"4011"},{"id":130,"name":"Impact","value":""},{"id":150,"name":"Time of Event (Mountain Time)","value":"20:04:22"},{"id":151,"name":"Denver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5" s="159"/>
      <c r="AA65" s="47"/>
      <c r="AB65" s="47"/>
      <c r="AC65" s="115" t="str">
        <f t="shared" si="17"/>
        <v>grep -hrE -A400 "Enforcement Action" /c/Users/stu/AppData/Local/Temp/OnboardLogs/RTDC4011 --include="*4011*201707010*" | grep -E "((Enforcement Ac)|(PRM))" -</v>
      </c>
      <c r="AD65" s="1" t="str">
        <f>"grep -hSE ""Enforcement Action"" "&amp;search_path&amp;"\RTDC"&amp;U65&amp;"\*"&amp;U65&amp;"*"&amp;TEXT(A65-utc_offset/24,"YYYYMMDD")&amp;LEFT(TEXT(A65-utc_offset/24,"HH"),1)&amp;"* &gt;&gt; "&amp;TEXT(Variables!$A$2,"YYYY-MM-DD")&amp;"-SliceDisagreementCheck.txt"</f>
        <v>grep -hSE "Enforcement Action" "%USERPROFILE%\AppData\Local\Temp\OnboardLogs"\RTDC4011\*4011*201707010* &gt;&gt; 2017-06-30-SliceDisagreementCheck.txt</v>
      </c>
      <c r="AE65" s="145" t="str">
        <f t="shared" si="9"/>
        <v>start /low /b %USERPROFILE%\Documents\GitHub\eaglep3\Utilities\DownloadLogsFromS3.py --loco 4011 --day 2017-07-01</v>
      </c>
      <c r="AF65" s="1"/>
    </row>
    <row r="66" spans="1:32" x14ac:dyDescent="0.25">
      <c r="A66" s="31">
        <v>42917.085543981484</v>
      </c>
      <c r="B66" s="30" t="s">
        <v>487</v>
      </c>
      <c r="C66" s="30" t="s">
        <v>635</v>
      </c>
      <c r="D66" s="30" t="s">
        <v>49</v>
      </c>
      <c r="E66" s="30" t="s">
        <v>359</v>
      </c>
      <c r="F66" s="42">
        <v>0</v>
      </c>
      <c r="G66" s="42">
        <v>274</v>
      </c>
      <c r="H66" s="42">
        <v>8599</v>
      </c>
      <c r="I66" s="42">
        <v>8599</v>
      </c>
      <c r="J66" s="30" t="s">
        <v>360</v>
      </c>
      <c r="K66" s="42">
        <v>9499</v>
      </c>
      <c r="L66" s="131" t="s">
        <v>50</v>
      </c>
      <c r="M66" s="132">
        <f t="shared" si="10"/>
        <v>475.2</v>
      </c>
      <c r="N66" s="133" t="str">
        <f>VLOOKUP(C66,'Trips&amp;Operators'!$C$1:$G$99999,5,FALSE)</f>
        <v>BIRENBAUM THOMAS</v>
      </c>
      <c r="O66" s="203" t="s">
        <v>180</v>
      </c>
      <c r="P66" s="134"/>
      <c r="Q66" s="30"/>
      <c r="R66" s="81" t="str">
        <f>VLOOKUP(C66,'Train Runs'!$A$13:$AE$9930,31,0)</f>
        <v>aws s3 cp s3://rtdc.mdm.uploadarchive.raw/RTDC4012/ "%USERPROFILE%\AppData\Local\Temp\OnboardLogs"\RTDC4012\2017-06-30 --exclude "*" --recursive --include "*20170630*" &amp; "%USERPROFILE%\Documents\GitHub\mrs-test-scripts\Headless Mode &amp; Sideloading\WalkAndUnGZ.bat" "%USERPROFILE%\AppData\Local\Temp\OnboardLogs"\RTDC4012\2017-06-30 &amp; aws s3 cp s3://rtdc.mdm.uploadarchive.raw/RTDC4012/ "%USERPROFILE%\AppData\Local\Temp\OnboardLogs"\RTDC4012\2017-07-01 --exclude "*" --recursive --include "*20170701*" &amp; "%USERPROFILE%\Documents\GitHub\mrs-test-scripts\Headless Mode &amp; Sideloading\WalkAndUnGZ.bat" "%USERPROFILE%\AppData\Local\Temp\OnboardLogs"\RTDC4012\2017-07-01</v>
      </c>
      <c r="S66" s="84" t="str">
        <f>VLOOKUP(C66,'Train Runs'!$A$13:$AE$9930,22,0)</f>
        <v>https://d0f6bd738d7f1b3e5a7ca70fe4ff75f0.us-east-1.aws.found.io/app/kibana#/discover/Steve-Slow-Train-Analysis-(2080s-and-2083s)?_g=(refreshInterval:(display:Off,pause:!f,section:0,value:0),time:(from:'2017-06-30T19:09:21-0600',mode:absolute,to:'2017-06-30T22:37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66" s="86" t="str">
        <f t="shared" si="11"/>
        <v>"C:\Program Files (x86)\AstroGrep\AstroGrep.exe" /e /r /s /spath="%USERPROFILE%\AppData\Local\Temp\OnboardLogs" /stypes="*4012*201707010*" /stext=" 08:.+((SYSTEM_STATE.+slice.+state.+changed )|(ment ac)|(multiple cpu faults)|(system.+state.+changed )|(\[timeout)|(PRM\|1\|D)|(kpr)|(kdp)|(train st.+moving)|(\|lc)|(penalty))"</v>
      </c>
      <c r="U66" s="9" t="str">
        <f t="shared" si="12"/>
        <v>4012</v>
      </c>
      <c r="V66" s="31">
        <f t="shared" si="13"/>
        <v>42917.335543981484</v>
      </c>
      <c r="W66" s="45" t="str">
        <f t="shared" si="14"/>
        <v>Shuttle/Test</v>
      </c>
      <c r="X66" s="22">
        <f t="shared" si="15"/>
        <v>83</v>
      </c>
      <c r="Y66" s="96" t="str">
        <f t="shared" si="16"/>
        <v>echo {"issue":{"subject":"","project_id":79,"tracker_id":40,"status_id":1,"priority_id":2,"assigned_to_id":23,"start_date":"2017-07-01","description":"","custom_fields":[{"id":1,"name":"Subdivision","value":"Shuttle/Test"},{"id":4,"name":"Milepost","value":"0.9499"},{"id":17,"name":"Train ID","value":"83-30"},{"id":16,"name":"Locomotive ID","value":"4012"},{"id":130,"name":"Impact","value":""},{"id":150,"name":"Time of Event (Mountain Time)","value":"02:03:11"},{"id":151,"name":"Denver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6" s="159"/>
      <c r="AA66" s="47"/>
      <c r="AB66" s="47"/>
      <c r="AC66" s="115" t="str">
        <f t="shared" si="17"/>
        <v>grep -hrE -A400 "Enforcement Action" /c/Users/stu/AppData/Local/Temp/OnboardLogs/RTDC4012 --include="*4012*201707010*" | grep -E "((Enforcement Ac)|(PRM))" -</v>
      </c>
      <c r="AD66" s="1" t="str">
        <f>"grep -hSE ""Enforcement Action"" "&amp;search_path&amp;"\RTDC"&amp;U66&amp;"\*"&amp;U66&amp;"*"&amp;TEXT(A66-utc_offset/24,"YYYYMMDD")&amp;LEFT(TEXT(A66-utc_offset/24,"HH"),1)&amp;"* &gt;&gt; "&amp;TEXT(Variables!$A$2,"YYYY-MM-DD")&amp;"-SliceDisagreementCheck.txt"</f>
        <v>grep -hSE "Enforcement Action" "%USERPROFILE%\AppData\Local\Temp\OnboardLogs"\RTDC4012\*4012*201707010* &gt;&gt; 2017-06-30-SliceDisagreementCheck.txt</v>
      </c>
      <c r="AE66" s="145" t="str">
        <f t="shared" si="9"/>
        <v>start /low /b %USERPROFILE%\Documents\GitHub\eaglep3\Utilities\DownloadLogsFromS3.py --loco 4012 --day 2017-07-01</v>
      </c>
      <c r="AF66" s="1"/>
    </row>
    <row r="67" spans="1:32" x14ac:dyDescent="0.25">
      <c r="A67" s="31">
        <v>42917.085763888892</v>
      </c>
      <c r="B67" s="30" t="s">
        <v>487</v>
      </c>
      <c r="C67" s="30" t="s">
        <v>635</v>
      </c>
      <c r="D67" s="30" t="s">
        <v>49</v>
      </c>
      <c r="E67" s="30" t="s">
        <v>359</v>
      </c>
      <c r="F67" s="42">
        <v>0</v>
      </c>
      <c r="G67" s="42">
        <v>267</v>
      </c>
      <c r="H67" s="42">
        <v>8520</v>
      </c>
      <c r="I67" s="42">
        <v>9445</v>
      </c>
      <c r="J67" s="30" t="s">
        <v>360</v>
      </c>
      <c r="K67" s="42">
        <v>9499</v>
      </c>
      <c r="L67" s="131" t="s">
        <v>50</v>
      </c>
      <c r="M67" s="132">
        <f t="shared" si="10"/>
        <v>28.512</v>
      </c>
      <c r="N67" s="133" t="str">
        <f>VLOOKUP(C67,'Trips&amp;Operators'!$C$1:$G$99999,5,FALSE)</f>
        <v>BIRENBAUM THOMAS</v>
      </c>
      <c r="O67" s="203" t="s">
        <v>180</v>
      </c>
      <c r="P67" s="134"/>
      <c r="Q67" s="30"/>
      <c r="R67" s="81" t="str">
        <f>VLOOKUP(C67,'Train Runs'!$A$13:$AE$9930,31,0)</f>
        <v>aws s3 cp s3://rtdc.mdm.uploadarchive.raw/RTDC4012/ "%USERPROFILE%\AppData\Local\Temp\OnboardLogs"\RTDC4012\2017-06-30 --exclude "*" --recursive --include "*20170630*" &amp; "%USERPROFILE%\Documents\GitHub\mrs-test-scripts\Headless Mode &amp; Sideloading\WalkAndUnGZ.bat" "%USERPROFILE%\AppData\Local\Temp\OnboardLogs"\RTDC4012\2017-06-30 &amp; aws s3 cp s3://rtdc.mdm.uploadarchive.raw/RTDC4012/ "%USERPROFILE%\AppData\Local\Temp\OnboardLogs"\RTDC4012\2017-07-01 --exclude "*" --recursive --include "*20170701*" &amp; "%USERPROFILE%\Documents\GitHub\mrs-test-scripts\Headless Mode &amp; Sideloading\WalkAndUnGZ.bat" "%USERPROFILE%\AppData\Local\Temp\OnboardLogs"\RTDC4012\2017-07-01</v>
      </c>
      <c r="S67" s="84" t="str">
        <f>VLOOKUP(C67,'Train Runs'!$A$13:$AE$9930,22,0)</f>
        <v>https://d0f6bd738d7f1b3e5a7ca70fe4ff75f0.us-east-1.aws.found.io/app/kibana#/discover/Steve-Slow-Train-Analysis-(2080s-and-2083s)?_g=(refreshInterval:(display:Off,pause:!f,section:0,value:0),time:(from:'2017-06-30T19:09:21-0600',mode:absolute,to:'2017-06-30T22:37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67" s="86" t="str">
        <f t="shared" si="11"/>
        <v>"C:\Program Files (x86)\AstroGrep\AstroGrep.exe" /e /r /s /spath="%USERPROFILE%\AppData\Local\Temp\OnboardLogs" /stypes="*4012*201707010*" /stext=" 08:.+((SYSTEM_STATE.+slice.+state.+changed )|(ment ac)|(multiple cpu faults)|(system.+state.+changed )|(\[timeout)|(PRM\|1\|D)|(kpr)|(kdp)|(train st.+moving)|(\|lc)|(penalty))"</v>
      </c>
      <c r="U67" s="9" t="str">
        <f t="shared" si="12"/>
        <v>4012</v>
      </c>
      <c r="V67" s="31">
        <f t="shared" si="13"/>
        <v>42917.335763888892</v>
      </c>
      <c r="W67" s="45" t="str">
        <f t="shared" si="14"/>
        <v>Shuttle/Test</v>
      </c>
      <c r="X67" s="22">
        <f t="shared" si="15"/>
        <v>83</v>
      </c>
      <c r="Y67" s="96" t="str">
        <f t="shared" si="16"/>
        <v>echo {"issue":{"subject":"","project_id":79,"tracker_id":40,"status_id":1,"priority_id":2,"assigned_to_id":23,"start_date":"2017-07-01","description":"","custom_fields":[{"id":1,"name":"Subdivision","value":"Shuttle/Test"},{"id":4,"name":"Milepost","value":"0.9499"},{"id":17,"name":"Train ID","value":"83-30"},{"id":16,"name":"Locomotive ID","value":"4012"},{"id":130,"name":"Impact","value":""},{"id":150,"name":"Time of Event (Mountain Time)","value":"02:03:30"},{"id":151,"name":"Denver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7" s="159"/>
      <c r="AA67" s="47"/>
      <c r="AB67" s="47"/>
      <c r="AC67" s="115" t="str">
        <f t="shared" si="17"/>
        <v>grep -hrE -A400 "Enforcement Action" /c/Users/stu/AppData/Local/Temp/OnboardLogs/RTDC4012 --include="*4012*201707010*" | grep -E "((Enforcement Ac)|(PRM))" -</v>
      </c>
      <c r="AD67" s="1" t="str">
        <f>"grep -hSE ""Enforcement Action"" "&amp;search_path&amp;"\RTDC"&amp;U67&amp;"\*"&amp;U67&amp;"*"&amp;TEXT(A67-utc_offset/24,"YYYYMMDD")&amp;LEFT(TEXT(A67-utc_offset/24,"HH"),1)&amp;"* &gt;&gt; "&amp;TEXT(Variables!$A$2,"YYYY-MM-DD")&amp;"-SliceDisagreementCheck.txt"</f>
        <v>grep -hSE "Enforcement Action" "%USERPROFILE%\AppData\Local\Temp\OnboardLogs"\RTDC4012\*4012*201707010* &gt;&gt; 2017-06-30-SliceDisagreementCheck.txt</v>
      </c>
      <c r="AE67" s="145" t="str">
        <f t="shared" si="9"/>
        <v>start /low /b %USERPROFILE%\Documents\GitHub\eaglep3\Utilities\DownloadLogsFromS3.py --loco 4012 --day 2017-07-01</v>
      </c>
      <c r="AF67" s="1"/>
    </row>
    <row r="68" spans="1:32" x14ac:dyDescent="0.25">
      <c r="A68" s="31">
        <v>42916.915729166663</v>
      </c>
      <c r="B68" s="30" t="s">
        <v>487</v>
      </c>
      <c r="C68" s="30" t="s">
        <v>635</v>
      </c>
      <c r="D68" s="30" t="s">
        <v>49</v>
      </c>
      <c r="E68" s="30" t="s">
        <v>359</v>
      </c>
      <c r="F68" s="42">
        <v>0</v>
      </c>
      <c r="G68" s="42">
        <v>125</v>
      </c>
      <c r="H68" s="42">
        <v>161790</v>
      </c>
      <c r="I68" s="42">
        <v>161896</v>
      </c>
      <c r="J68" s="30" t="s">
        <v>360</v>
      </c>
      <c r="K68" s="42">
        <v>162254</v>
      </c>
      <c r="L68" s="131" t="s">
        <v>50</v>
      </c>
      <c r="M68" s="132">
        <f t="shared" si="10"/>
        <v>189.024</v>
      </c>
      <c r="N68" s="133" t="str">
        <f>VLOOKUP(C68,'Trips&amp;Operators'!$C$1:$G$99999,5,FALSE)</f>
        <v>BIRENBAUM THOMAS</v>
      </c>
      <c r="O68" s="203" t="s">
        <v>180</v>
      </c>
      <c r="P68" s="134"/>
      <c r="Q68" s="30"/>
      <c r="R68" s="81" t="str">
        <f>VLOOKUP(C68,'Train Runs'!$A$13:$AE$9930,31,0)</f>
        <v>aws s3 cp s3://rtdc.mdm.uploadarchive.raw/RTDC4012/ "%USERPROFILE%\AppData\Local\Temp\OnboardLogs"\RTDC4012\2017-06-30 --exclude "*" --recursive --include "*20170630*" &amp; "%USERPROFILE%\Documents\GitHub\mrs-test-scripts\Headless Mode &amp; Sideloading\WalkAndUnGZ.bat" "%USERPROFILE%\AppData\Local\Temp\OnboardLogs"\RTDC4012\2017-06-30 &amp; aws s3 cp s3://rtdc.mdm.uploadarchive.raw/RTDC4012/ "%USERPROFILE%\AppData\Local\Temp\OnboardLogs"\RTDC4012\2017-07-01 --exclude "*" --recursive --include "*20170701*" &amp; "%USERPROFILE%\Documents\GitHub\mrs-test-scripts\Headless Mode &amp; Sideloading\WalkAndUnGZ.bat" "%USERPROFILE%\AppData\Local\Temp\OnboardLogs"\RTDC4012\2017-07-01</v>
      </c>
      <c r="S68" s="84" t="str">
        <f>VLOOKUP(C68,'Train Runs'!$A$13:$AE$9930,22,0)</f>
        <v>https://d0f6bd738d7f1b3e5a7ca70fe4ff75f0.us-east-1.aws.found.io/app/kibana#/discover/Steve-Slow-Train-Analysis-(2080s-and-2083s)?_g=(refreshInterval:(display:Off,pause:!f,section:0,value:0),time:(from:'2017-06-30T19:09:21-0600',mode:absolute,to:'2017-06-30T22:37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68" s="86" t="str">
        <f t="shared" si="11"/>
        <v>"C:\Program Files (x86)\AstroGrep\AstroGrep.exe" /e /r /s /spath="%USERPROFILE%\AppData\Local\Temp\OnboardLogs" /stypes="*4012*201707010*" /stext=" 03:.+((SYSTEM_STATE.+slice.+state.+changed )|(ment ac)|(multiple cpu faults)|(system.+state.+changed )|(\[timeout)|(PRM\|1\|D)|(kpr)|(kdp)|(train st.+moving)|(\|lc)|(penalty))"</v>
      </c>
      <c r="U68" s="9" t="str">
        <f t="shared" si="12"/>
        <v>4012</v>
      </c>
      <c r="V68" s="31">
        <f t="shared" si="13"/>
        <v>42917.165729166663</v>
      </c>
      <c r="W68" s="45" t="str">
        <f t="shared" si="14"/>
        <v>Shuttle/Test</v>
      </c>
      <c r="X68" s="22">
        <f t="shared" si="15"/>
        <v>83</v>
      </c>
      <c r="Y68" s="96" t="str">
        <f t="shared" si="16"/>
        <v>echo {"issue":{"subject":"","project_id":79,"tracker_id":40,"status_id":1,"priority_id":2,"assigned_to_id":23,"start_date":"2017-06-30","description":"","custom_fields":[{"id":1,"name":"Subdivision","value":"Shuttle/Test"},{"id":4,"name":"Milepost","value":"16.2254"},{"id":17,"name":"Train ID","value":"83-30"},{"id":16,"name":"Locomotive ID","value":"4012"},{"id":130,"name":"Impact","value":""},{"id":150,"name":"Time of Event (Mountain Time)","value":"21:58:39"},{"id":151,"name":"Denver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8" s="159"/>
      <c r="AA68" s="47"/>
      <c r="AB68" s="47"/>
      <c r="AC68" s="115" t="str">
        <f t="shared" si="17"/>
        <v>grep -hrE -A400 "Enforcement Action" /c/Users/stu/AppData/Local/Temp/OnboardLogs/RTDC4012 --include="*4012*201707010*" | grep -E "((Enforcement Ac)|(PRM))" -</v>
      </c>
      <c r="AD68" s="1" t="str">
        <f>"grep -hSE ""Enforcement Action"" "&amp;search_path&amp;"\RTDC"&amp;U68&amp;"\*"&amp;U68&amp;"*"&amp;TEXT(A68-utc_offset/24,"YYYYMMDD")&amp;LEFT(TEXT(A68-utc_offset/24,"HH"),1)&amp;"* &gt;&gt; "&amp;TEXT(Variables!$A$2,"YYYY-MM-DD")&amp;"-SliceDisagreementCheck.txt"</f>
        <v>grep -hSE "Enforcement Action" "%USERPROFILE%\AppData\Local\Temp\OnboardLogs"\RTDC4012\*4012*201707010* &gt;&gt; 2017-06-30-SliceDisagreementCheck.txt</v>
      </c>
      <c r="AE68" s="145" t="str">
        <f t="shared" si="9"/>
        <v>start /low /b %USERPROFILE%\Documents\GitHub\eaglep3\Utilities\DownloadLogsFromS3.py --loco 4012 --day 2017-07-01</v>
      </c>
      <c r="AF68" s="1"/>
    </row>
    <row r="69" spans="1:32" x14ac:dyDescent="0.25">
      <c r="A69" s="31">
        <v>42916.601064814815</v>
      </c>
      <c r="B69" s="30" t="s">
        <v>365</v>
      </c>
      <c r="C69" s="30" t="s">
        <v>609</v>
      </c>
      <c r="D69" s="30" t="s">
        <v>49</v>
      </c>
      <c r="E69" s="30" t="s">
        <v>181</v>
      </c>
      <c r="F69" s="42">
        <v>0</v>
      </c>
      <c r="G69" s="42">
        <v>52</v>
      </c>
      <c r="H69" s="42">
        <v>189</v>
      </c>
      <c r="I69" s="42">
        <v>143</v>
      </c>
      <c r="J69" s="30" t="s">
        <v>182</v>
      </c>
      <c r="K69" s="42">
        <v>1</v>
      </c>
      <c r="L69" s="131" t="s">
        <v>51</v>
      </c>
      <c r="M69" s="132">
        <f t="shared" si="10"/>
        <v>74.975999999999999</v>
      </c>
      <c r="N69" s="133" t="str">
        <f>VLOOKUP(C69,'Trips&amp;Operators'!$C$1:$G$99999,5,FALSE)</f>
        <v>DE LA ROSA ALEX</v>
      </c>
      <c r="O69" s="203" t="s">
        <v>180</v>
      </c>
      <c r="P69" s="134"/>
      <c r="Q69" s="30"/>
      <c r="R69" s="81" t="str">
        <f>VLOOKUP(C69,'Train Runs'!$A$13:$AE$9930,31,0)</f>
        <v>aws s3 cp s3://rtdc.mdm.uploadarchive.raw/RTDC4013/ "%USERPROFILE%\AppData\Local\Temp\OnboardLogs"\RTDC4013\2017-06-30 --exclude "*" --recursive --include "*20170630*" &amp; "%USERPROFILE%\Documents\GitHub\mrs-test-scripts\Headless Mode &amp; Sideloading\WalkAndUnGZ.bat" "%USERPROFILE%\AppData\Local\Temp\OnboardLogs"\RTDC4013\2017-06-30 &amp; aws s3 cp s3://rtdc.mdm.uploadarchive.raw/RTDC4013/ "%USERPROFILE%\AppData\Local\Temp\OnboardLogs"\RTDC4013\2017-07-01 --exclude "*" --recursive --include "*20170701*" &amp; "%USERPROFILE%\Documents\GitHub\mrs-test-scripts\Headless Mode &amp; Sideloading\WalkAndUnGZ.bat" "%USERPROFILE%\AppData\Local\Temp\OnboardLogs"\RTDC4013\2017-07-01</v>
      </c>
      <c r="S69" s="84" t="str">
        <f>VLOOKUP(C69,'Train Runs'!$A$13:$AE$9930,22,0)</f>
        <v>https://d0f6bd738d7f1b3e5a7ca70fe4ff75f0.us-east-1.aws.found.io/app/kibana#/discover/Steve-Slow-Train-Analysis-(2080s-and-2083s)?_g=(refreshInterval:(display:Off,pause:!f,section:0,value:0),time:(from:'2017-06-30T13:21:33-0600',mode:absolute,to:'2017-06-30T15:25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69" s="86" t="str">
        <f t="shared" si="11"/>
        <v>"C:\Program Files (x86)\AstroGrep\AstroGrep.exe" /e /r /s /spath="%USERPROFILE%\AppData\Local\Temp\OnboardLogs" /stypes="*4013*201706302*" /stext=" 20:.+((SYSTEM_STATE.+slice.+state.+changed )|(ment ac)|(multiple cpu faults)|(system.+state.+changed )|(\[timeout)|(PRM\|1\|D)|(kpr)|(kdp)|(train st.+moving)|(\|lc)|(penalty))"</v>
      </c>
      <c r="U69" s="9" t="str">
        <f t="shared" si="12"/>
        <v>4013</v>
      </c>
      <c r="V69" s="31">
        <f t="shared" si="13"/>
        <v>42916.851064814815</v>
      </c>
      <c r="W69" s="45" t="str">
        <f t="shared" si="14"/>
        <v>Shuttle/Test</v>
      </c>
      <c r="X69" s="22">
        <f t="shared" si="15"/>
        <v>81</v>
      </c>
      <c r="Y69" s="96" t="str">
        <f t="shared" si="16"/>
        <v>echo {"issue":{"subject":"","project_id":79,"tracker_id":40,"status_id":1,"priority_id":2,"assigned_to_id":23,"start_date":"2017-06-30","description":"","custom_fields":[{"id":1,"name":"Subdivision","value":"Shuttle/Test"},{"id":4,"name":"Milepost","value":"0.0001"},{"id":17,"name":"Train ID","value":"81-30"},{"id":16,"name":"Locomotive ID","value":"4013"},{"id":130,"name":"Impact","value":""},{"id":150,"name":"Time of Event (Mountain Time)","value":"14:25:32"},{"id":151,"name":"Denver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9" s="159"/>
      <c r="AA69" s="47"/>
      <c r="AB69" s="47"/>
      <c r="AC69" s="115" t="str">
        <f t="shared" si="17"/>
        <v>grep -hrE -A400 "Enforcement Action" /c/Users/stu/AppData/Local/Temp/OnboardLogs/RTDC4013 --include="*4013*201706302*" | grep -E "((Enforcement Ac)|(PRM))" -</v>
      </c>
      <c r="AD69" s="1" t="str">
        <f>"grep -hSE ""Enforcement Action"" "&amp;search_path&amp;"\RTDC"&amp;U69&amp;"\*"&amp;U69&amp;"*"&amp;TEXT(A69-utc_offset/24,"YYYYMMDD")&amp;LEFT(TEXT(A69-utc_offset/24,"HH"),1)&amp;"* &gt;&gt; "&amp;TEXT(Variables!$A$2,"YYYY-MM-DD")&amp;"-SliceDisagreementCheck.txt"</f>
        <v>grep -hSE "Enforcement Action" "%USERPROFILE%\AppData\Local\Temp\OnboardLogs"\RTDC4013\*4013*201706302* &gt;&gt; 2017-06-30-SliceDisagreementCheck.txt</v>
      </c>
      <c r="AE69" s="145" t="str">
        <f t="shared" si="9"/>
        <v>start /low /b %USERPROFILE%\Documents\GitHub\eaglep3\Utilities\DownloadLogsFromS3.py --loco 4013 --day 2017-06-30</v>
      </c>
      <c r="AF69" s="1"/>
    </row>
    <row r="70" spans="1:32" x14ac:dyDescent="0.25">
      <c r="A70" s="31">
        <v>42916.749884259261</v>
      </c>
      <c r="B70" s="30" t="s">
        <v>517</v>
      </c>
      <c r="C70" s="30" t="s">
        <v>622</v>
      </c>
      <c r="D70" s="30" t="s">
        <v>49</v>
      </c>
      <c r="E70" s="30" t="s">
        <v>181</v>
      </c>
      <c r="F70" s="42">
        <v>0</v>
      </c>
      <c r="G70" s="42">
        <v>13</v>
      </c>
      <c r="H70" s="42">
        <v>860</v>
      </c>
      <c r="I70" s="42">
        <v>850</v>
      </c>
      <c r="J70" s="30" t="s">
        <v>182</v>
      </c>
      <c r="K70" s="42">
        <v>839</v>
      </c>
      <c r="L70" s="131" t="s">
        <v>51</v>
      </c>
      <c r="M70" s="132">
        <f t="shared" si="10"/>
        <v>5.8079999999999998</v>
      </c>
      <c r="N70" s="133" t="str">
        <f>VLOOKUP(C70,'Trips&amp;Operators'!$C$1:$G$99999,5,FALSE)</f>
        <v>THOMPSON LESTER</v>
      </c>
      <c r="O70" s="203" t="s">
        <v>180</v>
      </c>
      <c r="P70" s="134"/>
      <c r="Q70" s="30"/>
      <c r="R70" s="81" t="str">
        <f>VLOOKUP(C70,'Train Runs'!$A$13:$AE$9930,31,0)</f>
        <v>aws s3 cp s3://rtdc.mdm.uploadarchive.raw/RTDC4063/ "%USERPROFILE%\AppData\Local\Temp\OnboardLogs"\RTDC4063\2017-06-30 --exclude "*" --recursive --include "*20170630*" &amp; "%USERPROFILE%\Documents\GitHub\mrs-test-scripts\Headless Mode &amp; Sideloading\WalkAndUnGZ.bat" "%USERPROFILE%\AppData\Local\Temp\OnboardLogs"\RTDC4063\2017-06-30 &amp; aws s3 cp s3://rtdc.mdm.uploadarchive.raw/RTDC4063/ "%USERPROFILE%\AppData\Local\Temp\OnboardLogs"\RTDC4063\2017-07-01 --exclude "*" --recursive --include "*20170701*" &amp; "%USERPROFILE%\Documents\GitHub\mrs-test-scripts\Headless Mode &amp; Sideloading\WalkAndUnGZ.bat" "%USERPROFILE%\AppData\Local\Temp\OnboardLogs"\RTDC4063\2017-07-01</v>
      </c>
      <c r="S70" s="84" t="str">
        <f>VLOOKUP(C70,'Train Runs'!$A$13:$AE$9930,22,0)</f>
        <v>https://d0f6bd738d7f1b3e5a7ca70fe4ff75f0.us-east-1.aws.found.io/app/kibana#/discover/Steve-Slow-Train-Analysis-(2080s-and-2083s)?_g=(refreshInterval:(display:Off,pause:!f,section:0,value:0),time:(from:'2017-06-30T16:38:01-0600',mode:absolute,to:'2017-06-30T18:59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70" s="86" t="str">
        <f t="shared" si="11"/>
        <v>"C:\Program Files (x86)\AstroGrep\AstroGrep.exe" /e /r /s /spath="%USERPROFILE%\AppData\Local\Temp\OnboardLogs" /stypes="*4063*201706302*" /stext=" 23:.+((SYSTEM_STATE.+slice.+state.+changed )|(ment ac)|(multiple cpu faults)|(system.+state.+changed )|(\[timeout)|(PRM\|1\|D)|(kpr)|(kdp)|(train st.+moving)|(\|lc)|(penalty))"</v>
      </c>
      <c r="U70" s="9" t="str">
        <f t="shared" si="12"/>
        <v>4063</v>
      </c>
      <c r="V70" s="31">
        <f t="shared" si="13"/>
        <v>42916.999884259261</v>
      </c>
      <c r="W70" s="45" t="str">
        <f t="shared" si="14"/>
        <v>Shuttle/Test</v>
      </c>
      <c r="X70" s="22">
        <f t="shared" si="15"/>
        <v>60</v>
      </c>
      <c r="Y70" s="96" t="str">
        <f t="shared" si="16"/>
        <v>echo {"issue":{"subject":"","project_id":79,"tracker_id":40,"status_id":1,"priority_id":2,"assigned_to_id":23,"start_date":"2017-06-30","description":"","custom_fields":[{"id":1,"name":"Subdivision","value":"Shuttle/Test"},{"id":4,"name":"Milepost","value":"0.0839"},{"id":17,"name":"Train ID","value":"60-30"},{"id":16,"name":"Locomotive ID","value":"4063"},{"id":130,"name":"Impact","value":""},{"id":150,"name":"Time of Event (Mountain Time)","value":"17:59:50"},{"id":151,"name":"Denver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0" s="159"/>
      <c r="AA70" s="47"/>
      <c r="AB70" s="47"/>
      <c r="AC70" s="115" t="str">
        <f t="shared" si="17"/>
        <v>grep -hrE -A400 "Enforcement Action" /c/Users/stu/AppData/Local/Temp/OnboardLogs/RTDC4063 --include="*4063*201706302*" | grep -E "((Enforcement Ac)|(PRM))" -</v>
      </c>
      <c r="AD70" s="1" t="str">
        <f>"grep -hSE ""Enforcement Action"" "&amp;search_path&amp;"\RTDC"&amp;U70&amp;"\*"&amp;U70&amp;"*"&amp;TEXT(A70-utc_offset/24,"YYYYMMDD")&amp;LEFT(TEXT(A70-utc_offset/24,"HH"),1)&amp;"* &gt;&gt; "&amp;TEXT(Variables!$A$2,"YYYY-MM-DD")&amp;"-SliceDisagreementCheck.txt"</f>
        <v>grep -hSE "Enforcement Action" "%USERPROFILE%\AppData\Local\Temp\OnboardLogs"\RTDC4063\*4063*201706302* &gt;&gt; 2017-06-30-SliceDisagreementCheck.txt</v>
      </c>
      <c r="AE70" s="145" t="str">
        <f t="shared" si="9"/>
        <v>start /low /b %USERPROFILE%\Documents\GitHub\eaglep3\Utilities\DownloadLogsFromS3.py --loco 4063 --day 2017-06-30</v>
      </c>
      <c r="AF70" s="1"/>
    </row>
    <row r="71" spans="1:32" x14ac:dyDescent="0.25">
      <c r="A71" s="31">
        <v>42916.401354166665</v>
      </c>
      <c r="B71" s="30" t="s">
        <v>400</v>
      </c>
      <c r="C71" s="30" t="s">
        <v>596</v>
      </c>
      <c r="D71" s="30" t="s">
        <v>96</v>
      </c>
      <c r="E71" s="30" t="s">
        <v>181</v>
      </c>
      <c r="F71" s="42">
        <v>0</v>
      </c>
      <c r="G71" s="42">
        <v>5</v>
      </c>
      <c r="H71" s="42">
        <v>112549</v>
      </c>
      <c r="I71" s="42">
        <v>0</v>
      </c>
      <c r="J71" s="30" t="s">
        <v>182</v>
      </c>
      <c r="K71" s="42">
        <v>112547</v>
      </c>
      <c r="L71" s="131" t="s">
        <v>50</v>
      </c>
      <c r="M71" s="132">
        <f t="shared" ref="M71:M77" si="18">CONVERT((I71-K71)/10000,"mi","ft")*IF(L71="Increasing Mileposts (1)",-1,1)</f>
        <v>59424.815999999999</v>
      </c>
      <c r="N71" s="133" t="str">
        <f>VLOOKUP(C71,'Trips&amp;Operators'!$C$1:$G$99999,5,FALSE)</f>
        <v>SANTIZO D. EDY</v>
      </c>
      <c r="O71" s="203" t="s">
        <v>180</v>
      </c>
      <c r="P71" s="134"/>
      <c r="Q71" s="30"/>
      <c r="R71" s="81" t="str">
        <f>VLOOKUP(C71,'Train Runs'!$A$13:$AE$9930,31,0)</f>
        <v>aws s3 cp s3://rtdc.mdm.uploadarchive.raw/RTDC4019/ "%USERPROFILE%\AppData\Local\Temp\OnboardLogs"\RTDC4019\2017-06-30 --exclude "*" --recursive --include "*20170630*" &amp; "%USERPROFILE%\Documents\GitHub\mrs-test-scripts\Headless Mode &amp; Sideloading\WalkAndUnGZ.bat" "%USERPROFILE%\AppData\Local\Temp\OnboardLogs"\RTDC4019\2017-06-30 &amp; aws s3 cp s3://rtdc.mdm.uploadarchive.raw/RTDC4019/ "%USERPROFILE%\AppData\Local\Temp\OnboardLogs"\RTDC4019\2017-07-01 --exclude "*" --recursive --include "*20170701*" &amp; "%USERPROFILE%\Documents\GitHub\mrs-test-scripts\Headless Mode &amp; Sideloading\WalkAndUnGZ.bat" "%USERPROFILE%\AppData\Local\Temp\OnboardLogs"\RTDC4019\2017-07-01</v>
      </c>
      <c r="S71" s="84" t="str">
        <f>VLOOKUP(C71,'Train Runs'!$A$13:$AE$9930,22,0)</f>
        <v>https://d0f6bd738d7f1b3e5a7ca70fe4ff75f0.us-east-1.aws.found.io/app/kibana#/discover/Steve-Slow-Train-Analysis-(2080s-and-2083s)?_g=(refreshInterval:(display:Off,pause:!f,section:0,value:0),time:(from:'2017-06-30T09:51:32-0600',mode:absolute,to:'2017-06-30T12:36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71" s="86" t="str">
        <f t="shared" ref="T71:T77" si="19">astrogrep_path&amp;" /e /r /s /spath="&amp;search_path&amp;" /stypes=""*"&amp;U71&amp;"*"&amp;TEXT(A71-utc_offset/24,"YYYYMMDD")&amp;LEFT(TEXT(A71-utc_offset/24,"HH"),1)&amp;"*"" /stext="" "&amp;TEXT(A71-utc_offset/24,"HH")&amp;search_regexp&amp;""""</f>
        <v>"C:\Program Files (x86)\AstroGrep\AstroGrep.exe" /e /r /s /spath="%USERPROFILE%\AppData\Local\Temp\OnboardLogs" /stypes="*4020*201706301*" /stext=" 15:.+((SYSTEM_STATE.+slice.+state.+changed )|(ment ac)|(multiple cpu faults)|(system.+state.+changed )|(\[timeout)|(PRM\|1\|D)|(kpr)|(kdp)|(train st.+moving)|(\|lc)|(penalty))"</v>
      </c>
      <c r="U71" s="9" t="str">
        <f t="shared" ref="U71:U77" si="20">MID(B71,13,4)</f>
        <v>4020</v>
      </c>
      <c r="V71" s="31">
        <f t="shared" ref="V71:V77" si="21">A71-utc_offset/24</f>
        <v>42916.651354166665</v>
      </c>
      <c r="W71" s="45" t="str">
        <f t="shared" ref="W71:W77" si="22">DetSubdiv(C71)</f>
        <v>Shuttle/Test</v>
      </c>
      <c r="X71" s="22">
        <f t="shared" ref="X71:X77" si="23">VALUE(LEFT(C71,LEN(C71)-3))</f>
        <v>61</v>
      </c>
      <c r="Y71" s="96" t="str">
        <f t="shared" ref="Y71:Y77" si="24">"echo {""issue"":{""subject"":"""&amp;P71&amp;""",""project_id"":79,""tracker_id"":40,""status_id"":"&amp;redmine_status&amp;",""priority_id"":"&amp;redmine_priority&amp;",""assigned_to_id"":"&amp;redmine_assignee&amp;",""start_date"":"""&amp;TEXT(A71,"YYYY-mm-dd")&amp;""",""description"":"""&amp;Z71&amp;""",""custom_fields"":[{""id"":1,""name"":""Subdivision"",""value"":"""&amp;W71&amp;"""},{""id"":4,""name"":""Milepost"",""value"":"""&amp;K71/10000&amp;"""},{""id"":17,""name"":""Train ID"",""value"":"""&amp;C71&amp;"""},{""id"":16,""name"":""Locomotive ID"",""value"":"""&amp;U71&amp;"""},{""id"":130,""name"":""Impact"",""value"":"""&amp;AA71&amp;"""},{""id"":150,""name"":""Time of Event (Mountain Time)"",""value"":"""&amp;TEXT(A71,"hh:mm:ss")&amp;"""},{""id"":151,""name"":""Denver Issue ID"",""value"":"""&amp;"""},{""id"":178,""name"":""Operational Impact"",""value"":"""&amp;redmine_op_impact&amp;"""},{""id"":179,""name"":""Denver Segment Assigned"",""value"":"""&amp;AB71&amp;"""}]}}"&amp;"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-30","description":"","custom_fields":[{"id":1,"name":"Subdivision","value":"Shuttle/Test"},{"id":4,"name":"Milepost","value":"11.2547"},{"id":17,"name":"Train ID","value":"61-30"},{"id":16,"name":"Locomotive ID","value":"4020"},{"id":130,"name":"Impact","value":""},{"id":150,"name":"Time of Event (Mountain Time)","value":"09:37:57"},{"id":151,"name":"Denver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1" s="159"/>
      <c r="AA71" s="47"/>
      <c r="AB71" s="47"/>
      <c r="AC71" s="115" t="str">
        <f t="shared" ref="AC71:AC77" si="25">"grep -hrE -A400 ""Enforcement Action"" "&amp;"/c/Users/stu/AppData/Local/Temp/OnboardLogs"&amp;"/RTDC"&amp;U71&amp;" --include=""*"&amp;U71&amp;"*"&amp;TEXT(A71-utc_offset/24,"YYYYMMDD")&amp;LEFT(TEXT(A71-utc_offset/24,"HH"),1)&amp;"*"" | grep -E ""((Enforcement Ac)|(PRM))"" -"</f>
        <v>grep -hrE -A400 "Enforcement Action" /c/Users/stu/AppData/Local/Temp/OnboardLogs/RTDC4020 --include="*4020*201706301*" | grep -E "((Enforcement Ac)|(PRM))" -</v>
      </c>
      <c r="AD71" s="1" t="str">
        <f>"grep -hSE ""Enforcement Action"" "&amp;search_path&amp;"\RTDC"&amp;U71&amp;"\*"&amp;U71&amp;"*"&amp;TEXT(A71-utc_offset/24,"YYYYMMDD")&amp;LEFT(TEXT(A71-utc_offset/24,"HH"),1)&amp;"* &gt;&gt; "&amp;TEXT(Variables!$A$2,"YYYY-MM-DD")&amp;"-SliceDisagreementCheck.txt"</f>
        <v>grep -hSE "Enforcement Action" "%USERPROFILE%\AppData\Local\Temp\OnboardLogs"\RTDC4020\*4020*201706301* &gt;&gt; 2017-06-30-SliceDisagreementCheck.txt</v>
      </c>
      <c r="AE71" s="145" t="str">
        <f t="shared" si="9"/>
        <v>start /low /b %USERPROFILE%\Documents\GitHub\eaglep3\Utilities\DownloadLogsFromS3.py --loco 4020 --day 2017-06-30</v>
      </c>
      <c r="AF71" s="1"/>
    </row>
    <row r="72" spans="1:32" x14ac:dyDescent="0.25">
      <c r="A72" s="31">
        <v>42916.450624999998</v>
      </c>
      <c r="B72" s="30" t="s">
        <v>400</v>
      </c>
      <c r="C72" s="30" t="s">
        <v>596</v>
      </c>
      <c r="D72" s="30" t="s">
        <v>49</v>
      </c>
      <c r="E72" s="30" t="s">
        <v>181</v>
      </c>
      <c r="F72" s="42">
        <v>0</v>
      </c>
      <c r="G72" s="42">
        <v>17</v>
      </c>
      <c r="H72" s="42">
        <v>112517</v>
      </c>
      <c r="I72" s="42">
        <v>112534</v>
      </c>
      <c r="J72" s="30" t="s">
        <v>182</v>
      </c>
      <c r="K72" s="42">
        <v>112547</v>
      </c>
      <c r="L72" s="131" t="s">
        <v>50</v>
      </c>
      <c r="M72" s="132">
        <f t="shared" si="18"/>
        <v>6.8639999999999999</v>
      </c>
      <c r="N72" s="133" t="str">
        <f>VLOOKUP(C72,'Trips&amp;Operators'!$C$1:$G$99999,5,FALSE)</f>
        <v>SANTIZO D. EDY</v>
      </c>
      <c r="O72" s="203" t="s">
        <v>180</v>
      </c>
      <c r="P72" s="134"/>
      <c r="Q72" s="30"/>
      <c r="R72" s="81" t="str">
        <f>VLOOKUP(C72,'Train Runs'!$A$13:$AE$9930,31,0)</f>
        <v>aws s3 cp s3://rtdc.mdm.uploadarchive.raw/RTDC4019/ "%USERPROFILE%\AppData\Local\Temp\OnboardLogs"\RTDC4019\2017-06-30 --exclude "*" --recursive --include "*20170630*" &amp; "%USERPROFILE%\Documents\GitHub\mrs-test-scripts\Headless Mode &amp; Sideloading\WalkAndUnGZ.bat" "%USERPROFILE%\AppData\Local\Temp\OnboardLogs"\RTDC4019\2017-06-30 &amp; aws s3 cp s3://rtdc.mdm.uploadarchive.raw/RTDC4019/ "%USERPROFILE%\AppData\Local\Temp\OnboardLogs"\RTDC4019\2017-07-01 --exclude "*" --recursive --include "*20170701*" &amp; "%USERPROFILE%\Documents\GitHub\mrs-test-scripts\Headless Mode &amp; Sideloading\WalkAndUnGZ.bat" "%USERPROFILE%\AppData\Local\Temp\OnboardLogs"\RTDC4019\2017-07-01</v>
      </c>
      <c r="S72" s="84" t="str">
        <f>VLOOKUP(C72,'Train Runs'!$A$13:$AE$9930,22,0)</f>
        <v>https://d0f6bd738d7f1b3e5a7ca70fe4ff75f0.us-east-1.aws.found.io/app/kibana#/discover/Steve-Slow-Train-Analysis-(2080s-and-2083s)?_g=(refreshInterval:(display:Off,pause:!f,section:0,value:0),time:(from:'2017-06-30T09:51:32-0600',mode:absolute,to:'2017-06-30T12:36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72" s="86" t="str">
        <f t="shared" si="19"/>
        <v>"C:\Program Files (x86)\AstroGrep\AstroGrep.exe" /e /r /s /spath="%USERPROFILE%\AppData\Local\Temp\OnboardLogs" /stypes="*4020*201706301*" /stext=" 16:.+((SYSTEM_STATE.+slice.+state.+changed )|(ment ac)|(multiple cpu faults)|(system.+state.+changed )|(\[timeout)|(PRM\|1\|D)|(kpr)|(kdp)|(train st.+moving)|(\|lc)|(penalty))"</v>
      </c>
      <c r="U72" s="9" t="str">
        <f t="shared" si="20"/>
        <v>4020</v>
      </c>
      <c r="V72" s="31">
        <f t="shared" si="21"/>
        <v>42916.700624999998</v>
      </c>
      <c r="W72" s="45" t="str">
        <f t="shared" si="22"/>
        <v>Shuttle/Test</v>
      </c>
      <c r="X72" s="22">
        <f t="shared" si="23"/>
        <v>61</v>
      </c>
      <c r="Y72" s="96" t="str">
        <f t="shared" si="24"/>
        <v>echo {"issue":{"subject":"","project_id":79,"tracker_id":40,"status_id":1,"priority_id":2,"assigned_to_id":23,"start_date":"2017-06-30","description":"","custom_fields":[{"id":1,"name":"Subdivision","value":"Shuttle/Test"},{"id":4,"name":"Milepost","value":"11.2547"},{"id":17,"name":"Train ID","value":"61-30"},{"id":16,"name":"Locomotive ID","value":"4020"},{"id":130,"name":"Impact","value":""},{"id":150,"name":"Time of Event (Mountain Time)","value":"10:48:54"},{"id":151,"name":"Denver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2" s="159"/>
      <c r="AA72" s="47"/>
      <c r="AB72" s="47"/>
      <c r="AC72" s="115" t="str">
        <f t="shared" si="25"/>
        <v>grep -hrE -A400 "Enforcement Action" /c/Users/stu/AppData/Local/Temp/OnboardLogs/RTDC4020 --include="*4020*201706301*" | grep -E "((Enforcement Ac)|(PRM))" -</v>
      </c>
      <c r="AD72" s="1" t="str">
        <f>"grep -hSE ""Enforcement Action"" "&amp;search_path&amp;"\RTDC"&amp;U72&amp;"\*"&amp;U72&amp;"*"&amp;TEXT(A72-utc_offset/24,"YYYYMMDD")&amp;LEFT(TEXT(A72-utc_offset/24,"HH"),1)&amp;"* &gt;&gt; "&amp;TEXT(Variables!$A$2,"YYYY-MM-DD")&amp;"-SliceDisagreementCheck.txt"</f>
        <v>grep -hSE "Enforcement Action" "%USERPROFILE%\AppData\Local\Temp\OnboardLogs"\RTDC4020\*4020*201706301* &gt;&gt; 2017-06-30-SliceDisagreementCheck.txt</v>
      </c>
      <c r="AE72" s="145" t="str">
        <f t="shared" ref="AE72:AE77" si="26">"start /low /b "&amp;dls3logs&amp;" --loco "&amp;U72&amp;" --day "&amp;TEXT(V72,"YYYY-MM-DD")</f>
        <v>start /low /b %USERPROFILE%\Documents\GitHub\eaglep3\Utilities\DownloadLogsFromS3.py --loco 4020 --day 2017-06-30</v>
      </c>
      <c r="AF72" s="1"/>
    </row>
    <row r="73" spans="1:32" x14ac:dyDescent="0.25">
      <c r="A73" s="31">
        <v>42916.483807870369</v>
      </c>
      <c r="B73" s="30" t="s">
        <v>400</v>
      </c>
      <c r="C73" s="30" t="s">
        <v>596</v>
      </c>
      <c r="D73" s="30" t="s">
        <v>49</v>
      </c>
      <c r="E73" s="30" t="s">
        <v>181</v>
      </c>
      <c r="F73" s="42">
        <v>0</v>
      </c>
      <c r="G73" s="42">
        <v>10</v>
      </c>
      <c r="H73" s="42">
        <v>112538</v>
      </c>
      <c r="I73" s="42">
        <v>112541</v>
      </c>
      <c r="J73" s="30" t="s">
        <v>182</v>
      </c>
      <c r="K73" s="42">
        <v>112547</v>
      </c>
      <c r="L73" s="131" t="s">
        <v>50</v>
      </c>
      <c r="M73" s="132">
        <f t="shared" si="18"/>
        <v>3.1680000000000001</v>
      </c>
      <c r="N73" s="133" t="str">
        <f>VLOOKUP(C73,'Trips&amp;Operators'!$C$1:$G$99999,5,FALSE)</f>
        <v>SANTIZO D. EDY</v>
      </c>
      <c r="O73" s="203" t="s">
        <v>180</v>
      </c>
      <c r="P73" s="134"/>
      <c r="Q73" s="30"/>
      <c r="R73" s="81" t="str">
        <f>VLOOKUP(C73,'Train Runs'!$A$13:$AE$9930,31,0)</f>
        <v>aws s3 cp s3://rtdc.mdm.uploadarchive.raw/RTDC4019/ "%USERPROFILE%\AppData\Local\Temp\OnboardLogs"\RTDC4019\2017-06-30 --exclude "*" --recursive --include "*20170630*" &amp; "%USERPROFILE%\Documents\GitHub\mrs-test-scripts\Headless Mode &amp; Sideloading\WalkAndUnGZ.bat" "%USERPROFILE%\AppData\Local\Temp\OnboardLogs"\RTDC4019\2017-06-30 &amp; aws s3 cp s3://rtdc.mdm.uploadarchive.raw/RTDC4019/ "%USERPROFILE%\AppData\Local\Temp\OnboardLogs"\RTDC4019\2017-07-01 --exclude "*" --recursive --include "*20170701*" &amp; "%USERPROFILE%\Documents\GitHub\mrs-test-scripts\Headless Mode &amp; Sideloading\WalkAndUnGZ.bat" "%USERPROFILE%\AppData\Local\Temp\OnboardLogs"\RTDC4019\2017-07-01</v>
      </c>
      <c r="S73" s="84" t="str">
        <f>VLOOKUP(C73,'Train Runs'!$A$13:$AE$9930,22,0)</f>
        <v>https://d0f6bd738d7f1b3e5a7ca70fe4ff75f0.us-east-1.aws.found.io/app/kibana#/discover/Steve-Slow-Train-Analysis-(2080s-and-2083s)?_g=(refreshInterval:(display:Off,pause:!f,section:0,value:0),time:(from:'2017-06-30T09:51:32-0600',mode:absolute,to:'2017-06-30T12:36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73" s="86" t="str">
        <f t="shared" si="19"/>
        <v>"C:\Program Files (x86)\AstroGrep\AstroGrep.exe" /e /r /s /spath="%USERPROFILE%\AppData\Local\Temp\OnboardLogs" /stypes="*4020*201706301*" /stext=" 17:.+((SYSTEM_STATE.+slice.+state.+changed )|(ment ac)|(multiple cpu faults)|(system.+state.+changed )|(\[timeout)|(PRM\|1\|D)|(kpr)|(kdp)|(train st.+moving)|(\|lc)|(penalty))"</v>
      </c>
      <c r="U73" s="9" t="str">
        <f t="shared" si="20"/>
        <v>4020</v>
      </c>
      <c r="V73" s="31">
        <f t="shared" si="21"/>
        <v>42916.733807870369</v>
      </c>
      <c r="W73" s="45" t="str">
        <f t="shared" si="22"/>
        <v>Shuttle/Test</v>
      </c>
      <c r="X73" s="22">
        <f t="shared" si="23"/>
        <v>61</v>
      </c>
      <c r="Y73" s="96" t="str">
        <f t="shared" si="24"/>
        <v>echo {"issue":{"subject":"","project_id":79,"tracker_id":40,"status_id":1,"priority_id":2,"assigned_to_id":23,"start_date":"2017-06-30","description":"","custom_fields":[{"id":1,"name":"Subdivision","value":"Shuttle/Test"},{"id":4,"name":"Milepost","value":"11.2547"},{"id":17,"name":"Train ID","value":"61-30"},{"id":16,"name":"Locomotive ID","value":"4020"},{"id":130,"name":"Impact","value":""},{"id":150,"name":"Time of Event (Mountain Time)","value":"11:36:41"},{"id":151,"name":"Denver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3" s="159"/>
      <c r="AA73" s="47"/>
      <c r="AB73" s="47"/>
      <c r="AC73" s="115" t="str">
        <f t="shared" si="25"/>
        <v>grep -hrE -A400 "Enforcement Action" /c/Users/stu/AppData/Local/Temp/OnboardLogs/RTDC4020 --include="*4020*201706301*" | grep -E "((Enforcement Ac)|(PRM))" -</v>
      </c>
      <c r="AD73" s="1" t="str">
        <f>"grep -hSE ""Enforcement Action"" "&amp;search_path&amp;"\RTDC"&amp;U73&amp;"\*"&amp;U73&amp;"*"&amp;TEXT(A73-utc_offset/24,"YYYYMMDD")&amp;LEFT(TEXT(A73-utc_offset/24,"HH"),1)&amp;"* &gt;&gt; "&amp;TEXT(Variables!$A$2,"YYYY-MM-DD")&amp;"-SliceDisagreementCheck.txt"</f>
        <v>grep -hSE "Enforcement Action" "%USERPROFILE%\AppData\Local\Temp\OnboardLogs"\RTDC4020\*4020*201706301* &gt;&gt; 2017-06-30-SliceDisagreementCheck.txt</v>
      </c>
      <c r="AE73" s="145" t="str">
        <f t="shared" si="26"/>
        <v>start /low /b %USERPROFILE%\Documents\GitHub\eaglep3\Utilities\DownloadLogsFromS3.py --loco 4020 --day 2017-06-30</v>
      </c>
      <c r="AF73" s="1"/>
    </row>
    <row r="74" spans="1:32" x14ac:dyDescent="0.25">
      <c r="A74" s="31">
        <v>42916.538101851853</v>
      </c>
      <c r="B74" s="30" t="s">
        <v>519</v>
      </c>
      <c r="C74" s="30" t="s">
        <v>603</v>
      </c>
      <c r="D74" s="30" t="s">
        <v>49</v>
      </c>
      <c r="E74" s="30" t="s">
        <v>181</v>
      </c>
      <c r="F74" s="42">
        <v>0</v>
      </c>
      <c r="G74" s="42">
        <v>9</v>
      </c>
      <c r="H74" s="42">
        <v>112538</v>
      </c>
      <c r="I74" s="42">
        <v>112538</v>
      </c>
      <c r="J74" s="30" t="s">
        <v>182</v>
      </c>
      <c r="K74" s="42">
        <v>112547</v>
      </c>
      <c r="L74" s="131" t="s">
        <v>50</v>
      </c>
      <c r="M74" s="132">
        <f t="shared" si="18"/>
        <v>4.7519999999999998</v>
      </c>
      <c r="N74" s="133" t="str">
        <f>VLOOKUP(C74,'Trips&amp;Operators'!$C$1:$G$99999,5,FALSE)</f>
        <v>ROCHA YAOTL</v>
      </c>
      <c r="O74" s="203" t="s">
        <v>180</v>
      </c>
      <c r="P74" s="134"/>
      <c r="Q74" s="30"/>
      <c r="R74" s="81" t="str">
        <f>VLOOKUP(C74,'Train Runs'!$A$13:$AE$9930,31,0)</f>
        <v>aws s3 cp s3://rtdc.mdm.uploadarchive.raw/RTDC4027/ "%USERPROFILE%\AppData\Local\Temp\OnboardLogs"\RTDC4027\2017-06-30 --exclude "*" --recursive --include "*20170630*" &amp; "%USERPROFILE%\Documents\GitHub\mrs-test-scripts\Headless Mode &amp; Sideloading\WalkAndUnGZ.bat" "%USERPROFILE%\AppData\Local\Temp\OnboardLogs"\RTDC4027\2017-06-30 &amp; aws s3 cp s3://rtdc.mdm.uploadarchive.raw/RTDC4027/ "%USERPROFILE%\AppData\Local\Temp\OnboardLogs"\RTDC4027\2017-07-01 --exclude "*" --recursive --include "*20170701*" &amp; "%USERPROFILE%\Documents\GitHub\mrs-test-scripts\Headless Mode &amp; Sideloading\WalkAndUnGZ.bat" "%USERPROFILE%\AppData\Local\Temp\OnboardLogs"\RTDC4027\2017-07-01</v>
      </c>
      <c r="S74" s="84" t="str">
        <f>VLOOKUP(C74,'Train Runs'!$A$13:$AE$9930,22,0)</f>
        <v>https://d0f6bd738d7f1b3e5a7ca70fe4ff75f0.us-east-1.aws.found.io/app/kibana#/discover/Steve-Slow-Train-Analysis-(2080s-and-2083s)?_g=(refreshInterval:(display:Off,pause:!f,section:0,value:0),time:(from:'2017-06-30T08:33:25-0600',mode:absolute,to:'2017-06-30T10:43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74" s="86" t="str">
        <f t="shared" si="19"/>
        <v>"C:\Program Files (x86)\AstroGrep\AstroGrep.exe" /e /r /s /spath="%USERPROFILE%\AppData\Local\Temp\OnboardLogs" /stypes="*4064*201706301*" /stext=" 18:.+((SYSTEM_STATE.+slice.+state.+changed )|(ment ac)|(multiple cpu faults)|(system.+state.+changed )|(\[timeout)|(PRM\|1\|D)|(kpr)|(kdp)|(train st.+moving)|(\|lc)|(penalty))"</v>
      </c>
      <c r="U74" s="9" t="str">
        <f t="shared" si="20"/>
        <v>4064</v>
      </c>
      <c r="V74" s="31">
        <f t="shared" si="21"/>
        <v>42916.788101851853</v>
      </c>
      <c r="W74" s="45" t="str">
        <f t="shared" si="22"/>
        <v>Shuttle/Test</v>
      </c>
      <c r="X74" s="22">
        <f t="shared" si="23"/>
        <v>67</v>
      </c>
      <c r="Y74" s="96" t="str">
        <f t="shared" si="24"/>
        <v>echo {"issue":{"subject":"","project_id":79,"tracker_id":40,"status_id":1,"priority_id":2,"assigned_to_id":23,"start_date":"2017-06-30","description":"","custom_fields":[{"id":1,"name":"Subdivision","value":"Shuttle/Test"},{"id":4,"name":"Milepost","value":"11.2547"},{"id":17,"name":"Train ID","value":"67-30"},{"id":16,"name":"Locomotive ID","value":"4064"},{"id":130,"name":"Impact","value":""},{"id":150,"name":"Time of Event (Mountain Time)","value":"12:54:52"},{"id":151,"name":"Denver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4" s="159"/>
      <c r="AA74" s="47"/>
      <c r="AB74" s="47"/>
      <c r="AC74" s="115" t="str">
        <f t="shared" si="25"/>
        <v>grep -hrE -A400 "Enforcement Action" /c/Users/stu/AppData/Local/Temp/OnboardLogs/RTDC4064 --include="*4064*201706301*" | grep -E "((Enforcement Ac)|(PRM))" -</v>
      </c>
      <c r="AD74" s="1" t="str">
        <f>"grep -hSE ""Enforcement Action"" "&amp;search_path&amp;"\RTDC"&amp;U74&amp;"\*"&amp;U74&amp;"*"&amp;TEXT(A74-utc_offset/24,"YYYYMMDD")&amp;LEFT(TEXT(A74-utc_offset/24,"HH"),1)&amp;"* &gt;&gt; "&amp;TEXT(Variables!$A$2,"YYYY-MM-DD")&amp;"-SliceDisagreementCheck.txt"</f>
        <v>grep -hSE "Enforcement Action" "%USERPROFILE%\AppData\Local\Temp\OnboardLogs"\RTDC4064\*4064*201706301* &gt;&gt; 2017-06-30-SliceDisagreementCheck.txt</v>
      </c>
      <c r="AE74" s="145" t="str">
        <f t="shared" si="26"/>
        <v>start /low /b %USERPROFILE%\Documents\GitHub\eaglep3\Utilities\DownloadLogsFromS3.py --loco 4064 --day 2017-06-30</v>
      </c>
      <c r="AF74" s="1"/>
    </row>
    <row r="75" spans="1:32" x14ac:dyDescent="0.25">
      <c r="A75" s="31">
        <v>42916.577835648146</v>
      </c>
      <c r="B75" s="30" t="s">
        <v>519</v>
      </c>
      <c r="C75" s="30" t="s">
        <v>606</v>
      </c>
      <c r="D75" s="30" t="s">
        <v>49</v>
      </c>
      <c r="E75" s="30" t="s">
        <v>181</v>
      </c>
      <c r="F75" s="42">
        <v>0</v>
      </c>
      <c r="G75" s="42">
        <v>23</v>
      </c>
      <c r="H75" s="42">
        <v>112489</v>
      </c>
      <c r="I75" s="42">
        <v>112509</v>
      </c>
      <c r="J75" s="30" t="s">
        <v>182</v>
      </c>
      <c r="K75" s="42">
        <v>112547</v>
      </c>
      <c r="L75" s="131" t="s">
        <v>50</v>
      </c>
      <c r="M75" s="132">
        <f t="shared" si="18"/>
        <v>20.064</v>
      </c>
      <c r="N75" s="133" t="str">
        <f>VLOOKUP(C75,'Trips&amp;Operators'!$C$1:$G$99999,5,FALSE)</f>
        <v>BERLING GARY</v>
      </c>
      <c r="O75" s="203" t="s">
        <v>180</v>
      </c>
      <c r="P75" s="134"/>
      <c r="Q75" s="30"/>
      <c r="R75" s="81" t="str">
        <f>VLOOKUP(C75,'Train Runs'!$A$13:$AE$9930,31,0)</f>
        <v>aws s3 cp s3://rtdc.mdm.uploadarchive.raw/RTDC4063/ "%USERPROFILE%\AppData\Local\Temp\OnboardLogs"\RTDC4063\2017-06-30 --exclude "*" --recursive --include "*20170630*" &amp; "%USERPROFILE%\Documents\GitHub\mrs-test-scripts\Headless Mode &amp; Sideloading\WalkAndUnGZ.bat" "%USERPROFILE%\AppData\Local\Temp\OnboardLogs"\RTDC4063\2017-06-30 &amp; aws s3 cp s3://rtdc.mdm.uploadarchive.raw/RTDC4063/ "%USERPROFILE%\AppData\Local\Temp\OnboardLogs"\RTDC4063\2017-07-01 --exclude "*" --recursive --include "*20170701*" &amp; "%USERPROFILE%\Documents\GitHub\mrs-test-scripts\Headless Mode &amp; Sideloading\WalkAndUnGZ.bat" "%USERPROFILE%\AppData\Local\Temp\OnboardLogs"\RTDC4063\2017-07-01</v>
      </c>
      <c r="S75" s="84" t="str">
        <f>VLOOKUP(C75,'Train Runs'!$A$13:$AE$9930,22,0)</f>
        <v>https://d0f6bd738d7f1b3e5a7ca70fe4ff75f0.us-east-1.aws.found.io/app/kibana#/discover/Steve-Slow-Train-Analysis-(2080s-and-2083s)?_g=(refreshInterval:(display:Off,pause:!f,section:0,value:0),time:(from:'2017-06-30T13:07:23-0600',mode:absolute,to:'2017-06-30T15:29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75" s="86" t="str">
        <f t="shared" si="19"/>
        <v>"C:\Program Files (x86)\AstroGrep\AstroGrep.exe" /e /r /s /spath="%USERPROFILE%\AppData\Local\Temp\OnboardLogs" /stypes="*4064*201706301*" /stext=" 19:.+((SYSTEM_STATE.+slice.+state.+changed )|(ment ac)|(multiple cpu faults)|(system.+state.+changed )|(\[timeout)|(PRM\|1\|D)|(kpr)|(kdp)|(train st.+moving)|(\|lc)|(penalty))"</v>
      </c>
      <c r="U75" s="9" t="str">
        <f t="shared" si="20"/>
        <v>4064</v>
      </c>
      <c r="V75" s="31">
        <f t="shared" si="21"/>
        <v>42916.827835648146</v>
      </c>
      <c r="W75" s="45" t="str">
        <f t="shared" si="22"/>
        <v>Shuttle/Test</v>
      </c>
      <c r="X75" s="22">
        <f t="shared" si="23"/>
        <v>69</v>
      </c>
      <c r="Y75" s="96" t="str">
        <f t="shared" si="24"/>
        <v>echo {"issue":{"subject":"","project_id":79,"tracker_id":40,"status_id":1,"priority_id":2,"assigned_to_id":23,"start_date":"2017-06-30","description":"","custom_fields":[{"id":1,"name":"Subdivision","value":"Shuttle/Test"},{"id":4,"name":"Milepost","value":"11.2547"},{"id":17,"name":"Train ID","value":"69-30"},{"id":16,"name":"Locomotive ID","value":"4064"},{"id":130,"name":"Impact","value":""},{"id":150,"name":"Time of Event (Mountain Time)","value":"13:52:05"},{"id":151,"name":"Denver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5" s="159"/>
      <c r="AA75" s="47"/>
      <c r="AB75" s="47"/>
      <c r="AC75" s="115" t="str">
        <f t="shared" si="25"/>
        <v>grep -hrE -A400 "Enforcement Action" /c/Users/stu/AppData/Local/Temp/OnboardLogs/RTDC4064 --include="*4064*201706301*" | grep -E "((Enforcement Ac)|(PRM))" -</v>
      </c>
      <c r="AD75" s="1" t="str">
        <f>"grep -hSE ""Enforcement Action"" "&amp;search_path&amp;"\RTDC"&amp;U75&amp;"\*"&amp;U75&amp;"*"&amp;TEXT(A75-utc_offset/24,"YYYYMMDD")&amp;LEFT(TEXT(A75-utc_offset/24,"HH"),1)&amp;"* &gt;&gt; "&amp;TEXT(Variables!$A$2,"YYYY-MM-DD")&amp;"-SliceDisagreementCheck.txt"</f>
        <v>grep -hSE "Enforcement Action" "%USERPROFILE%\AppData\Local\Temp\OnboardLogs"\RTDC4064\*4064*201706301* &gt;&gt; 2017-06-30-SliceDisagreementCheck.txt</v>
      </c>
      <c r="AE75" s="145" t="str">
        <f t="shared" si="26"/>
        <v>start /low /b %USERPROFILE%\Documents\GitHub\eaglep3\Utilities\DownloadLogsFromS3.py --loco 4064 --day 2017-06-30</v>
      </c>
      <c r="AF75" s="1"/>
    </row>
    <row r="76" spans="1:32" x14ac:dyDescent="0.25">
      <c r="A76" s="31">
        <v>42916.578263888892</v>
      </c>
      <c r="B76" s="30" t="s">
        <v>519</v>
      </c>
      <c r="C76" s="30" t="s">
        <v>606</v>
      </c>
      <c r="D76" s="30" t="s">
        <v>96</v>
      </c>
      <c r="E76" s="30" t="s">
        <v>181</v>
      </c>
      <c r="F76" s="42">
        <v>0</v>
      </c>
      <c r="G76" s="42">
        <v>9</v>
      </c>
      <c r="H76" s="42">
        <v>112549</v>
      </c>
      <c r="I76" s="42">
        <v>0</v>
      </c>
      <c r="J76" s="30" t="s">
        <v>182</v>
      </c>
      <c r="K76" s="42">
        <v>112547</v>
      </c>
      <c r="L76" s="131" t="s">
        <v>50</v>
      </c>
      <c r="M76" s="132">
        <f t="shared" si="18"/>
        <v>59424.815999999999</v>
      </c>
      <c r="N76" s="133" t="str">
        <f>VLOOKUP(C76,'Trips&amp;Operators'!$C$1:$G$99999,5,FALSE)</f>
        <v>BERLING GARY</v>
      </c>
      <c r="O76" s="203" t="s">
        <v>180</v>
      </c>
      <c r="P76" s="134"/>
      <c r="Q76" s="30"/>
      <c r="R76" s="81" t="str">
        <f>VLOOKUP(C76,'Train Runs'!$A$13:$AE$9930,31,0)</f>
        <v>aws s3 cp s3://rtdc.mdm.uploadarchive.raw/RTDC4063/ "%USERPROFILE%\AppData\Local\Temp\OnboardLogs"\RTDC4063\2017-06-30 --exclude "*" --recursive --include "*20170630*" &amp; "%USERPROFILE%\Documents\GitHub\mrs-test-scripts\Headless Mode &amp; Sideloading\WalkAndUnGZ.bat" "%USERPROFILE%\AppData\Local\Temp\OnboardLogs"\RTDC4063\2017-06-30 &amp; aws s3 cp s3://rtdc.mdm.uploadarchive.raw/RTDC4063/ "%USERPROFILE%\AppData\Local\Temp\OnboardLogs"\RTDC4063\2017-07-01 --exclude "*" --recursive --include "*20170701*" &amp; "%USERPROFILE%\Documents\GitHub\mrs-test-scripts\Headless Mode &amp; Sideloading\WalkAndUnGZ.bat" "%USERPROFILE%\AppData\Local\Temp\OnboardLogs"\RTDC4063\2017-07-01</v>
      </c>
      <c r="S76" s="84" t="str">
        <f>VLOOKUP(C76,'Train Runs'!$A$13:$AE$9930,22,0)</f>
        <v>https://d0f6bd738d7f1b3e5a7ca70fe4ff75f0.us-east-1.aws.found.io/app/kibana#/discover/Steve-Slow-Train-Analysis-(2080s-and-2083s)?_g=(refreshInterval:(display:Off,pause:!f,section:0,value:0),time:(from:'2017-06-30T13:07:23-0600',mode:absolute,to:'2017-06-30T15:29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76" s="86" t="str">
        <f t="shared" si="19"/>
        <v>"C:\Program Files (x86)\AstroGrep\AstroGrep.exe" /e /r /s /spath="%USERPROFILE%\AppData\Local\Temp\OnboardLogs" /stypes="*4064*201706301*" /stext=" 19:.+((SYSTEM_STATE.+slice.+state.+changed )|(ment ac)|(multiple cpu faults)|(system.+state.+changed )|(\[timeout)|(PRM\|1\|D)|(kpr)|(kdp)|(train st.+moving)|(\|lc)|(penalty))"</v>
      </c>
      <c r="U76" s="9" t="str">
        <f t="shared" si="20"/>
        <v>4064</v>
      </c>
      <c r="V76" s="31">
        <f t="shared" si="21"/>
        <v>42916.828263888892</v>
      </c>
      <c r="W76" s="45" t="str">
        <f t="shared" si="22"/>
        <v>Shuttle/Test</v>
      </c>
      <c r="X76" s="22">
        <f t="shared" si="23"/>
        <v>69</v>
      </c>
      <c r="Y76" s="96" t="str">
        <f t="shared" si="24"/>
        <v>echo {"issue":{"subject":"","project_id":79,"tracker_id":40,"status_id":1,"priority_id":2,"assigned_to_id":23,"start_date":"2017-06-30","description":"","custom_fields":[{"id":1,"name":"Subdivision","value":"Shuttle/Test"},{"id":4,"name":"Milepost","value":"11.2547"},{"id":17,"name":"Train ID","value":"69-30"},{"id":16,"name":"Locomotive ID","value":"4064"},{"id":130,"name":"Impact","value":""},{"id":150,"name":"Time of Event (Mountain Time)","value":"13:52:42"},{"id":151,"name":"Denver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6" s="159"/>
      <c r="AA76" s="47"/>
      <c r="AB76" s="47"/>
      <c r="AC76" s="115" t="str">
        <f t="shared" si="25"/>
        <v>grep -hrE -A400 "Enforcement Action" /c/Users/stu/AppData/Local/Temp/OnboardLogs/RTDC4064 --include="*4064*201706301*" | grep -E "((Enforcement Ac)|(PRM))" -</v>
      </c>
      <c r="AD76" s="1" t="str">
        <f>"grep -hSE ""Enforcement Action"" "&amp;search_path&amp;"\RTDC"&amp;U76&amp;"\*"&amp;U76&amp;"*"&amp;TEXT(A76-utc_offset/24,"YYYYMMDD")&amp;LEFT(TEXT(A76-utc_offset/24,"HH"),1)&amp;"* &gt;&gt; "&amp;TEXT(Variables!$A$2,"YYYY-MM-DD")&amp;"-SliceDisagreementCheck.txt"</f>
        <v>grep -hSE "Enforcement Action" "%USERPROFILE%\AppData\Local\Temp\OnboardLogs"\RTDC4064\*4064*201706301* &gt;&gt; 2017-06-30-SliceDisagreementCheck.txt</v>
      </c>
      <c r="AE76" s="145" t="str">
        <f t="shared" si="26"/>
        <v>start /low /b %USERPROFILE%\Documents\GitHub\eaglep3\Utilities\DownloadLogsFromS3.py --loco 4064 --day 2017-06-30</v>
      </c>
      <c r="AF76" s="1"/>
    </row>
    <row r="77" spans="1:32" x14ac:dyDescent="0.25">
      <c r="A77" s="31">
        <v>42916.627870370372</v>
      </c>
      <c r="B77" s="30" t="s">
        <v>519</v>
      </c>
      <c r="C77" s="30" t="s">
        <v>613</v>
      </c>
      <c r="D77" s="30" t="s">
        <v>96</v>
      </c>
      <c r="E77" s="30" t="s">
        <v>181</v>
      </c>
      <c r="F77" s="42">
        <v>0</v>
      </c>
      <c r="G77" s="42">
        <v>6</v>
      </c>
      <c r="H77" s="42">
        <v>112547</v>
      </c>
      <c r="I77" s="42">
        <v>112549</v>
      </c>
      <c r="J77" s="30" t="s">
        <v>182</v>
      </c>
      <c r="K77" s="42">
        <v>112547</v>
      </c>
      <c r="L77" s="131" t="s">
        <v>50</v>
      </c>
      <c r="M77" s="132">
        <f t="shared" si="18"/>
        <v>-1.056</v>
      </c>
      <c r="N77" s="133" t="str">
        <f>VLOOKUP(C77,'Trips&amp;Operators'!$C$1:$G$99999,5,FALSE)</f>
        <v>ZEWDU DEREJE</v>
      </c>
      <c r="O77" s="203" t="s">
        <v>180</v>
      </c>
      <c r="P77" s="134"/>
      <c r="Q77" s="30"/>
      <c r="R77" s="81" t="str">
        <f>VLOOKUP(C77,'Train Runs'!$A$13:$AE$9930,31,0)</f>
        <v>aws s3 cp s3://rtdc.mdm.uploadarchive.raw/RTDC4063/ "%USERPROFILE%\AppData\Local\Temp\OnboardLogs"\RTDC4063\2017-06-30 --exclude "*" --recursive --include "*20170630*" &amp; "%USERPROFILE%\Documents\GitHub\mrs-test-scripts\Headless Mode &amp; Sideloading\WalkAndUnGZ.bat" "%USERPROFILE%\AppData\Local\Temp\OnboardLogs"\RTDC4063\2017-06-30 &amp; aws s3 cp s3://rtdc.mdm.uploadarchive.raw/RTDC4063/ "%USERPROFILE%\AppData\Local\Temp\OnboardLogs"\RTDC4063\2017-07-01 --exclude "*" --recursive --include "*20170701*" &amp; "%USERPROFILE%\Documents\GitHub\mrs-test-scripts\Headless Mode &amp; Sideloading\WalkAndUnGZ.bat" "%USERPROFILE%\AppData\Local\Temp\OnboardLogs"\RTDC4063\2017-07-01</v>
      </c>
      <c r="S77" s="84" t="str">
        <f>VLOOKUP(C77,'Train Runs'!$A$13:$AE$9930,22,0)</f>
        <v>https://d0f6bd738d7f1b3e5a7ca70fe4ff75f0.us-east-1.aws.found.io/app/kibana#/discover/Steve-Slow-Train-Analysis-(2080s-and-2083s)?_g=(refreshInterval:(display:Off,pause:!f,section:0,value:0),time:(from:'2017-06-30T14:08:07-0600',mode:absolute,to:'2017-06-30T16:48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77" s="86" t="str">
        <f t="shared" si="19"/>
        <v>"C:\Program Files (x86)\AstroGrep\AstroGrep.exe" /e /r /s /spath="%USERPROFILE%\AppData\Local\Temp\OnboardLogs" /stypes="*4064*201706302*" /stext=" 21:.+((SYSTEM_STATE.+slice.+state.+changed )|(ment ac)|(multiple cpu faults)|(system.+state.+changed )|(\[timeout)|(PRM\|1\|D)|(kpr)|(kdp)|(train st.+moving)|(\|lc)|(penalty))"</v>
      </c>
      <c r="U77" s="9" t="str">
        <f t="shared" si="20"/>
        <v>4064</v>
      </c>
      <c r="V77" s="31">
        <f t="shared" si="21"/>
        <v>42916.877870370372</v>
      </c>
      <c r="W77" s="45" t="str">
        <f t="shared" si="22"/>
        <v>Shuttle/Test</v>
      </c>
      <c r="X77" s="22">
        <f t="shared" si="23"/>
        <v>71</v>
      </c>
      <c r="Y77" s="96" t="str">
        <f t="shared" si="24"/>
        <v>echo {"issue":{"subject":"","project_id":79,"tracker_id":40,"status_id":1,"priority_id":2,"assigned_to_id":23,"start_date":"2017-06-30","description":"","custom_fields":[{"id":1,"name":"Subdivision","value":"Shuttle/Test"},{"id":4,"name":"Milepost","value":"11.2547"},{"id":17,"name":"Train ID","value":"71-30"},{"id":16,"name":"Locomotive ID","value":"4064"},{"id":130,"name":"Impact","value":""},{"id":150,"name":"Time of Event (Mountain Time)","value":"15:04:08"},{"id":151,"name":"Denver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7" s="159"/>
      <c r="AA77" s="47"/>
      <c r="AB77" s="47"/>
      <c r="AC77" s="115" t="str">
        <f t="shared" si="25"/>
        <v>grep -hrE -A400 "Enforcement Action" /c/Users/stu/AppData/Local/Temp/OnboardLogs/RTDC4064 --include="*4064*201706302*" | grep -E "((Enforcement Ac)|(PRM))" -</v>
      </c>
      <c r="AD77" s="1" t="str">
        <f>"grep -hSE ""Enforcement Action"" "&amp;search_path&amp;"\RTDC"&amp;U77&amp;"\*"&amp;U77&amp;"*"&amp;TEXT(A77-utc_offset/24,"YYYYMMDD")&amp;LEFT(TEXT(A77-utc_offset/24,"HH"),1)&amp;"* &gt;&gt; "&amp;TEXT(Variables!$A$2,"YYYY-MM-DD")&amp;"-SliceDisagreementCheck.txt"</f>
        <v>grep -hSE "Enforcement Action" "%USERPROFILE%\AppData\Local\Temp\OnboardLogs"\RTDC4064\*4064*201706302* &gt;&gt; 2017-06-30-SliceDisagreementCheck.txt</v>
      </c>
      <c r="AE77" s="145" t="str">
        <f t="shared" si="26"/>
        <v>start /low /b %USERPROFILE%\Documents\GitHub\eaglep3\Utilities\DownloadLogsFromS3.py --loco 4064 --day 2017-06-30</v>
      </c>
      <c r="AF77" s="1"/>
    </row>
  </sheetData>
  <autoFilter ref="A6:AC74">
    <sortState ref="A7:AC77">
      <sortCondition ref="W7:W77"/>
      <sortCondition ref="E7:E77"/>
      <sortCondition ref="K7:K77"/>
      <sortCondition ref="F7:F77"/>
    </sortState>
  </autoFilter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7:O1048576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77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AA7:AA77</xm:sqref>
        </x14:dataValidation>
        <x14:dataValidation type="list" allowBlank="1" showInputMessage="1" showErrorMessage="1">
          <x14:formula1>
            <xm:f>'Redmine List Values'!$C$2:$C$15</xm:f>
          </x14:formula1>
          <xm:sqref>AB7:AB77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00"/>
  <sheetViews>
    <sheetView zoomScaleNormal="100" workbookViewId="0">
      <selection activeCell="A3" sqref="A3"/>
    </sheetView>
  </sheetViews>
  <sheetFormatPr defaultRowHeight="15" x14ac:dyDescent="0.25"/>
  <cols>
    <col min="1" max="1" width="9.140625" style="172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72"/>
      <c r="B1" s="217" t="str">
        <f>"Trips that did not appear in PTC Data "&amp;TEXT(Variables!$A$2,"YYYY-mm-dd")</f>
        <v>Trips that did not appear in PTC Data 2017-06-30</v>
      </c>
      <c r="C1" s="217"/>
      <c r="D1" s="217"/>
      <c r="E1" s="217"/>
      <c r="F1" s="217"/>
    </row>
    <row r="2" spans="1:10" s="23" customFormat="1" ht="45" x14ac:dyDescent="0.25">
      <c r="A2" s="199" t="s">
        <v>148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102</v>
      </c>
    </row>
    <row r="3" spans="1:10" x14ac:dyDescent="0.25">
      <c r="A3" s="195"/>
      <c r="B3" s="42" t="str">
        <f>A3&amp;"-"&amp;IF(DAY(Variables!$A$2)&lt;10,0,"")&amp;DAY(Variables!$A$2)</f>
        <v>-30</v>
      </c>
      <c r="C3" s="135"/>
      <c r="D3" s="153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5" t="str">
        <f t="shared" ref="I3:I23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3" s="30" t="e">
        <f>VLOOKUP(B3,'Train Runs'!$A$13:$A$99927,1,FALSE)</f>
        <v>#N/A</v>
      </c>
    </row>
    <row r="4" spans="1:10" x14ac:dyDescent="0.25">
      <c r="A4" s="195"/>
      <c r="B4" s="42" t="str">
        <f>A4&amp;"-"&amp;IF(DAY(Variables!$A$2)&lt;10,0,"")&amp;DAY(Variables!$A$2)</f>
        <v>-30</v>
      </c>
      <c r="C4" s="135"/>
      <c r="D4" s="153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4" s="30" t="e">
        <f>VLOOKUP(B4,'Train Runs'!$A$13:$A$99927,1,FALSE)</f>
        <v>#N/A</v>
      </c>
    </row>
    <row r="5" spans="1:10" x14ac:dyDescent="0.25">
      <c r="A5" s="195"/>
      <c r="B5" s="42" t="str">
        <f>A5&amp;"-"&amp;IF(DAY(Variables!$A$2)&lt;10,0,"")&amp;DAY(Variables!$A$2)</f>
        <v>-30</v>
      </c>
      <c r="C5" s="135"/>
      <c r="D5" s="153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5" s="30" t="e">
        <f>VLOOKUP(B5,'Train Runs'!$A$13:$A$99927,1,FALSE)</f>
        <v>#N/A</v>
      </c>
    </row>
    <row r="6" spans="1:10" x14ac:dyDescent="0.25">
      <c r="A6" s="195"/>
      <c r="B6" s="42" t="str">
        <f>A6&amp;"-"&amp;IF(DAY(Variables!$A$2)&lt;10,0,"")&amp;DAY(Variables!$A$2)</f>
        <v>-30</v>
      </c>
      <c r="C6" s="135"/>
      <c r="D6" s="153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6" s="30" t="e">
        <f>VLOOKUP(B6,'Train Runs'!$A$13:$A$99927,1,FALSE)</f>
        <v>#N/A</v>
      </c>
    </row>
    <row r="7" spans="1:10" x14ac:dyDescent="0.25">
      <c r="A7" s="195"/>
      <c r="B7" s="42" t="str">
        <f>A7&amp;"-"&amp;IF(DAY(Variables!$A$2)&lt;10,0,"")&amp;DAY(Variables!$A$2)</f>
        <v>-30</v>
      </c>
      <c r="C7" s="135"/>
      <c r="D7" s="153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7" s="30" t="e">
        <f>VLOOKUP(B7,'Train Runs'!$A$13:$A$99927,1,FALSE)</f>
        <v>#N/A</v>
      </c>
    </row>
    <row r="8" spans="1:10" x14ac:dyDescent="0.25">
      <c r="A8" s="195"/>
      <c r="B8" s="42" t="str">
        <f>A8&amp;"-"&amp;IF(DAY(Variables!$A$2)&lt;10,0,"")&amp;DAY(Variables!$A$2)</f>
        <v>-30</v>
      </c>
      <c r="C8" s="135"/>
      <c r="D8" s="153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8" s="30" t="e">
        <f>VLOOKUP(B8,'Train Runs'!$A$13:$A$99927,1,FALSE)</f>
        <v>#N/A</v>
      </c>
    </row>
    <row r="9" spans="1:10" x14ac:dyDescent="0.25">
      <c r="A9" s="195"/>
      <c r="B9" s="42" t="str">
        <f>A9&amp;"-"&amp;IF(DAY(Variables!$A$2)&lt;10,0,"")&amp;DAY(Variables!$A$2)</f>
        <v>-30</v>
      </c>
      <c r="C9" s="135"/>
      <c r="D9" s="153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9" s="30" t="e">
        <f>VLOOKUP(B9,'Train Runs'!$A$13:$A$99927,1,FALSE)</f>
        <v>#N/A</v>
      </c>
    </row>
    <row r="10" spans="1:10" x14ac:dyDescent="0.25">
      <c r="A10" s="195"/>
      <c r="B10" s="42" t="str">
        <f>A10&amp;"-"&amp;IF(DAY(Variables!$A$2)&lt;10,0,"")&amp;DAY(Variables!$A$2)</f>
        <v>-30</v>
      </c>
      <c r="C10" s="135"/>
      <c r="D10" s="153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0" s="30" t="e">
        <f>VLOOKUP(B10,'Train Runs'!$A$13:$A$99927,1,FALSE)</f>
        <v>#N/A</v>
      </c>
    </row>
    <row r="11" spans="1:10" x14ac:dyDescent="0.25">
      <c r="A11" s="195"/>
      <c r="B11" s="42" t="str">
        <f>A11&amp;"-"&amp;IF(DAY(Variables!$A$2)&lt;10,0,"")&amp;DAY(Variables!$A$2)</f>
        <v>-30</v>
      </c>
      <c r="C11" s="135"/>
      <c r="D11" s="153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1" s="30" t="e">
        <f>VLOOKUP(B11,'Train Runs'!$A$13:$A$99927,1,FALSE)</f>
        <v>#N/A</v>
      </c>
    </row>
    <row r="12" spans="1:10" x14ac:dyDescent="0.25">
      <c r="A12" s="195"/>
      <c r="B12" s="42" t="str">
        <f>A12&amp;"-"&amp;IF(DAY(Variables!$A$2)&lt;10,0,"")&amp;DAY(Variables!$A$2)</f>
        <v>-30</v>
      </c>
      <c r="C12" s="135"/>
      <c r="D12" s="153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2" s="30" t="e">
        <f>VLOOKUP(B12,'Train Runs'!$A$13:$A$99927,1,FALSE)</f>
        <v>#N/A</v>
      </c>
    </row>
    <row r="13" spans="1:10" x14ac:dyDescent="0.25">
      <c r="A13" s="195"/>
      <c r="B13" s="42" t="str">
        <f>A13&amp;"-"&amp;IF(DAY(Variables!$A$2)&lt;10,0,"")&amp;DAY(Variables!$A$2)</f>
        <v>-30</v>
      </c>
      <c r="C13" s="135"/>
      <c r="D13" s="153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3" s="30" t="e">
        <f>VLOOKUP(B13,'Train Runs'!$A$13:$A$99927,1,FALSE)</f>
        <v>#N/A</v>
      </c>
    </row>
    <row r="14" spans="1:10" x14ac:dyDescent="0.25">
      <c r="A14" s="195"/>
      <c r="B14" s="42" t="str">
        <f>A14&amp;"-"&amp;IF(DAY(Variables!$A$2)&lt;10,0,"")&amp;DAY(Variables!$A$2)</f>
        <v>-30</v>
      </c>
      <c r="C14" s="135"/>
      <c r="D14" s="153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4" s="30" t="e">
        <f>VLOOKUP(B14,'Train Runs'!$A$13:$A$99927,1,FALSE)</f>
        <v>#N/A</v>
      </c>
    </row>
    <row r="15" spans="1:10" x14ac:dyDescent="0.25">
      <c r="A15" s="195"/>
      <c r="B15" s="42" t="str">
        <f>A15&amp;"-"&amp;IF(DAY(Variables!$A$2)&lt;10,0,"")&amp;DAY(Variables!$A$2)</f>
        <v>-30</v>
      </c>
      <c r="C15" s="135"/>
      <c r="D15" s="153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5" s="30" t="e">
        <f>VLOOKUP(B15,'Train Runs'!$A$13:$A$99927,1,FALSE)</f>
        <v>#N/A</v>
      </c>
    </row>
    <row r="16" spans="1:10" x14ac:dyDescent="0.25">
      <c r="A16" s="195"/>
      <c r="B16" s="42" t="str">
        <f>A16&amp;"-"&amp;IF(DAY(Variables!$A$2)&lt;10,0,"")&amp;DAY(Variables!$A$2)</f>
        <v>-30</v>
      </c>
      <c r="C16" s="135"/>
      <c r="D16" s="153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6" s="30" t="e">
        <f>VLOOKUP(B16,'Train Runs'!$A$13:$A$99927,1,FALSE)</f>
        <v>#N/A</v>
      </c>
    </row>
    <row r="17" spans="1:10" x14ac:dyDescent="0.25">
      <c r="A17" s="195"/>
      <c r="B17" s="42" t="str">
        <f>A17&amp;"-"&amp;IF(DAY(Variables!$A$2)&lt;10,0,"")&amp;DAY(Variables!$A$2)</f>
        <v>-30</v>
      </c>
      <c r="C17" s="135"/>
      <c r="D17" s="153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7" s="30" t="e">
        <f>VLOOKUP(B17,'Train Runs'!$A$13:$A$99927,1,FALSE)</f>
        <v>#N/A</v>
      </c>
    </row>
    <row r="18" spans="1:10" x14ac:dyDescent="0.25">
      <c r="A18" s="195"/>
      <c r="B18" s="42" t="str">
        <f>A18&amp;"-"&amp;IF(DAY(Variables!$A$2)&lt;10,0,"")&amp;DAY(Variables!$A$2)</f>
        <v>-30</v>
      </c>
      <c r="C18" s="135"/>
      <c r="D18" s="153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8" s="30" t="e">
        <f>VLOOKUP(B18,'Train Runs'!$A$13:$A$99927,1,FALSE)</f>
        <v>#N/A</v>
      </c>
    </row>
    <row r="19" spans="1:10" x14ac:dyDescent="0.25">
      <c r="A19" s="195"/>
      <c r="B19" s="42" t="str">
        <f>A19&amp;"-"&amp;IF(DAY(Variables!$A$2)&lt;10,0,"")&amp;DAY(Variables!$A$2)</f>
        <v>-30</v>
      </c>
      <c r="C19" s="135"/>
      <c r="D19" s="153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9" s="30" t="e">
        <f>VLOOKUP(B19,'Train Runs'!$A$13:$A$99927,1,FALSE)</f>
        <v>#N/A</v>
      </c>
    </row>
    <row r="20" spans="1:10" x14ac:dyDescent="0.25">
      <c r="A20" s="195"/>
      <c r="B20" s="42" t="str">
        <f>A20&amp;"-"&amp;IF(DAY(Variables!$A$2)&lt;10,0,"")&amp;DAY(Variables!$A$2)</f>
        <v>-30</v>
      </c>
      <c r="C20" s="135"/>
      <c r="D20" s="153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20" s="30" t="e">
        <f>VLOOKUP(B20,'Train Runs'!$A$13:$A$99927,1,FALSE)</f>
        <v>#N/A</v>
      </c>
    </row>
    <row r="21" spans="1:10" x14ac:dyDescent="0.25">
      <c r="A21" s="195"/>
      <c r="B21" s="42" t="str">
        <f>A21&amp;"-"&amp;IF(DAY(Variables!$A$2)&lt;10,0,"")&amp;DAY(Variables!$A$2)</f>
        <v>-30</v>
      </c>
      <c r="C21" s="135"/>
      <c r="D21" s="153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21" s="30" t="e">
        <f>VLOOKUP(B21,'Train Runs'!$A$13:$A$99927,1,FALSE)</f>
        <v>#N/A</v>
      </c>
    </row>
    <row r="22" spans="1:10" x14ac:dyDescent="0.25">
      <c r="A22" s="195"/>
      <c r="B22" s="42" t="str">
        <f>A22&amp;"-"&amp;IF(DAY(Variables!$A$2)&lt;10,0,"")&amp;DAY(Variables!$A$2)</f>
        <v>-30</v>
      </c>
      <c r="C22" s="135"/>
      <c r="D22" s="153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22" s="30" t="e">
        <f>VLOOKUP(B22,'Train Runs'!$A$13:$A$99927,1,FALSE)</f>
        <v>#N/A</v>
      </c>
    </row>
    <row r="23" spans="1:10" x14ac:dyDescent="0.25">
      <c r="A23" s="195"/>
      <c r="B23" s="42" t="str">
        <f>A23&amp;"-"&amp;IF(DAY(Variables!$A$2)&lt;10,0,"")&amp;DAY(Variables!$A$2)</f>
        <v>-30</v>
      </c>
      <c r="C23" s="135"/>
      <c r="D23" s="153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23" s="30" t="e">
        <f>VLOOKUP(B23,'Train Runs'!$A$13:$A$99927,1,FALSE)</f>
        <v>#N/A</v>
      </c>
    </row>
    <row r="24" spans="1:10" x14ac:dyDescent="0.25">
      <c r="A24" s="195"/>
      <c r="B24" s="42" t="str">
        <f>A24&amp;"-"&amp;IF(DAY(Variables!$A$2)&lt;10,0,"")&amp;DAY(Variables!$A$2)</f>
        <v>-30</v>
      </c>
      <c r="C24" s="135"/>
      <c r="D24" s="153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5" t="str">
        <f t="shared" ref="I24:I44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24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24" s="30" t="e">
        <f>VLOOKUP(B24,'Train Runs'!$A$13:$A$99927,1,FALSE)</f>
        <v>#N/A</v>
      </c>
    </row>
    <row r="25" spans="1:10" x14ac:dyDescent="0.25">
      <c r="A25" s="195"/>
      <c r="B25" s="42" t="str">
        <f>A25&amp;"-"&amp;IF(DAY(Variables!$A$2)&lt;10,0,"")&amp;DAY(Variables!$A$2)</f>
        <v>-30</v>
      </c>
      <c r="C25" s="135"/>
      <c r="D25" s="153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25" s="30" t="e">
        <f>VLOOKUP(B25,'Train Runs'!$A$13:$A$99927,1,FALSE)</f>
        <v>#N/A</v>
      </c>
    </row>
    <row r="26" spans="1:10" x14ac:dyDescent="0.25">
      <c r="A26" s="195"/>
      <c r="B26" s="42" t="str">
        <f>A26&amp;"-"&amp;IF(DAY(Variables!$A$2)&lt;10,0,"")&amp;DAY(Variables!$A$2)</f>
        <v>-30</v>
      </c>
      <c r="C26" s="135"/>
      <c r="D26" s="153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26" s="30" t="e">
        <f>VLOOKUP(B26,'Train Runs'!$A$13:$A$99927,1,FALSE)</f>
        <v>#N/A</v>
      </c>
    </row>
    <row r="27" spans="1:10" x14ac:dyDescent="0.25">
      <c r="A27" s="195"/>
      <c r="B27" s="42" t="str">
        <f>A27&amp;"-"&amp;IF(DAY(Variables!$A$2)&lt;10,0,"")&amp;DAY(Variables!$A$2)</f>
        <v>-30</v>
      </c>
      <c r="C27" s="135"/>
      <c r="D27" s="153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27" s="30" t="e">
        <f>VLOOKUP(B27,'Train Runs'!$A$13:$A$99927,1,FALSE)</f>
        <v>#N/A</v>
      </c>
    </row>
    <row r="28" spans="1:10" x14ac:dyDescent="0.25">
      <c r="A28" s="195"/>
      <c r="B28" s="42" t="str">
        <f>A28&amp;"-"&amp;IF(DAY(Variables!$A$2)&lt;10,0,"")&amp;DAY(Variables!$A$2)</f>
        <v>-30</v>
      </c>
      <c r="C28" s="135"/>
      <c r="D28" s="153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28" s="30" t="e">
        <f>VLOOKUP(B28,'Train Runs'!$A$13:$A$99927,1,FALSE)</f>
        <v>#N/A</v>
      </c>
    </row>
    <row r="29" spans="1:10" x14ac:dyDescent="0.25">
      <c r="A29" s="195"/>
      <c r="B29" s="42" t="str">
        <f>A29&amp;"-"&amp;IF(DAY(Variables!$A$2)&lt;10,0,"")&amp;DAY(Variables!$A$2)</f>
        <v>-30</v>
      </c>
      <c r="C29" s="135"/>
      <c r="D29" s="153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29" s="30" t="e">
        <f>VLOOKUP(B29,'Train Runs'!$A$13:$A$99927,1,FALSE)</f>
        <v>#N/A</v>
      </c>
    </row>
    <row r="30" spans="1:10" x14ac:dyDescent="0.25">
      <c r="A30" s="195"/>
      <c r="B30" s="42" t="str">
        <f>A30&amp;"-"&amp;IF(DAY(Variables!$A$2)&lt;10,0,"")&amp;DAY(Variables!$A$2)</f>
        <v>-30</v>
      </c>
      <c r="C30" s="135"/>
      <c r="D30" s="153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30" s="30" t="e">
        <f>VLOOKUP(B30,'Train Runs'!$A$13:$A$99927,1,FALSE)</f>
        <v>#N/A</v>
      </c>
    </row>
    <row r="31" spans="1:10" x14ac:dyDescent="0.25">
      <c r="A31" s="195"/>
      <c r="B31" s="42" t="str">
        <f>A31&amp;"-"&amp;IF(DAY(Variables!$A$2)&lt;10,0,"")&amp;DAY(Variables!$A$2)</f>
        <v>-30</v>
      </c>
      <c r="C31" s="135"/>
      <c r="D31" s="153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31" s="30" t="e">
        <f>VLOOKUP(B31,'Train Runs'!$A$13:$A$99927,1,FALSE)</f>
        <v>#N/A</v>
      </c>
    </row>
    <row r="32" spans="1:10" x14ac:dyDescent="0.25">
      <c r="A32" s="195"/>
      <c r="B32" s="42" t="str">
        <f>A32&amp;"-"&amp;IF(DAY(Variables!$A$2)&lt;10,0,"")&amp;DAY(Variables!$A$2)</f>
        <v>-30</v>
      </c>
      <c r="C32" s="135"/>
      <c r="D32" s="153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32" s="30" t="e">
        <f>VLOOKUP(B32,'Train Runs'!$A$13:$A$99927,1,FALSE)</f>
        <v>#N/A</v>
      </c>
    </row>
    <row r="33" spans="1:10" x14ac:dyDescent="0.25">
      <c r="A33" s="195"/>
      <c r="B33" s="42" t="str">
        <f>A33&amp;"-"&amp;IF(DAY(Variables!$A$2)&lt;10,0,"")&amp;DAY(Variables!$A$2)</f>
        <v>-30</v>
      </c>
      <c r="C33" s="135"/>
      <c r="D33" s="153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33" s="30" t="e">
        <f>VLOOKUP(B33,'Train Runs'!$A$13:$A$99927,1,FALSE)</f>
        <v>#N/A</v>
      </c>
    </row>
    <row r="34" spans="1:10" x14ac:dyDescent="0.25">
      <c r="A34" s="195"/>
      <c r="B34" s="42" t="str">
        <f>A34&amp;"-"&amp;IF(DAY(Variables!$A$2)&lt;10,0,"")&amp;DAY(Variables!$A$2)</f>
        <v>-30</v>
      </c>
      <c r="C34" s="135"/>
      <c r="D34" s="153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34" s="30" t="e">
        <f>VLOOKUP(B34,'Train Runs'!$A$13:$A$99927,1,FALSE)</f>
        <v>#N/A</v>
      </c>
    </row>
    <row r="35" spans="1:10" x14ac:dyDescent="0.25">
      <c r="A35" s="195"/>
      <c r="B35" s="42" t="str">
        <f>A35&amp;"-"&amp;IF(DAY(Variables!$A$2)&lt;10,0,"")&amp;DAY(Variables!$A$2)</f>
        <v>-30</v>
      </c>
      <c r="C35" s="135"/>
      <c r="D35" s="153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35" s="30" t="e">
        <f>VLOOKUP(B35,'Train Runs'!$A$13:$A$99927,1,FALSE)</f>
        <v>#N/A</v>
      </c>
    </row>
    <row r="36" spans="1:10" x14ac:dyDescent="0.25">
      <c r="A36" s="195"/>
      <c r="B36" s="42" t="str">
        <f>A36&amp;"-"&amp;IF(DAY(Variables!$A$2)&lt;10,0,"")&amp;DAY(Variables!$A$2)</f>
        <v>-30</v>
      </c>
      <c r="C36" s="135"/>
      <c r="D36" s="153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36" s="30" t="e">
        <f>VLOOKUP(B36,'Train Runs'!$A$13:$A$99927,1,FALSE)</f>
        <v>#N/A</v>
      </c>
    </row>
    <row r="37" spans="1:10" x14ac:dyDescent="0.25">
      <c r="A37" s="195"/>
      <c r="B37" s="42" t="str">
        <f>A37&amp;"-"&amp;IF(DAY(Variables!$A$2)&lt;10,0,"")&amp;DAY(Variables!$A$2)</f>
        <v>-30</v>
      </c>
      <c r="C37" s="135"/>
      <c r="D37" s="153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37" s="30" t="e">
        <f>VLOOKUP(B37,'Train Runs'!$A$13:$A$99927,1,FALSE)</f>
        <v>#N/A</v>
      </c>
    </row>
    <row r="38" spans="1:10" x14ac:dyDescent="0.25">
      <c r="A38" s="195"/>
      <c r="B38" s="42" t="str">
        <f>A38&amp;"-"&amp;IF(DAY(Variables!$A$2)&lt;10,0,"")&amp;DAY(Variables!$A$2)</f>
        <v>-30</v>
      </c>
      <c r="C38" s="135"/>
      <c r="D38" s="153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38" s="30" t="e">
        <f>VLOOKUP(B38,'Train Runs'!$A$13:$A$99927,1,FALSE)</f>
        <v>#N/A</v>
      </c>
    </row>
    <row r="39" spans="1:10" x14ac:dyDescent="0.25">
      <c r="A39" s="195"/>
      <c r="B39" s="42" t="str">
        <f>A39&amp;"-"&amp;IF(DAY(Variables!$A$2)&lt;10,0,"")&amp;DAY(Variables!$A$2)</f>
        <v>-30</v>
      </c>
      <c r="C39" s="135"/>
      <c r="D39" s="153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39" s="30" t="e">
        <f>VLOOKUP(B39,'Train Runs'!$A$13:$A$99927,1,FALSE)</f>
        <v>#N/A</v>
      </c>
    </row>
    <row r="40" spans="1:10" x14ac:dyDescent="0.25">
      <c r="A40" s="195"/>
      <c r="B40" s="42" t="str">
        <f>A40&amp;"-"&amp;IF(DAY(Variables!$A$2)&lt;10,0,"")&amp;DAY(Variables!$A$2)</f>
        <v>-30</v>
      </c>
      <c r="C40" s="135"/>
      <c r="D40" s="153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40" s="30" t="e">
        <f>VLOOKUP(B40,'Train Runs'!$A$13:$A$99927,1,FALSE)</f>
        <v>#N/A</v>
      </c>
    </row>
    <row r="41" spans="1:10" x14ac:dyDescent="0.25">
      <c r="A41" s="195"/>
      <c r="B41" s="42" t="str">
        <f>A41&amp;"-"&amp;IF(DAY(Variables!$A$2)&lt;10,0,"")&amp;DAY(Variables!$A$2)</f>
        <v>-30</v>
      </c>
      <c r="C41" s="135"/>
      <c r="D41" s="153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41" s="30" t="e">
        <f>VLOOKUP(B41,'Train Runs'!$A$13:$A$99927,1,FALSE)</f>
        <v>#N/A</v>
      </c>
    </row>
    <row r="42" spans="1:10" x14ac:dyDescent="0.25">
      <c r="A42" s="195"/>
      <c r="B42" s="42" t="str">
        <f>A42&amp;"-"&amp;IF(DAY(Variables!$A$2)&lt;10,0,"")&amp;DAY(Variables!$A$2)</f>
        <v>-30</v>
      </c>
      <c r="C42" s="135"/>
      <c r="D42" s="153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42" s="30" t="e">
        <f>VLOOKUP(B42,'Train Runs'!$A$13:$A$99927,1,FALSE)</f>
        <v>#N/A</v>
      </c>
    </row>
    <row r="43" spans="1:10" x14ac:dyDescent="0.25">
      <c r="A43" s="195"/>
      <c r="B43" s="42" t="str">
        <f>A43&amp;"-"&amp;IF(DAY(Variables!$A$2)&lt;10,0,"")&amp;DAY(Variables!$A$2)</f>
        <v>-30</v>
      </c>
      <c r="C43" s="135"/>
      <c r="D43" s="153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43" s="30" t="e">
        <f>VLOOKUP(B43,'Train Runs'!$A$13:$A$99927,1,FALSE)</f>
        <v>#N/A</v>
      </c>
    </row>
    <row r="44" spans="1:10" x14ac:dyDescent="0.25">
      <c r="A44" s="195"/>
      <c r="B44" s="42" t="str">
        <f>A44&amp;"-"&amp;IF(DAY(Variables!$A$2)&lt;10,0,"")&amp;DAY(Variables!$A$2)</f>
        <v>-30</v>
      </c>
      <c r="C44" s="135"/>
      <c r="D44" s="153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44" s="30" t="e">
        <f>VLOOKUP(B44,'Train Runs'!$A$13:$A$99927,1,FALSE)</f>
        <v>#N/A</v>
      </c>
    </row>
    <row r="45" spans="1:10" x14ac:dyDescent="0.25">
      <c r="A45" s="195"/>
      <c r="B45" s="42"/>
      <c r="C45" s="135"/>
      <c r="D45" s="153"/>
      <c r="E45" s="30"/>
      <c r="F45" s="21"/>
      <c r="G45" s="21"/>
      <c r="H45" s="29"/>
      <c r="I45" s="45"/>
      <c r="J45" s="30"/>
    </row>
    <row r="46" spans="1:10" x14ac:dyDescent="0.25">
      <c r="A46" s="195"/>
      <c r="B46" s="42"/>
      <c r="C46" s="135"/>
      <c r="D46" s="153"/>
      <c r="E46" s="30"/>
      <c r="F46" s="21"/>
      <c r="G46" s="21"/>
      <c r="H46" s="29"/>
      <c r="I46" s="45"/>
      <c r="J46" s="30"/>
    </row>
    <row r="47" spans="1:10" x14ac:dyDescent="0.25">
      <c r="A47" s="195"/>
      <c r="B47" s="42"/>
      <c r="C47" s="135"/>
      <c r="D47" s="153"/>
      <c r="E47" s="30"/>
      <c r="F47" s="21"/>
      <c r="G47" s="21"/>
      <c r="H47" s="29"/>
      <c r="I47" s="45"/>
      <c r="J47" s="30"/>
    </row>
    <row r="48" spans="1:10" x14ac:dyDescent="0.25">
      <c r="A48" s="195"/>
      <c r="B48" s="42"/>
      <c r="C48" s="135"/>
      <c r="D48" s="153"/>
      <c r="E48" s="30"/>
      <c r="F48" s="21"/>
      <c r="G48" s="21"/>
      <c r="H48" s="29"/>
      <c r="I48" s="45"/>
      <c r="J48" s="30"/>
    </row>
    <row r="49" spans="1:10" x14ac:dyDescent="0.25">
      <c r="A49" s="195"/>
      <c r="B49" s="42"/>
      <c r="C49" s="135"/>
      <c r="D49" s="153"/>
      <c r="E49" s="30"/>
      <c r="F49" s="21"/>
      <c r="G49" s="21"/>
      <c r="H49" s="29"/>
      <c r="I49" s="45"/>
      <c r="J49" s="30"/>
    </row>
    <row r="50" spans="1:10" x14ac:dyDescent="0.25">
      <c r="A50" s="195"/>
      <c r="B50" s="42"/>
      <c r="C50" s="135"/>
      <c r="D50" s="153"/>
      <c r="E50" s="30"/>
      <c r="F50" s="21"/>
      <c r="G50" s="21"/>
      <c r="H50" s="29"/>
      <c r="I50" s="45"/>
      <c r="J50" s="30"/>
    </row>
    <row r="51" spans="1:10" x14ac:dyDescent="0.25">
      <c r="A51" s="195"/>
      <c r="B51" s="42"/>
      <c r="C51" s="135"/>
      <c r="D51" s="153"/>
      <c r="E51" s="30"/>
      <c r="F51" s="21"/>
      <c r="G51" s="21"/>
      <c r="H51" s="29"/>
      <c r="I51" s="45"/>
      <c r="J51" s="30"/>
    </row>
    <row r="52" spans="1:10" x14ac:dyDescent="0.25">
      <c r="A52" s="195"/>
      <c r="B52" s="42"/>
      <c r="C52" s="135"/>
      <c r="D52" s="153"/>
      <c r="E52" s="30"/>
      <c r="F52" s="21"/>
      <c r="G52" s="21"/>
      <c r="H52" s="29"/>
      <c r="I52" s="45"/>
      <c r="J52" s="30"/>
    </row>
    <row r="53" spans="1:10" x14ac:dyDescent="0.25">
      <c r="A53" s="195"/>
      <c r="B53" s="42"/>
      <c r="C53" s="135"/>
      <c r="D53" s="153"/>
      <c r="E53" s="30"/>
      <c r="F53" s="21"/>
      <c r="G53" s="21"/>
      <c r="H53" s="29"/>
      <c r="I53" s="45"/>
      <c r="J53" s="30"/>
    </row>
    <row r="54" spans="1:10" x14ac:dyDescent="0.25">
      <c r="A54" s="195"/>
      <c r="B54" s="42"/>
      <c r="C54" s="135"/>
      <c r="D54" s="153"/>
      <c r="E54" s="30"/>
      <c r="F54" s="21"/>
      <c r="G54" s="21"/>
      <c r="H54" s="29"/>
      <c r="I54" s="45"/>
      <c r="J54" s="30"/>
    </row>
    <row r="55" spans="1:10" x14ac:dyDescent="0.25">
      <c r="A55" s="195"/>
      <c r="B55" s="42"/>
      <c r="C55" s="135"/>
      <c r="D55" s="153"/>
      <c r="E55" s="30"/>
      <c r="F55" s="21"/>
      <c r="G55" s="21"/>
      <c r="H55" s="29"/>
      <c r="I55" s="45"/>
      <c r="J55" s="30"/>
    </row>
    <row r="56" spans="1:10" x14ac:dyDescent="0.25">
      <c r="A56" s="195"/>
      <c r="B56" s="42"/>
      <c r="C56" s="135"/>
      <c r="D56" s="153"/>
      <c r="E56" s="30"/>
      <c r="F56" s="21"/>
      <c r="G56" s="21"/>
      <c r="H56" s="29"/>
      <c r="I56" s="45"/>
      <c r="J56" s="30"/>
    </row>
    <row r="57" spans="1:10" x14ac:dyDescent="0.25">
      <c r="A57" s="195"/>
      <c r="B57" s="42"/>
      <c r="C57" s="135"/>
      <c r="D57" s="153"/>
      <c r="E57" s="30"/>
      <c r="F57" s="21"/>
      <c r="G57" s="21"/>
      <c r="H57" s="29"/>
      <c r="I57" s="45"/>
      <c r="J57" s="30"/>
    </row>
    <row r="58" spans="1:10" x14ac:dyDescent="0.25">
      <c r="A58" s="195"/>
      <c r="B58" s="42"/>
      <c r="C58" s="135"/>
      <c r="D58" s="153"/>
      <c r="E58" s="30"/>
      <c r="F58" s="21"/>
      <c r="G58" s="21"/>
      <c r="H58" s="29"/>
      <c r="I58" s="45"/>
      <c r="J58" s="30"/>
    </row>
    <row r="59" spans="1:10" x14ac:dyDescent="0.25">
      <c r="A59" s="195"/>
      <c r="B59" s="42"/>
      <c r="C59" s="135"/>
      <c r="D59" s="153"/>
      <c r="E59" s="30"/>
      <c r="F59" s="21"/>
      <c r="G59" s="21"/>
      <c r="H59" s="29"/>
      <c r="I59" s="45"/>
      <c r="J59" s="30"/>
    </row>
    <row r="60" spans="1:10" x14ac:dyDescent="0.25">
      <c r="A60" s="195"/>
      <c r="B60" s="42"/>
      <c r="C60" s="135"/>
      <c r="D60" s="153"/>
      <c r="E60" s="30"/>
      <c r="F60" s="21"/>
      <c r="G60" s="21"/>
      <c r="H60" s="29"/>
      <c r="I60" s="45"/>
      <c r="J60" s="30"/>
    </row>
    <row r="61" spans="1:10" x14ac:dyDescent="0.25">
      <c r="A61" s="195"/>
      <c r="B61" s="42"/>
      <c r="C61" s="135"/>
      <c r="D61" s="153"/>
      <c r="E61" s="30"/>
      <c r="F61" s="21"/>
      <c r="G61" s="21"/>
      <c r="H61" s="29"/>
      <c r="I61" s="45"/>
      <c r="J61" s="30"/>
    </row>
    <row r="62" spans="1:10" x14ac:dyDescent="0.25">
      <c r="A62" s="195"/>
      <c r="B62" s="42"/>
      <c r="C62" s="135"/>
      <c r="D62" s="153"/>
      <c r="E62" s="30"/>
      <c r="F62" s="21"/>
      <c r="G62" s="21"/>
      <c r="H62" s="29"/>
      <c r="I62" s="45"/>
      <c r="J62" s="30"/>
    </row>
    <row r="63" spans="1:10" x14ac:dyDescent="0.25">
      <c r="A63" s="195"/>
      <c r="B63" s="42"/>
      <c r="C63" s="135"/>
      <c r="D63" s="153"/>
      <c r="E63" s="30"/>
      <c r="F63" s="21"/>
      <c r="G63" s="21"/>
      <c r="H63" s="29"/>
      <c r="I63" s="45"/>
      <c r="J63" s="30"/>
    </row>
    <row r="64" spans="1:10" x14ac:dyDescent="0.25">
      <c r="A64" s="195"/>
      <c r="B64" s="42"/>
      <c r="C64" s="135"/>
      <c r="D64" s="153"/>
      <c r="E64" s="30"/>
      <c r="F64" s="21"/>
      <c r="G64" s="21"/>
      <c r="H64" s="29"/>
      <c r="I64" s="45"/>
      <c r="J64" s="30"/>
    </row>
    <row r="65" spans="1:10" x14ac:dyDescent="0.25">
      <c r="A65" s="195"/>
      <c r="B65" s="42"/>
      <c r="C65" s="135"/>
      <c r="D65" s="153"/>
      <c r="E65" s="30"/>
      <c r="F65" s="21"/>
      <c r="G65" s="21"/>
      <c r="H65" s="29"/>
      <c r="I65" s="45"/>
      <c r="J65" s="30"/>
    </row>
    <row r="66" spans="1:10" x14ac:dyDescent="0.25">
      <c r="A66" s="195"/>
      <c r="B66" s="42"/>
      <c r="C66" s="135"/>
      <c r="D66" s="153"/>
      <c r="E66" s="30"/>
      <c r="F66" s="21"/>
      <c r="G66" s="21"/>
      <c r="H66" s="29"/>
      <c r="I66" s="45"/>
      <c r="J66" s="30"/>
    </row>
    <row r="67" spans="1:10" x14ac:dyDescent="0.25">
      <c r="A67" s="195"/>
      <c r="B67" s="42"/>
      <c r="C67" s="135"/>
      <c r="D67" s="153"/>
      <c r="E67" s="30"/>
      <c r="F67" s="21"/>
      <c r="G67" s="21"/>
      <c r="H67" s="29"/>
      <c r="I67" s="45"/>
      <c r="J67" s="30"/>
    </row>
    <row r="68" spans="1:10" x14ac:dyDescent="0.25">
      <c r="A68" s="195"/>
      <c r="B68" s="42"/>
      <c r="C68" s="135"/>
      <c r="D68" s="153"/>
      <c r="E68" s="30"/>
      <c r="F68" s="21"/>
      <c r="G68" s="21"/>
      <c r="H68" s="29"/>
      <c r="I68" s="45"/>
      <c r="J68" s="30"/>
    </row>
    <row r="69" spans="1:10" x14ac:dyDescent="0.25">
      <c r="A69" s="195"/>
      <c r="B69" s="42"/>
      <c r="C69" s="135"/>
      <c r="D69" s="153"/>
      <c r="E69" s="30"/>
      <c r="F69" s="21"/>
      <c r="G69" s="21"/>
      <c r="H69" s="29"/>
      <c r="I69" s="45"/>
      <c r="J69" s="30"/>
    </row>
    <row r="70" spans="1:10" x14ac:dyDescent="0.25">
      <c r="A70" s="195"/>
      <c r="B70" s="42"/>
      <c r="C70" s="135"/>
      <c r="D70" s="153"/>
      <c r="E70" s="30"/>
      <c r="F70" s="21"/>
      <c r="G70" s="21"/>
      <c r="H70" s="29"/>
      <c r="I70" s="45"/>
      <c r="J70" s="30"/>
    </row>
    <row r="71" spans="1:10" x14ac:dyDescent="0.25">
      <c r="A71" s="195"/>
      <c r="B71" s="42"/>
      <c r="C71" s="135"/>
      <c r="D71" s="153"/>
      <c r="E71" s="30"/>
      <c r="F71" s="21"/>
      <c r="G71" s="21"/>
      <c r="H71" s="29"/>
      <c r="I71" s="45"/>
      <c r="J71" s="30"/>
    </row>
    <row r="72" spans="1:10" x14ac:dyDescent="0.25">
      <c r="A72" s="195"/>
      <c r="B72" s="42"/>
      <c r="C72" s="135"/>
      <c r="D72" s="153"/>
      <c r="E72" s="30"/>
      <c r="F72" s="21"/>
      <c r="G72" s="21"/>
      <c r="H72" s="29"/>
      <c r="I72" s="45"/>
      <c r="J72" s="30"/>
    </row>
    <row r="73" spans="1:10" x14ac:dyDescent="0.25">
      <c r="A73" s="195"/>
      <c r="B73" s="42"/>
      <c r="C73" s="135"/>
      <c r="D73" s="153"/>
      <c r="E73" s="30"/>
      <c r="F73" s="21"/>
      <c r="G73" s="21"/>
      <c r="H73" s="29"/>
      <c r="I73" s="45"/>
      <c r="J73" s="30"/>
    </row>
    <row r="74" spans="1:10" x14ac:dyDescent="0.25">
      <c r="A74" s="195"/>
      <c r="B74" s="42"/>
      <c r="C74" s="135"/>
      <c r="D74" s="153"/>
      <c r="E74" s="30"/>
      <c r="F74" s="21"/>
      <c r="G74" s="21"/>
      <c r="H74" s="29"/>
      <c r="I74" s="45"/>
      <c r="J74" s="30"/>
    </row>
    <row r="75" spans="1:10" x14ac:dyDescent="0.25">
      <c r="A75" s="195"/>
      <c r="B75" s="42"/>
      <c r="C75" s="135"/>
      <c r="D75" s="153"/>
      <c r="E75" s="30"/>
      <c r="F75" s="21"/>
      <c r="G75" s="21"/>
      <c r="H75" s="29"/>
      <c r="I75" s="45"/>
      <c r="J75" s="30"/>
    </row>
    <row r="76" spans="1:10" x14ac:dyDescent="0.25">
      <c r="A76" s="195"/>
      <c r="B76" s="42"/>
      <c r="C76" s="135"/>
      <c r="D76" s="153"/>
      <c r="E76" s="30"/>
      <c r="F76" s="21"/>
      <c r="G76" s="21"/>
      <c r="H76" s="29"/>
      <c r="I76" s="45"/>
      <c r="J76" s="30"/>
    </row>
    <row r="77" spans="1:10" x14ac:dyDescent="0.25">
      <c r="A77" s="195"/>
      <c r="B77" s="42"/>
      <c r="C77" s="135"/>
      <c r="D77" s="153"/>
      <c r="E77" s="30"/>
      <c r="F77" s="21"/>
      <c r="G77" s="21"/>
      <c r="H77" s="29"/>
      <c r="I77" s="45"/>
      <c r="J77" s="30"/>
    </row>
    <row r="78" spans="1:10" x14ac:dyDescent="0.25">
      <c r="A78" s="195"/>
      <c r="B78" s="42"/>
      <c r="C78" s="135"/>
      <c r="D78" s="153"/>
      <c r="E78" s="30"/>
      <c r="F78" s="21"/>
      <c r="G78" s="21"/>
      <c r="H78" s="29"/>
      <c r="I78" s="45"/>
      <c r="J78" s="30"/>
    </row>
    <row r="79" spans="1:10" x14ac:dyDescent="0.25">
      <c r="A79" s="195"/>
      <c r="B79" s="42"/>
      <c r="C79" s="135"/>
      <c r="D79" s="153"/>
      <c r="E79" s="30"/>
      <c r="F79" s="21"/>
      <c r="G79" s="21"/>
      <c r="H79" s="29"/>
      <c r="I79" s="45"/>
      <c r="J79" s="30"/>
    </row>
    <row r="80" spans="1:10" x14ac:dyDescent="0.25">
      <c r="A80" s="195"/>
      <c r="B80" s="42"/>
      <c r="C80" s="135"/>
      <c r="D80" s="153"/>
      <c r="E80" s="30"/>
      <c r="F80" s="21"/>
      <c r="G80" s="21"/>
      <c r="H80" s="29"/>
      <c r="I80" s="45"/>
      <c r="J80" s="30"/>
    </row>
    <row r="81" spans="1:10" x14ac:dyDescent="0.25">
      <c r="A81" s="195"/>
      <c r="B81" s="42"/>
      <c r="C81" s="135"/>
      <c r="D81" s="153"/>
      <c r="E81" s="30"/>
      <c r="F81" s="21"/>
      <c r="G81" s="21"/>
      <c r="H81" s="29"/>
      <c r="I81" s="45"/>
      <c r="J81" s="30"/>
    </row>
    <row r="82" spans="1:10" x14ac:dyDescent="0.25">
      <c r="A82" s="195"/>
      <c r="B82" s="42"/>
      <c r="C82" s="135"/>
      <c r="D82" s="153"/>
      <c r="E82" s="30"/>
      <c r="F82" s="21"/>
      <c r="G82" s="21"/>
      <c r="H82" s="29"/>
      <c r="I82" s="45"/>
      <c r="J82" s="30"/>
    </row>
    <row r="83" spans="1:10" x14ac:dyDescent="0.25">
      <c r="A83" s="195"/>
      <c r="B83" s="42"/>
      <c r="C83" s="135"/>
      <c r="D83" s="153"/>
      <c r="E83" s="30"/>
      <c r="F83" s="21"/>
      <c r="G83" s="21"/>
      <c r="H83" s="29"/>
      <c r="I83" s="45"/>
      <c r="J83" s="30"/>
    </row>
    <row r="84" spans="1:10" x14ac:dyDescent="0.25">
      <c r="A84" s="195"/>
      <c r="B84" s="42"/>
      <c r="C84" s="135"/>
      <c r="D84" s="153"/>
      <c r="E84" s="30"/>
      <c r="F84" s="21"/>
      <c r="G84" s="21"/>
      <c r="H84" s="29"/>
      <c r="I84" s="45"/>
      <c r="J84" s="30"/>
    </row>
    <row r="85" spans="1:10" x14ac:dyDescent="0.25">
      <c r="A85" s="195"/>
      <c r="B85" s="42"/>
      <c r="C85" s="135"/>
      <c r="D85" s="153"/>
      <c r="E85" s="30"/>
      <c r="F85" s="21"/>
      <c r="G85" s="21"/>
      <c r="H85" s="29"/>
      <c r="I85" s="45"/>
      <c r="J85" s="30"/>
    </row>
    <row r="86" spans="1:10" x14ac:dyDescent="0.25">
      <c r="A86" s="195"/>
      <c r="B86" s="42"/>
      <c r="C86" s="135"/>
      <c r="D86" s="153"/>
      <c r="E86" s="30"/>
      <c r="F86" s="21"/>
      <c r="G86" s="21"/>
      <c r="H86" s="29"/>
      <c r="I86" s="45"/>
      <c r="J86" s="30"/>
    </row>
    <row r="87" spans="1:10" x14ac:dyDescent="0.25">
      <c r="A87" s="195"/>
      <c r="B87" s="42"/>
      <c r="C87" s="135"/>
      <c r="D87" s="153"/>
      <c r="E87" s="30"/>
      <c r="F87" s="21"/>
      <c r="G87" s="21"/>
      <c r="H87" s="29"/>
      <c r="I87" s="45"/>
      <c r="J87" s="30"/>
    </row>
    <row r="88" spans="1:10" x14ac:dyDescent="0.25">
      <c r="A88" s="195"/>
      <c r="B88" s="42"/>
      <c r="C88" s="135"/>
      <c r="D88" s="153"/>
      <c r="E88" s="30"/>
      <c r="F88" s="21"/>
      <c r="G88" s="21"/>
      <c r="H88" s="29"/>
      <c r="I88" s="45"/>
      <c r="J88" s="30"/>
    </row>
    <row r="89" spans="1:10" x14ac:dyDescent="0.25">
      <c r="A89" s="195"/>
      <c r="B89" s="42"/>
      <c r="C89" s="135"/>
      <c r="D89" s="153"/>
      <c r="E89" s="30"/>
      <c r="F89" s="21"/>
      <c r="G89" s="21"/>
      <c r="H89" s="29"/>
      <c r="I89" s="45"/>
      <c r="J89" s="30"/>
    </row>
    <row r="90" spans="1:10" x14ac:dyDescent="0.25">
      <c r="A90" s="195"/>
      <c r="B90" s="42"/>
      <c r="C90" s="135"/>
      <c r="D90" s="153"/>
      <c r="E90" s="30"/>
      <c r="F90" s="21"/>
      <c r="G90" s="21"/>
      <c r="H90" s="29"/>
      <c r="I90" s="45"/>
      <c r="J90" s="30"/>
    </row>
    <row r="91" spans="1:10" x14ac:dyDescent="0.25">
      <c r="A91" s="195"/>
      <c r="B91" s="42"/>
      <c r="C91" s="135"/>
      <c r="D91" s="153"/>
      <c r="E91" s="30"/>
      <c r="F91" s="21"/>
      <c r="G91" s="21"/>
      <c r="H91" s="29"/>
      <c r="I91" s="45"/>
      <c r="J91" s="30"/>
    </row>
    <row r="92" spans="1:10" x14ac:dyDescent="0.25">
      <c r="A92" s="195"/>
      <c r="B92" s="42"/>
      <c r="C92" s="135"/>
      <c r="D92" s="153"/>
      <c r="E92" s="30"/>
      <c r="F92" s="21"/>
      <c r="G92" s="21"/>
      <c r="H92" s="29"/>
      <c r="I92" s="45"/>
      <c r="J92" s="30"/>
    </row>
    <row r="93" spans="1:10" x14ac:dyDescent="0.25">
      <c r="A93" s="195"/>
      <c r="B93" s="42"/>
      <c r="C93" s="135"/>
      <c r="D93" s="153"/>
      <c r="E93" s="30"/>
      <c r="F93" s="21"/>
      <c r="G93" s="21"/>
      <c r="H93" s="29"/>
      <c r="I93" s="45"/>
      <c r="J93" s="30"/>
    </row>
    <row r="94" spans="1:10" x14ac:dyDescent="0.25">
      <c r="A94" s="195"/>
      <c r="B94" s="42"/>
      <c r="C94" s="135"/>
      <c r="D94" s="153"/>
      <c r="E94" s="30"/>
      <c r="F94" s="21"/>
      <c r="G94" s="21"/>
      <c r="H94" s="29"/>
      <c r="I94" s="45"/>
      <c r="J94" s="30"/>
    </row>
    <row r="95" spans="1:10" x14ac:dyDescent="0.25">
      <c r="A95" s="195"/>
      <c r="B95" s="42"/>
      <c r="C95" s="135"/>
      <c r="D95" s="153"/>
      <c r="E95" s="30"/>
      <c r="F95" s="21"/>
      <c r="G95" s="21"/>
      <c r="H95" s="29"/>
      <c r="I95" s="45"/>
      <c r="J95" s="30"/>
    </row>
    <row r="96" spans="1:10" x14ac:dyDescent="0.25">
      <c r="A96" s="195"/>
      <c r="B96" s="42"/>
      <c r="C96" s="135"/>
      <c r="D96" s="153"/>
      <c r="E96" s="30"/>
      <c r="F96" s="21"/>
      <c r="G96" s="21"/>
      <c r="H96" s="29"/>
      <c r="I96" s="45"/>
      <c r="J96" s="30"/>
    </row>
    <row r="97" spans="1:10" x14ac:dyDescent="0.25">
      <c r="A97" s="195"/>
      <c r="B97" s="42"/>
      <c r="C97" s="135"/>
      <c r="D97" s="153"/>
      <c r="E97" s="30"/>
      <c r="F97" s="21"/>
      <c r="G97" s="21"/>
      <c r="H97" s="29"/>
      <c r="I97" s="45"/>
      <c r="J97" s="30"/>
    </row>
    <row r="98" spans="1:10" x14ac:dyDescent="0.25">
      <c r="A98" s="195"/>
      <c r="B98" s="42"/>
      <c r="C98" s="135"/>
      <c r="D98" s="153"/>
      <c r="E98" s="30"/>
      <c r="F98" s="21"/>
      <c r="G98" s="21"/>
      <c r="H98" s="29"/>
      <c r="I98" s="45"/>
      <c r="J98" s="30"/>
    </row>
    <row r="99" spans="1:10" x14ac:dyDescent="0.25">
      <c r="A99" s="195"/>
      <c r="B99" s="42"/>
      <c r="C99" s="135"/>
      <c r="D99" s="153"/>
      <c r="E99" s="30"/>
      <c r="F99" s="21"/>
      <c r="G99" s="21"/>
      <c r="H99" s="29"/>
      <c r="I99" s="45"/>
      <c r="J99" s="30"/>
    </row>
    <row r="100" spans="1:10" x14ac:dyDescent="0.25">
      <c r="A100" s="195"/>
      <c r="B100" s="42"/>
      <c r="C100" s="135"/>
      <c r="D100" s="153"/>
      <c r="E100" s="30"/>
      <c r="F100" s="21"/>
      <c r="G100" s="21"/>
      <c r="H100" s="29"/>
      <c r="I100" s="45"/>
      <c r="J100" s="30"/>
    </row>
  </sheetData>
  <autoFilter ref="A2:J52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95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170</v>
      </c>
      <c r="B1" s="20" t="s">
        <v>171</v>
      </c>
      <c r="C1" s="20" t="s">
        <v>0</v>
      </c>
      <c r="D1" s="138" t="s">
        <v>172</v>
      </c>
      <c r="E1" s="20" t="s">
        <v>173</v>
      </c>
      <c r="F1" s="20" t="s">
        <v>190</v>
      </c>
      <c r="G1" s="8" t="s">
        <v>189</v>
      </c>
    </row>
    <row r="2" spans="1:7" x14ac:dyDescent="0.25">
      <c r="A2" s="8">
        <v>42916.036134259259</v>
      </c>
      <c r="B2" s="20" t="s">
        <v>393</v>
      </c>
      <c r="C2" s="20" t="s">
        <v>637</v>
      </c>
      <c r="D2" s="138">
        <v>2620000</v>
      </c>
      <c r="E2" s="20" t="s">
        <v>638</v>
      </c>
      <c r="F2" s="20" t="s">
        <v>639</v>
      </c>
      <c r="G2" s="8" t="str">
        <f>E2&amp;" "&amp;F2</f>
        <v>PERKINS DARREN</v>
      </c>
    </row>
    <row r="3" spans="1:7" x14ac:dyDescent="0.25">
      <c r="A3" s="8">
        <v>42916.041446759256</v>
      </c>
      <c r="B3" s="20" t="s">
        <v>392</v>
      </c>
      <c r="C3" s="20" t="s">
        <v>640</v>
      </c>
      <c r="D3" s="138">
        <v>3090000</v>
      </c>
      <c r="E3" s="20" t="s">
        <v>372</v>
      </c>
      <c r="F3" s="20" t="s">
        <v>373</v>
      </c>
      <c r="G3" s="8" t="str">
        <f t="shared" ref="G3:G66" si="0">E3&amp;" "&amp;F3</f>
        <v>LAMAR NEKESHA</v>
      </c>
    </row>
    <row r="4" spans="1:7" x14ac:dyDescent="0.25">
      <c r="A4" s="8">
        <v>42916.063900462963</v>
      </c>
      <c r="B4" s="20" t="s">
        <v>516</v>
      </c>
      <c r="C4" s="20" t="s">
        <v>641</v>
      </c>
      <c r="D4" s="138">
        <v>3000000</v>
      </c>
      <c r="E4" s="20" t="s">
        <v>402</v>
      </c>
      <c r="F4" s="20" t="s">
        <v>403</v>
      </c>
      <c r="G4" s="8" t="str">
        <f t="shared" si="0"/>
        <v>FORTUNATO FRANK</v>
      </c>
    </row>
    <row r="5" spans="1:7" x14ac:dyDescent="0.25">
      <c r="A5" s="8">
        <v>42916.065115740741</v>
      </c>
      <c r="B5" s="20" t="s">
        <v>441</v>
      </c>
      <c r="C5" s="20" t="s">
        <v>642</v>
      </c>
      <c r="D5" s="138">
        <v>2230000</v>
      </c>
      <c r="E5" s="20" t="s">
        <v>340</v>
      </c>
      <c r="F5" s="20" t="s">
        <v>191</v>
      </c>
      <c r="G5" s="8" t="str">
        <f t="shared" si="0"/>
        <v>SMITH MICHAEL</v>
      </c>
    </row>
    <row r="6" spans="1:7" x14ac:dyDescent="0.25">
      <c r="A6" s="8">
        <v>42916.066250000003</v>
      </c>
      <c r="B6" s="20" t="s">
        <v>441</v>
      </c>
      <c r="C6" s="20" t="s">
        <v>642</v>
      </c>
      <c r="D6" s="138">
        <v>2230000</v>
      </c>
      <c r="E6" s="20" t="s">
        <v>340</v>
      </c>
      <c r="F6" s="20" t="s">
        <v>191</v>
      </c>
      <c r="G6" s="8" t="str">
        <f t="shared" si="0"/>
        <v>SMITH MICHAEL</v>
      </c>
    </row>
    <row r="7" spans="1:7" x14ac:dyDescent="0.25">
      <c r="A7" s="8">
        <v>42916.076481481483</v>
      </c>
      <c r="B7" s="20" t="s">
        <v>394</v>
      </c>
      <c r="C7" s="20" t="s">
        <v>643</v>
      </c>
      <c r="D7" s="138">
        <v>2620000</v>
      </c>
      <c r="E7" s="20" t="s">
        <v>638</v>
      </c>
      <c r="F7" s="20" t="s">
        <v>639</v>
      </c>
      <c r="G7" s="8" t="str">
        <f t="shared" si="0"/>
        <v>PERKINS DARREN</v>
      </c>
    </row>
    <row r="8" spans="1:7" x14ac:dyDescent="0.25">
      <c r="A8" s="8">
        <v>42916.077152777776</v>
      </c>
      <c r="B8" s="20" t="s">
        <v>394</v>
      </c>
      <c r="C8" s="20" t="s">
        <v>643</v>
      </c>
      <c r="D8" s="138">
        <v>2620000</v>
      </c>
      <c r="E8" s="20" t="s">
        <v>638</v>
      </c>
      <c r="F8" s="20" t="s">
        <v>639</v>
      </c>
      <c r="G8" s="8" t="str">
        <f t="shared" si="0"/>
        <v>PERKINS DARREN</v>
      </c>
    </row>
    <row r="9" spans="1:7" ht="15.75" thickBot="1" x14ac:dyDescent="0.3">
      <c r="A9" s="24">
        <v>42916.078356481485</v>
      </c>
      <c r="B9" s="20" t="s">
        <v>394</v>
      </c>
      <c r="C9" s="20" t="s">
        <v>643</v>
      </c>
      <c r="D9" s="138">
        <v>2620000</v>
      </c>
      <c r="E9" s="20" t="s">
        <v>638</v>
      </c>
      <c r="F9" s="20" t="s">
        <v>639</v>
      </c>
      <c r="G9" s="8" t="str">
        <f t="shared" si="0"/>
        <v>PERKINS DARREN</v>
      </c>
    </row>
    <row r="10" spans="1:7" x14ac:dyDescent="0.25">
      <c r="A10" s="8">
        <v>42916.094965277778</v>
      </c>
      <c r="B10" s="20" t="s">
        <v>518</v>
      </c>
      <c r="C10" s="20" t="s">
        <v>644</v>
      </c>
      <c r="D10" s="138">
        <v>3000000</v>
      </c>
      <c r="E10" s="20" t="s">
        <v>402</v>
      </c>
      <c r="F10" s="20" t="s">
        <v>403</v>
      </c>
      <c r="G10" s="8" t="str">
        <f t="shared" si="0"/>
        <v>FORTUNATO FRANK</v>
      </c>
    </row>
    <row r="11" spans="1:7" x14ac:dyDescent="0.25">
      <c r="A11" s="8">
        <v>42916.110671296294</v>
      </c>
      <c r="B11" s="20" t="s">
        <v>645</v>
      </c>
      <c r="C11" s="20" t="s">
        <v>646</v>
      </c>
      <c r="D11" s="138">
        <v>1090000</v>
      </c>
      <c r="E11" s="20" t="s">
        <v>486</v>
      </c>
      <c r="F11" s="20" t="s">
        <v>191</v>
      </c>
      <c r="G11" s="8" t="str">
        <f t="shared" si="0"/>
        <v>SPECTOR MICHAEL</v>
      </c>
    </row>
    <row r="12" spans="1:7" x14ac:dyDescent="0.25">
      <c r="A12" s="8">
        <v>42916.117349537039</v>
      </c>
      <c r="B12" s="20" t="s">
        <v>579</v>
      </c>
      <c r="C12" s="20" t="s">
        <v>647</v>
      </c>
      <c r="D12" s="138">
        <v>1110000</v>
      </c>
      <c r="E12" s="20" t="s">
        <v>470</v>
      </c>
      <c r="F12" s="20" t="s">
        <v>471</v>
      </c>
      <c r="G12" s="8" t="str">
        <f t="shared" si="0"/>
        <v>STARKS ANGELINA</v>
      </c>
    </row>
    <row r="13" spans="1:7" x14ac:dyDescent="0.25">
      <c r="A13" s="8">
        <v>42916.132303240738</v>
      </c>
      <c r="B13" s="20" t="s">
        <v>586</v>
      </c>
      <c r="C13" s="20" t="s">
        <v>648</v>
      </c>
      <c r="D13" s="138">
        <v>1110000</v>
      </c>
      <c r="E13" s="20" t="s">
        <v>470</v>
      </c>
      <c r="F13" s="20" t="s">
        <v>471</v>
      </c>
      <c r="G13" s="8" t="str">
        <f t="shared" si="0"/>
        <v>STARKS ANGELINA</v>
      </c>
    </row>
    <row r="14" spans="1:7" x14ac:dyDescent="0.25">
      <c r="A14" s="8">
        <v>42916.140439814815</v>
      </c>
      <c r="B14" s="20" t="s">
        <v>457</v>
      </c>
      <c r="C14" s="20" t="s">
        <v>649</v>
      </c>
      <c r="D14" s="138">
        <v>1200000</v>
      </c>
      <c r="E14" s="20" t="s">
        <v>650</v>
      </c>
      <c r="F14" s="20" t="s">
        <v>651</v>
      </c>
      <c r="G14" s="8" t="str">
        <f t="shared" si="0"/>
        <v>CUSHING HARRY</v>
      </c>
    </row>
    <row r="15" spans="1:7" x14ac:dyDescent="0.25">
      <c r="A15" s="8">
        <v>42916.153078703705</v>
      </c>
      <c r="B15" s="20" t="s">
        <v>418</v>
      </c>
      <c r="C15" s="20" t="s">
        <v>652</v>
      </c>
      <c r="D15" s="138">
        <v>1200000</v>
      </c>
      <c r="E15" s="20" t="s">
        <v>650</v>
      </c>
      <c r="F15" s="20" t="s">
        <v>651</v>
      </c>
      <c r="G15" s="8" t="str">
        <f t="shared" si="0"/>
        <v>CUSHING HARRY</v>
      </c>
    </row>
    <row r="16" spans="1:7" x14ac:dyDescent="0.25">
      <c r="A16" s="8">
        <v>42916.162418981483</v>
      </c>
      <c r="B16" s="20" t="s">
        <v>601</v>
      </c>
      <c r="C16" s="20" t="s">
        <v>653</v>
      </c>
      <c r="D16" s="138">
        <v>940000</v>
      </c>
      <c r="E16" s="20" t="s">
        <v>468</v>
      </c>
      <c r="F16" s="20" t="s">
        <v>469</v>
      </c>
      <c r="G16" s="8" t="str">
        <f t="shared" si="0"/>
        <v>BONDS REYNALDO</v>
      </c>
    </row>
    <row r="17" spans="1:7" x14ac:dyDescent="0.25">
      <c r="A17" s="8">
        <v>42916.164641203701</v>
      </c>
      <c r="B17" s="20" t="s">
        <v>601</v>
      </c>
      <c r="C17" s="20" t="s">
        <v>653</v>
      </c>
      <c r="D17" s="138">
        <v>940000</v>
      </c>
      <c r="E17" s="20" t="s">
        <v>468</v>
      </c>
      <c r="F17" s="20" t="s">
        <v>469</v>
      </c>
      <c r="G17" s="8" t="str">
        <f t="shared" si="0"/>
        <v>BONDS REYNALDO</v>
      </c>
    </row>
    <row r="18" spans="1:7" x14ac:dyDescent="0.25">
      <c r="A18" s="8">
        <v>42916.173750000002</v>
      </c>
      <c r="B18" s="20" t="s">
        <v>579</v>
      </c>
      <c r="C18" s="20" t="s">
        <v>580</v>
      </c>
      <c r="D18" s="138">
        <v>1110000</v>
      </c>
      <c r="E18" s="20" t="s">
        <v>470</v>
      </c>
      <c r="F18" s="20" t="s">
        <v>471</v>
      </c>
      <c r="G18" s="8" t="str">
        <f t="shared" si="0"/>
        <v>STARKS ANGELINA</v>
      </c>
    </row>
    <row r="19" spans="1:7" x14ac:dyDescent="0.25">
      <c r="A19" s="8">
        <v>42916.173773148148</v>
      </c>
      <c r="B19" s="20" t="s">
        <v>408</v>
      </c>
      <c r="C19" s="20" t="s">
        <v>654</v>
      </c>
      <c r="D19" s="138">
        <v>1100000</v>
      </c>
      <c r="E19" s="20" t="s">
        <v>523</v>
      </c>
      <c r="F19" s="20" t="s">
        <v>524</v>
      </c>
      <c r="G19" s="8" t="str">
        <f t="shared" si="0"/>
        <v>GEBRETEKLE DAGNEW</v>
      </c>
    </row>
    <row r="20" spans="1:7" x14ac:dyDescent="0.25">
      <c r="A20" s="8">
        <v>42916.175219907411</v>
      </c>
      <c r="B20" s="20" t="s">
        <v>355</v>
      </c>
      <c r="C20" s="20" t="s">
        <v>655</v>
      </c>
      <c r="D20" s="138">
        <v>940000</v>
      </c>
      <c r="E20" s="20" t="s">
        <v>468</v>
      </c>
      <c r="F20" s="20" t="s">
        <v>469</v>
      </c>
      <c r="G20" s="8" t="str">
        <f t="shared" si="0"/>
        <v>BONDS REYNALDO</v>
      </c>
    </row>
    <row r="21" spans="1:7" x14ac:dyDescent="0.25">
      <c r="A21" s="8">
        <v>42916.175752314812</v>
      </c>
      <c r="B21" s="20" t="s">
        <v>408</v>
      </c>
      <c r="C21" s="20" t="s">
        <v>654</v>
      </c>
      <c r="D21" s="138">
        <v>1100000</v>
      </c>
      <c r="E21" s="20" t="s">
        <v>523</v>
      </c>
      <c r="F21" s="20" t="s">
        <v>524</v>
      </c>
      <c r="G21" s="8" t="str">
        <f t="shared" si="0"/>
        <v>GEBRETEKLE DAGNEW</v>
      </c>
    </row>
    <row r="22" spans="1:7" x14ac:dyDescent="0.25">
      <c r="A22" s="26">
        <v>42916.17659722222</v>
      </c>
      <c r="B22" s="20" t="s">
        <v>355</v>
      </c>
      <c r="C22" s="20" t="s">
        <v>655</v>
      </c>
      <c r="D22" s="138">
        <v>940000</v>
      </c>
      <c r="E22" s="20" t="s">
        <v>468</v>
      </c>
      <c r="F22" s="20" t="s">
        <v>469</v>
      </c>
      <c r="G22" s="8" t="str">
        <f t="shared" si="0"/>
        <v>BONDS REYNALDO</v>
      </c>
    </row>
    <row r="23" spans="1:7" x14ac:dyDescent="0.25">
      <c r="A23" s="8">
        <v>42916.181087962963</v>
      </c>
      <c r="B23" s="20" t="s">
        <v>363</v>
      </c>
      <c r="C23" s="20" t="s">
        <v>656</v>
      </c>
      <c r="D23" s="138">
        <v>1990000</v>
      </c>
      <c r="E23" s="20" t="s">
        <v>396</v>
      </c>
      <c r="F23" s="20" t="s">
        <v>521</v>
      </c>
      <c r="G23" s="8" t="str">
        <f t="shared" si="0"/>
        <v>DAVIS WENDY</v>
      </c>
    </row>
    <row r="24" spans="1:7" x14ac:dyDescent="0.25">
      <c r="A24" s="8">
        <v>42916.186122685183</v>
      </c>
      <c r="B24" s="20" t="s">
        <v>409</v>
      </c>
      <c r="C24" s="20" t="s">
        <v>581</v>
      </c>
      <c r="D24" s="138">
        <v>1100000</v>
      </c>
      <c r="E24" s="20" t="s">
        <v>523</v>
      </c>
      <c r="F24" s="20" t="s">
        <v>524</v>
      </c>
      <c r="G24" s="8" t="str">
        <f t="shared" si="0"/>
        <v>GEBRETEKLE DAGNEW</v>
      </c>
    </row>
    <row r="25" spans="1:7" x14ac:dyDescent="0.25">
      <c r="A25" s="8">
        <v>42916.190347222226</v>
      </c>
      <c r="B25" s="20" t="s">
        <v>457</v>
      </c>
      <c r="C25" s="20" t="s">
        <v>582</v>
      </c>
      <c r="D25" s="138">
        <v>1200000</v>
      </c>
      <c r="E25" s="20" t="s">
        <v>650</v>
      </c>
      <c r="F25" s="20" t="s">
        <v>651</v>
      </c>
      <c r="G25" s="8" t="str">
        <f t="shared" si="0"/>
        <v>CUSHING HARRY</v>
      </c>
    </row>
    <row r="26" spans="1:7" x14ac:dyDescent="0.25">
      <c r="A26" s="8">
        <v>42916.194108796299</v>
      </c>
      <c r="B26" s="20" t="s">
        <v>339</v>
      </c>
      <c r="C26" s="20" t="s">
        <v>657</v>
      </c>
      <c r="D26" s="138">
        <v>1990000</v>
      </c>
      <c r="E26" s="20" t="s">
        <v>396</v>
      </c>
      <c r="F26" s="20" t="s">
        <v>521</v>
      </c>
      <c r="G26" s="8" t="str">
        <f t="shared" si="0"/>
        <v>DAVIS WENDY</v>
      </c>
    </row>
    <row r="27" spans="1:7" x14ac:dyDescent="0.25">
      <c r="A27" s="8">
        <v>42916.197557870371</v>
      </c>
      <c r="B27" s="20" t="s">
        <v>398</v>
      </c>
      <c r="C27" s="20" t="s">
        <v>658</v>
      </c>
      <c r="D27" s="138">
        <v>2600000</v>
      </c>
      <c r="E27" s="20" t="s">
        <v>659</v>
      </c>
      <c r="F27" s="20" t="s">
        <v>660</v>
      </c>
      <c r="G27" s="8" t="str">
        <f t="shared" si="0"/>
        <v>DAVIDSON DAVID</v>
      </c>
    </row>
    <row r="28" spans="1:7" x14ac:dyDescent="0.25">
      <c r="A28" s="8">
        <v>42916.199930555558</v>
      </c>
      <c r="B28" s="20" t="s">
        <v>398</v>
      </c>
      <c r="C28" s="20" t="s">
        <v>658</v>
      </c>
      <c r="D28" s="138">
        <v>2600000</v>
      </c>
      <c r="E28" s="20" t="s">
        <v>659</v>
      </c>
      <c r="F28" s="20" t="s">
        <v>660</v>
      </c>
      <c r="G28" s="8" t="str">
        <f t="shared" si="0"/>
        <v>DAVIDSON DAVID</v>
      </c>
    </row>
    <row r="29" spans="1:7" x14ac:dyDescent="0.25">
      <c r="A29" s="8">
        <v>42916.200740740744</v>
      </c>
      <c r="B29" s="20" t="s">
        <v>459</v>
      </c>
      <c r="C29" s="20" t="s">
        <v>661</v>
      </c>
      <c r="D29" s="138">
        <v>2970000</v>
      </c>
      <c r="E29" s="20" t="s">
        <v>376</v>
      </c>
      <c r="F29" s="20" t="s">
        <v>377</v>
      </c>
      <c r="G29" s="8" t="str">
        <f t="shared" si="0"/>
        <v>GUZMAN DANNY</v>
      </c>
    </row>
    <row r="30" spans="1:7" x14ac:dyDescent="0.25">
      <c r="A30" s="8">
        <v>42916.201874999999</v>
      </c>
      <c r="B30" s="20" t="s">
        <v>409</v>
      </c>
      <c r="C30" s="20" t="s">
        <v>581</v>
      </c>
      <c r="D30" s="138">
        <v>1100000</v>
      </c>
      <c r="E30" s="20" t="s">
        <v>523</v>
      </c>
      <c r="F30" s="20" t="s">
        <v>524</v>
      </c>
      <c r="G30" s="8" t="str">
        <f t="shared" si="0"/>
        <v>GEBRETEKLE DAGNEW</v>
      </c>
    </row>
    <row r="31" spans="1:7" x14ac:dyDescent="0.25">
      <c r="A31" s="8">
        <v>42916.206585648149</v>
      </c>
      <c r="B31" s="20" t="s">
        <v>586</v>
      </c>
      <c r="C31" s="20" t="s">
        <v>662</v>
      </c>
      <c r="D31" s="138">
        <v>1110000</v>
      </c>
      <c r="E31" s="20" t="s">
        <v>470</v>
      </c>
      <c r="F31" s="20" t="s">
        <v>471</v>
      </c>
      <c r="G31" s="8" t="str">
        <f t="shared" si="0"/>
        <v>STARKS ANGELINA</v>
      </c>
    </row>
    <row r="32" spans="1:7" x14ac:dyDescent="0.25">
      <c r="A32" s="8">
        <v>42916.211087962962</v>
      </c>
      <c r="B32" s="20" t="s">
        <v>601</v>
      </c>
      <c r="C32" s="20" t="s">
        <v>663</v>
      </c>
      <c r="D32" s="138">
        <v>940000</v>
      </c>
      <c r="E32" s="20" t="s">
        <v>468</v>
      </c>
      <c r="F32" s="20" t="s">
        <v>469</v>
      </c>
      <c r="G32" s="8" t="str">
        <f t="shared" si="0"/>
        <v>BONDS REYNALDO</v>
      </c>
    </row>
    <row r="33" spans="1:7" x14ac:dyDescent="0.25">
      <c r="A33" s="8">
        <v>42916.212546296294</v>
      </c>
      <c r="B33" s="20" t="s">
        <v>458</v>
      </c>
      <c r="C33" s="20" t="s">
        <v>664</v>
      </c>
      <c r="D33" s="138">
        <v>2970000</v>
      </c>
      <c r="E33" s="20" t="s">
        <v>376</v>
      </c>
      <c r="F33" s="20" t="s">
        <v>377</v>
      </c>
      <c r="G33" s="8" t="str">
        <f t="shared" si="0"/>
        <v>GUZMAN DANNY</v>
      </c>
    </row>
    <row r="34" spans="1:7" x14ac:dyDescent="0.25">
      <c r="A34" s="8">
        <v>42916.214236111111</v>
      </c>
      <c r="B34" s="20" t="s">
        <v>401</v>
      </c>
      <c r="C34" s="20" t="s">
        <v>665</v>
      </c>
      <c r="D34" s="138">
        <v>2600000</v>
      </c>
      <c r="E34" s="20" t="s">
        <v>659</v>
      </c>
      <c r="F34" s="20" t="s">
        <v>660</v>
      </c>
      <c r="G34" s="8" t="str">
        <f t="shared" si="0"/>
        <v>DAVIDSON DAVID</v>
      </c>
    </row>
    <row r="35" spans="1:7" x14ac:dyDescent="0.25">
      <c r="A35" s="8">
        <v>42916.214629629627</v>
      </c>
      <c r="B35" s="20" t="s">
        <v>458</v>
      </c>
      <c r="C35" s="20" t="s">
        <v>664</v>
      </c>
      <c r="D35" s="138">
        <v>2970000</v>
      </c>
      <c r="E35" s="20" t="s">
        <v>376</v>
      </c>
      <c r="F35" s="20" t="s">
        <v>377</v>
      </c>
      <c r="G35" s="8" t="str">
        <f t="shared" si="0"/>
        <v>GUZMAN DANNY</v>
      </c>
    </row>
    <row r="36" spans="1:7" x14ac:dyDescent="0.25">
      <c r="A36" s="8">
        <v>42916.221689814818</v>
      </c>
      <c r="B36" s="20" t="s">
        <v>408</v>
      </c>
      <c r="C36" s="20" t="s">
        <v>666</v>
      </c>
      <c r="D36" s="138">
        <v>1100000</v>
      </c>
      <c r="E36" s="20" t="s">
        <v>523</v>
      </c>
      <c r="F36" s="20" t="s">
        <v>524</v>
      </c>
      <c r="G36" s="8" t="str">
        <f t="shared" si="0"/>
        <v>GEBRETEKLE DAGNEW</v>
      </c>
    </row>
    <row r="37" spans="1:7" x14ac:dyDescent="0.25">
      <c r="A37" s="8">
        <v>42916.221979166665</v>
      </c>
      <c r="B37" s="20" t="s">
        <v>366</v>
      </c>
      <c r="C37" s="20" t="s">
        <v>667</v>
      </c>
      <c r="D37" s="138">
        <v>1340000</v>
      </c>
      <c r="E37" s="20" t="s">
        <v>668</v>
      </c>
      <c r="F37" s="20" t="s">
        <v>669</v>
      </c>
      <c r="G37" s="8" t="str">
        <f t="shared" si="0"/>
        <v>BEAM ROSS</v>
      </c>
    </row>
    <row r="38" spans="1:7" x14ac:dyDescent="0.25">
      <c r="A38" s="8">
        <v>42916.228564814817</v>
      </c>
      <c r="B38" s="20" t="s">
        <v>459</v>
      </c>
      <c r="C38" s="20" t="s">
        <v>670</v>
      </c>
      <c r="D38" s="138">
        <v>2970000</v>
      </c>
      <c r="E38" s="20" t="s">
        <v>376</v>
      </c>
      <c r="F38" s="20" t="s">
        <v>377</v>
      </c>
      <c r="G38" s="8" t="str">
        <f t="shared" si="0"/>
        <v>GUZMAN DANNY</v>
      </c>
    </row>
    <row r="39" spans="1:7" x14ac:dyDescent="0.25">
      <c r="A39" s="8">
        <v>42916.229085648149</v>
      </c>
      <c r="B39" s="20" t="s">
        <v>418</v>
      </c>
      <c r="C39" s="20" t="s">
        <v>671</v>
      </c>
      <c r="D39" s="138">
        <v>1200000</v>
      </c>
      <c r="E39" s="20" t="s">
        <v>650</v>
      </c>
      <c r="F39" s="20" t="s">
        <v>651</v>
      </c>
      <c r="G39" s="8" t="str">
        <f t="shared" si="0"/>
        <v>CUSHING HARRY</v>
      </c>
    </row>
    <row r="40" spans="1:7" x14ac:dyDescent="0.25">
      <c r="A40" s="8">
        <v>42916.235659722224</v>
      </c>
      <c r="B40" s="25" t="s">
        <v>363</v>
      </c>
      <c r="C40" s="20" t="s">
        <v>583</v>
      </c>
      <c r="D40" s="138">
        <v>1990000</v>
      </c>
      <c r="E40" s="20" t="s">
        <v>396</v>
      </c>
      <c r="F40" s="20" t="s">
        <v>521</v>
      </c>
      <c r="G40" s="8" t="str">
        <f t="shared" si="0"/>
        <v>DAVIS WENDY</v>
      </c>
    </row>
    <row r="41" spans="1:7" x14ac:dyDescent="0.25">
      <c r="A41" s="8">
        <v>42916.237546296295</v>
      </c>
      <c r="B41" s="20" t="s">
        <v>369</v>
      </c>
      <c r="C41" s="20" t="s">
        <v>672</v>
      </c>
      <c r="D41" s="138">
        <v>1340000</v>
      </c>
      <c r="E41" s="20" t="s">
        <v>668</v>
      </c>
      <c r="F41" s="20" t="s">
        <v>669</v>
      </c>
      <c r="G41" s="8" t="str">
        <f t="shared" si="0"/>
        <v>BEAM ROSS</v>
      </c>
    </row>
    <row r="42" spans="1:7" x14ac:dyDescent="0.25">
      <c r="A42" s="8">
        <v>42916.243877314817</v>
      </c>
      <c r="B42" s="20" t="s">
        <v>599</v>
      </c>
      <c r="C42" s="20" t="s">
        <v>673</v>
      </c>
      <c r="D42" s="138">
        <v>2530000</v>
      </c>
      <c r="E42" s="20" t="s">
        <v>674</v>
      </c>
      <c r="F42" s="20" t="s">
        <v>675</v>
      </c>
      <c r="G42" s="8" t="str">
        <f t="shared" si="0"/>
        <v>LALONDE GREGORY</v>
      </c>
    </row>
    <row r="43" spans="1:7" x14ac:dyDescent="0.25">
      <c r="A43" s="8">
        <v>42916.246331018519</v>
      </c>
      <c r="B43" s="20" t="s">
        <v>355</v>
      </c>
      <c r="C43" s="20" t="s">
        <v>676</v>
      </c>
      <c r="D43" s="138">
        <v>940000</v>
      </c>
      <c r="E43" s="20" t="s">
        <v>468</v>
      </c>
      <c r="F43" s="20" t="s">
        <v>469</v>
      </c>
      <c r="G43" s="8" t="str">
        <f t="shared" si="0"/>
        <v>BONDS REYNALDO</v>
      </c>
    </row>
    <row r="44" spans="1:7" x14ac:dyDescent="0.25">
      <c r="A44" s="8">
        <v>42916.247025462966</v>
      </c>
      <c r="B44" s="20" t="s">
        <v>369</v>
      </c>
      <c r="C44" s="20" t="s">
        <v>672</v>
      </c>
      <c r="D44" s="138">
        <v>1340000</v>
      </c>
      <c r="E44" s="20" t="s">
        <v>668</v>
      </c>
      <c r="F44" s="20" t="s">
        <v>669</v>
      </c>
      <c r="G44" s="8" t="str">
        <f t="shared" si="0"/>
        <v>BEAM ROSS</v>
      </c>
    </row>
    <row r="45" spans="1:7" x14ac:dyDescent="0.25">
      <c r="A45" s="8">
        <v>42916.247673611113</v>
      </c>
      <c r="B45" s="20" t="s">
        <v>579</v>
      </c>
      <c r="C45" s="20" t="s">
        <v>585</v>
      </c>
      <c r="D45" s="138">
        <v>1110000</v>
      </c>
      <c r="E45" s="20" t="s">
        <v>470</v>
      </c>
      <c r="F45" s="20" t="s">
        <v>471</v>
      </c>
      <c r="G45" s="8" t="str">
        <f t="shared" si="0"/>
        <v>STARKS ANGELINA</v>
      </c>
    </row>
    <row r="46" spans="1:7" x14ac:dyDescent="0.25">
      <c r="A46" s="8">
        <v>42916.24800925926</v>
      </c>
      <c r="B46" s="20" t="s">
        <v>398</v>
      </c>
      <c r="C46" s="20" t="s">
        <v>677</v>
      </c>
      <c r="D46" s="138">
        <v>2600000</v>
      </c>
      <c r="E46" s="20" t="s">
        <v>659</v>
      </c>
      <c r="F46" s="20" t="s">
        <v>660</v>
      </c>
      <c r="G46" s="8" t="str">
        <f t="shared" si="0"/>
        <v>DAVIDSON DAVID</v>
      </c>
    </row>
    <row r="47" spans="1:7" x14ac:dyDescent="0.25">
      <c r="A47" s="8">
        <v>42916.254131944443</v>
      </c>
      <c r="B47" s="20" t="s">
        <v>594</v>
      </c>
      <c r="C47" s="20" t="s">
        <v>678</v>
      </c>
      <c r="D47" s="138">
        <v>2530000</v>
      </c>
      <c r="E47" s="20" t="s">
        <v>674</v>
      </c>
      <c r="F47" s="20" t="s">
        <v>675</v>
      </c>
      <c r="G47" s="8" t="str">
        <f t="shared" si="0"/>
        <v>LALONDE GREGORY</v>
      </c>
    </row>
    <row r="48" spans="1:7" x14ac:dyDescent="0.25">
      <c r="A48" s="8">
        <v>42916.254618055558</v>
      </c>
      <c r="B48" s="20" t="s">
        <v>458</v>
      </c>
      <c r="C48" s="20" t="s">
        <v>584</v>
      </c>
      <c r="D48" s="138">
        <v>2970000</v>
      </c>
      <c r="E48" s="20" t="s">
        <v>376</v>
      </c>
      <c r="F48" s="20" t="s">
        <v>377</v>
      </c>
      <c r="G48" s="8" t="str">
        <f t="shared" si="0"/>
        <v>GUZMAN DANNY</v>
      </c>
    </row>
    <row r="49" spans="1:7" x14ac:dyDescent="0.25">
      <c r="A49" s="8">
        <v>42916.257314814815</v>
      </c>
      <c r="B49" s="20" t="s">
        <v>409</v>
      </c>
      <c r="C49" s="20" t="s">
        <v>679</v>
      </c>
      <c r="D49" s="138">
        <v>1100000</v>
      </c>
      <c r="E49" s="20" t="s">
        <v>523</v>
      </c>
      <c r="F49" s="20" t="s">
        <v>524</v>
      </c>
      <c r="G49" s="8" t="str">
        <f t="shared" si="0"/>
        <v>GEBRETEKLE DAGNEW</v>
      </c>
    </row>
    <row r="50" spans="1:7" x14ac:dyDescent="0.25">
      <c r="A50" s="8">
        <v>42916.265682870369</v>
      </c>
      <c r="B50" s="20" t="s">
        <v>457</v>
      </c>
      <c r="C50" s="20" t="s">
        <v>680</v>
      </c>
      <c r="D50" s="138">
        <v>1200000</v>
      </c>
      <c r="E50" s="20" t="s">
        <v>650</v>
      </c>
      <c r="F50" s="20" t="s">
        <v>651</v>
      </c>
      <c r="G50" s="8" t="str">
        <f t="shared" si="0"/>
        <v>CUSHING HARRY</v>
      </c>
    </row>
    <row r="51" spans="1:7" x14ac:dyDescent="0.25">
      <c r="A51" s="8">
        <v>42916.267534722225</v>
      </c>
      <c r="B51" s="20" t="s">
        <v>339</v>
      </c>
      <c r="C51" s="20" t="s">
        <v>681</v>
      </c>
      <c r="D51" s="138">
        <v>1990000</v>
      </c>
      <c r="E51" s="20" t="s">
        <v>396</v>
      </c>
      <c r="F51" s="20" t="s">
        <v>521</v>
      </c>
      <c r="G51" s="8" t="str">
        <f t="shared" si="0"/>
        <v>DAVIS WENDY</v>
      </c>
    </row>
    <row r="52" spans="1:7" x14ac:dyDescent="0.25">
      <c r="A52" s="8">
        <v>42916.27008101852</v>
      </c>
      <c r="B52" s="20" t="s">
        <v>459</v>
      </c>
      <c r="C52" s="20" t="s">
        <v>682</v>
      </c>
      <c r="D52" s="138">
        <v>2970000</v>
      </c>
      <c r="E52" s="20" t="s">
        <v>376</v>
      </c>
      <c r="F52" s="20" t="s">
        <v>377</v>
      </c>
      <c r="G52" s="8" t="str">
        <f t="shared" si="0"/>
        <v>GUZMAN DANNY</v>
      </c>
    </row>
    <row r="53" spans="1:7" x14ac:dyDescent="0.25">
      <c r="A53" s="8">
        <v>42916.272268518522</v>
      </c>
      <c r="B53" s="20" t="s">
        <v>339</v>
      </c>
      <c r="C53" s="20" t="s">
        <v>681</v>
      </c>
      <c r="D53" s="138">
        <v>1990000</v>
      </c>
      <c r="E53" s="20" t="s">
        <v>396</v>
      </c>
      <c r="F53" s="20" t="s">
        <v>521</v>
      </c>
      <c r="G53" s="8" t="str">
        <f t="shared" si="0"/>
        <v>DAVIS WENDY</v>
      </c>
    </row>
    <row r="54" spans="1:7" x14ac:dyDescent="0.25">
      <c r="A54" s="8">
        <v>42916.274039351854</v>
      </c>
      <c r="B54" s="20" t="s">
        <v>366</v>
      </c>
      <c r="C54" s="20" t="s">
        <v>683</v>
      </c>
      <c r="D54" s="138">
        <v>1340000</v>
      </c>
      <c r="E54" s="20" t="s">
        <v>668</v>
      </c>
      <c r="F54" s="20" t="s">
        <v>669</v>
      </c>
      <c r="G54" s="8" t="str">
        <f t="shared" si="0"/>
        <v>BEAM ROSS</v>
      </c>
    </row>
    <row r="55" spans="1:7" x14ac:dyDescent="0.25">
      <c r="A55" s="8">
        <v>42916.275381944448</v>
      </c>
      <c r="B55" s="20" t="s">
        <v>599</v>
      </c>
      <c r="C55" s="20" t="s">
        <v>684</v>
      </c>
      <c r="D55" s="138">
        <v>2530000</v>
      </c>
      <c r="E55" s="20" t="s">
        <v>674</v>
      </c>
      <c r="F55" s="20" t="s">
        <v>675</v>
      </c>
      <c r="G55" s="8" t="str">
        <f t="shared" si="0"/>
        <v>LALONDE GREGORY</v>
      </c>
    </row>
    <row r="56" spans="1:7" x14ac:dyDescent="0.25">
      <c r="A56" s="8">
        <v>42916.279421296298</v>
      </c>
      <c r="B56" s="20" t="s">
        <v>586</v>
      </c>
      <c r="C56" s="20" t="s">
        <v>587</v>
      </c>
      <c r="D56" s="138">
        <v>1110000</v>
      </c>
      <c r="E56" s="20" t="s">
        <v>470</v>
      </c>
      <c r="F56" s="20" t="s">
        <v>471</v>
      </c>
      <c r="G56" s="8" t="str">
        <f t="shared" si="0"/>
        <v>STARKS ANGELINA</v>
      </c>
    </row>
    <row r="57" spans="1:7" x14ac:dyDescent="0.25">
      <c r="A57" s="8">
        <v>42916.285081018519</v>
      </c>
      <c r="B57" s="20" t="s">
        <v>601</v>
      </c>
      <c r="C57" s="20" t="s">
        <v>685</v>
      </c>
      <c r="D57" s="138">
        <v>940000</v>
      </c>
      <c r="E57" s="20" t="s">
        <v>468</v>
      </c>
      <c r="F57" s="20" t="s">
        <v>469</v>
      </c>
      <c r="G57" s="8" t="str">
        <f t="shared" si="0"/>
        <v>BONDS REYNALDO</v>
      </c>
    </row>
    <row r="58" spans="1:7" x14ac:dyDescent="0.25">
      <c r="A58" s="8">
        <v>42916.286851851852</v>
      </c>
      <c r="B58" s="20" t="s">
        <v>408</v>
      </c>
      <c r="C58" s="20" t="s">
        <v>686</v>
      </c>
      <c r="D58" s="138">
        <v>1100000</v>
      </c>
      <c r="E58" s="20" t="s">
        <v>523</v>
      </c>
      <c r="F58" s="20" t="s">
        <v>524</v>
      </c>
      <c r="G58" s="8" t="str">
        <f t="shared" si="0"/>
        <v>GEBRETEKLE DAGNEW</v>
      </c>
    </row>
    <row r="59" spans="1:7" x14ac:dyDescent="0.25">
      <c r="A59" s="8">
        <v>42916.287800925929</v>
      </c>
      <c r="B59" s="20" t="s">
        <v>401</v>
      </c>
      <c r="C59" s="20" t="s">
        <v>687</v>
      </c>
      <c r="D59" s="138">
        <v>2600000</v>
      </c>
      <c r="E59" s="20" t="s">
        <v>659</v>
      </c>
      <c r="F59" s="20" t="s">
        <v>660</v>
      </c>
      <c r="G59" s="8" t="str">
        <f t="shared" si="0"/>
        <v>DAVIDSON DAVID</v>
      </c>
    </row>
    <row r="60" spans="1:7" x14ac:dyDescent="0.25">
      <c r="A60" s="8">
        <v>42916.290046296293</v>
      </c>
      <c r="B60" s="20" t="s">
        <v>594</v>
      </c>
      <c r="C60" s="20" t="s">
        <v>688</v>
      </c>
      <c r="D60" s="138">
        <v>2530000</v>
      </c>
      <c r="E60" s="20" t="s">
        <v>674</v>
      </c>
      <c r="F60" s="20" t="s">
        <v>675</v>
      </c>
      <c r="G60" s="8" t="str">
        <f t="shared" si="0"/>
        <v>LALONDE GREGORY</v>
      </c>
    </row>
    <row r="61" spans="1:7" x14ac:dyDescent="0.25">
      <c r="A61" s="8">
        <v>42916.296215277776</v>
      </c>
      <c r="B61" s="20" t="s">
        <v>458</v>
      </c>
      <c r="C61" s="20" t="s">
        <v>689</v>
      </c>
      <c r="D61" s="138">
        <v>2970000</v>
      </c>
      <c r="E61" s="20" t="s">
        <v>376</v>
      </c>
      <c r="F61" s="20" t="s">
        <v>377</v>
      </c>
      <c r="G61" s="8" t="str">
        <f t="shared" si="0"/>
        <v>GUZMAN DANNY</v>
      </c>
    </row>
    <row r="62" spans="1:7" x14ac:dyDescent="0.25">
      <c r="A62" s="8">
        <v>42916.299351851849</v>
      </c>
      <c r="B62" s="20" t="s">
        <v>418</v>
      </c>
      <c r="C62" s="20" t="s">
        <v>690</v>
      </c>
      <c r="D62" s="138">
        <v>1200000</v>
      </c>
      <c r="E62" s="20" t="s">
        <v>650</v>
      </c>
      <c r="F62" s="20" t="s">
        <v>651</v>
      </c>
      <c r="G62" s="8" t="str">
        <f t="shared" si="0"/>
        <v>CUSHING HARRY</v>
      </c>
    </row>
    <row r="63" spans="1:7" x14ac:dyDescent="0.25">
      <c r="A63" s="8">
        <v>42916.308680555558</v>
      </c>
      <c r="B63" s="20" t="s">
        <v>363</v>
      </c>
      <c r="C63" s="20" t="s">
        <v>588</v>
      </c>
      <c r="D63" s="138">
        <v>1990000</v>
      </c>
      <c r="E63" s="20" t="s">
        <v>396</v>
      </c>
      <c r="F63" s="20" t="s">
        <v>521</v>
      </c>
      <c r="G63" s="8" t="str">
        <f t="shared" si="0"/>
        <v>DAVIS WENDY</v>
      </c>
    </row>
    <row r="64" spans="1:7" x14ac:dyDescent="0.25">
      <c r="A64" s="26">
        <v>42916.309467592589</v>
      </c>
      <c r="B64" s="20" t="s">
        <v>579</v>
      </c>
      <c r="C64" s="20" t="s">
        <v>591</v>
      </c>
      <c r="D64" s="138">
        <v>1110000</v>
      </c>
      <c r="E64" s="20" t="s">
        <v>470</v>
      </c>
      <c r="F64" s="20" t="s">
        <v>471</v>
      </c>
      <c r="G64" s="8" t="str">
        <f t="shared" si="0"/>
        <v>STARKS ANGELINA</v>
      </c>
    </row>
    <row r="65" spans="1:7" x14ac:dyDescent="0.25">
      <c r="A65" s="8">
        <v>42916.31050925926</v>
      </c>
      <c r="B65" s="20" t="s">
        <v>369</v>
      </c>
      <c r="C65" s="20" t="s">
        <v>691</v>
      </c>
      <c r="D65" s="138">
        <v>1340000</v>
      </c>
      <c r="E65" s="20" t="s">
        <v>668</v>
      </c>
      <c r="F65" s="20" t="s">
        <v>669</v>
      </c>
      <c r="G65" s="8" t="str">
        <f t="shared" si="0"/>
        <v>BEAM ROSS</v>
      </c>
    </row>
    <row r="66" spans="1:7" x14ac:dyDescent="0.25">
      <c r="A66" s="8">
        <v>42916.316759259258</v>
      </c>
      <c r="B66" s="20" t="s">
        <v>599</v>
      </c>
      <c r="C66" s="20" t="s">
        <v>692</v>
      </c>
      <c r="D66" s="138">
        <v>2530000</v>
      </c>
      <c r="E66" s="20" t="s">
        <v>674</v>
      </c>
      <c r="F66" s="20" t="s">
        <v>675</v>
      </c>
      <c r="G66" s="8" t="str">
        <f t="shared" si="0"/>
        <v>LALONDE GREGORY</v>
      </c>
    </row>
    <row r="67" spans="1:7" x14ac:dyDescent="0.25">
      <c r="A67" s="8">
        <v>42916.318819444445</v>
      </c>
      <c r="B67" s="20" t="s">
        <v>355</v>
      </c>
      <c r="C67" s="20" t="s">
        <v>693</v>
      </c>
      <c r="D67" s="138">
        <v>940000</v>
      </c>
      <c r="E67" s="20" t="s">
        <v>468</v>
      </c>
      <c r="F67" s="20" t="s">
        <v>469</v>
      </c>
      <c r="G67" s="8" t="str">
        <f t="shared" ref="G67:G130" si="1">E67&amp;" "&amp;F67</f>
        <v>BONDS REYNALDO</v>
      </c>
    </row>
    <row r="68" spans="1:7" x14ac:dyDescent="0.25">
      <c r="A68" s="8">
        <v>42916.319699074076</v>
      </c>
      <c r="B68" s="20" t="s">
        <v>398</v>
      </c>
      <c r="C68" s="20" t="s">
        <v>694</v>
      </c>
      <c r="D68" s="138">
        <v>2600000</v>
      </c>
      <c r="E68" s="20" t="s">
        <v>659</v>
      </c>
      <c r="F68" s="20" t="s">
        <v>660</v>
      </c>
      <c r="G68" s="8" t="str">
        <f t="shared" si="1"/>
        <v>DAVIDSON DAVID</v>
      </c>
    </row>
    <row r="69" spans="1:7" x14ac:dyDescent="0.25">
      <c r="A69" s="8">
        <v>42916.324548611112</v>
      </c>
      <c r="B69" s="20" t="s">
        <v>592</v>
      </c>
      <c r="C69" s="20" t="s">
        <v>695</v>
      </c>
      <c r="D69" s="138">
        <v>1090000</v>
      </c>
      <c r="E69" s="20" t="s">
        <v>486</v>
      </c>
      <c r="F69" s="20" t="s">
        <v>191</v>
      </c>
      <c r="G69" s="8" t="str">
        <f t="shared" si="1"/>
        <v>SPECTOR MICHAEL</v>
      </c>
    </row>
    <row r="70" spans="1:7" x14ac:dyDescent="0.25">
      <c r="A70" s="8">
        <v>42916.33011574074</v>
      </c>
      <c r="B70" s="20" t="s">
        <v>409</v>
      </c>
      <c r="C70" s="20" t="s">
        <v>696</v>
      </c>
      <c r="D70" s="138">
        <v>1100000</v>
      </c>
      <c r="E70" s="20" t="s">
        <v>523</v>
      </c>
      <c r="F70" s="20" t="s">
        <v>524</v>
      </c>
      <c r="G70" s="8" t="str">
        <f t="shared" si="1"/>
        <v>GEBRETEKLE DAGNEW</v>
      </c>
    </row>
    <row r="71" spans="1:7" x14ac:dyDescent="0.25">
      <c r="A71" s="8">
        <v>42916.331203703703</v>
      </c>
      <c r="B71" s="20" t="s">
        <v>645</v>
      </c>
      <c r="C71" s="20" t="s">
        <v>695</v>
      </c>
      <c r="D71" s="138">
        <v>1090000</v>
      </c>
      <c r="E71" s="20" t="s">
        <v>486</v>
      </c>
      <c r="F71" s="20" t="s">
        <v>191</v>
      </c>
      <c r="G71" s="8" t="str">
        <f t="shared" si="1"/>
        <v>SPECTOR MICHAEL</v>
      </c>
    </row>
    <row r="72" spans="1:7" x14ac:dyDescent="0.25">
      <c r="A72" s="8">
        <v>42916.332233796296</v>
      </c>
      <c r="B72" s="20" t="s">
        <v>594</v>
      </c>
      <c r="C72" s="20" t="s">
        <v>595</v>
      </c>
      <c r="D72" s="138">
        <v>2530000</v>
      </c>
      <c r="E72" s="20" t="s">
        <v>674</v>
      </c>
      <c r="F72" s="20" t="s">
        <v>675</v>
      </c>
      <c r="G72" s="8" t="str">
        <f t="shared" si="1"/>
        <v>LALONDE GREGORY</v>
      </c>
    </row>
    <row r="73" spans="1:7" x14ac:dyDescent="0.25">
      <c r="A73" s="8">
        <v>42916.334074074075</v>
      </c>
      <c r="B73" s="20" t="s">
        <v>363</v>
      </c>
      <c r="C73" s="20" t="s">
        <v>588</v>
      </c>
      <c r="D73" s="138">
        <v>1990000</v>
      </c>
      <c r="E73" s="20" t="s">
        <v>396</v>
      </c>
      <c r="F73" s="20" t="s">
        <v>521</v>
      </c>
      <c r="G73" s="8" t="str">
        <f t="shared" si="1"/>
        <v>DAVIS WENDY</v>
      </c>
    </row>
    <row r="74" spans="1:7" x14ac:dyDescent="0.25">
      <c r="A74" s="8">
        <v>42916.336759259262</v>
      </c>
      <c r="B74" s="20" t="s">
        <v>592</v>
      </c>
      <c r="C74" s="20" t="s">
        <v>593</v>
      </c>
      <c r="D74" s="138">
        <v>1090000</v>
      </c>
      <c r="E74" s="20" t="s">
        <v>486</v>
      </c>
      <c r="F74" s="20" t="s">
        <v>191</v>
      </c>
      <c r="G74" s="8" t="str">
        <f t="shared" si="1"/>
        <v>SPECTOR MICHAEL</v>
      </c>
    </row>
    <row r="75" spans="1:7" x14ac:dyDescent="0.25">
      <c r="A75" s="8">
        <v>42916.337546296294</v>
      </c>
      <c r="B75" s="20" t="s">
        <v>458</v>
      </c>
      <c r="C75" s="20" t="s">
        <v>697</v>
      </c>
      <c r="D75" s="138">
        <v>2970000</v>
      </c>
      <c r="E75" s="20" t="s">
        <v>376</v>
      </c>
      <c r="F75" s="20" t="s">
        <v>377</v>
      </c>
      <c r="G75" s="8" t="str">
        <f t="shared" si="1"/>
        <v>GUZMAN DANNY</v>
      </c>
    </row>
    <row r="76" spans="1:7" x14ac:dyDescent="0.25">
      <c r="A76" s="8">
        <v>42916.338923611111</v>
      </c>
      <c r="B76" s="20" t="s">
        <v>457</v>
      </c>
      <c r="C76" s="20" t="s">
        <v>698</v>
      </c>
      <c r="D76" s="138">
        <v>1200000</v>
      </c>
      <c r="E76" s="20" t="s">
        <v>650</v>
      </c>
      <c r="F76" s="20" t="s">
        <v>651</v>
      </c>
      <c r="G76" s="8" t="str">
        <f t="shared" si="1"/>
        <v>CUSHING HARRY</v>
      </c>
    </row>
    <row r="77" spans="1:7" x14ac:dyDescent="0.25">
      <c r="A77" s="8">
        <v>42916.349456018521</v>
      </c>
      <c r="B77" s="20" t="s">
        <v>366</v>
      </c>
      <c r="C77" s="20" t="s">
        <v>699</v>
      </c>
      <c r="D77" s="138">
        <v>1340000</v>
      </c>
      <c r="E77" s="20" t="s">
        <v>668</v>
      </c>
      <c r="F77" s="20" t="s">
        <v>669</v>
      </c>
      <c r="G77" s="8" t="str">
        <f t="shared" si="1"/>
        <v>BEAM ROSS</v>
      </c>
    </row>
    <row r="78" spans="1:7" x14ac:dyDescent="0.25">
      <c r="A78" s="8">
        <v>42916.353263888886</v>
      </c>
      <c r="B78" s="20" t="s">
        <v>586</v>
      </c>
      <c r="C78" s="20" t="s">
        <v>700</v>
      </c>
      <c r="D78" s="138">
        <v>1110000</v>
      </c>
      <c r="E78" s="20" t="s">
        <v>470</v>
      </c>
      <c r="F78" s="20" t="s">
        <v>471</v>
      </c>
      <c r="G78" s="8" t="str">
        <f t="shared" si="1"/>
        <v>STARKS ANGELINA</v>
      </c>
    </row>
    <row r="79" spans="1:7" x14ac:dyDescent="0.25">
      <c r="A79" s="8">
        <v>42916.358171296299</v>
      </c>
      <c r="B79" s="20" t="s">
        <v>599</v>
      </c>
      <c r="C79" s="20" t="s">
        <v>701</v>
      </c>
      <c r="D79" s="138">
        <v>2530000</v>
      </c>
      <c r="E79" s="20" t="s">
        <v>674</v>
      </c>
      <c r="F79" s="20" t="s">
        <v>675</v>
      </c>
      <c r="G79" s="8" t="str">
        <f t="shared" si="1"/>
        <v>LALONDE GREGORY</v>
      </c>
    </row>
    <row r="80" spans="1:7" x14ac:dyDescent="0.25">
      <c r="A80" s="8">
        <v>42916.358449074076</v>
      </c>
      <c r="B80" s="20" t="s">
        <v>601</v>
      </c>
      <c r="C80" s="20" t="s">
        <v>702</v>
      </c>
      <c r="D80" s="138">
        <v>940000</v>
      </c>
      <c r="E80" s="20" t="s">
        <v>468</v>
      </c>
      <c r="F80" s="20" t="s">
        <v>469</v>
      </c>
      <c r="G80" s="8" t="str">
        <f t="shared" si="1"/>
        <v>BONDS REYNALDO</v>
      </c>
    </row>
    <row r="81" spans="1:7" x14ac:dyDescent="0.25">
      <c r="A81" s="8">
        <v>42916.360671296294</v>
      </c>
      <c r="B81" s="20" t="s">
        <v>408</v>
      </c>
      <c r="C81" s="20" t="s">
        <v>703</v>
      </c>
      <c r="D81" s="138">
        <v>1100000</v>
      </c>
      <c r="E81" s="20" t="s">
        <v>523</v>
      </c>
      <c r="F81" s="20" t="s">
        <v>524</v>
      </c>
      <c r="G81" s="8" t="str">
        <f t="shared" si="1"/>
        <v>GEBRETEKLE DAGNEW</v>
      </c>
    </row>
    <row r="82" spans="1:7" x14ac:dyDescent="0.25">
      <c r="A82" s="8">
        <v>42916.361770833333</v>
      </c>
      <c r="B82" s="20" t="s">
        <v>401</v>
      </c>
      <c r="C82" s="20" t="s">
        <v>704</v>
      </c>
      <c r="D82" s="138">
        <v>2600000</v>
      </c>
      <c r="E82" s="20" t="s">
        <v>659</v>
      </c>
      <c r="F82" s="20" t="s">
        <v>660</v>
      </c>
      <c r="G82" s="8" t="str">
        <f t="shared" si="1"/>
        <v>DAVIDSON DAVID</v>
      </c>
    </row>
    <row r="83" spans="1:7" x14ac:dyDescent="0.25">
      <c r="A83" s="8">
        <v>42916.37226851852</v>
      </c>
      <c r="B83" s="20" t="s">
        <v>418</v>
      </c>
      <c r="C83" s="20" t="s">
        <v>705</v>
      </c>
      <c r="D83" s="138">
        <v>1200000</v>
      </c>
      <c r="E83" s="20" t="s">
        <v>650</v>
      </c>
      <c r="F83" s="20" t="s">
        <v>651</v>
      </c>
      <c r="G83" s="8" t="str">
        <f t="shared" si="1"/>
        <v>CUSHING HARRY</v>
      </c>
    </row>
    <row r="84" spans="1:7" x14ac:dyDescent="0.25">
      <c r="A84" s="8">
        <v>42916.375115740739</v>
      </c>
      <c r="B84" s="20" t="s">
        <v>594</v>
      </c>
      <c r="C84" s="20" t="s">
        <v>706</v>
      </c>
      <c r="D84" s="138">
        <v>2530000</v>
      </c>
      <c r="E84" s="20" t="s">
        <v>674</v>
      </c>
      <c r="F84" s="20" t="s">
        <v>675</v>
      </c>
      <c r="G84" s="8" t="str">
        <f t="shared" si="1"/>
        <v>LALONDE GREGORY</v>
      </c>
    </row>
    <row r="85" spans="1:7" x14ac:dyDescent="0.25">
      <c r="A85" s="8">
        <v>42916.379745370374</v>
      </c>
      <c r="B85" s="20" t="s">
        <v>645</v>
      </c>
      <c r="C85" s="20" t="s">
        <v>707</v>
      </c>
      <c r="D85" s="138">
        <v>1090000</v>
      </c>
      <c r="E85" s="20" t="s">
        <v>486</v>
      </c>
      <c r="F85" s="20" t="s">
        <v>191</v>
      </c>
      <c r="G85" s="8" t="str">
        <f t="shared" si="1"/>
        <v>SPECTOR MICHAEL</v>
      </c>
    </row>
    <row r="86" spans="1:7" x14ac:dyDescent="0.25">
      <c r="A86" s="8">
        <v>42916.382777777777</v>
      </c>
      <c r="B86" s="20" t="s">
        <v>400</v>
      </c>
      <c r="C86" s="20" t="s">
        <v>596</v>
      </c>
      <c r="D86" s="138">
        <v>1360000</v>
      </c>
      <c r="E86" s="20" t="s">
        <v>490</v>
      </c>
      <c r="F86" s="20" t="s">
        <v>491</v>
      </c>
      <c r="G86" s="8" t="str">
        <f t="shared" si="1"/>
        <v>SANTIZO D. EDY</v>
      </c>
    </row>
    <row r="87" spans="1:7" x14ac:dyDescent="0.25">
      <c r="A87" s="8">
        <v>42916.384027777778</v>
      </c>
      <c r="B87" s="20" t="s">
        <v>369</v>
      </c>
      <c r="C87" s="20" t="s">
        <v>708</v>
      </c>
      <c r="D87" s="138">
        <v>1340000</v>
      </c>
      <c r="E87" s="20" t="s">
        <v>668</v>
      </c>
      <c r="F87" s="20" t="s">
        <v>669</v>
      </c>
      <c r="G87" s="8" t="str">
        <f t="shared" si="1"/>
        <v>BEAM ROSS</v>
      </c>
    </row>
    <row r="88" spans="1:7" x14ac:dyDescent="0.25">
      <c r="A88" s="8">
        <v>42916.39</v>
      </c>
      <c r="B88" s="20" t="s">
        <v>337</v>
      </c>
      <c r="C88" s="20" t="s">
        <v>603</v>
      </c>
      <c r="D88" s="138">
        <v>900000</v>
      </c>
      <c r="E88" s="20" t="s">
        <v>709</v>
      </c>
      <c r="F88" s="20" t="s">
        <v>710</v>
      </c>
      <c r="G88" s="8" t="str">
        <f t="shared" si="1"/>
        <v>ROCHA YAOTL</v>
      </c>
    </row>
    <row r="89" spans="1:7" x14ac:dyDescent="0.25">
      <c r="A89" s="8">
        <v>42916.392777777779</v>
      </c>
      <c r="B89" s="20" t="s">
        <v>579</v>
      </c>
      <c r="C89" s="20" t="s">
        <v>711</v>
      </c>
      <c r="D89" s="138">
        <v>1110000</v>
      </c>
      <c r="E89" s="20" t="s">
        <v>470</v>
      </c>
      <c r="F89" s="20" t="s">
        <v>471</v>
      </c>
      <c r="G89" s="8" t="str">
        <f t="shared" si="1"/>
        <v>STARKS ANGELINA</v>
      </c>
    </row>
    <row r="90" spans="1:7" x14ac:dyDescent="0.25">
      <c r="A90" s="8">
        <v>42916.393009259256</v>
      </c>
      <c r="B90" s="20" t="s">
        <v>355</v>
      </c>
      <c r="C90" s="20" t="s">
        <v>712</v>
      </c>
      <c r="D90" s="138">
        <v>940000</v>
      </c>
      <c r="E90" s="20" t="s">
        <v>468</v>
      </c>
      <c r="F90" s="20" t="s">
        <v>469</v>
      </c>
      <c r="G90" s="8" t="str">
        <f t="shared" si="1"/>
        <v>BONDS REYNALDO</v>
      </c>
    </row>
    <row r="91" spans="1:7" x14ac:dyDescent="0.25">
      <c r="A91" s="8">
        <v>42916.397662037038</v>
      </c>
      <c r="B91" s="20" t="s">
        <v>338</v>
      </c>
      <c r="C91" s="20" t="s">
        <v>603</v>
      </c>
      <c r="D91" s="138">
        <v>900000</v>
      </c>
      <c r="E91" s="20" t="s">
        <v>709</v>
      </c>
      <c r="F91" s="20" t="s">
        <v>710</v>
      </c>
      <c r="G91" s="8" t="str">
        <f t="shared" si="1"/>
        <v>ROCHA YAOTL</v>
      </c>
    </row>
    <row r="92" spans="1:7" x14ac:dyDescent="0.25">
      <c r="A92" s="8">
        <v>42916.3984837963</v>
      </c>
      <c r="B92" s="20" t="s">
        <v>338</v>
      </c>
      <c r="C92" s="20" t="s">
        <v>603</v>
      </c>
      <c r="D92" s="138">
        <v>900000</v>
      </c>
      <c r="E92" s="20" t="s">
        <v>709</v>
      </c>
      <c r="F92" s="20" t="s">
        <v>710</v>
      </c>
      <c r="G92" s="8" t="str">
        <f t="shared" si="1"/>
        <v>ROCHA YAOTL</v>
      </c>
    </row>
    <row r="93" spans="1:7" x14ac:dyDescent="0.25">
      <c r="A93" s="8">
        <v>42916.399351851855</v>
      </c>
      <c r="B93" s="20" t="s">
        <v>398</v>
      </c>
      <c r="C93" s="20" t="s">
        <v>713</v>
      </c>
      <c r="D93" s="138">
        <v>2600000</v>
      </c>
      <c r="E93" s="20" t="s">
        <v>659</v>
      </c>
      <c r="F93" s="20" t="s">
        <v>660</v>
      </c>
      <c r="G93" s="8" t="str">
        <f t="shared" si="1"/>
        <v>DAVIDSON DAVID</v>
      </c>
    </row>
    <row r="94" spans="1:7" x14ac:dyDescent="0.25">
      <c r="A94" s="8">
        <v>42916.40011574074</v>
      </c>
      <c r="B94" s="20" t="s">
        <v>599</v>
      </c>
      <c r="C94" s="20" t="s">
        <v>714</v>
      </c>
      <c r="D94" s="138">
        <v>2530000</v>
      </c>
      <c r="E94" s="20" t="s">
        <v>674</v>
      </c>
      <c r="F94" s="20" t="s">
        <v>675</v>
      </c>
      <c r="G94" s="8" t="str">
        <f t="shared" si="1"/>
        <v>LALONDE GREGORY</v>
      </c>
    </row>
    <row r="95" spans="1:7" x14ac:dyDescent="0.25">
      <c r="A95" s="8">
        <v>42916.401655092595</v>
      </c>
      <c r="B95" s="20" t="s">
        <v>409</v>
      </c>
      <c r="C95" s="20" t="s">
        <v>715</v>
      </c>
      <c r="D95" s="138">
        <v>1100000</v>
      </c>
      <c r="E95" s="20" t="s">
        <v>523</v>
      </c>
      <c r="F95" s="20" t="s">
        <v>524</v>
      </c>
      <c r="G95" s="8" t="str">
        <f t="shared" si="1"/>
        <v>GEBRETEKLE DAGNEW</v>
      </c>
    </row>
    <row r="96" spans="1:7" x14ac:dyDescent="0.25">
      <c r="A96" s="8">
        <v>42916.403414351851</v>
      </c>
      <c r="B96" s="20" t="s">
        <v>399</v>
      </c>
      <c r="C96" s="20" t="s">
        <v>596</v>
      </c>
      <c r="D96" s="138">
        <v>1360000</v>
      </c>
      <c r="E96" s="20" t="s">
        <v>490</v>
      </c>
      <c r="F96" s="20" t="s">
        <v>491</v>
      </c>
      <c r="G96" s="8" t="str">
        <f t="shared" si="1"/>
        <v>SANTIZO D. EDY</v>
      </c>
    </row>
    <row r="97" spans="1:7" x14ac:dyDescent="0.25">
      <c r="A97" s="8">
        <v>42916.404791666668</v>
      </c>
      <c r="B97" s="20" t="s">
        <v>399</v>
      </c>
      <c r="C97" s="20" t="s">
        <v>596</v>
      </c>
      <c r="D97" s="138">
        <v>1360000</v>
      </c>
      <c r="E97" s="20" t="s">
        <v>490</v>
      </c>
      <c r="F97" s="20" t="s">
        <v>491</v>
      </c>
      <c r="G97" s="8" t="str">
        <f t="shared" si="1"/>
        <v>SANTIZO D. EDY</v>
      </c>
    </row>
    <row r="98" spans="1:7" x14ac:dyDescent="0.25">
      <c r="A98" s="8">
        <v>42916.411863425928</v>
      </c>
      <c r="B98" s="20" t="s">
        <v>457</v>
      </c>
      <c r="C98" s="20" t="s">
        <v>597</v>
      </c>
      <c r="D98" s="138">
        <v>1200000</v>
      </c>
      <c r="E98" s="20" t="s">
        <v>650</v>
      </c>
      <c r="F98" s="20" t="s">
        <v>651</v>
      </c>
      <c r="G98" s="8" t="str">
        <f t="shared" si="1"/>
        <v>CUSHING HARRY</v>
      </c>
    </row>
    <row r="99" spans="1:7" x14ac:dyDescent="0.25">
      <c r="A99" s="8">
        <v>42916.412465277775</v>
      </c>
      <c r="B99" s="20" t="s">
        <v>337</v>
      </c>
      <c r="C99" s="20" t="s">
        <v>716</v>
      </c>
      <c r="D99" s="138">
        <v>900000</v>
      </c>
      <c r="E99" s="20" t="s">
        <v>709</v>
      </c>
      <c r="F99" s="20" t="s">
        <v>710</v>
      </c>
      <c r="G99" s="8" t="str">
        <f t="shared" si="1"/>
        <v>ROCHA YAOTL</v>
      </c>
    </row>
    <row r="100" spans="1:7" x14ac:dyDescent="0.25">
      <c r="A100" s="8">
        <v>42916.415451388886</v>
      </c>
      <c r="B100" s="20" t="s">
        <v>594</v>
      </c>
      <c r="C100" s="20" t="s">
        <v>598</v>
      </c>
      <c r="D100" s="138">
        <v>2530000</v>
      </c>
      <c r="E100" s="20" t="s">
        <v>674</v>
      </c>
      <c r="F100" s="20" t="s">
        <v>675</v>
      </c>
      <c r="G100" s="8" t="str">
        <f t="shared" si="1"/>
        <v>LALONDE GREGORY</v>
      </c>
    </row>
    <row r="101" spans="1:7" x14ac:dyDescent="0.25">
      <c r="A101" s="8">
        <v>42916.419259259259</v>
      </c>
      <c r="B101" s="20" t="s">
        <v>592</v>
      </c>
      <c r="C101" s="20" t="s">
        <v>717</v>
      </c>
      <c r="D101" s="138">
        <v>0</v>
      </c>
      <c r="E101" s="20" t="s">
        <v>718</v>
      </c>
      <c r="F101" s="20" t="s">
        <v>403</v>
      </c>
      <c r="G101" s="8" t="str">
        <f t="shared" si="1"/>
        <v>HAUSER FRANK</v>
      </c>
    </row>
    <row r="102" spans="1:7" x14ac:dyDescent="0.25">
      <c r="A102" s="8">
        <v>42916.421168981484</v>
      </c>
      <c r="B102" s="20" t="s">
        <v>592</v>
      </c>
      <c r="C102" s="20" t="s">
        <v>717</v>
      </c>
      <c r="D102" s="138">
        <v>2970000</v>
      </c>
      <c r="E102" s="20" t="s">
        <v>376</v>
      </c>
      <c r="F102" s="20" t="s">
        <v>377</v>
      </c>
      <c r="G102" s="8" t="str">
        <f t="shared" si="1"/>
        <v>GUZMAN DANNY</v>
      </c>
    </row>
    <row r="103" spans="1:7" x14ac:dyDescent="0.25">
      <c r="A103" s="8">
        <v>42916.421597222223</v>
      </c>
      <c r="B103" s="20" t="s">
        <v>366</v>
      </c>
      <c r="C103" s="20" t="s">
        <v>719</v>
      </c>
      <c r="D103" s="138">
        <v>1340000</v>
      </c>
      <c r="E103" s="20" t="s">
        <v>668</v>
      </c>
      <c r="F103" s="20" t="s">
        <v>669</v>
      </c>
      <c r="G103" s="8" t="str">
        <f t="shared" si="1"/>
        <v>BEAM ROSS</v>
      </c>
    </row>
    <row r="104" spans="1:7" x14ac:dyDescent="0.25">
      <c r="A104" s="8">
        <v>42916.422361111108</v>
      </c>
      <c r="B104" s="20" t="s">
        <v>400</v>
      </c>
      <c r="C104" s="20" t="s">
        <v>596</v>
      </c>
      <c r="D104" s="138">
        <v>1360000</v>
      </c>
      <c r="E104" s="20" t="s">
        <v>490</v>
      </c>
      <c r="F104" s="20" t="s">
        <v>491</v>
      </c>
      <c r="G104" s="8" t="str">
        <f t="shared" si="1"/>
        <v>SANTIZO D. EDY</v>
      </c>
    </row>
    <row r="105" spans="1:7" x14ac:dyDescent="0.25">
      <c r="A105" s="8">
        <v>42916.432025462964</v>
      </c>
      <c r="B105" s="20" t="s">
        <v>601</v>
      </c>
      <c r="C105" s="20" t="s">
        <v>720</v>
      </c>
      <c r="D105" s="138">
        <v>940000</v>
      </c>
      <c r="E105" s="20" t="s">
        <v>468</v>
      </c>
      <c r="F105" s="20" t="s">
        <v>469</v>
      </c>
      <c r="G105" s="8" t="str">
        <f t="shared" si="1"/>
        <v>BONDS REYNALDO</v>
      </c>
    </row>
    <row r="106" spans="1:7" x14ac:dyDescent="0.25">
      <c r="A106" s="8">
        <v>42916.43378472222</v>
      </c>
      <c r="B106" s="20" t="s">
        <v>408</v>
      </c>
      <c r="C106" s="20" t="s">
        <v>721</v>
      </c>
      <c r="D106" s="138">
        <v>1100000</v>
      </c>
      <c r="E106" s="20" t="s">
        <v>523</v>
      </c>
      <c r="F106" s="20" t="s">
        <v>524</v>
      </c>
      <c r="G106" s="8" t="str">
        <f t="shared" si="1"/>
        <v>GEBRETEKLE DAGNEW</v>
      </c>
    </row>
    <row r="107" spans="1:7" x14ac:dyDescent="0.25">
      <c r="A107" s="8">
        <v>42916.433900462966</v>
      </c>
      <c r="B107" s="20" t="s">
        <v>401</v>
      </c>
      <c r="C107" s="20" t="s">
        <v>722</v>
      </c>
      <c r="D107" s="138">
        <v>2600000</v>
      </c>
      <c r="E107" s="20" t="s">
        <v>659</v>
      </c>
      <c r="F107" s="20" t="s">
        <v>660</v>
      </c>
      <c r="G107" s="8" t="str">
        <f t="shared" si="1"/>
        <v>DAVIDSON DAVID</v>
      </c>
    </row>
    <row r="108" spans="1:7" x14ac:dyDescent="0.25">
      <c r="A108" s="8">
        <v>42916.441863425927</v>
      </c>
      <c r="B108" s="20" t="s">
        <v>599</v>
      </c>
      <c r="C108" s="20" t="s">
        <v>723</v>
      </c>
      <c r="D108" s="138">
        <v>2530000</v>
      </c>
      <c r="E108" s="20" t="s">
        <v>674</v>
      </c>
      <c r="F108" s="20" t="s">
        <v>675</v>
      </c>
      <c r="G108" s="8" t="str">
        <f t="shared" si="1"/>
        <v>LALONDE GREGORY</v>
      </c>
    </row>
    <row r="109" spans="1:7" x14ac:dyDescent="0.25">
      <c r="A109" s="8">
        <v>42916.44630787037</v>
      </c>
      <c r="B109" s="20" t="s">
        <v>418</v>
      </c>
      <c r="C109" s="20" t="s">
        <v>724</v>
      </c>
      <c r="D109" s="138">
        <v>3010000</v>
      </c>
      <c r="E109" s="20" t="s">
        <v>388</v>
      </c>
      <c r="F109" s="20" t="s">
        <v>389</v>
      </c>
      <c r="G109" s="8" t="str">
        <f t="shared" si="1"/>
        <v>SULLIVAN BRANDON</v>
      </c>
    </row>
    <row r="110" spans="1:7" x14ac:dyDescent="0.25">
      <c r="A110" s="8">
        <v>42916.449733796297</v>
      </c>
      <c r="B110" s="20" t="s">
        <v>520</v>
      </c>
      <c r="C110" s="20" t="s">
        <v>725</v>
      </c>
      <c r="D110" s="138">
        <v>1800000</v>
      </c>
      <c r="E110" s="20" t="s">
        <v>374</v>
      </c>
      <c r="F110" s="20" t="s">
        <v>375</v>
      </c>
      <c r="G110" s="8" t="str">
        <f t="shared" si="1"/>
        <v>CHANDLER KELVIN</v>
      </c>
    </row>
    <row r="111" spans="1:7" x14ac:dyDescent="0.25">
      <c r="A111" s="8">
        <v>42916.452743055554</v>
      </c>
      <c r="B111" s="20" t="s">
        <v>399</v>
      </c>
      <c r="C111" s="20" t="s">
        <v>596</v>
      </c>
      <c r="D111" s="138">
        <v>1360000</v>
      </c>
      <c r="E111" s="20" t="s">
        <v>490</v>
      </c>
      <c r="F111" s="20" t="s">
        <v>491</v>
      </c>
      <c r="G111" s="8" t="str">
        <f t="shared" si="1"/>
        <v>SANTIZO D. EDY</v>
      </c>
    </row>
    <row r="112" spans="1:7" x14ac:dyDescent="0.25">
      <c r="A112" s="8">
        <v>42916.454780092594</v>
      </c>
      <c r="B112" s="20" t="s">
        <v>338</v>
      </c>
      <c r="C112" s="20" t="s">
        <v>726</v>
      </c>
      <c r="D112" s="138">
        <v>900000</v>
      </c>
      <c r="E112" s="20" t="s">
        <v>709</v>
      </c>
      <c r="F112" s="20" t="s">
        <v>710</v>
      </c>
      <c r="G112" s="8" t="str">
        <f t="shared" si="1"/>
        <v>ROCHA YAOTL</v>
      </c>
    </row>
    <row r="113" spans="1:7" x14ac:dyDescent="0.25">
      <c r="A113" s="8">
        <v>42916.455659722225</v>
      </c>
      <c r="B113" s="20" t="s">
        <v>645</v>
      </c>
      <c r="C113" s="20" t="s">
        <v>727</v>
      </c>
      <c r="D113" s="138">
        <v>2970000</v>
      </c>
      <c r="E113" s="20" t="s">
        <v>376</v>
      </c>
      <c r="F113" s="20" t="s">
        <v>377</v>
      </c>
      <c r="G113" s="8" t="str">
        <f t="shared" si="1"/>
        <v>GUZMAN DANNY</v>
      </c>
    </row>
    <row r="114" spans="1:7" x14ac:dyDescent="0.25">
      <c r="A114" s="8">
        <v>42916.456365740742</v>
      </c>
      <c r="B114" s="20" t="s">
        <v>369</v>
      </c>
      <c r="C114" s="20" t="s">
        <v>728</v>
      </c>
      <c r="D114" s="138">
        <v>1340000</v>
      </c>
      <c r="E114" s="20" t="s">
        <v>668</v>
      </c>
      <c r="F114" s="20" t="s">
        <v>669</v>
      </c>
      <c r="G114" s="8" t="str">
        <f t="shared" si="1"/>
        <v>BEAM ROSS</v>
      </c>
    </row>
    <row r="115" spans="1:7" x14ac:dyDescent="0.25">
      <c r="A115" s="8">
        <v>42916.457083333335</v>
      </c>
      <c r="B115" s="20" t="s">
        <v>594</v>
      </c>
      <c r="C115" s="20" t="s">
        <v>729</v>
      </c>
      <c r="D115" s="138">
        <v>2530000</v>
      </c>
      <c r="E115" s="20" t="s">
        <v>674</v>
      </c>
      <c r="F115" s="20" t="s">
        <v>675</v>
      </c>
      <c r="G115" s="8" t="str">
        <f t="shared" si="1"/>
        <v>LALONDE GREGORY</v>
      </c>
    </row>
    <row r="116" spans="1:7" x14ac:dyDescent="0.25">
      <c r="A116" s="8">
        <v>42916.466319444444</v>
      </c>
      <c r="B116" s="20" t="s">
        <v>355</v>
      </c>
      <c r="C116" s="20" t="s">
        <v>730</v>
      </c>
      <c r="D116" s="138">
        <v>2360000</v>
      </c>
      <c r="E116" s="20" t="s">
        <v>731</v>
      </c>
      <c r="F116" s="20" t="s">
        <v>732</v>
      </c>
      <c r="G116" s="8" t="str">
        <f t="shared" si="1"/>
        <v>BRANDNER MELINDA</v>
      </c>
    </row>
    <row r="117" spans="1:7" x14ac:dyDescent="0.25">
      <c r="A117" s="8">
        <v>42916.466597222221</v>
      </c>
      <c r="B117" s="20" t="s">
        <v>398</v>
      </c>
      <c r="C117" s="20" t="s">
        <v>733</v>
      </c>
      <c r="D117" s="138">
        <v>2600000</v>
      </c>
      <c r="E117" s="20" t="s">
        <v>659</v>
      </c>
      <c r="F117" s="20" t="s">
        <v>660</v>
      </c>
      <c r="G117" s="8" t="str">
        <f t="shared" si="1"/>
        <v>DAVIDSON DAVID</v>
      </c>
    </row>
    <row r="118" spans="1:7" x14ac:dyDescent="0.25">
      <c r="A118" s="8">
        <v>42916.467187499999</v>
      </c>
      <c r="B118" s="20" t="s">
        <v>586</v>
      </c>
      <c r="C118" s="20" t="s">
        <v>734</v>
      </c>
      <c r="D118" s="138">
        <v>1780000</v>
      </c>
      <c r="E118" s="20" t="s">
        <v>474</v>
      </c>
      <c r="F118" s="20" t="s">
        <v>475</v>
      </c>
      <c r="G118" s="8" t="str">
        <f t="shared" si="1"/>
        <v>DE LA ROSA ALEX</v>
      </c>
    </row>
    <row r="119" spans="1:7" x14ac:dyDescent="0.25">
      <c r="A119" s="8">
        <v>42916.468680555554</v>
      </c>
      <c r="B119" s="20" t="s">
        <v>400</v>
      </c>
      <c r="C119" s="20" t="s">
        <v>596</v>
      </c>
      <c r="D119" s="138">
        <v>1360000</v>
      </c>
      <c r="E119" s="20" t="s">
        <v>490</v>
      </c>
      <c r="F119" s="20" t="s">
        <v>491</v>
      </c>
      <c r="G119" s="8" t="str">
        <f t="shared" si="1"/>
        <v>SANTIZO D. EDY</v>
      </c>
    </row>
    <row r="120" spans="1:7" x14ac:dyDescent="0.25">
      <c r="A120" s="8">
        <v>42916.474004629628</v>
      </c>
      <c r="B120" s="20" t="s">
        <v>579</v>
      </c>
      <c r="C120" s="20" t="s">
        <v>734</v>
      </c>
      <c r="D120" s="138">
        <v>1780000</v>
      </c>
      <c r="E120" s="20" t="s">
        <v>474</v>
      </c>
      <c r="F120" s="20" t="s">
        <v>475</v>
      </c>
      <c r="G120" s="8" t="str">
        <f t="shared" si="1"/>
        <v>DE LA ROSA ALEX</v>
      </c>
    </row>
    <row r="121" spans="1:7" x14ac:dyDescent="0.25">
      <c r="A121" s="8">
        <v>42916.475474537037</v>
      </c>
      <c r="B121" s="20" t="s">
        <v>409</v>
      </c>
      <c r="C121" s="20" t="s">
        <v>735</v>
      </c>
      <c r="D121" s="138">
        <v>880000</v>
      </c>
      <c r="E121" s="20" t="s">
        <v>492</v>
      </c>
      <c r="F121" s="20" t="s">
        <v>191</v>
      </c>
      <c r="G121" s="8" t="str">
        <f t="shared" si="1"/>
        <v>STEWART MICHAEL</v>
      </c>
    </row>
    <row r="122" spans="1:7" x14ac:dyDescent="0.25">
      <c r="A122" s="8">
        <v>42916.478773148148</v>
      </c>
      <c r="B122" s="25" t="s">
        <v>522</v>
      </c>
      <c r="C122" s="20" t="s">
        <v>736</v>
      </c>
      <c r="D122" s="138">
        <v>1100000</v>
      </c>
      <c r="E122" s="20" t="s">
        <v>523</v>
      </c>
      <c r="F122" s="20" t="s">
        <v>524</v>
      </c>
      <c r="G122" s="8" t="str">
        <f t="shared" si="1"/>
        <v>GEBRETEKLE DAGNEW</v>
      </c>
    </row>
    <row r="123" spans="1:7" x14ac:dyDescent="0.25">
      <c r="A123" s="8">
        <v>42916.481863425928</v>
      </c>
      <c r="B123" s="20" t="s">
        <v>457</v>
      </c>
      <c r="C123" s="20" t="s">
        <v>737</v>
      </c>
      <c r="D123" s="138">
        <v>3010000</v>
      </c>
      <c r="E123" s="20" t="s">
        <v>388</v>
      </c>
      <c r="F123" s="20" t="s">
        <v>389</v>
      </c>
      <c r="G123" s="8" t="str">
        <f t="shared" si="1"/>
        <v>SULLIVAN BRANDON</v>
      </c>
    </row>
    <row r="124" spans="1:7" x14ac:dyDescent="0.25">
      <c r="A124" s="8">
        <v>42916.483587962961</v>
      </c>
      <c r="B124" s="20" t="s">
        <v>599</v>
      </c>
      <c r="C124" s="20" t="s">
        <v>738</v>
      </c>
      <c r="D124" s="138">
        <v>2530000</v>
      </c>
      <c r="E124" s="20" t="s">
        <v>674</v>
      </c>
      <c r="F124" s="20" t="s">
        <v>675</v>
      </c>
      <c r="G124" s="8" t="str">
        <f t="shared" si="1"/>
        <v>LALONDE GREGORY</v>
      </c>
    </row>
    <row r="125" spans="1:7" x14ac:dyDescent="0.25">
      <c r="A125" s="8">
        <v>42916.484212962961</v>
      </c>
      <c r="B125" s="20" t="s">
        <v>586</v>
      </c>
      <c r="C125" s="20" t="s">
        <v>739</v>
      </c>
      <c r="D125" s="138">
        <v>1180000</v>
      </c>
      <c r="E125" s="20" t="s">
        <v>476</v>
      </c>
      <c r="F125" s="20" t="s">
        <v>477</v>
      </c>
      <c r="G125" s="8" t="str">
        <f t="shared" si="1"/>
        <v>LEVERE CRAIG</v>
      </c>
    </row>
    <row r="126" spans="1:7" x14ac:dyDescent="0.25">
      <c r="A126" s="8">
        <v>42916.488391203704</v>
      </c>
      <c r="B126" s="20" t="s">
        <v>399</v>
      </c>
      <c r="C126" s="20" t="s">
        <v>740</v>
      </c>
      <c r="D126" s="138">
        <v>1360000</v>
      </c>
      <c r="E126" s="20" t="s">
        <v>490</v>
      </c>
      <c r="F126" s="20" t="s">
        <v>491</v>
      </c>
      <c r="G126" s="8" t="str">
        <f t="shared" si="1"/>
        <v>SANTIZO D. EDY</v>
      </c>
    </row>
    <row r="127" spans="1:7" x14ac:dyDescent="0.25">
      <c r="A127" s="8">
        <v>42916.490856481483</v>
      </c>
      <c r="B127" s="20" t="s">
        <v>337</v>
      </c>
      <c r="C127" s="20" t="s">
        <v>741</v>
      </c>
      <c r="D127" s="138">
        <v>900000</v>
      </c>
      <c r="E127" s="20" t="s">
        <v>709</v>
      </c>
      <c r="F127" s="20" t="s">
        <v>710</v>
      </c>
      <c r="G127" s="8" t="str">
        <f t="shared" si="1"/>
        <v>ROCHA YAOTL</v>
      </c>
    </row>
    <row r="128" spans="1:7" x14ac:dyDescent="0.25">
      <c r="A128" s="8">
        <v>42916.494131944448</v>
      </c>
      <c r="B128" s="20" t="s">
        <v>366</v>
      </c>
      <c r="C128" s="20" t="s">
        <v>742</v>
      </c>
      <c r="D128" s="138">
        <v>1340000</v>
      </c>
      <c r="E128" s="20" t="s">
        <v>668</v>
      </c>
      <c r="F128" s="20" t="s">
        <v>669</v>
      </c>
      <c r="G128" s="8" t="str">
        <f t="shared" si="1"/>
        <v>BEAM ROSS</v>
      </c>
    </row>
    <row r="129" spans="1:7" x14ac:dyDescent="0.25">
      <c r="A129" s="8">
        <v>42916.497060185182</v>
      </c>
      <c r="B129" s="20" t="s">
        <v>592</v>
      </c>
      <c r="C129" s="20" t="s">
        <v>743</v>
      </c>
      <c r="D129" s="138">
        <v>2730000</v>
      </c>
      <c r="E129" s="20" t="s">
        <v>488</v>
      </c>
      <c r="F129" s="20" t="s">
        <v>489</v>
      </c>
      <c r="G129" s="8" t="str">
        <f t="shared" si="1"/>
        <v>YANG JAN</v>
      </c>
    </row>
    <row r="130" spans="1:7" x14ac:dyDescent="0.25">
      <c r="A130" s="8">
        <v>42916.503437500003</v>
      </c>
      <c r="B130" s="20" t="s">
        <v>594</v>
      </c>
      <c r="C130" s="20" t="s">
        <v>744</v>
      </c>
      <c r="D130" s="138">
        <v>2530000</v>
      </c>
      <c r="E130" s="20" t="s">
        <v>674</v>
      </c>
      <c r="F130" s="20" t="s">
        <v>675</v>
      </c>
      <c r="G130" s="8" t="str">
        <f t="shared" si="1"/>
        <v>LALONDE GREGORY</v>
      </c>
    </row>
    <row r="131" spans="1:7" x14ac:dyDescent="0.25">
      <c r="A131" s="8">
        <v>42916.505787037036</v>
      </c>
      <c r="B131" s="20" t="s">
        <v>601</v>
      </c>
      <c r="C131" s="20" t="s">
        <v>602</v>
      </c>
      <c r="D131" s="138">
        <v>2360000</v>
      </c>
      <c r="E131" s="20" t="s">
        <v>731</v>
      </c>
      <c r="F131" s="20" t="s">
        <v>732</v>
      </c>
      <c r="G131" s="8" t="str">
        <f t="shared" ref="G131:G194" si="2">E131&amp;" "&amp;F131</f>
        <v>BRANDNER MELINDA</v>
      </c>
    </row>
    <row r="132" spans="1:7" x14ac:dyDescent="0.25">
      <c r="A132" s="8">
        <v>42916.507268518515</v>
      </c>
      <c r="B132" s="20" t="s">
        <v>401</v>
      </c>
      <c r="C132" s="20" t="s">
        <v>745</v>
      </c>
      <c r="D132" s="138">
        <v>1300000</v>
      </c>
      <c r="E132" s="20" t="s">
        <v>493</v>
      </c>
      <c r="F132" s="20" t="s">
        <v>494</v>
      </c>
      <c r="G132" s="8" t="str">
        <f t="shared" si="2"/>
        <v>LEVIN SCOTT</v>
      </c>
    </row>
    <row r="133" spans="1:7" x14ac:dyDescent="0.25">
      <c r="A133" s="8">
        <v>42916.516030092593</v>
      </c>
      <c r="B133" s="20" t="s">
        <v>418</v>
      </c>
      <c r="C133" s="20" t="s">
        <v>604</v>
      </c>
      <c r="D133" s="138">
        <v>3010000</v>
      </c>
      <c r="E133" s="20" t="s">
        <v>388</v>
      </c>
      <c r="F133" s="20" t="s">
        <v>389</v>
      </c>
      <c r="G133" s="8" t="str">
        <f t="shared" si="2"/>
        <v>SULLIVAN BRANDON</v>
      </c>
    </row>
    <row r="134" spans="1:7" x14ac:dyDescent="0.25">
      <c r="A134" s="8">
        <v>42916.516655092593</v>
      </c>
      <c r="B134" s="20" t="s">
        <v>408</v>
      </c>
      <c r="C134" s="20" t="s">
        <v>746</v>
      </c>
      <c r="D134" s="138">
        <v>880000</v>
      </c>
      <c r="E134" s="20" t="s">
        <v>492</v>
      </c>
      <c r="F134" s="20" t="s">
        <v>191</v>
      </c>
      <c r="G134" s="8" t="str">
        <f t="shared" si="2"/>
        <v>STEWART MICHAEL</v>
      </c>
    </row>
    <row r="135" spans="1:7" x14ac:dyDescent="0.25">
      <c r="A135" s="8">
        <v>42916.519074074073</v>
      </c>
      <c r="B135" s="20" t="s">
        <v>517</v>
      </c>
      <c r="C135" s="20" t="s">
        <v>603</v>
      </c>
      <c r="D135" s="138">
        <v>1360000</v>
      </c>
      <c r="E135" s="20" t="s">
        <v>490</v>
      </c>
      <c r="F135" s="20" t="s">
        <v>491</v>
      </c>
      <c r="G135" s="8" t="str">
        <f t="shared" si="2"/>
        <v>SANTIZO D. EDY</v>
      </c>
    </row>
    <row r="136" spans="1:7" x14ac:dyDescent="0.25">
      <c r="A136" s="8">
        <v>42916.523877314816</v>
      </c>
      <c r="B136" s="20" t="s">
        <v>519</v>
      </c>
      <c r="C136" s="20" t="s">
        <v>603</v>
      </c>
      <c r="D136" s="138">
        <v>1360000</v>
      </c>
      <c r="E136" s="20" t="s">
        <v>490</v>
      </c>
      <c r="F136" s="20" t="s">
        <v>491</v>
      </c>
      <c r="G136" s="8" t="str">
        <f t="shared" si="2"/>
        <v>SANTIZO D. EDY</v>
      </c>
    </row>
    <row r="137" spans="1:7" x14ac:dyDescent="0.25">
      <c r="A137" s="8">
        <v>42916.525138888886</v>
      </c>
      <c r="B137" s="20" t="s">
        <v>599</v>
      </c>
      <c r="C137" s="20" t="s">
        <v>600</v>
      </c>
      <c r="D137" s="138">
        <v>2530000</v>
      </c>
      <c r="E137" s="20" t="s">
        <v>674</v>
      </c>
      <c r="F137" s="20" t="s">
        <v>675</v>
      </c>
      <c r="G137" s="8" t="str">
        <f t="shared" si="2"/>
        <v>LALONDE GREGORY</v>
      </c>
    </row>
    <row r="138" spans="1:7" x14ac:dyDescent="0.25">
      <c r="A138" s="8">
        <v>42916.525856481479</v>
      </c>
      <c r="B138" s="20" t="s">
        <v>579</v>
      </c>
      <c r="C138" s="20" t="s">
        <v>747</v>
      </c>
      <c r="D138" s="138">
        <v>1180000</v>
      </c>
      <c r="E138" s="20" t="s">
        <v>476</v>
      </c>
      <c r="F138" s="20" t="s">
        <v>477</v>
      </c>
      <c r="G138" s="8" t="str">
        <f t="shared" si="2"/>
        <v>LEVERE CRAIG</v>
      </c>
    </row>
    <row r="139" spans="1:7" x14ac:dyDescent="0.25">
      <c r="A139" s="8">
        <v>42916.526423611111</v>
      </c>
      <c r="B139" s="20" t="s">
        <v>369</v>
      </c>
      <c r="C139" s="20" t="s">
        <v>605</v>
      </c>
      <c r="D139" s="138">
        <v>2420000</v>
      </c>
      <c r="E139" s="20" t="s">
        <v>529</v>
      </c>
      <c r="F139" s="20" t="s">
        <v>530</v>
      </c>
      <c r="G139" s="8" t="str">
        <f t="shared" si="2"/>
        <v>HOLCOMB KAMDEN</v>
      </c>
    </row>
    <row r="140" spans="1:7" x14ac:dyDescent="0.25">
      <c r="A140" s="8">
        <v>42916.537326388891</v>
      </c>
      <c r="B140" s="20" t="s">
        <v>645</v>
      </c>
      <c r="C140" s="20" t="s">
        <v>748</v>
      </c>
      <c r="D140" s="138">
        <v>2730000</v>
      </c>
      <c r="E140" s="20" t="s">
        <v>488</v>
      </c>
      <c r="F140" s="20" t="s">
        <v>489</v>
      </c>
      <c r="G140" s="8" t="str">
        <f t="shared" si="2"/>
        <v>YANG JAN</v>
      </c>
    </row>
    <row r="141" spans="1:7" x14ac:dyDescent="0.25">
      <c r="A141" s="8">
        <v>42916.540046296293</v>
      </c>
      <c r="B141" s="20" t="s">
        <v>355</v>
      </c>
      <c r="C141" s="20" t="s">
        <v>749</v>
      </c>
      <c r="D141" s="138">
        <v>2360000</v>
      </c>
      <c r="E141" s="20" t="s">
        <v>731</v>
      </c>
      <c r="F141" s="20" t="s">
        <v>732</v>
      </c>
      <c r="G141" s="8" t="str">
        <f t="shared" si="2"/>
        <v>BRANDNER MELINDA</v>
      </c>
    </row>
    <row r="142" spans="1:7" x14ac:dyDescent="0.25">
      <c r="A142" s="8">
        <v>42916.540243055555</v>
      </c>
      <c r="B142" s="20" t="s">
        <v>517</v>
      </c>
      <c r="C142" s="20" t="s">
        <v>603</v>
      </c>
      <c r="D142" s="138">
        <v>1360000</v>
      </c>
      <c r="E142" s="20" t="s">
        <v>490</v>
      </c>
      <c r="F142" s="20" t="s">
        <v>491</v>
      </c>
      <c r="G142" s="8" t="str">
        <f t="shared" si="2"/>
        <v>SANTIZO D. EDY</v>
      </c>
    </row>
    <row r="143" spans="1:7" x14ac:dyDescent="0.25">
      <c r="A143" s="8">
        <v>42916.54078703704</v>
      </c>
      <c r="B143" s="20" t="s">
        <v>517</v>
      </c>
      <c r="C143" s="20" t="s">
        <v>603</v>
      </c>
      <c r="D143" s="138">
        <v>1360000</v>
      </c>
      <c r="E143" s="20" t="s">
        <v>490</v>
      </c>
      <c r="F143" s="20" t="s">
        <v>491</v>
      </c>
      <c r="G143" s="8" t="str">
        <f t="shared" si="2"/>
        <v>SANTIZO D. EDY</v>
      </c>
    </row>
    <row r="144" spans="1:7" x14ac:dyDescent="0.25">
      <c r="A144" s="8">
        <v>42916.546134259261</v>
      </c>
      <c r="B144" s="20" t="s">
        <v>355</v>
      </c>
      <c r="C144" s="20" t="s">
        <v>749</v>
      </c>
      <c r="D144" s="138">
        <v>2360000</v>
      </c>
      <c r="E144" s="20" t="s">
        <v>731</v>
      </c>
      <c r="F144" s="20" t="s">
        <v>732</v>
      </c>
      <c r="G144" s="8" t="str">
        <f t="shared" si="2"/>
        <v>BRANDNER MELINDA</v>
      </c>
    </row>
    <row r="145" spans="1:7" x14ac:dyDescent="0.25">
      <c r="A145" s="8">
        <v>42916.548182870371</v>
      </c>
      <c r="B145" s="20" t="s">
        <v>594</v>
      </c>
      <c r="C145" s="20" t="s">
        <v>750</v>
      </c>
      <c r="D145" s="138">
        <v>2370000</v>
      </c>
      <c r="E145" s="20" t="s">
        <v>527</v>
      </c>
      <c r="F145" s="20" t="s">
        <v>528</v>
      </c>
      <c r="G145" s="8" t="str">
        <f t="shared" si="2"/>
        <v>DELGADO DIANAH</v>
      </c>
    </row>
    <row r="146" spans="1:7" x14ac:dyDescent="0.25">
      <c r="A146" s="8">
        <v>42916.548668981479</v>
      </c>
      <c r="B146" s="20" t="s">
        <v>398</v>
      </c>
      <c r="C146" s="20" t="s">
        <v>751</v>
      </c>
      <c r="D146" s="138">
        <v>1300000</v>
      </c>
      <c r="E146" s="20" t="s">
        <v>493</v>
      </c>
      <c r="F146" s="20" t="s">
        <v>494</v>
      </c>
      <c r="G146" s="8" t="str">
        <f t="shared" si="2"/>
        <v>LEVIN SCOTT</v>
      </c>
    </row>
    <row r="147" spans="1:7" x14ac:dyDescent="0.25">
      <c r="A147" s="8">
        <v>42916.549525462964</v>
      </c>
      <c r="B147" s="20" t="s">
        <v>409</v>
      </c>
      <c r="C147" s="20" t="s">
        <v>752</v>
      </c>
      <c r="D147" s="138">
        <v>880000</v>
      </c>
      <c r="E147" s="20" t="s">
        <v>492</v>
      </c>
      <c r="F147" s="20" t="s">
        <v>191</v>
      </c>
      <c r="G147" s="8" t="str">
        <f t="shared" si="2"/>
        <v>STEWART MICHAEL</v>
      </c>
    </row>
    <row r="148" spans="1:7" x14ac:dyDescent="0.25">
      <c r="A148" s="8">
        <v>42916.554444444446</v>
      </c>
      <c r="B148" s="20" t="s">
        <v>457</v>
      </c>
      <c r="C148" s="20" t="s">
        <v>753</v>
      </c>
      <c r="D148" s="138">
        <v>3010000</v>
      </c>
      <c r="E148" s="20" t="s">
        <v>388</v>
      </c>
      <c r="F148" s="20" t="s">
        <v>389</v>
      </c>
      <c r="G148" s="8" t="str">
        <f t="shared" si="2"/>
        <v>SULLIVAN BRANDON</v>
      </c>
    </row>
    <row r="149" spans="1:7" x14ac:dyDescent="0.25">
      <c r="A149" s="8">
        <v>42916.557893518519</v>
      </c>
      <c r="B149" s="20" t="s">
        <v>586</v>
      </c>
      <c r="C149" s="20" t="s">
        <v>754</v>
      </c>
      <c r="D149" s="138">
        <v>1180000</v>
      </c>
      <c r="E149" s="20" t="s">
        <v>476</v>
      </c>
      <c r="F149" s="20" t="s">
        <v>477</v>
      </c>
      <c r="G149" s="8" t="str">
        <f t="shared" si="2"/>
        <v>LEVERE CRAIG</v>
      </c>
    </row>
    <row r="150" spans="1:7" x14ac:dyDescent="0.25">
      <c r="A150" s="8">
        <v>42916.559236111112</v>
      </c>
      <c r="B150" s="20" t="s">
        <v>519</v>
      </c>
      <c r="C150" s="20" t="s">
        <v>606</v>
      </c>
      <c r="D150" s="138">
        <v>2350000</v>
      </c>
      <c r="E150" s="20" t="s">
        <v>531</v>
      </c>
      <c r="F150" s="20" t="s">
        <v>532</v>
      </c>
      <c r="G150" s="8" t="str">
        <f t="shared" si="2"/>
        <v>BERLING GARY</v>
      </c>
    </row>
    <row r="151" spans="1:7" x14ac:dyDescent="0.25">
      <c r="A151" s="8">
        <v>42916.567361111112</v>
      </c>
      <c r="B151" s="20" t="s">
        <v>599</v>
      </c>
      <c r="C151" s="20" t="s">
        <v>755</v>
      </c>
      <c r="D151" s="138">
        <v>2370000</v>
      </c>
      <c r="E151" s="20" t="s">
        <v>527</v>
      </c>
      <c r="F151" s="20" t="s">
        <v>528</v>
      </c>
      <c r="G151" s="8" t="str">
        <f t="shared" si="2"/>
        <v>DELGADO DIANAH</v>
      </c>
    </row>
    <row r="152" spans="1:7" x14ac:dyDescent="0.25">
      <c r="A152" s="8">
        <v>42916.568668981483</v>
      </c>
      <c r="B152" s="20" t="s">
        <v>366</v>
      </c>
      <c r="C152" s="20" t="s">
        <v>607</v>
      </c>
      <c r="D152" s="138">
        <v>2420000</v>
      </c>
      <c r="E152" s="20" t="s">
        <v>529</v>
      </c>
      <c r="F152" s="20" t="s">
        <v>530</v>
      </c>
      <c r="G152" s="8" t="str">
        <f t="shared" si="2"/>
        <v>HOLCOMB KAMDEN</v>
      </c>
    </row>
    <row r="153" spans="1:7" x14ac:dyDescent="0.25">
      <c r="A153" s="8">
        <v>42916.569722222222</v>
      </c>
      <c r="B153" s="20" t="s">
        <v>592</v>
      </c>
      <c r="C153" s="20" t="s">
        <v>756</v>
      </c>
      <c r="D153" s="138">
        <v>2730000</v>
      </c>
      <c r="E153" s="20" t="s">
        <v>488</v>
      </c>
      <c r="F153" s="20" t="s">
        <v>489</v>
      </c>
      <c r="G153" s="8" t="str">
        <f t="shared" si="2"/>
        <v>YANG JAN</v>
      </c>
    </row>
    <row r="154" spans="1:7" x14ac:dyDescent="0.25">
      <c r="A154" s="8">
        <v>42916.578125</v>
      </c>
      <c r="B154" s="20" t="s">
        <v>401</v>
      </c>
      <c r="C154" s="20" t="s">
        <v>757</v>
      </c>
      <c r="D154" s="138">
        <v>1300000</v>
      </c>
      <c r="E154" s="20" t="s">
        <v>493</v>
      </c>
      <c r="F154" s="20" t="s">
        <v>494</v>
      </c>
      <c r="G154" s="8" t="str">
        <f t="shared" si="2"/>
        <v>LEVIN SCOTT</v>
      </c>
    </row>
    <row r="155" spans="1:7" x14ac:dyDescent="0.25">
      <c r="A155" s="8">
        <v>42916.580706018518</v>
      </c>
      <c r="B155" s="20" t="s">
        <v>517</v>
      </c>
      <c r="C155" s="20" t="s">
        <v>606</v>
      </c>
      <c r="D155" s="138">
        <v>2350000</v>
      </c>
      <c r="E155" s="20" t="s">
        <v>531</v>
      </c>
      <c r="F155" s="20" t="s">
        <v>532</v>
      </c>
      <c r="G155" s="8" t="str">
        <f t="shared" si="2"/>
        <v>BERLING GARY</v>
      </c>
    </row>
    <row r="156" spans="1:7" x14ac:dyDescent="0.25">
      <c r="A156" s="8">
        <v>42916.582314814812</v>
      </c>
      <c r="B156" s="20" t="s">
        <v>601</v>
      </c>
      <c r="C156" s="20" t="s">
        <v>608</v>
      </c>
      <c r="D156" s="138">
        <v>2360000</v>
      </c>
      <c r="E156" s="20" t="s">
        <v>731</v>
      </c>
      <c r="F156" s="20" t="s">
        <v>732</v>
      </c>
      <c r="G156" s="8" t="str">
        <f t="shared" si="2"/>
        <v>BRANDNER MELINDA</v>
      </c>
    </row>
    <row r="157" spans="1:7" x14ac:dyDescent="0.25">
      <c r="A157" s="8">
        <v>42916.585300925923</v>
      </c>
      <c r="B157" s="20" t="s">
        <v>517</v>
      </c>
      <c r="C157" s="20" t="s">
        <v>606</v>
      </c>
      <c r="D157" s="138">
        <v>2350000</v>
      </c>
      <c r="E157" s="20" t="s">
        <v>531</v>
      </c>
      <c r="F157" s="20" t="s">
        <v>532</v>
      </c>
      <c r="G157" s="8" t="str">
        <f t="shared" si="2"/>
        <v>BERLING GARY</v>
      </c>
    </row>
    <row r="158" spans="1:7" x14ac:dyDescent="0.25">
      <c r="A158" s="8">
        <v>42916.588125000002</v>
      </c>
      <c r="B158" s="20" t="s">
        <v>594</v>
      </c>
      <c r="C158" s="20" t="s">
        <v>610</v>
      </c>
      <c r="D158" s="138">
        <v>2370000</v>
      </c>
      <c r="E158" s="20" t="s">
        <v>527</v>
      </c>
      <c r="F158" s="20" t="s">
        <v>528</v>
      </c>
      <c r="G158" s="8" t="str">
        <f t="shared" si="2"/>
        <v>DELGADO DIANAH</v>
      </c>
    </row>
    <row r="159" spans="1:7" x14ac:dyDescent="0.25">
      <c r="A159" s="8">
        <v>42916.588912037034</v>
      </c>
      <c r="B159" s="20" t="s">
        <v>517</v>
      </c>
      <c r="C159" s="20" t="s">
        <v>606</v>
      </c>
      <c r="D159" s="138">
        <v>2350000</v>
      </c>
      <c r="E159" s="20" t="s">
        <v>531</v>
      </c>
      <c r="F159" s="20" t="s">
        <v>532</v>
      </c>
      <c r="G159" s="8" t="str">
        <f t="shared" si="2"/>
        <v>BERLING GARY</v>
      </c>
    </row>
    <row r="160" spans="1:7" x14ac:dyDescent="0.25">
      <c r="A160" s="8">
        <v>42916.589826388888</v>
      </c>
      <c r="B160" s="20" t="s">
        <v>408</v>
      </c>
      <c r="C160" s="20" t="s">
        <v>758</v>
      </c>
      <c r="D160" s="138">
        <v>880000</v>
      </c>
      <c r="E160" s="20" t="s">
        <v>492</v>
      </c>
      <c r="F160" s="20" t="s">
        <v>191</v>
      </c>
      <c r="G160" s="8" t="str">
        <f t="shared" si="2"/>
        <v>STEWART MICHAEL</v>
      </c>
    </row>
    <row r="161" spans="1:7" x14ac:dyDescent="0.25">
      <c r="A161" s="8">
        <v>42916.589918981481</v>
      </c>
      <c r="B161" s="20" t="s">
        <v>418</v>
      </c>
      <c r="C161" s="20" t="s">
        <v>611</v>
      </c>
      <c r="D161" s="138">
        <v>3010000</v>
      </c>
      <c r="E161" s="20" t="s">
        <v>388</v>
      </c>
      <c r="F161" s="20" t="s">
        <v>389</v>
      </c>
      <c r="G161" s="8" t="str">
        <f t="shared" si="2"/>
        <v>SULLIVAN BRANDON</v>
      </c>
    </row>
    <row r="162" spans="1:7" x14ac:dyDescent="0.25">
      <c r="A162" s="8">
        <v>42916.590879629628</v>
      </c>
      <c r="B162" s="20" t="s">
        <v>371</v>
      </c>
      <c r="C162" s="20" t="s">
        <v>609</v>
      </c>
      <c r="D162" s="138">
        <v>1780000</v>
      </c>
      <c r="E162" s="20" t="s">
        <v>474</v>
      </c>
      <c r="F162" s="20" t="s">
        <v>475</v>
      </c>
      <c r="G162" s="8" t="str">
        <f t="shared" si="2"/>
        <v>DE LA ROSA ALEX</v>
      </c>
    </row>
    <row r="163" spans="1:7" x14ac:dyDescent="0.25">
      <c r="A163" s="8">
        <v>42916.595717592594</v>
      </c>
      <c r="B163" s="20" t="s">
        <v>579</v>
      </c>
      <c r="C163" s="20" t="s">
        <v>759</v>
      </c>
      <c r="D163" s="138">
        <v>1180000</v>
      </c>
      <c r="E163" s="20" t="s">
        <v>476</v>
      </c>
      <c r="F163" s="20" t="s">
        <v>477</v>
      </c>
      <c r="G163" s="8" t="str">
        <f t="shared" si="2"/>
        <v>LEVERE CRAIG</v>
      </c>
    </row>
    <row r="164" spans="1:7" x14ac:dyDescent="0.25">
      <c r="A164" s="8">
        <v>42916.598761574074</v>
      </c>
      <c r="B164" s="20" t="s">
        <v>365</v>
      </c>
      <c r="C164" s="20" t="s">
        <v>609</v>
      </c>
      <c r="D164" s="138">
        <v>1780000</v>
      </c>
      <c r="E164" s="20" t="s">
        <v>474</v>
      </c>
      <c r="F164" s="20" t="s">
        <v>475</v>
      </c>
      <c r="G164" s="8" t="str">
        <f t="shared" si="2"/>
        <v>DE LA ROSA ALEX</v>
      </c>
    </row>
    <row r="165" spans="1:7" x14ac:dyDescent="0.25">
      <c r="A165" s="8">
        <v>42916.599097222221</v>
      </c>
      <c r="B165" s="20" t="s">
        <v>369</v>
      </c>
      <c r="C165" s="20" t="s">
        <v>760</v>
      </c>
      <c r="D165" s="138">
        <v>2420000</v>
      </c>
      <c r="E165" s="20" t="s">
        <v>529</v>
      </c>
      <c r="F165" s="20" t="s">
        <v>530</v>
      </c>
      <c r="G165" s="8" t="str">
        <f t="shared" si="2"/>
        <v>HOLCOMB KAMDEN</v>
      </c>
    </row>
    <row r="166" spans="1:7" x14ac:dyDescent="0.25">
      <c r="A166" s="8">
        <v>42916.599456018521</v>
      </c>
      <c r="B166" s="20" t="s">
        <v>579</v>
      </c>
      <c r="C166" s="20" t="s">
        <v>759</v>
      </c>
      <c r="D166" s="138">
        <v>1180000</v>
      </c>
      <c r="E166" s="20" t="s">
        <v>476</v>
      </c>
      <c r="F166" s="20" t="s">
        <v>477</v>
      </c>
      <c r="G166" s="8" t="str">
        <f t="shared" si="2"/>
        <v>LEVERE CRAIG</v>
      </c>
    </row>
    <row r="167" spans="1:7" x14ac:dyDescent="0.25">
      <c r="A167" s="8">
        <v>42916.605775462966</v>
      </c>
      <c r="B167" s="20" t="s">
        <v>601</v>
      </c>
      <c r="C167" s="20" t="s">
        <v>608</v>
      </c>
      <c r="D167" s="138">
        <v>2360000</v>
      </c>
      <c r="E167" s="20" t="s">
        <v>731</v>
      </c>
      <c r="F167" s="20" t="s">
        <v>732</v>
      </c>
      <c r="G167" s="8" t="str">
        <f t="shared" si="2"/>
        <v>BRANDNER MELINDA</v>
      </c>
    </row>
    <row r="168" spans="1:7" x14ac:dyDescent="0.25">
      <c r="A168" s="8">
        <v>42916.60670138889</v>
      </c>
      <c r="B168" s="20" t="s">
        <v>519</v>
      </c>
      <c r="C168" s="20" t="s">
        <v>613</v>
      </c>
      <c r="D168" s="138">
        <v>3130000</v>
      </c>
      <c r="E168" s="20" t="s">
        <v>381</v>
      </c>
      <c r="F168" s="20" t="s">
        <v>382</v>
      </c>
      <c r="G168" s="8" t="str">
        <f t="shared" si="2"/>
        <v>ZEWDU DEREJE</v>
      </c>
    </row>
    <row r="169" spans="1:7" x14ac:dyDescent="0.25">
      <c r="A169" s="8">
        <v>42916.609444444446</v>
      </c>
      <c r="B169" s="20" t="s">
        <v>599</v>
      </c>
      <c r="C169" s="20" t="s">
        <v>612</v>
      </c>
      <c r="D169" s="138">
        <v>2370000</v>
      </c>
      <c r="E169" s="20" t="s">
        <v>527</v>
      </c>
      <c r="F169" s="20" t="s">
        <v>528</v>
      </c>
      <c r="G169" s="8" t="str">
        <f t="shared" si="2"/>
        <v>DELGADO DIANAH</v>
      </c>
    </row>
    <row r="170" spans="1:7" x14ac:dyDescent="0.25">
      <c r="A170" s="8">
        <v>42916.609525462962</v>
      </c>
      <c r="B170" s="20" t="s">
        <v>645</v>
      </c>
      <c r="C170" s="20" t="s">
        <v>761</v>
      </c>
      <c r="D170" s="138">
        <v>2730000</v>
      </c>
      <c r="E170" s="20" t="s">
        <v>488</v>
      </c>
      <c r="F170" s="20" t="s">
        <v>489</v>
      </c>
      <c r="G170" s="8" t="str">
        <f t="shared" si="2"/>
        <v>YANG JAN</v>
      </c>
    </row>
    <row r="171" spans="1:7" x14ac:dyDescent="0.25">
      <c r="A171" s="8">
        <v>42916.612511574072</v>
      </c>
      <c r="B171" s="20" t="s">
        <v>371</v>
      </c>
      <c r="C171" s="20" t="s">
        <v>762</v>
      </c>
      <c r="D171" s="138">
        <v>1780000</v>
      </c>
      <c r="E171" s="20" t="s">
        <v>474</v>
      </c>
      <c r="F171" s="20" t="s">
        <v>475</v>
      </c>
      <c r="G171" s="8" t="str">
        <f t="shared" si="2"/>
        <v>DE LA ROSA ALEX</v>
      </c>
    </row>
    <row r="172" spans="1:7" x14ac:dyDescent="0.25">
      <c r="A172" s="8">
        <v>42916.61996527778</v>
      </c>
      <c r="B172" s="20" t="s">
        <v>398</v>
      </c>
      <c r="C172" s="20" t="s">
        <v>763</v>
      </c>
      <c r="D172" s="138">
        <v>1300000</v>
      </c>
      <c r="E172" s="20" t="s">
        <v>493</v>
      </c>
      <c r="F172" s="20" t="s">
        <v>494</v>
      </c>
      <c r="G172" s="8" t="str">
        <f t="shared" si="2"/>
        <v>LEVIN SCOTT</v>
      </c>
    </row>
    <row r="173" spans="1:7" x14ac:dyDescent="0.25">
      <c r="A173" s="8">
        <v>42916.622060185182</v>
      </c>
      <c r="B173" s="20" t="s">
        <v>409</v>
      </c>
      <c r="C173" s="20" t="s">
        <v>764</v>
      </c>
      <c r="D173" s="138">
        <v>880000</v>
      </c>
      <c r="E173" s="20" t="s">
        <v>492</v>
      </c>
      <c r="F173" s="20" t="s">
        <v>191</v>
      </c>
      <c r="G173" s="8" t="str">
        <f t="shared" si="2"/>
        <v>STEWART MICHAEL</v>
      </c>
    </row>
    <row r="174" spans="1:7" x14ac:dyDescent="0.25">
      <c r="A174" s="8">
        <v>42916.623668981483</v>
      </c>
      <c r="B174" s="20" t="s">
        <v>594</v>
      </c>
      <c r="C174" s="20" t="s">
        <v>765</v>
      </c>
      <c r="D174" s="138">
        <v>2370000</v>
      </c>
      <c r="E174" s="20" t="s">
        <v>527</v>
      </c>
      <c r="F174" s="20" t="s">
        <v>528</v>
      </c>
      <c r="G174" s="8" t="str">
        <f t="shared" si="2"/>
        <v>DELGADO DIANAH</v>
      </c>
    </row>
    <row r="175" spans="1:7" x14ac:dyDescent="0.25">
      <c r="A175" s="8">
        <v>42916.627245370371</v>
      </c>
      <c r="B175" s="20" t="s">
        <v>457</v>
      </c>
      <c r="C175" s="20" t="s">
        <v>766</v>
      </c>
      <c r="D175" s="138">
        <v>3010000</v>
      </c>
      <c r="E175" s="20" t="s">
        <v>388</v>
      </c>
      <c r="F175" s="20" t="s">
        <v>389</v>
      </c>
      <c r="G175" s="8" t="str">
        <f t="shared" si="2"/>
        <v>SULLIVAN BRANDON</v>
      </c>
    </row>
    <row r="176" spans="1:7" x14ac:dyDescent="0.25">
      <c r="A176" s="8">
        <v>42916.629884259259</v>
      </c>
      <c r="B176" s="20" t="s">
        <v>517</v>
      </c>
      <c r="C176" s="20" t="s">
        <v>613</v>
      </c>
      <c r="D176" s="138">
        <v>3130000</v>
      </c>
      <c r="E176" s="20" t="s">
        <v>381</v>
      </c>
      <c r="F176" s="20" t="s">
        <v>382</v>
      </c>
      <c r="G176" s="8" t="str">
        <f t="shared" si="2"/>
        <v>ZEWDU DEREJE</v>
      </c>
    </row>
    <row r="177" spans="1:7" x14ac:dyDescent="0.25">
      <c r="A177" s="8">
        <v>42916.630972222221</v>
      </c>
      <c r="B177" s="20" t="s">
        <v>517</v>
      </c>
      <c r="C177" s="20" t="s">
        <v>613</v>
      </c>
      <c r="D177" s="138">
        <v>3130000</v>
      </c>
      <c r="E177" s="20" t="s">
        <v>381</v>
      </c>
      <c r="F177" s="20" t="s">
        <v>382</v>
      </c>
      <c r="G177" s="8" t="str">
        <f t="shared" si="2"/>
        <v>ZEWDU DEREJE</v>
      </c>
    </row>
    <row r="178" spans="1:7" x14ac:dyDescent="0.25">
      <c r="A178" s="8">
        <v>42916.631307870368</v>
      </c>
      <c r="B178" s="20" t="s">
        <v>586</v>
      </c>
      <c r="C178" s="20" t="s">
        <v>767</v>
      </c>
      <c r="D178" s="138">
        <v>1180000</v>
      </c>
      <c r="E178" s="20" t="s">
        <v>476</v>
      </c>
      <c r="F178" s="20" t="s">
        <v>477</v>
      </c>
      <c r="G178" s="8" t="str">
        <f t="shared" si="2"/>
        <v>LEVERE CRAIG</v>
      </c>
    </row>
    <row r="179" spans="1:7" x14ac:dyDescent="0.25">
      <c r="A179" s="8">
        <v>42916.631701388891</v>
      </c>
      <c r="B179" s="20" t="s">
        <v>458</v>
      </c>
      <c r="C179" s="20" t="s">
        <v>768</v>
      </c>
      <c r="D179" s="138">
        <v>1830000</v>
      </c>
      <c r="E179" s="20" t="s">
        <v>525</v>
      </c>
      <c r="F179" s="20" t="s">
        <v>526</v>
      </c>
      <c r="G179" s="8" t="str">
        <f t="shared" si="2"/>
        <v>YORK EDGAR</v>
      </c>
    </row>
    <row r="180" spans="1:7" x14ac:dyDescent="0.25">
      <c r="A180" s="8">
        <v>42916.641157407408</v>
      </c>
      <c r="B180" s="20" t="s">
        <v>366</v>
      </c>
      <c r="C180" s="20" t="s">
        <v>614</v>
      </c>
      <c r="D180" s="138">
        <v>2420000</v>
      </c>
      <c r="E180" s="20" t="s">
        <v>529</v>
      </c>
      <c r="F180" s="20" t="s">
        <v>530</v>
      </c>
      <c r="G180" s="8" t="str">
        <f t="shared" si="2"/>
        <v>HOLCOMB KAMDEN</v>
      </c>
    </row>
    <row r="181" spans="1:7" x14ac:dyDescent="0.25">
      <c r="A181" s="8">
        <v>42916.642997685187</v>
      </c>
      <c r="B181" s="20" t="s">
        <v>592</v>
      </c>
      <c r="C181" s="20" t="s">
        <v>769</v>
      </c>
      <c r="D181" s="138">
        <v>2730000</v>
      </c>
      <c r="E181" s="20" t="s">
        <v>488</v>
      </c>
      <c r="F181" s="20" t="s">
        <v>489</v>
      </c>
      <c r="G181" s="8" t="str">
        <f t="shared" si="2"/>
        <v>YANG JAN</v>
      </c>
    </row>
    <row r="182" spans="1:7" x14ac:dyDescent="0.25">
      <c r="A182" s="8">
        <v>42916.651631944442</v>
      </c>
      <c r="B182" s="20" t="s">
        <v>365</v>
      </c>
      <c r="C182" s="20" t="s">
        <v>615</v>
      </c>
      <c r="D182" s="138">
        <v>1780000</v>
      </c>
      <c r="E182" s="20" t="s">
        <v>474</v>
      </c>
      <c r="F182" s="20" t="s">
        <v>475</v>
      </c>
      <c r="G182" s="8" t="str">
        <f t="shared" si="2"/>
        <v>DE LA ROSA ALEX</v>
      </c>
    </row>
    <row r="183" spans="1:7" x14ac:dyDescent="0.25">
      <c r="A183" s="8">
        <v>42916.65184027778</v>
      </c>
      <c r="B183" s="20" t="s">
        <v>599</v>
      </c>
      <c r="C183" s="20" t="s">
        <v>770</v>
      </c>
      <c r="D183" s="138">
        <v>2370000</v>
      </c>
      <c r="E183" s="20" t="s">
        <v>527</v>
      </c>
      <c r="F183" s="20" t="s">
        <v>528</v>
      </c>
      <c r="G183" s="8" t="str">
        <f t="shared" si="2"/>
        <v>DELGADO DIANAH</v>
      </c>
    </row>
    <row r="184" spans="1:7" x14ac:dyDescent="0.25">
      <c r="A184" s="8">
        <v>42916.652187500003</v>
      </c>
      <c r="B184" s="20" t="s">
        <v>401</v>
      </c>
      <c r="C184" s="20" t="s">
        <v>771</v>
      </c>
      <c r="D184" s="138">
        <v>1300000</v>
      </c>
      <c r="E184" s="20" t="s">
        <v>493</v>
      </c>
      <c r="F184" s="20" t="s">
        <v>494</v>
      </c>
      <c r="G184" s="8" t="str">
        <f t="shared" si="2"/>
        <v>LEVIN SCOTT</v>
      </c>
    </row>
    <row r="185" spans="1:7" x14ac:dyDescent="0.25">
      <c r="A185" s="8">
        <v>42916.658460648148</v>
      </c>
      <c r="B185" s="20" t="s">
        <v>459</v>
      </c>
      <c r="C185" s="20" t="s">
        <v>772</v>
      </c>
      <c r="D185" s="138">
        <v>1830000</v>
      </c>
      <c r="E185" s="20" t="s">
        <v>525</v>
      </c>
      <c r="F185" s="20" t="s">
        <v>526</v>
      </c>
      <c r="G185" s="8" t="str">
        <f t="shared" si="2"/>
        <v>YORK EDGAR</v>
      </c>
    </row>
    <row r="186" spans="1:7" x14ac:dyDescent="0.25">
      <c r="A186" s="8">
        <v>42916.661759259259</v>
      </c>
      <c r="B186" s="20" t="s">
        <v>408</v>
      </c>
      <c r="C186" s="20" t="s">
        <v>616</v>
      </c>
      <c r="D186" s="138">
        <v>880000</v>
      </c>
      <c r="E186" s="20" t="s">
        <v>492</v>
      </c>
      <c r="F186" s="20" t="s">
        <v>191</v>
      </c>
      <c r="G186" s="8" t="str">
        <f t="shared" si="2"/>
        <v>STEWART MICHAEL</v>
      </c>
    </row>
    <row r="187" spans="1:7" x14ac:dyDescent="0.25">
      <c r="A187" s="8">
        <v>42916.662395833337</v>
      </c>
      <c r="B187" s="20" t="s">
        <v>418</v>
      </c>
      <c r="C187" s="20" t="s">
        <v>618</v>
      </c>
      <c r="D187" s="138">
        <v>3010000</v>
      </c>
      <c r="E187" s="20" t="s">
        <v>388</v>
      </c>
      <c r="F187" s="20" t="s">
        <v>389</v>
      </c>
      <c r="G187" s="8" t="str">
        <f t="shared" si="2"/>
        <v>SULLIVAN BRANDON</v>
      </c>
    </row>
    <row r="188" spans="1:7" x14ac:dyDescent="0.25">
      <c r="A188" s="8">
        <v>42916.665127314816</v>
      </c>
      <c r="B188" s="20" t="s">
        <v>594</v>
      </c>
      <c r="C188" s="20" t="s">
        <v>773</v>
      </c>
      <c r="D188" s="138">
        <v>2370000</v>
      </c>
      <c r="E188" s="20" t="s">
        <v>527</v>
      </c>
      <c r="F188" s="20" t="s">
        <v>528</v>
      </c>
      <c r="G188" s="8" t="str">
        <f t="shared" si="2"/>
        <v>DELGADO DIANAH</v>
      </c>
    </row>
    <row r="189" spans="1:7" x14ac:dyDescent="0.25">
      <c r="A189" s="8">
        <v>42916.666400462964</v>
      </c>
      <c r="B189" s="20" t="s">
        <v>594</v>
      </c>
      <c r="C189" s="20" t="s">
        <v>773</v>
      </c>
      <c r="D189" s="138">
        <v>2370000</v>
      </c>
      <c r="E189" s="20" t="s">
        <v>527</v>
      </c>
      <c r="F189" s="20" t="s">
        <v>528</v>
      </c>
      <c r="G189" s="8" t="str">
        <f t="shared" si="2"/>
        <v>DELGADO DIANAH</v>
      </c>
    </row>
    <row r="190" spans="1:7" x14ac:dyDescent="0.25">
      <c r="A190" s="8">
        <v>42916.669444444444</v>
      </c>
      <c r="B190" s="20" t="s">
        <v>579</v>
      </c>
      <c r="C190" s="20" t="s">
        <v>774</v>
      </c>
      <c r="D190" s="138">
        <v>1180000</v>
      </c>
      <c r="E190" s="20" t="s">
        <v>476</v>
      </c>
      <c r="F190" s="20" t="s">
        <v>477</v>
      </c>
      <c r="G190" s="8" t="str">
        <f t="shared" si="2"/>
        <v>LEVERE CRAIG</v>
      </c>
    </row>
    <row r="191" spans="1:7" x14ac:dyDescent="0.25">
      <c r="A191" s="8">
        <v>42916.67082175926</v>
      </c>
      <c r="B191" s="20" t="s">
        <v>458</v>
      </c>
      <c r="C191" s="20" t="s">
        <v>775</v>
      </c>
      <c r="D191" s="138">
        <v>1830000</v>
      </c>
      <c r="E191" s="20" t="s">
        <v>525</v>
      </c>
      <c r="F191" s="20" t="s">
        <v>526</v>
      </c>
      <c r="G191" s="8" t="str">
        <f t="shared" si="2"/>
        <v>YORK EDGAR</v>
      </c>
    </row>
    <row r="192" spans="1:7" x14ac:dyDescent="0.25">
      <c r="A192" s="8">
        <v>42916.672881944447</v>
      </c>
      <c r="B192" s="20" t="s">
        <v>369</v>
      </c>
      <c r="C192" s="20" t="s">
        <v>617</v>
      </c>
      <c r="D192" s="138">
        <v>2420000</v>
      </c>
      <c r="E192" s="20" t="s">
        <v>529</v>
      </c>
      <c r="F192" s="20" t="s">
        <v>530</v>
      </c>
      <c r="G192" s="8" t="str">
        <f t="shared" si="2"/>
        <v>HOLCOMB KAMDEN</v>
      </c>
    </row>
    <row r="193" spans="1:7" x14ac:dyDescent="0.25">
      <c r="A193" s="8">
        <v>42916.680636574078</v>
      </c>
      <c r="B193" s="20" t="s">
        <v>355</v>
      </c>
      <c r="C193" s="20" t="s">
        <v>776</v>
      </c>
      <c r="D193" s="138">
        <v>2360000</v>
      </c>
      <c r="E193" s="20" t="s">
        <v>731</v>
      </c>
      <c r="F193" s="20" t="s">
        <v>732</v>
      </c>
      <c r="G193" s="8" t="str">
        <f t="shared" si="2"/>
        <v>BRANDNER MELINDA</v>
      </c>
    </row>
    <row r="194" spans="1:7" x14ac:dyDescent="0.25">
      <c r="A194" s="8">
        <v>42916.682847222219</v>
      </c>
      <c r="B194" s="20" t="s">
        <v>645</v>
      </c>
      <c r="C194" s="20" t="s">
        <v>777</v>
      </c>
      <c r="D194" s="138">
        <v>2730000</v>
      </c>
      <c r="E194" s="20" t="s">
        <v>488</v>
      </c>
      <c r="F194" s="20" t="s">
        <v>489</v>
      </c>
      <c r="G194" s="8" t="str">
        <f t="shared" si="2"/>
        <v>YANG JAN</v>
      </c>
    </row>
    <row r="195" spans="1:7" x14ac:dyDescent="0.25">
      <c r="A195" s="8">
        <v>42916.684039351851</v>
      </c>
      <c r="B195" s="20" t="s">
        <v>601</v>
      </c>
      <c r="C195" s="20" t="s">
        <v>776</v>
      </c>
      <c r="D195" s="138">
        <v>2360000</v>
      </c>
      <c r="E195" s="20" t="s">
        <v>731</v>
      </c>
      <c r="F195" s="20" t="s">
        <v>732</v>
      </c>
      <c r="G195" s="8" t="str">
        <f t="shared" ref="G195:G258" si="3">E195&amp;" "&amp;F195</f>
        <v>BRANDNER MELINDA</v>
      </c>
    </row>
    <row r="196" spans="1:7" x14ac:dyDescent="0.25">
      <c r="A196" s="8">
        <v>42916.686284722222</v>
      </c>
      <c r="B196" s="20" t="s">
        <v>459</v>
      </c>
      <c r="C196" s="20" t="s">
        <v>778</v>
      </c>
      <c r="D196" s="138">
        <v>1830000</v>
      </c>
      <c r="E196" s="20" t="s">
        <v>525</v>
      </c>
      <c r="F196" s="20" t="s">
        <v>526</v>
      </c>
      <c r="G196" s="8" t="str">
        <f t="shared" si="3"/>
        <v>YORK EDGAR</v>
      </c>
    </row>
    <row r="197" spans="1:7" x14ac:dyDescent="0.25">
      <c r="A197" s="8">
        <v>42916.688275462962</v>
      </c>
      <c r="B197" s="20" t="s">
        <v>355</v>
      </c>
      <c r="C197" s="20" t="s">
        <v>620</v>
      </c>
      <c r="D197" s="138">
        <v>2360000</v>
      </c>
      <c r="E197" s="20" t="s">
        <v>731</v>
      </c>
      <c r="F197" s="20" t="s">
        <v>732</v>
      </c>
      <c r="G197" s="8" t="str">
        <f t="shared" si="3"/>
        <v>BRANDNER MELINDA</v>
      </c>
    </row>
    <row r="198" spans="1:7" x14ac:dyDescent="0.25">
      <c r="A198" s="8">
        <v>42916.692766203705</v>
      </c>
      <c r="B198" s="20" t="s">
        <v>599</v>
      </c>
      <c r="C198" s="20" t="s">
        <v>779</v>
      </c>
      <c r="D198" s="138">
        <v>2370000</v>
      </c>
      <c r="E198" s="20" t="s">
        <v>527</v>
      </c>
      <c r="F198" s="20" t="s">
        <v>528</v>
      </c>
      <c r="G198" s="8" t="str">
        <f t="shared" si="3"/>
        <v>DELGADO DIANAH</v>
      </c>
    </row>
    <row r="199" spans="1:7" x14ac:dyDescent="0.25">
      <c r="A199" s="8">
        <v>42916.693819444445</v>
      </c>
      <c r="B199" s="20" t="s">
        <v>398</v>
      </c>
      <c r="C199" s="20" t="s">
        <v>780</v>
      </c>
      <c r="D199" s="138">
        <v>1300000</v>
      </c>
      <c r="E199" s="20" t="s">
        <v>493</v>
      </c>
      <c r="F199" s="20" t="s">
        <v>494</v>
      </c>
      <c r="G199" s="8" t="str">
        <f t="shared" si="3"/>
        <v>LEVIN SCOTT</v>
      </c>
    </row>
    <row r="200" spans="1:7" x14ac:dyDescent="0.25">
      <c r="A200" s="8">
        <v>42916.694687499999</v>
      </c>
      <c r="B200" s="20" t="s">
        <v>409</v>
      </c>
      <c r="C200" s="20" t="s">
        <v>781</v>
      </c>
      <c r="D200" s="138">
        <v>880000</v>
      </c>
      <c r="E200" s="20" t="s">
        <v>492</v>
      </c>
      <c r="F200" s="20" t="s">
        <v>191</v>
      </c>
      <c r="G200" s="8" t="str">
        <f t="shared" si="3"/>
        <v>STEWART MICHAEL</v>
      </c>
    </row>
    <row r="201" spans="1:7" x14ac:dyDescent="0.25">
      <c r="A201" s="8">
        <v>42916.700601851851</v>
      </c>
      <c r="B201" s="20" t="s">
        <v>457</v>
      </c>
      <c r="C201" s="20" t="s">
        <v>782</v>
      </c>
      <c r="D201" s="138">
        <v>3010000</v>
      </c>
      <c r="E201" s="20" t="s">
        <v>388</v>
      </c>
      <c r="F201" s="20" t="s">
        <v>389</v>
      </c>
      <c r="G201" s="8" t="str">
        <f t="shared" si="3"/>
        <v>SULLIVAN BRANDON</v>
      </c>
    </row>
    <row r="202" spans="1:7" x14ac:dyDescent="0.25">
      <c r="A202" s="26">
        <v>42916.704942129632</v>
      </c>
      <c r="B202" s="20" t="s">
        <v>586</v>
      </c>
      <c r="C202" s="20" t="s">
        <v>619</v>
      </c>
      <c r="D202" s="138">
        <v>1180000</v>
      </c>
      <c r="E202" s="20" t="s">
        <v>476</v>
      </c>
      <c r="F202" s="20" t="s">
        <v>477</v>
      </c>
      <c r="G202" s="8" t="str">
        <f t="shared" si="3"/>
        <v>LEVERE CRAIG</v>
      </c>
    </row>
    <row r="203" spans="1:7" x14ac:dyDescent="0.25">
      <c r="A203" s="8">
        <v>42916.70516203704</v>
      </c>
      <c r="B203" s="20" t="s">
        <v>339</v>
      </c>
      <c r="C203" s="20" t="s">
        <v>783</v>
      </c>
      <c r="D203" s="138">
        <v>1780000</v>
      </c>
      <c r="E203" s="20" t="s">
        <v>474</v>
      </c>
      <c r="F203" s="20" t="s">
        <v>475</v>
      </c>
      <c r="G203" s="8" t="str">
        <f t="shared" si="3"/>
        <v>DE LA ROSA ALEX</v>
      </c>
    </row>
    <row r="204" spans="1:7" x14ac:dyDescent="0.25">
      <c r="A204" s="8">
        <v>42916.706828703704</v>
      </c>
      <c r="B204" s="20" t="s">
        <v>594</v>
      </c>
      <c r="C204" s="20" t="s">
        <v>784</v>
      </c>
      <c r="D204" s="138">
        <v>2370000</v>
      </c>
      <c r="E204" s="20" t="s">
        <v>527</v>
      </c>
      <c r="F204" s="20" t="s">
        <v>528</v>
      </c>
      <c r="G204" s="8" t="str">
        <f t="shared" si="3"/>
        <v>DELGADO DIANAH</v>
      </c>
    </row>
    <row r="205" spans="1:7" x14ac:dyDescent="0.25">
      <c r="A205" s="8">
        <v>42916.712256944447</v>
      </c>
      <c r="B205" s="20" t="s">
        <v>458</v>
      </c>
      <c r="C205" s="20" t="s">
        <v>785</v>
      </c>
      <c r="D205" s="138">
        <v>1830000</v>
      </c>
      <c r="E205" s="20" t="s">
        <v>525</v>
      </c>
      <c r="F205" s="20" t="s">
        <v>526</v>
      </c>
      <c r="G205" s="8" t="str">
        <f t="shared" si="3"/>
        <v>YORK EDGAR</v>
      </c>
    </row>
    <row r="206" spans="1:7" x14ac:dyDescent="0.25">
      <c r="A206" s="8">
        <v>42916.714155092595</v>
      </c>
      <c r="B206" s="20" t="s">
        <v>366</v>
      </c>
      <c r="C206" s="20" t="s">
        <v>621</v>
      </c>
      <c r="D206" s="138">
        <v>2420000</v>
      </c>
      <c r="E206" s="20" t="s">
        <v>529</v>
      </c>
      <c r="F206" s="20" t="s">
        <v>530</v>
      </c>
      <c r="G206" s="8" t="str">
        <f t="shared" si="3"/>
        <v>HOLCOMB KAMDEN</v>
      </c>
    </row>
    <row r="207" spans="1:7" x14ac:dyDescent="0.25">
      <c r="A207" s="8">
        <v>42916.715104166666</v>
      </c>
      <c r="B207" s="20" t="s">
        <v>592</v>
      </c>
      <c r="C207" s="20" t="s">
        <v>786</v>
      </c>
      <c r="D207" s="138">
        <v>2730000</v>
      </c>
      <c r="E207" s="20" t="s">
        <v>488</v>
      </c>
      <c r="F207" s="20" t="s">
        <v>489</v>
      </c>
      <c r="G207" s="8" t="str">
        <f t="shared" si="3"/>
        <v>YANG JAN</v>
      </c>
    </row>
    <row r="208" spans="1:7" x14ac:dyDescent="0.25">
      <c r="A208" s="8">
        <v>42916.720104166663</v>
      </c>
      <c r="B208" s="20" t="s">
        <v>371</v>
      </c>
      <c r="C208" s="20" t="s">
        <v>787</v>
      </c>
      <c r="D208" s="138">
        <v>1800000</v>
      </c>
      <c r="E208" s="20" t="s">
        <v>374</v>
      </c>
      <c r="F208" s="20" t="s">
        <v>375</v>
      </c>
      <c r="G208" s="8" t="str">
        <f t="shared" si="3"/>
        <v>CHANDLER KELVIN</v>
      </c>
    </row>
    <row r="209" spans="1:7" x14ac:dyDescent="0.25">
      <c r="A209" s="8">
        <v>42916.723854166667</v>
      </c>
      <c r="B209" s="20" t="s">
        <v>601</v>
      </c>
      <c r="C209" s="20" t="s">
        <v>788</v>
      </c>
      <c r="D209" s="138">
        <v>2360000</v>
      </c>
      <c r="E209" s="20" t="s">
        <v>731</v>
      </c>
      <c r="F209" s="20" t="s">
        <v>732</v>
      </c>
      <c r="G209" s="8" t="str">
        <f t="shared" si="3"/>
        <v>BRANDNER MELINDA</v>
      </c>
    </row>
    <row r="210" spans="1:7" x14ac:dyDescent="0.25">
      <c r="A210" s="8">
        <v>42916.726539351854</v>
      </c>
      <c r="B210" s="20" t="s">
        <v>401</v>
      </c>
      <c r="C210" s="20" t="s">
        <v>789</v>
      </c>
      <c r="D210" s="138">
        <v>1300000</v>
      </c>
      <c r="E210" s="20" t="s">
        <v>493</v>
      </c>
      <c r="F210" s="20" t="s">
        <v>494</v>
      </c>
      <c r="G210" s="8" t="str">
        <f t="shared" si="3"/>
        <v>LEVIN SCOTT</v>
      </c>
    </row>
    <row r="211" spans="1:7" x14ac:dyDescent="0.25">
      <c r="A211" s="8">
        <v>42916.726944444446</v>
      </c>
      <c r="B211" s="20" t="s">
        <v>459</v>
      </c>
      <c r="C211" s="20" t="s">
        <v>790</v>
      </c>
      <c r="D211" s="138">
        <v>1830000</v>
      </c>
      <c r="E211" s="20" t="s">
        <v>525</v>
      </c>
      <c r="F211" s="20" t="s">
        <v>526</v>
      </c>
      <c r="G211" s="8" t="str">
        <f t="shared" si="3"/>
        <v>YORK EDGAR</v>
      </c>
    </row>
    <row r="212" spans="1:7" x14ac:dyDescent="0.25">
      <c r="A212" s="8">
        <v>42916.734097222223</v>
      </c>
      <c r="B212" s="20" t="s">
        <v>599</v>
      </c>
      <c r="C212" s="20" t="s">
        <v>791</v>
      </c>
      <c r="D212" s="138">
        <v>2370000</v>
      </c>
      <c r="E212" s="20" t="s">
        <v>527</v>
      </c>
      <c r="F212" s="20" t="s">
        <v>528</v>
      </c>
      <c r="G212" s="8" t="str">
        <f t="shared" si="3"/>
        <v>DELGADO DIANAH</v>
      </c>
    </row>
    <row r="213" spans="1:7" x14ac:dyDescent="0.25">
      <c r="A213" s="8">
        <v>42916.734317129631</v>
      </c>
      <c r="B213" s="20" t="s">
        <v>520</v>
      </c>
      <c r="C213" s="20" t="s">
        <v>792</v>
      </c>
      <c r="D213" s="138">
        <v>3000000</v>
      </c>
      <c r="E213" s="20" t="s">
        <v>402</v>
      </c>
      <c r="F213" s="20" t="s">
        <v>403</v>
      </c>
      <c r="G213" s="8" t="str">
        <f t="shared" si="3"/>
        <v>FORTUNATO FRANK</v>
      </c>
    </row>
    <row r="214" spans="1:7" x14ac:dyDescent="0.25">
      <c r="A214" s="8">
        <v>42916.735266203701</v>
      </c>
      <c r="B214" s="20" t="s">
        <v>517</v>
      </c>
      <c r="C214" s="20" t="s">
        <v>622</v>
      </c>
      <c r="D214" s="138">
        <v>3120000</v>
      </c>
      <c r="E214" s="20" t="s">
        <v>793</v>
      </c>
      <c r="F214" s="20" t="s">
        <v>794</v>
      </c>
      <c r="G214" s="8" t="str">
        <f t="shared" si="3"/>
        <v>THOMPSON LESTER</v>
      </c>
    </row>
    <row r="215" spans="1:7" x14ac:dyDescent="0.25">
      <c r="A215" s="8">
        <v>42916.735474537039</v>
      </c>
      <c r="B215" s="20" t="s">
        <v>408</v>
      </c>
      <c r="C215" s="20" t="s">
        <v>624</v>
      </c>
      <c r="D215" s="138">
        <v>880000</v>
      </c>
      <c r="E215" s="20" t="s">
        <v>492</v>
      </c>
      <c r="F215" s="20" t="s">
        <v>191</v>
      </c>
      <c r="G215" s="8" t="str">
        <f t="shared" si="3"/>
        <v>STEWART MICHAEL</v>
      </c>
    </row>
    <row r="216" spans="1:7" x14ac:dyDescent="0.25">
      <c r="A216" s="8">
        <v>42916.735972222225</v>
      </c>
      <c r="B216" s="20" t="s">
        <v>418</v>
      </c>
      <c r="C216" s="20" t="s">
        <v>626</v>
      </c>
      <c r="D216" s="138">
        <v>1540000</v>
      </c>
      <c r="E216" s="20" t="s">
        <v>472</v>
      </c>
      <c r="F216" s="20" t="s">
        <v>473</v>
      </c>
      <c r="G216" s="8" t="str">
        <f t="shared" si="3"/>
        <v>HELVIE ADAM</v>
      </c>
    </row>
    <row r="217" spans="1:7" x14ac:dyDescent="0.25">
      <c r="A217" s="8">
        <v>42916.742407407408</v>
      </c>
      <c r="B217" s="20" t="s">
        <v>579</v>
      </c>
      <c r="C217" s="20" t="s">
        <v>795</v>
      </c>
      <c r="D217" s="138">
        <v>1180000</v>
      </c>
      <c r="E217" s="20" t="s">
        <v>476</v>
      </c>
      <c r="F217" s="20" t="s">
        <v>477</v>
      </c>
      <c r="G217" s="8" t="str">
        <f t="shared" si="3"/>
        <v>LEVERE CRAIG</v>
      </c>
    </row>
    <row r="218" spans="1:7" x14ac:dyDescent="0.25">
      <c r="A218" s="8">
        <v>42916.747858796298</v>
      </c>
      <c r="B218" s="20" t="s">
        <v>369</v>
      </c>
      <c r="C218" s="20" t="s">
        <v>623</v>
      </c>
      <c r="D218" s="138">
        <v>2420000</v>
      </c>
      <c r="E218" s="20" t="s">
        <v>529</v>
      </c>
      <c r="F218" s="20" t="s">
        <v>530</v>
      </c>
      <c r="G218" s="8" t="str">
        <f t="shared" si="3"/>
        <v>HOLCOMB KAMDEN</v>
      </c>
    </row>
    <row r="219" spans="1:7" x14ac:dyDescent="0.25">
      <c r="A219" s="8">
        <v>42916.751782407409</v>
      </c>
      <c r="B219" s="20" t="s">
        <v>594</v>
      </c>
      <c r="C219" s="20" t="s">
        <v>627</v>
      </c>
      <c r="D219" s="138">
        <v>2370000</v>
      </c>
      <c r="E219" s="20" t="s">
        <v>527</v>
      </c>
      <c r="F219" s="20" t="s">
        <v>528</v>
      </c>
      <c r="G219" s="8" t="str">
        <f t="shared" si="3"/>
        <v>DELGADO DIANAH</v>
      </c>
    </row>
    <row r="220" spans="1:7" x14ac:dyDescent="0.25">
      <c r="A220" s="8">
        <v>42916.75409722222</v>
      </c>
      <c r="B220" s="20" t="s">
        <v>458</v>
      </c>
      <c r="C220" s="20" t="s">
        <v>796</v>
      </c>
      <c r="D220" s="138">
        <v>1830000</v>
      </c>
      <c r="E220" s="20" t="s">
        <v>525</v>
      </c>
      <c r="F220" s="20" t="s">
        <v>526</v>
      </c>
      <c r="G220" s="8" t="str">
        <f t="shared" si="3"/>
        <v>YORK EDGAR</v>
      </c>
    </row>
    <row r="221" spans="1:7" x14ac:dyDescent="0.25">
      <c r="A221" s="8">
        <v>42916.755543981482</v>
      </c>
      <c r="B221" s="20" t="s">
        <v>645</v>
      </c>
      <c r="C221" s="20" t="s">
        <v>797</v>
      </c>
      <c r="D221" s="138">
        <v>2730000</v>
      </c>
      <c r="E221" s="20" t="s">
        <v>488</v>
      </c>
      <c r="F221" s="20" t="s">
        <v>489</v>
      </c>
      <c r="G221" s="8" t="str">
        <f t="shared" si="3"/>
        <v>YANG JAN</v>
      </c>
    </row>
    <row r="222" spans="1:7" x14ac:dyDescent="0.25">
      <c r="A222" s="8">
        <v>42916.757824074077</v>
      </c>
      <c r="B222" s="20" t="s">
        <v>355</v>
      </c>
      <c r="C222" s="20" t="s">
        <v>625</v>
      </c>
      <c r="D222" s="138">
        <v>2620000</v>
      </c>
      <c r="E222" s="20" t="s">
        <v>638</v>
      </c>
      <c r="F222" s="20" t="s">
        <v>639</v>
      </c>
      <c r="G222" s="8" t="str">
        <f t="shared" si="3"/>
        <v>PERKINS DARREN</v>
      </c>
    </row>
    <row r="223" spans="1:7" x14ac:dyDescent="0.25">
      <c r="A223" s="8">
        <v>42916.765983796293</v>
      </c>
      <c r="B223" s="20" t="s">
        <v>398</v>
      </c>
      <c r="C223" s="20" t="s">
        <v>628</v>
      </c>
      <c r="D223" s="138">
        <v>1300000</v>
      </c>
      <c r="E223" s="20" t="s">
        <v>493</v>
      </c>
      <c r="F223" s="20" t="s">
        <v>494</v>
      </c>
      <c r="G223" s="8" t="str">
        <f t="shared" si="3"/>
        <v>LEVIN SCOTT</v>
      </c>
    </row>
    <row r="224" spans="1:7" x14ac:dyDescent="0.25">
      <c r="A224" s="8">
        <v>42916.76798611111</v>
      </c>
      <c r="B224" t="s">
        <v>409</v>
      </c>
      <c r="C224" t="s">
        <v>629</v>
      </c>
      <c r="D224" s="138">
        <v>3000000</v>
      </c>
      <c r="E224" t="s">
        <v>402</v>
      </c>
      <c r="F224" s="20" t="s">
        <v>403</v>
      </c>
      <c r="G224" s="8" t="str">
        <f t="shared" si="3"/>
        <v>FORTUNATO FRANK</v>
      </c>
    </row>
    <row r="225" spans="1:7" x14ac:dyDescent="0.25">
      <c r="A225" s="8">
        <v>42916.768541666665</v>
      </c>
      <c r="B225" t="s">
        <v>522</v>
      </c>
      <c r="C225" t="s">
        <v>798</v>
      </c>
      <c r="D225" s="138">
        <v>2360000</v>
      </c>
      <c r="E225" t="s">
        <v>731</v>
      </c>
      <c r="F225" s="20" t="s">
        <v>732</v>
      </c>
      <c r="G225" s="8" t="str">
        <f t="shared" si="3"/>
        <v>BRANDNER MELINDA</v>
      </c>
    </row>
    <row r="226" spans="1:7" x14ac:dyDescent="0.25">
      <c r="A226" s="8">
        <v>42916.768622685187</v>
      </c>
      <c r="B226" t="s">
        <v>459</v>
      </c>
      <c r="C226" t="s">
        <v>799</v>
      </c>
      <c r="D226" s="138">
        <v>1830000</v>
      </c>
      <c r="E226" t="s">
        <v>525</v>
      </c>
      <c r="F226" s="20" t="s">
        <v>526</v>
      </c>
      <c r="G226" s="8" t="str">
        <f t="shared" si="3"/>
        <v>YORK EDGAR</v>
      </c>
    </row>
    <row r="227" spans="1:7" x14ac:dyDescent="0.25">
      <c r="A227" s="8">
        <v>42916.776192129626</v>
      </c>
      <c r="B227" t="s">
        <v>599</v>
      </c>
      <c r="C227" t="s">
        <v>800</v>
      </c>
      <c r="D227" s="138">
        <v>2370000</v>
      </c>
      <c r="E227" t="s">
        <v>527</v>
      </c>
      <c r="F227" s="20" t="s">
        <v>528</v>
      </c>
      <c r="G227" s="8" t="str">
        <f t="shared" si="3"/>
        <v>DELGADO DIANAH</v>
      </c>
    </row>
    <row r="228" spans="1:7" x14ac:dyDescent="0.25">
      <c r="A228" s="8">
        <v>42916.77753472222</v>
      </c>
      <c r="B228" t="s">
        <v>586</v>
      </c>
      <c r="C228" t="s">
        <v>801</v>
      </c>
      <c r="D228" s="138">
        <v>1180000</v>
      </c>
      <c r="E228" t="s">
        <v>476</v>
      </c>
      <c r="F228" s="20" t="s">
        <v>477</v>
      </c>
      <c r="G228" s="8" t="str">
        <f t="shared" si="3"/>
        <v>LEVERE CRAIG</v>
      </c>
    </row>
    <row r="229" spans="1:7" x14ac:dyDescent="0.25">
      <c r="A229" s="8">
        <v>42916.778391203705</v>
      </c>
      <c r="B229" t="s">
        <v>457</v>
      </c>
      <c r="C229" t="s">
        <v>802</v>
      </c>
      <c r="D229" s="138">
        <v>1540000</v>
      </c>
      <c r="E229" t="s">
        <v>472</v>
      </c>
      <c r="F229" s="20" t="s">
        <v>473</v>
      </c>
      <c r="G229" s="8" t="str">
        <f t="shared" si="3"/>
        <v>HELVIE ADAM</v>
      </c>
    </row>
    <row r="230" spans="1:7" x14ac:dyDescent="0.25">
      <c r="A230" s="8">
        <v>42916.787048611113</v>
      </c>
      <c r="B230" t="s">
        <v>366</v>
      </c>
      <c r="C230" t="s">
        <v>630</v>
      </c>
      <c r="D230" s="138">
        <v>2420000</v>
      </c>
      <c r="E230" t="s">
        <v>529</v>
      </c>
      <c r="F230" s="20" t="s">
        <v>530</v>
      </c>
      <c r="G230" s="8" t="str">
        <f t="shared" si="3"/>
        <v>HOLCOMB KAMDEN</v>
      </c>
    </row>
    <row r="231" spans="1:7" x14ac:dyDescent="0.25">
      <c r="A231" s="8">
        <v>42916.78806712963</v>
      </c>
      <c r="B231" t="s">
        <v>592</v>
      </c>
      <c r="C231" t="s">
        <v>803</v>
      </c>
      <c r="D231" s="138">
        <v>3090000</v>
      </c>
      <c r="E231" t="s">
        <v>372</v>
      </c>
      <c r="F231" s="20" t="s">
        <v>373</v>
      </c>
      <c r="G231" s="8" t="str">
        <f t="shared" si="3"/>
        <v>LAMAR NEKESHA</v>
      </c>
    </row>
    <row r="232" spans="1:7" x14ac:dyDescent="0.25">
      <c r="A232" s="8">
        <v>42916.79010416667</v>
      </c>
      <c r="B232" t="s">
        <v>601</v>
      </c>
      <c r="C232" t="s">
        <v>632</v>
      </c>
      <c r="D232" s="138">
        <v>2620000</v>
      </c>
      <c r="E232" t="s">
        <v>638</v>
      </c>
      <c r="F232" s="20" t="s">
        <v>639</v>
      </c>
      <c r="G232" s="8" t="str">
        <f t="shared" si="3"/>
        <v>PERKINS DARREN</v>
      </c>
    </row>
    <row r="233" spans="1:7" x14ac:dyDescent="0.25">
      <c r="A233" s="8">
        <v>42916.795023148145</v>
      </c>
      <c r="B233" t="s">
        <v>594</v>
      </c>
      <c r="C233" t="s">
        <v>631</v>
      </c>
      <c r="D233" s="138">
        <v>2370000</v>
      </c>
      <c r="E233" t="s">
        <v>527</v>
      </c>
      <c r="F233" s="20" t="s">
        <v>528</v>
      </c>
      <c r="G233" s="8" t="str">
        <f t="shared" si="3"/>
        <v>DELGADO DIANAH</v>
      </c>
    </row>
    <row r="234" spans="1:7" x14ac:dyDescent="0.25">
      <c r="A234" s="8">
        <v>42916.795312499999</v>
      </c>
      <c r="B234" t="s">
        <v>458</v>
      </c>
      <c r="C234" t="s">
        <v>804</v>
      </c>
      <c r="D234" s="138">
        <v>1830000</v>
      </c>
      <c r="E234" t="s">
        <v>525</v>
      </c>
      <c r="F234" s="20" t="s">
        <v>526</v>
      </c>
      <c r="G234" s="8" t="str">
        <f t="shared" si="3"/>
        <v>YORK EDGAR</v>
      </c>
    </row>
    <row r="235" spans="1:7" x14ac:dyDescent="0.25">
      <c r="A235" s="8">
        <v>42916.79791666667</v>
      </c>
      <c r="B235" t="s">
        <v>401</v>
      </c>
      <c r="C235" t="s">
        <v>805</v>
      </c>
      <c r="D235" s="138">
        <v>1300000</v>
      </c>
      <c r="E235" t="s">
        <v>493</v>
      </c>
      <c r="F235" s="20" t="s">
        <v>494</v>
      </c>
      <c r="G235" s="8" t="str">
        <f t="shared" si="3"/>
        <v>LEVIN SCOTT</v>
      </c>
    </row>
    <row r="236" spans="1:7" x14ac:dyDescent="0.25">
      <c r="A236" s="8">
        <v>42916.806238425925</v>
      </c>
      <c r="B236" t="s">
        <v>408</v>
      </c>
      <c r="C236" t="s">
        <v>806</v>
      </c>
      <c r="D236" s="138">
        <v>3000000</v>
      </c>
      <c r="E236" t="s">
        <v>402</v>
      </c>
      <c r="F236" s="20" t="s">
        <v>403</v>
      </c>
      <c r="G236" s="8" t="str">
        <f t="shared" si="3"/>
        <v>FORTUNATO FRANK</v>
      </c>
    </row>
    <row r="237" spans="1:7" x14ac:dyDescent="0.25">
      <c r="A237" s="8">
        <v>42916.811238425929</v>
      </c>
      <c r="B237" t="s">
        <v>418</v>
      </c>
      <c r="C237" t="s">
        <v>807</v>
      </c>
      <c r="D237" s="138">
        <v>1540000</v>
      </c>
      <c r="E237" t="s">
        <v>472</v>
      </c>
      <c r="F237" s="20" t="s">
        <v>473</v>
      </c>
      <c r="G237" s="8" t="str">
        <f t="shared" si="3"/>
        <v>HELVIE ADAM</v>
      </c>
    </row>
    <row r="238" spans="1:7" x14ac:dyDescent="0.25">
      <c r="A238" s="8">
        <v>42916.819074074076</v>
      </c>
      <c r="B238" t="s">
        <v>369</v>
      </c>
      <c r="C238" t="s">
        <v>808</v>
      </c>
      <c r="D238" s="138">
        <v>2420000</v>
      </c>
      <c r="E238" t="s">
        <v>529</v>
      </c>
      <c r="F238" s="20" t="s">
        <v>530</v>
      </c>
      <c r="G238" s="8" t="str">
        <f t="shared" si="3"/>
        <v>HOLCOMB KAMDEN</v>
      </c>
    </row>
    <row r="239" spans="1:7" x14ac:dyDescent="0.25">
      <c r="A239" s="8">
        <v>42916.819108796299</v>
      </c>
      <c r="B239" t="s">
        <v>599</v>
      </c>
      <c r="C239" t="s">
        <v>809</v>
      </c>
      <c r="D239" s="138">
        <v>2370000</v>
      </c>
      <c r="E239" t="s">
        <v>527</v>
      </c>
      <c r="F239" s="20" t="s">
        <v>528</v>
      </c>
      <c r="G239" s="8" t="str">
        <f t="shared" si="3"/>
        <v>DELGADO DIANAH</v>
      </c>
    </row>
    <row r="240" spans="1:7" x14ac:dyDescent="0.25">
      <c r="A240" s="8">
        <v>42916.827141203707</v>
      </c>
      <c r="B240" t="s">
        <v>645</v>
      </c>
      <c r="C240" t="s">
        <v>810</v>
      </c>
      <c r="D240" s="138">
        <v>3090000</v>
      </c>
      <c r="E240" t="s">
        <v>372</v>
      </c>
      <c r="F240" s="20" t="s">
        <v>373</v>
      </c>
      <c r="G240" s="8" t="str">
        <f t="shared" si="3"/>
        <v>LAMAR NEKESHA</v>
      </c>
    </row>
    <row r="241" spans="1:7" x14ac:dyDescent="0.25">
      <c r="A241" s="8">
        <v>42916.829027777778</v>
      </c>
      <c r="B241" t="s">
        <v>355</v>
      </c>
      <c r="C241" t="s">
        <v>811</v>
      </c>
      <c r="D241" s="138">
        <v>2620000</v>
      </c>
      <c r="E241" t="s">
        <v>638</v>
      </c>
      <c r="F241" s="20" t="s">
        <v>639</v>
      </c>
      <c r="G241" s="8" t="str">
        <f t="shared" si="3"/>
        <v>PERKINS DARREN</v>
      </c>
    </row>
    <row r="242" spans="1:7" x14ac:dyDescent="0.25">
      <c r="A242" s="8">
        <v>42916.829606481479</v>
      </c>
      <c r="B242" t="s">
        <v>485</v>
      </c>
      <c r="C242" t="s">
        <v>633</v>
      </c>
      <c r="D242" s="138">
        <v>3030000</v>
      </c>
      <c r="E242" t="s">
        <v>378</v>
      </c>
      <c r="F242" s="20" t="s">
        <v>364</v>
      </c>
      <c r="G242" s="8" t="str">
        <f t="shared" si="3"/>
        <v>BIRENBAUM THOMAS</v>
      </c>
    </row>
    <row r="243" spans="1:7" x14ac:dyDescent="0.25">
      <c r="A243" s="8">
        <v>42916.840300925927</v>
      </c>
      <c r="B243" t="s">
        <v>487</v>
      </c>
      <c r="C243" t="s">
        <v>635</v>
      </c>
      <c r="D243" s="138">
        <v>3030000</v>
      </c>
      <c r="E243" t="s">
        <v>378</v>
      </c>
      <c r="F243" s="20" t="s">
        <v>364</v>
      </c>
      <c r="G243" s="8" t="str">
        <f t="shared" si="3"/>
        <v>BIRENBAUM THOMAS</v>
      </c>
    </row>
    <row r="244" spans="1:7" x14ac:dyDescent="0.25">
      <c r="A244" s="8">
        <v>42916.842465277776</v>
      </c>
      <c r="B244" t="s">
        <v>594</v>
      </c>
      <c r="C244" t="s">
        <v>812</v>
      </c>
      <c r="D244" s="138">
        <v>2370000</v>
      </c>
      <c r="E244" t="s">
        <v>527</v>
      </c>
      <c r="F244" s="20" t="s">
        <v>528</v>
      </c>
      <c r="G244" s="8" t="str">
        <f t="shared" si="3"/>
        <v>DELGADO DIANAH</v>
      </c>
    </row>
    <row r="245" spans="1:7" x14ac:dyDescent="0.25">
      <c r="A245" s="8">
        <v>42916.842824074076</v>
      </c>
      <c r="B245" t="s">
        <v>409</v>
      </c>
      <c r="C245" t="s">
        <v>813</v>
      </c>
      <c r="D245" s="138">
        <v>3000000</v>
      </c>
      <c r="E245" t="s">
        <v>402</v>
      </c>
      <c r="F245" s="20" t="s">
        <v>403</v>
      </c>
      <c r="G245" s="8" t="str">
        <f t="shared" si="3"/>
        <v>FORTUNATO FRANK</v>
      </c>
    </row>
    <row r="246" spans="1:7" x14ac:dyDescent="0.25">
      <c r="A246" s="8">
        <v>42916.850729166668</v>
      </c>
      <c r="B246" t="s">
        <v>457</v>
      </c>
      <c r="C246" t="s">
        <v>814</v>
      </c>
      <c r="D246" s="138">
        <v>1540000</v>
      </c>
      <c r="E246" t="s">
        <v>472</v>
      </c>
      <c r="F246" s="20" t="s">
        <v>473</v>
      </c>
      <c r="G246" s="8" t="str">
        <f t="shared" si="3"/>
        <v>HELVIE ADAM</v>
      </c>
    </row>
    <row r="247" spans="1:7" x14ac:dyDescent="0.25">
      <c r="A247" s="8">
        <v>42916.859710648147</v>
      </c>
      <c r="B247" t="s">
        <v>599</v>
      </c>
      <c r="C247" t="s">
        <v>815</v>
      </c>
      <c r="D247" s="138">
        <v>2370000</v>
      </c>
      <c r="E247" t="s">
        <v>527</v>
      </c>
      <c r="F247" s="20" t="s">
        <v>528</v>
      </c>
      <c r="G247" s="8" t="str">
        <f t="shared" si="3"/>
        <v>DELGADO DIANAH</v>
      </c>
    </row>
    <row r="248" spans="1:7" x14ac:dyDescent="0.25">
      <c r="A248" s="8">
        <v>42916.865428240744</v>
      </c>
      <c r="B248" t="s">
        <v>601</v>
      </c>
      <c r="C248" t="s">
        <v>816</v>
      </c>
      <c r="D248" s="138">
        <v>2620000</v>
      </c>
      <c r="E248" t="s">
        <v>638</v>
      </c>
      <c r="F248" s="20" t="s">
        <v>639</v>
      </c>
      <c r="G248" s="8" t="str">
        <f t="shared" si="3"/>
        <v>PERKINS DARREN</v>
      </c>
    </row>
    <row r="249" spans="1:7" x14ac:dyDescent="0.25">
      <c r="A249" s="8">
        <v>42916.868981481479</v>
      </c>
      <c r="B249" t="s">
        <v>592</v>
      </c>
      <c r="C249" t="s">
        <v>817</v>
      </c>
      <c r="D249" s="138">
        <v>3090000</v>
      </c>
      <c r="E249" t="s">
        <v>372</v>
      </c>
      <c r="F249" s="20" t="s">
        <v>373</v>
      </c>
      <c r="G249" s="8" t="str">
        <f t="shared" si="3"/>
        <v>LAMAR NEKESHA</v>
      </c>
    </row>
    <row r="250" spans="1:7" x14ac:dyDescent="0.25">
      <c r="A250" s="8">
        <v>42916.871041666665</v>
      </c>
      <c r="B250" t="s">
        <v>485</v>
      </c>
      <c r="C250" t="s">
        <v>818</v>
      </c>
      <c r="D250" s="138">
        <v>3030000</v>
      </c>
      <c r="E250" t="s">
        <v>378</v>
      </c>
      <c r="F250" s="20" t="s">
        <v>364</v>
      </c>
      <c r="G250" s="8" t="str">
        <f t="shared" si="3"/>
        <v>BIRENBAUM THOMAS</v>
      </c>
    </row>
    <row r="251" spans="1:7" x14ac:dyDescent="0.25">
      <c r="A251" s="8">
        <v>42916.876793981479</v>
      </c>
      <c r="B251" t="s">
        <v>594</v>
      </c>
      <c r="C251" t="s">
        <v>819</v>
      </c>
      <c r="D251" s="138">
        <v>2440000</v>
      </c>
      <c r="E251" t="s">
        <v>820</v>
      </c>
      <c r="F251" s="20" t="s">
        <v>821</v>
      </c>
      <c r="G251" s="8" t="str">
        <f t="shared" si="3"/>
        <v>LOPES KIMBERLY</v>
      </c>
    </row>
    <row r="252" spans="1:7" x14ac:dyDescent="0.25">
      <c r="A252" s="8">
        <v>42916.883402777778</v>
      </c>
      <c r="B252" t="s">
        <v>408</v>
      </c>
      <c r="C252" t="s">
        <v>822</v>
      </c>
      <c r="D252" s="138">
        <v>3000000</v>
      </c>
      <c r="E252" t="s">
        <v>402</v>
      </c>
      <c r="F252" s="20" t="s">
        <v>403</v>
      </c>
      <c r="G252" s="8" t="str">
        <f t="shared" si="3"/>
        <v>FORTUNATO FRANK</v>
      </c>
    </row>
    <row r="253" spans="1:7" x14ac:dyDescent="0.25">
      <c r="A253" s="8">
        <v>42916.889293981483</v>
      </c>
      <c r="B253" t="s">
        <v>487</v>
      </c>
      <c r="C253" t="s">
        <v>635</v>
      </c>
      <c r="D253" s="138">
        <v>3030000</v>
      </c>
      <c r="E253" t="s">
        <v>378</v>
      </c>
      <c r="F253" s="20" t="s">
        <v>364</v>
      </c>
      <c r="G253" s="8" t="str">
        <f t="shared" si="3"/>
        <v>BIRENBAUM THOMAS</v>
      </c>
    </row>
    <row r="254" spans="1:7" x14ac:dyDescent="0.25">
      <c r="A254" s="8">
        <v>42916.893865740742</v>
      </c>
      <c r="B254" t="s">
        <v>418</v>
      </c>
      <c r="C254" t="s">
        <v>823</v>
      </c>
      <c r="D254" s="138">
        <v>1540000</v>
      </c>
      <c r="E254" t="s">
        <v>472</v>
      </c>
      <c r="F254" s="20" t="s">
        <v>473</v>
      </c>
      <c r="G254" s="8" t="str">
        <f t="shared" si="3"/>
        <v>HELVIE ADAM</v>
      </c>
    </row>
    <row r="255" spans="1:7" x14ac:dyDescent="0.25">
      <c r="A255" s="8">
        <v>42916.900775462964</v>
      </c>
      <c r="B255" t="s">
        <v>599</v>
      </c>
      <c r="C255" t="s">
        <v>634</v>
      </c>
      <c r="D255" s="138">
        <v>2440000</v>
      </c>
      <c r="E255" t="s">
        <v>820</v>
      </c>
      <c r="F255" s="20" t="s">
        <v>821</v>
      </c>
      <c r="G255" s="8" t="str">
        <f t="shared" si="3"/>
        <v>LOPES KIMBERLY</v>
      </c>
    </row>
    <row r="256" spans="1:7" x14ac:dyDescent="0.25">
      <c r="A256" s="8">
        <v>42916.902905092589</v>
      </c>
      <c r="B256" t="s">
        <v>485</v>
      </c>
      <c r="C256" t="s">
        <v>818</v>
      </c>
      <c r="D256" s="138">
        <v>3030000</v>
      </c>
      <c r="E256" t="s">
        <v>378</v>
      </c>
      <c r="F256" s="20" t="s">
        <v>364</v>
      </c>
      <c r="G256" s="8" t="str">
        <f t="shared" si="3"/>
        <v>BIRENBAUM THOMAS</v>
      </c>
    </row>
    <row r="257" spans="1:7" x14ac:dyDescent="0.25">
      <c r="A257" s="8">
        <v>42916.905648148146</v>
      </c>
      <c r="B257" t="s">
        <v>355</v>
      </c>
      <c r="C257" t="s">
        <v>824</v>
      </c>
      <c r="D257" s="138">
        <v>2620000</v>
      </c>
      <c r="E257" t="s">
        <v>638</v>
      </c>
      <c r="F257" s="20" t="s">
        <v>639</v>
      </c>
      <c r="G257" s="8" t="str">
        <f t="shared" si="3"/>
        <v>PERKINS DARREN</v>
      </c>
    </row>
    <row r="258" spans="1:7" x14ac:dyDescent="0.25">
      <c r="A258" s="8">
        <v>42916.911076388889</v>
      </c>
      <c r="B258" t="s">
        <v>645</v>
      </c>
      <c r="C258" t="s">
        <v>825</v>
      </c>
      <c r="D258" s="138">
        <v>3090000</v>
      </c>
      <c r="E258" t="s">
        <v>372</v>
      </c>
      <c r="F258" s="20" t="s">
        <v>373</v>
      </c>
      <c r="G258" s="8" t="str">
        <f t="shared" si="3"/>
        <v>LAMAR NEKESHA</v>
      </c>
    </row>
    <row r="259" spans="1:7" x14ac:dyDescent="0.25">
      <c r="A259" s="8">
        <v>42916.914675925924</v>
      </c>
      <c r="B259" t="s">
        <v>487</v>
      </c>
      <c r="C259" t="s">
        <v>635</v>
      </c>
      <c r="D259" s="138">
        <v>3030000</v>
      </c>
      <c r="E259" t="s">
        <v>378</v>
      </c>
      <c r="F259" s="20" t="s">
        <v>364</v>
      </c>
      <c r="G259" s="8" t="str">
        <f t="shared" ref="G259:G322" si="4">E259&amp;" "&amp;F259</f>
        <v>BIRENBAUM THOMAS</v>
      </c>
    </row>
    <row r="260" spans="1:7" x14ac:dyDescent="0.25">
      <c r="A260" s="8">
        <v>42916.915856481479</v>
      </c>
      <c r="B260" t="s">
        <v>594</v>
      </c>
      <c r="C260" t="s">
        <v>826</v>
      </c>
      <c r="D260" s="138">
        <v>2440000</v>
      </c>
      <c r="E260" t="s">
        <v>820</v>
      </c>
      <c r="F260" s="20" t="s">
        <v>821</v>
      </c>
      <c r="G260" s="8" t="str">
        <f t="shared" si="4"/>
        <v>LOPES KIMBERLY</v>
      </c>
    </row>
    <row r="261" spans="1:7" x14ac:dyDescent="0.25">
      <c r="A261" s="8">
        <v>42916.932928240742</v>
      </c>
      <c r="B261" t="s">
        <v>409</v>
      </c>
      <c r="C261" t="s">
        <v>827</v>
      </c>
      <c r="D261" s="138">
        <v>3000000</v>
      </c>
      <c r="E261" t="s">
        <v>402</v>
      </c>
      <c r="F261" s="20" t="s">
        <v>403</v>
      </c>
      <c r="G261" s="8" t="str">
        <f t="shared" si="4"/>
        <v>FORTUNATO FRANK</v>
      </c>
    </row>
    <row r="262" spans="1:7" x14ac:dyDescent="0.25">
      <c r="A262" s="8">
        <v>42916.934490740743</v>
      </c>
      <c r="B262" t="s">
        <v>485</v>
      </c>
      <c r="C262" t="s">
        <v>818</v>
      </c>
      <c r="D262" s="138">
        <v>3030000</v>
      </c>
      <c r="E262" t="s">
        <v>378</v>
      </c>
      <c r="F262" s="20" t="s">
        <v>364</v>
      </c>
      <c r="G262" s="8" t="str">
        <f t="shared" si="4"/>
        <v>BIRENBAUM THOMAS</v>
      </c>
    </row>
    <row r="263" spans="1:7" x14ac:dyDescent="0.25">
      <c r="A263" s="8">
        <v>42916.934606481482</v>
      </c>
      <c r="B263" t="s">
        <v>457</v>
      </c>
      <c r="C263" t="s">
        <v>828</v>
      </c>
      <c r="D263" s="138">
        <v>1540000</v>
      </c>
      <c r="E263" t="s">
        <v>472</v>
      </c>
      <c r="F263" s="20" t="s">
        <v>473</v>
      </c>
      <c r="G263" s="8" t="str">
        <f t="shared" si="4"/>
        <v>HELVIE ADAM</v>
      </c>
    </row>
    <row r="264" spans="1:7" x14ac:dyDescent="0.25">
      <c r="A264" s="8">
        <v>42916.942002314812</v>
      </c>
      <c r="B264" t="s">
        <v>599</v>
      </c>
      <c r="C264" t="s">
        <v>829</v>
      </c>
      <c r="D264" s="138">
        <v>2440000</v>
      </c>
      <c r="E264" t="s">
        <v>820</v>
      </c>
      <c r="F264" s="20" t="s">
        <v>821</v>
      </c>
      <c r="G264" s="8" t="str">
        <f t="shared" si="4"/>
        <v>LOPES KIMBERLY</v>
      </c>
    </row>
    <row r="265" spans="1:7" x14ac:dyDescent="0.25">
      <c r="A265" s="8">
        <v>42916.945127314815</v>
      </c>
      <c r="B265" t="s">
        <v>601</v>
      </c>
      <c r="C265" t="s">
        <v>830</v>
      </c>
      <c r="D265" s="138">
        <v>2620000</v>
      </c>
      <c r="E265" t="s">
        <v>638</v>
      </c>
      <c r="F265" s="20" t="s">
        <v>639</v>
      </c>
      <c r="G265" s="8" t="str">
        <f t="shared" si="4"/>
        <v>PERKINS DARREN</v>
      </c>
    </row>
    <row r="266" spans="1:7" x14ac:dyDescent="0.25">
      <c r="A266" s="8">
        <v>42916.947175925925</v>
      </c>
      <c r="B266" t="s">
        <v>487</v>
      </c>
      <c r="C266" t="s">
        <v>635</v>
      </c>
      <c r="D266" s="138">
        <v>3030000</v>
      </c>
      <c r="E266" t="s">
        <v>378</v>
      </c>
      <c r="F266" s="20" t="s">
        <v>364</v>
      </c>
      <c r="G266" s="8" t="str">
        <f t="shared" si="4"/>
        <v>BIRENBAUM THOMAS</v>
      </c>
    </row>
    <row r="267" spans="1:7" x14ac:dyDescent="0.25">
      <c r="A267" s="8">
        <v>42916.94840277778</v>
      </c>
      <c r="B267" t="s">
        <v>594</v>
      </c>
      <c r="C267" t="s">
        <v>829</v>
      </c>
      <c r="D267" s="138">
        <v>2440000</v>
      </c>
      <c r="E267" t="s">
        <v>820</v>
      </c>
      <c r="F267" s="20" t="s">
        <v>821</v>
      </c>
      <c r="G267" s="8" t="str">
        <f t="shared" si="4"/>
        <v>LOPES KIMBERLY</v>
      </c>
    </row>
    <row r="268" spans="1:7" x14ac:dyDescent="0.25">
      <c r="A268" s="8">
        <v>42916.949583333335</v>
      </c>
      <c r="B268" t="s">
        <v>594</v>
      </c>
      <c r="C268" t="s">
        <v>829</v>
      </c>
      <c r="D268" s="138">
        <v>2440000</v>
      </c>
      <c r="E268" t="s">
        <v>820</v>
      </c>
      <c r="F268" s="20" t="s">
        <v>821</v>
      </c>
      <c r="G268" s="8" t="str">
        <f t="shared" si="4"/>
        <v>LOPES KIMBERLY</v>
      </c>
    </row>
    <row r="269" spans="1:7" x14ac:dyDescent="0.25">
      <c r="A269" s="8">
        <v>42916.956261574072</v>
      </c>
      <c r="B269" t="s">
        <v>485</v>
      </c>
      <c r="C269" t="s">
        <v>818</v>
      </c>
      <c r="D269" s="138">
        <v>3030000</v>
      </c>
      <c r="E269" t="s">
        <v>378</v>
      </c>
      <c r="F269" s="20" t="s">
        <v>364</v>
      </c>
      <c r="G269" s="8" t="str">
        <f t="shared" si="4"/>
        <v>BIRENBAUM THOMAS</v>
      </c>
    </row>
    <row r="270" spans="1:7" x14ac:dyDescent="0.25">
      <c r="A270" s="8">
        <v>42916.957453703704</v>
      </c>
      <c r="B270" t="s">
        <v>592</v>
      </c>
      <c r="C270" t="s">
        <v>831</v>
      </c>
      <c r="D270" s="138">
        <v>3090000</v>
      </c>
      <c r="E270" t="s">
        <v>372</v>
      </c>
      <c r="F270" s="20" t="s">
        <v>373</v>
      </c>
      <c r="G270" s="8" t="str">
        <f t="shared" si="4"/>
        <v>LAMAR NEKESHA</v>
      </c>
    </row>
    <row r="271" spans="1:7" x14ac:dyDescent="0.25">
      <c r="A271" s="8">
        <v>42916.959687499999</v>
      </c>
      <c r="B271" t="s">
        <v>592</v>
      </c>
      <c r="C271" t="s">
        <v>831</v>
      </c>
      <c r="D271" s="138">
        <v>3090000</v>
      </c>
      <c r="E271" t="s">
        <v>372</v>
      </c>
      <c r="F271" s="20" t="s">
        <v>373</v>
      </c>
      <c r="G271" s="8" t="str">
        <f t="shared" si="4"/>
        <v>LAMAR NEKESHA</v>
      </c>
    </row>
    <row r="272" spans="1:7" x14ac:dyDescent="0.25">
      <c r="A272" s="8">
        <v>42916.96603009259</v>
      </c>
      <c r="B272" t="s">
        <v>408</v>
      </c>
      <c r="C272" t="s">
        <v>832</v>
      </c>
      <c r="D272" s="138">
        <v>3000000</v>
      </c>
      <c r="E272" t="s">
        <v>402</v>
      </c>
      <c r="F272" s="20" t="s">
        <v>403</v>
      </c>
      <c r="G272" s="8" t="str">
        <f t="shared" si="4"/>
        <v>FORTUNATO FRANK</v>
      </c>
    </row>
    <row r="273" spans="1:7" x14ac:dyDescent="0.25">
      <c r="A273" s="8">
        <v>42916.96912037037</v>
      </c>
      <c r="B273" t="s">
        <v>487</v>
      </c>
      <c r="C273" t="s">
        <v>635</v>
      </c>
      <c r="D273" s="138">
        <v>3030000</v>
      </c>
      <c r="E273" t="s">
        <v>378</v>
      </c>
      <c r="F273" s="20" t="s">
        <v>364</v>
      </c>
      <c r="G273" s="8" t="str">
        <f t="shared" si="4"/>
        <v>BIRENBAUM THOMAS</v>
      </c>
    </row>
    <row r="274" spans="1:7" x14ac:dyDescent="0.25">
      <c r="A274" s="8">
        <v>42916.975011574075</v>
      </c>
      <c r="B274" t="s">
        <v>418</v>
      </c>
      <c r="C274" t="s">
        <v>833</v>
      </c>
      <c r="D274" s="138">
        <v>1540000</v>
      </c>
      <c r="E274" t="s">
        <v>472</v>
      </c>
      <c r="F274" s="20" t="s">
        <v>473</v>
      </c>
      <c r="G274" s="8" t="str">
        <f t="shared" si="4"/>
        <v>HELVIE ADAM</v>
      </c>
    </row>
    <row r="275" spans="1:7" x14ac:dyDescent="0.25">
      <c r="A275" s="8">
        <v>42916.978564814817</v>
      </c>
      <c r="B275" t="s">
        <v>485</v>
      </c>
      <c r="C275" t="s">
        <v>818</v>
      </c>
      <c r="D275" s="138">
        <v>3030000</v>
      </c>
      <c r="E275" t="s">
        <v>378</v>
      </c>
      <c r="F275" s="20" t="s">
        <v>364</v>
      </c>
      <c r="G275" s="8" t="str">
        <f t="shared" si="4"/>
        <v>BIRENBAUM THOMAS</v>
      </c>
    </row>
    <row r="276" spans="1:7" x14ac:dyDescent="0.25">
      <c r="A276" s="8">
        <v>42916.986331018517</v>
      </c>
      <c r="B276" t="s">
        <v>355</v>
      </c>
      <c r="C276" t="s">
        <v>834</v>
      </c>
      <c r="D276" s="138">
        <v>2620000</v>
      </c>
      <c r="E276" t="s">
        <v>638</v>
      </c>
      <c r="F276" s="20" t="s">
        <v>639</v>
      </c>
      <c r="G276" s="8" t="str">
        <f t="shared" si="4"/>
        <v>PERKINS DARREN</v>
      </c>
    </row>
    <row r="277" spans="1:7" x14ac:dyDescent="0.25">
      <c r="A277" s="8">
        <v>42916.989224537036</v>
      </c>
      <c r="B277" t="s">
        <v>487</v>
      </c>
      <c r="C277" t="s">
        <v>635</v>
      </c>
      <c r="D277" s="138">
        <v>3030000</v>
      </c>
      <c r="E277" t="s">
        <v>378</v>
      </c>
      <c r="F277" s="20" t="s">
        <v>364</v>
      </c>
      <c r="G277" s="8" t="str">
        <f t="shared" si="4"/>
        <v>BIRENBAUM THOMAS</v>
      </c>
    </row>
    <row r="278" spans="1:7" x14ac:dyDescent="0.25">
      <c r="A278" s="8">
        <v>42916.99114583333</v>
      </c>
      <c r="B278" t="s">
        <v>645</v>
      </c>
      <c r="C278" t="s">
        <v>835</v>
      </c>
      <c r="D278" s="138">
        <v>3090000</v>
      </c>
      <c r="E278" t="s">
        <v>372</v>
      </c>
      <c r="F278" s="20" t="s">
        <v>373</v>
      </c>
      <c r="G278" s="8" t="str">
        <f t="shared" si="4"/>
        <v>LAMAR NEKESHA</v>
      </c>
    </row>
    <row r="279" spans="1:7" x14ac:dyDescent="0.25">
      <c r="A279" s="8">
        <v>42916.998796296299</v>
      </c>
      <c r="B279" t="s">
        <v>485</v>
      </c>
      <c r="C279" t="s">
        <v>818</v>
      </c>
      <c r="D279" s="138">
        <v>3030000</v>
      </c>
      <c r="E279" t="s">
        <v>378</v>
      </c>
      <c r="F279" s="20" t="s">
        <v>364</v>
      </c>
      <c r="G279" s="8" t="str">
        <f t="shared" si="4"/>
        <v>BIRENBAUM THOMAS</v>
      </c>
    </row>
    <row r="280" spans="1:7" x14ac:dyDescent="0.25">
      <c r="A280" s="8">
        <v>42917.007696759261</v>
      </c>
      <c r="B280" t="s">
        <v>409</v>
      </c>
      <c r="C280" t="s">
        <v>836</v>
      </c>
      <c r="D280" s="138">
        <v>3000000</v>
      </c>
      <c r="E280" t="s">
        <v>402</v>
      </c>
      <c r="F280" s="20" t="s">
        <v>403</v>
      </c>
      <c r="G280" s="8" t="str">
        <f t="shared" si="4"/>
        <v>FORTUNATO FRANK</v>
      </c>
    </row>
    <row r="281" spans="1:7" x14ac:dyDescent="0.25">
      <c r="A281" s="8">
        <v>42917.010115740741</v>
      </c>
      <c r="B281" t="s">
        <v>487</v>
      </c>
      <c r="C281" t="s">
        <v>635</v>
      </c>
      <c r="D281" s="138">
        <v>3030000</v>
      </c>
      <c r="E281" t="s">
        <v>378</v>
      </c>
      <c r="F281" s="20" t="s">
        <v>364</v>
      </c>
      <c r="G281" s="8" t="str">
        <f t="shared" si="4"/>
        <v>BIRENBAUM THOMAS</v>
      </c>
    </row>
    <row r="282" spans="1:7" x14ac:dyDescent="0.25">
      <c r="A282" s="8">
        <v>42917.017384259256</v>
      </c>
      <c r="B282" t="s">
        <v>457</v>
      </c>
      <c r="C282" t="s">
        <v>837</v>
      </c>
      <c r="D282" s="138">
        <v>1540000</v>
      </c>
      <c r="E282" t="s">
        <v>472</v>
      </c>
      <c r="F282" s="20" t="s">
        <v>473</v>
      </c>
      <c r="G282" s="8" t="str">
        <f t="shared" si="4"/>
        <v>HELVIE ADAM</v>
      </c>
    </row>
    <row r="283" spans="1:7" x14ac:dyDescent="0.25">
      <c r="A283" s="8">
        <v>42917.022314814814</v>
      </c>
      <c r="B283" t="s">
        <v>485</v>
      </c>
      <c r="C283" t="s">
        <v>818</v>
      </c>
      <c r="D283" s="138">
        <v>3030000</v>
      </c>
      <c r="E283" t="s">
        <v>378</v>
      </c>
      <c r="F283" s="20" t="s">
        <v>364</v>
      </c>
      <c r="G283" s="8" t="str">
        <f t="shared" si="4"/>
        <v>BIRENBAUM THOMAS</v>
      </c>
    </row>
    <row r="284" spans="1:7" x14ac:dyDescent="0.25">
      <c r="A284" s="8">
        <v>42917.029224537036</v>
      </c>
      <c r="B284" t="s">
        <v>487</v>
      </c>
      <c r="C284" t="s">
        <v>635</v>
      </c>
      <c r="D284" s="138">
        <v>3030000</v>
      </c>
      <c r="E284" t="s">
        <v>378</v>
      </c>
      <c r="F284" s="20" t="s">
        <v>364</v>
      </c>
      <c r="G284" s="8" t="str">
        <f t="shared" si="4"/>
        <v>BIRENBAUM THOMAS</v>
      </c>
    </row>
    <row r="285" spans="1:7" x14ac:dyDescent="0.25">
      <c r="A285" s="8">
        <v>42917.031643518516</v>
      </c>
      <c r="B285" t="s">
        <v>601</v>
      </c>
      <c r="C285" t="s">
        <v>838</v>
      </c>
      <c r="D285" s="138">
        <v>2620000</v>
      </c>
      <c r="E285" t="s">
        <v>638</v>
      </c>
      <c r="F285" s="20" t="s">
        <v>639</v>
      </c>
      <c r="G285" s="8" t="str">
        <f t="shared" si="4"/>
        <v>PERKINS DARREN</v>
      </c>
    </row>
    <row r="286" spans="1:7" x14ac:dyDescent="0.25">
      <c r="A286" s="8">
        <v>42917.037986111114</v>
      </c>
      <c r="B286" t="s">
        <v>592</v>
      </c>
      <c r="C286" t="s">
        <v>839</v>
      </c>
      <c r="D286" s="138">
        <v>3090000</v>
      </c>
      <c r="E286" t="s">
        <v>372</v>
      </c>
      <c r="F286" s="20" t="s">
        <v>373</v>
      </c>
      <c r="G286" s="8" t="str">
        <f t="shared" si="4"/>
        <v>LAMAR NEKESHA</v>
      </c>
    </row>
    <row r="287" spans="1:7" x14ac:dyDescent="0.25">
      <c r="A287" s="8">
        <v>42917.040914351855</v>
      </c>
      <c r="B287" t="s">
        <v>485</v>
      </c>
      <c r="C287" t="s">
        <v>818</v>
      </c>
      <c r="D287" s="138">
        <v>3030000</v>
      </c>
      <c r="E287" t="s">
        <v>378</v>
      </c>
      <c r="F287" s="20" t="s">
        <v>364</v>
      </c>
      <c r="G287" s="8" t="str">
        <f t="shared" si="4"/>
        <v>BIRENBAUM THOMAS</v>
      </c>
    </row>
    <row r="288" spans="1:7" x14ac:dyDescent="0.25">
      <c r="A288" s="8">
        <v>42917.047048611108</v>
      </c>
      <c r="B288" t="s">
        <v>418</v>
      </c>
      <c r="C288" t="s">
        <v>840</v>
      </c>
      <c r="D288" s="138">
        <v>1540000</v>
      </c>
      <c r="E288" t="s">
        <v>472</v>
      </c>
      <c r="F288" s="20" t="s">
        <v>473</v>
      </c>
      <c r="G288" s="8" t="str">
        <f t="shared" si="4"/>
        <v>HELVIE ADAM</v>
      </c>
    </row>
    <row r="289" spans="1:7" x14ac:dyDescent="0.25">
      <c r="A289" s="8">
        <v>42917.048726851855</v>
      </c>
      <c r="B289" t="s">
        <v>408</v>
      </c>
      <c r="C289" t="s">
        <v>636</v>
      </c>
      <c r="D289" s="138">
        <v>3000000</v>
      </c>
      <c r="E289" t="s">
        <v>402</v>
      </c>
      <c r="F289" s="20" t="s">
        <v>403</v>
      </c>
      <c r="G289" s="8" t="str">
        <f t="shared" si="4"/>
        <v>FORTUNATO FRANK</v>
      </c>
    </row>
    <row r="290" spans="1:7" x14ac:dyDescent="0.25">
      <c r="A290" s="8">
        <v>42917.068553240744</v>
      </c>
      <c r="B290" t="s">
        <v>355</v>
      </c>
      <c r="C290" t="s">
        <v>841</v>
      </c>
      <c r="D290" s="138">
        <v>2620000</v>
      </c>
      <c r="E290" t="s">
        <v>638</v>
      </c>
      <c r="F290" s="20" t="s">
        <v>639</v>
      </c>
      <c r="G290" s="8" t="str">
        <f t="shared" si="4"/>
        <v>PERKINS DARREN</v>
      </c>
    </row>
    <row r="291" spans="1:7" x14ac:dyDescent="0.25">
      <c r="A291" s="8">
        <v>42917.07775462963</v>
      </c>
      <c r="B291" t="s">
        <v>645</v>
      </c>
      <c r="C291" t="s">
        <v>842</v>
      </c>
      <c r="D291" s="138">
        <v>3090000</v>
      </c>
      <c r="E291" t="s">
        <v>372</v>
      </c>
      <c r="F291" s="20" t="s">
        <v>373</v>
      </c>
      <c r="G291" s="8" t="str">
        <f t="shared" si="4"/>
        <v>LAMAR NEKESHA</v>
      </c>
    </row>
    <row r="292" spans="1:7" x14ac:dyDescent="0.25">
      <c r="A292" s="8">
        <v>42917.082499999997</v>
      </c>
      <c r="B292" t="s">
        <v>487</v>
      </c>
      <c r="C292" t="s">
        <v>635</v>
      </c>
      <c r="D292" s="138">
        <v>3030000</v>
      </c>
      <c r="E292" t="s">
        <v>378</v>
      </c>
      <c r="F292" s="20" t="s">
        <v>364</v>
      </c>
      <c r="G292" s="8" t="str">
        <f t="shared" si="4"/>
        <v>BIRENBAUM THOMAS</v>
      </c>
    </row>
    <row r="293" spans="1:7" x14ac:dyDescent="0.25">
      <c r="A293" s="8">
        <v>42917.090624999997</v>
      </c>
      <c r="B293" t="s">
        <v>409</v>
      </c>
      <c r="C293" t="s">
        <v>843</v>
      </c>
      <c r="D293" s="138">
        <v>3000000</v>
      </c>
      <c r="E293" t="s">
        <v>402</v>
      </c>
      <c r="F293" s="20" t="s">
        <v>403</v>
      </c>
      <c r="G293" s="8" t="str">
        <f t="shared" si="4"/>
        <v>FORTUNATO FRANK</v>
      </c>
    </row>
    <row r="294" spans="1:7" x14ac:dyDescent="0.25">
      <c r="A294" s="8">
        <v>42917.11074074074</v>
      </c>
      <c r="B294" t="s">
        <v>592</v>
      </c>
      <c r="C294" t="s">
        <v>844</v>
      </c>
      <c r="D294" s="138">
        <v>3090000</v>
      </c>
      <c r="E294" t="s">
        <v>372</v>
      </c>
      <c r="F294" s="20" t="s">
        <v>373</v>
      </c>
      <c r="G294" s="8" t="str">
        <f t="shared" si="4"/>
        <v>LAMAR NEKESHA</v>
      </c>
    </row>
    <row r="295" spans="1:7" x14ac:dyDescent="0.25">
      <c r="A295" s="8">
        <v>42917.113958333335</v>
      </c>
      <c r="B295" t="s">
        <v>391</v>
      </c>
      <c r="C295" t="s">
        <v>845</v>
      </c>
      <c r="D295" s="138">
        <v>1240000</v>
      </c>
      <c r="E295" t="s">
        <v>846</v>
      </c>
      <c r="F295" s="20" t="s">
        <v>847</v>
      </c>
      <c r="G295" s="8" t="str">
        <f t="shared" si="4"/>
        <v>GRASTON MATHEU</v>
      </c>
    </row>
    <row r="296" spans="1:7" x14ac:dyDescent="0.25">
      <c r="A296" s="8">
        <v>42864.036122685182</v>
      </c>
      <c r="B296" t="s">
        <v>363</v>
      </c>
      <c r="C296" t="s">
        <v>383</v>
      </c>
      <c r="D296" s="138">
        <v>3030000</v>
      </c>
      <c r="E296" t="s">
        <v>378</v>
      </c>
      <c r="F296" s="20" t="s">
        <v>364</v>
      </c>
      <c r="G296" s="8" t="str">
        <f t="shared" si="4"/>
        <v>BIRENBAUM THOMAS</v>
      </c>
    </row>
    <row r="297" spans="1:7" x14ac:dyDescent="0.25">
      <c r="A297" s="8">
        <v>42864.042592592596</v>
      </c>
      <c r="B297" t="s">
        <v>371</v>
      </c>
      <c r="C297" t="s">
        <v>367</v>
      </c>
      <c r="D297" s="138">
        <v>2970000</v>
      </c>
      <c r="E297" t="s">
        <v>376</v>
      </c>
      <c r="F297" s="20" t="s">
        <v>377</v>
      </c>
      <c r="G297" s="8" t="str">
        <f t="shared" si="4"/>
        <v>GUZMAN DANNY</v>
      </c>
    </row>
    <row r="298" spans="1:7" x14ac:dyDescent="0.25">
      <c r="A298" s="8">
        <v>42864.048067129632</v>
      </c>
      <c r="B298" t="s">
        <v>355</v>
      </c>
      <c r="C298" t="s">
        <v>384</v>
      </c>
      <c r="D298" s="138">
        <v>2230000</v>
      </c>
      <c r="E298" t="s">
        <v>340</v>
      </c>
      <c r="F298" s="20" t="s">
        <v>191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365</v>
      </c>
      <c r="C299" t="s">
        <v>367</v>
      </c>
      <c r="D299" s="138">
        <v>2970000</v>
      </c>
      <c r="E299" t="s">
        <v>376</v>
      </c>
      <c r="F299" s="20" t="s">
        <v>377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366</v>
      </c>
      <c r="C300" t="s">
        <v>370</v>
      </c>
      <c r="D300" s="138">
        <v>3130000</v>
      </c>
      <c r="E300" t="s">
        <v>381</v>
      </c>
      <c r="F300" s="20" t="s">
        <v>382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365</v>
      </c>
      <c r="C301" t="s">
        <v>367</v>
      </c>
      <c r="D301" s="138">
        <v>2970000</v>
      </c>
      <c r="E301" t="s">
        <v>376</v>
      </c>
      <c r="F301" s="20" t="s">
        <v>377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361</v>
      </c>
      <c r="C302" t="s">
        <v>368</v>
      </c>
      <c r="D302" s="138">
        <v>3040000</v>
      </c>
      <c r="E302" t="s">
        <v>379</v>
      </c>
      <c r="F302" s="20" t="s">
        <v>380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361</v>
      </c>
      <c r="C303" t="s">
        <v>368</v>
      </c>
      <c r="D303" s="138">
        <v>3040000</v>
      </c>
      <c r="E303" t="s">
        <v>379</v>
      </c>
      <c r="F303" s="20" t="s">
        <v>380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339</v>
      </c>
      <c r="C304" t="s">
        <v>385</v>
      </c>
      <c r="D304" s="138">
        <v>3030000</v>
      </c>
      <c r="E304" t="s">
        <v>378</v>
      </c>
      <c r="F304" s="20" t="s">
        <v>364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371</v>
      </c>
      <c r="C305" t="s">
        <v>367</v>
      </c>
      <c r="D305" s="138">
        <v>2970000</v>
      </c>
      <c r="E305" t="s">
        <v>376</v>
      </c>
      <c r="F305" s="20" t="s">
        <v>377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365</v>
      </c>
      <c r="C306" t="s">
        <v>367</v>
      </c>
      <c r="D306" s="138">
        <v>2970000</v>
      </c>
      <c r="E306" t="s">
        <v>376</v>
      </c>
      <c r="F306" s="20" t="s">
        <v>377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362</v>
      </c>
      <c r="C307" t="s">
        <v>368</v>
      </c>
      <c r="D307" s="138">
        <v>3040000</v>
      </c>
      <c r="E307" t="s">
        <v>379</v>
      </c>
      <c r="F307" s="20" t="s">
        <v>380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369</v>
      </c>
      <c r="C308" t="s">
        <v>386</v>
      </c>
      <c r="D308" s="138">
        <v>3130000</v>
      </c>
      <c r="E308" t="s">
        <v>381</v>
      </c>
      <c r="F308" s="20" t="s">
        <v>382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361</v>
      </c>
      <c r="C309" t="s">
        <v>368</v>
      </c>
      <c r="D309" s="138">
        <v>3040000</v>
      </c>
      <c r="E309" t="s">
        <v>379</v>
      </c>
      <c r="F309" s="20" t="s">
        <v>380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371</v>
      </c>
      <c r="C310" t="s">
        <v>367</v>
      </c>
      <c r="D310" s="138">
        <v>2970000</v>
      </c>
      <c r="E310" t="s">
        <v>376</v>
      </c>
      <c r="F310" s="20" t="s">
        <v>377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365</v>
      </c>
      <c r="C311" t="s">
        <v>367</v>
      </c>
      <c r="D311" s="138">
        <v>2970000</v>
      </c>
      <c r="E311" t="s">
        <v>376</v>
      </c>
      <c r="F311" s="20" t="s">
        <v>377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S29"/>
    </sheetView>
  </sheetViews>
  <sheetFormatPr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171" t="s">
        <v>158</v>
      </c>
      <c r="B1" s="171" t="s">
        <v>161</v>
      </c>
      <c r="C1" s="171" t="s">
        <v>154</v>
      </c>
      <c r="D1" s="136" t="s">
        <v>166</v>
      </c>
      <c r="E1" s="171" t="s">
        <v>155</v>
      </c>
      <c r="F1" s="171" t="s">
        <v>153</v>
      </c>
      <c r="G1" s="171" t="s">
        <v>151</v>
      </c>
      <c r="H1" s="171" t="s">
        <v>164</v>
      </c>
      <c r="I1" s="171" t="s">
        <v>165</v>
      </c>
      <c r="J1" s="171" t="s">
        <v>495</v>
      </c>
      <c r="K1" s="171" t="s">
        <v>159</v>
      </c>
      <c r="L1" s="171" t="s">
        <v>157</v>
      </c>
      <c r="M1" s="171" t="s">
        <v>152</v>
      </c>
      <c r="N1" s="171" t="s">
        <v>162</v>
      </c>
      <c r="O1" s="171" t="s">
        <v>419</v>
      </c>
      <c r="P1" s="171" t="s">
        <v>156</v>
      </c>
      <c r="Q1" s="171" t="s">
        <v>163</v>
      </c>
      <c r="R1" s="171" t="s">
        <v>420</v>
      </c>
      <c r="S1" s="171" t="s">
        <v>160</v>
      </c>
    </row>
    <row r="2" spans="1:19" x14ac:dyDescent="0.25">
      <c r="A2" s="172">
        <v>61.72</v>
      </c>
      <c r="B2" s="172">
        <v>0.69</v>
      </c>
      <c r="C2" s="172">
        <v>48.73</v>
      </c>
      <c r="D2" s="8">
        <v>42916</v>
      </c>
      <c r="E2" s="172">
        <v>0.62</v>
      </c>
      <c r="F2" s="172" t="s">
        <v>496</v>
      </c>
      <c r="G2" s="172">
        <v>332.66</v>
      </c>
      <c r="H2" s="172">
        <v>1.01E-2</v>
      </c>
      <c r="I2" s="172">
        <v>0.08</v>
      </c>
      <c r="J2" s="172" t="s">
        <v>496</v>
      </c>
      <c r="K2" s="172">
        <v>1016.79</v>
      </c>
      <c r="L2" s="172" t="s">
        <v>534</v>
      </c>
      <c r="M2" s="172">
        <v>61.72</v>
      </c>
      <c r="N2" s="172">
        <v>1498802400</v>
      </c>
      <c r="O2" s="172">
        <v>0</v>
      </c>
      <c r="P2" s="172">
        <v>10</v>
      </c>
      <c r="Q2" s="172">
        <v>13</v>
      </c>
      <c r="R2" s="172">
        <v>14.33</v>
      </c>
      <c r="S2" s="172">
        <v>8.25</v>
      </c>
    </row>
    <row r="3" spans="1:19" x14ac:dyDescent="0.25">
      <c r="A3" s="172">
        <v>59.32</v>
      </c>
      <c r="B3" s="172">
        <v>0.77</v>
      </c>
      <c r="C3" s="172">
        <v>49.88</v>
      </c>
      <c r="D3" s="8">
        <v>42916.041666666664</v>
      </c>
      <c r="E3" s="172">
        <v>0.71</v>
      </c>
      <c r="F3" s="172" t="s">
        <v>496</v>
      </c>
      <c r="G3" s="172">
        <v>333.77</v>
      </c>
      <c r="H3" s="172">
        <v>1.17E-2</v>
      </c>
      <c r="I3" s="172">
        <v>0.11</v>
      </c>
      <c r="J3" s="172" t="s">
        <v>496</v>
      </c>
      <c r="K3" s="172">
        <v>1017.54</v>
      </c>
      <c r="L3" s="172" t="s">
        <v>534</v>
      </c>
      <c r="M3" s="172">
        <v>59.32</v>
      </c>
      <c r="N3" s="172">
        <v>1498806000</v>
      </c>
      <c r="O3" s="172">
        <v>0</v>
      </c>
      <c r="P3" s="172">
        <v>6.83</v>
      </c>
      <c r="Q3" s="172">
        <v>351</v>
      </c>
      <c r="R3" s="172">
        <v>18.690000000000001</v>
      </c>
      <c r="S3" s="172">
        <v>10.84</v>
      </c>
    </row>
    <row r="4" spans="1:19" x14ac:dyDescent="0.25">
      <c r="A4" s="172">
        <v>57.86</v>
      </c>
      <c r="B4" s="172">
        <v>0.77</v>
      </c>
      <c r="C4" s="172">
        <v>49.62</v>
      </c>
      <c r="D4" s="8">
        <v>42916.083333333336</v>
      </c>
      <c r="E4" s="172">
        <v>0.74</v>
      </c>
      <c r="F4" s="172" t="s">
        <v>496</v>
      </c>
      <c r="G4" s="172">
        <v>334.27</v>
      </c>
      <c r="H4" s="172">
        <v>1.8800000000000001E-2</v>
      </c>
      <c r="I4" s="172">
        <v>0.15</v>
      </c>
      <c r="J4" s="172" t="s">
        <v>496</v>
      </c>
      <c r="K4" s="172">
        <v>1018.16</v>
      </c>
      <c r="L4" s="172" t="s">
        <v>534</v>
      </c>
      <c r="M4" s="172">
        <v>57.86</v>
      </c>
      <c r="N4" s="172">
        <v>1498809600</v>
      </c>
      <c r="O4" s="172">
        <v>0</v>
      </c>
      <c r="P4" s="172">
        <v>8.4600000000000009</v>
      </c>
      <c r="Q4" s="172">
        <v>343</v>
      </c>
      <c r="R4" s="172">
        <v>11.32</v>
      </c>
      <c r="S4" s="172">
        <v>6.53</v>
      </c>
    </row>
    <row r="5" spans="1:19" x14ac:dyDescent="0.25">
      <c r="A5" s="172">
        <v>55.27</v>
      </c>
      <c r="B5" s="172">
        <v>0.79</v>
      </c>
      <c r="C5" s="172">
        <v>50.08</v>
      </c>
      <c r="D5" s="8">
        <v>42916.125</v>
      </c>
      <c r="E5" s="172">
        <v>0.83</v>
      </c>
      <c r="F5" s="172" t="s">
        <v>535</v>
      </c>
      <c r="G5" s="172">
        <v>335.07</v>
      </c>
      <c r="H5" s="172">
        <v>4.1000000000000003E-3</v>
      </c>
      <c r="I5" s="172">
        <v>0.03</v>
      </c>
      <c r="J5" s="172" t="s">
        <v>496</v>
      </c>
      <c r="K5" s="172">
        <v>1018.09</v>
      </c>
      <c r="L5" s="172" t="s">
        <v>533</v>
      </c>
      <c r="M5" s="172">
        <v>55.27</v>
      </c>
      <c r="N5" s="172">
        <v>1498813200</v>
      </c>
      <c r="O5" s="172">
        <v>0</v>
      </c>
      <c r="P5" s="172">
        <v>8.77</v>
      </c>
      <c r="Q5" s="172">
        <v>332</v>
      </c>
      <c r="R5" s="172">
        <v>8.1999999999999993</v>
      </c>
      <c r="S5" s="172">
        <v>4.78</v>
      </c>
    </row>
    <row r="6" spans="1:19" x14ac:dyDescent="0.25">
      <c r="A6" s="172">
        <v>53.99</v>
      </c>
      <c r="B6" s="172">
        <v>0.74</v>
      </c>
      <c r="C6" s="172">
        <v>49.24</v>
      </c>
      <c r="D6" s="8">
        <v>42916.166666666664</v>
      </c>
      <c r="E6" s="172">
        <v>0.84</v>
      </c>
      <c r="F6" s="172" t="s">
        <v>535</v>
      </c>
      <c r="G6" s="172">
        <v>336.27</v>
      </c>
      <c r="H6" s="172">
        <v>4.0000000000000001E-3</v>
      </c>
      <c r="I6" s="172">
        <v>0.03</v>
      </c>
      <c r="J6" s="172" t="s">
        <v>496</v>
      </c>
      <c r="K6" s="172">
        <v>1018.09</v>
      </c>
      <c r="L6" s="172" t="s">
        <v>533</v>
      </c>
      <c r="M6" s="172">
        <v>53.99</v>
      </c>
      <c r="N6" s="172">
        <v>1498816800</v>
      </c>
      <c r="O6" s="172">
        <v>0</v>
      </c>
      <c r="P6" s="172">
        <v>9.9600000000000009</v>
      </c>
      <c r="Q6" s="172">
        <v>341</v>
      </c>
      <c r="R6" s="172">
        <v>6.21</v>
      </c>
      <c r="S6" s="172">
        <v>4.41</v>
      </c>
    </row>
    <row r="7" spans="1:19" x14ac:dyDescent="0.25">
      <c r="A7" s="172">
        <v>53</v>
      </c>
      <c r="B7" s="172">
        <v>0.78</v>
      </c>
      <c r="C7" s="172">
        <v>48.43</v>
      </c>
      <c r="D7" s="8">
        <v>42916.208333333336</v>
      </c>
      <c r="E7" s="172">
        <v>0.84</v>
      </c>
      <c r="F7" s="172" t="s">
        <v>535</v>
      </c>
      <c r="G7" s="172">
        <v>337.67</v>
      </c>
      <c r="H7" s="172">
        <v>0</v>
      </c>
      <c r="I7" s="172">
        <v>0</v>
      </c>
      <c r="J7" s="172"/>
      <c r="K7" s="172">
        <v>1018.09</v>
      </c>
      <c r="L7" s="172" t="s">
        <v>533</v>
      </c>
      <c r="M7" s="172">
        <v>53</v>
      </c>
      <c r="N7" s="172">
        <v>1498820400</v>
      </c>
      <c r="O7" s="172">
        <v>0</v>
      </c>
      <c r="P7" s="172">
        <v>10</v>
      </c>
      <c r="Q7" s="172">
        <v>355</v>
      </c>
      <c r="R7" s="172">
        <v>5.98</v>
      </c>
      <c r="S7" s="172">
        <v>4.17</v>
      </c>
    </row>
    <row r="8" spans="1:19" x14ac:dyDescent="0.25">
      <c r="A8" s="172">
        <v>56.13</v>
      </c>
      <c r="B8" s="172">
        <v>0.67</v>
      </c>
      <c r="C8" s="172">
        <v>47.69</v>
      </c>
      <c r="D8" s="8">
        <v>42916.25</v>
      </c>
      <c r="E8" s="172">
        <v>0.73</v>
      </c>
      <c r="F8" s="172" t="s">
        <v>431</v>
      </c>
      <c r="G8" s="172">
        <v>337.19</v>
      </c>
      <c r="H8" s="172">
        <v>0</v>
      </c>
      <c r="I8" s="172">
        <v>0</v>
      </c>
      <c r="J8" s="172"/>
      <c r="K8" s="172">
        <v>1017.97</v>
      </c>
      <c r="L8" s="172" t="s">
        <v>533</v>
      </c>
      <c r="M8" s="172">
        <v>56.13</v>
      </c>
      <c r="N8" s="172">
        <v>1498824000</v>
      </c>
      <c r="O8" s="172">
        <v>0</v>
      </c>
      <c r="P8" s="172">
        <v>10</v>
      </c>
      <c r="Q8" s="172">
        <v>353</v>
      </c>
      <c r="R8" s="172">
        <v>3.04</v>
      </c>
      <c r="S8" s="172">
        <v>3.03</v>
      </c>
    </row>
    <row r="9" spans="1:19" x14ac:dyDescent="0.25">
      <c r="A9" s="172">
        <v>57.05</v>
      </c>
      <c r="B9" s="172">
        <v>0.55000000000000004</v>
      </c>
      <c r="C9" s="172">
        <v>47.8</v>
      </c>
      <c r="D9" s="8">
        <v>42916.291666666664</v>
      </c>
      <c r="E9" s="172">
        <v>0.71</v>
      </c>
      <c r="F9" s="172" t="s">
        <v>431</v>
      </c>
      <c r="G9" s="172">
        <v>339.62</v>
      </c>
      <c r="H9" s="172">
        <v>0</v>
      </c>
      <c r="I9" s="172">
        <v>0</v>
      </c>
      <c r="J9" s="172"/>
      <c r="K9" s="172">
        <v>1018.05</v>
      </c>
      <c r="L9" s="172" t="s">
        <v>432</v>
      </c>
      <c r="M9" s="172">
        <v>57.05</v>
      </c>
      <c r="N9" s="172">
        <v>1498827600</v>
      </c>
      <c r="O9" s="172">
        <v>0</v>
      </c>
      <c r="P9" s="172">
        <v>10</v>
      </c>
      <c r="Q9" s="172">
        <v>355</v>
      </c>
      <c r="R9" s="172">
        <v>4.04</v>
      </c>
      <c r="S9" s="172">
        <v>3.41</v>
      </c>
    </row>
    <row r="10" spans="1:19" x14ac:dyDescent="0.25">
      <c r="A10" s="172">
        <v>58.19</v>
      </c>
      <c r="B10" s="172">
        <v>0.6</v>
      </c>
      <c r="C10" s="172">
        <v>47.91</v>
      </c>
      <c r="D10" s="8">
        <v>42916.333333333336</v>
      </c>
      <c r="E10" s="172">
        <v>0.69</v>
      </c>
      <c r="F10" s="172" t="s">
        <v>431</v>
      </c>
      <c r="G10" s="172">
        <v>342.94</v>
      </c>
      <c r="H10" s="172">
        <v>2.7000000000000001E-3</v>
      </c>
      <c r="I10" s="172">
        <v>0.01</v>
      </c>
      <c r="J10" s="172" t="s">
        <v>496</v>
      </c>
      <c r="K10" s="172">
        <v>1018.58</v>
      </c>
      <c r="L10" s="172" t="s">
        <v>533</v>
      </c>
      <c r="M10" s="172">
        <v>58.19</v>
      </c>
      <c r="N10" s="172">
        <v>1498831200</v>
      </c>
      <c r="O10" s="172">
        <v>1</v>
      </c>
      <c r="P10" s="172">
        <v>10</v>
      </c>
      <c r="Q10" s="172">
        <v>21</v>
      </c>
      <c r="R10" s="172">
        <v>5.62</v>
      </c>
      <c r="S10" s="172">
        <v>5.12</v>
      </c>
    </row>
    <row r="11" spans="1:19" x14ac:dyDescent="0.25">
      <c r="A11" s="172">
        <v>59.88</v>
      </c>
      <c r="B11" s="172">
        <v>0.64</v>
      </c>
      <c r="C11" s="172">
        <v>48</v>
      </c>
      <c r="D11" s="8">
        <v>42916.375</v>
      </c>
      <c r="E11" s="172">
        <v>0.65</v>
      </c>
      <c r="F11" s="172" t="s">
        <v>431</v>
      </c>
      <c r="G11" s="172">
        <v>346.25</v>
      </c>
      <c r="H11" s="172">
        <v>3.8999999999999998E-3</v>
      </c>
      <c r="I11" s="172">
        <v>0.02</v>
      </c>
      <c r="J11" s="172" t="s">
        <v>496</v>
      </c>
      <c r="K11" s="172">
        <v>1019.08</v>
      </c>
      <c r="L11" s="172" t="s">
        <v>533</v>
      </c>
      <c r="M11" s="172">
        <v>59.88</v>
      </c>
      <c r="N11" s="172">
        <v>1498834800</v>
      </c>
      <c r="O11" s="172">
        <v>2</v>
      </c>
      <c r="P11" s="172">
        <v>10</v>
      </c>
      <c r="Q11" s="172">
        <v>31</v>
      </c>
      <c r="R11" s="172">
        <v>6.43</v>
      </c>
      <c r="S11" s="172">
        <v>5.91</v>
      </c>
    </row>
    <row r="12" spans="1:19" x14ac:dyDescent="0.25">
      <c r="A12" s="172">
        <v>61.07</v>
      </c>
      <c r="B12" s="172">
        <v>0.65</v>
      </c>
      <c r="C12" s="172">
        <v>48.05</v>
      </c>
      <c r="D12" s="8">
        <v>42916.416666666664</v>
      </c>
      <c r="E12" s="172">
        <v>0.62</v>
      </c>
      <c r="F12" s="172" t="s">
        <v>431</v>
      </c>
      <c r="G12" s="172">
        <v>349.73</v>
      </c>
      <c r="H12" s="172">
        <v>2E-3</v>
      </c>
      <c r="I12" s="172">
        <v>0.01</v>
      </c>
      <c r="J12" s="172" t="s">
        <v>496</v>
      </c>
      <c r="K12" s="172">
        <v>1019.11</v>
      </c>
      <c r="L12" s="172" t="s">
        <v>533</v>
      </c>
      <c r="M12" s="172">
        <v>61.07</v>
      </c>
      <c r="N12" s="172">
        <v>1498838400</v>
      </c>
      <c r="O12" s="172">
        <v>3</v>
      </c>
      <c r="P12" s="172">
        <v>10</v>
      </c>
      <c r="Q12" s="172">
        <v>39</v>
      </c>
      <c r="R12" s="172">
        <v>7</v>
      </c>
      <c r="S12" s="172">
        <v>6.08</v>
      </c>
    </row>
    <row r="13" spans="1:19" x14ac:dyDescent="0.25">
      <c r="A13" s="172">
        <v>63.12</v>
      </c>
      <c r="B13" s="172">
        <v>0.53</v>
      </c>
      <c r="C13" s="172">
        <v>48.09</v>
      </c>
      <c r="D13" s="8">
        <v>42916.458333333336</v>
      </c>
      <c r="E13" s="172">
        <v>0.57999999999999996</v>
      </c>
      <c r="F13" s="172" t="s">
        <v>431</v>
      </c>
      <c r="G13" s="172">
        <v>353.1</v>
      </c>
      <c r="H13" s="172">
        <v>0</v>
      </c>
      <c r="I13" s="172">
        <v>0</v>
      </c>
      <c r="J13" s="172"/>
      <c r="K13" s="172">
        <v>1018.57</v>
      </c>
      <c r="L13" s="172" t="s">
        <v>432</v>
      </c>
      <c r="M13" s="172">
        <v>63.12</v>
      </c>
      <c r="N13" s="172">
        <v>1498842000</v>
      </c>
      <c r="O13" s="172">
        <v>5</v>
      </c>
      <c r="P13" s="172">
        <v>10</v>
      </c>
      <c r="Q13" s="172">
        <v>45</v>
      </c>
      <c r="R13" s="172">
        <v>5.87</v>
      </c>
      <c r="S13" s="172">
        <v>5.61</v>
      </c>
    </row>
    <row r="14" spans="1:19" x14ac:dyDescent="0.25">
      <c r="A14" s="172">
        <v>65.260000000000005</v>
      </c>
      <c r="B14" s="172">
        <v>0.28000000000000003</v>
      </c>
      <c r="C14" s="172">
        <v>48.56</v>
      </c>
      <c r="D14" s="8">
        <v>42916.5</v>
      </c>
      <c r="E14" s="172">
        <v>0.55000000000000004</v>
      </c>
      <c r="F14" s="172" t="s">
        <v>431</v>
      </c>
      <c r="G14" s="172">
        <v>352.48</v>
      </c>
      <c r="H14" s="172">
        <v>0</v>
      </c>
      <c r="I14" s="172">
        <v>0</v>
      </c>
      <c r="J14" s="172"/>
      <c r="K14" s="172">
        <v>1018.04</v>
      </c>
      <c r="L14" s="172" t="s">
        <v>432</v>
      </c>
      <c r="M14" s="172">
        <v>65.260000000000005</v>
      </c>
      <c r="N14" s="172">
        <v>1498845600</v>
      </c>
      <c r="O14" s="172">
        <v>9</v>
      </c>
      <c r="P14" s="172">
        <v>10</v>
      </c>
      <c r="Q14" s="172">
        <v>40</v>
      </c>
      <c r="R14" s="172">
        <v>4.54</v>
      </c>
      <c r="S14" s="172">
        <v>4.5199999999999996</v>
      </c>
    </row>
    <row r="15" spans="1:19" x14ac:dyDescent="0.25">
      <c r="A15" s="172">
        <v>67.34</v>
      </c>
      <c r="B15" s="172">
        <v>0.26</v>
      </c>
      <c r="C15" s="172">
        <v>47.92</v>
      </c>
      <c r="D15" s="8">
        <v>42916.541666666664</v>
      </c>
      <c r="E15" s="172">
        <v>0.5</v>
      </c>
      <c r="F15" s="172" t="s">
        <v>431</v>
      </c>
      <c r="G15" s="172">
        <v>351.56</v>
      </c>
      <c r="H15" s="172">
        <v>0</v>
      </c>
      <c r="I15" s="172">
        <v>0</v>
      </c>
      <c r="J15" s="172"/>
      <c r="K15" s="172">
        <v>1017.28</v>
      </c>
      <c r="L15" s="172" t="s">
        <v>432</v>
      </c>
      <c r="M15" s="172">
        <v>67.34</v>
      </c>
      <c r="N15" s="172">
        <v>1498849200</v>
      </c>
      <c r="O15" s="172">
        <v>10</v>
      </c>
      <c r="P15" s="172">
        <v>10</v>
      </c>
      <c r="Q15" s="172">
        <v>56</v>
      </c>
      <c r="R15" s="172">
        <v>4.01</v>
      </c>
      <c r="S15" s="172">
        <v>3.84</v>
      </c>
    </row>
    <row r="16" spans="1:19" x14ac:dyDescent="0.25">
      <c r="A16" s="172">
        <v>70.040000000000006</v>
      </c>
      <c r="B16" s="172">
        <v>0.33</v>
      </c>
      <c r="C16" s="172">
        <v>46.95</v>
      </c>
      <c r="D16" s="8">
        <v>42916.583333333336</v>
      </c>
      <c r="E16" s="172">
        <v>0.44</v>
      </c>
      <c r="F16" s="172" t="s">
        <v>431</v>
      </c>
      <c r="G16" s="172">
        <v>349.44</v>
      </c>
      <c r="H16" s="172">
        <v>0</v>
      </c>
      <c r="I16" s="172">
        <v>0</v>
      </c>
      <c r="J16" s="172"/>
      <c r="K16" s="172">
        <v>1016.33</v>
      </c>
      <c r="L16" s="172" t="s">
        <v>432</v>
      </c>
      <c r="M16" s="172">
        <v>70.040000000000006</v>
      </c>
      <c r="N16" s="172">
        <v>1498852800</v>
      </c>
      <c r="O16" s="172">
        <v>9</v>
      </c>
      <c r="P16" s="172">
        <v>10</v>
      </c>
      <c r="Q16" s="172">
        <v>63</v>
      </c>
      <c r="R16" s="172">
        <v>3.84</v>
      </c>
      <c r="S16" s="172">
        <v>3.84</v>
      </c>
    </row>
    <row r="17" spans="1:19" x14ac:dyDescent="0.25">
      <c r="A17" s="172">
        <v>72.67</v>
      </c>
      <c r="B17" s="172">
        <v>0.16</v>
      </c>
      <c r="C17" s="172">
        <v>46.01</v>
      </c>
      <c r="D17" s="8">
        <v>42916.625</v>
      </c>
      <c r="E17" s="172">
        <v>0.39</v>
      </c>
      <c r="F17" s="172" t="s">
        <v>416</v>
      </c>
      <c r="G17" s="172">
        <v>346.93</v>
      </c>
      <c r="H17" s="172">
        <v>0</v>
      </c>
      <c r="I17" s="172">
        <v>0</v>
      </c>
      <c r="J17" s="172"/>
      <c r="K17" s="172">
        <v>1015.62</v>
      </c>
      <c r="L17" s="172" t="s">
        <v>415</v>
      </c>
      <c r="M17" s="172">
        <v>72.67</v>
      </c>
      <c r="N17" s="172">
        <v>1498856400</v>
      </c>
      <c r="O17" s="172">
        <v>7</v>
      </c>
      <c r="P17" s="172">
        <v>10</v>
      </c>
      <c r="Q17" s="172">
        <v>68</v>
      </c>
      <c r="R17" s="172">
        <v>4.45</v>
      </c>
      <c r="S17" s="172">
        <v>3.59</v>
      </c>
    </row>
    <row r="18" spans="1:19" x14ac:dyDescent="0.25">
      <c r="A18" s="172">
        <v>74.45</v>
      </c>
      <c r="B18" s="172">
        <v>0.13</v>
      </c>
      <c r="C18" s="172">
        <v>44.98</v>
      </c>
      <c r="D18" s="8">
        <v>42916.666666666664</v>
      </c>
      <c r="E18" s="172">
        <v>0.35</v>
      </c>
      <c r="F18" s="172" t="s">
        <v>416</v>
      </c>
      <c r="G18" s="172">
        <v>344.34</v>
      </c>
      <c r="H18" s="172">
        <v>0</v>
      </c>
      <c r="I18" s="172">
        <v>0</v>
      </c>
      <c r="J18" s="172"/>
      <c r="K18" s="172">
        <v>1014.93</v>
      </c>
      <c r="L18" s="172" t="s">
        <v>415</v>
      </c>
      <c r="M18" s="172">
        <v>74.45</v>
      </c>
      <c r="N18" s="172">
        <v>1498860000</v>
      </c>
      <c r="O18" s="172">
        <v>5</v>
      </c>
      <c r="P18" s="172">
        <v>10</v>
      </c>
      <c r="Q18" s="172">
        <v>62</v>
      </c>
      <c r="R18" s="172">
        <v>4.54</v>
      </c>
      <c r="S18" s="172">
        <v>4.09</v>
      </c>
    </row>
    <row r="19" spans="1:19" x14ac:dyDescent="0.25">
      <c r="A19" s="172">
        <v>75.709999999999994</v>
      </c>
      <c r="B19" s="172">
        <v>0.08</v>
      </c>
      <c r="C19" s="172">
        <v>44.06</v>
      </c>
      <c r="D19" s="8">
        <v>42916.708333333336</v>
      </c>
      <c r="E19" s="172">
        <v>0.32</v>
      </c>
      <c r="F19" s="172" t="s">
        <v>416</v>
      </c>
      <c r="G19" s="172">
        <v>341.54</v>
      </c>
      <c r="H19" s="172">
        <v>0</v>
      </c>
      <c r="I19" s="172">
        <v>0</v>
      </c>
      <c r="J19" s="172"/>
      <c r="K19" s="172">
        <v>1014.21</v>
      </c>
      <c r="L19" s="172" t="s">
        <v>415</v>
      </c>
      <c r="M19" s="172">
        <v>75.709999999999994</v>
      </c>
      <c r="N19" s="172">
        <v>1498863600</v>
      </c>
      <c r="O19" s="172">
        <v>3</v>
      </c>
      <c r="P19" s="172">
        <v>10</v>
      </c>
      <c r="Q19" s="172">
        <v>62</v>
      </c>
      <c r="R19" s="172">
        <v>5.22</v>
      </c>
      <c r="S19" s="172">
        <v>4.82</v>
      </c>
    </row>
    <row r="20" spans="1:19" x14ac:dyDescent="0.25">
      <c r="A20" s="172">
        <v>74.27</v>
      </c>
      <c r="B20" s="172">
        <v>0.04</v>
      </c>
      <c r="C20" s="172">
        <v>44.96</v>
      </c>
      <c r="D20" s="8">
        <v>42916.75</v>
      </c>
      <c r="E20" s="172">
        <v>0.35</v>
      </c>
      <c r="F20" s="172" t="s">
        <v>416</v>
      </c>
      <c r="G20" s="172">
        <v>341.56</v>
      </c>
      <c r="H20" s="172">
        <v>0</v>
      </c>
      <c r="I20" s="172">
        <v>0</v>
      </c>
      <c r="J20" s="172"/>
      <c r="K20" s="172">
        <v>1014.08</v>
      </c>
      <c r="L20" s="172" t="s">
        <v>415</v>
      </c>
      <c r="M20" s="172">
        <v>74.27</v>
      </c>
      <c r="N20" s="172">
        <v>1498867200</v>
      </c>
      <c r="O20" s="172">
        <v>1</v>
      </c>
      <c r="P20" s="172">
        <v>10</v>
      </c>
      <c r="Q20" s="172">
        <v>65</v>
      </c>
      <c r="R20" s="172">
        <v>5.53</v>
      </c>
      <c r="S20" s="172">
        <v>4.3499999999999996</v>
      </c>
    </row>
    <row r="21" spans="1:19" x14ac:dyDescent="0.25">
      <c r="A21" s="172">
        <v>73.19</v>
      </c>
      <c r="B21" s="172">
        <v>0.04</v>
      </c>
      <c r="C21" s="172">
        <v>44.9</v>
      </c>
      <c r="D21" s="8">
        <v>42916.791666666664</v>
      </c>
      <c r="E21" s="172">
        <v>0.36</v>
      </c>
      <c r="F21" s="172" t="s">
        <v>416</v>
      </c>
      <c r="G21" s="172">
        <v>339.85</v>
      </c>
      <c r="H21" s="172">
        <v>0</v>
      </c>
      <c r="I21" s="172">
        <v>0</v>
      </c>
      <c r="J21" s="172"/>
      <c r="K21" s="172">
        <v>1014.24</v>
      </c>
      <c r="L21" s="172" t="s">
        <v>415</v>
      </c>
      <c r="M21" s="172">
        <v>73.19</v>
      </c>
      <c r="N21" s="172">
        <v>1498870800</v>
      </c>
      <c r="O21" s="172">
        <v>1</v>
      </c>
      <c r="P21" s="172">
        <v>10</v>
      </c>
      <c r="Q21" s="172">
        <v>63</v>
      </c>
      <c r="R21" s="172">
        <v>6.1</v>
      </c>
      <c r="S21" s="172">
        <v>4.4800000000000004</v>
      </c>
    </row>
    <row r="22" spans="1:19" x14ac:dyDescent="0.25">
      <c r="A22" s="172">
        <v>71.09</v>
      </c>
      <c r="B22" s="172">
        <v>0.09</v>
      </c>
      <c r="C22" s="172">
        <v>44.71</v>
      </c>
      <c r="D22" s="8">
        <v>42916.833333333336</v>
      </c>
      <c r="E22" s="172">
        <v>0.39</v>
      </c>
      <c r="F22" s="172" t="s">
        <v>416</v>
      </c>
      <c r="G22" s="172">
        <v>338.04</v>
      </c>
      <c r="H22" s="172">
        <v>0</v>
      </c>
      <c r="I22" s="172">
        <v>0</v>
      </c>
      <c r="J22" s="172"/>
      <c r="K22" s="172">
        <v>1014.93</v>
      </c>
      <c r="L22" s="172" t="s">
        <v>415</v>
      </c>
      <c r="M22" s="172">
        <v>71.09</v>
      </c>
      <c r="N22" s="172">
        <v>1498874400</v>
      </c>
      <c r="O22" s="172">
        <v>0</v>
      </c>
      <c r="P22" s="172">
        <v>10</v>
      </c>
      <c r="Q22" s="172">
        <v>59</v>
      </c>
      <c r="R22" s="172">
        <v>7.58</v>
      </c>
      <c r="S22" s="172">
        <v>4.53</v>
      </c>
    </row>
    <row r="23" spans="1:19" x14ac:dyDescent="0.25">
      <c r="A23" s="172">
        <v>68.72</v>
      </c>
      <c r="B23" s="172">
        <v>0.06</v>
      </c>
      <c r="C23" s="172">
        <v>44.73</v>
      </c>
      <c r="D23" s="8">
        <v>42916.875</v>
      </c>
      <c r="E23" s="172">
        <v>0.42</v>
      </c>
      <c r="F23" s="172" t="s">
        <v>414</v>
      </c>
      <c r="G23" s="172">
        <v>336.31</v>
      </c>
      <c r="H23" s="172">
        <v>0</v>
      </c>
      <c r="I23" s="172">
        <v>0</v>
      </c>
      <c r="J23" s="172"/>
      <c r="K23" s="172">
        <v>1015.75</v>
      </c>
      <c r="L23" s="172" t="s">
        <v>415</v>
      </c>
      <c r="M23" s="172">
        <v>68.72</v>
      </c>
      <c r="N23" s="172">
        <v>1498878000</v>
      </c>
      <c r="O23" s="172">
        <v>0</v>
      </c>
      <c r="P23" s="172">
        <v>10</v>
      </c>
      <c r="Q23" s="172">
        <v>56</v>
      </c>
      <c r="R23" s="172">
        <v>5.08</v>
      </c>
      <c r="S23" s="172">
        <v>3.4</v>
      </c>
    </row>
    <row r="24" spans="1:19" x14ac:dyDescent="0.25">
      <c r="A24" s="172">
        <v>66.72</v>
      </c>
      <c r="B24" s="172">
        <v>7.0000000000000007E-2</v>
      </c>
      <c r="C24" s="172">
        <v>45.2</v>
      </c>
      <c r="D24" s="8">
        <v>42916.916666666664</v>
      </c>
      <c r="E24" s="172">
        <v>0.46</v>
      </c>
      <c r="F24" s="172" t="s">
        <v>414</v>
      </c>
      <c r="G24" s="172">
        <v>334.28</v>
      </c>
      <c r="H24" s="172">
        <v>0</v>
      </c>
      <c r="I24" s="172">
        <v>0</v>
      </c>
      <c r="J24" s="172"/>
      <c r="K24" s="172">
        <v>1016.09</v>
      </c>
      <c r="L24" s="172" t="s">
        <v>415</v>
      </c>
      <c r="M24" s="172">
        <v>66.72</v>
      </c>
      <c r="N24" s="172">
        <v>1498881600</v>
      </c>
      <c r="O24" s="172">
        <v>0</v>
      </c>
      <c r="P24" s="172">
        <v>10</v>
      </c>
      <c r="Q24" s="172">
        <v>81</v>
      </c>
      <c r="R24" s="172">
        <v>4.01</v>
      </c>
      <c r="S24" s="172">
        <v>3.14</v>
      </c>
    </row>
    <row r="25" spans="1:19" x14ac:dyDescent="0.25">
      <c r="A25" s="172">
        <v>64.47</v>
      </c>
      <c r="B25" s="172">
        <v>0.02</v>
      </c>
      <c r="C25" s="172">
        <v>45.67</v>
      </c>
      <c r="D25" s="8">
        <v>42916.958333333336</v>
      </c>
      <c r="E25" s="172">
        <v>0.5</v>
      </c>
      <c r="F25" s="172" t="s">
        <v>414</v>
      </c>
      <c r="G25" s="172">
        <v>332.14</v>
      </c>
      <c r="H25" s="172">
        <v>0</v>
      </c>
      <c r="I25" s="172">
        <v>0</v>
      </c>
      <c r="J25" s="172"/>
      <c r="K25" s="172">
        <v>1016.16</v>
      </c>
      <c r="L25" s="172" t="s">
        <v>415</v>
      </c>
      <c r="M25" s="172">
        <v>64.47</v>
      </c>
      <c r="N25" s="172">
        <v>1498885200</v>
      </c>
      <c r="O25" s="172">
        <v>0</v>
      </c>
      <c r="P25" s="172">
        <v>10</v>
      </c>
      <c r="Q25" s="172">
        <v>160</v>
      </c>
      <c r="R25" s="172">
        <v>5.54</v>
      </c>
      <c r="S25" s="172">
        <v>3.29</v>
      </c>
    </row>
    <row r="26" spans="1:19" x14ac:dyDescent="0.25">
      <c r="A26" s="172">
        <v>63.12</v>
      </c>
      <c r="B26" s="172">
        <v>0</v>
      </c>
      <c r="C26" s="172">
        <v>45.71</v>
      </c>
      <c r="D26" s="8">
        <v>42917</v>
      </c>
      <c r="E26" s="172">
        <v>0.53</v>
      </c>
      <c r="F26" s="172" t="s">
        <v>414</v>
      </c>
      <c r="G26" s="172">
        <v>329.81</v>
      </c>
      <c r="H26" s="172">
        <v>0</v>
      </c>
      <c r="I26" s="172">
        <v>0</v>
      </c>
      <c r="J26" s="172"/>
      <c r="K26" s="172">
        <v>1016.13</v>
      </c>
      <c r="L26" s="172" t="s">
        <v>415</v>
      </c>
      <c r="M26" s="172">
        <v>63.12</v>
      </c>
      <c r="N26" s="172">
        <v>1498888800</v>
      </c>
      <c r="O26" s="172">
        <v>0</v>
      </c>
      <c r="P26" s="172">
        <v>10</v>
      </c>
      <c r="Q26" s="172">
        <v>207</v>
      </c>
      <c r="R26" s="172">
        <v>3.61</v>
      </c>
      <c r="S26" s="172">
        <v>2.35</v>
      </c>
    </row>
    <row r="27" spans="1:19" x14ac:dyDescent="0.25">
      <c r="A27" s="172">
        <v>62.02</v>
      </c>
      <c r="B27" s="172">
        <v>0.01</v>
      </c>
      <c r="C27" s="172">
        <v>45.73</v>
      </c>
      <c r="D27" s="8">
        <v>42917.041666666664</v>
      </c>
      <c r="E27" s="172">
        <v>0.55000000000000004</v>
      </c>
      <c r="F27" s="172" t="s">
        <v>414</v>
      </c>
      <c r="G27" s="172">
        <v>327.07</v>
      </c>
      <c r="H27" s="172">
        <v>0</v>
      </c>
      <c r="I27" s="172">
        <v>0</v>
      </c>
      <c r="J27" s="172"/>
      <c r="K27" s="172">
        <v>1016.09</v>
      </c>
      <c r="L27" s="172" t="s">
        <v>415</v>
      </c>
      <c r="M27" s="172">
        <v>62.02</v>
      </c>
      <c r="N27" s="172">
        <v>1498892400</v>
      </c>
      <c r="O27" s="172">
        <v>0</v>
      </c>
      <c r="P27" s="172">
        <v>10</v>
      </c>
      <c r="Q27" s="172">
        <v>216</v>
      </c>
      <c r="R27" s="172">
        <v>3.88</v>
      </c>
      <c r="S27" s="172">
        <v>2.92</v>
      </c>
    </row>
    <row r="28" spans="1:19" x14ac:dyDescent="0.25">
      <c r="A28" s="172">
        <v>61.3</v>
      </c>
      <c r="B28" s="172">
        <v>0.01</v>
      </c>
      <c r="C28" s="172">
        <v>45.64</v>
      </c>
      <c r="D28" s="8">
        <v>42917.083333333336</v>
      </c>
      <c r="E28" s="172">
        <v>0.56000000000000005</v>
      </c>
      <c r="F28" s="172" t="s">
        <v>414</v>
      </c>
      <c r="G28" s="172">
        <v>324.13</v>
      </c>
      <c r="H28" s="172">
        <v>0</v>
      </c>
      <c r="I28" s="172">
        <v>0</v>
      </c>
      <c r="J28" s="172"/>
      <c r="K28" s="172">
        <v>1016.13</v>
      </c>
      <c r="L28" s="172" t="s">
        <v>415</v>
      </c>
      <c r="M28" s="172">
        <v>61.3</v>
      </c>
      <c r="N28" s="172">
        <v>1498896000</v>
      </c>
      <c r="O28" s="172">
        <v>0</v>
      </c>
      <c r="P28" s="172">
        <v>10</v>
      </c>
      <c r="Q28" s="172">
        <v>213</v>
      </c>
      <c r="R28" s="172">
        <v>4.8899999999999997</v>
      </c>
      <c r="S28" s="172">
        <v>3.59</v>
      </c>
    </row>
    <row r="29" spans="1:19" x14ac:dyDescent="0.25">
      <c r="A29" s="172">
        <v>61.02</v>
      </c>
      <c r="B29" s="172">
        <v>0.01</v>
      </c>
      <c r="C29" s="172">
        <v>45.32</v>
      </c>
      <c r="D29" s="8">
        <v>42917.125</v>
      </c>
      <c r="E29" s="172">
        <v>0.56000000000000005</v>
      </c>
      <c r="F29" s="172" t="s">
        <v>414</v>
      </c>
      <c r="G29" s="172">
        <v>321.27</v>
      </c>
      <c r="H29" s="172">
        <v>0</v>
      </c>
      <c r="I29" s="172">
        <v>0</v>
      </c>
      <c r="J29" s="172"/>
      <c r="K29" s="172">
        <v>1016.06</v>
      </c>
      <c r="L29" s="172" t="s">
        <v>415</v>
      </c>
      <c r="M29" s="172">
        <v>61.02</v>
      </c>
      <c r="N29" s="172">
        <v>1498899600</v>
      </c>
      <c r="O29" s="172">
        <v>0</v>
      </c>
      <c r="P29" s="172">
        <v>10</v>
      </c>
      <c r="Q29" s="172">
        <v>193</v>
      </c>
      <c r="R29" s="172">
        <v>4.99</v>
      </c>
      <c r="S29" s="172">
        <v>3.03</v>
      </c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183</v>
      </c>
    </row>
    <row r="33" spans="1:1" x14ac:dyDescent="0.25">
      <c r="A33" s="141" t="s">
        <v>175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44"/>
  <sheetViews>
    <sheetView topLeftCell="A2" workbookViewId="0">
      <selection activeCell="A3" sqref="A3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72"/>
    <col min="31" max="32" width="9.140625" style="56"/>
  </cols>
  <sheetData>
    <row r="1" spans="1:32" ht="45.75" x14ac:dyDescent="0.3">
      <c r="A1" s="11" t="s">
        <v>25</v>
      </c>
      <c r="C1" s="119" t="s">
        <v>97</v>
      </c>
      <c r="D1" s="120" t="s">
        <v>98</v>
      </c>
      <c r="J1" s="146" t="s">
        <v>99</v>
      </c>
      <c r="K1" s="146" t="s">
        <v>66</v>
      </c>
      <c r="L1" s="146" t="s">
        <v>67</v>
      </c>
      <c r="O1" s="147" t="s">
        <v>100</v>
      </c>
      <c r="T1" s="156" t="s">
        <v>332</v>
      </c>
      <c r="U1" s="156"/>
      <c r="V1" s="156"/>
      <c r="W1" s="156"/>
      <c r="X1" s="156"/>
    </row>
    <row r="2" spans="1:32" ht="15.75" thickBot="1" x14ac:dyDescent="0.3">
      <c r="A2" s="12">
        <v>42916</v>
      </c>
      <c r="B2" s="4"/>
      <c r="C2" s="121">
        <v>50</v>
      </c>
      <c r="D2" s="122">
        <v>25</v>
      </c>
      <c r="F2" t="s">
        <v>111</v>
      </c>
      <c r="J2" s="146"/>
      <c r="K2" s="146" t="s">
        <v>66</v>
      </c>
      <c r="L2" s="146" t="s">
        <v>67</v>
      </c>
      <c r="T2" s="155" t="s">
        <v>333</v>
      </c>
      <c r="U2" s="155">
        <v>167</v>
      </c>
      <c r="V2" s="155">
        <v>168</v>
      </c>
      <c r="W2" s="155">
        <v>199</v>
      </c>
      <c r="X2" s="155">
        <v>200</v>
      </c>
      <c r="AD2" t="s">
        <v>424</v>
      </c>
      <c r="AE2" s="56" t="s">
        <v>427</v>
      </c>
      <c r="AF2" s="56" t="s">
        <v>428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101</v>
      </c>
      <c r="P3" s="140">
        <f>AVERAGE(1.0714,1.1016)</f>
        <v>1.0865</v>
      </c>
      <c r="T3" s="155" t="s">
        <v>334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103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97</v>
      </c>
      <c r="D4" s="120" t="s">
        <v>98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335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104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336</v>
      </c>
      <c r="U5" s="155">
        <v>187</v>
      </c>
      <c r="V5" s="155">
        <v>188</v>
      </c>
      <c r="W5" s="155">
        <v>223</v>
      </c>
      <c r="X5" s="155">
        <v>224</v>
      </c>
      <c r="AC5" s="30" t="s">
        <v>425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112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104</v>
      </c>
      <c r="AD6" s="215">
        <v>5.65</v>
      </c>
      <c r="AE6" s="42">
        <v>1800</v>
      </c>
      <c r="AF6" s="42">
        <v>1899</v>
      </c>
    </row>
    <row r="7" spans="1:32" x14ac:dyDescent="0.25">
      <c r="C7" s="56"/>
      <c r="F7" t="s">
        <v>404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426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405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429</v>
      </c>
      <c r="AD8" s="195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184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1057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1058</v>
      </c>
      <c r="J19" s="148" t="s">
        <v>86</v>
      </c>
      <c r="K19" s="149"/>
      <c r="L19" s="149"/>
      <c r="M19" s="154" t="s">
        <v>110</v>
      </c>
      <c r="T19" s="155"/>
      <c r="U19" s="155"/>
      <c r="V19" s="155"/>
      <c r="W19" s="155"/>
      <c r="X19" s="155"/>
    </row>
    <row r="20" spans="3:24" x14ac:dyDescent="0.25">
      <c r="C20" t="s">
        <v>1059</v>
      </c>
      <c r="J20" s="140" t="s">
        <v>87</v>
      </c>
      <c r="M20" s="154" t="s">
        <v>358</v>
      </c>
      <c r="N20" s="154" t="s">
        <v>331</v>
      </c>
      <c r="T20" s="155"/>
      <c r="U20" s="155"/>
      <c r="V20" s="155"/>
      <c r="W20" s="155"/>
      <c r="X20" s="155"/>
    </row>
    <row r="21" spans="3:24" x14ac:dyDescent="0.25">
      <c r="C21" t="s">
        <v>1060</v>
      </c>
      <c r="J21" s="140" t="s">
        <v>90</v>
      </c>
      <c r="K21" s="140" t="s">
        <v>91</v>
      </c>
      <c r="M21" s="154" t="s">
        <v>174</v>
      </c>
      <c r="T21" s="155"/>
      <c r="U21" s="155"/>
      <c r="V21" s="155"/>
      <c r="W21" s="155"/>
      <c r="X21" s="155"/>
    </row>
    <row r="22" spans="3:24" x14ac:dyDescent="0.25">
      <c r="C22" t="s">
        <v>1061</v>
      </c>
      <c r="J22" s="140" t="s">
        <v>92</v>
      </c>
      <c r="K22" s="140" t="s">
        <v>93</v>
      </c>
      <c r="M22" s="154" t="s">
        <v>109</v>
      </c>
      <c r="T22" s="155"/>
      <c r="U22" s="155"/>
      <c r="V22" s="155"/>
      <c r="W22" s="155"/>
      <c r="X22" s="155"/>
    </row>
    <row r="23" spans="3:24" x14ac:dyDescent="0.25">
      <c r="C23" t="s">
        <v>1062</v>
      </c>
      <c r="J23" s="150" t="s">
        <v>95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1063</v>
      </c>
      <c r="J24" s="140" t="s">
        <v>106</v>
      </c>
      <c r="M24" s="154" t="s">
        <v>108</v>
      </c>
      <c r="T24" s="155"/>
      <c r="U24" s="155"/>
      <c r="V24" s="155"/>
      <c r="W24" s="155"/>
      <c r="X24" s="155"/>
    </row>
    <row r="25" spans="3:24" x14ac:dyDescent="0.25">
      <c r="C25" t="s">
        <v>1064</v>
      </c>
      <c r="J25" s="140" t="s">
        <v>146</v>
      </c>
      <c r="M25" s="154" t="b">
        <v>1</v>
      </c>
    </row>
    <row r="26" spans="3:24" x14ac:dyDescent="0.25">
      <c r="C26" t="s">
        <v>1065</v>
      </c>
      <c r="J26" s="140" t="s">
        <v>147</v>
      </c>
      <c r="M26" s="154" t="str">
        <f>"C:\Users\stu\Documents\GitHub\eaglep3-reporting\EC\"&amp;TEXT(A2,"yyyy-mm-dd")&amp;"-refined-times.txt"</f>
        <v>C:\Users\stu\Documents\GitHub\eaglep3-reporting\EC\2017-06-30-refined-times.txt</v>
      </c>
    </row>
    <row r="27" spans="3:24" x14ac:dyDescent="0.25">
      <c r="C27" t="s">
        <v>1066</v>
      </c>
      <c r="J27" s="140" t="s">
        <v>176</v>
      </c>
      <c r="M27" s="154" t="str">
        <f>"C:\Users\stu\Documents\GitHub\eaglep3-reporting\EC\"&amp;TEXT(A2,"YYYY-MM-DD")&amp;"-Enforcements.txt"</f>
        <v>C:\Users\stu\Documents\GitHub\eaglep3-reporting\EC\2017-06-30-Enforcements.txt</v>
      </c>
    </row>
    <row r="28" spans="3:24" x14ac:dyDescent="0.25">
      <c r="C28" t="s">
        <v>1067</v>
      </c>
      <c r="J28" s="140" t="s">
        <v>177</v>
      </c>
      <c r="M28" s="154" t="str">
        <f>"C:\Users\stu\Documents\GitHub\eaglep3-reporting\EC\"&amp;TEXT(A2,"YYYY-MM-DD")&amp;"-Runs-refined.txt"</f>
        <v>C:\Users\stu\Documents\GitHub\eaglep3-reporting\EC\2017-06-30-Runs-refined.txt</v>
      </c>
    </row>
    <row r="29" spans="3:24" x14ac:dyDescent="0.25">
      <c r="C29" t="s">
        <v>1068</v>
      </c>
      <c r="J29" s="140" t="s">
        <v>178</v>
      </c>
      <c r="M29" s="154" t="str">
        <f>"C:\Users\stu\Documents\GitHub\eaglep3-reporting\EC\"&amp;TEXT(A2,"YYYY-MM-DD")&amp;"-Trips.txt"</f>
        <v>C:\Users\stu\Documents\GitHub\eaglep3-reporting\EC\2017-06-30-Trips.txt</v>
      </c>
    </row>
    <row r="30" spans="3:24" x14ac:dyDescent="0.25">
      <c r="C30" t="s">
        <v>1069</v>
      </c>
      <c r="J30" s="140" t="s">
        <v>179</v>
      </c>
      <c r="M30" s="154" t="str">
        <f>"C:\Users\stu\Documents\GitHub\eaglep3-reporting\EC\"&amp;TEXT(A2,"YYYY-MM-DD")&amp;"-Weather.txt"</f>
        <v>C:\Users\stu\Documents\GitHub\eaglep3-reporting\EC\2017-06-30-Weather.txt</v>
      </c>
    </row>
    <row r="31" spans="3:24" x14ac:dyDescent="0.25">
      <c r="C31" t="s">
        <v>1070</v>
      </c>
      <c r="J31" s="140" t="s">
        <v>194</v>
      </c>
      <c r="M31" s="154" t="s">
        <v>195</v>
      </c>
    </row>
    <row r="32" spans="3:24" x14ac:dyDescent="0.25">
      <c r="C32" t="s">
        <v>1071</v>
      </c>
    </row>
    <row r="33" spans="3:3" x14ac:dyDescent="0.25">
      <c r="C33" t="s">
        <v>1072</v>
      </c>
    </row>
    <row r="34" spans="3:3" x14ac:dyDescent="0.25">
      <c r="C34" t="s">
        <v>1073</v>
      </c>
    </row>
    <row r="35" spans="3:3" x14ac:dyDescent="0.25">
      <c r="C35" t="s">
        <v>1074</v>
      </c>
    </row>
    <row r="36" spans="3:3" x14ac:dyDescent="0.25">
      <c r="C36" t="s">
        <v>1075</v>
      </c>
    </row>
    <row r="37" spans="3:3" x14ac:dyDescent="0.25">
      <c r="C37" t="s">
        <v>1076</v>
      </c>
    </row>
    <row r="38" spans="3:3" x14ac:dyDescent="0.25">
      <c r="C38" t="s">
        <v>1077</v>
      </c>
    </row>
    <row r="39" spans="3:3" x14ac:dyDescent="0.25">
      <c r="C39" t="s">
        <v>1078</v>
      </c>
    </row>
    <row r="40" spans="3:3" x14ac:dyDescent="0.25">
      <c r="C40" t="s">
        <v>1079</v>
      </c>
    </row>
    <row r="41" spans="3:3" x14ac:dyDescent="0.25">
      <c r="C41" t="s">
        <v>1080</v>
      </c>
    </row>
    <row r="42" spans="3:3" x14ac:dyDescent="0.25">
      <c r="C42" t="s">
        <v>1081</v>
      </c>
    </row>
    <row r="43" spans="3:3" x14ac:dyDescent="0.25">
      <c r="C43" t="s">
        <v>1082</v>
      </c>
    </row>
    <row r="44" spans="3:3" x14ac:dyDescent="0.25">
      <c r="C44" t="s">
        <v>1083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93" bestFit="1" customWidth="1"/>
    <col min="2" max="7" width="9.140625" style="93"/>
    <col min="8" max="8" width="17.7109375" style="93" bestFit="1" customWidth="1"/>
    <col min="9" max="10" width="9.140625" style="162"/>
    <col min="11" max="16384" width="9.140625" style="93"/>
  </cols>
  <sheetData>
    <row r="1" spans="1:11" x14ac:dyDescent="0.25">
      <c r="A1" s="92" t="s">
        <v>117</v>
      </c>
      <c r="B1" s="92" t="s">
        <v>118</v>
      </c>
      <c r="C1" s="93" t="s">
        <v>119</v>
      </c>
      <c r="H1" t="s">
        <v>113</v>
      </c>
      <c r="I1" s="160" t="s">
        <v>115</v>
      </c>
      <c r="J1" s="154" t="s">
        <v>343</v>
      </c>
    </row>
    <row r="2" spans="1:11" x14ac:dyDescent="0.25">
      <c r="A2" s="93" t="s">
        <v>120</v>
      </c>
      <c r="B2" s="93" t="s">
        <v>121</v>
      </c>
      <c r="C2" s="93" t="s">
        <v>122</v>
      </c>
      <c r="H2" t="s">
        <v>114</v>
      </c>
      <c r="I2" s="154" t="s">
        <v>116</v>
      </c>
      <c r="J2" s="154" t="s">
        <v>344</v>
      </c>
    </row>
    <row r="3" spans="1:11" x14ac:dyDescent="0.25">
      <c r="A3" s="93" t="s">
        <v>123</v>
      </c>
      <c r="B3" s="93" t="s">
        <v>124</v>
      </c>
      <c r="C3" s="93" t="s">
        <v>125</v>
      </c>
      <c r="H3" t="s">
        <v>139</v>
      </c>
      <c r="I3" s="154">
        <v>1</v>
      </c>
      <c r="J3" s="154">
        <v>1</v>
      </c>
      <c r="K3" s="55"/>
    </row>
    <row r="4" spans="1:11" x14ac:dyDescent="0.25">
      <c r="A4" s="93" t="s">
        <v>126</v>
      </c>
      <c r="C4" s="93" t="s">
        <v>127</v>
      </c>
      <c r="H4" t="s">
        <v>140</v>
      </c>
      <c r="I4" s="154">
        <v>2</v>
      </c>
      <c r="J4" s="154">
        <v>1</v>
      </c>
      <c r="K4" s="55"/>
    </row>
    <row r="5" spans="1:11" x14ac:dyDescent="0.25">
      <c r="A5" s="93" t="s">
        <v>128</v>
      </c>
      <c r="C5" s="93" t="s">
        <v>129</v>
      </c>
      <c r="H5" t="s">
        <v>141</v>
      </c>
      <c r="I5" s="154">
        <v>23</v>
      </c>
      <c r="J5" s="154">
        <v>10</v>
      </c>
      <c r="K5" s="55"/>
    </row>
    <row r="6" spans="1:11" x14ac:dyDescent="0.25">
      <c r="A6" s="93" t="s">
        <v>130</v>
      </c>
      <c r="C6" s="93" t="s">
        <v>131</v>
      </c>
      <c r="H6" s="94" t="s">
        <v>142</v>
      </c>
      <c r="I6" s="161" t="s">
        <v>121</v>
      </c>
    </row>
    <row r="7" spans="1:11" x14ac:dyDescent="0.25">
      <c r="A7" s="93" t="s">
        <v>132</v>
      </c>
      <c r="C7" s="93" t="s">
        <v>133</v>
      </c>
    </row>
    <row r="8" spans="1:11" x14ac:dyDescent="0.25">
      <c r="C8" s="93" t="s">
        <v>134</v>
      </c>
    </row>
    <row r="9" spans="1:11" x14ac:dyDescent="0.25">
      <c r="C9" s="94" t="s">
        <v>167</v>
      </c>
    </row>
    <row r="10" spans="1:11" x14ac:dyDescent="0.25">
      <c r="C10" s="93" t="s">
        <v>135</v>
      </c>
    </row>
    <row r="11" spans="1:11" x14ac:dyDescent="0.25">
      <c r="C11" s="93" t="s">
        <v>136</v>
      </c>
    </row>
    <row r="12" spans="1:11" x14ac:dyDescent="0.25">
      <c r="C12" s="93" t="s">
        <v>137</v>
      </c>
    </row>
    <row r="13" spans="1:11" x14ac:dyDescent="0.25">
      <c r="C13" s="93" t="s">
        <v>138</v>
      </c>
    </row>
    <row r="14" spans="1:11" x14ac:dyDescent="0.25">
      <c r="C14" s="94" t="s">
        <v>168</v>
      </c>
    </row>
    <row r="15" spans="1:11" x14ac:dyDescent="0.25">
      <c r="C15" s="94" t="s">
        <v>185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201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202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203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204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205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206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207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208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209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210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211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212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213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214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215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216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217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218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219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220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221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222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223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224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225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226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227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228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229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230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231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232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233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234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235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236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237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238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239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240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241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242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243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244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245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246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247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248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249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250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251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252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253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254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255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256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257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258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259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260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261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262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263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264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265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266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267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268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269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270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271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272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273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274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275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276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277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278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279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280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281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282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283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284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285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286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287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288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289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290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291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292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293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294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295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296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297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298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299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300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301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302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303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304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305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306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307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308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309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310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311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312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313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314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315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316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317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318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319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320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321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322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323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324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325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326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327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328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329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330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2017-07-05T17:24:11Z</dcterms:modified>
</cp:coreProperties>
</file>