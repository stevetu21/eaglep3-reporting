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Enforcements!$A$6:$AC$69</definedName>
    <definedName name="_xlnm._FilterDatabase" localSheetId="2" hidden="1">'Missing Trips'!$A$2:$J$115</definedName>
    <definedName name="_xlnm._FilterDatabase" localSheetId="0" hidden="1">'Train Runs'!$A$12:$AG$251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Runs'!$A$12:$J$51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9" i="1" l="1"/>
  <c r="X160" i="1"/>
  <c r="X161" i="1"/>
  <c r="X162" i="1"/>
  <c r="X163" i="1"/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G14" i="1"/>
  <c r="U14" i="1" s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T21" i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G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A26" i="1" s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AA28" i="1" s="1"/>
  <c r="Z28" i="1"/>
  <c r="AB28" i="1"/>
  <c r="AC28" i="1"/>
  <c r="AD28" i="1"/>
  <c r="AG28" i="1" s="1"/>
  <c r="AE28" i="1"/>
  <c r="AF28" i="1"/>
  <c r="AH28" i="1"/>
  <c r="AI28" i="1"/>
  <c r="AM28" i="1"/>
  <c r="AN28" i="1"/>
  <c r="K29" i="1"/>
  <c r="L29" i="1"/>
  <c r="M29" i="1"/>
  <c r="N29" i="1" s="1"/>
  <c r="V29" i="1"/>
  <c r="X29" i="1"/>
  <c r="Y29" i="1"/>
  <c r="Z29" i="1"/>
  <c r="AB29" i="1"/>
  <c r="AC29" i="1"/>
  <c r="AD29" i="1"/>
  <c r="T29" i="1" s="1"/>
  <c r="AE29" i="1"/>
  <c r="AF29" i="1"/>
  <c r="AG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AI39" i="1"/>
  <c r="AM39" i="1"/>
  <c r="AN39" i="1"/>
  <c r="K40" i="1"/>
  <c r="L40" i="1"/>
  <c r="M40" i="1"/>
  <c r="N40" i="1" s="1"/>
  <c r="V40" i="1"/>
  <c r="Y40" i="1"/>
  <c r="Z40" i="1"/>
  <c r="AA40" i="1" s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A42" i="1" s="1"/>
  <c r="AB42" i="1"/>
  <c r="AC42" i="1"/>
  <c r="AD42" i="1"/>
  <c r="AE42" i="1"/>
  <c r="AF42" i="1"/>
  <c r="AH42" i="1"/>
  <c r="AM42" i="1"/>
  <c r="AN42" i="1"/>
  <c r="K43" i="1"/>
  <c r="L43" i="1"/>
  <c r="M43" i="1"/>
  <c r="N43" i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A47" i="1" s="1"/>
  <c r="W47" i="1" s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X52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A54" i="1" s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A59" i="1" s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X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A65" i="1" s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X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AA74" i="1" s="1"/>
  <c r="Z74" i="1"/>
  <c r="AB74" i="1"/>
  <c r="AC74" i="1"/>
  <c r="AD74" i="1"/>
  <c r="AG74" i="1" s="1"/>
  <c r="AE74" i="1"/>
  <c r="AF74" i="1"/>
  <c r="AH74" i="1"/>
  <c r="AI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G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A78" i="1" s="1"/>
  <c r="W78" i="1" s="1"/>
  <c r="AB78" i="1"/>
  <c r="AC78" i="1"/>
  <c r="AD78" i="1"/>
  <c r="AG78" i="1" s="1"/>
  <c r="AE78" i="1"/>
  <c r="AF78" i="1"/>
  <c r="AH78" i="1"/>
  <c r="AI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A81" i="1" s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G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I90" i="1" s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160" i="1"/>
  <c r="L160" i="1"/>
  <c r="M160" i="1"/>
  <c r="N160" i="1" s="1"/>
  <c r="V160" i="1"/>
  <c r="Y160" i="1"/>
  <c r="Z160" i="1"/>
  <c r="AA160" i="1" s="1"/>
  <c r="AB160" i="1"/>
  <c r="AC160" i="1"/>
  <c r="AD160" i="1"/>
  <c r="AE160" i="1"/>
  <c r="AF160" i="1"/>
  <c r="AH93" i="1"/>
  <c r="AM93" i="1"/>
  <c r="AN93" i="1"/>
  <c r="K161" i="1"/>
  <c r="L161" i="1"/>
  <c r="M161" i="1"/>
  <c r="N161" i="1"/>
  <c r="V161" i="1"/>
  <c r="Y161" i="1"/>
  <c r="Z161" i="1"/>
  <c r="AB161" i="1"/>
  <c r="AC161" i="1"/>
  <c r="AD161" i="1"/>
  <c r="AE161" i="1"/>
  <c r="AF161" i="1"/>
  <c r="AH94" i="1"/>
  <c r="AM94" i="1"/>
  <c r="AN94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5" i="1"/>
  <c r="AM95" i="1"/>
  <c r="AN95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6" i="1"/>
  <c r="AM96" i="1"/>
  <c r="AN96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7" i="1"/>
  <c r="AM97" i="1"/>
  <c r="AN97" i="1"/>
  <c r="K165" i="1"/>
  <c r="L165" i="1"/>
  <c r="M165" i="1"/>
  <c r="N165" i="1" s="1"/>
  <c r="V165" i="1"/>
  <c r="Y165" i="1"/>
  <c r="Z165" i="1"/>
  <c r="AA165" i="1" s="1"/>
  <c r="AB165" i="1"/>
  <c r="AC165" i="1"/>
  <c r="AD165" i="1"/>
  <c r="T165" i="1" s="1"/>
  <c r="AE165" i="1"/>
  <c r="AF165" i="1"/>
  <c r="AH98" i="1"/>
  <c r="AM98" i="1"/>
  <c r="AN98" i="1"/>
  <c r="K166" i="1"/>
  <c r="L166" i="1"/>
  <c r="M166" i="1"/>
  <c r="N166" i="1" s="1"/>
  <c r="T166" i="1"/>
  <c r="V166" i="1"/>
  <c r="Y166" i="1"/>
  <c r="Z166" i="1"/>
  <c r="AB166" i="1"/>
  <c r="AC166" i="1"/>
  <c r="AD166" i="1"/>
  <c r="X166" i="1" s="1"/>
  <c r="AE166" i="1"/>
  <c r="AF166" i="1"/>
  <c r="AH99" i="1"/>
  <c r="AM99" i="1"/>
  <c r="AN99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0" i="1"/>
  <c r="AM100" i="1"/>
  <c r="AN100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01" i="1"/>
  <c r="AM101" i="1"/>
  <c r="AN101" i="1"/>
  <c r="K169" i="1"/>
  <c r="L169" i="1"/>
  <c r="M169" i="1"/>
  <c r="N169" i="1"/>
  <c r="V169" i="1"/>
  <c r="Y169" i="1"/>
  <c r="Z169" i="1"/>
  <c r="AB169" i="1"/>
  <c r="AC169" i="1"/>
  <c r="AD169" i="1"/>
  <c r="AE169" i="1"/>
  <c r="AF169" i="1"/>
  <c r="AH102" i="1"/>
  <c r="AM102" i="1"/>
  <c r="AN10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103" i="1"/>
  <c r="AM103" i="1"/>
  <c r="AN103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4" i="1"/>
  <c r="AM104" i="1"/>
  <c r="AN104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5" i="1"/>
  <c r="AM105" i="1"/>
  <c r="AN105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06" i="1"/>
  <c r="AM106" i="1"/>
  <c r="AN106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G173" i="1"/>
  <c r="AH107" i="1"/>
  <c r="AM107" i="1"/>
  <c r="AN107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8" i="1"/>
  <c r="AM108" i="1"/>
  <c r="AN108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09" i="1"/>
  <c r="AM109" i="1"/>
  <c r="AN109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0" i="1"/>
  <c r="AM110" i="1"/>
  <c r="AN110" i="1"/>
  <c r="K177" i="1"/>
  <c r="L177" i="1"/>
  <c r="M177" i="1"/>
  <c r="N177" i="1" s="1"/>
  <c r="T177" i="1"/>
  <c r="V177" i="1"/>
  <c r="Y177" i="1"/>
  <c r="Z177" i="1"/>
  <c r="AB177" i="1"/>
  <c r="AC177" i="1"/>
  <c r="AD177" i="1"/>
  <c r="AE177" i="1"/>
  <c r="AF177" i="1"/>
  <c r="AH111" i="1"/>
  <c r="AM111" i="1"/>
  <c r="AN111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G178" i="1"/>
  <c r="AH112" i="1"/>
  <c r="AM112" i="1"/>
  <c r="AN112" i="1"/>
  <c r="K179" i="1"/>
  <c r="L179" i="1"/>
  <c r="M179" i="1"/>
  <c r="N179" i="1" s="1"/>
  <c r="V179" i="1"/>
  <c r="Y179" i="1"/>
  <c r="Z179" i="1"/>
  <c r="AB179" i="1"/>
  <c r="AC179" i="1"/>
  <c r="AD179" i="1"/>
  <c r="X180" i="1" s="1"/>
  <c r="AE179" i="1"/>
  <c r="AF179" i="1"/>
  <c r="AH113" i="1"/>
  <c r="AM113" i="1"/>
  <c r="AN113" i="1"/>
  <c r="K94" i="1"/>
  <c r="L94" i="1"/>
  <c r="M94" i="1"/>
  <c r="N94" i="1" s="1"/>
  <c r="T94" i="1"/>
  <c r="V94" i="1"/>
  <c r="Y94" i="1"/>
  <c r="Z94" i="1"/>
  <c r="AB94" i="1"/>
  <c r="AC94" i="1"/>
  <c r="AD94" i="1"/>
  <c r="AG94" i="1" s="1"/>
  <c r="AE94" i="1"/>
  <c r="AF94" i="1"/>
  <c r="AH114" i="1"/>
  <c r="AM114" i="1"/>
  <c r="AN114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G180" i="1"/>
  <c r="AH115" i="1"/>
  <c r="AM115" i="1"/>
  <c r="AN115" i="1"/>
  <c r="K181" i="1"/>
  <c r="L181" i="1"/>
  <c r="M181" i="1"/>
  <c r="N181" i="1" s="1"/>
  <c r="V181" i="1"/>
  <c r="Y181" i="1"/>
  <c r="AA181" i="1" s="1"/>
  <c r="Z181" i="1"/>
  <c r="AB181" i="1"/>
  <c r="AC181" i="1"/>
  <c r="AD181" i="1"/>
  <c r="AG181" i="1" s="1"/>
  <c r="AE181" i="1"/>
  <c r="AF181" i="1"/>
  <c r="AH116" i="1"/>
  <c r="AM116" i="1"/>
  <c r="AN116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7" i="1"/>
  <c r="AM117" i="1"/>
  <c r="AN117" i="1"/>
  <c r="K183" i="1"/>
  <c r="L183" i="1"/>
  <c r="M183" i="1"/>
  <c r="N183" i="1" s="1"/>
  <c r="V183" i="1"/>
  <c r="Y183" i="1"/>
  <c r="Z183" i="1"/>
  <c r="AA183" i="1"/>
  <c r="W183" i="1" s="1"/>
  <c r="AB183" i="1"/>
  <c r="AC183" i="1"/>
  <c r="AD183" i="1"/>
  <c r="T183" i="1" s="1"/>
  <c r="AE183" i="1"/>
  <c r="AF183" i="1"/>
  <c r="AG183" i="1"/>
  <c r="AH118" i="1"/>
  <c r="AM118" i="1"/>
  <c r="AN118" i="1"/>
  <c r="K184" i="1"/>
  <c r="L184" i="1"/>
  <c r="M184" i="1"/>
  <c r="N184" i="1" s="1"/>
  <c r="V184" i="1"/>
  <c r="Y184" i="1"/>
  <c r="Z184" i="1"/>
  <c r="AB184" i="1"/>
  <c r="AC184" i="1"/>
  <c r="AD184" i="1"/>
  <c r="X184" i="1" s="1"/>
  <c r="AE184" i="1"/>
  <c r="AF184" i="1"/>
  <c r="AH119" i="1"/>
  <c r="AM119" i="1"/>
  <c r="AN119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20" i="1"/>
  <c r="AM120" i="1"/>
  <c r="AN120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1" i="1"/>
  <c r="AM121" i="1"/>
  <c r="AN121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22" i="1"/>
  <c r="AM122" i="1"/>
  <c r="AN122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3" i="1"/>
  <c r="AM123" i="1"/>
  <c r="AN123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124" i="1"/>
  <c r="AM124" i="1"/>
  <c r="AN124" i="1"/>
  <c r="K95" i="1"/>
  <c r="L95" i="1"/>
  <c r="M95" i="1"/>
  <c r="P95" i="1" s="1"/>
  <c r="V95" i="1"/>
  <c r="Y95" i="1"/>
  <c r="Z95" i="1"/>
  <c r="AB95" i="1"/>
  <c r="AC95" i="1"/>
  <c r="AD95" i="1"/>
  <c r="AG95" i="1" s="1"/>
  <c r="AE95" i="1"/>
  <c r="AF95" i="1"/>
  <c r="AH125" i="1"/>
  <c r="AM125" i="1"/>
  <c r="AN125" i="1"/>
  <c r="K96" i="1"/>
  <c r="L96" i="1"/>
  <c r="M96" i="1"/>
  <c r="V96" i="1"/>
  <c r="Y96" i="1"/>
  <c r="Z96" i="1"/>
  <c r="AB96" i="1"/>
  <c r="AC96" i="1"/>
  <c r="AD96" i="1"/>
  <c r="T96" i="1" s="1"/>
  <c r="AE96" i="1"/>
  <c r="AF96" i="1"/>
  <c r="AH126" i="1"/>
  <c r="AM126" i="1"/>
  <c r="AN126" i="1"/>
  <c r="K97" i="1"/>
  <c r="L97" i="1"/>
  <c r="M97" i="1"/>
  <c r="V97" i="1"/>
  <c r="Y97" i="1"/>
  <c r="Z97" i="1"/>
  <c r="AB97" i="1"/>
  <c r="AC97" i="1"/>
  <c r="AD97" i="1"/>
  <c r="AE97" i="1"/>
  <c r="AF97" i="1"/>
  <c r="AH127" i="1"/>
  <c r="AM127" i="1"/>
  <c r="AN127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8" i="1"/>
  <c r="AM128" i="1"/>
  <c r="AN128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129" i="1"/>
  <c r="AM129" i="1"/>
  <c r="AN129" i="1"/>
  <c r="K192" i="1"/>
  <c r="L192" i="1"/>
  <c r="M192" i="1"/>
  <c r="N192" i="1" s="1"/>
  <c r="T192" i="1"/>
  <c r="V192" i="1"/>
  <c r="Y192" i="1"/>
  <c r="AA192" i="1" s="1"/>
  <c r="W192" i="1" s="1"/>
  <c r="Z192" i="1"/>
  <c r="AB192" i="1"/>
  <c r="AC192" i="1"/>
  <c r="AD192" i="1"/>
  <c r="AE192" i="1"/>
  <c r="AF192" i="1"/>
  <c r="AG192" i="1"/>
  <c r="AH130" i="1"/>
  <c r="AM130" i="1"/>
  <c r="AN130" i="1"/>
  <c r="K193" i="1"/>
  <c r="L193" i="1"/>
  <c r="M193" i="1"/>
  <c r="N193" i="1" s="1"/>
  <c r="V193" i="1"/>
  <c r="X193" i="1"/>
  <c r="Y193" i="1"/>
  <c r="Z193" i="1"/>
  <c r="AB193" i="1"/>
  <c r="AC193" i="1"/>
  <c r="AD193" i="1"/>
  <c r="T193" i="1" s="1"/>
  <c r="AE193" i="1"/>
  <c r="AF193" i="1"/>
  <c r="AG193" i="1"/>
  <c r="AH131" i="1"/>
  <c r="AM131" i="1"/>
  <c r="AN131" i="1"/>
  <c r="K98" i="1"/>
  <c r="L98" i="1"/>
  <c r="M98" i="1"/>
  <c r="N98" i="1" s="1"/>
  <c r="V98" i="1"/>
  <c r="Y98" i="1"/>
  <c r="AA98" i="1" s="1"/>
  <c r="Z98" i="1"/>
  <c r="AB98" i="1"/>
  <c r="AC98" i="1"/>
  <c r="AD98" i="1"/>
  <c r="AG98" i="1" s="1"/>
  <c r="AI98" i="1" s="1"/>
  <c r="AE98" i="1"/>
  <c r="AF98" i="1"/>
  <c r="AH132" i="1"/>
  <c r="AM132" i="1"/>
  <c r="AN132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3" i="1"/>
  <c r="AM133" i="1"/>
  <c r="AN133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6" i="1"/>
  <c r="AM136" i="1"/>
  <c r="AN136" i="1"/>
  <c r="K103" i="1"/>
  <c r="L103" i="1"/>
  <c r="M103" i="1"/>
  <c r="N103" i="1" s="1"/>
  <c r="V103" i="1"/>
  <c r="Y103" i="1"/>
  <c r="Z103" i="1"/>
  <c r="AA103" i="1" s="1"/>
  <c r="AB103" i="1"/>
  <c r="AC103" i="1"/>
  <c r="AD103" i="1"/>
  <c r="AE103" i="1"/>
  <c r="AF103" i="1"/>
  <c r="AH137" i="1"/>
  <c r="AM137" i="1"/>
  <c r="AN137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38" i="1"/>
  <c r="AM138" i="1"/>
  <c r="AN138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G204" i="1"/>
  <c r="AH139" i="1"/>
  <c r="AM139" i="1"/>
  <c r="AN139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40" i="1"/>
  <c r="AM140" i="1"/>
  <c r="AN140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41" i="1"/>
  <c r="AM141" i="1"/>
  <c r="AN141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2" i="1"/>
  <c r="AM142" i="1"/>
  <c r="AN142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3" i="1"/>
  <c r="AM143" i="1"/>
  <c r="AN143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4" i="1"/>
  <c r="AM144" i="1"/>
  <c r="AN144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5" i="1"/>
  <c r="AM145" i="1"/>
  <c r="AN145" i="1"/>
  <c r="K110" i="1"/>
  <c r="L110" i="1"/>
  <c r="M110" i="1"/>
  <c r="N110" i="1" s="1"/>
  <c r="V110" i="1"/>
  <c r="Y110" i="1"/>
  <c r="Z110" i="1"/>
  <c r="AA110" i="1" s="1"/>
  <c r="W110" i="1" s="1"/>
  <c r="AB110" i="1"/>
  <c r="AC110" i="1"/>
  <c r="AD110" i="1"/>
  <c r="AG110" i="1" s="1"/>
  <c r="AE110" i="1"/>
  <c r="AF110" i="1"/>
  <c r="AH146" i="1"/>
  <c r="AM146" i="1"/>
  <c r="AN146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7" i="1"/>
  <c r="AM147" i="1"/>
  <c r="AN147" i="1"/>
  <c r="K112" i="1"/>
  <c r="L112" i="1"/>
  <c r="M112" i="1"/>
  <c r="N112" i="1" s="1"/>
  <c r="V112" i="1"/>
  <c r="Y112" i="1"/>
  <c r="Z112" i="1"/>
  <c r="AA112" i="1" s="1"/>
  <c r="AB112" i="1"/>
  <c r="AC112" i="1"/>
  <c r="AD112" i="1"/>
  <c r="AG112" i="1" s="1"/>
  <c r="AE112" i="1"/>
  <c r="AF112" i="1"/>
  <c r="AH148" i="1"/>
  <c r="AM148" i="1"/>
  <c r="AN148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49" i="1"/>
  <c r="AM149" i="1"/>
  <c r="AN149" i="1"/>
  <c r="K114" i="1"/>
  <c r="L114" i="1"/>
  <c r="M114" i="1"/>
  <c r="N114" i="1" s="1"/>
  <c r="V114" i="1"/>
  <c r="Y114" i="1"/>
  <c r="Z114" i="1"/>
  <c r="AA114" i="1" s="1"/>
  <c r="W114" i="1" s="1"/>
  <c r="AB114" i="1"/>
  <c r="AC114" i="1"/>
  <c r="AD114" i="1"/>
  <c r="AG114" i="1" s="1"/>
  <c r="AE114" i="1"/>
  <c r="AF114" i="1"/>
  <c r="AH150" i="1"/>
  <c r="AM150" i="1"/>
  <c r="AN150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1" i="1"/>
  <c r="AM151" i="1"/>
  <c r="AN151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2" i="1"/>
  <c r="AM152" i="1"/>
  <c r="AN152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53" i="1"/>
  <c r="AM153" i="1"/>
  <c r="AN153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54" i="1"/>
  <c r="AM154" i="1"/>
  <c r="AN154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5" i="1"/>
  <c r="AM155" i="1"/>
  <c r="AN155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56" i="1"/>
  <c r="AM156" i="1"/>
  <c r="AN156" i="1"/>
  <c r="K121" i="1"/>
  <c r="L121" i="1"/>
  <c r="M121" i="1"/>
  <c r="N121" i="1" s="1"/>
  <c r="T121" i="1"/>
  <c r="V121" i="1"/>
  <c r="Y121" i="1"/>
  <c r="Z121" i="1"/>
  <c r="AA121" i="1"/>
  <c r="W121" i="1" s="1"/>
  <c r="AB121" i="1"/>
  <c r="AC121" i="1"/>
  <c r="AD121" i="1"/>
  <c r="AG121" i="1" s="1"/>
  <c r="AE121" i="1"/>
  <c r="AF121" i="1"/>
  <c r="AH157" i="1"/>
  <c r="AM157" i="1"/>
  <c r="AN157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8" i="1"/>
  <c r="AM158" i="1"/>
  <c r="AN158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9" i="1"/>
  <c r="AM159" i="1"/>
  <c r="AN159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K126" i="1"/>
  <c r="L126" i="1"/>
  <c r="M126" i="1"/>
  <c r="N126" i="1" s="1"/>
  <c r="V126" i="1"/>
  <c r="S12" i="3" s="1"/>
  <c r="Y126" i="1"/>
  <c r="Z126" i="1"/>
  <c r="AB126" i="1"/>
  <c r="AC126" i="1"/>
  <c r="AD126" i="1"/>
  <c r="T126" i="1" s="1"/>
  <c r="AE126" i="1"/>
  <c r="AF126" i="1"/>
  <c r="AH160" i="1"/>
  <c r="AM160" i="1"/>
  <c r="AN160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61" i="1"/>
  <c r="AM161" i="1"/>
  <c r="AN161" i="1"/>
  <c r="K128" i="1"/>
  <c r="L128" i="1"/>
  <c r="M128" i="1"/>
  <c r="N128" i="1" s="1"/>
  <c r="V128" i="1"/>
  <c r="S13" i="3" s="1"/>
  <c r="Y128" i="1"/>
  <c r="Z128" i="1"/>
  <c r="AB128" i="1"/>
  <c r="AC128" i="1"/>
  <c r="AD128" i="1"/>
  <c r="AG128" i="1" s="1"/>
  <c r="AE128" i="1"/>
  <c r="AF128" i="1"/>
  <c r="AH162" i="1"/>
  <c r="AM162" i="1"/>
  <c r="AN162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3" i="1"/>
  <c r="AM163" i="1"/>
  <c r="AN163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64" i="1"/>
  <c r="AM164" i="1"/>
  <c r="AN164" i="1"/>
  <c r="K131" i="1"/>
  <c r="L131" i="1"/>
  <c r="M131" i="1"/>
  <c r="N131" i="1" s="1"/>
  <c r="V131" i="1"/>
  <c r="Y131" i="1"/>
  <c r="Z131" i="1"/>
  <c r="AA131" i="1" s="1"/>
  <c r="AB131" i="1"/>
  <c r="AC131" i="1"/>
  <c r="AD131" i="1"/>
  <c r="AE131" i="1"/>
  <c r="AF131" i="1"/>
  <c r="AH165" i="1"/>
  <c r="AM165" i="1"/>
  <c r="AN165" i="1"/>
  <c r="K132" i="1"/>
  <c r="L132" i="1"/>
  <c r="M132" i="1"/>
  <c r="N132" i="1"/>
  <c r="V132" i="1"/>
  <c r="Y132" i="1"/>
  <c r="Z132" i="1"/>
  <c r="AB132" i="1"/>
  <c r="AC132" i="1"/>
  <c r="AD132" i="1"/>
  <c r="AG132" i="1" s="1"/>
  <c r="AE132" i="1"/>
  <c r="AF132" i="1"/>
  <c r="AH166" i="1"/>
  <c r="AM166" i="1"/>
  <c r="AN166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7" i="1"/>
  <c r="AM167" i="1"/>
  <c r="AN167" i="1"/>
  <c r="K134" i="1"/>
  <c r="L134" i="1"/>
  <c r="M134" i="1"/>
  <c r="N134" i="1" s="1"/>
  <c r="V134" i="1"/>
  <c r="S23" i="3" s="1"/>
  <c r="Y134" i="1"/>
  <c r="Z134" i="1"/>
  <c r="AB134" i="1"/>
  <c r="AC134" i="1"/>
  <c r="AD134" i="1"/>
  <c r="AE134" i="1"/>
  <c r="AF134" i="1"/>
  <c r="AH168" i="1"/>
  <c r="AM168" i="1"/>
  <c r="AN168" i="1"/>
  <c r="K135" i="1"/>
  <c r="L135" i="1"/>
  <c r="M135" i="1"/>
  <c r="N135" i="1" s="1"/>
  <c r="V135" i="1"/>
  <c r="S9" i="3" s="1"/>
  <c r="Y135" i="1"/>
  <c r="Z135" i="1"/>
  <c r="AA135" i="1" s="1"/>
  <c r="W135" i="1" s="1"/>
  <c r="AB135" i="1"/>
  <c r="AC135" i="1"/>
  <c r="AD135" i="1"/>
  <c r="AG135" i="1" s="1"/>
  <c r="AE135" i="1"/>
  <c r="R9" i="3" s="1"/>
  <c r="AF135" i="1"/>
  <c r="AH169" i="1"/>
  <c r="AM169" i="1"/>
  <c r="AN169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70" i="1"/>
  <c r="AM170" i="1"/>
  <c r="AN170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1" i="1"/>
  <c r="AM171" i="1"/>
  <c r="AN171" i="1"/>
  <c r="K138" i="1"/>
  <c r="L138" i="1"/>
  <c r="M138" i="1"/>
  <c r="P138" i="1" s="1"/>
  <c r="V138" i="1"/>
  <c r="Y138" i="1"/>
  <c r="Z138" i="1"/>
  <c r="AB138" i="1"/>
  <c r="AC138" i="1"/>
  <c r="AD138" i="1"/>
  <c r="T138" i="1" s="1"/>
  <c r="AE138" i="1"/>
  <c r="AF138" i="1"/>
  <c r="AH172" i="1"/>
  <c r="AM172" i="1"/>
  <c r="AN172" i="1"/>
  <c r="K139" i="1"/>
  <c r="L139" i="1"/>
  <c r="M139" i="1"/>
  <c r="V139" i="1"/>
  <c r="Y139" i="1"/>
  <c r="Z139" i="1"/>
  <c r="AB139" i="1"/>
  <c r="AC139" i="1"/>
  <c r="AD139" i="1"/>
  <c r="AG139" i="1" s="1"/>
  <c r="AE139" i="1"/>
  <c r="AF139" i="1"/>
  <c r="AH173" i="1"/>
  <c r="AM173" i="1"/>
  <c r="AN173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74" i="1"/>
  <c r="AM174" i="1"/>
  <c r="AN174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5" i="1"/>
  <c r="AM175" i="1"/>
  <c r="AN175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6" i="1"/>
  <c r="AM176" i="1"/>
  <c r="AN176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G143" i="1"/>
  <c r="AH177" i="1"/>
  <c r="AM177" i="1"/>
  <c r="AN177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78" i="1"/>
  <c r="AI178" i="1"/>
  <c r="AM178" i="1"/>
  <c r="AN178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79" i="1"/>
  <c r="AM179" i="1"/>
  <c r="AN179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80" i="1"/>
  <c r="AM180" i="1"/>
  <c r="AN180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1" i="1"/>
  <c r="AM181" i="1"/>
  <c r="AN181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82" i="1"/>
  <c r="AM182" i="1"/>
  <c r="AN182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83" i="1"/>
  <c r="AI183" i="1"/>
  <c r="AM183" i="1"/>
  <c r="AN183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4" i="1"/>
  <c r="AM184" i="1"/>
  <c r="AN184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85" i="1"/>
  <c r="AM185" i="1"/>
  <c r="AN185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86" i="1"/>
  <c r="AM186" i="1"/>
  <c r="AN186" i="1"/>
  <c r="K153" i="1"/>
  <c r="L153" i="1"/>
  <c r="M153" i="1"/>
  <c r="N153" i="1" s="1"/>
  <c r="T153" i="1"/>
  <c r="V153" i="1"/>
  <c r="Y153" i="1"/>
  <c r="Z153" i="1"/>
  <c r="AB153" i="1"/>
  <c r="AC153" i="1"/>
  <c r="AD153" i="1"/>
  <c r="AE153" i="1"/>
  <c r="AF153" i="1"/>
  <c r="AH187" i="1"/>
  <c r="AM187" i="1"/>
  <c r="AN187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88" i="1"/>
  <c r="AM188" i="1"/>
  <c r="AN188" i="1"/>
  <c r="K155" i="1"/>
  <c r="L155" i="1"/>
  <c r="M155" i="1"/>
  <c r="N155" i="1" s="1"/>
  <c r="V155" i="1"/>
  <c r="Y155" i="1"/>
  <c r="Z155" i="1"/>
  <c r="AA155" i="1" s="1"/>
  <c r="AB155" i="1"/>
  <c r="AC155" i="1"/>
  <c r="AD155" i="1"/>
  <c r="AG155" i="1" s="1"/>
  <c r="AE155" i="1"/>
  <c r="AF155" i="1"/>
  <c r="AH189" i="1"/>
  <c r="AM189" i="1"/>
  <c r="AN189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90" i="1"/>
  <c r="AM190" i="1"/>
  <c r="AN190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R29" i="3" s="1"/>
  <c r="AF157" i="1"/>
  <c r="AH191" i="1"/>
  <c r="AM191" i="1"/>
  <c r="AN191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2" i="1"/>
  <c r="AM192" i="1"/>
  <c r="AN192" i="1"/>
  <c r="K159" i="1"/>
  <c r="L159" i="1"/>
  <c r="M159" i="1"/>
  <c r="N159" i="1" s="1"/>
  <c r="V159" i="1"/>
  <c r="Y159" i="1"/>
  <c r="Z159" i="1"/>
  <c r="AB159" i="1"/>
  <c r="AC159" i="1"/>
  <c r="AD159" i="1"/>
  <c r="AG159" i="1" s="1"/>
  <c r="AI193" i="1" s="1"/>
  <c r="AE159" i="1"/>
  <c r="AF159" i="1"/>
  <c r="AH193" i="1"/>
  <c r="AM193" i="1"/>
  <c r="AN193" i="1"/>
  <c r="AH194" i="1"/>
  <c r="AM194" i="1"/>
  <c r="AN194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X194" i="1" s="1"/>
  <c r="AE194" i="1"/>
  <c r="AF194" i="1"/>
  <c r="AH196" i="1"/>
  <c r="AM196" i="1"/>
  <c r="AN196" i="1"/>
  <c r="K195" i="1"/>
  <c r="L195" i="1"/>
  <c r="M195" i="1"/>
  <c r="N195" i="1" s="1"/>
  <c r="V195" i="1"/>
  <c r="Y195" i="1"/>
  <c r="Z195" i="1"/>
  <c r="AA195" i="1" s="1"/>
  <c r="AB195" i="1"/>
  <c r="AC195" i="1"/>
  <c r="AD195" i="1"/>
  <c r="AE195" i="1"/>
  <c r="AF195" i="1"/>
  <c r="AH197" i="1"/>
  <c r="AM197" i="1"/>
  <c r="AN197" i="1"/>
  <c r="K196" i="1"/>
  <c r="L196" i="1"/>
  <c r="M196" i="1"/>
  <c r="N196" i="1"/>
  <c r="V196" i="1"/>
  <c r="S37" i="3" s="1"/>
  <c r="Y196" i="1"/>
  <c r="Z196" i="1"/>
  <c r="AB196" i="1"/>
  <c r="AC196" i="1"/>
  <c r="AD196" i="1"/>
  <c r="AG196" i="1" s="1"/>
  <c r="AE196" i="1"/>
  <c r="R37" i="3" s="1"/>
  <c r="AF196" i="1"/>
  <c r="AH198" i="1"/>
  <c r="AM198" i="1"/>
  <c r="AN198" i="1"/>
  <c r="K197" i="1"/>
  <c r="L197" i="1"/>
  <c r="M197" i="1"/>
  <c r="N197" i="1" s="1"/>
  <c r="V197" i="1"/>
  <c r="Y197" i="1"/>
  <c r="Z197" i="1"/>
  <c r="AA197" i="1" s="1"/>
  <c r="AB197" i="1"/>
  <c r="AC197" i="1"/>
  <c r="AD197" i="1"/>
  <c r="T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K203" i="1"/>
  <c r="L203" i="1"/>
  <c r="M203" i="1"/>
  <c r="N203" i="1"/>
  <c r="V203" i="1"/>
  <c r="Y203" i="1"/>
  <c r="Z203" i="1"/>
  <c r="AB203" i="1"/>
  <c r="AC203" i="1"/>
  <c r="AD203" i="1"/>
  <c r="X204" i="1" s="1"/>
  <c r="AE203" i="1"/>
  <c r="AF203" i="1"/>
  <c r="AH205" i="1"/>
  <c r="AM205" i="1"/>
  <c r="AN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6" i="1"/>
  <c r="AM206" i="1"/>
  <c r="AN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7" i="1"/>
  <c r="AM207" i="1"/>
  <c r="AN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8" i="1"/>
  <c r="AM208" i="1"/>
  <c r="AN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AN210" i="1"/>
  <c r="K211" i="1"/>
  <c r="L211" i="1"/>
  <c r="M211" i="1"/>
  <c r="N211" i="1" s="1"/>
  <c r="V211" i="1"/>
  <c r="S34" i="3" s="1"/>
  <c r="Y211" i="1"/>
  <c r="Z211" i="1"/>
  <c r="AB211" i="1"/>
  <c r="AC211" i="1"/>
  <c r="AD211" i="1"/>
  <c r="T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A212" i="1" s="1"/>
  <c r="AB212" i="1"/>
  <c r="AC212" i="1"/>
  <c r="AD212" i="1"/>
  <c r="T212" i="1" s="1"/>
  <c r="AE212" i="1"/>
  <c r="AF212" i="1"/>
  <c r="AG212" i="1"/>
  <c r="AH212" i="1"/>
  <c r="AM212" i="1"/>
  <c r="AN212" i="1"/>
  <c r="K213" i="1"/>
  <c r="L213" i="1"/>
  <c r="M213" i="1"/>
  <c r="N213" i="1" s="1"/>
  <c r="T213" i="1"/>
  <c r="V213" i="1"/>
  <c r="Y213" i="1"/>
  <c r="Z213" i="1"/>
  <c r="AA213" i="1" s="1"/>
  <c r="AB213" i="1"/>
  <c r="AC213" i="1"/>
  <c r="AD213" i="1"/>
  <c r="X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A214" i="1" s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S36" i="3" s="1"/>
  <c r="Y215" i="1"/>
  <c r="Z215" i="1"/>
  <c r="AA215" i="1" s="1"/>
  <c r="AB215" i="1"/>
  <c r="AC215" i="1"/>
  <c r="AD215" i="1"/>
  <c r="T215" i="1" s="1"/>
  <c r="AE215" i="1"/>
  <c r="AF215" i="1"/>
  <c r="AH215" i="1"/>
  <c r="AM215" i="1"/>
  <c r="AN215" i="1"/>
  <c r="K216" i="1"/>
  <c r="L216" i="1"/>
  <c r="M216" i="1"/>
  <c r="N216" i="1" s="1"/>
  <c r="T216" i="1"/>
  <c r="V216" i="1"/>
  <c r="Y216" i="1"/>
  <c r="Z216" i="1"/>
  <c r="AB216" i="1"/>
  <c r="AC216" i="1"/>
  <c r="AD216" i="1"/>
  <c r="AG216" i="1" s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X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A220" i="1" s="1"/>
  <c r="AB220" i="1"/>
  <c r="AC220" i="1"/>
  <c r="AD220" i="1"/>
  <c r="AE220" i="1"/>
  <c r="AF220" i="1"/>
  <c r="AH220" i="1"/>
  <c r="AM220" i="1"/>
  <c r="AN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1" i="1"/>
  <c r="AM221" i="1"/>
  <c r="AN221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222" i="1"/>
  <c r="AM222" i="1"/>
  <c r="AN222" i="1"/>
  <c r="M37" i="3"/>
  <c r="U37" i="3"/>
  <c r="T37" i="3" s="1"/>
  <c r="V37" i="3"/>
  <c r="W37" i="3"/>
  <c r="Y37" i="3" s="1"/>
  <c r="X37" i="3"/>
  <c r="AC37" i="3"/>
  <c r="M38" i="3"/>
  <c r="S38" i="3"/>
  <c r="U38" i="3"/>
  <c r="V38" i="3"/>
  <c r="W38" i="3"/>
  <c r="Y38" i="3" s="1"/>
  <c r="X38" i="3"/>
  <c r="M18" i="3"/>
  <c r="U18" i="3"/>
  <c r="AC18" i="3" s="1"/>
  <c r="V18" i="3"/>
  <c r="W18" i="3"/>
  <c r="X18" i="3"/>
  <c r="M7" i="3"/>
  <c r="R7" i="3"/>
  <c r="S7" i="3"/>
  <c r="U7" i="3"/>
  <c r="V7" i="3"/>
  <c r="W7" i="3"/>
  <c r="X7" i="3"/>
  <c r="AC7" i="3"/>
  <c r="M22" i="3"/>
  <c r="R22" i="3"/>
  <c r="S22" i="3"/>
  <c r="U22" i="3"/>
  <c r="T22" i="3" s="1"/>
  <c r="V22" i="3"/>
  <c r="W22" i="3"/>
  <c r="X22" i="3"/>
  <c r="AC22" i="3"/>
  <c r="M30" i="3"/>
  <c r="R30" i="3"/>
  <c r="S30" i="3"/>
  <c r="U30" i="3"/>
  <c r="V30" i="3"/>
  <c r="W30" i="3"/>
  <c r="Y30" i="3" s="1"/>
  <c r="X30" i="3"/>
  <c r="M17" i="3"/>
  <c r="R17" i="3"/>
  <c r="S17" i="3"/>
  <c r="U17" i="3"/>
  <c r="AC17" i="3" s="1"/>
  <c r="V17" i="3"/>
  <c r="W17" i="3"/>
  <c r="X17" i="3"/>
  <c r="M21" i="3"/>
  <c r="R21" i="3"/>
  <c r="S21" i="3"/>
  <c r="T21" i="3"/>
  <c r="U21" i="3"/>
  <c r="V21" i="3"/>
  <c r="W21" i="3"/>
  <c r="X21" i="3"/>
  <c r="AC21" i="3"/>
  <c r="M19" i="3"/>
  <c r="R19" i="3"/>
  <c r="S19" i="3"/>
  <c r="U19" i="3"/>
  <c r="T19" i="3" s="1"/>
  <c r="V19" i="3"/>
  <c r="AE19" i="3" s="1"/>
  <c r="W19" i="3"/>
  <c r="X19" i="3"/>
  <c r="AC19" i="3"/>
  <c r="M25" i="3"/>
  <c r="R25" i="3"/>
  <c r="S25" i="3"/>
  <c r="U25" i="3"/>
  <c r="AD17" i="3" s="1"/>
  <c r="V25" i="3"/>
  <c r="W25" i="3"/>
  <c r="X25" i="3"/>
  <c r="AC25" i="3"/>
  <c r="M14" i="3"/>
  <c r="R14" i="3"/>
  <c r="S14" i="3"/>
  <c r="U14" i="3"/>
  <c r="AC14" i="3" s="1"/>
  <c r="V14" i="3"/>
  <c r="W14" i="3"/>
  <c r="X14" i="3"/>
  <c r="Y14" i="3"/>
  <c r="M8" i="3"/>
  <c r="R8" i="3"/>
  <c r="S8" i="3"/>
  <c r="U8" i="3"/>
  <c r="AD8" i="3" s="1"/>
  <c r="V8" i="3"/>
  <c r="W8" i="3"/>
  <c r="Y8" i="3" s="1"/>
  <c r="X8" i="3"/>
  <c r="AC8" i="3"/>
  <c r="AD19" i="3"/>
  <c r="M10" i="3"/>
  <c r="R10" i="3"/>
  <c r="S10" i="3"/>
  <c r="U10" i="3"/>
  <c r="T10" i="3" s="1"/>
  <c r="V10" i="3"/>
  <c r="W10" i="3"/>
  <c r="Y10" i="3" s="1"/>
  <c r="X10" i="3"/>
  <c r="AC10" i="3"/>
  <c r="M26" i="3"/>
  <c r="R26" i="3"/>
  <c r="S26" i="3"/>
  <c r="U26" i="3"/>
  <c r="AD21" i="3" s="1"/>
  <c r="V26" i="3"/>
  <c r="W26" i="3"/>
  <c r="Y26" i="3" s="1"/>
  <c r="X26" i="3"/>
  <c r="AC26" i="3"/>
  <c r="M15" i="3"/>
  <c r="R15" i="3"/>
  <c r="S15" i="3"/>
  <c r="U15" i="3"/>
  <c r="AC15" i="3" s="1"/>
  <c r="V15" i="3"/>
  <c r="W15" i="3"/>
  <c r="X15" i="3"/>
  <c r="M20" i="3"/>
  <c r="R20" i="3"/>
  <c r="S20" i="3"/>
  <c r="U20" i="3"/>
  <c r="T20" i="3" s="1"/>
  <c r="V20" i="3"/>
  <c r="W20" i="3"/>
  <c r="X20" i="3"/>
  <c r="AC20" i="3"/>
  <c r="M11" i="3"/>
  <c r="R11" i="3"/>
  <c r="S11" i="3"/>
  <c r="U11" i="3"/>
  <c r="T11" i="3" s="1"/>
  <c r="V11" i="3"/>
  <c r="W11" i="3"/>
  <c r="Y11" i="3" s="1"/>
  <c r="X11" i="3"/>
  <c r="AD24" i="3"/>
  <c r="M24" i="3"/>
  <c r="R24" i="3"/>
  <c r="S24" i="3"/>
  <c r="U24" i="3"/>
  <c r="V24" i="3"/>
  <c r="W24" i="3"/>
  <c r="X24" i="3"/>
  <c r="Y24" i="3"/>
  <c r="M27" i="3"/>
  <c r="R27" i="3"/>
  <c r="S27" i="3"/>
  <c r="U27" i="3"/>
  <c r="AC27" i="3" s="1"/>
  <c r="V27" i="3"/>
  <c r="W27" i="3"/>
  <c r="Y27" i="3" s="1"/>
  <c r="X27" i="3"/>
  <c r="M28" i="3"/>
  <c r="R28" i="3"/>
  <c r="S28" i="3"/>
  <c r="U28" i="3"/>
  <c r="V28" i="3"/>
  <c r="W28" i="3"/>
  <c r="X28" i="3"/>
  <c r="AC28" i="3"/>
  <c r="M33" i="3"/>
  <c r="R33" i="3"/>
  <c r="S33" i="3"/>
  <c r="U33" i="3"/>
  <c r="T33" i="3" s="1"/>
  <c r="V33" i="3"/>
  <c r="W33" i="3"/>
  <c r="Y33" i="3" s="1"/>
  <c r="X33" i="3"/>
  <c r="AC33" i="3"/>
  <c r="AD28" i="3"/>
  <c r="M31" i="3"/>
  <c r="R31" i="3"/>
  <c r="S31" i="3"/>
  <c r="U31" i="3"/>
  <c r="AD29" i="3" s="1"/>
  <c r="V31" i="3"/>
  <c r="W31" i="3"/>
  <c r="X31" i="3"/>
  <c r="AC31" i="3"/>
  <c r="M32" i="3"/>
  <c r="R32" i="3"/>
  <c r="S32" i="3"/>
  <c r="U32" i="3"/>
  <c r="AC32" i="3" s="1"/>
  <c r="V32" i="3"/>
  <c r="W32" i="3"/>
  <c r="Y32" i="3" s="1"/>
  <c r="X32" i="3"/>
  <c r="M16" i="3"/>
  <c r="R16" i="3"/>
  <c r="U16" i="3"/>
  <c r="V16" i="3"/>
  <c r="W16" i="3"/>
  <c r="X16" i="3"/>
  <c r="AC16" i="3"/>
  <c r="M12" i="3"/>
  <c r="R12" i="3"/>
  <c r="U12" i="3"/>
  <c r="T12" i="3" s="1"/>
  <c r="V12" i="3"/>
  <c r="W12" i="3"/>
  <c r="Y12" i="3" s="1"/>
  <c r="X12" i="3"/>
  <c r="AC12" i="3"/>
  <c r="AD32" i="3"/>
  <c r="M9" i="3"/>
  <c r="U9" i="3"/>
  <c r="AD33" i="3" s="1"/>
  <c r="V9" i="3"/>
  <c r="W9" i="3"/>
  <c r="X9" i="3"/>
  <c r="Y9" i="3"/>
  <c r="M13" i="3"/>
  <c r="R13" i="3"/>
  <c r="U13" i="3"/>
  <c r="AC13" i="3" s="1"/>
  <c r="V13" i="3"/>
  <c r="W13" i="3"/>
  <c r="Y13" i="3" s="1"/>
  <c r="X13" i="3"/>
  <c r="M23" i="3"/>
  <c r="R23" i="3"/>
  <c r="U23" i="3"/>
  <c r="V23" i="3"/>
  <c r="W23" i="3"/>
  <c r="X23" i="3"/>
  <c r="AC23" i="3"/>
  <c r="M34" i="3"/>
  <c r="R34" i="3"/>
  <c r="U34" i="3"/>
  <c r="T34" i="3" s="1"/>
  <c r="V34" i="3"/>
  <c r="W34" i="3"/>
  <c r="X34" i="3"/>
  <c r="AC34" i="3"/>
  <c r="M36" i="3"/>
  <c r="R36" i="3"/>
  <c r="U36" i="3"/>
  <c r="AD37" i="3" s="1"/>
  <c r="V36" i="3"/>
  <c r="W36" i="3"/>
  <c r="X36" i="3"/>
  <c r="AC36" i="3"/>
  <c r="M29" i="3"/>
  <c r="S29" i="3"/>
  <c r="U29" i="3"/>
  <c r="AC29" i="3" s="1"/>
  <c r="V29" i="3"/>
  <c r="W29" i="3"/>
  <c r="Y29" i="3" s="1"/>
  <c r="X29" i="3"/>
  <c r="AI157" i="1" l="1"/>
  <c r="AA149" i="1"/>
  <c r="X146" i="1"/>
  <c r="AG145" i="1"/>
  <c r="X145" i="1"/>
  <c r="S16" i="3"/>
  <c r="AG214" i="1"/>
  <c r="X149" i="1"/>
  <c r="AG123" i="1"/>
  <c r="AI114" i="1"/>
  <c r="AA180" i="1"/>
  <c r="AA94" i="1"/>
  <c r="AA172" i="1"/>
  <c r="W172" i="1" s="1"/>
  <c r="AA93" i="1"/>
  <c r="AA168" i="1"/>
  <c r="W168" i="1" s="1"/>
  <c r="AA163" i="1"/>
  <c r="AA86" i="1"/>
  <c r="W86" i="1" s="1"/>
  <c r="AA83" i="1"/>
  <c r="X80" i="1"/>
  <c r="T78" i="1"/>
  <c r="AA69" i="1"/>
  <c r="W69" i="1" s="1"/>
  <c r="AI47" i="1"/>
  <c r="T28" i="1"/>
  <c r="AG210" i="1"/>
  <c r="X148" i="1"/>
  <c r="AG141" i="1"/>
  <c r="AI141" i="1" s="1"/>
  <c r="AG138" i="1"/>
  <c r="X138" i="1"/>
  <c r="AG137" i="1"/>
  <c r="W137" i="1" s="1"/>
  <c r="X137" i="1"/>
  <c r="AA133" i="1"/>
  <c r="X220" i="1"/>
  <c r="T217" i="1"/>
  <c r="AA219" i="1"/>
  <c r="U216" i="1"/>
  <c r="S216" i="1" s="1"/>
  <c r="AA216" i="1"/>
  <c r="AA208" i="1"/>
  <c r="AA201" i="1"/>
  <c r="AI199" i="1"/>
  <c r="AA199" i="1"/>
  <c r="AG198" i="1"/>
  <c r="AI198" i="1" s="1"/>
  <c r="X198" i="1"/>
  <c r="AG197" i="1"/>
  <c r="AA196" i="1"/>
  <c r="W196" i="1" s="1"/>
  <c r="T157" i="1"/>
  <c r="U157" i="1" s="1"/>
  <c r="S157" i="1" s="1"/>
  <c r="AA156" i="1"/>
  <c r="W156" i="1" s="1"/>
  <c r="T152" i="1"/>
  <c r="AA144" i="1"/>
  <c r="W144" i="1" s="1"/>
  <c r="AI132" i="1"/>
  <c r="AA125" i="1"/>
  <c r="AA119" i="1"/>
  <c r="X114" i="1"/>
  <c r="AA106" i="1"/>
  <c r="X101" i="1"/>
  <c r="AG100" i="1"/>
  <c r="U100" i="1" s="1"/>
  <c r="S100" i="1" s="1"/>
  <c r="X100" i="1"/>
  <c r="AI95" i="1"/>
  <c r="AA95" i="1"/>
  <c r="W95" i="1" s="1"/>
  <c r="AA178" i="1"/>
  <c r="AI85" i="1"/>
  <c r="AA57" i="1"/>
  <c r="W57" i="1" s="1"/>
  <c r="AA48" i="1"/>
  <c r="AG26" i="1"/>
  <c r="AA25" i="1"/>
  <c r="AA105" i="1"/>
  <c r="W105" i="1" s="1"/>
  <c r="AA179" i="1"/>
  <c r="AA176" i="1"/>
  <c r="W74" i="1"/>
  <c r="AA64" i="1"/>
  <c r="AA34" i="1"/>
  <c r="W34" i="1" s="1"/>
  <c r="AA20" i="1"/>
  <c r="AA18" i="1"/>
  <c r="T16" i="1"/>
  <c r="W212" i="1"/>
  <c r="T118" i="1"/>
  <c r="T104" i="1"/>
  <c r="W98" i="1"/>
  <c r="T87" i="1"/>
  <c r="U87" i="1" s="1"/>
  <c r="S87" i="1" s="1"/>
  <c r="T68" i="1"/>
  <c r="T63" i="1"/>
  <c r="T55" i="1"/>
  <c r="U55" i="1" s="1"/>
  <c r="S55" i="1" s="1"/>
  <c r="X32" i="1"/>
  <c r="W26" i="1"/>
  <c r="W216" i="1"/>
  <c r="T209" i="1"/>
  <c r="W197" i="1"/>
  <c r="AG221" i="1"/>
  <c r="X221" i="1"/>
  <c r="AA218" i="1"/>
  <c r="AA209" i="1"/>
  <c r="AG203" i="1"/>
  <c r="AG202" i="1"/>
  <c r="AI202" i="1" s="1"/>
  <c r="X202" i="1"/>
  <c r="AG201" i="1"/>
  <c r="AI201" i="1" s="1"/>
  <c r="X201" i="1"/>
  <c r="T196" i="1"/>
  <c r="X153" i="1"/>
  <c r="AI148" i="1"/>
  <c r="AA145" i="1"/>
  <c r="W145" i="1" s="1"/>
  <c r="AG142" i="1"/>
  <c r="X142" i="1"/>
  <c r="AA141" i="1"/>
  <c r="X130" i="1"/>
  <c r="AG129" i="1"/>
  <c r="U129" i="1" s="1"/>
  <c r="S129" i="1" s="1"/>
  <c r="X129" i="1"/>
  <c r="AA127" i="1"/>
  <c r="AA122" i="1"/>
  <c r="X117" i="1"/>
  <c r="X113" i="1"/>
  <c r="X109" i="1"/>
  <c r="T105" i="1"/>
  <c r="AA100" i="1"/>
  <c r="W100" i="1" s="1"/>
  <c r="X191" i="1"/>
  <c r="AA187" i="1"/>
  <c r="AA182" i="1"/>
  <c r="AA175" i="1"/>
  <c r="AA167" i="1"/>
  <c r="AA161" i="1"/>
  <c r="AG72" i="1"/>
  <c r="X72" i="1"/>
  <c r="T71" i="1"/>
  <c r="AA70" i="1"/>
  <c r="AA67" i="1"/>
  <c r="AG65" i="1"/>
  <c r="AI65" i="1" s="1"/>
  <c r="AG59" i="1"/>
  <c r="AI59" i="1" s="1"/>
  <c r="AG57" i="1"/>
  <c r="AA56" i="1"/>
  <c r="AA55" i="1"/>
  <c r="W55" i="1" s="1"/>
  <c r="T47" i="1"/>
  <c r="AA46" i="1"/>
  <c r="W46" i="1" s="1"/>
  <c r="AG44" i="1"/>
  <c r="X39" i="1"/>
  <c r="T36" i="1"/>
  <c r="U36" i="1" s="1"/>
  <c r="S36" i="1" s="1"/>
  <c r="AA35" i="1"/>
  <c r="T25" i="1"/>
  <c r="AA23" i="1"/>
  <c r="AA22" i="1"/>
  <c r="W199" i="1"/>
  <c r="AA222" i="1"/>
  <c r="W222" i="1" s="1"/>
  <c r="AA221" i="1"/>
  <c r="W221" i="1" s="1"/>
  <c r="AA217" i="1"/>
  <c r="AA159" i="1"/>
  <c r="AA152" i="1"/>
  <c r="W152" i="1" s="1"/>
  <c r="AA151" i="1"/>
  <c r="AI140" i="1"/>
  <c r="AA137" i="1"/>
  <c r="AG133" i="1"/>
  <c r="U133" i="1" s="1"/>
  <c r="S133" i="1" s="1"/>
  <c r="AA129" i="1"/>
  <c r="AA128" i="1"/>
  <c r="W128" i="1" s="1"/>
  <c r="AA99" i="1"/>
  <c r="AA173" i="1"/>
  <c r="W173" i="1" s="1"/>
  <c r="AG170" i="1"/>
  <c r="AI170" i="1" s="1"/>
  <c r="X170" i="1"/>
  <c r="AG167" i="1"/>
  <c r="AA166" i="1"/>
  <c r="AA164" i="1"/>
  <c r="AA162" i="1"/>
  <c r="AA91" i="1"/>
  <c r="AG83" i="1"/>
  <c r="U83" i="1" s="1"/>
  <c r="S83" i="1" s="1"/>
  <c r="AA79" i="1"/>
  <c r="X78" i="1"/>
  <c r="AA53" i="1"/>
  <c r="AG32" i="1"/>
  <c r="AI32" i="1" s="1"/>
  <c r="AA24" i="1"/>
  <c r="W24" i="1" s="1"/>
  <c r="AG22" i="1"/>
  <c r="U22" i="1" s="1"/>
  <c r="AA21" i="1"/>
  <c r="AI149" i="1"/>
  <c r="W151" i="1"/>
  <c r="T220" i="1"/>
  <c r="W149" i="1"/>
  <c r="T144" i="1"/>
  <c r="U144" i="1" s="1"/>
  <c r="S144" i="1" s="1"/>
  <c r="W127" i="1"/>
  <c r="W112" i="1"/>
  <c r="AI110" i="1"/>
  <c r="W187" i="1"/>
  <c r="AG182" i="1"/>
  <c r="AI182" i="1" s="1"/>
  <c r="X182" i="1"/>
  <c r="U94" i="1"/>
  <c r="S94" i="1" s="1"/>
  <c r="AI94" i="1"/>
  <c r="U44" i="1"/>
  <c r="S44" i="1" s="1"/>
  <c r="AI44" i="1"/>
  <c r="U197" i="1"/>
  <c r="S197" i="1" s="1"/>
  <c r="W155" i="1"/>
  <c r="AG220" i="1"/>
  <c r="W220" i="1" s="1"/>
  <c r="W214" i="1"/>
  <c r="W209" i="1"/>
  <c r="AG208" i="1"/>
  <c r="AG206" i="1"/>
  <c r="U206" i="1" s="1"/>
  <c r="S206" i="1" s="1"/>
  <c r="X197" i="1"/>
  <c r="AG158" i="1"/>
  <c r="X158" i="1"/>
  <c r="AA157" i="1"/>
  <c r="W157" i="1" s="1"/>
  <c r="AA153" i="1"/>
  <c r="AG150" i="1"/>
  <c r="AI150" i="1" s="1"/>
  <c r="X150" i="1"/>
  <c r="T149" i="1"/>
  <c r="U149" i="1" s="1"/>
  <c r="S149" i="1" s="1"/>
  <c r="X133" i="1"/>
  <c r="X132" i="1"/>
  <c r="W129" i="1"/>
  <c r="X128" i="1"/>
  <c r="AG126" i="1"/>
  <c r="X126" i="1"/>
  <c r="AG125" i="1"/>
  <c r="AI125" i="1" s="1"/>
  <c r="T119" i="1"/>
  <c r="X119" i="1"/>
  <c r="AG119" i="1"/>
  <c r="W119" i="1" s="1"/>
  <c r="T114" i="1"/>
  <c r="U114" i="1" s="1"/>
  <c r="S114" i="1" s="1"/>
  <c r="AG111" i="1"/>
  <c r="X111" i="1"/>
  <c r="AA193" i="1"/>
  <c r="W193" i="1" s="1"/>
  <c r="U192" i="1"/>
  <c r="S192" i="1" s="1"/>
  <c r="AI129" i="1"/>
  <c r="X96" i="1"/>
  <c r="AG96" i="1"/>
  <c r="AA96" i="1"/>
  <c r="AA189" i="1"/>
  <c r="AG188" i="1"/>
  <c r="X188" i="1"/>
  <c r="X183" i="1"/>
  <c r="U180" i="1"/>
  <c r="T93" i="1"/>
  <c r="AG93" i="1"/>
  <c r="AI46" i="1"/>
  <c r="T17" i="1"/>
  <c r="X17" i="1"/>
  <c r="AG17" i="1"/>
  <c r="U212" i="1"/>
  <c r="S212" i="1" s="1"/>
  <c r="W159" i="1"/>
  <c r="AG217" i="1"/>
  <c r="W217" i="1" s="1"/>
  <c r="AI216" i="1"/>
  <c r="R38" i="3"/>
  <c r="AG218" i="1"/>
  <c r="AG213" i="1"/>
  <c r="W213" i="1" s="1"/>
  <c r="AI212" i="1"/>
  <c r="AA211" i="1"/>
  <c r="AA210" i="1"/>
  <c r="W210" i="1" s="1"/>
  <c r="AA203" i="1"/>
  <c r="W203" i="1" s="1"/>
  <c r="T200" i="1"/>
  <c r="U198" i="1"/>
  <c r="X196" i="1"/>
  <c r="AG154" i="1"/>
  <c r="X154" i="1"/>
  <c r="AG153" i="1"/>
  <c r="U153" i="1" s="1"/>
  <c r="S153" i="1" s="1"/>
  <c r="AA148" i="1"/>
  <c r="W148" i="1" s="1"/>
  <c r="T148" i="1"/>
  <c r="X144" i="1"/>
  <c r="AA143" i="1"/>
  <c r="W143" i="1" s="1"/>
  <c r="AA140" i="1"/>
  <c r="W140" i="1" s="1"/>
  <c r="AA139" i="1"/>
  <c r="W139" i="1" s="1"/>
  <c r="T136" i="1"/>
  <c r="AA134" i="1"/>
  <c r="AI167" i="1"/>
  <c r="AA124" i="1"/>
  <c r="AA123" i="1"/>
  <c r="AG122" i="1"/>
  <c r="W122" i="1" s="1"/>
  <c r="X122" i="1"/>
  <c r="AI154" i="1"/>
  <c r="AI118" i="1"/>
  <c r="AA116" i="1"/>
  <c r="AA113" i="1"/>
  <c r="W113" i="1" s="1"/>
  <c r="T113" i="1"/>
  <c r="AA108" i="1"/>
  <c r="AG106" i="1"/>
  <c r="AI106" i="1" s="1"/>
  <c r="X106" i="1"/>
  <c r="AA205" i="1"/>
  <c r="W205" i="1" s="1"/>
  <c r="AA104" i="1"/>
  <c r="U193" i="1"/>
  <c r="S193" i="1" s="1"/>
  <c r="T187" i="1"/>
  <c r="T182" i="1"/>
  <c r="AG82" i="1"/>
  <c r="AI82" i="1" s="1"/>
  <c r="X82" i="1"/>
  <c r="X83" i="1"/>
  <c r="T82" i="1"/>
  <c r="X79" i="1"/>
  <c r="AG79" i="1"/>
  <c r="T79" i="1"/>
  <c r="T30" i="1"/>
  <c r="AG30" i="1"/>
  <c r="U30" i="1" s="1"/>
  <c r="X209" i="1"/>
  <c r="AA207" i="1"/>
  <c r="AA206" i="1"/>
  <c r="W201" i="1"/>
  <c r="AA200" i="1"/>
  <c r="W200" i="1" s="1"/>
  <c r="AA150" i="1"/>
  <c r="W150" i="1" s="1"/>
  <c r="AA147" i="1"/>
  <c r="U145" i="1"/>
  <c r="S145" i="1" s="1"/>
  <c r="W141" i="1"/>
  <c r="T134" i="1"/>
  <c r="X134" i="1"/>
  <c r="AG134" i="1"/>
  <c r="AI134" i="1" s="1"/>
  <c r="AA132" i="1"/>
  <c r="W132" i="1" s="1"/>
  <c r="T132" i="1"/>
  <c r="T128" i="1"/>
  <c r="AI159" i="1"/>
  <c r="AA117" i="1"/>
  <c r="T110" i="1"/>
  <c r="U110" i="1" s="1"/>
  <c r="S110" i="1" s="1"/>
  <c r="AA109" i="1"/>
  <c r="U104" i="1"/>
  <c r="S104" i="1" s="1"/>
  <c r="AG99" i="1"/>
  <c r="AI99" i="1" s="1"/>
  <c r="X99" i="1"/>
  <c r="AA188" i="1"/>
  <c r="W182" i="1"/>
  <c r="W94" i="1"/>
  <c r="AG162" i="1"/>
  <c r="W162" i="1" s="1"/>
  <c r="T91" i="1"/>
  <c r="AG91" i="1"/>
  <c r="W91" i="1" s="1"/>
  <c r="T61" i="1"/>
  <c r="AG61" i="1"/>
  <c r="X33" i="1"/>
  <c r="AG33" i="1"/>
  <c r="T33" i="1"/>
  <c r="U33" i="1" s="1"/>
  <c r="S33" i="1" s="1"/>
  <c r="AA186" i="1"/>
  <c r="W181" i="1"/>
  <c r="AA90" i="1"/>
  <c r="W90" i="1" s="1"/>
  <c r="T88" i="1"/>
  <c r="X88" i="1"/>
  <c r="AG88" i="1"/>
  <c r="T84" i="1"/>
  <c r="U84" i="1" s="1"/>
  <c r="S84" i="1" s="1"/>
  <c r="X84" i="1"/>
  <c r="AG84" i="1"/>
  <c r="AA82" i="1"/>
  <c r="W82" i="1" s="1"/>
  <c r="AA80" i="1"/>
  <c r="T69" i="1"/>
  <c r="AG69" i="1"/>
  <c r="X62" i="1"/>
  <c r="AA61" i="1"/>
  <c r="W61" i="1" s="1"/>
  <c r="AI55" i="1"/>
  <c r="T53" i="1"/>
  <c r="AG53" i="1"/>
  <c r="W53" i="1" s="1"/>
  <c r="X48" i="1"/>
  <c r="AG48" i="1"/>
  <c r="W48" i="1"/>
  <c r="T45" i="1"/>
  <c r="X45" i="1"/>
  <c r="AG45" i="1"/>
  <c r="AG43" i="1"/>
  <c r="AI43" i="1" s="1"/>
  <c r="X43" i="1"/>
  <c r="X40" i="1"/>
  <c r="AG40" i="1"/>
  <c r="AA39" i="1"/>
  <c r="W39" i="1" s="1"/>
  <c r="T37" i="1"/>
  <c r="U37" i="1" s="1"/>
  <c r="S37" i="1" s="1"/>
  <c r="X37" i="1"/>
  <c r="AG37" i="1"/>
  <c r="AA32" i="1"/>
  <c r="U28" i="1"/>
  <c r="S28" i="1" s="1"/>
  <c r="W180" i="1"/>
  <c r="X177" i="1"/>
  <c r="AG177" i="1"/>
  <c r="AI177" i="1" s="1"/>
  <c r="X176" i="1"/>
  <c r="AG56" i="1"/>
  <c r="X56" i="1"/>
  <c r="U32" i="1"/>
  <c r="S32" i="1" s="1"/>
  <c r="T20" i="1"/>
  <c r="AG20" i="1"/>
  <c r="AA136" i="1"/>
  <c r="W136" i="1" s="1"/>
  <c r="AA120" i="1"/>
  <c r="W120" i="1" s="1"/>
  <c r="AA118" i="1"/>
  <c r="W118" i="1" s="1"/>
  <c r="AA111" i="1"/>
  <c r="AA204" i="1"/>
  <c r="W204" i="1" s="1"/>
  <c r="AA102" i="1"/>
  <c r="AA191" i="1"/>
  <c r="W191" i="1" s="1"/>
  <c r="AA190" i="1"/>
  <c r="T95" i="1"/>
  <c r="U95" i="1" s="1"/>
  <c r="AA185" i="1"/>
  <c r="AG176" i="1"/>
  <c r="X167" i="1"/>
  <c r="AG166" i="1"/>
  <c r="AG165" i="1"/>
  <c r="W165" i="1" s="1"/>
  <c r="X165" i="1"/>
  <c r="AG161" i="1"/>
  <c r="W161" i="1" s="1"/>
  <c r="T161" i="1"/>
  <c r="AA85" i="1"/>
  <c r="W85" i="1" s="1"/>
  <c r="AA84" i="1"/>
  <c r="W84" i="1" s="1"/>
  <c r="U71" i="1"/>
  <c r="AA71" i="1"/>
  <c r="W71" i="1" s="1"/>
  <c r="AG67" i="1"/>
  <c r="AA62" i="1"/>
  <c r="AA45" i="1"/>
  <c r="W45" i="1" s="1"/>
  <c r="AA44" i="1"/>
  <c r="W44" i="1" s="1"/>
  <c r="AA43" i="1"/>
  <c r="T40" i="1"/>
  <c r="AA37" i="1"/>
  <c r="W28" i="1"/>
  <c r="U24" i="1"/>
  <c r="S24" i="1" s="1"/>
  <c r="AI24" i="1"/>
  <c r="X21" i="1"/>
  <c r="U16" i="1"/>
  <c r="S16" i="1" s="1"/>
  <c r="AI16" i="1"/>
  <c r="W16" i="1"/>
  <c r="AA169" i="1"/>
  <c r="U167" i="1"/>
  <c r="S167" i="1" s="1"/>
  <c r="AA87" i="1"/>
  <c r="W87" i="1" s="1"/>
  <c r="AA77" i="1"/>
  <c r="AA75" i="1"/>
  <c r="W75" i="1" s="1"/>
  <c r="AA68" i="1"/>
  <c r="W68" i="1" s="1"/>
  <c r="AA63" i="1"/>
  <c r="AA60" i="1"/>
  <c r="T60" i="1"/>
  <c r="AA58" i="1"/>
  <c r="AA52" i="1"/>
  <c r="T52" i="1"/>
  <c r="AA50" i="1"/>
  <c r="AA38" i="1"/>
  <c r="W38" i="1" s="1"/>
  <c r="AA36" i="1"/>
  <c r="AA29" i="1"/>
  <c r="W29" i="1" s="1"/>
  <c r="AG25" i="1"/>
  <c r="W25" i="1" s="1"/>
  <c r="W22" i="1"/>
  <c r="AG18" i="1"/>
  <c r="U18" i="1" s="1"/>
  <c r="AA15" i="1"/>
  <c r="AA14" i="1"/>
  <c r="W14" i="1" s="1"/>
  <c r="AA66" i="1"/>
  <c r="U59" i="1"/>
  <c r="S59" i="1" s="1"/>
  <c r="AA51" i="1"/>
  <c r="T39" i="1"/>
  <c r="AA31" i="1"/>
  <c r="AA30" i="1"/>
  <c r="W30" i="1" s="1"/>
  <c r="U26" i="1"/>
  <c r="AG21" i="1"/>
  <c r="W21" i="1" s="1"/>
  <c r="AA17" i="1"/>
  <c r="W17" i="1" s="1"/>
  <c r="AI222" i="1"/>
  <c r="U217" i="1"/>
  <c r="S217" i="1" s="1"/>
  <c r="X216" i="1"/>
  <c r="U213" i="1"/>
  <c r="S213" i="1" s="1"/>
  <c r="X212" i="1"/>
  <c r="U209" i="1"/>
  <c r="S209" i="1" s="1"/>
  <c r="X208" i="1"/>
  <c r="AI204" i="1"/>
  <c r="U201" i="1"/>
  <c r="S201" i="1" s="1"/>
  <c r="U200" i="1"/>
  <c r="S200" i="1" s="1"/>
  <c r="AA194" i="1"/>
  <c r="T159" i="1"/>
  <c r="U159" i="1" s="1"/>
  <c r="S159" i="1" s="1"/>
  <c r="AI188" i="1"/>
  <c r="U152" i="1"/>
  <c r="AA146" i="1"/>
  <c r="T143" i="1"/>
  <c r="U143" i="1" s="1"/>
  <c r="S143" i="1" s="1"/>
  <c r="X143" i="1"/>
  <c r="AI172" i="1"/>
  <c r="U136" i="1"/>
  <c r="S136" i="1" s="1"/>
  <c r="AA130" i="1"/>
  <c r="T127" i="1"/>
  <c r="U127" i="1" s="1"/>
  <c r="S127" i="1" s="1"/>
  <c r="X127" i="1"/>
  <c r="W124" i="1"/>
  <c r="T124" i="1"/>
  <c r="U118" i="1"/>
  <c r="AG117" i="1"/>
  <c r="AI117" i="1" s="1"/>
  <c r="T117" i="1"/>
  <c r="X118" i="1"/>
  <c r="X107" i="1"/>
  <c r="AG107" i="1"/>
  <c r="AI107" i="1" s="1"/>
  <c r="AI138" i="1"/>
  <c r="AG103" i="1"/>
  <c r="X103" i="1"/>
  <c r="T103" i="1"/>
  <c r="X104" i="1"/>
  <c r="T190" i="1"/>
  <c r="X190" i="1"/>
  <c r="AG190" i="1"/>
  <c r="AI190" i="1" s="1"/>
  <c r="X97" i="1"/>
  <c r="AG97" i="1"/>
  <c r="W189" i="1"/>
  <c r="U221" i="1"/>
  <c r="S221" i="1" s="1"/>
  <c r="U218" i="1"/>
  <c r="S218" i="1" s="1"/>
  <c r="U214" i="1"/>
  <c r="S214" i="1" s="1"/>
  <c r="U210" i="1"/>
  <c r="S210" i="1" s="1"/>
  <c r="T195" i="1"/>
  <c r="X195" i="1"/>
  <c r="T194" i="1"/>
  <c r="AI192" i="1"/>
  <c r="T147" i="1"/>
  <c r="X147" i="1"/>
  <c r="T146" i="1"/>
  <c r="AI176" i="1"/>
  <c r="U141" i="1"/>
  <c r="S141" i="1" s="1"/>
  <c r="T131" i="1"/>
  <c r="X131" i="1"/>
  <c r="T130" i="1"/>
  <c r="U124" i="1"/>
  <c r="S124" i="1" s="1"/>
  <c r="T116" i="1"/>
  <c r="X116" i="1"/>
  <c r="AG116" i="1"/>
  <c r="AI116" i="1" s="1"/>
  <c r="AI124" i="1"/>
  <c r="U188" i="1"/>
  <c r="S188" i="1" s="1"/>
  <c r="X222" i="1"/>
  <c r="T222" i="1"/>
  <c r="U222" i="1" s="1"/>
  <c r="S222" i="1" s="1"/>
  <c r="AI221" i="1"/>
  <c r="AG219" i="1"/>
  <c r="X218" i="1"/>
  <c r="AI217" i="1"/>
  <c r="AG215" i="1"/>
  <c r="W215" i="1" s="1"/>
  <c r="X214" i="1"/>
  <c r="AI213" i="1"/>
  <c r="AG211" i="1"/>
  <c r="X210" i="1"/>
  <c r="AI209" i="1"/>
  <c r="AG207" i="1"/>
  <c r="X206" i="1"/>
  <c r="AI205" i="1"/>
  <c r="AA202" i="1"/>
  <c r="W202" i="1" s="1"/>
  <c r="U202" i="1"/>
  <c r="S202" i="1" s="1"/>
  <c r="AI203" i="1"/>
  <c r="X200" i="1"/>
  <c r="T199" i="1"/>
  <c r="U199" i="1" s="1"/>
  <c r="S199" i="1" s="1"/>
  <c r="X199" i="1"/>
  <c r="AG195" i="1"/>
  <c r="AI195" i="1" s="1"/>
  <c r="AG194" i="1"/>
  <c r="AI194" i="1" s="1"/>
  <c r="X157" i="1"/>
  <c r="T156" i="1"/>
  <c r="U156" i="1" s="1"/>
  <c r="S156" i="1" s="1"/>
  <c r="AI189" i="1"/>
  <c r="AA154" i="1"/>
  <c r="W154" i="1" s="1"/>
  <c r="U154" i="1"/>
  <c r="S154" i="1" s="1"/>
  <c r="AI187" i="1"/>
  <c r="X152" i="1"/>
  <c r="S152" i="1"/>
  <c r="T151" i="1"/>
  <c r="U151" i="1" s="1"/>
  <c r="S151" i="1" s="1"/>
  <c r="X151" i="1"/>
  <c r="AG147" i="1"/>
  <c r="AI147" i="1" s="1"/>
  <c r="AG146" i="1"/>
  <c r="AI146" i="1" s="1"/>
  <c r="X141" i="1"/>
  <c r="T140" i="1"/>
  <c r="U140" i="1" s="1"/>
  <c r="S140" i="1" s="1"/>
  <c r="AI173" i="1"/>
  <c r="AA138" i="1"/>
  <c r="W138" i="1" s="1"/>
  <c r="U138" i="1"/>
  <c r="S138" i="1" s="1"/>
  <c r="AI171" i="1"/>
  <c r="X136" i="1"/>
  <c r="T135" i="1"/>
  <c r="U135" i="1" s="1"/>
  <c r="S135" i="1" s="1"/>
  <c r="X135" i="1"/>
  <c r="AG131" i="1"/>
  <c r="W131" i="1" s="1"/>
  <c r="AG130" i="1"/>
  <c r="AI130" i="1" s="1"/>
  <c r="U128" i="1"/>
  <c r="S128" i="1" s="1"/>
  <c r="X125" i="1"/>
  <c r="X124" i="1"/>
  <c r="AI155" i="1"/>
  <c r="S118" i="1"/>
  <c r="X115" i="1"/>
  <c r="AG115" i="1"/>
  <c r="W111" i="1"/>
  <c r="U111" i="1"/>
  <c r="S111" i="1" s="1"/>
  <c r="AG109" i="1"/>
  <c r="T109" i="1"/>
  <c r="X110" i="1"/>
  <c r="T107" i="1"/>
  <c r="T97" i="1"/>
  <c r="AG186" i="1"/>
  <c r="X186" i="1"/>
  <c r="T186" i="1"/>
  <c r="X187" i="1"/>
  <c r="U183" i="1"/>
  <c r="S183" i="1" s="1"/>
  <c r="X219" i="1"/>
  <c r="AI218" i="1"/>
  <c r="X215" i="1"/>
  <c r="AI214" i="1"/>
  <c r="X211" i="1"/>
  <c r="AI210" i="1"/>
  <c r="X207" i="1"/>
  <c r="T203" i="1"/>
  <c r="U203" i="1" s="1"/>
  <c r="S203" i="1" s="1"/>
  <c r="X203" i="1"/>
  <c r="AI200" i="1"/>
  <c r="U196" i="1"/>
  <c r="S196" i="1" s="1"/>
  <c r="AA158" i="1"/>
  <c r="W158" i="1" s="1"/>
  <c r="U158" i="1"/>
  <c r="S158" i="1" s="1"/>
  <c r="AI191" i="1"/>
  <c r="X156" i="1"/>
  <c r="T155" i="1"/>
  <c r="U155" i="1" s="1"/>
  <c r="S155" i="1" s="1"/>
  <c r="X155" i="1"/>
  <c r="U148" i="1"/>
  <c r="S148" i="1" s="1"/>
  <c r="AA142" i="1"/>
  <c r="W142" i="1" s="1"/>
  <c r="U142" i="1"/>
  <c r="S142" i="1" s="1"/>
  <c r="X140" i="1"/>
  <c r="T139" i="1"/>
  <c r="U139" i="1" s="1"/>
  <c r="X139" i="1"/>
  <c r="AI168" i="1"/>
  <c r="U132" i="1"/>
  <c r="S132" i="1" s="1"/>
  <c r="AA126" i="1"/>
  <c r="W126" i="1" s="1"/>
  <c r="U126" i="1"/>
  <c r="S126" i="1" s="1"/>
  <c r="AI156" i="1"/>
  <c r="T108" i="1"/>
  <c r="X108" i="1"/>
  <c r="AG108" i="1"/>
  <c r="AI139" i="1"/>
  <c r="U204" i="1"/>
  <c r="S204" i="1" s="1"/>
  <c r="W104" i="1"/>
  <c r="W103" i="1"/>
  <c r="W190" i="1"/>
  <c r="U187" i="1"/>
  <c r="S187" i="1" s="1"/>
  <c r="U122" i="1"/>
  <c r="S122" i="1" s="1"/>
  <c r="U121" i="1"/>
  <c r="S121" i="1" s="1"/>
  <c r="AA115" i="1"/>
  <c r="T112" i="1"/>
  <c r="U112" i="1" s="1"/>
  <c r="S112" i="1" s="1"/>
  <c r="X112" i="1"/>
  <c r="U105" i="1"/>
  <c r="S105" i="1" s="1"/>
  <c r="AA101" i="1"/>
  <c r="T98" i="1"/>
  <c r="U98" i="1" s="1"/>
  <c r="S98" i="1" s="1"/>
  <c r="X98" i="1"/>
  <c r="U96" i="1"/>
  <c r="AA184" i="1"/>
  <c r="T181" i="1"/>
  <c r="X181" i="1"/>
  <c r="T178" i="1"/>
  <c r="X178" i="1"/>
  <c r="AA177" i="1"/>
  <c r="W177" i="1" s="1"/>
  <c r="AA171" i="1"/>
  <c r="W171" i="1" s="1"/>
  <c r="AI103" i="1"/>
  <c r="AG169" i="1"/>
  <c r="AI169" i="1" s="1"/>
  <c r="X169" i="1"/>
  <c r="T169" i="1"/>
  <c r="X93" i="1"/>
  <c r="AA89" i="1"/>
  <c r="W89" i="1" s="1"/>
  <c r="AI87" i="1"/>
  <c r="AG86" i="1"/>
  <c r="X86" i="1"/>
  <c r="T86" i="1"/>
  <c r="X87" i="1"/>
  <c r="AA73" i="1"/>
  <c r="W73" i="1" s="1"/>
  <c r="S71" i="1"/>
  <c r="AI71" i="1"/>
  <c r="AG70" i="1"/>
  <c r="T70" i="1"/>
  <c r="X70" i="1"/>
  <c r="X71" i="1"/>
  <c r="T102" i="1"/>
  <c r="X102" i="1"/>
  <c r="T101" i="1"/>
  <c r="W188" i="1"/>
  <c r="T185" i="1"/>
  <c r="X185" i="1"/>
  <c r="T184" i="1"/>
  <c r="T179" i="1"/>
  <c r="X179" i="1"/>
  <c r="AG179" i="1"/>
  <c r="AI179" i="1" s="1"/>
  <c r="AI112" i="1"/>
  <c r="U69" i="1"/>
  <c r="S69" i="1" s="1"/>
  <c r="AI69" i="1"/>
  <c r="T54" i="1"/>
  <c r="X54" i="1"/>
  <c r="AG54" i="1"/>
  <c r="X55" i="1"/>
  <c r="X123" i="1"/>
  <c r="AI158" i="1"/>
  <c r="X121" i="1"/>
  <c r="T120" i="1"/>
  <c r="U120" i="1" s="1"/>
  <c r="S120" i="1" s="1"/>
  <c r="X120" i="1"/>
  <c r="U113" i="1"/>
  <c r="S113" i="1" s="1"/>
  <c r="AA107" i="1"/>
  <c r="W107" i="1" s="1"/>
  <c r="AI142" i="1"/>
  <c r="X105" i="1"/>
  <c r="T205" i="1"/>
  <c r="U205" i="1" s="1"/>
  <c r="S205" i="1" s="1"/>
  <c r="X205" i="1"/>
  <c r="AG102" i="1"/>
  <c r="AG101" i="1"/>
  <c r="AI101" i="1" s="1"/>
  <c r="U99" i="1"/>
  <c r="S99" i="1" s="1"/>
  <c r="X192" i="1"/>
  <c r="T191" i="1"/>
  <c r="U191" i="1" s="1"/>
  <c r="S191" i="1" s="1"/>
  <c r="AA97" i="1"/>
  <c r="W97" i="1" s="1"/>
  <c r="AI126" i="1"/>
  <c r="X95" i="1"/>
  <c r="T189" i="1"/>
  <c r="U189" i="1" s="1"/>
  <c r="S189" i="1" s="1"/>
  <c r="X189" i="1"/>
  <c r="AG185" i="1"/>
  <c r="AG184" i="1"/>
  <c r="AI184" i="1" s="1"/>
  <c r="U182" i="1"/>
  <c r="S182" i="1" s="1"/>
  <c r="U178" i="1"/>
  <c r="S178" i="1" s="1"/>
  <c r="AI111" i="1"/>
  <c r="X174" i="1"/>
  <c r="AG174" i="1"/>
  <c r="AI174" i="1" s="1"/>
  <c r="AI105" i="1"/>
  <c r="X92" i="1"/>
  <c r="AG92" i="1"/>
  <c r="AI89" i="1"/>
  <c r="X76" i="1"/>
  <c r="AG76" i="1"/>
  <c r="AI73" i="1"/>
  <c r="AG64" i="1"/>
  <c r="T64" i="1"/>
  <c r="X64" i="1"/>
  <c r="W63" i="1"/>
  <c r="U181" i="1"/>
  <c r="S181" i="1" s="1"/>
  <c r="S180" i="1"/>
  <c r="AI115" i="1"/>
  <c r="X94" i="1"/>
  <c r="W178" i="1"/>
  <c r="T175" i="1"/>
  <c r="X175" i="1"/>
  <c r="AG175" i="1"/>
  <c r="W175" i="1" s="1"/>
  <c r="AI104" i="1"/>
  <c r="U170" i="1"/>
  <c r="S170" i="1" s="1"/>
  <c r="T160" i="1"/>
  <c r="AG160" i="1"/>
  <c r="W160" i="1" s="1"/>
  <c r="AI88" i="1"/>
  <c r="U88" i="1"/>
  <c r="S88" i="1" s="1"/>
  <c r="T77" i="1"/>
  <c r="X77" i="1"/>
  <c r="AG77" i="1"/>
  <c r="AI72" i="1"/>
  <c r="U72" i="1"/>
  <c r="S72" i="1" s="1"/>
  <c r="U63" i="1"/>
  <c r="S63" i="1" s="1"/>
  <c r="AI63" i="1"/>
  <c r="T58" i="1"/>
  <c r="X58" i="1"/>
  <c r="AG58" i="1"/>
  <c r="X59" i="1"/>
  <c r="AI50" i="1"/>
  <c r="W50" i="1"/>
  <c r="U173" i="1"/>
  <c r="S173" i="1" s="1"/>
  <c r="T164" i="1"/>
  <c r="X164" i="1"/>
  <c r="T163" i="1"/>
  <c r="U91" i="1"/>
  <c r="S91" i="1" s="1"/>
  <c r="T81" i="1"/>
  <c r="X81" i="1"/>
  <c r="T80" i="1"/>
  <c r="U75" i="1"/>
  <c r="S75" i="1" s="1"/>
  <c r="AI68" i="1"/>
  <c r="U68" i="1"/>
  <c r="S68" i="1" s="1"/>
  <c r="AI57" i="1"/>
  <c r="AG51" i="1"/>
  <c r="W51" i="1" s="1"/>
  <c r="X51" i="1"/>
  <c r="T51" i="1"/>
  <c r="X173" i="1"/>
  <c r="T172" i="1"/>
  <c r="U172" i="1" s="1"/>
  <c r="S172" i="1" s="1"/>
  <c r="AA170" i="1"/>
  <c r="W170" i="1" s="1"/>
  <c r="T168" i="1"/>
  <c r="U168" i="1" s="1"/>
  <c r="S168" i="1" s="1"/>
  <c r="X168" i="1"/>
  <c r="AG164" i="1"/>
  <c r="AG163" i="1"/>
  <c r="AI163" i="1" s="1"/>
  <c r="U161" i="1"/>
  <c r="S161" i="1" s="1"/>
  <c r="X91" i="1"/>
  <c r="T90" i="1"/>
  <c r="U90" i="1" s="1"/>
  <c r="S90" i="1" s="1"/>
  <c r="AA88" i="1"/>
  <c r="W88" i="1" s="1"/>
  <c r="T85" i="1"/>
  <c r="U85" i="1" s="1"/>
  <c r="S85" i="1" s="1"/>
  <c r="X85" i="1"/>
  <c r="AG81" i="1"/>
  <c r="W81" i="1" s="1"/>
  <c r="AG80" i="1"/>
  <c r="U78" i="1"/>
  <c r="S78" i="1" s="1"/>
  <c r="X75" i="1"/>
  <c r="T74" i="1"/>
  <c r="U74" i="1" s="1"/>
  <c r="S74" i="1" s="1"/>
  <c r="AA72" i="1"/>
  <c r="W72" i="1" s="1"/>
  <c r="X68" i="1"/>
  <c r="AG62" i="1"/>
  <c r="W62" i="1" s="1"/>
  <c r="X63" i="1"/>
  <c r="W60" i="1"/>
  <c r="U57" i="1"/>
  <c r="S57" i="1" s="1"/>
  <c r="W56" i="1"/>
  <c r="W52" i="1"/>
  <c r="T42" i="1"/>
  <c r="X42" i="1"/>
  <c r="AG42" i="1"/>
  <c r="X41" i="1"/>
  <c r="AG41" i="1"/>
  <c r="AI38" i="1"/>
  <c r="AI37" i="1"/>
  <c r="W36" i="1"/>
  <c r="AI34" i="1"/>
  <c r="AA174" i="1"/>
  <c r="W174" i="1" s="1"/>
  <c r="X172" i="1"/>
  <c r="T171" i="1"/>
  <c r="U171" i="1" s="1"/>
  <c r="S171" i="1" s="1"/>
  <c r="X171" i="1"/>
  <c r="AI100" i="1"/>
  <c r="U165" i="1"/>
  <c r="S165" i="1" s="1"/>
  <c r="AA92" i="1"/>
  <c r="AI91" i="1"/>
  <c r="X90" i="1"/>
  <c r="T89" i="1"/>
  <c r="U89" i="1" s="1"/>
  <c r="S89" i="1" s="1"/>
  <c r="X89" i="1"/>
  <c r="AI84" i="1"/>
  <c r="U82" i="1"/>
  <c r="S82" i="1" s="1"/>
  <c r="AA76" i="1"/>
  <c r="AI75" i="1"/>
  <c r="X74" i="1"/>
  <c r="T73" i="1"/>
  <c r="U73" i="1" s="1"/>
  <c r="S73" i="1" s="1"/>
  <c r="X73" i="1"/>
  <c r="W70" i="1"/>
  <c r="AG66" i="1"/>
  <c r="X67" i="1"/>
  <c r="AI60" i="1"/>
  <c r="U60" i="1"/>
  <c r="S60" i="1" s="1"/>
  <c r="AI56" i="1"/>
  <c r="U56" i="1"/>
  <c r="S56" i="1" s="1"/>
  <c r="W54" i="1"/>
  <c r="AI52" i="1"/>
  <c r="U52" i="1"/>
  <c r="S52" i="1" s="1"/>
  <c r="AI36" i="1"/>
  <c r="AG35" i="1"/>
  <c r="X35" i="1"/>
  <c r="T35" i="1"/>
  <c r="X36" i="1"/>
  <c r="AG49" i="1"/>
  <c r="X49" i="1"/>
  <c r="U48" i="1"/>
  <c r="S48" i="1" s="1"/>
  <c r="U47" i="1"/>
  <c r="S47" i="1" s="1"/>
  <c r="X44" i="1"/>
  <c r="T43" i="1"/>
  <c r="U43" i="1" s="1"/>
  <c r="S43" i="1" s="1"/>
  <c r="AA41" i="1"/>
  <c r="T38" i="1"/>
  <c r="U38" i="1" s="1"/>
  <c r="S38" i="1" s="1"/>
  <c r="X38" i="1"/>
  <c r="AI33" i="1"/>
  <c r="X69" i="1"/>
  <c r="X65" i="1"/>
  <c r="X61" i="1"/>
  <c r="X57" i="1"/>
  <c r="X53" i="1"/>
  <c r="AA49" i="1"/>
  <c r="AI48" i="1"/>
  <c r="X47" i="1"/>
  <c r="T46" i="1"/>
  <c r="U46" i="1" s="1"/>
  <c r="S46" i="1" s="1"/>
  <c r="X46" i="1"/>
  <c r="U39" i="1"/>
  <c r="S39" i="1" s="1"/>
  <c r="AA33" i="1"/>
  <c r="W33" i="1" s="1"/>
  <c r="T31" i="1"/>
  <c r="X31" i="1"/>
  <c r="AG31" i="1"/>
  <c r="T27" i="1"/>
  <c r="X27" i="1"/>
  <c r="AG27" i="1"/>
  <c r="W27" i="1" s="1"/>
  <c r="X28" i="1"/>
  <c r="T23" i="1"/>
  <c r="X23" i="1"/>
  <c r="AG23" i="1"/>
  <c r="X24" i="1"/>
  <c r="T19" i="1"/>
  <c r="X19" i="1"/>
  <c r="AG19" i="1"/>
  <c r="W19" i="1" s="1"/>
  <c r="X20" i="1"/>
  <c r="T15" i="1"/>
  <c r="X15" i="1"/>
  <c r="AG15" i="1"/>
  <c r="X16" i="1"/>
  <c r="T50" i="1"/>
  <c r="U50" i="1" s="1"/>
  <c r="S50" i="1" s="1"/>
  <c r="X50" i="1"/>
  <c r="AI45" i="1"/>
  <c r="W37" i="1"/>
  <c r="T34" i="1"/>
  <c r="U34" i="1" s="1"/>
  <c r="S34" i="1" s="1"/>
  <c r="X34" i="1"/>
  <c r="S30" i="1"/>
  <c r="AI30" i="1"/>
  <c r="S26" i="1"/>
  <c r="AI26" i="1"/>
  <c r="S22" i="1"/>
  <c r="AI22" i="1"/>
  <c r="S18" i="1"/>
  <c r="AI18" i="1"/>
  <c r="S14" i="1"/>
  <c r="AI14" i="1"/>
  <c r="U29" i="1"/>
  <c r="S29" i="1" s="1"/>
  <c r="U25" i="1"/>
  <c r="S25" i="1" s="1"/>
  <c r="U21" i="1"/>
  <c r="S21" i="1" s="1"/>
  <c r="U17" i="1"/>
  <c r="S17" i="1" s="1"/>
  <c r="X30" i="1"/>
  <c r="AI29" i="1"/>
  <c r="X26" i="1"/>
  <c r="AI25" i="1"/>
  <c r="X22" i="1"/>
  <c r="X18" i="1"/>
  <c r="AI17" i="1"/>
  <c r="AE11" i="3"/>
  <c r="Y21" i="3"/>
  <c r="AD13" i="3"/>
  <c r="Y22" i="3"/>
  <c r="AD9" i="3"/>
  <c r="Y36" i="3"/>
  <c r="AC11" i="3"/>
  <c r="Y15" i="3"/>
  <c r="T23" i="3"/>
  <c r="AE31" i="3"/>
  <c r="AE27" i="3"/>
  <c r="AD23" i="3"/>
  <c r="T8" i="3"/>
  <c r="Y25" i="3"/>
  <c r="AE15" i="3"/>
  <c r="Y17" i="3"/>
  <c r="AD12" i="3"/>
  <c r="Y18" i="3"/>
  <c r="AD25" i="3"/>
  <c r="AD15" i="3"/>
  <c r="AD36" i="3"/>
  <c r="AD31" i="3"/>
  <c r="AD27" i="3"/>
  <c r="AC24" i="3"/>
  <c r="AE23" i="3"/>
  <c r="Y20" i="3"/>
  <c r="AD16" i="3"/>
  <c r="AD11" i="3"/>
  <c r="AC38" i="3"/>
  <c r="T28" i="3"/>
  <c r="T7" i="3"/>
  <c r="Y23" i="3"/>
  <c r="T16" i="3"/>
  <c r="Y34" i="3"/>
  <c r="AC9" i="3"/>
  <c r="Y16" i="3"/>
  <c r="Y28" i="3"/>
  <c r="AD20" i="3"/>
  <c r="Y19" i="3"/>
  <c r="AC30" i="3"/>
  <c r="Y7" i="3"/>
  <c r="AE34" i="3"/>
  <c r="AE26" i="3"/>
  <c r="T27" i="3"/>
  <c r="AE14" i="3"/>
  <c r="T17" i="3"/>
  <c r="AE10" i="3"/>
  <c r="T18" i="3"/>
  <c r="AE38" i="3"/>
  <c r="T29" i="3"/>
  <c r="T32" i="3"/>
  <c r="AE22" i="3"/>
  <c r="T15" i="3"/>
  <c r="AE33" i="3"/>
  <c r="T9" i="3"/>
  <c r="AD22" i="3"/>
  <c r="AE21" i="3"/>
  <c r="T26" i="3"/>
  <c r="AD18" i="3"/>
  <c r="AE17" i="3"/>
  <c r="T25" i="3"/>
  <c r="AD14" i="3"/>
  <c r="AE13" i="3"/>
  <c r="T30" i="3"/>
  <c r="AD10" i="3"/>
  <c r="AE9" i="3"/>
  <c r="T38" i="3"/>
  <c r="T13" i="3"/>
  <c r="AE30" i="3"/>
  <c r="Y31" i="3"/>
  <c r="AE18" i="3"/>
  <c r="T14" i="3"/>
  <c r="AD38" i="3"/>
  <c r="AE37" i="3"/>
  <c r="T36" i="3"/>
  <c r="AD34" i="3"/>
  <c r="AD30" i="3"/>
  <c r="AE29" i="3"/>
  <c r="T31" i="3"/>
  <c r="AD26" i="3"/>
  <c r="AE25" i="3"/>
  <c r="T24" i="3"/>
  <c r="AE36" i="3"/>
  <c r="AE32" i="3"/>
  <c r="AE28" i="3"/>
  <c r="AE24" i="3"/>
  <c r="AE20" i="3"/>
  <c r="AE16" i="3"/>
  <c r="AE12" i="3"/>
  <c r="AE8" i="3"/>
  <c r="B87" i="9"/>
  <c r="C87" i="9" s="1"/>
  <c r="B88" i="9"/>
  <c r="C88" i="9"/>
  <c r="B89" i="9"/>
  <c r="C89" i="9" s="1"/>
  <c r="B90" i="9"/>
  <c r="C90" i="9"/>
  <c r="B91" i="9"/>
  <c r="C91" i="9" s="1"/>
  <c r="B92" i="9"/>
  <c r="C92" i="9"/>
  <c r="B93" i="9"/>
  <c r="C93" i="9" s="1"/>
  <c r="B94" i="9"/>
  <c r="C94" i="9"/>
  <c r="B95" i="9"/>
  <c r="C95" i="9" s="1"/>
  <c r="B96" i="9"/>
  <c r="C96" i="9"/>
  <c r="B97" i="9"/>
  <c r="C97" i="9" s="1"/>
  <c r="B98" i="9"/>
  <c r="C98" i="9"/>
  <c r="B99" i="9"/>
  <c r="C99" i="9" s="1"/>
  <c r="B100" i="9"/>
  <c r="C100" i="9"/>
  <c r="B101" i="9"/>
  <c r="C101" i="9" s="1"/>
  <c r="B102" i="9"/>
  <c r="C102" i="9"/>
  <c r="B103" i="9"/>
  <c r="C103" i="9" s="1"/>
  <c r="B104" i="9"/>
  <c r="C104" i="9"/>
  <c r="B105" i="9"/>
  <c r="C105" i="9" s="1"/>
  <c r="B106" i="9"/>
  <c r="C106" i="9"/>
  <c r="B107" i="9"/>
  <c r="C107" i="9" s="1"/>
  <c r="B108" i="9"/>
  <c r="C108" i="9"/>
  <c r="B109" i="9"/>
  <c r="C109" i="9" s="1"/>
  <c r="B110" i="9"/>
  <c r="C110" i="9"/>
  <c r="B111" i="9"/>
  <c r="C111" i="9" s="1"/>
  <c r="B112" i="9"/>
  <c r="C112" i="9"/>
  <c r="B113" i="9"/>
  <c r="C113" i="9" s="1"/>
  <c r="B114" i="9"/>
  <c r="C114" i="9"/>
  <c r="B115" i="9"/>
  <c r="C115" i="9" s="1"/>
  <c r="B116" i="9"/>
  <c r="C116" i="9"/>
  <c r="B117" i="9"/>
  <c r="C117" i="9" s="1"/>
  <c r="B118" i="9"/>
  <c r="C118" i="9"/>
  <c r="B119" i="9"/>
  <c r="C119" i="9" s="1"/>
  <c r="B120" i="9"/>
  <c r="C120" i="9"/>
  <c r="B121" i="9"/>
  <c r="C121" i="9" s="1"/>
  <c r="B122" i="9"/>
  <c r="C122" i="9"/>
  <c r="B123" i="9"/>
  <c r="C123" i="9" s="1"/>
  <c r="B124" i="9"/>
  <c r="C124" i="9"/>
  <c r="B125" i="9"/>
  <c r="C125" i="9" s="1"/>
  <c r="B126" i="9"/>
  <c r="C126" i="9"/>
  <c r="B127" i="9"/>
  <c r="C127" i="9" s="1"/>
  <c r="B128" i="9"/>
  <c r="C128" i="9"/>
  <c r="B129" i="9"/>
  <c r="C129" i="9" s="1"/>
  <c r="B130" i="9"/>
  <c r="C130" i="9"/>
  <c r="B131" i="9"/>
  <c r="C131" i="9" s="1"/>
  <c r="B132" i="9"/>
  <c r="C132" i="9"/>
  <c r="B133" i="9"/>
  <c r="C133" i="9" s="1"/>
  <c r="B134" i="9"/>
  <c r="C134" i="9"/>
  <c r="B135" i="9"/>
  <c r="C135" i="9" s="1"/>
  <c r="B136" i="9"/>
  <c r="C136" i="9"/>
  <c r="B137" i="9"/>
  <c r="C137" i="9" s="1"/>
  <c r="B138" i="9"/>
  <c r="C138" i="9"/>
  <c r="B139" i="9"/>
  <c r="C139" i="9" s="1"/>
  <c r="B140" i="9"/>
  <c r="C140" i="9"/>
  <c r="B141" i="9"/>
  <c r="C141" i="9" s="1"/>
  <c r="B142" i="9"/>
  <c r="C142" i="9"/>
  <c r="B143" i="9"/>
  <c r="C143" i="9" s="1"/>
  <c r="B144" i="9"/>
  <c r="C144" i="9"/>
  <c r="B145" i="9"/>
  <c r="C145" i="9" s="1"/>
  <c r="B146" i="9"/>
  <c r="C146" i="9"/>
  <c r="AI206" i="1" l="1"/>
  <c r="U125" i="1"/>
  <c r="S125" i="1" s="1"/>
  <c r="U137" i="1"/>
  <c r="S137" i="1" s="1"/>
  <c r="W32" i="1"/>
  <c r="W83" i="1"/>
  <c r="W123" i="1"/>
  <c r="W133" i="1"/>
  <c r="AI21" i="1"/>
  <c r="U53" i="1"/>
  <c r="S53" i="1" s="1"/>
  <c r="W80" i="1"/>
  <c r="W64" i="1"/>
  <c r="W117" i="1"/>
  <c r="S198" i="1"/>
  <c r="AI122" i="1"/>
  <c r="AI123" i="1"/>
  <c r="U123" i="1"/>
  <c r="S123" i="1" s="1"/>
  <c r="W206" i="1"/>
  <c r="AI83" i="1"/>
  <c r="U65" i="1"/>
  <c r="S65" i="1" s="1"/>
  <c r="AI53" i="1"/>
  <c r="W58" i="1"/>
  <c r="W169" i="1"/>
  <c r="U106" i="1"/>
  <c r="S106" i="1" s="1"/>
  <c r="AI133" i="1"/>
  <c r="W218" i="1"/>
  <c r="W198" i="1"/>
  <c r="W49" i="1"/>
  <c r="W43" i="1"/>
  <c r="U93" i="1"/>
  <c r="S93" i="1" s="1"/>
  <c r="W153" i="1"/>
  <c r="W65" i="1"/>
  <c r="W167" i="1"/>
  <c r="W59" i="1"/>
  <c r="U134" i="1"/>
  <c r="S134" i="1" s="1"/>
  <c r="W93" i="1"/>
  <c r="W96" i="1"/>
  <c r="AI160" i="1"/>
  <c r="U176" i="1"/>
  <c r="S176" i="1" s="1"/>
  <c r="U20" i="1"/>
  <c r="S20" i="1" s="1"/>
  <c r="AI20" i="1"/>
  <c r="AI61" i="1"/>
  <c r="U79" i="1"/>
  <c r="S79" i="1" s="1"/>
  <c r="AI79" i="1"/>
  <c r="U220" i="1"/>
  <c r="S220" i="1" s="1"/>
  <c r="AI220" i="1"/>
  <c r="AI161" i="1"/>
  <c r="W185" i="1"/>
  <c r="AI185" i="1"/>
  <c r="AI131" i="1"/>
  <c r="AI175" i="1"/>
  <c r="AI67" i="1"/>
  <c r="U67" i="1"/>
  <c r="S67" i="1" s="1"/>
  <c r="U40" i="1"/>
  <c r="S40" i="1" s="1"/>
  <c r="AI40" i="1"/>
  <c r="U61" i="1"/>
  <c r="S61" i="1" s="1"/>
  <c r="U119" i="1"/>
  <c r="S119" i="1" s="1"/>
  <c r="U208" i="1"/>
  <c r="S208" i="1" s="1"/>
  <c r="AI208" i="1"/>
  <c r="W125" i="1"/>
  <c r="W99" i="1"/>
  <c r="W184" i="1"/>
  <c r="W186" i="1"/>
  <c r="AI186" i="1"/>
  <c r="U166" i="1"/>
  <c r="S166" i="1" s="1"/>
  <c r="AI166" i="1"/>
  <c r="W67" i="1"/>
  <c r="U177" i="1"/>
  <c r="S177" i="1" s="1"/>
  <c r="W134" i="1"/>
  <c r="U150" i="1"/>
  <c r="S150" i="1" s="1"/>
  <c r="W79" i="1"/>
  <c r="W176" i="1"/>
  <c r="W106" i="1"/>
  <c r="W40" i="1"/>
  <c r="W41" i="1"/>
  <c r="W18" i="1"/>
  <c r="U45" i="1"/>
  <c r="S45" i="1" s="1"/>
  <c r="U162" i="1"/>
  <c r="S162" i="1" s="1"/>
  <c r="AI162" i="1"/>
  <c r="W20" i="1"/>
  <c r="W166" i="1"/>
  <c r="W208" i="1"/>
  <c r="U164" i="1"/>
  <c r="S164" i="1" s="1"/>
  <c r="AI97" i="1"/>
  <c r="S194" i="1"/>
  <c r="AI196" i="1"/>
  <c r="U194" i="1"/>
  <c r="U207" i="1"/>
  <c r="S207" i="1"/>
  <c r="AI207" i="1"/>
  <c r="U117" i="1"/>
  <c r="S117" i="1" s="1"/>
  <c r="AI153" i="1"/>
  <c r="S64" i="1"/>
  <c r="AI64" i="1"/>
  <c r="U64" i="1"/>
  <c r="AI76" i="1"/>
  <c r="U76" i="1"/>
  <c r="S76" i="1" s="1"/>
  <c r="AI135" i="1"/>
  <c r="U101" i="1"/>
  <c r="S101" i="1" s="1"/>
  <c r="U179" i="1"/>
  <c r="S179" i="1" s="1"/>
  <c r="AI113" i="1"/>
  <c r="U70" i="1"/>
  <c r="S70" i="1" s="1"/>
  <c r="AI70" i="1"/>
  <c r="U86" i="1"/>
  <c r="S86" i="1" s="1"/>
  <c r="AI86" i="1"/>
  <c r="U169" i="1"/>
  <c r="S169" i="1" s="1"/>
  <c r="AI102" i="1"/>
  <c r="W101" i="1"/>
  <c r="U109" i="1"/>
  <c r="S109" i="1" s="1"/>
  <c r="AI145" i="1"/>
  <c r="U131" i="1"/>
  <c r="S131" i="1" s="1"/>
  <c r="AI165" i="1"/>
  <c r="U195" i="1"/>
  <c r="S195" i="1" s="1"/>
  <c r="AI197" i="1"/>
  <c r="U219" i="1"/>
  <c r="S219" i="1" s="1"/>
  <c r="AI219" i="1"/>
  <c r="W109" i="1"/>
  <c r="W179" i="1"/>
  <c r="AI128" i="1"/>
  <c r="U190" i="1"/>
  <c r="S190" i="1" s="1"/>
  <c r="W130" i="1"/>
  <c r="W207" i="1"/>
  <c r="U15" i="1"/>
  <c r="S15" i="1" s="1"/>
  <c r="AI15" i="1"/>
  <c r="U19" i="1"/>
  <c r="S19" i="1" s="1"/>
  <c r="AI19" i="1"/>
  <c r="U23" i="1"/>
  <c r="S23" i="1" s="1"/>
  <c r="AI23" i="1"/>
  <c r="U27" i="1"/>
  <c r="S27" i="1" s="1"/>
  <c r="AI27" i="1"/>
  <c r="AI92" i="1"/>
  <c r="U92" i="1"/>
  <c r="S92" i="1" s="1"/>
  <c r="AI144" i="1"/>
  <c r="U108" i="1"/>
  <c r="S108" i="1" s="1"/>
  <c r="W108" i="1"/>
  <c r="AI151" i="1"/>
  <c r="U115" i="1"/>
  <c r="S115" i="1" s="1"/>
  <c r="AI164" i="1"/>
  <c r="U130" i="1"/>
  <c r="S130" i="1" s="1"/>
  <c r="W15" i="1"/>
  <c r="U62" i="1"/>
  <c r="S62" i="1" s="1"/>
  <c r="AI62" i="1"/>
  <c r="U58" i="1"/>
  <c r="S58" i="1" s="1"/>
  <c r="AI58" i="1"/>
  <c r="W76" i="1"/>
  <c r="W23" i="1"/>
  <c r="AI41" i="1"/>
  <c r="U41" i="1"/>
  <c r="S41" i="1" s="1"/>
  <c r="AI80" i="1"/>
  <c r="U80" i="1"/>
  <c r="S80" i="1" s="1"/>
  <c r="U51" i="1"/>
  <c r="S51" i="1" s="1"/>
  <c r="AI51" i="1"/>
  <c r="W164" i="1"/>
  <c r="AI119" i="1"/>
  <c r="U184" i="1"/>
  <c r="S184" i="1" s="1"/>
  <c r="U102" i="1"/>
  <c r="S102" i="1" s="1"/>
  <c r="AI136" i="1"/>
  <c r="W102" i="1"/>
  <c r="U54" i="1"/>
  <c r="S54" i="1" s="1"/>
  <c r="AI54" i="1"/>
  <c r="W115" i="1"/>
  <c r="AI180" i="1"/>
  <c r="U146" i="1"/>
  <c r="S146" i="1" s="1"/>
  <c r="U215" i="1"/>
  <c r="S215" i="1" s="1"/>
  <c r="AI215" i="1"/>
  <c r="AI152" i="1"/>
  <c r="U116" i="1"/>
  <c r="S116" i="1" s="1"/>
  <c r="AI143" i="1"/>
  <c r="U107" i="1"/>
  <c r="S107" i="1" s="1"/>
  <c r="W146" i="1"/>
  <c r="W195" i="1"/>
  <c r="W219" i="1"/>
  <c r="AI42" i="1"/>
  <c r="U42" i="1"/>
  <c r="S42" i="1" s="1"/>
  <c r="U31" i="1"/>
  <c r="S31" i="1" s="1"/>
  <c r="AI31" i="1"/>
  <c r="AI49" i="1"/>
  <c r="U49" i="1"/>
  <c r="S49" i="1" s="1"/>
  <c r="U35" i="1"/>
  <c r="S35" i="1" s="1"/>
  <c r="AI35" i="1"/>
  <c r="U66" i="1"/>
  <c r="S66" i="1" s="1"/>
  <c r="AI66" i="1"/>
  <c r="W92" i="1"/>
  <c r="W31" i="1"/>
  <c r="W35" i="1"/>
  <c r="W66" i="1"/>
  <c r="U81" i="1"/>
  <c r="S81" i="1" s="1"/>
  <c r="AI81" i="1"/>
  <c r="AI96" i="1"/>
  <c r="U163" i="1"/>
  <c r="S163" i="1" s="1"/>
  <c r="W42" i="1"/>
  <c r="AI77" i="1"/>
  <c r="U77" i="1"/>
  <c r="S77" i="1" s="1"/>
  <c r="AI93" i="1"/>
  <c r="U160" i="1"/>
  <c r="S160" i="1" s="1"/>
  <c r="AI109" i="1"/>
  <c r="S175" i="1"/>
  <c r="U175" i="1"/>
  <c r="W77" i="1"/>
  <c r="W163" i="1"/>
  <c r="AI108" i="1"/>
  <c r="U174" i="1"/>
  <c r="S174" i="1" s="1"/>
  <c r="U185" i="1"/>
  <c r="S185" i="1" s="1"/>
  <c r="AI120" i="1"/>
  <c r="U186" i="1"/>
  <c r="S186" i="1" s="1"/>
  <c r="AI121" i="1"/>
  <c r="U147" i="1"/>
  <c r="S147" i="1" s="1"/>
  <c r="AI181" i="1"/>
  <c r="U211" i="1"/>
  <c r="S211" i="1" s="1"/>
  <c r="AI211" i="1"/>
  <c r="AI127" i="1"/>
  <c r="U97" i="1"/>
  <c r="S95" i="1" s="1"/>
  <c r="U103" i="1"/>
  <c r="S103" i="1" s="1"/>
  <c r="AI137" i="1"/>
  <c r="W194" i="1"/>
  <c r="W116" i="1"/>
  <c r="W211" i="1"/>
  <c r="W147" i="1"/>
  <c r="M35" i="3"/>
  <c r="R35" i="3"/>
  <c r="S35" i="3"/>
  <c r="U35" i="3"/>
  <c r="V35" i="3"/>
  <c r="W35" i="3"/>
  <c r="X35" i="3"/>
  <c r="T35" i="3" l="1"/>
  <c r="AE35" i="3"/>
  <c r="AD35" i="3"/>
  <c r="AC35" i="3"/>
  <c r="AD7" i="3"/>
  <c r="Y35" i="3"/>
  <c r="AE7" i="3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s="1"/>
  <c r="C78" i="9" l="1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13" i="1"/>
  <c r="L13" i="1"/>
  <c r="M13" i="1"/>
  <c r="N13" i="1" s="1"/>
  <c r="V13" i="1"/>
  <c r="S18" i="3" s="1"/>
  <c r="Y13" i="1"/>
  <c r="Z13" i="1"/>
  <c r="AB13" i="1"/>
  <c r="AC13" i="1"/>
  <c r="AD13" i="1"/>
  <c r="X14" i="1" s="1"/>
  <c r="AE13" i="1"/>
  <c r="R18" i="3" s="1"/>
  <c r="AF13" i="1"/>
  <c r="AM13" i="1"/>
  <c r="AN13" i="1"/>
  <c r="AG13" i="1" l="1"/>
  <c r="X13" i="1"/>
  <c r="AA13" i="1"/>
  <c r="T13" i="1"/>
  <c r="AI13" i="1"/>
  <c r="U13" i="1" l="1"/>
  <c r="S13" i="1" s="1"/>
  <c r="W13" i="1"/>
  <c r="B6" i="6"/>
  <c r="G6" i="6" s="1"/>
  <c r="F6" i="6" l="1"/>
  <c r="J6" i="6"/>
  <c r="I6" i="6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N18" i="3" s="1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N7" i="3" s="1"/>
  <c r="G36" i="4"/>
  <c r="G37" i="4"/>
  <c r="G38" i="4"/>
  <c r="G39" i="4"/>
  <c r="N22" i="3" s="1"/>
  <c r="G40" i="4"/>
  <c r="G41" i="4"/>
  <c r="G42" i="4"/>
  <c r="N30" i="3" s="1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N17" i="3" s="1"/>
  <c r="G59" i="4"/>
  <c r="G60" i="4"/>
  <c r="G61" i="4"/>
  <c r="G62" i="4"/>
  <c r="G63" i="4"/>
  <c r="G64" i="4"/>
  <c r="G65" i="4"/>
  <c r="G66" i="4"/>
  <c r="G67" i="4"/>
  <c r="G68" i="4"/>
  <c r="N21" i="3" s="1"/>
  <c r="G69" i="4"/>
  <c r="G70" i="4"/>
  <c r="G71" i="4"/>
  <c r="N35" i="3" s="1"/>
  <c r="G72" i="4"/>
  <c r="G73" i="4"/>
  <c r="G74" i="4"/>
  <c r="N25" i="3" s="1"/>
  <c r="G75" i="4"/>
  <c r="G76" i="4"/>
  <c r="G77" i="4"/>
  <c r="G78" i="4"/>
  <c r="N19" i="3" s="1"/>
  <c r="G79" i="4"/>
  <c r="G80" i="4"/>
  <c r="G81" i="4"/>
  <c r="G82" i="4"/>
  <c r="G83" i="4"/>
  <c r="G84" i="4"/>
  <c r="N14" i="3" s="1"/>
  <c r="G85" i="4"/>
  <c r="N26" i="3" s="1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N15" i="3" s="1"/>
  <c r="G105" i="4"/>
  <c r="N20" i="3" s="1"/>
  <c r="G106" i="4"/>
  <c r="G107" i="4"/>
  <c r="G108" i="4"/>
  <c r="G109" i="4"/>
  <c r="G110" i="4"/>
  <c r="G111" i="4"/>
  <c r="G112" i="4"/>
  <c r="G113" i="4"/>
  <c r="G114" i="4"/>
  <c r="G115" i="4"/>
  <c r="N27" i="3" s="1"/>
  <c r="G116" i="4"/>
  <c r="N11" i="3" s="1"/>
  <c r="G117" i="4"/>
  <c r="G118" i="4"/>
  <c r="G119" i="4"/>
  <c r="G120" i="4"/>
  <c r="G121" i="4"/>
  <c r="N24" i="3" s="1"/>
  <c r="G122" i="4"/>
  <c r="G123" i="4"/>
  <c r="G124" i="4"/>
  <c r="G125" i="4"/>
  <c r="G126" i="4"/>
  <c r="G127" i="4"/>
  <c r="N28" i="3" s="1"/>
  <c r="G128" i="4"/>
  <c r="G129" i="4"/>
  <c r="G130" i="4"/>
  <c r="G131" i="4"/>
  <c r="G132" i="4"/>
  <c r="G133" i="4"/>
  <c r="G134" i="4"/>
  <c r="G135" i="4"/>
  <c r="G136" i="4"/>
  <c r="G137" i="4"/>
  <c r="G138" i="4"/>
  <c r="G139" i="4"/>
  <c r="N33" i="3" s="1"/>
  <c r="G140" i="4"/>
  <c r="G141" i="4"/>
  <c r="G142" i="4"/>
  <c r="G143" i="4"/>
  <c r="G144" i="4"/>
  <c r="G145" i="4"/>
  <c r="N31" i="3" s="1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N32" i="3" s="1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N13" i="3" s="1"/>
  <c r="G174" i="4"/>
  <c r="G175" i="4"/>
  <c r="G176" i="4"/>
  <c r="G177" i="4"/>
  <c r="N9" i="3" s="1"/>
  <c r="G178" i="4"/>
  <c r="G179" i="4"/>
  <c r="G180" i="4"/>
  <c r="N23" i="3" s="1"/>
  <c r="G181" i="4"/>
  <c r="G182" i="4"/>
  <c r="G183" i="4"/>
  <c r="G184" i="4"/>
  <c r="G185" i="4"/>
  <c r="G186" i="4"/>
  <c r="G187" i="4"/>
  <c r="N34" i="3" s="1"/>
  <c r="G188" i="4"/>
  <c r="G189" i="4"/>
  <c r="G190" i="4"/>
  <c r="G191" i="4"/>
  <c r="G192" i="4"/>
  <c r="N36" i="3" s="1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N29" i="3" s="1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2" i="3" l="1"/>
  <c r="N16" i="3"/>
  <c r="N8" i="3"/>
  <c r="N10" i="3"/>
  <c r="N37" i="3"/>
  <c r="N38" i="3"/>
  <c r="H6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5" i="6" l="1"/>
  <c r="I5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5" i="6" l="1"/>
  <c r="F5" i="6"/>
  <c r="J5" i="6"/>
  <c r="H5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3" i="6" l="1"/>
  <c r="I3" i="6" s="1"/>
  <c r="J8" i="1"/>
  <c r="J4" i="1"/>
  <c r="S8" i="1"/>
  <c r="S4" i="1"/>
  <c r="F3" i="6" l="1"/>
  <c r="J3" i="6"/>
  <c r="H3" i="6"/>
  <c r="G3" i="6"/>
  <c r="B4" i="6"/>
  <c r="I4" i="6" s="1"/>
  <c r="S9" i="1"/>
  <c r="J9" i="1"/>
  <c r="B7" i="6" l="1"/>
  <c r="I7" i="6" s="1"/>
  <c r="F4" i="6"/>
  <c r="G4" i="6"/>
  <c r="J4" i="6"/>
  <c r="H4" i="6"/>
  <c r="S11" i="1"/>
  <c r="A11" i="1"/>
  <c r="B8" i="6" l="1"/>
  <c r="I8" i="6" s="1"/>
  <c r="G7" i="6"/>
  <c r="H7" i="6"/>
  <c r="J7" i="6"/>
  <c r="F7" i="6"/>
  <c r="B1" i="6"/>
  <c r="A5" i="3"/>
  <c r="G8" i="6" l="1"/>
  <c r="F8" i="6"/>
  <c r="J8" i="6"/>
  <c r="H8" i="6"/>
  <c r="B9" i="6"/>
  <c r="I9" i="6" s="1"/>
  <c r="F9" i="6" l="1"/>
  <c r="J9" i="6"/>
  <c r="G9" i="6"/>
  <c r="H9" i="6"/>
  <c r="B10" i="6"/>
  <c r="I10" i="6" s="1"/>
  <c r="B11" i="6" l="1"/>
  <c r="I11" i="6" s="1"/>
  <c r="J10" i="6"/>
  <c r="G10" i="6"/>
  <c r="F10" i="6"/>
  <c r="H10" i="6"/>
  <c r="F11" i="6" l="1"/>
  <c r="G11" i="6"/>
  <c r="H11" i="6"/>
  <c r="J11" i="6"/>
  <c r="B12" i="6"/>
  <c r="I12" i="6" s="1"/>
  <c r="J12" i="6" l="1"/>
  <c r="H12" i="6"/>
  <c r="F12" i="6"/>
  <c r="G12" i="6"/>
  <c r="B13" i="6"/>
  <c r="I13" i="6" s="1"/>
  <c r="B14" i="6" l="1"/>
  <c r="I14" i="6" s="1"/>
  <c r="J13" i="6"/>
  <c r="F13" i="6"/>
  <c r="H13" i="6"/>
  <c r="G13" i="6"/>
  <c r="F14" i="6" l="1"/>
  <c r="G14" i="6"/>
  <c r="H14" i="6"/>
  <c r="J14" i="6"/>
  <c r="B15" i="6"/>
  <c r="I15" i="6" s="1"/>
  <c r="G15" i="6" l="1"/>
  <c r="H15" i="6"/>
  <c r="J15" i="6"/>
  <c r="F15" i="6"/>
  <c r="B16" i="6"/>
  <c r="I16" i="6" s="1"/>
  <c r="F16" i="6" l="1"/>
  <c r="H16" i="6"/>
  <c r="J16" i="6"/>
  <c r="G16" i="6"/>
  <c r="B17" i="6"/>
  <c r="I17" i="6" s="1"/>
  <c r="F17" i="6" l="1"/>
  <c r="J17" i="6"/>
  <c r="G17" i="6"/>
  <c r="H17" i="6"/>
  <c r="B18" i="6"/>
  <c r="I18" i="6" s="1"/>
  <c r="B19" i="6" l="1"/>
  <c r="I19" i="6" s="1"/>
  <c r="F18" i="6"/>
  <c r="H18" i="6"/>
  <c r="J18" i="6"/>
  <c r="G18" i="6"/>
  <c r="F19" i="6" l="1"/>
  <c r="H19" i="6"/>
  <c r="J19" i="6"/>
  <c r="G19" i="6"/>
  <c r="B20" i="6"/>
  <c r="I20" i="6" s="1"/>
  <c r="J20" i="6" l="1"/>
  <c r="H20" i="6"/>
  <c r="F20" i="6"/>
  <c r="G20" i="6"/>
  <c r="B21" i="6"/>
  <c r="I21" i="6" s="1"/>
  <c r="B22" i="6" l="1"/>
  <c r="I22" i="6" s="1"/>
  <c r="F21" i="6"/>
  <c r="G21" i="6"/>
  <c r="H21" i="6"/>
  <c r="J21" i="6"/>
  <c r="B23" i="6" l="1"/>
  <c r="I23" i="6" s="1"/>
  <c r="H22" i="6"/>
  <c r="F22" i="6"/>
  <c r="J22" i="6"/>
  <c r="G22" i="6"/>
  <c r="B24" i="6" l="1"/>
  <c r="I24" i="6" s="1"/>
  <c r="F23" i="6"/>
  <c r="H23" i="6"/>
  <c r="J23" i="6"/>
  <c r="G23" i="6"/>
  <c r="F24" i="6" l="1"/>
  <c r="G24" i="6"/>
  <c r="J24" i="6"/>
  <c r="H24" i="6"/>
  <c r="B25" i="6"/>
  <c r="I25" i="6" s="1"/>
  <c r="F25" i="6" l="1"/>
  <c r="J25" i="6"/>
  <c r="H25" i="6"/>
  <c r="G25" i="6"/>
  <c r="B26" i="6"/>
  <c r="I26" i="6" s="1"/>
  <c r="F26" i="6" l="1"/>
  <c r="H26" i="6"/>
  <c r="G26" i="6"/>
  <c r="J26" i="6"/>
  <c r="B27" i="6"/>
  <c r="I27" i="6" s="1"/>
  <c r="B28" i="6" l="1"/>
  <c r="I28" i="6" s="1"/>
  <c r="G27" i="6"/>
  <c r="F27" i="6"/>
  <c r="H27" i="6"/>
  <c r="J27" i="6"/>
  <c r="J28" i="6" l="1"/>
  <c r="H28" i="6"/>
  <c r="F28" i="6"/>
  <c r="G28" i="6"/>
  <c r="B29" i="6"/>
  <c r="I29" i="6" s="1"/>
  <c r="H29" i="6" l="1"/>
  <c r="J29" i="6"/>
  <c r="F29" i="6"/>
  <c r="G29" i="6"/>
  <c r="B30" i="6"/>
  <c r="I30" i="6" s="1"/>
  <c r="H30" i="6" l="1"/>
  <c r="J30" i="6"/>
  <c r="F30" i="6"/>
  <c r="G30" i="6"/>
  <c r="B31" i="6"/>
  <c r="I31" i="6" s="1"/>
  <c r="H31" i="6" l="1"/>
  <c r="J31" i="6"/>
  <c r="F31" i="6"/>
  <c r="G31" i="6"/>
  <c r="B32" i="6"/>
  <c r="I32" i="6" s="1"/>
  <c r="G32" i="6" l="1"/>
  <c r="F32" i="6"/>
  <c r="H32" i="6"/>
  <c r="J32" i="6"/>
  <c r="B33" i="6"/>
  <c r="I33" i="6" s="1"/>
  <c r="B34" i="6" l="1"/>
  <c r="I34" i="6" s="1"/>
  <c r="J33" i="6"/>
  <c r="G33" i="6"/>
  <c r="F33" i="6"/>
  <c r="H33" i="6"/>
  <c r="B35" i="6" l="1"/>
  <c r="I35" i="6" s="1"/>
  <c r="J34" i="6"/>
  <c r="G34" i="6"/>
  <c r="F34" i="6"/>
  <c r="H34" i="6"/>
  <c r="F35" i="6" l="1"/>
  <c r="H35" i="6"/>
  <c r="J35" i="6"/>
  <c r="G35" i="6"/>
  <c r="B36" i="6"/>
  <c r="I36" i="6" s="1"/>
  <c r="B37" i="6" l="1"/>
  <c r="I37" i="6" s="1"/>
  <c r="F36" i="6"/>
  <c r="G36" i="6"/>
  <c r="J36" i="6"/>
  <c r="H36" i="6"/>
  <c r="G37" i="6" l="1"/>
  <c r="F37" i="6"/>
  <c r="H37" i="6"/>
  <c r="J37" i="6"/>
  <c r="B38" i="6"/>
  <c r="I38" i="6" s="1"/>
  <c r="F38" i="6" l="1"/>
  <c r="J38" i="6"/>
  <c r="G38" i="6"/>
  <c r="H38" i="6"/>
  <c r="B39" i="6"/>
  <c r="I39" i="6" s="1"/>
  <c r="G39" i="6" l="1"/>
  <c r="H39" i="6"/>
  <c r="J39" i="6"/>
  <c r="F39" i="6"/>
  <c r="B40" i="6"/>
  <c r="I40" i="6" s="1"/>
  <c r="B41" i="6" l="1"/>
  <c r="I41" i="6" s="1"/>
  <c r="J40" i="6"/>
  <c r="H40" i="6"/>
  <c r="F40" i="6"/>
  <c r="G40" i="6"/>
  <c r="J41" i="6" l="1"/>
  <c r="G41" i="6"/>
  <c r="F41" i="6"/>
  <c r="H41" i="6"/>
  <c r="B42" i="6"/>
  <c r="I42" i="6" s="1"/>
  <c r="B43" i="6" l="1"/>
  <c r="I43" i="6" s="1"/>
  <c r="G42" i="6"/>
  <c r="J42" i="6"/>
  <c r="F42" i="6"/>
  <c r="H42" i="6"/>
  <c r="F43" i="6" l="1"/>
  <c r="G43" i="6"/>
  <c r="J43" i="6"/>
  <c r="H43" i="6"/>
  <c r="B44" i="6"/>
  <c r="I44" i="6" s="1"/>
  <c r="B45" i="6" l="1"/>
  <c r="I45" i="6" s="1"/>
  <c r="F44" i="6"/>
  <c r="G44" i="6"/>
  <c r="J44" i="6"/>
  <c r="H44" i="6"/>
  <c r="G45" i="6" l="1"/>
  <c r="H45" i="6"/>
  <c r="J45" i="6"/>
  <c r="F45" i="6"/>
  <c r="B46" i="6"/>
  <c r="I46" i="6" s="1"/>
  <c r="B47" i="6" l="1"/>
  <c r="I47" i="6" s="1"/>
  <c r="G46" i="6"/>
  <c r="H46" i="6"/>
  <c r="J46" i="6"/>
  <c r="F46" i="6"/>
  <c r="F47" i="6" l="1"/>
  <c r="G47" i="6"/>
  <c r="H47" i="6"/>
  <c r="J47" i="6"/>
  <c r="B48" i="6"/>
  <c r="I48" i="6" s="1"/>
  <c r="G48" i="6" l="1"/>
  <c r="F48" i="6"/>
  <c r="H48" i="6"/>
  <c r="J48" i="6"/>
  <c r="B49" i="6"/>
  <c r="I49" i="6" s="1"/>
  <c r="B50" i="6" l="1"/>
  <c r="I50" i="6" s="1"/>
  <c r="J49" i="6"/>
  <c r="G49" i="6"/>
  <c r="F49" i="6"/>
  <c r="H49" i="6"/>
  <c r="B51" i="6" l="1"/>
  <c r="I51" i="6" s="1"/>
  <c r="J50" i="6"/>
  <c r="G50" i="6"/>
  <c r="F50" i="6"/>
  <c r="H50" i="6"/>
  <c r="H51" i="6" l="1"/>
  <c r="F51" i="6"/>
  <c r="G51" i="6"/>
  <c r="J51" i="6"/>
  <c r="B52" i="6"/>
  <c r="I52" i="6" s="1"/>
  <c r="B53" i="6" l="1"/>
  <c r="I53" i="6" s="1"/>
  <c r="F52" i="6"/>
  <c r="G52" i="6"/>
  <c r="J52" i="6"/>
  <c r="H52" i="6"/>
  <c r="B54" i="6" l="1"/>
  <c r="I54" i="6" s="1"/>
  <c r="J53" i="6"/>
  <c r="F53" i="6"/>
  <c r="G53" i="6"/>
  <c r="H53" i="6"/>
  <c r="F54" i="6" l="1"/>
  <c r="J54" i="6"/>
  <c r="G54" i="6"/>
  <c r="H54" i="6"/>
  <c r="B55" i="6"/>
  <c r="I55" i="6" s="1"/>
  <c r="H55" i="6" l="1"/>
  <c r="J55" i="6"/>
  <c r="G55" i="6"/>
  <c r="F55" i="6"/>
  <c r="B56" i="6"/>
  <c r="I56" i="6" s="1"/>
  <c r="B57" i="6" l="1"/>
  <c r="I57" i="6" s="1"/>
  <c r="J56" i="6"/>
  <c r="H56" i="6"/>
  <c r="F56" i="6"/>
  <c r="G56" i="6"/>
  <c r="J57" i="6" l="1"/>
  <c r="G57" i="6"/>
  <c r="F57" i="6"/>
  <c r="H57" i="6"/>
  <c r="B58" i="6"/>
  <c r="I58" i="6" s="1"/>
  <c r="G58" i="6" l="1"/>
  <c r="H58" i="6"/>
  <c r="J58" i="6"/>
  <c r="F58" i="6"/>
  <c r="B59" i="6"/>
  <c r="I59" i="6" s="1"/>
  <c r="G59" i="6" l="1"/>
  <c r="F59" i="6"/>
  <c r="H59" i="6"/>
  <c r="J59" i="6"/>
  <c r="B60" i="6"/>
  <c r="I60" i="6" s="1"/>
  <c r="B61" i="6" l="1"/>
  <c r="I61" i="6" s="1"/>
  <c r="J60" i="6"/>
  <c r="F60" i="6"/>
  <c r="H60" i="6"/>
  <c r="G60" i="6"/>
  <c r="B62" i="6" l="1"/>
  <c r="I62" i="6" s="1"/>
  <c r="J61" i="6"/>
  <c r="F61" i="6"/>
  <c r="G61" i="6"/>
  <c r="H61" i="6"/>
  <c r="H62" i="6" l="1"/>
  <c r="G62" i="6"/>
  <c r="F62" i="6"/>
  <c r="J62" i="6"/>
  <c r="B63" i="6"/>
  <c r="I63" i="6" s="1"/>
  <c r="G63" i="6" l="1"/>
  <c r="H63" i="6"/>
  <c r="J63" i="6"/>
  <c r="F63" i="6"/>
  <c r="B64" i="6"/>
  <c r="I64" i="6" s="1"/>
  <c r="B65" i="6" l="1"/>
  <c r="I65" i="6" s="1"/>
  <c r="J64" i="6"/>
  <c r="F64" i="6"/>
  <c r="H64" i="6"/>
  <c r="G64" i="6"/>
  <c r="B66" i="6" l="1"/>
  <c r="I66" i="6" s="1"/>
  <c r="J65" i="6"/>
  <c r="F65" i="6"/>
  <c r="G65" i="6"/>
  <c r="H65" i="6"/>
  <c r="B67" i="6" l="1"/>
  <c r="I67" i="6" s="1"/>
  <c r="J66" i="6"/>
  <c r="F66" i="6"/>
  <c r="G66" i="6"/>
  <c r="H66" i="6"/>
  <c r="J67" i="6" l="1"/>
  <c r="F67" i="6"/>
  <c r="H67" i="6"/>
  <c r="G67" i="6"/>
  <c r="B68" i="6"/>
  <c r="I68" i="6" s="1"/>
  <c r="F68" i="6" l="1"/>
  <c r="J68" i="6"/>
  <c r="H68" i="6"/>
  <c r="G68" i="6"/>
  <c r="B69" i="6"/>
  <c r="I69" i="6" s="1"/>
  <c r="J69" i="6" l="1"/>
  <c r="G69" i="6"/>
  <c r="F69" i="6"/>
  <c r="H69" i="6"/>
  <c r="B70" i="6"/>
  <c r="I70" i="6" s="1"/>
  <c r="B71" i="6" l="1"/>
  <c r="I71" i="6" s="1"/>
  <c r="F70" i="6"/>
  <c r="G70" i="6"/>
  <c r="H70" i="6"/>
  <c r="J70" i="6"/>
  <c r="F71" i="6" l="1"/>
  <c r="G71" i="6"/>
  <c r="H71" i="6"/>
  <c r="J71" i="6"/>
  <c r="B72" i="6"/>
  <c r="I72" i="6" s="1"/>
  <c r="B73" i="6" l="1"/>
  <c r="I73" i="6" s="1"/>
  <c r="J72" i="6"/>
  <c r="F72" i="6"/>
  <c r="G72" i="6"/>
  <c r="H72" i="6"/>
  <c r="F73" i="6" l="1"/>
  <c r="H73" i="6"/>
  <c r="G73" i="6"/>
  <c r="J73" i="6"/>
  <c r="B74" i="6"/>
  <c r="I74" i="6" s="1"/>
  <c r="B75" i="6" l="1"/>
  <c r="I75" i="6" s="1"/>
  <c r="H74" i="6"/>
  <c r="G74" i="6"/>
  <c r="F74" i="6"/>
  <c r="J74" i="6"/>
  <c r="B76" i="6" l="1"/>
  <c r="I76" i="6" s="1"/>
  <c r="J75" i="6"/>
  <c r="H75" i="6"/>
  <c r="F75" i="6"/>
  <c r="G75" i="6"/>
  <c r="J76" i="6" l="1"/>
  <c r="H76" i="6"/>
  <c r="F76" i="6"/>
  <c r="G76" i="6"/>
  <c r="B77" i="6"/>
  <c r="I77" i="6" s="1"/>
  <c r="J77" i="6" l="1"/>
  <c r="F77" i="6"/>
  <c r="H77" i="6"/>
  <c r="G77" i="6"/>
  <c r="B78" i="6"/>
  <c r="I78" i="6" s="1"/>
  <c r="B79" i="6" l="1"/>
  <c r="I79" i="6" s="1"/>
  <c r="F78" i="6"/>
  <c r="J78" i="6"/>
  <c r="G78" i="6"/>
  <c r="H78" i="6"/>
  <c r="B80" i="6" l="1"/>
  <c r="I80" i="6" s="1"/>
  <c r="F79" i="6"/>
  <c r="G79" i="6"/>
  <c r="H79" i="6"/>
  <c r="J79" i="6"/>
  <c r="B81" i="6" l="1"/>
  <c r="I81" i="6" s="1"/>
  <c r="J80" i="6"/>
  <c r="H80" i="6"/>
  <c r="G80" i="6"/>
  <c r="F80" i="6"/>
  <c r="B82" i="6" l="1"/>
  <c r="I82" i="6" s="1"/>
  <c r="H81" i="6"/>
  <c r="J81" i="6"/>
  <c r="F81" i="6"/>
  <c r="G81" i="6"/>
  <c r="G82" i="6" l="1"/>
  <c r="H82" i="6"/>
  <c r="J82" i="6"/>
  <c r="F82" i="6"/>
  <c r="B83" i="6"/>
  <c r="I83" i="6" s="1"/>
  <c r="B84" i="6" l="1"/>
  <c r="I84" i="6" s="1"/>
  <c r="G83" i="6"/>
  <c r="J83" i="6"/>
  <c r="H83" i="6"/>
  <c r="F83" i="6"/>
  <c r="F84" i="6" l="1"/>
  <c r="H84" i="6"/>
  <c r="J84" i="6"/>
  <c r="G84" i="6"/>
  <c r="B85" i="6"/>
  <c r="I85" i="6" s="1"/>
  <c r="H85" i="6" l="1"/>
  <c r="F85" i="6"/>
  <c r="G85" i="6"/>
  <c r="J85" i="6"/>
  <c r="B86" i="6"/>
  <c r="I86" i="6" s="1"/>
  <c r="H86" i="6" l="1"/>
  <c r="G86" i="6"/>
  <c r="F86" i="6"/>
  <c r="J86" i="6"/>
  <c r="B87" i="6"/>
  <c r="I87" i="6" s="1"/>
  <c r="H87" i="6" l="1"/>
  <c r="J87" i="6"/>
  <c r="G87" i="6"/>
  <c r="F87" i="6"/>
  <c r="B88" i="6"/>
  <c r="I88" i="6" s="1"/>
  <c r="J88" i="6" l="1"/>
  <c r="G88" i="6"/>
  <c r="F88" i="6"/>
  <c r="H88" i="6"/>
  <c r="B89" i="6"/>
  <c r="I89" i="6" s="1"/>
  <c r="J89" i="6" l="1"/>
  <c r="F89" i="6"/>
  <c r="H89" i="6"/>
  <c r="G89" i="6"/>
  <c r="B90" i="6"/>
  <c r="I90" i="6" s="1"/>
  <c r="G90" i="6" l="1"/>
  <c r="H90" i="6"/>
  <c r="F90" i="6"/>
  <c r="J90" i="6"/>
  <c r="B91" i="6"/>
  <c r="I91" i="6" s="1"/>
  <c r="B92" i="6" l="1"/>
  <c r="I92" i="6" s="1"/>
  <c r="J91" i="6"/>
  <c r="G91" i="6"/>
  <c r="H91" i="6"/>
  <c r="F91" i="6"/>
  <c r="J92" i="6" l="1"/>
  <c r="F92" i="6"/>
  <c r="H92" i="6"/>
  <c r="G92" i="6"/>
  <c r="B93" i="6"/>
  <c r="I93" i="6" s="1"/>
  <c r="B94" i="6" l="1"/>
  <c r="I94" i="6" s="1"/>
  <c r="J93" i="6"/>
  <c r="G93" i="6"/>
  <c r="H93" i="6"/>
  <c r="F93" i="6"/>
  <c r="B95" i="6" l="1"/>
  <c r="I95" i="6" s="1"/>
  <c r="F94" i="6"/>
  <c r="H94" i="6"/>
  <c r="G94" i="6"/>
  <c r="J94" i="6"/>
  <c r="B96" i="6" l="1"/>
  <c r="I96" i="6" s="1"/>
  <c r="J95" i="6"/>
  <c r="F95" i="6"/>
  <c r="G95" i="6"/>
  <c r="H95" i="6"/>
  <c r="B97" i="6" l="1"/>
  <c r="I97" i="6" s="1"/>
  <c r="J96" i="6"/>
  <c r="H96" i="6"/>
  <c r="G96" i="6"/>
  <c r="F96" i="6"/>
  <c r="G97" i="6" l="1"/>
  <c r="H97" i="6"/>
  <c r="J97" i="6"/>
  <c r="F97" i="6"/>
  <c r="B98" i="6"/>
  <c r="I98" i="6" s="1"/>
  <c r="B99" i="6" l="1"/>
  <c r="I99" i="6" s="1"/>
  <c r="J98" i="6"/>
  <c r="F98" i="6"/>
  <c r="G98" i="6"/>
  <c r="H98" i="6"/>
  <c r="F99" i="6" l="1"/>
  <c r="G99" i="6"/>
  <c r="H99" i="6"/>
  <c r="J99" i="6"/>
  <c r="B100" i="6"/>
  <c r="I100" i="6" s="1"/>
  <c r="F100" i="6" l="1"/>
  <c r="H100" i="6"/>
  <c r="G100" i="6"/>
  <c r="J100" i="6"/>
  <c r="B101" i="6"/>
  <c r="I101" i="6" s="1"/>
  <c r="J101" i="6" l="1"/>
  <c r="H101" i="6"/>
  <c r="F101" i="6"/>
  <c r="G101" i="6"/>
  <c r="B102" i="6"/>
  <c r="I102" i="6" s="1"/>
  <c r="F102" i="6" l="1"/>
  <c r="H102" i="6"/>
  <c r="G102" i="6"/>
  <c r="J102" i="6"/>
  <c r="B103" i="6"/>
  <c r="I103" i="6" s="1"/>
  <c r="F103" i="6" l="1"/>
  <c r="H103" i="6"/>
  <c r="G103" i="6"/>
  <c r="J103" i="6"/>
  <c r="B104" i="6"/>
  <c r="I104" i="6" s="1"/>
  <c r="J104" i="6" l="1"/>
  <c r="F104" i="6"/>
  <c r="G104" i="6"/>
  <c r="H104" i="6"/>
  <c r="B105" i="6"/>
  <c r="I105" i="6" s="1"/>
  <c r="G105" i="6" l="1"/>
  <c r="H105" i="6"/>
  <c r="J105" i="6"/>
  <c r="F105" i="6"/>
  <c r="B106" i="6"/>
  <c r="I106" i="6" s="1"/>
  <c r="B107" i="6" l="1"/>
  <c r="I107" i="6" s="1"/>
  <c r="H106" i="6"/>
  <c r="G106" i="6"/>
  <c r="J106" i="6"/>
  <c r="F106" i="6"/>
  <c r="B108" i="6" l="1"/>
  <c r="I108" i="6" s="1"/>
  <c r="J107" i="6"/>
  <c r="G107" i="6"/>
  <c r="H107" i="6"/>
  <c r="F107" i="6"/>
  <c r="H108" i="6" l="1"/>
  <c r="F108" i="6"/>
  <c r="G108" i="6"/>
  <c r="J108" i="6"/>
  <c r="B109" i="6"/>
  <c r="I109" i="6" s="1"/>
  <c r="F109" i="6" l="1"/>
  <c r="H109" i="6"/>
  <c r="J109" i="6"/>
  <c r="G109" i="6"/>
  <c r="B110" i="6"/>
  <c r="I110" i="6" s="1"/>
  <c r="F110" i="6" l="1"/>
  <c r="G110" i="6"/>
  <c r="J110" i="6"/>
  <c r="H110" i="6"/>
  <c r="B111" i="6"/>
  <c r="I111" i="6" s="1"/>
  <c r="B112" i="6" l="1"/>
  <c r="I112" i="6" s="1"/>
  <c r="H111" i="6"/>
  <c r="J111" i="6"/>
  <c r="F111" i="6"/>
  <c r="G111" i="6"/>
  <c r="B113" i="6" l="1"/>
  <c r="I113" i="6" s="1"/>
  <c r="J112" i="6"/>
  <c r="H112" i="6"/>
  <c r="G112" i="6"/>
  <c r="F112" i="6"/>
  <c r="B115" i="6" l="1"/>
  <c r="I115" i="6" s="1"/>
  <c r="B114" i="6"/>
  <c r="I114" i="6" s="1"/>
  <c r="F113" i="6"/>
  <c r="G113" i="6"/>
  <c r="H113" i="6"/>
  <c r="J113" i="6"/>
  <c r="G114" i="6" l="1"/>
  <c r="H114" i="6"/>
  <c r="J114" i="6"/>
  <c r="F114" i="6"/>
  <c r="J115" i="6"/>
  <c r="F115" i="6"/>
  <c r="G115" i="6"/>
  <c r="H11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<sst xmlns="http://schemas.openxmlformats.org/spreadsheetml/2006/main" count="2622" uniqueCount="964">
  <si>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</si>
  <si>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</si>
  <si>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</si>
  <si>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</si>
  <si>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</si>
  <si>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</si>
  <si>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</si>
  <si>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</si>
  <si>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</si>
  <si>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</si>
  <si>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</si>
  <si>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</si>
  <si>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</si>
  <si>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</si>
  <si>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</si>
  <si>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</si>
  <si>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</si>
  <si>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</si>
  <si>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</si>
  <si>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</si>
  <si>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</si>
  <si>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</si>
  <si>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</si>
  <si>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</si>
  <si>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</si>
  <si>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</si>
  <si>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</si>
  <si>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</si>
  <si>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</si>
  <si>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</si>
  <si>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</si>
  <si>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</si>
  <si>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</si>
  <si>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</si>
  <si>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</si>
  <si>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</si>
  <si>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</si>
  <si>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</si>
  <si>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</si>
  <si>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</si>
  <si>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</si>
  <si>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</si>
  <si>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</si>
  <si>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</si>
  <si>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</si>
  <si>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</si>
  <si>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</si>
  <si>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</si>
  <si>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</si>
  <si>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</si>
  <si>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</si>
  <si>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</si>
  <si>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</si>
  <si>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</si>
  <si>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</si>
  <si>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</si>
  <si>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</si>
  <si>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</si>
  <si>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</si>
  <si>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</si>
  <si>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</si>
  <si>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</si>
  <si>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</si>
  <si>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</si>
  <si>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</si>
  <si>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</si>
  <si>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</si>
  <si>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</si>
  <si>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</si>
  <si>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</si>
  <si>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</si>
  <si>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</si>
  <si>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</si>
  <si>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</si>
  <si>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</si>
  <si>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</si>
  <si>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</si>
  <si>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</si>
  <si>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</si>
  <si>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</si>
  <si>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</si>
  <si>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</si>
  <si>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</si>
  <si>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</si>
  <si>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</si>
  <si>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</si>
  <si>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</si>
  <si>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</si>
  <si>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</si>
  <si>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</si>
  <si>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</si>
  <si>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</si>
  <si>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</si>
  <si>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</si>
  <si>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</si>
  <si>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</si>
  <si>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</si>
  <si>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</si>
  <si>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</si>
  <si>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</si>
  <si>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</si>
  <si>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</si>
  <si>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</si>
  <si>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</si>
  <si>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</si>
  <si>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</si>
  <si>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</si>
  <si>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</si>
  <si>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</si>
  <si>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</si>
  <si>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</si>
  <si>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</si>
  <si>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</si>
  <si>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</si>
  <si>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</si>
  <si>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</si>
  <si>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</si>
  <si>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</si>
  <si>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</si>
  <si>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</si>
  <si>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</si>
  <si>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</si>
  <si>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</si>
  <si>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</si>
  <si>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</si>
  <si>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</si>
  <si>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</si>
  <si>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</si>
  <si>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</si>
  <si>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</si>
  <si>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</si>
  <si>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</si>
  <si>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</si>
  <si>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</si>
  <si>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</si>
  <si>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</si>
  <si>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</si>
  <si>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</si>
  <si>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</si>
  <si>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</si>
  <si>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</si>
  <si>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</si>
  <si>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</si>
  <si>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</si>
  <si>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</si>
  <si>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</si>
  <si>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</si>
  <si>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</si>
  <si>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</si>
  <si>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</si>
  <si>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</si>
  <si>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</si>
  <si>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</si>
  <si>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</si>
  <si>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</si>
  <si>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</si>
  <si>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</si>
  <si>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</si>
  <si>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</si>
  <si>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</si>
  <si>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</si>
  <si>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</si>
  <si>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</si>
  <si>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</si>
  <si>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</si>
  <si>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</si>
  <si>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</si>
  <si>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</si>
  <si>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</si>
  <si>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</si>
  <si>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</si>
  <si>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</si>
  <si>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</si>
  <si>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</si>
  <si>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</si>
  <si>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</si>
  <si>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</si>
  <si>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</si>
  <si>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</si>
  <si>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</si>
  <si>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</si>
  <si>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</si>
  <si>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</si>
  <si>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</si>
  <si>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</si>
  <si>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</si>
  <si>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</si>
  <si>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</si>
  <si>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</si>
  <si>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</si>
  <si>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</si>
  <si>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</si>
  <si>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</si>
  <si>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</si>
  <si>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</si>
  <si>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</si>
  <si>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</si>
  <si>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</si>
  <si>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</si>
  <si>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</si>
  <si>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</si>
  <si>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</si>
  <si>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</si>
  <si>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204:160</t>
  </si>
  <si>
    <t>204:462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</si>
  <si>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</si>
  <si>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</si>
  <si>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</si>
  <si>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</si>
  <si>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</si>
  <si>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</si>
  <si>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</si>
  <si>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rtdc.l.rtdc.4026:itc</t>
  </si>
  <si>
    <t>204:154</t>
  </si>
  <si>
    <t>HILLS</t>
  </si>
  <si>
    <t>DUSTIN</t>
  </si>
  <si>
    <t>rtdc.l.rtdc.4046:itc</t>
  </si>
  <si>
    <t>rtdc.l.rtdc.4045:itc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</si>
  <si>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</si>
  <si>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</si>
  <si>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</si>
  <si>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</si>
  <si>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</si>
  <si>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</si>
  <si>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rtdc.l.rtdc.4029:itc</t>
  </si>
  <si>
    <t>204:451</t>
  </si>
  <si>
    <t>204:457</t>
  </si>
  <si>
    <t>STORY</t>
  </si>
  <si>
    <t>SAMANTHA</t>
  </si>
  <si>
    <t>204:460</t>
  </si>
  <si>
    <t>BROWN</t>
  </si>
  <si>
    <t>JACOB</t>
  </si>
  <si>
    <t>rtdc.l.rtdc.4025:itc</t>
  </si>
  <si>
    <t>rtdc.l.rtdc.4054:itc</t>
  </si>
  <si>
    <t>COMELLA</t>
  </si>
  <si>
    <t>JUSTIN</t>
  </si>
  <si>
    <t>rtdc.l.rtdc.4053:itc</t>
  </si>
  <si>
    <t>rtdc.l.rtdc.4043:itc</t>
  </si>
  <si>
    <t>204:453</t>
  </si>
  <si>
    <t>rtdc.l.rtdc.4003:itc</t>
  </si>
  <si>
    <t>rtdc.l.rtdc.4004:itc</t>
  </si>
  <si>
    <t>CHANDLER</t>
  </si>
  <si>
    <t>KELVIN</t>
  </si>
  <si>
    <t>204:446</t>
  </si>
  <si>
    <t>204:455</t>
  </si>
  <si>
    <t>204:139</t>
  </si>
  <si>
    <t>204:232993</t>
  </si>
  <si>
    <t>204:232978</t>
  </si>
  <si>
    <t>204:233293</t>
  </si>
  <si>
    <t>rtdc.l.rtdc.4019:itc</t>
  </si>
  <si>
    <t>204:464</t>
  </si>
  <si>
    <t>rtdc.l.rtdc.4020:itc</t>
  </si>
  <si>
    <t>rtdc.l.rtdc.4044:itc</t>
  </si>
  <si>
    <t>204:141</t>
  </si>
  <si>
    <t>204:232996</t>
  </si>
  <si>
    <t>204:440</t>
  </si>
  <si>
    <t>rtdc.l.rtdc.4008:itc</t>
  </si>
  <si>
    <t>rtdc.l.rtdc.4018:itc</t>
  </si>
  <si>
    <t>rtdc.l.rtdc.4017:itc</t>
  </si>
  <si>
    <t>rtdc.l.rtdc.4012:itc</t>
  </si>
  <si>
    <t>JOHN</t>
  </si>
  <si>
    <t>YORK</t>
  </si>
  <si>
    <t>EDGAR</t>
  </si>
  <si>
    <t>204:136</t>
  </si>
  <si>
    <t>204:156</t>
  </si>
  <si>
    <t>204:233310</t>
  </si>
  <si>
    <t>204:444</t>
  </si>
  <si>
    <t>204:147</t>
  </si>
  <si>
    <t>300:23346</t>
  </si>
  <si>
    <t>204:477</t>
  </si>
  <si>
    <t>204:232985</t>
  </si>
  <si>
    <t>204:471</t>
  </si>
  <si>
    <t>204:233306</t>
  </si>
  <si>
    <t>204:754</t>
  </si>
  <si>
    <t>204:233317</t>
  </si>
  <si>
    <t>204:232982</t>
  </si>
  <si>
    <t>204:163</t>
  </si>
  <si>
    <t>204:475</t>
  </si>
  <si>
    <t>204:447</t>
  </si>
  <si>
    <t>204:466</t>
  </si>
  <si>
    <t>204:233303</t>
  </si>
  <si>
    <t>PERMANENT SPEED RESTRICTION</t>
  </si>
  <si>
    <t>Speed (6)</t>
  </si>
  <si>
    <t>YANG</t>
  </si>
  <si>
    <t>JAN</t>
  </si>
  <si>
    <t>DE.1.0.9.0</t>
  </si>
  <si>
    <t>204:458</t>
  </si>
  <si>
    <t>204:233332</t>
  </si>
  <si>
    <t>300:58630</t>
  </si>
  <si>
    <t>204:232994</t>
  </si>
  <si>
    <t>204:232984</t>
  </si>
  <si>
    <t>rtdc.l.rtdc.4050:itc</t>
  </si>
  <si>
    <t>rtdc.l.rtdc.4049:itc</t>
  </si>
  <si>
    <t>204:233284</t>
  </si>
  <si>
    <t>204:232971</t>
  </si>
  <si>
    <t>204:232987</t>
  </si>
  <si>
    <t>204:233314</t>
  </si>
  <si>
    <t>204:233297</t>
  </si>
  <si>
    <t>204:233289</t>
  </si>
  <si>
    <t>300:58931</t>
  </si>
  <si>
    <t>300:58628</t>
  </si>
  <si>
    <t>rtdc.l.rtdc.4031:itc</t>
  </si>
  <si>
    <t>rtdc.l.rtdc.4032:itc</t>
  </si>
  <si>
    <t>204:233295</t>
  </si>
  <si>
    <t>204:449</t>
  </si>
  <si>
    <t>204:433</t>
  </si>
  <si>
    <t>204:233305</t>
  </si>
  <si>
    <t>204:232992</t>
  </si>
  <si>
    <t>204:165</t>
  </si>
  <si>
    <t>204:233302</t>
  </si>
  <si>
    <t>204:233002</t>
  </si>
  <si>
    <t>300:58944</t>
  </si>
  <si>
    <t>204:757</t>
  </si>
  <si>
    <t>204:983</t>
  </si>
  <si>
    <t>GEBRETEKLE</t>
  </si>
  <si>
    <t>DAGNEW</t>
  </si>
  <si>
    <t>HELVIE</t>
  </si>
  <si>
    <t>ADAM</t>
  </si>
  <si>
    <t>BRUDER</t>
  </si>
  <si>
    <t>RICHARD</t>
  </si>
  <si>
    <t>204:233300</t>
  </si>
  <si>
    <t>204:233304</t>
  </si>
  <si>
    <t>204:233299</t>
  </si>
  <si>
    <t>204:233327</t>
  </si>
  <si>
    <t>204:233019</t>
  </si>
  <si>
    <t>204:233003</t>
  </si>
  <si>
    <t>204:233321</t>
  </si>
  <si>
    <t>300:23306</t>
  </si>
  <si>
    <t>300:58617</t>
  </si>
  <si>
    <t>300:58939</t>
  </si>
  <si>
    <t>204:701</t>
  </si>
  <si>
    <t>:.+((SYSTEM_STATE.+slice.+state.+changed )|(ment ac)|(multiple cpu faults)|(system.+state.+changed )|(\[timeout)|(PRM\|1\|D)|(kpr)|(kdp)|(\|loc)|(penalty))</t>
  </si>
  <si>
    <t>rtdc.l.rtdc.4010:itc</t>
  </si>
  <si>
    <t>rtdc.l.rtdc.4009:itc</t>
  </si>
  <si>
    <t>rtdc.l.rtdc.4013:itc</t>
  </si>
  <si>
    <t>844-23</t>
  </si>
  <si>
    <t>232-23</t>
  </si>
  <si>
    <t>242-23</t>
  </si>
  <si>
    <t>ROBINSON</t>
  </si>
  <si>
    <t>KADDIBA</t>
  </si>
  <si>
    <t>SHOOK</t>
  </si>
  <si>
    <t>rtdc.l.rtdc.4014:itc</t>
  </si>
  <si>
    <t>KILLION</t>
  </si>
  <si>
    <t>DAVID</t>
  </si>
  <si>
    <t>SMITH</t>
  </si>
  <si>
    <t>LOPES</t>
  </si>
  <si>
    <t>KIMBERLY</t>
  </si>
  <si>
    <t>60-23</t>
  </si>
  <si>
    <t>DELGADO</t>
  </si>
  <si>
    <t>DIANAH</t>
  </si>
  <si>
    <t>81-23</t>
  </si>
  <si>
    <t>WHITED</t>
  </si>
  <si>
    <t>233-23</t>
  </si>
  <si>
    <t>230-23</t>
  </si>
  <si>
    <t>847-23</t>
  </si>
  <si>
    <t>235-23</t>
  </si>
  <si>
    <t>908-23</t>
  </si>
  <si>
    <t>237-23</t>
  </si>
  <si>
    <t>234-23</t>
  </si>
  <si>
    <t>236-23</t>
  </si>
  <si>
    <t>239-23</t>
  </si>
  <si>
    <t>238-23</t>
  </si>
  <si>
    <t>241-23</t>
  </si>
  <si>
    <t>243-23</t>
  </si>
  <si>
    <t>240-23</t>
  </si>
  <si>
    <t>315-23</t>
  </si>
  <si>
    <t>309-23</t>
  </si>
  <si>
    <t>244-23</t>
  </si>
  <si>
    <t>311-23</t>
  </si>
  <si>
    <t>313-23</t>
  </si>
  <si>
    <t>204:233251</t>
  </si>
  <si>
    <t>204:233312</t>
  </si>
  <si>
    <t>204:233336</t>
  </si>
  <si>
    <t>204:232977</t>
  </si>
  <si>
    <t>204:233308</t>
  </si>
  <si>
    <t>204:482</t>
  </si>
  <si>
    <t>204:232981</t>
  </si>
  <si>
    <t>204:232983</t>
  </si>
  <si>
    <t>204:467</t>
  </si>
  <si>
    <t>204:502</t>
  </si>
  <si>
    <t>204:491</t>
  </si>
  <si>
    <t>204:181</t>
  </si>
  <si>
    <t>204:478</t>
  </si>
  <si>
    <t>204:233009</t>
  </si>
  <si>
    <t>204:469</t>
  </si>
  <si>
    <t>204:473</t>
  </si>
  <si>
    <t>204:426</t>
  </si>
  <si>
    <t>204:233283</t>
  </si>
  <si>
    <t>204:169</t>
  </si>
  <si>
    <t>204:233342</t>
  </si>
  <si>
    <t>204:232976</t>
  </si>
  <si>
    <t>204:233015</t>
  </si>
  <si>
    <t>204:130</t>
  </si>
  <si>
    <t>300:23304</t>
  </si>
  <si>
    <t>204:522</t>
  </si>
  <si>
    <t>204:1477</t>
  </si>
  <si>
    <t>204:717</t>
  </si>
  <si>
    <t>300:58619</t>
  </si>
  <si>
    <t>300:58935</t>
  </si>
  <si>
    <t>204:705</t>
  </si>
  <si>
    <t>SYS :2017/02/23 11:38:17.220:ENFORCEMENT:Predictive Enforcement Action:  Target Number: 000170D3  Target Speed:  14.0  Current Speed:  19.2</t>
  </si>
  <si>
    <t>SYS :2017/02/23 11:38:17.367:ENFORCEMENT:Predictive Enforcement Action:  Target Number: 000170EB  Target Speed:  14.0  Current Speed:  19.2</t>
  </si>
  <si>
    <t>SYS :2017/02/23 11:38:17.999:ENFORCEMENT:Predictive Enforcement Action:  Target Number: 000170F7  Target Speed:  14.0  Current Speed:  19.2</t>
  </si>
  <si>
    <t>SYS :2017/02/23 11:38:52.218:ENFORCEMENT:Reactive Enforcement Action:  Target Number: 000170D3  Target Speed:   0.0  Current Speed:   5.9</t>
  </si>
  <si>
    <t>SYS :2017/02/23 11:38:52.381:ENFORCEMENT:Reactive Enforcement Action:  Target Number: 000170EB  Target Speed:   0.0  Current Speed:   5.9</t>
  </si>
  <si>
    <t>SYS :2017/02/23 11:38:53.003:ENFORCEMENT:Reactive Enforcement Action:  Target Number: 000170F7  Target Speed:   0.0  Current Speed:   5.9</t>
  </si>
  <si>
    <t>SYS :2017/02/23 11:53:54.465:ENFORCEMENT:Predictive Enforcement Action:  Target Number: 0000102B  Target Speed:   0.0  Current Speed:   3.2</t>
  </si>
  <si>
    <t>SYS :2017/02/23 11:53:54.856:ENFORCEMENT:Predictive Enforcement Action:  Target Number: 0000102B  Target Speed:   0.0  Current Speed:   3.2</t>
  </si>
  <si>
    <t>SYS :2017/02/23 13:34:03.680:ENFORCEMENT:Predictive Enforcement Action:  Target Number: 00001033  Target Speed:   0.0  Current Speed:   3.6</t>
  </si>
  <si>
    <t>SYS :2017/02/23 13:34:03.770:ENFORCEMENT:Predictive Enforcement Action:  Target Number: 00001036  Target Speed:   0.0  Current Speed:   3.6</t>
  </si>
  <si>
    <t>SYS :2017/02/23 13:34:04.468:ENFORCEMENT:Predictive Enforcement Action:  Target Number: 00001028  Target Speed:   0.0  Current Speed:   3.4</t>
  </si>
  <si>
    <t>SYS :2017/02/23 14:20:59.070:ENFORCEMENT:Predictive Enforcement Action:  Target Number: 00001016  Target Speed:   0.0  Current Speed:   5.1</t>
  </si>
  <si>
    <t>SYS :2017/02/23 14:20:59.845:ENFORCEMENT:Predictive Enforcement Action:  Target Number: 00001024  Target Speed:   0.0  Current Speed:   5.1</t>
  </si>
  <si>
    <t>SYS :2017/02/23 14:28:00.197:ENFORCEMENT:Predictive Enforcement Action:  Target Number: 0001704A  Target Speed:  36.0  Current Speed:  51.9</t>
  </si>
  <si>
    <t>SYS :2017/02/23 14:28:01.238:ENFORCEMENT:Predictive Enforcement Action:  Target Number: 0001704A  Target Speed:  36.0  Current Speed:  50.7</t>
  </si>
  <si>
    <t>SYS :2017/02/23 14:28:01.509:ENFORCEMENT:Predictive Enforcement Action:  Target Number: 00017045  Target Speed:  36.0  Current Speed:  51.3</t>
  </si>
  <si>
    <t>SYS :2017/02/23 14:28:48.245:ENFORCEMENT:Predictive Enforcement Action:  Target Number: 0001704B  Target Speed:   1.0  Current Speed:   8.6</t>
  </si>
  <si>
    <t>SYS :2017/02/23 14:28:49.189:ENFORCEMENT:Predictive Enforcement Action:  Target Number: 0001704B  Target Speed:   1.0  Current Speed:   8.6</t>
  </si>
  <si>
    <t>SYS :2017/02/23 14:28:49.508:ENFORCEMENT:Predictive Enforcement Action:  Target Number: 00017046  Target Speed:   1.0  Current Speed:   8.6</t>
  </si>
  <si>
    <t>SYS :2017/02/23 14:56:39.328:ENFORCEMENT:Predictive Enforcement Action:  Target Number: 0001702D  Target Speed:  14.0  Current Speed:  24.5</t>
  </si>
  <si>
    <t>SYS :2017/02/23 14:56:39.718:ENFORCEMENT:Predictive Enforcement Action:  Target Number: 0001702D  Target Speed:  14.0  Current Speed:  23.7</t>
  </si>
  <si>
    <t>SYS :2017/02/23 14:56:39.737:ENFORCEMENT:Predictive Enforcement Action:  Target Number: 0001702D  Target Speed:  14.0  Current Speed:  24.5</t>
  </si>
  <si>
    <t>SYS :2017/02/23 15:21:02.984:ENFORCEMENT:Predictive Enforcement Action:  Target Number: 00017043  Target Speed:   0.0  Current Speed:  22.8</t>
  </si>
  <si>
    <t>SYS :2017/02/23 15:21:03.501:ENFORCEMENT:Predictive Enforcement Action:  Target Number: 00017043  Target Speed:   0.0  Current Speed:  22.8</t>
  </si>
  <si>
    <t>SYS :2017/02/23 15:21:03.666:ENFORCEMENT:Predictive Enforcement Action:  Target Number: 00017043  Target Speed:   0.0  Current Speed:  22.8</t>
  </si>
  <si>
    <t>SYS :2017/02/23 15:28:52.913:ENFORCEMENT:Predictive Enforcement Action:  Target Number: 0001714B  Target Speed:   0.0  Current Speed:  37.1</t>
  </si>
  <si>
    <t>SYS :2017/02/23 15:28:53.462:ENFORCEMENT:Predictive Enforcement Action:  Target Number: 0001714B  Target Speed:   0.0  Current Speed:  37.1</t>
  </si>
  <si>
    <t>SYS :2017/02/23 15:37:06.212:ENFORCEMENT:Predictive Enforcement Action:  Target Number: 000172CE  Target Speed:   0.0  Current Speed:  18.2</t>
  </si>
  <si>
    <t>SYS :2017/02/23 15:37:07.287:ENFORCEMENT:Predictive Enforcement Action:  Target Number: 000172D3  Target Speed:   0.0  Current Speed:  16.4</t>
  </si>
  <si>
    <t>SYS :2017/02/23 15:39:36.218:ENFORCEMENT:Reactive Enforcement Action:  Target Number: 000172D0  Target Speed:  31.0  Current Speed:  36.0</t>
  </si>
  <si>
    <t>SYS :2017/02/23 16:01:23.849:ENFORCEMENT:Predictive Enforcement Action:  Target Number: 0000E001  Target Speed:   0.0  Current Speed:   6.7</t>
  </si>
  <si>
    <t>SYS :2017/02/23 16:01:25.070:ENFORCEMENT:Predictive Enforcement Action:  Target Number: 0000E001  Target Speed:   0.0  Current Speed:   6.6</t>
  </si>
  <si>
    <t>SYS :2017/02/23 16:05:56.233:ENFORCEMENT:Predictive Enforcement Action:  Target Number: 0000E004  Target Speed:   0.0  Current Speed:  11.0</t>
  </si>
  <si>
    <t>SYS :2017/02/23 16:05:56.674:ENFORCEMENT:Predictive Enforcement Action:  Target Number: 0000E002  Target Speed:   0.0  Current Speed:  11.0</t>
  </si>
  <si>
    <t>SYS :2017/02/23 16:21:24.003:ENFORCEMENT:Predictive Enforcement Action:  Target Number: 0000E005  Target Speed:   0.0  Current Speed:   4.6</t>
  </si>
  <si>
    <t>SYS :2017/02/23 16:21:24.146:ENFORCEMENT:Predictive Enforcement Action:  Target Number: 0000E003  Target Speed:   0.0  Current Speed:   4.6</t>
  </si>
  <si>
    <t>SYS :2017/02/23 16:21:24.259:ENFORCEMENT:Predictive Enforcement Action:  Target Number: 0000E005  Target Speed:   0.0  Current Speed:   4.6</t>
  </si>
  <si>
    <t>SYS :2017/02/23 16:30:49.737:ENFORCEMENT:Reactive Enforcement Action:  Target Number: 0001703C  Target Speed:  37.0  Current Speed:  42.6</t>
  </si>
  <si>
    <t>SYS :2017/02/23 16:30:50.332:ENFORCEMENT:Reactive Enforcement Action:  Target Number: 0001703C  Target Speed:  37.0  Current Speed:  42.6</t>
  </si>
  <si>
    <t>SYS :2017/02/23 16:30:50.755:ENFORCEMENT:Reactive Enforcement Action:  Target Number: 0001703C  Target Speed:  37.0  Current Speed:  42.6</t>
  </si>
  <si>
    <t>SYS :2017/02/23 16:41:25.065:ENFORCEMENT:Predictive Enforcement Action:  Target Number: 000060A5  Target Speed:   0.0  Current Speed:  16.0</t>
  </si>
  <si>
    <t>SYS :2017/02/23 16:51:25.625:ENFORCEMENT:Reactive Enforcement Action:  Target Number: 0000A001  Target Speed:  15.0  Current Speed:  21.6</t>
  </si>
  <si>
    <t>SYS :2017/02/23 16:51:26.146:ENFORCEMENT:Reactive Enforcement Action:  Target Number: 0000A001  Target Speed:  15.0  Current Speed:  21.6</t>
  </si>
  <si>
    <t>SYS :2017/02/23 17:01:49.616:ENFORCEMENT:Predictive Enforcement Action:  Target Number: 000172D3  Target Speed:  18.0  Current Speed:  26.2</t>
  </si>
  <si>
    <t>SYS :2017/02/23 17:01:50.136:ENFORCEMENT:Predictive Enforcement Action:  Target Number: 000170C8  Target Speed:  18.0  Current Speed:  26.2</t>
  </si>
  <si>
    <t>SYS :2017/02/23 17:06:04.997:ENFORCEMENT:Predictive Enforcement Action:  Target Number: 00017055  Target Speed:   0.0  Current Speed:  17.4</t>
  </si>
  <si>
    <t>SYS :2017/02/23 17:06:05.506:ENFORCEMENT:Predictive Enforcement Action:  Target Number: 00017055  Target Speed:   0.0  Current Speed:  17.4</t>
  </si>
  <si>
    <t>SYS :2017/02/23 17:06:05.672:ENFORCEMENT:Predictive Enforcement Action:  Target Number: 00017055  Target Speed:   0.0  Current Speed:  17.4</t>
  </si>
  <si>
    <t>SYS :2017/02/23 17:12:34.695:ENFORCEMENT:Predictive Enforcement Action:  Target Number: 00017040  Target Speed:   8.0  Current Speed:  13.7</t>
  </si>
  <si>
    <t>SYS :2017/02/23 17:12:37.135:ENFORCEMENT:Predictive Enforcement Action:  Target Number: 00017040  Target Speed:   8.0  Current Speed:  13.6</t>
  </si>
  <si>
    <t>SYS :2017/02/23 17:16:39.917:ENFORCEMENT:Predictive Enforcement Action:  Target Number: 0001716C  Target Speed:  40.0  Current Speed:  45.4</t>
  </si>
  <si>
    <t>SYS :2017/02/23 17:16:41.475:ENFORCEMENT:Predictive Enforcement Action:  Target Number: 0001716C  Target Speed:  40.0  Current Speed:  45.5</t>
  </si>
  <si>
    <t>SYS :2017/02/23 17:36:36.975:ENFORCEMENT:Predictive Enforcement Action:  Target Number: 0000101A  Target Speed:   0.0  Current Speed:  15.7</t>
  </si>
  <si>
    <t>SYS :2017/02/23 17:36:37.483:ENFORCEMENT:Predictive Enforcement Action:  Target Number: 0000101A  Target Speed:   0.0  Current Speed:  15.7</t>
  </si>
  <si>
    <t>SYS :2017/02/23 17:36:37.656:ENFORCEMENT:Predictive Enforcement Action:  Target Number: 0000101A  Target Speed:   0.0  Current Speed:  15.7</t>
  </si>
  <si>
    <t>SYS :2017/02/23 17:55:46.848:ENFORCEMENT:Predictive Enforcement Action:  Target Number: 00001029  Target Speed:   0.0  Current Speed:   3.9</t>
  </si>
  <si>
    <t>SYS :2017/02/23 17:55:47.068:ENFORCEMENT:Predictive Enforcement Action:  Target Number: 0000101B  Target Speed:   0.0  Current Speed:   3.9</t>
  </si>
  <si>
    <t>SYS :2017/02/23 17:55:47.170:ENFORCEMENT:Predictive Enforcement Action:  Target Number: 00001029  Target Speed:   0.0  Current Speed:   3.9</t>
  </si>
  <si>
    <t>SYS :2017/02/23 17:57:53.249:ENFORCEMENT:Predictive Enforcement Action:  Target Number: 0001714F  Target Speed:   0.0  Current Speed:  22.3</t>
  </si>
  <si>
    <t>SYS :2017/02/23 17:57:53.773:ENFORCEMENT:Reactive Enforcement Action:  Target Number: 00017034  Target Speed:   0.0  Current Speed:  22.3</t>
  </si>
  <si>
    <t>SYS :2017/02/23 17:57:53.898:ENFORCEMENT:Reactive Enforcement Action:  Target Number: 0001702D  Target Speed:   0.0  Current Speed:  20.2</t>
  </si>
  <si>
    <t>SYS :2017/02/23 18:00:49.910:ENFORCEMENT:Predictive Enforcement Action:  Target Number: 0001003B  Target Speed:  20.0  Current Speed:  26.6</t>
  </si>
  <si>
    <t>SYS :2017/02/23 18:00:50.260:ENFORCEMENT:Predictive Enforcement Action:  Target Number: 00010233  Target Speed:  20.0  Current Speed:  26.6</t>
  </si>
  <si>
    <t>SYS :2017/02/23 18:00:50.786:ENFORCEMENT:Predictive Enforcement Action:  Target Number: 0001004A  Target Speed:  20.0  Current Speed:  26.6</t>
  </si>
  <si>
    <t>SYS :2017/02/23 18:23:02.349:ENFORCEMENT:Predictive Enforcement Action:  Target Number: 00017063  Target Speed:   0.0  Current Speed:  63.9</t>
  </si>
  <si>
    <t>SYS :2017/02/23 18:23:02.737:ENFORCEMENT:Predictive Enforcement Action:  Target Number: 00017063  Target Speed:   0.0  Current Speed:  64.1</t>
  </si>
  <si>
    <t>SYS :2017/02/23 18:23:02.752:ENFORCEMENT:Predictive Enforcement Action:  Target Number: 00017063  Target Speed:   0.0  Current Speed:  64.1</t>
  </si>
  <si>
    <t>SYS :2017/02/23 18:26:12.564:ENFORCEMENT:Predictive Enforcement Action:  Target Number: 0000101E  Target Speed:   0.0  Current Speed:   8.5</t>
  </si>
  <si>
    <t>SYS :2017/02/23 18:26:12.843:ENFORCEMENT:Predictive Enforcement Action:  Target Number: 0000101E  Target Speed:   0.0  Current Speed:   8.5</t>
  </si>
  <si>
    <t>SYS :2017/02/23 18:28:47.724:ENFORCEMENT:Predictive Enforcement Action:  Target Number: 000100A0  Target Speed:  30.0  Current Speed:  48.8</t>
  </si>
  <si>
    <t>SYS :2017/02/23 18:28:48.327:ENFORCEMENT:Predictive Enforcement Action:  Target Number: 0001009C  Target Speed:  30.0  Current Speed:  48.8</t>
  </si>
  <si>
    <t>SYS :2017/02/23 18:54:56.641:ENFORCEMENT:Predictive Enforcement Action:  Target Number: 00001042  Target Speed:   0.0  Current Speed:   5.7</t>
  </si>
  <si>
    <t>SYS :2017/02/23 18:54:56.827:ENFORCEMENT:Predictive Enforcement Action:  Target Number: 00001043  Target Speed:   0.0  Current Speed:   5.7</t>
  </si>
  <si>
    <t>SYS :2017/02/23 18:54:56.979:ENFORCEMENT:Predictive Enforcement Action:  Target Number: 00001043  Target Speed:   0.0  Current Speed:   5.7</t>
  </si>
  <si>
    <t>SYS :2017/02/23 19:08:53.036:ENFORCEMENT:Reactive Enforcement Action:  Target Number: 00017288  Target Speed:  14.0  Current Speed:  20.1</t>
  </si>
  <si>
    <t>SYS :2017/02/23 19:08:53.037:ENFORCEMENT:Reactive Enforcement Action:  Target Number: 00017288  Target Speed:  14.0  Current Speed:  20.1</t>
  </si>
  <si>
    <t>SYS :2017/02/23 19:08:53.095:ENFORCEMENT:Reactive Enforcement Action:  Target Number: 00017190  Target Speed:  14.0  Current Speed:  20.1</t>
  </si>
  <si>
    <t>SYS :2017/02/23 19:33:58.823:ENFORCEMENT:Predictive Enforcement Action:  Target Number: 00017043  Target Speed:  50.0  Current Speed:  56.2</t>
  </si>
  <si>
    <t>SYS :2017/02/23 19:33:58.912:ENFORCEMENT:Predictive Enforcement Action:  Target Number: 0001703C  Target Speed:  50.0  Current Speed:  56.2</t>
  </si>
  <si>
    <t>SYS :2017/02/23 19:33:59.259:ENFORCEMENT:Predictive Enforcement Action:  Target Number: 0001715E  Target Speed:  50.0  Current Speed:  56.2</t>
  </si>
  <si>
    <t>SYS :2017/02/23 19:57:57.558:ENFORCEMENT:Predictive Enforcement Action:  Target Number: 0000E002  Target Speed:   0.0  Current Speed:  16.8</t>
  </si>
  <si>
    <t>SYS :2017/02/23 19:57:57.840:ENFORCEMENT:Predictive Enforcement Action:  Target Number: 0000E002  Target Speed:   0.0  Current Speed:  17.3</t>
  </si>
  <si>
    <t>SYS :2017/02/23 20:37:02.059:ENFORCEMENT:Predictive Enforcement Action:  Target Number: 0000E001  Target Speed:   0.0  Current Speed:  37.8</t>
  </si>
  <si>
    <t>SYS :2017/02/23 20:37:02.681:ENFORCEMENT:Predictive Enforcement Action:  Target Number: 0000E001  Target Speed:   0.0  Current Speed:  37.8</t>
  </si>
  <si>
    <t>SYS :2017/02/23 20:42:16.670:ENFORCEMENT:Predictive Enforcement Action:  Target Number: 0001707A  Target Speed:   0.0  Current Speed:  21.3</t>
  </si>
  <si>
    <t>SYS :2017/02/23 20:42:17.062:ENFORCEMENT:Predictive Enforcement Action:  Target Number: 0001707A  Target Speed:   0.0  Current Speed:  18.9</t>
  </si>
  <si>
    <t>SYS :2017/02/23 20:49:37.461:ENFORCEMENT:Predictive Enforcement Action:  Target Number: 0001719E  Target Speed:  10.0  Current Speed:  15.9</t>
  </si>
  <si>
    <t>SYS :2017/02/23 20:49:37.918:ENFORCEMENT:Predictive Enforcement Action:  Target Number: 0001719E  Target Speed:  10.0  Current Speed:  15.9</t>
  </si>
  <si>
    <t>SYS :2017/02/23 21:07:51.171:ENFORCEMENT:Predictive Enforcement Action:  Target Number: 00017084  Target Speed:  17.0  Current Speed:  30.1</t>
  </si>
  <si>
    <t>SYS :2017/02/23 21:07:51.562:ENFORCEMENT:Predictive Enforcement Action:  Target Number: 00017078  Target Speed:  17.0  Current Speed:  29.4</t>
  </si>
  <si>
    <t>SYS :2017/02/23 21:07:51.954:ENFORCEMENT:Predictive Enforcement Action:  Target Number: 00017084  Target Speed:  17.0  Current Speed:  29.4</t>
  </si>
  <si>
    <t>SYS :2017/02/23 21:43:25.575:ENFORCEMENT:Predictive Enforcement Action:  Target Number: 00017132  Target Speed:   0.0  Current Speed:  16.9</t>
  </si>
  <si>
    <t>SYS :2017/02/23 21:43:26.849:ENFORCEMENT:Predictive Enforcement Action:  Target Number: 00017132  Target Speed:   0.0  Current Speed:  16.9</t>
  </si>
  <si>
    <t>SYS :2017/02/23 21:52:28.558:ENFORCEMENT:Predictive Enforcement Action:  Target Number: 00001024  Target Speed:   0.0  Current Speed:   3.9</t>
  </si>
  <si>
    <t>SYS :2017/02/23 21:59:00.661:ENFORCEMENT:Reactive Enforcement Action:  Target Number: 0001040D  Target Speed:  40.0  Current Speed:  45.6</t>
  </si>
  <si>
    <t>SYS :2017/02/23 21:59:00.843:ENFORCEMENT:Reactive Enforcement Action:  Target Number: 00010411  Target Speed:  40.0  Current Speed:  45.6</t>
  </si>
  <si>
    <t>SYS :2017/02/23 21:59:01.004:ENFORCEMENT:Reactive Enforcement Action:  Target Number: 00010411  Target Speed:  40.0  Current Speed:  45.6</t>
  </si>
  <si>
    <t>SYS :2017/02/23 22:35:19.044:ENFORCEMENT:Reactive Enforcement Action:  Target Number: 0001053F  Target Speed:  30.0  Current Speed:  36.4</t>
  </si>
  <si>
    <t>SYS :2017/02/23 22:35:19.053:ENFORCEMENT:Reactive Enforcement Action:  Target Number: 00010537  Target Speed:  30.0  Current Speed:  36.4</t>
  </si>
  <si>
    <t>SYS :2017/02/23 22:35:19.106:ENFORCEMENT:Reactive Enforcement Action:  Target Number: 0001035D  Target Speed:  30.0  Current Speed:  36.4</t>
  </si>
  <si>
    <t>SYS :2017/02/23 22:52:00.031:ENFORCEMENT:Predictive Enforcement Action:  Target Number: 0001054C  Target Speed:  40.0  Current Speed:  53.6</t>
  </si>
  <si>
    <t>SYS :2017/02/23 22:52:00.038:ENFORCEMENT:Predictive Enforcement Action:  Target Number: 00010544  Target Speed:  40.0  Current Speed:  53.6</t>
  </si>
  <si>
    <t>SYS :2017/02/23 22:52:01.093:ENFORCEMENT:Predictive Enforcement Action:  Target Number: 0001036B  Target Speed:  40.0  Current Speed:  52.6</t>
  </si>
  <si>
    <t>SYS :2017/02/23 23:06:31.197:ENFORCEMENT:Predictive Enforcement Action:  Target Number: 000170BD  Target Speed:   0.0  Current Speed:  18.0</t>
  </si>
  <si>
    <t>SYS :2017/02/23 23:06:31.646:ENFORCEMENT:Predictive Enforcement Action:  Target Number: 00017052  Target Speed:   0.0  Current Speed:  18.0</t>
  </si>
  <si>
    <t>SYS :2017/02/23 23:06:32.241:ENFORCEMENT:Predictive Enforcement Action:  Target Number: 000170BD  Target Speed:   0.0  Current Speed:  17.6</t>
  </si>
  <si>
    <t>SYS :2017/02/24 00:20:39.917:ENFORCEMENT:Predictive Enforcement Action:  Target Number: 000171CE  Target Speed:  14.0  Current Speed:  20.0</t>
  </si>
  <si>
    <t>SYS :2017/02/24 00:20:40.462:ENFORCEMENT:Predictive Enforcement Action:  Target Number: 000171CE  Target Speed:  14.0  Current Speed:  20.0</t>
  </si>
  <si>
    <t>SYS :2017/02/24 00:25:15.086:ENFORCEMENT:Predictive Enforcement Action:  Target Number: 0000103C  Target Speed:   0.0  Current Speed:   8.8</t>
  </si>
  <si>
    <t>SYS :2017/02/24 00:25:15.467:ENFORCEMENT:Predictive Enforcement Action:  Target Number: 0000103A  Target Speed:   0.0  Current Speed:   8.8</t>
  </si>
  <si>
    <t>SYS :2017/02/24 00:55:33.649:ENFORCEMENT:Predictive Enforcement Action:  Target Number: 00017068  Target Speed:  33.0  Current Speed:  46.0</t>
  </si>
  <si>
    <t>SYS :2017/02/24 00:55:34.191:ENFORCEMENT:Predictive Enforcement Action:  Target Number: 000170D3  Target Speed:  33.0  Current Speed:  46.0</t>
  </si>
  <si>
    <t>SYS :2017/02/24 00:55:34.241:ENFORCEMENT:Predictive Enforcement Action:  Target Number: 000170D3  Target Speed:  33.0  Current Speed:  46.0</t>
  </si>
  <si>
    <t>SYS :2017/02/24 01:06:21.607:ENFORCEMENT:Predictive Enforcement Action:  Target Number: 00017157  Target Speed:  14.0  Current Speed:  19.4</t>
  </si>
  <si>
    <t>SYS :2017/02/24 01:06:21.633:ENFORCEMENT:Predictive Enforcement Action:  Target Number: 00017157  Target Speed:  14.0  Current Speed:  19.4</t>
  </si>
  <si>
    <t>SYS :2017/02/24 01:06:21.871:ENFORCEMENT:Predictive Enforcement Action:  Target Number: 00017157  Target Speed:  14.0  Current Speed:  19.4</t>
  </si>
  <si>
    <t>SYS :2017/02/24 01:20:04.092:ENFORCEMENT:Predictive Enforcement Action:  Target Number: 000064C3  Target Speed:   0.0  Current Speed:  27.0</t>
  </si>
  <si>
    <t>SYS :2017/02/24 01:20:04.453:ENFORCEMENT:Predictive Enforcement Action:  Target Number: 000064B5  Target Speed:   0.0  Current Speed:  27.0</t>
  </si>
  <si>
    <t>SYS :2017/02/24 01:49:24.383:ENFORCEMENT:Predictive Enforcement Action:  Target Number: 000171A7  Target Speed:   0.0  Current Speed:  76.6</t>
  </si>
  <si>
    <t>SYS :2017/02/24 01:49:25.228:ENFORCEMENT:Predictive Enforcement Action:  Target Number: 0001718F  Target Speed:   0.0  Current Speed:  76.3</t>
  </si>
  <si>
    <t>SYS :2017/02/24 01:49:26.002:ENFORCEMENT:Predictive Enforcement Action:  Target Number: 000171B3  Target Speed:   0.0  Current Speed:  76.0</t>
  </si>
  <si>
    <t>SYS :2017/02/24 02:07:40.093:ENFORCEMENT:Predictive Enforcement Action:  Target Number: 000171D7  Target Speed:   0.0  Current Speed:  24.3</t>
  </si>
  <si>
    <t>SYS :2017/02/24 02:07:41.034:ENFORCEMENT:Predictive Enforcement Action:  Target Number: 000172CF  Target Speed:   0.0  Current Speed:  23.0</t>
  </si>
  <si>
    <t>SYS :2017/02/24 02:07:42.034:ENFORCEMENT:Reactive Enforcement Action:  Target Number: 000172CF  Target Speed:   0.0  Current Speed:  22.4</t>
  </si>
  <si>
    <t>SYS :2017/02/24 02:11:03.923:ENFORCEMENT:Predictive Enforcement Action:  Target Number: 000171ED  Target Speed:  23.0  Current Speed:  33.5</t>
  </si>
  <si>
    <t>SYS :2017/02/24 02:11:04.473:ENFORCEMENT:Predictive Enforcement Action:  Target Number: 000171ED  Target Speed:  23.0  Current Speed:  35.0</t>
  </si>
  <si>
    <t>SYS :2017/02/24 02:37:37.236:ENFORCEMENT:Predictive Enforcement Action:  Target Number: 000170E2  Target Speed:  14.0  Current Speed:  19.8</t>
  </si>
  <si>
    <t>SYS :2017/02/24 02:37:37.650:ENFORCEMENT:Predictive Enforcement Action:  Target Number: 00017077  Target Speed:  14.0  Current Speed:  19.8</t>
  </si>
  <si>
    <t>SYS :2017/02/24 02:37:38.193:ENFORCEMENT:Predictive Enforcement Action:  Target Number: 000170E2  Target Speed:  14.0  Current Speed:  19.8</t>
  </si>
  <si>
    <t>SYS :2017/02/24 02:38:22.200:ENFORCEMENT:Reactive Enforcement Action:  Target Number: 000170E2  Target Speed:   0.0  Current Speed:   7.9</t>
  </si>
  <si>
    <t>SYS :2017/02/24 02:38:22.647:ENFORCEMENT:Reactive Enforcement Action:  Target Number: 00017077  Target Speed:   0.0  Current Speed:   9.5</t>
  </si>
  <si>
    <t>SYS :2017/02/24 02:38:23.250:ENFORCEMENT:Reactive Enforcement Action:  Target Number: 000170E2  Target Speed:   0.0  Current Speed:  11.1</t>
  </si>
  <si>
    <t>SYS :2017/02/24 02:54:05.575:ENFORCEMENT:Predictive Enforcement Action:  Target Number: 0001716E  Target Speed:  24.0  Current Speed:  29.0</t>
  </si>
  <si>
    <t>SYS :2017/02/24 02:54:05.861:ENFORCEMENT:Predictive Enforcement Action:  Target Number: 0001716E  Target Speed:  24.0  Current Speed:  29.0</t>
  </si>
  <si>
    <t>SYS :2017/02/24 02:54:06.254:ENFORCEMENT:Predictive Enforcement Action:  Target Number: 0001700D  Target Speed:  24.0  Current Speed:  29.0</t>
  </si>
  <si>
    <t>SYS :2017/02/24 03:30:40.984:ENFORCEMENT:Predictive Enforcement Action:  Target Number: 000172D7  Target Speed:   0.0  Current Speed:  13.5</t>
  </si>
  <si>
    <t>SYS :2017/02/24 03:30:41.642:ENFORCEMENT:Reactive Enforcement Action:  Target Number: 000172D7  Target Speed:   0.0  Current Speed:  13.5</t>
  </si>
  <si>
    <t>SYS :2017/02/24 03:30:41.828:ENFORCEMENT:Predictive Enforcement Action:  Target Number: 000172D7  Target Speed:   0.0  Current Speed:  12.9</t>
  </si>
  <si>
    <t>SYS :2017/02/24 04:22:36.249:ENFORCEMENT:Predictive Enforcement Action:  Target Number: 000171D5  Target Speed:  15.0  Current Speed:  20.9</t>
  </si>
  <si>
    <t>SYS :2017/02/24 04:22:36.784:ENFORCEMENT:Predictive Enforcement Action:  Target Number: 000170BA  Target Speed:  15.0  Current Speed:  20.9</t>
  </si>
  <si>
    <t>SYS :2017/02/24 04:22:36.906:ENFORCEMENT:Predictive Enforcement Action:  Target Number: 000170B3  Target Speed:  15.0  Current Speed:  20.9</t>
  </si>
  <si>
    <t>SYS :2017/02/24 04:54:58.187:ENFORCEMENT:Predictive Enforcement Action:  Target Number: 0000103B  Target Speed:   0.0  Current Speed:   3.8</t>
  </si>
  <si>
    <t>SYS :2017/02/24 04:54:58.340:ENFORCEMENT:Predictive Enforcement Action:  Target Number: 00001040  Target Speed:   0.0  Current Speed:   3.8</t>
  </si>
  <si>
    <t>SYS :2017/02/24 04:54:58.374:ENFORCEMENT:Predictive Enforcement Action:  Target Number: 0000102D  Target Speed:   0.0  Current Speed:   3.8</t>
  </si>
  <si>
    <t>SYS :2017/02/24 06:09:05.446:ENFORCEMENT:Reactive Enforcement Action:  Target Number: 0001721C  Target Speed:   0.0  Current Speed:  11.0</t>
  </si>
  <si>
    <t>SYS :2017/02/24 06:09:05.904:ENFORCEMENT:Reactive Enforcement Action:  Target Number: 0001721C  Target Speed:   0.0  Current Speed:  11.0</t>
  </si>
  <si>
    <t>315-25</t>
  </si>
  <si>
    <t>304-26</t>
  </si>
  <si>
    <t>101-26</t>
  </si>
  <si>
    <t>117-26</t>
  </si>
  <si>
    <t>114-26</t>
  </si>
  <si>
    <t>121-26</t>
  </si>
  <si>
    <t>133-26</t>
  </si>
  <si>
    <t>136-26</t>
  </si>
  <si>
    <t>144-26</t>
  </si>
  <si>
    <t>142-26</t>
  </si>
  <si>
    <t>155-26</t>
  </si>
  <si>
    <t>159-26</t>
  </si>
  <si>
    <t>150-26</t>
  </si>
  <si>
    <t>162-26</t>
  </si>
  <si>
    <t>164-26</t>
  </si>
  <si>
    <t>179-26</t>
  </si>
  <si>
    <t>183-26</t>
  </si>
  <si>
    <t>172-26</t>
  </si>
  <si>
    <t>180-26</t>
  </si>
  <si>
    <t>1820-26</t>
  </si>
  <si>
    <t>201-26</t>
  </si>
  <si>
    <t>211-26</t>
  </si>
  <si>
    <t>212-26</t>
  </si>
  <si>
    <t>221-26</t>
  </si>
  <si>
    <t>214-26</t>
  </si>
  <si>
    <t>220-26</t>
  </si>
  <si>
    <t>60-26</t>
  </si>
  <si>
    <t>61-26</t>
  </si>
  <si>
    <t>242-26</t>
  </si>
  <si>
    <t>245-25</t>
  </si>
  <si>
    <t>rtdc.l.rtdc.4051:itc</t>
  </si>
  <si>
    <t>309-25</t>
  </si>
  <si>
    <t>244-25</t>
  </si>
  <si>
    <t>SAFIEF</t>
  </si>
  <si>
    <t>AEIMEN</t>
  </si>
  <si>
    <t>81-25</t>
  </si>
  <si>
    <t>311-25</t>
  </si>
  <si>
    <t>STAMBAUGH</t>
  </si>
  <si>
    <t>246-25</t>
  </si>
  <si>
    <t>80-25</t>
  </si>
  <si>
    <t>313-25</t>
  </si>
  <si>
    <t>302-26</t>
  </si>
  <si>
    <t>SANTIZO</t>
  </si>
  <si>
    <t>D. EDY</t>
  </si>
  <si>
    <t>MAELZER</t>
  </si>
  <si>
    <t>KURT</t>
  </si>
  <si>
    <t>103-26</t>
  </si>
  <si>
    <t>308-26</t>
  </si>
  <si>
    <t>BRANDNER</t>
  </si>
  <si>
    <t>MELINDA</t>
  </si>
  <si>
    <t>102-26</t>
  </si>
  <si>
    <t>105-26</t>
  </si>
  <si>
    <t>ARVIDSON</t>
  </si>
  <si>
    <t>DANIEL</t>
  </si>
  <si>
    <t>310-26</t>
  </si>
  <si>
    <t>107-26</t>
  </si>
  <si>
    <t>109-26</t>
  </si>
  <si>
    <t>104-26</t>
  </si>
  <si>
    <t>111-26</t>
  </si>
  <si>
    <t>113-26</t>
  </si>
  <si>
    <t>106-26</t>
  </si>
  <si>
    <t>rtdc.l.rtdc.4007:itc</t>
  </si>
  <si>
    <t>1901-26</t>
  </si>
  <si>
    <t>108-26</t>
  </si>
  <si>
    <t>115-26</t>
  </si>
  <si>
    <t>1800-26</t>
  </si>
  <si>
    <t>110-26</t>
  </si>
  <si>
    <t>112-26</t>
  </si>
  <si>
    <t>1801-26</t>
  </si>
  <si>
    <t>119-26</t>
  </si>
  <si>
    <t>116-26</t>
  </si>
  <si>
    <t>123-26</t>
  </si>
  <si>
    <t>1802-26</t>
  </si>
  <si>
    <t>118-26</t>
  </si>
  <si>
    <t>125-26</t>
  </si>
  <si>
    <t>120-26</t>
  </si>
  <si>
    <t>127-26</t>
  </si>
  <si>
    <t>1803-26</t>
  </si>
  <si>
    <t>122-26</t>
  </si>
  <si>
    <t>129-26</t>
  </si>
  <si>
    <t>124-26</t>
  </si>
  <si>
    <t>126-26</t>
  </si>
  <si>
    <t>131-26</t>
  </si>
  <si>
    <t>MOSES</t>
  </si>
  <si>
    <t>BRADLEY</t>
  </si>
  <si>
    <t>1804-26</t>
  </si>
  <si>
    <t>128-26</t>
  </si>
  <si>
    <t>135-26</t>
  </si>
  <si>
    <t>1805-26</t>
  </si>
  <si>
    <t>130-26</t>
  </si>
  <si>
    <t>137-26</t>
  </si>
  <si>
    <t>132-26</t>
  </si>
  <si>
    <t>139-26</t>
  </si>
  <si>
    <t>1806-26</t>
  </si>
  <si>
    <t>134-26</t>
  </si>
  <si>
    <t>141-26</t>
  </si>
  <si>
    <t>1807-26</t>
  </si>
  <si>
    <t>143-26</t>
  </si>
  <si>
    <t>138-26</t>
  </si>
  <si>
    <t>145-26</t>
  </si>
  <si>
    <t>140-26</t>
  </si>
  <si>
    <t>147-26</t>
  </si>
  <si>
    <t>1808-26</t>
  </si>
  <si>
    <t>149-26</t>
  </si>
  <si>
    <t>151-26</t>
  </si>
  <si>
    <t>1809-26</t>
  </si>
  <si>
    <t>146-26</t>
  </si>
  <si>
    <t>153-26</t>
  </si>
  <si>
    <t>148-26</t>
  </si>
  <si>
    <t>ROMERO</t>
  </si>
  <si>
    <t>CHAD</t>
  </si>
  <si>
    <t>1810-26</t>
  </si>
  <si>
    <t>157-26</t>
  </si>
  <si>
    <t>152-26</t>
  </si>
  <si>
    <t>STEWART</t>
  </si>
  <si>
    <t>1811-26</t>
  </si>
  <si>
    <t>154-26</t>
  </si>
  <si>
    <t>156-26</t>
  </si>
  <si>
    <t>161-26</t>
  </si>
  <si>
    <t>DAVIS</t>
  </si>
  <si>
    <t>50-26</t>
  </si>
  <si>
    <t>CRAYTON</t>
  </si>
  <si>
    <t>QUNTRELL</t>
  </si>
  <si>
    <t>163-26</t>
  </si>
  <si>
    <t>LEVIN</t>
  </si>
  <si>
    <t>SCOTT</t>
  </si>
  <si>
    <t>158-26</t>
  </si>
  <si>
    <t>1812-26</t>
  </si>
  <si>
    <t>165-26</t>
  </si>
  <si>
    <t>160-26</t>
  </si>
  <si>
    <t>167-26</t>
  </si>
  <si>
    <t>1813-26</t>
  </si>
  <si>
    <t>51-26</t>
  </si>
  <si>
    <t>169-26</t>
  </si>
  <si>
    <t>HOLCOMB</t>
  </si>
  <si>
    <t>KAMDEN</t>
  </si>
  <si>
    <t>171-26</t>
  </si>
  <si>
    <t>166-26</t>
  </si>
  <si>
    <t>1814-26</t>
  </si>
  <si>
    <t>168-26</t>
  </si>
  <si>
    <t>173-26</t>
  </si>
  <si>
    <t>1815-26</t>
  </si>
  <si>
    <t>175-26</t>
  </si>
  <si>
    <t>170-26</t>
  </si>
  <si>
    <t>177-26</t>
  </si>
  <si>
    <t>174-26</t>
  </si>
  <si>
    <t>1816-26</t>
  </si>
  <si>
    <t>181-26</t>
  </si>
  <si>
    <t>176-26</t>
  </si>
  <si>
    <t>178-26</t>
  </si>
  <si>
    <t>185-26</t>
  </si>
  <si>
    <t>1817-26</t>
  </si>
  <si>
    <t>187-26</t>
  </si>
  <si>
    <t>182-26</t>
  </si>
  <si>
    <t>1818-26</t>
  </si>
  <si>
    <t>184-26</t>
  </si>
  <si>
    <t>189-26</t>
  </si>
  <si>
    <t>191-26</t>
  </si>
  <si>
    <t>186-26</t>
  </si>
  <si>
    <t>193-26</t>
  </si>
  <si>
    <t>1819-26</t>
  </si>
  <si>
    <t>188-26</t>
  </si>
  <si>
    <t>195-26</t>
  </si>
  <si>
    <t>197-26</t>
  </si>
  <si>
    <t>190-26</t>
  </si>
  <si>
    <t>192-26</t>
  </si>
  <si>
    <t>199-26</t>
  </si>
  <si>
    <t>194-26</t>
  </si>
  <si>
    <t>196-26</t>
  </si>
  <si>
    <t>1821-26</t>
  </si>
  <si>
    <t>198-26</t>
  </si>
  <si>
    <t>203-26</t>
  </si>
  <si>
    <t>1822-26</t>
  </si>
  <si>
    <t>205-26</t>
  </si>
  <si>
    <t>200-26</t>
  </si>
  <si>
    <t>207-26</t>
  </si>
  <si>
    <t>202-26</t>
  </si>
  <si>
    <t>209-26</t>
  </si>
  <si>
    <t>65-26</t>
  </si>
  <si>
    <t>1823-26</t>
  </si>
  <si>
    <t>204-26</t>
  </si>
  <si>
    <t>PERKINS</t>
  </si>
  <si>
    <t>DARREN</t>
  </si>
  <si>
    <t>52-26</t>
  </si>
  <si>
    <t>206-26</t>
  </si>
  <si>
    <t>213-26</t>
  </si>
  <si>
    <t>1824-26</t>
  </si>
  <si>
    <t>208-26</t>
  </si>
  <si>
    <t>215-26</t>
  </si>
  <si>
    <t>54-26</t>
  </si>
  <si>
    <t>210-26</t>
  </si>
  <si>
    <t>217-26</t>
  </si>
  <si>
    <t>1825-26</t>
  </si>
  <si>
    <t>55-26</t>
  </si>
  <si>
    <t>219-26</t>
  </si>
  <si>
    <t>1826-26</t>
  </si>
  <si>
    <t>303-26</t>
  </si>
  <si>
    <t>216-26</t>
  </si>
  <si>
    <t>218-26</t>
  </si>
  <si>
    <t>305-26</t>
  </si>
  <si>
    <t>1827-26</t>
  </si>
  <si>
    <t>MAGEE</t>
  </si>
  <si>
    <t>KENYA</t>
  </si>
  <si>
    <t>223-26</t>
  </si>
  <si>
    <t>1828-26</t>
  </si>
  <si>
    <t>307-26</t>
  </si>
  <si>
    <t>222-26</t>
  </si>
  <si>
    <t>225-26</t>
  </si>
  <si>
    <t>227-26</t>
  </si>
  <si>
    <t>224-26</t>
  </si>
  <si>
    <t>1829-26</t>
  </si>
  <si>
    <t>1830-26</t>
  </si>
  <si>
    <t>226-26</t>
  </si>
  <si>
    <t>229-26</t>
  </si>
  <si>
    <t>1831-26</t>
  </si>
  <si>
    <t>231-26</t>
  </si>
  <si>
    <t>228-26</t>
  </si>
  <si>
    <t>1832-26</t>
  </si>
  <si>
    <t>233-26</t>
  </si>
  <si>
    <t>230-26</t>
  </si>
  <si>
    <t>235-26</t>
  </si>
  <si>
    <t>1833-26</t>
  </si>
  <si>
    <t>232-26</t>
  </si>
  <si>
    <t>1902-26</t>
  </si>
  <si>
    <t>234-26</t>
  </si>
  <si>
    <t>237-26</t>
  </si>
  <si>
    <t>236-26</t>
  </si>
  <si>
    <t>239-26</t>
  </si>
  <si>
    <t>241-26</t>
  </si>
  <si>
    <t>238-26</t>
  </si>
  <si>
    <t>243-26</t>
  </si>
  <si>
    <t>240-26</t>
  </si>
  <si>
    <t>315-26</t>
  </si>
  <si>
    <t>309-26</t>
  </si>
  <si>
    <t>244-26</t>
  </si>
  <si>
    <t>311-26</t>
  </si>
  <si>
    <t>313-26</t>
  </si>
  <si>
    <t>clear-night</t>
  </si>
  <si>
    <t>Clear</t>
  </si>
  <si>
    <t>clear-day</t>
  </si>
  <si>
    <t>partly-cloudy-day</t>
  </si>
  <si>
    <t>Partly Cloudy</t>
  </si>
  <si>
    <t>204:233347</t>
  </si>
  <si>
    <t>204:232707</t>
  </si>
  <si>
    <t>204:129</t>
  </si>
  <si>
    <t>204:734</t>
  </si>
  <si>
    <t>204:233334</t>
  </si>
  <si>
    <t>204:232702</t>
  </si>
  <si>
    <t>204:232698</t>
  </si>
  <si>
    <t>204:79</t>
  </si>
  <si>
    <t>204:233025</t>
  </si>
  <si>
    <t>204:715</t>
  </si>
  <si>
    <t>204:232986</t>
  </si>
  <si>
    <t>204:233000</t>
  </si>
  <si>
    <t>204:233307</t>
  </si>
  <si>
    <t>204:232998</t>
  </si>
  <si>
    <t>204:233329</t>
  </si>
  <si>
    <t>204:706</t>
  </si>
  <si>
    <t>204:233360</t>
  </si>
  <si>
    <t>204:233225</t>
  </si>
  <si>
    <t>204:232915</t>
  </si>
  <si>
    <t>204:233255</t>
  </si>
  <si>
    <t>204:232927</t>
  </si>
  <si>
    <t>204:233017</t>
  </si>
  <si>
    <t>204:180</t>
  </si>
  <si>
    <t>204:233340</t>
  </si>
  <si>
    <t>204:233043</t>
  </si>
  <si>
    <t>204:176</t>
  </si>
  <si>
    <t>204:233324</t>
  </si>
  <si>
    <t>204:233351</t>
  </si>
  <si>
    <t>204:233040</t>
  </si>
  <si>
    <t>204:233364</t>
  </si>
  <si>
    <t>204:480</t>
  </si>
  <si>
    <t>204:233315</t>
  </si>
  <si>
    <t>204:233339</t>
  </si>
  <si>
    <t>204:233005</t>
  </si>
  <si>
    <t>204:118</t>
  </si>
  <si>
    <t>204:233198</t>
  </si>
  <si>
    <t>204:232879</t>
  </si>
  <si>
    <t>204:203</t>
  </si>
  <si>
    <t>204:232932</t>
  </si>
  <si>
    <t>204:138</t>
  </si>
  <si>
    <t>204:127</t>
  </si>
  <si>
    <t>204:233309</t>
  </si>
  <si>
    <t>204:232975</t>
  </si>
  <si>
    <t>204:415</t>
  </si>
  <si>
    <t>204:233345</t>
  </si>
  <si>
    <t>204:233319</t>
  </si>
  <si>
    <t>204:233288</t>
  </si>
  <si>
    <t>204:429</t>
  </si>
  <si>
    <t>204:232980</t>
  </si>
  <si>
    <t>204:233368</t>
  </si>
  <si>
    <t>204:233066</t>
  </si>
  <si>
    <t>204:125</t>
  </si>
  <si>
    <t>204:198</t>
  </si>
  <si>
    <t>300:58621</t>
  </si>
  <si>
    <t>204:745</t>
  </si>
  <si>
    <t>204:1035</t>
  </si>
  <si>
    <t>300:58933</t>
  </si>
  <si>
    <t>204:761</t>
  </si>
  <si>
    <t>204:1058</t>
  </si>
  <si>
    <t>300:58928</t>
  </si>
  <si>
    <t>300:58615</t>
  </si>
  <si>
    <t>204:752</t>
  </si>
  <si>
    <t>204:1046</t>
  </si>
  <si>
    <t>300:58920</t>
  </si>
  <si>
    <t>300:58609</t>
  </si>
  <si>
    <t>204:755</t>
  </si>
  <si>
    <t>204:1041</t>
  </si>
  <si>
    <t>300:58624</t>
  </si>
  <si>
    <t>204:773</t>
  </si>
  <si>
    <t>204:1074</t>
  </si>
  <si>
    <t>300:58937</t>
  </si>
  <si>
    <t>204:1044</t>
  </si>
  <si>
    <t>300:58946</t>
  </si>
  <si>
    <t>300:58623</t>
  </si>
  <si>
    <t>204:1039</t>
  </si>
  <si>
    <t>204:775</t>
  </si>
  <si>
    <t>204:1055</t>
  </si>
  <si>
    <t>204:750</t>
  </si>
  <si>
    <t>204:1032</t>
  </si>
  <si>
    <t>204:748</t>
  </si>
  <si>
    <t>204:719</t>
  </si>
  <si>
    <t>204:1009</t>
  </si>
  <si>
    <t>204:979</t>
  </si>
  <si>
    <t>204:1037</t>
  </si>
  <si>
    <t>204:1069</t>
  </si>
  <si>
    <t>300:58958</t>
  </si>
  <si>
    <t>300:58651</t>
  </si>
  <si>
    <t>204:19145</t>
  </si>
  <si>
    <t>204:20993</t>
  </si>
  <si>
    <t>204:37182</t>
  </si>
  <si>
    <t>204:435</t>
  </si>
  <si>
    <t>204:1034</t>
  </si>
  <si>
    <t>300:58941</t>
  </si>
  <si>
    <t>204:233291</t>
  </si>
  <si>
    <t>204:232968</t>
  </si>
  <si>
    <t>204:232965</t>
  </si>
  <si>
    <t>204:1164</t>
  </si>
  <si>
    <t>300:30091</t>
  </si>
  <si>
    <t>300:58943</t>
  </si>
  <si>
    <t>300:21769</t>
  </si>
  <si>
    <t>204:233359</t>
  </si>
  <si>
    <t>204:233042</t>
  </si>
  <si>
    <t>204:437</t>
  </si>
  <si>
    <t>204:233311</t>
  </si>
  <si>
    <t>204:232989</t>
  </si>
  <si>
    <t>204:233380</t>
  </si>
  <si>
    <t>204:233072</t>
  </si>
  <si>
    <t>204:232964</t>
  </si>
  <si>
    <t>204:233201</t>
  </si>
  <si>
    <t>204:232892</t>
  </si>
  <si>
    <t>204:488</t>
  </si>
  <si>
    <t>204:233286</t>
  </si>
  <si>
    <t>204:233281</t>
  </si>
  <si>
    <t>204:127864</t>
  </si>
  <si>
    <t>204:233032</t>
  </si>
  <si>
    <t>204:233298</t>
  </si>
  <si>
    <t>204:232974</t>
  </si>
  <si>
    <t>204:233346</t>
  </si>
  <si>
    <t>204:170</t>
  </si>
  <si>
    <t>204:174</t>
  </si>
  <si>
    <t>300:19774</t>
  </si>
  <si>
    <t>300:23299</t>
  </si>
  <si>
    <t>300:19342</t>
  </si>
  <si>
    <t>300:12400</t>
  </si>
  <si>
    <t>300:21939</t>
  </si>
  <si>
    <t>300:13384</t>
  </si>
  <si>
    <t>300:22047</t>
  </si>
  <si>
    <t>300:11625</t>
  </si>
  <si>
    <t>204:548</t>
  </si>
  <si>
    <t>204:1439</t>
  </si>
  <si>
    <t>300:23308</t>
  </si>
  <si>
    <t>300:21180</t>
  </si>
  <si>
    <t>204:84</t>
  </si>
  <si>
    <t>204:404</t>
  </si>
  <si>
    <t>300:24244</t>
  </si>
  <si>
    <t>300:23510</t>
  </si>
  <si>
    <t>300:23201</t>
  </si>
  <si>
    <t>204:1611</t>
  </si>
  <si>
    <t>204:428</t>
  </si>
  <si>
    <t>204:232969</t>
  </si>
  <si>
    <t>204:135</t>
  </si>
  <si>
    <t>204:1165</t>
  </si>
  <si>
    <t>204:1173</t>
  </si>
  <si>
    <t>300:23150</t>
  </si>
  <si>
    <t>204:952</t>
  </si>
  <si>
    <t>204:1259</t>
  </si>
  <si>
    <t>204:1967</t>
  </si>
  <si>
    <t>204:1483</t>
  </si>
  <si>
    <t>204:19129</t>
  </si>
  <si>
    <t>300:23293</t>
  </si>
  <si>
    <t>204:1471</t>
  </si>
  <si>
    <t>204:232619</t>
  </si>
  <si>
    <t>204:9104</t>
  </si>
  <si>
    <t>start /low /b %USERPROFILE%\Documents\GitHub\eaglep3\Utilities\DownloadLogsFromS3.py --loco 4011 --day 2017-02-26</t>
  </si>
  <si>
    <t>start /low /b %USERPROFILE%\Documents\GitHub\eaglep3\Utilities\DownloadLogsFromS3.py --loco 4028 --day 2017-02-26</t>
  </si>
  <si>
    <t>start /low /b %USERPROFILE%\Documents\GitHub\eaglep3\Utilities\DownloadLogsFromS3.py --loco 4045 --day 2017-02-26</t>
  </si>
  <si>
    <t>start /low /b %USERPROFILE%\Documents\GitHub\eaglep3\Utilities\DownloadLogsFromS3.py --loco 4018 --day 2017-02-26</t>
  </si>
  <si>
    <t>start /low /b %USERPROFILE%\Documents\GitHub\eaglep3\Utilities\DownloadLogsFromS3.py --loco 4009 --day 2017-02-27</t>
  </si>
  <si>
    <t>start /low /b %USERPROFILE%\Documents\GitHub\eaglep3\Utilities\DownloadLogsFromS3.py --loco 4003 --day 2017-02-26</t>
  </si>
  <si>
    <t>start /low /b %USERPROFILE%\Documents\GitHub\eaglep3\Utilities\DownloadLogsFromS3.py --loco 4012 --day 2017-02-27</t>
  </si>
  <si>
    <t>start /low /b %USERPROFILE%\Documents\GitHub\eaglep3\Utilities\DownloadLogsFromS3.py --loco 4028 --day 2017-02-27</t>
  </si>
  <si>
    <t>start /low /b %USERPROFILE%\Documents\GitHub\eaglep3\Utilities\DownloadLogsFromS3.py --loco 4026 --day 2017-02-26</t>
  </si>
  <si>
    <t>start /low /b %USERPROFILE%\Documents\GitHub\eaglep3\Utilities\DownloadLogsFromS3.py --loco 4025 --day 2017-02-26</t>
  </si>
  <si>
    <t>start /low /b %USERPROFILE%\Documents\GitHub\eaglep3\Utilities\DownloadLogsFromS3.py --loco 4009 --day 2017-02-26</t>
  </si>
  <si>
    <t>start /low /b %USERPROFILE%\Documents\GitHub\eaglep3\Utilities\DownloadLogsFromS3.py --loco 4030 --day 2017-02-26</t>
  </si>
  <si>
    <t>start /low /b %USERPROFILE%\Documents\GitHub\eaglep3\Utilities\DownloadLogsFromS3.py --loco 4012 --day 2017-02-26</t>
  </si>
  <si>
    <t>start /low /b %USERPROFILE%\Documents\GitHub\eaglep3\Utilities\DownloadLogsFromS3.py --loco 4030 --day 2017-02-27</t>
  </si>
  <si>
    <t>start /low /b %USERPROFILE%\Documents\GitHub\eaglep3\Utilities\DownloadLogsFromS3.py --loco 4004 --day 2017-02-26</t>
  </si>
  <si>
    <t>start /low /b %USERPROFILE%\Documents\GitHub\eaglep3\Utilities\DownloadLogsFromS3.py --loco 4054 --day 2017-02-27</t>
  </si>
  <si>
    <t>start /low /b %USERPROFILE%\Documents\GitHub\eaglep3\Utilities\DownloadLogsFromS3.py --loco 4029 --day 2017-02-26</t>
  </si>
  <si>
    <t>start /low /b %USERPROFILE%\Documents\GitHub\eaglep3\Utilities\DownloadLogsFromS3.py --loco 4011 --day 2017-02-27</t>
  </si>
  <si>
    <t>start /low /b %USERPROFILE%\Documents\GitHub\eaglep3\Utilities\DownloadLogsFromS3.py --loco 4008 --day 2017-02-26</t>
  </si>
  <si>
    <t>:.+((SYSTEM_STATE.+slice.+state.+changed )|(ment ac)|(multiple cpu faults)|(system.+state.+changed )|(\[timeout)|(PRM\|1\|D)|(kpr)|(kdp)|(\|lc)|(penalty))</t>
  </si>
  <si>
    <t>Onboard in-route failure</t>
  </si>
  <si>
    <t>Early arrival</t>
  </si>
  <si>
    <t>Overspeed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</si>
</sst>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9"/>
  <sheetViews>
    <sheetView topLeftCell="A90" zoomScaleNormal="100" workbookViewId="0">
      <selection activeCell="R101" sqref="R101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6.14062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42792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42792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34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COUNTIFS($N$13:$N$9328,"&gt;0",$AG$13:$AG$9328,I1)</f>
        <v>142</v>
      </c>
      <c r="K5" s="40"/>
      <c r="L5" s="40"/>
      <c r="M5" s="41">
        <f>AVERAGEIFS($N$13:$N$9328,$AG$13:$AG$9328,I1)</f>
        <v>38.874413145986438</v>
      </c>
      <c r="N5" s="39">
        <f t="array" ref="N5">MIN(IF($AG$13:$AG$9328=I1,IF(ISNUMBER($N$13:$N$9328),IF($N$13:$N$9328&gt;0,$N$13:$N$9328))))</f>
        <v>35.050000000046566</v>
      </c>
      <c r="O5" s="3">
        <f t="array" ref="O5">MAX(IF($AG$13:$AG$9328=I1,IF(ISNUMBER($N$13:$N$9328),IF($N$13:$N$9328&gt;0,$N$13:$N$9328))))</f>
        <v>45.383333339123055</v>
      </c>
      <c r="P5" s="2"/>
      <c r="R5" s="74" t="s">
        <v>17</v>
      </c>
      <c r="S5" s="50">
        <f>COUNTIFS($N$13:$N$9328,"&gt;0",$AG$13:$AG$9328,R1)</f>
        <v>34</v>
      </c>
      <c r="T5" s="40"/>
      <c r="U5" s="177"/>
      <c r="V5" s="174">
        <f>AVERAGEIFS($N$13:$N$9328,$AG$13:$AG$9328,R1)</f>
        <v>13.893137254601564</v>
      </c>
      <c r="W5" s="175">
        <f t="array" ref="W5">MIN(IF($AG$13:$AG$9328=R1,IF(ISNUMBER($N$13:$N$9328),IF($N$13:$N$9328&gt;0,$N$13:$N$9328))))</f>
        <v>11.999999997206032</v>
      </c>
      <c r="X5" s="176">
        <f t="array" ref="X5">MAX(IF($AG$13:$AG$9328=R1,IF(ISNUMBER($N$13:$N$9328),IF($N$13:$N$9328&gt;0,$N$13:$N$9328))))</f>
        <v>20.450000002747402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COUNT($O$13:$O$104)</f>
        <v>0</v>
      </c>
      <c r="K6" s="40"/>
      <c r="L6" s="40"/>
      <c r="M6" s="41">
        <f>IFERROR(AVERAGE($O$13:$O$104),0)</f>
        <v>0</v>
      </c>
      <c r="N6" s="39">
        <f>MIN($O$13:$O$104)</f>
        <v>0</v>
      </c>
      <c r="O6" s="3">
        <f>MAX($O$13:$O$104)</f>
        <v>0</v>
      </c>
      <c r="P6" s="2"/>
      <c r="R6" s="75" t="s">
        <v>43</v>
      </c>
      <c r="S6" s="50">
        <f>COUNT($O$13:$O$104)</f>
        <v>0</v>
      </c>
      <c r="T6" s="40"/>
      <c r="U6" s="177"/>
      <c r="V6" s="174">
        <f>IFERROR(AVERAGE($O$13:$O$104),0)</f>
        <v>0</v>
      </c>
      <c r="W6" s="175">
        <f>MIN($O$13:$O$104)</f>
        <v>0</v>
      </c>
      <c r="X6" s="176">
        <f>MAX($O$13:$O$104)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COUNTIFS($P$13:$P$9328,"&gt;0",$AG$13:$AG$9328,I1)</f>
        <v>2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COUNTIFS($P$13:$P$9328,"&gt;0",$AG$13:$AG$9328,R1)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142</v>
      </c>
      <c r="K8" s="40"/>
      <c r="L8" s="40"/>
      <c r="M8" s="41">
        <f>M5</f>
        <v>38.874413145986438</v>
      </c>
      <c r="N8" s="39">
        <f>N5</f>
        <v>35.050000000046566</v>
      </c>
      <c r="O8" s="3">
        <f>O5</f>
        <v>45.383333339123055</v>
      </c>
      <c r="P8" s="2"/>
      <c r="R8" s="74" t="s">
        <v>16</v>
      </c>
      <c r="S8" s="50">
        <f>S5</f>
        <v>34</v>
      </c>
      <c r="T8" s="40"/>
      <c r="U8" s="177"/>
      <c r="V8" s="174">
        <f>V5</f>
        <v>13.893137254601564</v>
      </c>
      <c r="W8" s="175">
        <f>W5</f>
        <v>11.999999997206032</v>
      </c>
      <c r="X8" s="176">
        <f>X5</f>
        <v>20.450000002747402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0.98611111111111116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5" t="str">
        <f>"Eagle P3 System Performance - "&amp;TEXT(Variables!A2,"yyyy-mm-dd")</f>
        <v>Eagle P3 System Performance - 2017-02-26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AVERAGE(S13:S75)</f>
        <v>1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209</v>
      </c>
      <c r="AN12" s="47" t="s">
        <v>218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548</v>
      </c>
      <c r="B13" s="7">
        <v>4009</v>
      </c>
      <c r="C13" s="21" t="s">
        <v>285</v>
      </c>
      <c r="D13" s="21" t="s">
        <v>273</v>
      </c>
      <c r="E13" s="13">
        <v>42792.132719907408</v>
      </c>
      <c r="F13" s="13">
        <v>42792.135937500003</v>
      </c>
      <c r="G13" s="7">
        <v>1</v>
      </c>
      <c r="H13" s="21" t="s">
        <v>788</v>
      </c>
      <c r="I13" s="13">
        <v>42792.161782407406</v>
      </c>
      <c r="J13" s="7">
        <v>1</v>
      </c>
      <c r="K13" s="98" t="str">
        <f t="shared" ref="K13:K76" si="0">IF(ISEVEN(B13),(B13-1)&amp;"/"&amp;B13,B13&amp;"/"&amp;(B13+1))</f>
        <v>4009/4010</v>
      </c>
      <c r="L13" s="21" t="str">
        <f>VLOOKUP(A13,'Trips&amp;Operators'!$C$1:$G$99999,5,FALSE)</f>
        <v>SANTIZO D. EDY</v>
      </c>
      <c r="M13" s="6">
        <f t="shared" ref="M13:M76" si="1">I13-F13</f>
        <v>2.5844907402643003E-2</v>
      </c>
      <c r="N13" s="7">
        <f t="shared" ref="N13:N76" si="2">24*60*SUM($M13:$M13)</f>
        <v>37.216666659805924</v>
      </c>
      <c r="O13" s="7"/>
      <c r="P13" s="7"/>
      <c r="Q13" s="22"/>
      <c r="R13" s="22"/>
      <c r="S13" s="31">
        <f t="shared" ref="S13:S76" si="3">SUM(U13:U13)/IF(AG13="EC",12,1)</f>
        <v>1</v>
      </c>
      <c r="T13" s="46" t="str">
        <f t="shared" ref="T13:T76" si="4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-26T02:11:07-0700',mode:absolute,to:'2017-02-26T04:52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" s="187" t="str">
        <f t="shared" ref="W13:W76" si="6">IF(AA13&lt;IF(AG13="EC",23,5.65),"Y","N")</f>
        <v>N</v>
      </c>
      <c r="X13" s="187" t="e">
        <f t="shared" ref="X13:X76" si="7">VALUE(LEFT(AD13,4))-VALUE(LEFT(AD12,4))</f>
        <v>#VALUE!</v>
      </c>
      <c r="Y13" s="62">
        <f t="shared" ref="Y13:Y76" si="8">RIGHT(D13,LEN(D13)-4)/10000</f>
        <v>7.5399999999999995E-2</v>
      </c>
      <c r="Z13" s="62">
        <f t="shared" ref="Z13:Z76" si="9">RIGHT(H13,LEN(H13)-4)/10000</f>
        <v>23.334700000000002</v>
      </c>
      <c r="AA13" s="62">
        <f t="shared" ref="AA13:AA76" si="10">ABS(Z13-Y13)</f>
        <v>23.259300000000003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0101-26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s3://rtdc.mdm.uploadarchive.raw/RTDC4009/ "%USERPROFILE%\AppData\Local\Temp\OnboardLogs"\RTDC4009\2017-02-26 --exclude "*" --recursive --include "*20170226*" &amp; "%USERPROFILE%\Documents\GitHub\mrs-test-scripts\Headless Mode &amp; Sideloading\WalkAndUnGZ.bat" "%USERPROFILE%\AppData\Local\Temp\OnboardLogs"\RTDC4009\2017-02-26 &amp; aws s3 cp s3://rtdc.mdm.uploadarchive.raw/RTDC4009/ "%USERPROFILE%\AppData\Local\Temp\OnboardLogs"\RTDC4009\2017-02-27 --exclude "*" --recursive --include "*20170227*" &amp; "%USERPROFILE%\Documents\GitHub\mrs-test-scripts\Headless Mode &amp; Sideloading\WalkAndUnGZ.bat" "%USERPROFILE%\AppData\Local\Temp\OnboardLogs"\RTDC4009\2017-02-27</v>
      </c>
      <c r="AF13" s="82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/stypes="app*4009*20170226*"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101-26 --locoid 4009 --swversion DE.1.0.9.0 --startMP 204:754 --initTime 2017-02-26T03:11:07 --startdatetime 2017-02-26T03:15:45 --delay 1 --endMP 204:233347 --enddatetime 2017-02-26T03:52:58 --enforcementcount 1 &gt;&gt;C:\Users\stu\Documents\GitHub\eaglep3-reporting\EC\2017-02-26-refined-times.txt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{"issue":{"subject":"","project_id":79,"tracker_id":40,"status_id":1,"priority_id":2,"assigned_to_id":23,"start_date":"2017-02-26","description":"","custom_fields":[{"id":1,"name":"Subdivision","value":"EC"},{"id":4,"name":"Milepost","value":"23.3347"},{"id":17,"name":"Train ID","value":"101-26"},{"id":16,"name":"Locomotive ID","value":"4009"},{"id":130,"name":"Impact","value":""},{"id":150,"name":"Time of Event (Mountain Time)","value":"03:52:58"},{"id":151,"name":"Denver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4009 --day 2017-02-26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"%USERPROFILE%\AppData\Local\Temp\OnboardLogs"\RTDC4009\*4009*20170226* | grep -SE "(Enforcement Action)|(\[TIMEOUT)|(CHR.+\|PRM\|1\|D.+(SWITCH|SIGNAL).+UNKNOWN)" - &gt;&gt; 2017-02-26-UncaughtWiMAX.txt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596</v>
      </c>
      <c r="B14" s="7">
        <v>4012</v>
      </c>
      <c r="C14" s="21" t="s">
        <v>285</v>
      </c>
      <c r="D14" s="21" t="s">
        <v>789</v>
      </c>
      <c r="E14" s="13">
        <v>42792.166284722225</v>
      </c>
      <c r="F14" s="13">
        <v>42792.174467592595</v>
      </c>
      <c r="G14" s="7">
        <v>1</v>
      </c>
      <c r="H14" s="21" t="s">
        <v>790</v>
      </c>
      <c r="I14" s="13">
        <v>42792.201574074075</v>
      </c>
      <c r="J14" s="7">
        <v>1</v>
      </c>
      <c r="K14" s="98" t="str">
        <f t="shared" si="0"/>
        <v>4011/4012</v>
      </c>
      <c r="L14" s="21" t="str">
        <f>VLOOKUP(A14,'Trips&amp;Operators'!$C$1:$G$99999,5,FALSE)</f>
        <v>SANTIZO D. EDY</v>
      </c>
      <c r="M14" s="6">
        <f t="shared" si="1"/>
        <v>2.7106481480586808E-2</v>
      </c>
      <c r="N14" s="7">
        <f t="shared" si="2"/>
        <v>39.033333332045004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5"/>
        <v>https://d0f6bd738d7f1b3e5a7ca70fe4ff75f0.us-east-1.aws.found.io/app/kibana#/discover/Steve-Slow-Train-Analysis-(2080s-and-2083s)?_g=(refreshInterval:(display:Off,pause:!f,section:0,value:0),time:(from:'2017-02-26T02:59:27-0700',mode:absolute,to:'2017-02-26T05:50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" s="187" t="str">
        <f t="shared" si="6"/>
        <v>N</v>
      </c>
      <c r="X14" s="187">
        <f t="shared" si="7"/>
        <v>1</v>
      </c>
      <c r="Y14" s="62">
        <f t="shared" si="8"/>
        <v>23.270700000000001</v>
      </c>
      <c r="Z14" s="62">
        <f t="shared" si="9"/>
        <v>1.29E-2</v>
      </c>
      <c r="AA14" s="62">
        <f t="shared" si="10"/>
        <v>23.257800000000003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0102-26</v>
      </c>
      <c r="AE14" s="85" t="str">
        <f t="shared" si="12"/>
        <v>aws s3 cp s3://rtdc.mdm.uploadarchive.raw/RTDC4012/ "%USERPROFILE%\AppData\Local\Temp\OnboardLogs"\RTDC4012\2017-02-26 --exclude "*" --recursive --include "*20170226*" &amp; "%USERPROFILE%\Documents\GitHub\mrs-test-scripts\Headless Mode &amp; Sideloading\WalkAndUnGZ.bat" "%USERPROFILE%\AppData\Local\Temp\OnboardLogs"\RTDC4012\2017-02-26 &amp; 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</v>
      </c>
      <c r="AF14" s="82" t="str">
        <f t="shared" si="13"/>
        <v>"C:\Program Files (x86)\AstroGrep\AstroGrep.exe" /spath="%USERPROFILE%\AppData\Local\Temp\OnboardLogs" /stypes="app*4012*20170226*"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102-26 --locoid 4012 --swversion DE.1.0.9.0 --startMP 204:232707 --initTime 2017-02-26T03:59:27 --startdatetime 2017-02-26T04:11:14 --delay 1 --endMP 204:129 --enddatetime 2017-02-26T04:50:16 --enforcementcount 1 &gt;&gt;C:\Users\stu\Documents\GitHub\eaglep3-reporting\EC\2017-02-26-refined-times.txt</v>
      </c>
      <c r="AI14" s="108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{"issue":{"subject":"","project_id":79,"tracker_id":40,"status_id":1,"priority_id":2,"assigned_to_id":23,"start_date":"2017-02-26","description":"","custom_fields":[{"id":1,"name":"Subdivision","value":"EC"},{"id":4,"name":"Milepost","value":"0.0129"},{"id":17,"name":"Train ID","value":"102-26"},{"id":16,"name":"Locomotive ID","value":"4012"},{"id":130,"name":"Impact","value":""},{"id":150,"name":"Time of Event (Mountain Time)","value":"04:50:16"},{"id":151,"name":"Denver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20">"start /low /b "&amp;dls3logs&amp;" --loco "&amp;B14&amp;" --day "&amp;TEXT(F14,"YYYY-MM-DD")</f>
        <v>start /low /b %USERPROFILE%\Documents\GitHub\eaglep3\Utilities\DownloadLogsFromS3.py --loco 4012 --day 2017-02-26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"%USERPROFILE%\AppData\Local\Temp\OnboardLogs"\RTDC4012\*4012*20170226* | grep -SE "(Enforcement Action)|(\[TIMEOUT)|(CHR.+\|PRM\|1\|D.+(SWITCH|SIGNAL).+UNKNOWN)" - &gt;&gt; 2017-02-26-UncaughtWiMAX.txt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592</v>
      </c>
      <c r="B15" s="7">
        <v>4027</v>
      </c>
      <c r="C15" s="21" t="s">
        <v>285</v>
      </c>
      <c r="D15" s="21" t="s">
        <v>791</v>
      </c>
      <c r="E15" s="13">
        <v>42792.152581018519</v>
      </c>
      <c r="F15" s="13">
        <v>42792.156539351854</v>
      </c>
      <c r="G15" s="7">
        <v>1</v>
      </c>
      <c r="H15" s="21" t="s">
        <v>792</v>
      </c>
      <c r="I15" s="13">
        <v>42792.181944444441</v>
      </c>
      <c r="J15" s="7">
        <v>1</v>
      </c>
      <c r="K15" s="98" t="str">
        <f t="shared" si="0"/>
        <v>4027/4028</v>
      </c>
      <c r="L15" s="21" t="str">
        <f>VLOOKUP(A15,'Trips&amp;Operators'!$C$1:$G$99999,5,FALSE)</f>
        <v>MAELZER KURT</v>
      </c>
      <c r="M15" s="6">
        <f t="shared" si="1"/>
        <v>2.5405092586879618E-2</v>
      </c>
      <c r="N15" s="7">
        <f t="shared" si="2"/>
        <v>36.583333325106651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5"/>
        <v>https://d0f6bd738d7f1b3e5a7ca70fe4ff75f0.us-east-1.aws.found.io/app/kibana#/discover/Steve-Slow-Train-Analysis-(2080s-and-2083s)?_g=(refreshInterval:(display:Off,pause:!f,section:0,value:0),time:(from:'2017-02-26T02:39:43-0700',mode:absolute,to:'2017-02-26T05:22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" s="187" t="str">
        <f t="shared" si="6"/>
        <v>N</v>
      </c>
      <c r="X15" s="187">
        <f t="shared" si="7"/>
        <v>1</v>
      </c>
      <c r="Y15" s="62">
        <f t="shared" si="8"/>
        <v>7.3400000000000007E-2</v>
      </c>
      <c r="Z15" s="62">
        <f t="shared" si="9"/>
        <v>23.333400000000001</v>
      </c>
      <c r="AA15" s="62">
        <f t="shared" si="10"/>
        <v>23.26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0103-26</v>
      </c>
      <c r="AE15" s="85" t="str">
        <f t="shared" si="12"/>
        <v>aws s3 cp s3://rtdc.mdm.uploadarchive.raw/RTDC4027/ "%USERPROFILE%\AppData\Local\Temp\OnboardLogs"\RTDC4027\2017-02-26 --exclude "*" --recursive --include "*20170226*" &amp; "%USERPROFILE%\Documents\GitHub\mrs-test-scripts\Headless Mode &amp; Sideloading\WalkAndUnGZ.bat" "%USERPROFILE%\AppData\Local\Temp\OnboardLogs"\RTDC4027\2017-02-26 &amp; aws s3 cp s3://rtdc.mdm.uploadarchive.raw/RTDC4027/ "%USERPROFILE%\AppData\Local\Temp\OnboardLogs"\RTDC4027\2017-02-27 --exclude "*" --recursive --include "*20170227*" &amp; "%USERPROFILE%\Documents\GitHub\mrs-test-scripts\Headless Mode &amp; Sideloading\WalkAndUnGZ.bat" "%USERPROFILE%\AppData\Local\Temp\OnboardLogs"\RTDC4027\2017-02-27</v>
      </c>
      <c r="AF15" s="82" t="str">
        <f t="shared" si="13"/>
        <v>"C:\Program Files (x86)\AstroGrep\AstroGrep.exe" /spath="%USERPROFILE%\AppData\Local\Temp\OnboardLogs" /stypes="app*4027*20170226*"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6" t="str">
        <f t="shared" si="18"/>
        <v>"%USERPROFILE%\Documents\GitHub\eaglep3\Utilities\RefineRTDCRunTimes.py" --tripid 103-26 --locoid 4027 --swversion DE.1.0.9.0 --startMP 204:734 --initTime 2017-02-26T03:39:43 --startdatetime 2017-02-26T03:45:25 --delay 1 --endMP 204:233334 --enddatetime 2017-02-26T04:22:00 --enforcementcount 1 &gt;&gt;C:\Users\stu\Documents\GitHub\eaglep3-reporting\EC\2017-02-26-refined-times.txt</v>
      </c>
      <c r="AI15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{"issue":{"subject":"","project_id":79,"tracker_id":40,"status_id":1,"priority_id":2,"assigned_to_id":23,"start_date":"2017-02-26","description":"","custom_fields":[{"id":1,"name":"Subdivision","value":"EC"},{"id":4,"name":"Milepost","value":"23.3334"},{"id":17,"name":"Train ID","value":"103-26"},{"id":16,"name":"Locomotive ID","value":"4027"},{"id":130,"name":"Impact","value":""},{"id":150,"name":"Time of Event (Mountain Time)","value":"04:22:00"},{"id":151,"name":"Denver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4027 --day 2017-02-26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"%USERPROFILE%\AppData\Local\Temp\OnboardLogs"\RTDC4027\*4027*20170226* | grep -SE "(Enforcement Action)|(\[TIMEOUT)|(CHR.+\|PRM\|1\|D.+(SWITCH|SIGNAL).+UNKNOWN)" - &gt;&gt; 2017-02-26-UncaughtWiMAX.txt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603</v>
      </c>
      <c r="B16" s="7">
        <v>4017</v>
      </c>
      <c r="C16" s="21" t="s">
        <v>285</v>
      </c>
      <c r="D16" s="21" t="s">
        <v>793</v>
      </c>
      <c r="E16" s="13">
        <v>42792.190844907411</v>
      </c>
      <c r="F16" s="13">
        <v>42792.195439814815</v>
      </c>
      <c r="G16" s="7">
        <v>1</v>
      </c>
      <c r="H16" s="21" t="s">
        <v>194</v>
      </c>
      <c r="I16" s="13">
        <v>42792.22457175926</v>
      </c>
      <c r="J16" s="7">
        <v>1</v>
      </c>
      <c r="K16" s="98" t="str">
        <f t="shared" si="0"/>
        <v>4017/4018</v>
      </c>
      <c r="L16" s="21" t="str">
        <f>VLOOKUP(A16,'Trips&amp;Operators'!$C$1:$G$99999,5,FALSE)</f>
        <v>MAELZER KURT</v>
      </c>
      <c r="M16" s="6">
        <f t="shared" si="1"/>
        <v>2.9131944444088731E-2</v>
      </c>
      <c r="N16" s="7">
        <f t="shared" si="2"/>
        <v>41.949999999487773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5"/>
        <v>https://d0f6bd738d7f1b3e5a7ca70fe4ff75f0.us-east-1.aws.found.io/app/kibana#/discover/Steve-Slow-Train-Analysis-(2080s-and-2083s)?_g=(refreshInterval:(display:Off,pause:!f,section:0,value:0),time:(from:'2017-02-26T03:34:49-0700',mode:absolute,to:'2017-02-26T06:23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" s="187" t="str">
        <f t="shared" si="6"/>
        <v>N</v>
      </c>
      <c r="X16" s="187">
        <f t="shared" si="7"/>
        <v>1</v>
      </c>
      <c r="Y16" s="62">
        <f t="shared" si="8"/>
        <v>23.270199999999999</v>
      </c>
      <c r="Z16" s="62">
        <f t="shared" si="9"/>
        <v>1.4999999999999999E-2</v>
      </c>
      <c r="AA16" s="62">
        <f t="shared" si="10"/>
        <v>23.255199999999999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0104-26</v>
      </c>
      <c r="AE16" s="85" t="str">
        <f t="shared" si="12"/>
        <v>aws s3 cp s3://rtdc.mdm.uploadarchive.raw/RTDC4017/ "%USERPROFILE%\AppData\Local\Temp\OnboardLogs"\RTDC4017\2017-02-26 --exclude "*" --recursive --include "*20170226*" &amp; "%USERPROFILE%\Documents\GitHub\mrs-test-scripts\Headless Mode &amp; Sideloading\WalkAndUnGZ.bat" "%USERPROFILE%\AppData\Local\Temp\OnboardLogs"\RTDC4017\2017-02-26 &amp; aws s3 cp s3://rtdc.mdm.uploadarchive.raw/RTDC4017/ "%USERPROFILE%\AppData\Local\Temp\OnboardLogs"\RTDC4017\2017-02-27 --exclude "*" --recursive --include "*20170227*" &amp; "%USERPROFILE%\Documents\GitHub\mrs-test-scripts\Headless Mode &amp; Sideloading\WalkAndUnGZ.bat" "%USERPROFILE%\AppData\Local\Temp\OnboardLogs"\RTDC4017\2017-02-27</v>
      </c>
      <c r="AF16" s="82" t="str">
        <f t="shared" si="13"/>
        <v>"C:\Program Files (x86)\AstroGrep\AstroGrep.exe" /spath="%USERPROFILE%\AppData\Local\Temp\OnboardLogs" /stypes="app*4017*20170226*"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6" t="str">
        <f t="shared" si="18"/>
        <v>"%USERPROFILE%\Documents\GitHub\eaglep3\Utilities\RefineRTDCRunTimes.py" --tripid 104-26 --locoid 4017 --swversion DE.1.0.9.0 --startMP 204:232702 --initTime 2017-02-26T04:34:49 --startdatetime 2017-02-26T04:41:26 --delay 1 --endMP 204:150 --enddatetime 2017-02-26T05:23:23 --enforcementcount 1 &gt;&gt;C:\Users\stu\Documents\GitHub\eaglep3-reporting\EC\2017-02-26-refined-times.txt</v>
      </c>
      <c r="AI16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{"issue":{"subject":"","project_id":79,"tracker_id":40,"status_id":1,"priority_id":2,"assigned_to_id":23,"start_date":"2017-02-26","description":"","custom_fields":[{"id":1,"name":"Subdivision","value":"EC"},{"id":4,"name":"Milepost","value":"0.015"},{"id":17,"name":"Train ID","value":"104-26"},{"id":16,"name":"Locomotive ID","value":"4017"},{"id":130,"name":"Impact","value":""},{"id":150,"name":"Time of Event (Mountain Time)","value":"05:23:23"},{"id":151,"name":"Denver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4017 --day 2017-02-26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"%USERPROFILE%\AppData\Local\Temp\OnboardLogs"\RTDC4017\*4017*20170226* | grep -SE "(Enforcement Action)|(\[TIMEOUT)|(CHR.+\|PRM\|1\|D.+(SWITCH|SIGNAL).+UNKNOWN)" - &gt;&gt; 2017-02-26-UncaughtWiMAX.txt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597</v>
      </c>
      <c r="B17" s="7">
        <v>4025</v>
      </c>
      <c r="C17" s="21" t="s">
        <v>285</v>
      </c>
      <c r="D17" s="21" t="s">
        <v>396</v>
      </c>
      <c r="E17" s="13">
        <v>42792.176122685189</v>
      </c>
      <c r="F17" s="13">
        <v>42792.177997685183</v>
      </c>
      <c r="G17" s="7">
        <v>1</v>
      </c>
      <c r="H17" s="21" t="s">
        <v>326</v>
      </c>
      <c r="I17" s="13">
        <v>42792.204907407409</v>
      </c>
      <c r="J17" s="7">
        <v>1</v>
      </c>
      <c r="K17" s="98" t="str">
        <f t="shared" si="0"/>
        <v>4025/4026</v>
      </c>
      <c r="L17" s="21" t="str">
        <f>VLOOKUP(A17,'Trips&amp;Operators'!$C$1:$G$99999,5,FALSE)</f>
        <v>ARVIDSON DANIEL</v>
      </c>
      <c r="M17" s="6">
        <f t="shared" si="1"/>
        <v>2.6909722226264421E-2</v>
      </c>
      <c r="N17" s="7">
        <f t="shared" si="2"/>
        <v>38.750000005820766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5"/>
        <v>https://d0f6bd738d7f1b3e5a7ca70fe4ff75f0.us-east-1.aws.found.io/app/kibana#/discover/Steve-Slow-Train-Analysis-(2080s-and-2083s)?_g=(refreshInterval:(display:Off,pause:!f,section:0,value:0),time:(from:'2017-02-26T03:13:37-0700',mode:absolute,to:'2017-02-26T05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" s="187" t="str">
        <f t="shared" si="6"/>
        <v>N</v>
      </c>
      <c r="X17" s="187">
        <f t="shared" si="7"/>
        <v>1</v>
      </c>
      <c r="Y17" s="62">
        <f t="shared" si="8"/>
        <v>7.17E-2</v>
      </c>
      <c r="Z17" s="62">
        <f t="shared" si="9"/>
        <v>23.332100000000001</v>
      </c>
      <c r="AA17" s="62">
        <f t="shared" si="10"/>
        <v>23.260400000000001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0105-26</v>
      </c>
      <c r="AE17" s="85" t="str">
        <f t="shared" si="12"/>
        <v>aws s3 cp s3://rtdc.mdm.uploadarchive.raw/RTDC4025/ "%USERPROFILE%\AppData\Local\Temp\OnboardLogs"\RTDC4025\2017-02-26 --exclude "*" --recursive --include "*20170226*" &amp; "%USERPROFILE%\Documents\GitHub\mrs-test-scripts\Headless Mode &amp; Sideloading\WalkAndUnGZ.bat" "%USERPROFILE%\AppData\Local\Temp\OnboardLogs"\RTDC4025\2017-02-26 &amp; aws s3 cp s3://rtdc.mdm.uploadarchive.raw/RTDC4025/ "%USERPROFILE%\AppData\Local\Temp\OnboardLogs"\RTDC4025\2017-02-27 --exclude "*" --recursive --include "*20170227*" &amp; "%USERPROFILE%\Documents\GitHub\mrs-test-scripts\Headless Mode &amp; Sideloading\WalkAndUnGZ.bat" "%USERPROFILE%\AppData\Local\Temp\OnboardLogs"\RTDC4025\2017-02-27</v>
      </c>
      <c r="AF17" s="82" t="str">
        <f t="shared" si="13"/>
        <v>"C:\Program Files (x86)\AstroGrep\AstroGrep.exe" /spath="%USERPROFILE%\AppData\Local\Temp\OnboardLogs" /stypes="app*4025*20170226*"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6" t="str">
        <f t="shared" si="18"/>
        <v>"%USERPROFILE%\Documents\GitHub\eaglep3\Utilities\RefineRTDCRunTimes.py" --tripid 105-26 --locoid 4025 --swversion DE.1.0.9.0 --startMP 204:717 --initTime 2017-02-26T04:13:37 --startdatetime 2017-02-26T04:16:19 --delay 1 --endMP 204:233321 --enddatetime 2017-02-26T04:55:04 --enforcementcount 1 &gt;&gt;C:\Users\stu\Documents\GitHub\eaglep3-reporting\EC\2017-02-26-refined-times.txt</v>
      </c>
      <c r="AI17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{"issue":{"subject":"","project_id":79,"tracker_id":40,"status_id":1,"priority_id":2,"assigned_to_id":23,"start_date":"2017-02-26","description":"","custom_fields":[{"id":1,"name":"Subdivision","value":"EC"},{"id":4,"name":"Milepost","value":"23.3321"},{"id":17,"name":"Train ID","value":"105-26"},{"id":16,"name":"Locomotive ID","value":"4025"},{"id":130,"name":"Impact","value":""},{"id":150,"name":"Time of Event (Mountain Time)","value":"04:55:04"},{"id":151,"name":"Denver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4025 --day 2017-02-26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"%USERPROFILE%\AppData\Local\Temp\OnboardLogs"\RTDC4025\*4025*20170226* | grep -SE "(Enforcement Action)|(\[TIMEOUT)|(CHR.+\|PRM\|1\|D.+(SWITCH|SIGNAL).+UNKNOWN)" - &gt;&gt; 2017-02-26-UncaughtWiMAX.txt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606</v>
      </c>
      <c r="B18" s="7">
        <v>4054</v>
      </c>
      <c r="C18" s="21" t="s">
        <v>285</v>
      </c>
      <c r="D18" s="21" t="s">
        <v>794</v>
      </c>
      <c r="E18" s="13">
        <v>42792.214629629627</v>
      </c>
      <c r="F18" s="13">
        <v>42792.21671296296</v>
      </c>
      <c r="G18" s="7">
        <v>1</v>
      </c>
      <c r="H18" s="21" t="s">
        <v>795</v>
      </c>
      <c r="I18" s="13">
        <v>42792.244942129626</v>
      </c>
      <c r="J18" s="7">
        <v>1</v>
      </c>
      <c r="K18" s="98" t="str">
        <f t="shared" si="0"/>
        <v>4053/4054</v>
      </c>
      <c r="L18" s="21" t="str">
        <f>VLOOKUP(A18,'Trips&amp;Operators'!$C$1:$G$99999,5,FALSE)</f>
        <v>ARVIDSON DANIEL</v>
      </c>
      <c r="M18" s="6">
        <f t="shared" si="1"/>
        <v>2.8229166666278616E-2</v>
      </c>
      <c r="N18" s="7">
        <f t="shared" si="2"/>
        <v>40.649999999441206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5"/>
        <v>https://d0f6bd738d7f1b3e5a7ca70fe4ff75f0.us-east-1.aws.found.io/app/kibana#/discover/Steve-Slow-Train-Analysis-(2080s-and-2083s)?_g=(refreshInterval:(display:Off,pause:!f,section:0,value:0),time:(from:'2017-02-26T04:09:04-0700',mode:absolute,to:'2017-02-26T06:52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" s="187" t="str">
        <f t="shared" si="6"/>
        <v>N</v>
      </c>
      <c r="X18" s="187">
        <f t="shared" si="7"/>
        <v>1</v>
      </c>
      <c r="Y18" s="62">
        <f t="shared" si="8"/>
        <v>23.2698</v>
      </c>
      <c r="Z18" s="62">
        <f t="shared" si="9"/>
        <v>7.9000000000000008E-3</v>
      </c>
      <c r="AA18" s="62">
        <f t="shared" si="10"/>
        <v>23.261900000000001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0106-26</v>
      </c>
      <c r="AE18" s="85" t="str">
        <f t="shared" si="12"/>
        <v>aws s3 cp s3://rtdc.mdm.uploadarchive.raw/RTDC4054/ "%USERPROFILE%\AppData\Local\Temp\OnboardLogs"\RTDC4054\2017-02-26 --exclude "*" --recursive --include "*20170226*" &amp; "%USERPROFILE%\Documents\GitHub\mrs-test-scripts\Headless Mode &amp; Sideloading\WalkAndUnGZ.bat" "%USERPROFILE%\AppData\Local\Temp\OnboardLogs"\RTDC4054\2017-02-26 &amp; aws s3 cp s3://rtdc.mdm.uploadarchive.raw/RTDC4054/ "%USERPROFILE%\AppData\Local\Temp\OnboardLogs"\RTDC4054\2017-02-27 --exclude "*" --recursive --include "*20170227*" &amp; "%USERPROFILE%\Documents\GitHub\mrs-test-scripts\Headless Mode &amp; Sideloading\WalkAndUnGZ.bat" "%USERPROFILE%\AppData\Local\Temp\OnboardLogs"\RTDC4054\2017-02-27</v>
      </c>
      <c r="AF18" s="82" t="str">
        <f t="shared" si="13"/>
        <v>"C:\Program Files (x86)\AstroGrep\AstroGrep.exe" /spath="%USERPROFILE%\AppData\Local\Temp\OnboardLogs" /stypes="app*4054*20170226*"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6" t="str">
        <f t="shared" si="18"/>
        <v>"%USERPROFILE%\Documents\GitHub\eaglep3\Utilities\RefineRTDCRunTimes.py" --tripid 106-26 --locoid 4054 --swversion DE.1.0.9.0 --startMP 204:232698 --initTime 2017-02-26T05:09:04 --startdatetime 2017-02-26T05:12:04 --delay 1 --endMP 204:79 --enddatetime 2017-02-26T05:52:43 --enforcementcount 1 &gt;&gt;C:\Users\stu\Documents\GitHub\eaglep3-reporting\EC\2017-02-26-refined-times.txt</v>
      </c>
      <c r="AI18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{"issue":{"subject":"","project_id":79,"tracker_id":40,"status_id":1,"priority_id":2,"assigned_to_id":23,"start_date":"2017-02-26","description":"","custom_fields":[{"id":1,"name":"Subdivision","value":"EC"},{"id":4,"name":"Milepost","value":"0.0079"},{"id":17,"name":"Train ID","value":"106-26"},{"id":16,"name":"Locomotive ID","value":"4054"},{"id":130,"name":"Impact","value":""},{"id":150,"name":"Time of Event (Mountain Time)","value":"05:52:43"},{"id":151,"name":"Denver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4054 --day 2017-02-26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"%USERPROFILE%\AppData\Local\Temp\OnboardLogs"\RTDC4054\*4054*20170226* | grep -SE "(Enforcement Action)|(\[TIMEOUT)|(CHR.+\|PRM\|1\|D.+(SWITCH|SIGNAL).+UNKNOWN)" - &gt;&gt; 2017-02-26-UncaughtWiMAX.txt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601</v>
      </c>
      <c r="B19" s="7">
        <v>4029</v>
      </c>
      <c r="C19" s="21" t="s">
        <v>285</v>
      </c>
      <c r="D19" s="21" t="s">
        <v>279</v>
      </c>
      <c r="E19" s="13">
        <v>42792.186932870369</v>
      </c>
      <c r="F19" s="13">
        <v>42792.188263888886</v>
      </c>
      <c r="G19" s="7">
        <v>0</v>
      </c>
      <c r="H19" s="21" t="s">
        <v>371</v>
      </c>
      <c r="I19" s="13">
        <v>42792.214513888888</v>
      </c>
      <c r="J19" s="7">
        <v>1</v>
      </c>
      <c r="K19" s="98" t="str">
        <f t="shared" si="0"/>
        <v>4029/4030</v>
      </c>
      <c r="L19" s="21" t="str">
        <f>VLOOKUP(A19,'Trips&amp;Operators'!$C$1:$G$99999,5,FALSE)</f>
        <v>BRANDNER MELINDA</v>
      </c>
      <c r="M19" s="6">
        <f t="shared" si="1"/>
        <v>2.6250000002619345E-2</v>
      </c>
      <c r="N19" s="7">
        <f t="shared" si="2"/>
        <v>37.800000003771856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5"/>
        <v>https://d0f6bd738d7f1b3e5a7ca70fe4ff75f0.us-east-1.aws.found.io/app/kibana#/discover/Steve-Slow-Train-Analysis-(2080s-and-2083s)?_g=(refreshInterval:(display:Off,pause:!f,section:0,value:0),time:(from:'2017-02-26T03:29:11-0700',mode:absolute,to:'2017-02-26T06:08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" s="187" t="str">
        <f t="shared" si="6"/>
        <v>N</v>
      </c>
      <c r="X19" s="187">
        <f t="shared" si="7"/>
        <v>1</v>
      </c>
      <c r="Y19" s="62">
        <f t="shared" si="8"/>
        <v>4.6600000000000003E-2</v>
      </c>
      <c r="Z19" s="62">
        <f t="shared" si="9"/>
        <v>23.331199999999999</v>
      </c>
      <c r="AA19" s="62">
        <f t="shared" si="10"/>
        <v>23.284599999999998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0107-26</v>
      </c>
      <c r="AE19" s="85" t="str">
        <f t="shared" si="12"/>
        <v>aws s3 cp s3://rtdc.mdm.uploadarchive.raw/RTDC4029/ "%USERPROFILE%\AppData\Local\Temp\OnboardLogs"\RTDC4029\2017-02-26 --exclude "*" --recursive --include "*20170226*" &amp; "%USERPROFILE%\Documents\GitHub\mrs-test-scripts\Headless Mode &amp; Sideloading\WalkAndUnGZ.bat" "%USERPROFILE%\AppData\Local\Temp\OnboardLogs"\RTDC4029\2017-02-26 &amp; aws s3 cp s3://rtdc.mdm.uploadarchive.raw/RTDC4029/ "%USERPROFILE%\AppData\Local\Temp\OnboardLogs"\RTDC4029\2017-02-27 --exclude "*" --recursive --include "*20170227*" &amp; "%USERPROFILE%\Documents\GitHub\mrs-test-scripts\Headless Mode &amp; Sideloading\WalkAndUnGZ.bat" "%USERPROFILE%\AppData\Local\Temp\OnboardLogs"\RTDC4029\2017-02-27</v>
      </c>
      <c r="AF19" s="82" t="str">
        <f t="shared" si="13"/>
        <v>"C:\Program Files (x86)\AstroGrep\AstroGrep.exe" /spath="%USERPROFILE%\AppData\Local\Temp\OnboardLogs" /stypes="app*4029*20170226*"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6" t="str">
        <f t="shared" si="18"/>
        <v>"%USERPROFILE%\Documents\GitHub\eaglep3\Utilities\RefineRTDCRunTimes.py" --tripid 107-26 --locoid 4029 --swversion DE.1.0.9.0 --startMP 204:466 --initTime 2017-02-26T04:29:11 --startdatetime 2017-02-26T04:31:06 --delay 0 --endMP 204:233312 --enddatetime 2017-02-26T05:08:54 --enforcementcount 1 &gt;&gt;C:\Users\stu\Documents\GitHub\eaglep3-reporting\EC\2017-02-26-refined-times.txt</v>
      </c>
      <c r="AI19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{"issue":{"subject":"","project_id":79,"tracker_id":40,"status_id":1,"priority_id":2,"assigned_to_id":23,"start_date":"2017-02-26","description":"","custom_fields":[{"id":1,"name":"Subdivision","value":"EC"},{"id":4,"name":"Milepost","value":"23.3312"},{"id":17,"name":"Train ID","value":"107-26"},{"id":16,"name":"Locomotive ID","value":"4029"},{"id":130,"name":"Impact","value":""},{"id":150,"name":"Time of Event (Mountain Time)","value":"05:08:54"},{"id":151,"name":"Denver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4029 --day 2017-02-26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"%USERPROFILE%\AppData\Local\Temp\OnboardLogs"\RTDC4029\*4029*20170226* | grep -SE "(Enforcement Action)|(\[TIMEOUT)|(CHR.+\|PRM\|1\|D.+(SWITCH|SIGNAL).+UNKNOWN)" - &gt;&gt; 2017-02-26-UncaughtWiMAX.txt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609</v>
      </c>
      <c r="B20" s="7">
        <v>4030</v>
      </c>
      <c r="C20" s="21" t="s">
        <v>285</v>
      </c>
      <c r="D20" s="21" t="s">
        <v>373</v>
      </c>
      <c r="E20" s="13">
        <v>42792.220914351848</v>
      </c>
      <c r="F20" s="13">
        <v>42792.226574074077</v>
      </c>
      <c r="G20" s="7">
        <v>1</v>
      </c>
      <c r="H20" s="21" t="s">
        <v>196</v>
      </c>
      <c r="I20" s="13">
        <v>42792.255266203705</v>
      </c>
      <c r="J20" s="7">
        <v>1</v>
      </c>
      <c r="K20" s="98" t="str">
        <f t="shared" si="0"/>
        <v>4029/4030</v>
      </c>
      <c r="L20" s="21" t="str">
        <f>VLOOKUP(A20,'Trips&amp;Operators'!$C$1:$G$99999,5,FALSE)</f>
        <v>BRANDNER MELINDA</v>
      </c>
      <c r="M20" s="6">
        <f t="shared" si="1"/>
        <v>2.8692129628325347E-2</v>
      </c>
      <c r="N20" s="7">
        <f t="shared" si="2"/>
        <v>41.316666664788499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5"/>
        <v>https://d0f6bd738d7f1b3e5a7ca70fe4ff75f0.us-east-1.aws.found.io/app/kibana#/discover/Steve-Slow-Train-Analysis-(2080s-and-2083s)?_g=(refreshInterval:(display:Off,pause:!f,section:0,value:0),time:(from:'2017-02-26T04:18:07-0700',mode:absolute,to:'2017-02-26T07:07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" s="187" t="str">
        <f t="shared" si="6"/>
        <v>N</v>
      </c>
      <c r="X20" s="187">
        <f t="shared" si="7"/>
        <v>1</v>
      </c>
      <c r="Y20" s="62">
        <f t="shared" si="8"/>
        <v>23.297699999999999</v>
      </c>
      <c r="Z20" s="62">
        <f t="shared" si="9"/>
        <v>1.4500000000000001E-2</v>
      </c>
      <c r="AA20" s="62">
        <f t="shared" si="10"/>
        <v>23.283199999999997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0108-26</v>
      </c>
      <c r="AE20" s="85" t="str">
        <f t="shared" si="12"/>
        <v>aws s3 cp s3://rtdc.mdm.uploadarchive.raw/RTDC4030/ "%USERPROFILE%\AppData\Local\Temp\OnboardLogs"\RTDC4030\2017-02-26 --exclude "*" --recursive --include "*20170226*" &amp; "%USERPROFILE%\Documents\GitHub\mrs-test-scripts\Headless Mode &amp; Sideloading\WalkAndUnGZ.bat" "%USERPROFILE%\AppData\Local\Temp\OnboardLogs"\RTDC4030\2017-02-26 &amp; aws s3 cp s3://rtdc.mdm.uploadarchive.raw/RTDC4030/ "%USERPROFILE%\AppData\Local\Temp\OnboardLogs"\RTDC4030\2017-02-27 --exclude "*" --recursive --include "*20170227*" &amp; "%USERPROFILE%\Documents\GitHub\mrs-test-scripts\Headless Mode &amp; Sideloading\WalkAndUnGZ.bat" "%USERPROFILE%\AppData\Local\Temp\OnboardLogs"\RTDC4030\2017-02-27</v>
      </c>
      <c r="AF20" s="82" t="str">
        <f t="shared" si="13"/>
        <v>"C:\Program Files (x86)\AstroGrep\AstroGrep.exe" /spath="%USERPROFILE%\AppData\Local\Temp\OnboardLogs" /stypes="app*4030*20170226*"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6" t="str">
        <f t="shared" si="18"/>
        <v>"%USERPROFILE%\Documents\GitHub\eaglep3\Utilities\RefineRTDCRunTimes.py" --tripid 108-26 --locoid 4030 --swversion DE.1.0.9.0 --startMP 204:232977 --initTime 2017-02-26T05:18:07 --startdatetime 2017-02-26T05:26:16 --delay 1 --endMP 204:145 --enddatetime 2017-02-26T06:07:35 --enforcementcount 1 &gt;&gt;C:\Users\stu\Documents\GitHub\eaglep3-reporting\EC\2017-02-26-refined-times.txt</v>
      </c>
      <c r="AI20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{"issue":{"subject":"","project_id":79,"tracker_id":40,"status_id":1,"priority_id":2,"assigned_to_id":23,"start_date":"2017-02-26","description":"","custom_fields":[{"id":1,"name":"Subdivision","value":"EC"},{"id":4,"name":"Milepost","value":"0.0145"},{"id":17,"name":"Train ID","value":"108-26"},{"id":16,"name":"Locomotive ID","value":"4030"},{"id":130,"name":"Impact","value":""},{"id":150,"name":"Time of Event (Mountain Time)","value":"06:07:35"},{"id":151,"name":"Denver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4030 --day 2017-02-26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"%USERPROFILE%\AppData\Local\Temp\OnboardLogs"\RTDC4030\*4030*20170226* | grep -SE "(Enforcement Action)|(\[TIMEOUT)|(CHR.+\|PRM\|1\|D.+(SWITCH|SIGNAL).+UNKNOWN)" - &gt;&gt; 2017-02-26-UncaughtWiMAX.txt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602</v>
      </c>
      <c r="B21" s="7">
        <v>4003</v>
      </c>
      <c r="C21" s="21" t="s">
        <v>285</v>
      </c>
      <c r="D21" s="21" t="s">
        <v>225</v>
      </c>
      <c r="E21" s="13">
        <v>42792.188425925924</v>
      </c>
      <c r="F21" s="13">
        <v>42792.198125000003</v>
      </c>
      <c r="G21" s="7">
        <v>1</v>
      </c>
      <c r="H21" s="21" t="s">
        <v>326</v>
      </c>
      <c r="I21" s="13">
        <v>42792.224594907406</v>
      </c>
      <c r="J21" s="7">
        <v>1</v>
      </c>
      <c r="K21" s="98" t="str">
        <f t="shared" si="0"/>
        <v>4003/4004</v>
      </c>
      <c r="L21" s="21" t="str">
        <f>VLOOKUP(A21,'Trips&amp;Operators'!$C$1:$G$99999,5,FALSE)</f>
        <v>ROBINSON KADDIBA</v>
      </c>
      <c r="M21" s="6">
        <f t="shared" si="1"/>
        <v>2.6469907403225079E-2</v>
      </c>
      <c r="N21" s="7">
        <f t="shared" si="2"/>
        <v>38.116666660644114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5"/>
        <v>https://d0f6bd738d7f1b3e5a7ca70fe4ff75f0.us-east-1.aws.found.io/app/kibana#/discover/Steve-Slow-Train-Analysis-(2080s-and-2083s)?_g=(refreshInterval:(display:Off,pause:!f,section:0,value:0),time:(from:'2017-02-26T03:31:20-0700',mode:absolute,to:'2017-02-26T06:23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" s="187" t="str">
        <f t="shared" si="6"/>
        <v>N</v>
      </c>
      <c r="X21" s="187">
        <f t="shared" si="7"/>
        <v>1</v>
      </c>
      <c r="Y21" s="62">
        <f t="shared" si="8"/>
        <v>4.5100000000000001E-2</v>
      </c>
      <c r="Z21" s="62">
        <f t="shared" si="9"/>
        <v>23.332100000000001</v>
      </c>
      <c r="AA21" s="62">
        <f t="shared" si="10"/>
        <v>23.286999999999999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0109-26</v>
      </c>
      <c r="AE21" s="85" t="str">
        <f t="shared" si="12"/>
        <v>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 &amp; aws s3 cp s3://rtdc.mdm.uploadarchive.raw/RTDC4003/ "%USERPROFILE%\AppData\Local\Temp\OnboardLogs"\RTDC4003\2017-02-27 --exclude "*" --recursive --include "*20170227*" &amp; "%USERPROFILE%\Documents\GitHub\mrs-test-scripts\Headless Mode &amp; Sideloading\WalkAndUnGZ.bat" "%USERPROFILE%\AppData\Local\Temp\OnboardLogs"\RTDC4003\2017-02-27</v>
      </c>
      <c r="AF21" s="82" t="str">
        <f t="shared" si="13"/>
        <v>"C:\Program Files (x86)\AstroGrep\AstroGrep.exe" /spath="%USERPROFILE%\AppData\Local\Temp\OnboardLogs" /stypes="app*4003*20170226*"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6" t="str">
        <f t="shared" si="18"/>
        <v>"%USERPROFILE%\Documents\GitHub\eaglep3\Utilities\RefineRTDCRunTimes.py" --tripid 109-26 --locoid 4003 --swversion DE.1.0.9.0 --startMP 204:451 --initTime 2017-02-26T04:31:20 --startdatetime 2017-02-26T04:45:18 --delay 1 --endMP 204:233321 --enddatetime 2017-02-26T05:23:25 --enforcementcount 1 &gt;&gt;C:\Users\stu\Documents\GitHub\eaglep3-reporting\EC\2017-02-26-refined-times.txt</v>
      </c>
      <c r="AI21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{"issue":{"subject":"","project_id":79,"tracker_id":40,"status_id":1,"priority_id":2,"assigned_to_id":23,"start_date":"2017-02-26","description":"","custom_fields":[{"id":1,"name":"Subdivision","value":"EC"},{"id":4,"name":"Milepost","value":"23.3321"},{"id":17,"name":"Train ID","value":"109-26"},{"id":16,"name":"Locomotive ID","value":"4003"},{"id":130,"name":"Impact","value":""},{"id":150,"name":"Time of Event (Mountain Time)","value":"05:23:25"},{"id":151,"name":"Denver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4003 --day 2017-02-26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"%USERPROFILE%\AppData\Local\Temp\OnboardLogs"\RTDC4003\*4003*20170226* | grep -SE "(Enforcement Action)|(\[TIMEOUT)|(CHR.+\|PRM\|1\|D.+(SWITCH|SIGNAL).+UNKNOWN)" - &gt;&gt; 2017-02-26-UncaughtWiMAX.txt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612</v>
      </c>
      <c r="B22" s="7">
        <v>4004</v>
      </c>
      <c r="C22" s="21" t="s">
        <v>285</v>
      </c>
      <c r="D22" s="21" t="s">
        <v>796</v>
      </c>
      <c r="E22" s="13">
        <v>42792.233865740738</v>
      </c>
      <c r="F22" s="13">
        <v>42792.236956018518</v>
      </c>
      <c r="G22" s="7">
        <v>1</v>
      </c>
      <c r="H22" s="21" t="s">
        <v>206</v>
      </c>
      <c r="I22" s="13">
        <v>42792.266377314816</v>
      </c>
      <c r="J22" s="7">
        <v>1</v>
      </c>
      <c r="K22" s="98" t="str">
        <f t="shared" si="0"/>
        <v>4003/4004</v>
      </c>
      <c r="L22" s="21" t="str">
        <f>VLOOKUP(A22,'Trips&amp;Operators'!$C$1:$G$99999,5,FALSE)</f>
        <v>ROBINSON KADDIBA</v>
      </c>
      <c r="M22" s="6">
        <f t="shared" si="1"/>
        <v>2.9421296298096422E-2</v>
      </c>
      <c r="N22" s="7">
        <f t="shared" si="2"/>
        <v>42.366666669258848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5"/>
        <v>https://d0f6bd738d7f1b3e5a7ca70fe4ff75f0.us-east-1.aws.found.io/app/kibana#/discover/Steve-Slow-Train-Analysis-(2080s-and-2083s)?_g=(refreshInterval:(display:Off,pause:!f,section:0,value:0),time:(from:'2017-02-26T04:36:46-0700',mode:absolute,to:'2017-02-26T07:23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" s="187" t="str">
        <f t="shared" si="6"/>
        <v>N</v>
      </c>
      <c r="X22" s="187">
        <f t="shared" si="7"/>
        <v>1</v>
      </c>
      <c r="Y22" s="62">
        <f t="shared" si="8"/>
        <v>23.302499999999998</v>
      </c>
      <c r="Z22" s="62">
        <f t="shared" si="9"/>
        <v>1.52E-2</v>
      </c>
      <c r="AA22" s="62">
        <f t="shared" si="10"/>
        <v>23.287299999999998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0110-26</v>
      </c>
      <c r="AE22" s="85" t="str">
        <f t="shared" si="12"/>
        <v>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 &amp; aws s3 cp s3://rtdc.mdm.uploadarchive.raw/RTDC4004/ "%USERPROFILE%\AppData\Local\Temp\OnboardLogs"\RTDC4004\2017-02-27 --exclude "*" --recursive --include "*20170227*" &amp; "%USERPROFILE%\Documents\GitHub\mrs-test-scripts\Headless Mode &amp; Sideloading\WalkAndUnGZ.bat" "%USERPROFILE%\AppData\Local\Temp\OnboardLogs"\RTDC4004\2017-02-27</v>
      </c>
      <c r="AF22" s="82" t="str">
        <f t="shared" si="13"/>
        <v>"C:\Program Files (x86)\AstroGrep\AstroGrep.exe" /spath="%USERPROFILE%\AppData\Local\Temp\OnboardLogs" /stypes="app*4004*20170226*"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6" t="str">
        <f t="shared" si="18"/>
        <v>"%USERPROFILE%\Documents\GitHub\eaglep3\Utilities\RefineRTDCRunTimes.py" --tripid 110-26 --locoid 4004 --swversion DE.1.0.9.0 --startMP 204:233025 --initTime 2017-02-26T05:36:46 --startdatetime 2017-02-26T05:41:13 --delay 1 --endMP 204:152 --enddatetime 2017-02-26T06:23:35 --enforcementcount 1 &gt;&gt;C:\Users\stu\Documents\GitHub\eaglep3-reporting\EC\2017-02-26-refined-times.txt</v>
      </c>
      <c r="AI22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{"issue":{"subject":"","project_id":79,"tracker_id":40,"status_id":1,"priority_id":2,"assigned_to_id":23,"start_date":"2017-02-26","description":"","custom_fields":[{"id":1,"name":"Subdivision","value":"EC"},{"id":4,"name":"Milepost","value":"0.0152"},{"id":17,"name":"Train ID","value":"110-26"},{"id":16,"name":"Locomotive ID","value":"4004"},{"id":130,"name":"Impact","value":""},{"id":150,"name":"Time of Event (Mountain Time)","value":"06:23:35"},{"id":151,"name":"Denver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4004 --day 2017-02-26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"%USERPROFILE%\AppData\Local\Temp\OnboardLogs"\RTDC4004\*4004*20170226* | grep -SE "(Enforcement Action)|(\[TIMEOUT)|(CHR.+\|PRM\|1\|D.+(SWITCH|SIGNAL).+UNKNOWN)" - &gt;&gt; 2017-02-26-UncaughtWiMAX.txt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604</v>
      </c>
      <c r="B23" s="7">
        <v>4009</v>
      </c>
      <c r="C23" s="21" t="s">
        <v>285</v>
      </c>
      <c r="D23" s="21" t="s">
        <v>797</v>
      </c>
      <c r="E23" s="13">
        <v>42792.204293981478</v>
      </c>
      <c r="F23" s="13">
        <v>42792.20853009259</v>
      </c>
      <c r="G23" s="7">
        <v>2</v>
      </c>
      <c r="H23" s="21" t="s">
        <v>293</v>
      </c>
      <c r="I23" s="13">
        <v>42792.233055555553</v>
      </c>
      <c r="J23" s="7">
        <v>1</v>
      </c>
      <c r="K23" s="98" t="str">
        <f t="shared" si="0"/>
        <v>4009/4010</v>
      </c>
      <c r="L23" s="21" t="str">
        <f>VLOOKUP(A23,'Trips&amp;Operators'!$C$1:$G$99999,5,FALSE)</f>
        <v>GEBRETEKLE DAGNEW</v>
      </c>
      <c r="M23" s="6">
        <f t="shared" si="1"/>
        <v>2.4525462962628808E-2</v>
      </c>
      <c r="N23" s="7">
        <f t="shared" si="2"/>
        <v>35.316666666185483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5"/>
        <v>https://d0f6bd738d7f1b3e5a7ca70fe4ff75f0.us-east-1.aws.found.io/app/kibana#/discover/Steve-Slow-Train-Analysis-(2080s-and-2083s)?_g=(refreshInterval:(display:Off,pause:!f,section:0,value:0),time:(from:'2017-02-26T03:54:11-0700',mode:absolute,to:'2017-02-26T06:35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" s="187" t="str">
        <f t="shared" si="6"/>
        <v>N</v>
      </c>
      <c r="X23" s="187">
        <f t="shared" si="7"/>
        <v>1</v>
      </c>
      <c r="Y23" s="62">
        <f t="shared" si="8"/>
        <v>7.1499999999999994E-2</v>
      </c>
      <c r="Z23" s="62">
        <f t="shared" si="9"/>
        <v>23.328399999999998</v>
      </c>
      <c r="AA23" s="62">
        <f t="shared" si="10"/>
        <v>23.256899999999998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0111-26</v>
      </c>
      <c r="AE23" s="85" t="str">
        <f t="shared" si="12"/>
        <v>aws s3 cp s3://rtdc.mdm.uploadarchive.raw/RTDC4009/ "%USERPROFILE%\AppData\Local\Temp\OnboardLogs"\RTDC4009\2017-02-26 --exclude "*" --recursive --include "*20170226*" &amp; "%USERPROFILE%\Documents\GitHub\mrs-test-scripts\Headless Mode &amp; Sideloading\WalkAndUnGZ.bat" "%USERPROFILE%\AppData\Local\Temp\OnboardLogs"\RTDC4009\2017-02-26 &amp; aws s3 cp s3://rtdc.mdm.uploadarchive.raw/RTDC4009/ "%USERPROFILE%\AppData\Local\Temp\OnboardLogs"\RTDC4009\2017-02-27 --exclude "*" --recursive --include "*20170227*" &amp; "%USERPROFILE%\Documents\GitHub\mrs-test-scripts\Headless Mode &amp; Sideloading\WalkAndUnGZ.bat" "%USERPROFILE%\AppData\Local\Temp\OnboardLogs"\RTDC4009\2017-02-27</v>
      </c>
      <c r="AF23" s="82" t="str">
        <f t="shared" si="13"/>
        <v>"C:\Program Files (x86)\AstroGrep\AstroGrep.exe" /spath="%USERPROFILE%\AppData\Local\Temp\OnboardLogs" /stypes="app*4009*20170226*"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6" t="str">
        <f t="shared" si="18"/>
        <v>"%USERPROFILE%\Documents\GitHub\eaglep3\Utilities\RefineRTDCRunTimes.py" --tripid 111-26 --locoid 4009 --swversion DE.1.0.9.0 --startMP 204:715 --initTime 2017-02-26T04:54:11 --startdatetime 2017-02-26T05:00:17 --delay 2 --endMP 204:233284 --enddatetime 2017-02-26T05:35:36 --enforcementcount 1 &gt;&gt;C:\Users\stu\Documents\GitHub\eaglep3-reporting\EC\2017-02-26-refined-times.txt</v>
      </c>
      <c r="AI23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{"issue":{"subject":"","project_id":79,"tracker_id":40,"status_id":1,"priority_id":2,"assigned_to_id":23,"start_date":"2017-02-26","description":"","custom_fields":[{"id":1,"name":"Subdivision","value":"EC"},{"id":4,"name":"Milepost","value":"23.3284"},{"id":17,"name":"Train ID","value":"111-26"},{"id":16,"name":"Locomotive ID","value":"4009"},{"id":130,"name":"Impact","value":""},{"id":150,"name":"Time of Event (Mountain Time)","value":"05:35:36"},{"id":151,"name":"Denver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4009 --day 2017-02-26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"%USERPROFILE%\AppData\Local\Temp\OnboardLogs"\RTDC4009\*4009*20170226* | grep -SE "(Enforcement Action)|(\[TIMEOUT)|(CHR.+\|PRM\|1\|D.+(SWITCH|SIGNAL).+UNKNOWN)" - &gt;&gt; 2017-02-26-UncaughtWiMAX.txt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613</v>
      </c>
      <c r="B24" s="7">
        <v>4010</v>
      </c>
      <c r="C24" s="21" t="s">
        <v>285</v>
      </c>
      <c r="D24" s="21" t="s">
        <v>798</v>
      </c>
      <c r="E24" s="13">
        <v>42792.242951388886</v>
      </c>
      <c r="F24" s="13">
        <v>42792.247407407405</v>
      </c>
      <c r="G24" s="7">
        <v>2</v>
      </c>
      <c r="H24" s="21" t="s">
        <v>276</v>
      </c>
      <c r="I24" s="13">
        <v>42792.274768518517</v>
      </c>
      <c r="J24" s="7">
        <v>1</v>
      </c>
      <c r="K24" s="98" t="str">
        <f t="shared" si="0"/>
        <v>4009/4010</v>
      </c>
      <c r="L24" s="21" t="str">
        <f>VLOOKUP(A24,'Trips&amp;Operators'!$C$1:$G$99999,5,FALSE)</f>
        <v>GEBRETEKLE DAGNEW</v>
      </c>
      <c r="M24" s="6">
        <f t="shared" si="1"/>
        <v>2.73611111115315E-2</v>
      </c>
      <c r="N24" s="7">
        <f t="shared" si="2"/>
        <v>39.40000000060536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5"/>
        <v>https://d0f6bd738d7f1b3e5a7ca70fe4ff75f0.us-east-1.aws.found.io/app/kibana#/discover/Steve-Slow-Train-Analysis-(2080s-and-2083s)?_g=(refreshInterval:(display:Off,pause:!f,section:0,value:0),time:(from:'2017-02-26T04:49:51-0700',mode:absolute,to:'2017-02-26T07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4" s="187" t="str">
        <f t="shared" si="6"/>
        <v>N</v>
      </c>
      <c r="X24" s="187">
        <f t="shared" si="7"/>
        <v>1</v>
      </c>
      <c r="Y24" s="62">
        <f t="shared" si="8"/>
        <v>23.2986</v>
      </c>
      <c r="Z24" s="62">
        <f t="shared" si="9"/>
        <v>1.6299999999999999E-2</v>
      </c>
      <c r="AA24" s="62">
        <f t="shared" si="10"/>
        <v>23.282299999999999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0112-26</v>
      </c>
      <c r="AE24" s="85" t="str">
        <f t="shared" si="12"/>
        <v>aws s3 cp s3://rtdc.mdm.uploadarchive.raw/RTDC4010/ "%USERPROFILE%\AppData\Local\Temp\OnboardLogs"\RTDC4010\2017-02-26 --exclude "*" --recursive --include "*20170226*" &amp; "%USERPROFILE%\Documents\GitHub\mrs-test-scripts\Headless Mode &amp; Sideloading\WalkAndUnGZ.bat" "%USERPROFILE%\AppData\Local\Temp\OnboardLogs"\RTDC4010\2017-02-26 &amp; aws s3 cp s3://rtdc.mdm.uploadarchive.raw/RTDC4010/ "%USERPROFILE%\AppData\Local\Temp\OnboardLogs"\RTDC4010\2017-02-27 --exclude "*" --recursive --include "*20170227*" &amp; "%USERPROFILE%\Documents\GitHub\mrs-test-scripts\Headless Mode &amp; Sideloading\WalkAndUnGZ.bat" "%USERPROFILE%\AppData\Local\Temp\OnboardLogs"\RTDC4010\2017-02-27</v>
      </c>
      <c r="AF24" s="82" t="str">
        <f t="shared" si="13"/>
        <v>"C:\Program Files (x86)\AstroGrep\AstroGrep.exe" /spath="%USERPROFILE%\AppData\Local\Temp\OnboardLogs" /stypes="app*4010*20170226*"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6" t="str">
        <f t="shared" si="18"/>
        <v>"%USERPROFILE%\Documents\GitHub\eaglep3\Utilities\RefineRTDCRunTimes.py" --tripid 112-26 --locoid 4010 --swversion DE.1.0.9.0 --startMP 204:232986 --initTime 2017-02-26T05:49:51 --startdatetime 2017-02-26T05:56:16 --delay 2 --endMP 204:163 --enddatetime 2017-02-26T06:35:40 --enforcementcount 1 &gt;&gt;C:\Users\stu\Documents\GitHub\eaglep3-reporting\EC\2017-02-26-refined-times.txt</v>
      </c>
      <c r="AI24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{"issue":{"subject":"","project_id":79,"tracker_id":40,"status_id":1,"priority_id":2,"assigned_to_id":23,"start_date":"2017-02-26","description":"","custom_fields":[{"id":1,"name":"Subdivision","value":"EC"},{"id":4,"name":"Milepost","value":"0.0163"},{"id":17,"name":"Train ID","value":"112-26"},{"id":16,"name":"Locomotive ID","value":"4010"},{"id":130,"name":"Impact","value":""},{"id":150,"name":"Time of Event (Mountain Time)","value":"06:35:40"},{"id":151,"name":"Denver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4010 --day 2017-02-26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"%USERPROFILE%\AppData\Local\Temp\OnboardLogs"\RTDC4010\*4010*20170226* | grep -SE "(Enforcement Action)|(\[TIMEOUT)|(CHR.+\|PRM\|1\|D.+(SWITCH|SIGNAL).+UNKNOWN)" - &gt;&gt; 2017-02-26-UncaughtWiMAX.txt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605</v>
      </c>
      <c r="B25" s="7">
        <v>4011</v>
      </c>
      <c r="C25" s="21" t="s">
        <v>285</v>
      </c>
      <c r="D25" s="21" t="s">
        <v>226</v>
      </c>
      <c r="E25" s="13">
        <v>42792.205092592594</v>
      </c>
      <c r="F25" s="13">
        <v>42792.218923611108</v>
      </c>
      <c r="G25" s="7">
        <v>1</v>
      </c>
      <c r="H25" s="21" t="s">
        <v>274</v>
      </c>
      <c r="I25" s="13">
        <v>42792.245497685188</v>
      </c>
      <c r="J25" s="7">
        <v>1</v>
      </c>
      <c r="K25" s="98" t="str">
        <f t="shared" si="0"/>
        <v>4011/4012</v>
      </c>
      <c r="L25" s="21" t="str">
        <f>VLOOKUP(A25,'Trips&amp;Operators'!$C$1:$G$99999,5,FALSE)</f>
        <v>SANTIZO D. EDY</v>
      </c>
      <c r="M25" s="6">
        <f t="shared" si="1"/>
        <v>2.6574074079690035E-2</v>
      </c>
      <c r="N25" s="7">
        <f t="shared" si="2"/>
        <v>38.266666674753651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5"/>
        <v>https://d0f6bd738d7f1b3e5a7ca70fe4ff75f0.us-east-1.aws.found.io/app/kibana#/discover/Steve-Slow-Train-Analysis-(2080s-and-2083s)?_g=(refreshInterval:(display:Off,pause:!f,section:0,value:0),time:(from:'2017-02-26T03:55:20-0700',mode:absolute,to:'2017-02-26T06:53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5" s="187" t="str">
        <f t="shared" si="6"/>
        <v>N</v>
      </c>
      <c r="X25" s="187">
        <f t="shared" si="7"/>
        <v>1</v>
      </c>
      <c r="Y25" s="62">
        <f t="shared" si="8"/>
        <v>4.5699999999999998E-2</v>
      </c>
      <c r="Z25" s="62">
        <f t="shared" si="9"/>
        <v>23.331700000000001</v>
      </c>
      <c r="AA25" s="62">
        <f t="shared" si="10"/>
        <v>23.286000000000001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0113-26</v>
      </c>
      <c r="AE25" s="85" t="str">
        <f t="shared" si="12"/>
        <v>aws s3 cp s3://rtdc.mdm.uploadarchive.raw/RTDC4011/ "%USERPROFILE%\AppData\Local\Temp\OnboardLogs"\RTDC4011\2017-02-26 --exclude "*" --recursive --include "*20170226*" &amp; "%USERPROFILE%\Documents\GitHub\mrs-test-scripts\Headless Mode &amp; Sideloading\WalkAndUnGZ.bat" "%USERPROFILE%\AppData\Local\Temp\OnboardLogs"\RTDC4011\2017-02-26 &amp; aws s3 cp s3://rtdc.mdm.uploadarchive.raw/RTDC4011/ "%USERPROFILE%\AppData\Local\Temp\OnboardLogs"\RTDC4011\2017-02-27 --exclude "*" --recursive --include "*20170227*" &amp; "%USERPROFILE%\Documents\GitHub\mrs-test-scripts\Headless Mode &amp; Sideloading\WalkAndUnGZ.bat" "%USERPROFILE%\AppData\Local\Temp\OnboardLogs"\RTDC4011\2017-02-27</v>
      </c>
      <c r="AF25" s="82" t="str">
        <f t="shared" si="13"/>
        <v>"C:\Program Files (x86)\AstroGrep\AstroGrep.exe" /spath="%USERPROFILE%\AppData\Local\Temp\OnboardLogs" /stypes="app*4011*20170226*"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6" t="str">
        <f t="shared" si="18"/>
        <v>"%USERPROFILE%\Documents\GitHub\eaglep3\Utilities\RefineRTDCRunTimes.py" --tripid 113-26 --locoid 4011 --swversion DE.1.0.9.0 --startMP 204:457 --initTime 2017-02-26T04:55:20 --startdatetime 2017-02-26T05:15:15 --delay 1 --endMP 204:233317 --enddatetime 2017-02-26T05:53:31 --enforcementcount 1 &gt;&gt;C:\Users\stu\Documents\GitHub\eaglep3-reporting\EC\2017-02-26-refined-times.txt</v>
      </c>
      <c r="AI25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{"issue":{"subject":"","project_id":79,"tracker_id":40,"status_id":1,"priority_id":2,"assigned_to_id":23,"start_date":"2017-02-26","description":"","custom_fields":[{"id":1,"name":"Subdivision","value":"EC"},{"id":4,"name":"Milepost","value":"23.3317"},{"id":17,"name":"Train ID","value":"113-26"},{"id":16,"name":"Locomotive ID","value":"4011"},{"id":130,"name":"Impact","value":""},{"id":150,"name":"Time of Event (Mountain Time)","value":"05:53:31"},{"id":151,"name":"Denver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4011 --day 2017-02-26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"%USERPROFILE%\AppData\Local\Temp\OnboardLogs"\RTDC4011\*4011*20170226* | grep -SE "(Enforcement Action)|(\[TIMEOUT)|(CHR.+\|PRM\|1\|D.+(SWITCH|SIGNAL).+UNKNOWN)" - &gt;&gt; 2017-02-26-UncaughtWiMAX.txt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550</v>
      </c>
      <c r="B26" s="7">
        <v>4012</v>
      </c>
      <c r="C26" s="21" t="s">
        <v>285</v>
      </c>
      <c r="D26" s="21" t="s">
        <v>799</v>
      </c>
      <c r="E26" s="13">
        <v>42792.246712962966</v>
      </c>
      <c r="F26" s="13">
        <v>42792.258206018516</v>
      </c>
      <c r="G26" s="7">
        <v>1</v>
      </c>
      <c r="H26" s="21" t="s">
        <v>213</v>
      </c>
      <c r="I26" s="13">
        <v>42792.28670138889</v>
      </c>
      <c r="J26" s="7">
        <v>1</v>
      </c>
      <c r="K26" s="98" t="str">
        <f t="shared" si="0"/>
        <v>4011/4012</v>
      </c>
      <c r="L26" s="21" t="str">
        <f>VLOOKUP(A26,'Trips&amp;Operators'!$C$1:$G$99999,5,FALSE)</f>
        <v>SANTIZO D. EDY</v>
      </c>
      <c r="M26" s="6">
        <f t="shared" si="1"/>
        <v>2.849537037400296E-2</v>
      </c>
      <c r="N26" s="7">
        <f t="shared" si="2"/>
        <v>41.033333338564262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5"/>
        <v>https://d0f6bd738d7f1b3e5a7ca70fe4ff75f0.us-east-1.aws.found.io/app/kibana#/discover/Steve-Slow-Train-Analysis-(2080s-and-2083s)?_g=(refreshInterval:(display:Off,pause:!f,section:0,value:0),time:(from:'2017-02-26T04:55:16-0700',mode:absolute,to:'2017-02-26T07:52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6" s="187" t="str">
        <f t="shared" si="6"/>
        <v>N</v>
      </c>
      <c r="X26" s="187">
        <f t="shared" si="7"/>
        <v>1</v>
      </c>
      <c r="Y26" s="62">
        <f t="shared" si="8"/>
        <v>23.3</v>
      </c>
      <c r="Z26" s="62">
        <f t="shared" si="9"/>
        <v>1.54E-2</v>
      </c>
      <c r="AA26" s="62">
        <f t="shared" si="10"/>
        <v>23.284600000000001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0114-26</v>
      </c>
      <c r="AE26" s="85" t="str">
        <f t="shared" si="12"/>
        <v>aws s3 cp s3://rtdc.mdm.uploadarchive.raw/RTDC4012/ "%USERPROFILE%\AppData\Local\Temp\OnboardLogs"\RTDC4012\2017-02-26 --exclude "*" --recursive --include "*20170226*" &amp; "%USERPROFILE%\Documents\GitHub\mrs-test-scripts\Headless Mode &amp; Sideloading\WalkAndUnGZ.bat" "%USERPROFILE%\AppData\Local\Temp\OnboardLogs"\RTDC4012\2017-02-26 &amp; 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</v>
      </c>
      <c r="AF26" s="82" t="str">
        <f t="shared" si="13"/>
        <v>"C:\Program Files (x86)\AstroGrep\AstroGrep.exe" /spath="%USERPROFILE%\AppData\Local\Temp\OnboardLogs" /stypes="app*4012*20170226*"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6" t="str">
        <f t="shared" si="18"/>
        <v>"%USERPROFILE%\Documents\GitHub\eaglep3\Utilities\RefineRTDCRunTimes.py" --tripid 114-26 --locoid 4012 --swversion DE.1.0.9.0 --startMP 204:233000 --initTime 2017-02-26T05:55:16 --startdatetime 2017-02-26T06:11:49 --delay 1 --endMP 204:154 --enddatetime 2017-02-26T06:52:51 --enforcementcount 1 &gt;&gt;C:\Users\stu\Documents\GitHub\eaglep3-reporting\EC\2017-02-26-refined-times.txt</v>
      </c>
      <c r="AI26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{"issue":{"subject":"","project_id":79,"tracker_id":40,"status_id":1,"priority_id":2,"assigned_to_id":23,"start_date":"2017-02-26","description":"","custom_fields":[{"id":1,"name":"Subdivision","value":"EC"},{"id":4,"name":"Milepost","value":"0.0154"},{"id":17,"name":"Train ID","value":"114-26"},{"id":16,"name":"Locomotive ID","value":"4012"},{"id":130,"name":"Impact","value":""},{"id":150,"name":"Time of Event (Mountain Time)","value":"06:52:51"},{"id":151,"name":"Denver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4012 --day 2017-02-26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"%USERPROFILE%\AppData\Local\Temp\OnboardLogs"\RTDC4012\*4012*20170226* | grep -SE "(Enforcement Action)|(\[TIMEOUT)|(CHR.+\|PRM\|1\|D.+(SWITCH|SIGNAL).+UNKNOWN)" - &gt;&gt; 2017-02-26-UncaughtWiMAX.txt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610</v>
      </c>
      <c r="B27" s="7">
        <v>4027</v>
      </c>
      <c r="C27" s="21" t="s">
        <v>285</v>
      </c>
      <c r="D27" s="21" t="s">
        <v>273</v>
      </c>
      <c r="E27" s="13">
        <v>42792.227418981478</v>
      </c>
      <c r="F27" s="13">
        <v>42792.229375000003</v>
      </c>
      <c r="G27" s="7">
        <v>1</v>
      </c>
      <c r="H27" s="21" t="s">
        <v>800</v>
      </c>
      <c r="I27" s="13">
        <v>42792.25613425926</v>
      </c>
      <c r="J27" s="7">
        <v>1</v>
      </c>
      <c r="K27" s="98" t="str">
        <f t="shared" si="0"/>
        <v>4027/4028</v>
      </c>
      <c r="L27" s="21" t="str">
        <f>VLOOKUP(A27,'Trips&amp;Operators'!$C$1:$G$99999,5,FALSE)</f>
        <v>SHOOK JOHN</v>
      </c>
      <c r="M27" s="6">
        <f t="shared" si="1"/>
        <v>2.675925925723277E-2</v>
      </c>
      <c r="N27" s="7">
        <f t="shared" si="2"/>
        <v>38.533333330415189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5"/>
        <v>https://d0f6bd738d7f1b3e5a7ca70fe4ff75f0.us-east-1.aws.found.io/app/kibana#/discover/Steve-Slow-Train-Analysis-(2080s-and-2083s)?_g=(refreshInterval:(display:Off,pause:!f,section:0,value:0),time:(from:'2017-02-26T04:27:29-0700',mode:absolute,to:'2017-02-26T07:08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7" s="187" t="str">
        <f t="shared" si="6"/>
        <v>N</v>
      </c>
      <c r="X27" s="187">
        <f t="shared" si="7"/>
        <v>1</v>
      </c>
      <c r="Y27" s="62">
        <f t="shared" si="8"/>
        <v>7.5399999999999995E-2</v>
      </c>
      <c r="Z27" s="62">
        <f t="shared" si="9"/>
        <v>23.3307</v>
      </c>
      <c r="AA27" s="62">
        <f t="shared" si="10"/>
        <v>23.255300000000002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0115-26</v>
      </c>
      <c r="AE27" s="85" t="str">
        <f t="shared" si="12"/>
        <v>aws s3 cp s3://rtdc.mdm.uploadarchive.raw/RTDC4027/ "%USERPROFILE%\AppData\Local\Temp\OnboardLogs"\RTDC4027\2017-02-26 --exclude "*" --recursive --include "*20170226*" &amp; "%USERPROFILE%\Documents\GitHub\mrs-test-scripts\Headless Mode &amp; Sideloading\WalkAndUnGZ.bat" "%USERPROFILE%\AppData\Local\Temp\OnboardLogs"\RTDC4027\2017-02-26 &amp; aws s3 cp s3://rtdc.mdm.uploadarchive.raw/RTDC4027/ "%USERPROFILE%\AppData\Local\Temp\OnboardLogs"\RTDC4027\2017-02-27 --exclude "*" --recursive --include "*20170227*" &amp; "%USERPROFILE%\Documents\GitHub\mrs-test-scripts\Headless Mode &amp; Sideloading\WalkAndUnGZ.bat" "%USERPROFILE%\AppData\Local\Temp\OnboardLogs"\RTDC4027\2017-02-27</v>
      </c>
      <c r="AF27" s="82" t="str">
        <f t="shared" si="13"/>
        <v>"C:\Program Files (x86)\AstroGrep\AstroGrep.exe" /spath="%USERPROFILE%\AppData\Local\Temp\OnboardLogs" /stypes="app*4027*20170226*"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6" t="str">
        <f t="shared" si="18"/>
        <v>"%USERPROFILE%\Documents\GitHub\eaglep3\Utilities\RefineRTDCRunTimes.py" --tripid 115-26 --locoid 4027 --swversion DE.1.0.9.0 --startMP 204:754 --initTime 2017-02-26T05:27:29 --startdatetime 2017-02-26T05:30:18 --delay 1 --endMP 204:233307 --enddatetime 2017-02-26T06:08:50 --enforcementcount 1 &gt;&gt;C:\Users\stu\Documents\GitHub\eaglep3-reporting\EC\2017-02-26-refined-times.txt</v>
      </c>
      <c r="AI27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{"issue":{"subject":"","project_id":79,"tracker_id":40,"status_id":1,"priority_id":2,"assigned_to_id":23,"start_date":"2017-02-26","description":"","custom_fields":[{"id":1,"name":"Subdivision","value":"EC"},{"id":4,"name":"Milepost","value":"23.3307"},{"id":17,"name":"Train ID","value":"115-26"},{"id":16,"name":"Locomotive ID","value":"4027"},{"id":130,"name":"Impact","value":""},{"id":150,"name":"Time of Event (Mountain Time)","value":"06:08:50"},{"id":151,"name":"Denver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4027 --day 2017-02-26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"%USERPROFILE%\AppData\Local\Temp\OnboardLogs"\RTDC4027\*4027*20170226* | grep -SE "(Enforcement Action)|(\[TIMEOUT)|(CHR.+\|PRM\|1\|D.+(SWITCH|SIGNAL).+UNKNOWN)" - &gt;&gt; 2017-02-26-UncaughtWiMAX.txt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616</v>
      </c>
      <c r="B28" s="7">
        <v>4028</v>
      </c>
      <c r="C28" s="21" t="s">
        <v>285</v>
      </c>
      <c r="D28" s="21" t="s">
        <v>801</v>
      </c>
      <c r="E28" s="13">
        <v>42792.258020833331</v>
      </c>
      <c r="F28" s="13">
        <v>42792.268240740741</v>
      </c>
      <c r="G28" s="7">
        <v>1</v>
      </c>
      <c r="H28" s="21" t="s">
        <v>207</v>
      </c>
      <c r="I28" s="13">
        <v>42792.298530092594</v>
      </c>
      <c r="J28" s="7">
        <v>1</v>
      </c>
      <c r="K28" s="98" t="str">
        <f t="shared" si="0"/>
        <v>4027/4028</v>
      </c>
      <c r="L28" s="21" t="str">
        <f>VLOOKUP(A28,'Trips&amp;Operators'!$C$1:$G$99999,5,FALSE)</f>
        <v>SHOOK JOHN</v>
      </c>
      <c r="M28" s="6">
        <f t="shared" si="1"/>
        <v>3.0289351852843538E-2</v>
      </c>
      <c r="N28" s="7">
        <f t="shared" si="2"/>
        <v>43.616666668094695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5"/>
        <v>https://d0f6bd738d7f1b3e5a7ca70fe4ff75f0.us-east-1.aws.found.io/app/kibana#/discover/Steve-Slow-Train-Analysis-(2080s-and-2083s)?_g=(refreshInterval:(display:Off,pause:!f,section:0,value:0),time:(from:'2017-02-26T05:11:33-0700',mode:absolute,to:'2017-02-26T08:09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8" s="187" t="str">
        <f t="shared" si="6"/>
        <v>N</v>
      </c>
      <c r="X28" s="187">
        <f t="shared" si="7"/>
        <v>1</v>
      </c>
      <c r="Y28" s="62">
        <f t="shared" si="8"/>
        <v>23.299800000000001</v>
      </c>
      <c r="Z28" s="62">
        <f t="shared" si="9"/>
        <v>1.5800000000000002E-2</v>
      </c>
      <c r="AA28" s="62">
        <f t="shared" si="10"/>
        <v>23.284000000000002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0116-26</v>
      </c>
      <c r="AE28" s="85" t="str">
        <f t="shared" si="12"/>
        <v>aws s3 cp s3://rtdc.mdm.uploadarchive.raw/RTDC4028/ "%USERPROFILE%\AppData\Local\Temp\OnboardLogs"\RTDC4028\2017-02-26 --exclude "*" --recursive --include "*20170226*" &amp; "%USERPROFILE%\Documents\GitHub\mrs-test-scripts\Headless Mode &amp; Sideloading\WalkAndUnGZ.bat" "%USERPROFILE%\AppData\Local\Temp\OnboardLogs"\RTDC4028\2017-02-26 &amp; aws s3 cp s3://rtdc.mdm.uploadarchive.raw/RTDC4028/ "%USERPROFILE%\AppData\Local\Temp\OnboardLogs"\RTDC4028\2017-02-27 --exclude "*" --recursive --include "*20170227*" &amp; "%USERPROFILE%\Documents\GitHub\mrs-test-scripts\Headless Mode &amp; Sideloading\WalkAndUnGZ.bat" "%USERPROFILE%\AppData\Local\Temp\OnboardLogs"\RTDC4028\2017-02-27</v>
      </c>
      <c r="AF28" s="82" t="str">
        <f t="shared" si="13"/>
        <v>"C:\Program Files (x86)\AstroGrep\AstroGrep.exe" /spath="%USERPROFILE%\AppData\Local\Temp\OnboardLogs" /stypes="app*4028*20170226*"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6" t="str">
        <f t="shared" si="18"/>
        <v>"%USERPROFILE%\Documents\GitHub\eaglep3\Utilities\RefineRTDCRunTimes.py" --tripid 116-26 --locoid 4028 --swversion DE.1.0.9.0 --startMP 204:232998 --initTime 2017-02-26T06:11:33 --startdatetime 2017-02-26T06:26:16 --delay 1 --endMP 204:158 --enddatetime 2017-02-26T07:09:53 --enforcementcount 1 &gt;&gt;C:\Users\stu\Documents\GitHub\eaglep3-reporting\EC\2017-02-26-refined-times.txt</v>
      </c>
      <c r="AI28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{"issue":{"subject":"","project_id":79,"tracker_id":40,"status_id":1,"priority_id":2,"assigned_to_id":23,"start_date":"2017-02-26","description":"","custom_fields":[{"id":1,"name":"Subdivision","value":"EC"},{"id":4,"name":"Milepost","value":"0.0158"},{"id":17,"name":"Train ID","value":"116-26"},{"id":16,"name":"Locomotive ID","value":"4028"},{"id":130,"name":"Impact","value":""},{"id":150,"name":"Time of Event (Mountain Time)","value":"07:09:53"},{"id":151,"name":"Denver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4028 --day 2017-02-26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"%USERPROFILE%\AppData\Local\Temp\OnboardLogs"\RTDC4028\*4028*20170226* | grep -SE "(Enforcement Action)|(\[TIMEOUT)|(CHR.+\|PRM\|1\|D.+(SWITCH|SIGNAL).+UNKNOWN)" - &gt;&gt; 2017-02-26-UncaughtWiMAX.txt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549</v>
      </c>
      <c r="B29" s="7">
        <v>4018</v>
      </c>
      <c r="C29" s="21" t="s">
        <v>285</v>
      </c>
      <c r="D29" s="21" t="s">
        <v>250</v>
      </c>
      <c r="E29" s="13">
        <v>42792.229062500002</v>
      </c>
      <c r="F29" s="13">
        <v>42792.239895833336</v>
      </c>
      <c r="G29" s="7">
        <v>1</v>
      </c>
      <c r="H29" s="21" t="s">
        <v>802</v>
      </c>
      <c r="I29" s="13">
        <v>42792.265960648147</v>
      </c>
      <c r="J29" s="7">
        <v>1</v>
      </c>
      <c r="K29" s="98" t="str">
        <f t="shared" si="0"/>
        <v>4017/4018</v>
      </c>
      <c r="L29" s="21" t="str">
        <f>VLOOKUP(A29,'Trips&amp;Operators'!$C$1:$G$99999,5,FALSE)</f>
        <v>MAELZER KURT</v>
      </c>
      <c r="M29" s="6">
        <f t="shared" si="1"/>
        <v>2.6064814810524695E-2</v>
      </c>
      <c r="N29" s="7">
        <f t="shared" si="2"/>
        <v>37.53333332715556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5"/>
        <v>https://d0f6bd738d7f1b3e5a7ca70fe4ff75f0.us-east-1.aws.found.io/app/kibana#/discover/Steve-Slow-Train-Analysis-(2080s-and-2083s)?_g=(refreshInterval:(display:Off,pause:!f,section:0,value:0),time:(from:'2017-02-26T04:29:51-0700',mode:absolute,to:'2017-02-26T07:22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9" s="187" t="str">
        <f t="shared" si="6"/>
        <v>N</v>
      </c>
      <c r="X29" s="187">
        <f t="shared" si="7"/>
        <v>1</v>
      </c>
      <c r="Y29" s="62">
        <f t="shared" si="8"/>
        <v>4.6399999999999997E-2</v>
      </c>
      <c r="Z29" s="62">
        <f t="shared" si="9"/>
        <v>23.332899999999999</v>
      </c>
      <c r="AA29" s="62">
        <f t="shared" si="10"/>
        <v>23.2865</v>
      </c>
      <c r="AB29" s="59" t="str">
        <f>VLOOKUP(A29,Enforcements!$C$7:$K$13,8,0)</f>
        <v>Bulletin (2)</v>
      </c>
      <c r="AC29" s="55" t="str">
        <f>VLOOKUP(A29,Enforcements!$C$7:$E$13,3,0)</f>
        <v>GRADE CROSSING</v>
      </c>
      <c r="AD29" s="56" t="str">
        <f t="shared" si="11"/>
        <v>0117-26</v>
      </c>
      <c r="AE29" s="85" t="str">
        <f t="shared" si="12"/>
        <v>aws s3 cp s3://rtdc.mdm.uploadarchive.raw/RTDC4018/ "%USERPROFILE%\AppData\Local\Temp\OnboardLogs"\RTDC4018\2017-02-26 --exclude "*" --recursive --include "*20170226*" &amp; "%USERPROFILE%\Documents\GitHub\mrs-test-scripts\Headless Mode &amp; Sideloading\WalkAndUnGZ.bat" "%USERPROFILE%\AppData\Local\Temp\OnboardLogs"\RTDC4018\2017-02-26 &amp; aws s3 cp s3://rtdc.mdm.uploadarchive.raw/RTDC4018/ "%USERPROFILE%\AppData\Local\Temp\OnboardLogs"\RTDC4018\2017-02-27 --exclude "*" --recursive --include "*20170227*" &amp; "%USERPROFILE%\Documents\GitHub\mrs-test-scripts\Headless Mode &amp; Sideloading\WalkAndUnGZ.bat" "%USERPROFILE%\AppData\Local\Temp\OnboardLogs"\RTDC4018\2017-02-27</v>
      </c>
      <c r="AF29" s="82" t="str">
        <f t="shared" si="13"/>
        <v>"C:\Program Files (x86)\AstroGrep\AstroGrep.exe" /spath="%USERPROFILE%\AppData\Local\Temp\OnboardLogs" /stypes="app*4018*20170226*"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6" t="str">
        <f t="shared" si="18"/>
        <v>"%USERPROFILE%\Documents\GitHub\eaglep3\Utilities\RefineRTDCRunTimes.py" --tripid 117-26 --locoid 4018 --swversion DE.1.0.9.0 --startMP 204:464 --initTime 2017-02-26T05:29:51 --startdatetime 2017-02-26T05:45:27 --delay 1 --endMP 204:233329 --enddatetime 2017-02-26T06:22:59 --enforcementcount 1 &gt;&gt;C:\Users\stu\Documents\GitHub\eaglep3-reporting\EC\2017-02-26-refined-times.txt</v>
      </c>
      <c r="AI29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{"issue":{"subject":"","project_id":79,"tracker_id":40,"status_id":1,"priority_id":2,"assigned_to_id":23,"start_date":"2017-02-26","description":"","custom_fields":[{"id":1,"name":"Subdivision","value":"EC"},{"id":4,"name":"Milepost","value":"23.3329"},{"id":17,"name":"Train ID","value":"117-26"},{"id":16,"name":"Locomotive ID","value":"4018"},{"id":130,"name":"Impact","value":""},{"id":150,"name":"Time of Event (Mountain Time)","value":"06:22:59"},{"id":151,"name":"Denver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4018 --day 2017-02-26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"%USERPROFILE%\AppData\Local\Temp\OnboardLogs"\RTDC4018\*4018*20170226* | grep -SE "(Enforcement Action)|(\[TIMEOUT)|(CHR.+\|PRM\|1\|D.+(SWITCH|SIGNAL).+UNKNOWN)" - &gt;&gt; 2017-02-26-UncaughtWiMAX.txt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619</v>
      </c>
      <c r="B30" s="7">
        <v>4017</v>
      </c>
      <c r="C30" s="21" t="s">
        <v>285</v>
      </c>
      <c r="D30" s="21" t="s">
        <v>799</v>
      </c>
      <c r="E30" s="13">
        <v>42792.275358796294</v>
      </c>
      <c r="F30" s="13">
        <v>42792.278726851851</v>
      </c>
      <c r="G30" s="7">
        <v>1</v>
      </c>
      <c r="H30" s="21" t="s">
        <v>223</v>
      </c>
      <c r="I30" s="13">
        <v>42792.306574074071</v>
      </c>
      <c r="J30" s="7">
        <v>1</v>
      </c>
      <c r="K30" s="98" t="str">
        <f t="shared" si="0"/>
        <v>4017/4018</v>
      </c>
      <c r="L30" s="21" t="str">
        <f>VLOOKUP(A30,'Trips&amp;Operators'!$C$1:$G$99999,5,FALSE)</f>
        <v>MAELZER KURT</v>
      </c>
      <c r="M30" s="6">
        <f t="shared" si="1"/>
        <v>2.7847222219861578E-2</v>
      </c>
      <c r="N30" s="7">
        <f t="shared" si="2"/>
        <v>40.099999996600673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5"/>
        <v>https://d0f6bd738d7f1b3e5a7ca70fe4ff75f0.us-east-1.aws.found.io/app/kibana#/discover/Steve-Slow-Train-Analysis-(2080s-and-2083s)?_g=(refreshInterval:(display:Off,pause:!f,section:0,value:0),time:(from:'2017-02-26T05:36:31-0700',mode:absolute,to:'2017-02-26T08:21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0" s="187" t="str">
        <f t="shared" si="6"/>
        <v>N</v>
      </c>
      <c r="X30" s="187">
        <f t="shared" si="7"/>
        <v>1</v>
      </c>
      <c r="Y30" s="62">
        <f t="shared" si="8"/>
        <v>23.3</v>
      </c>
      <c r="Z30" s="62">
        <f t="shared" si="9"/>
        <v>1.43E-2</v>
      </c>
      <c r="AA30" s="62">
        <f t="shared" si="10"/>
        <v>23.285700000000002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0118-26</v>
      </c>
      <c r="AE30" s="85" t="str">
        <f t="shared" si="12"/>
        <v>aws s3 cp s3://rtdc.mdm.uploadarchive.raw/RTDC4017/ "%USERPROFILE%\AppData\Local\Temp\OnboardLogs"\RTDC4017\2017-02-26 --exclude "*" --recursive --include "*20170226*" &amp; "%USERPROFILE%\Documents\GitHub\mrs-test-scripts\Headless Mode &amp; Sideloading\WalkAndUnGZ.bat" "%USERPROFILE%\AppData\Local\Temp\OnboardLogs"\RTDC4017\2017-02-26 &amp; aws s3 cp s3://rtdc.mdm.uploadarchive.raw/RTDC4017/ "%USERPROFILE%\AppData\Local\Temp\OnboardLogs"\RTDC4017\2017-02-27 --exclude "*" --recursive --include "*20170227*" &amp; "%USERPROFILE%\Documents\GitHub\mrs-test-scripts\Headless Mode &amp; Sideloading\WalkAndUnGZ.bat" "%USERPROFILE%\AppData\Local\Temp\OnboardLogs"\RTDC4017\2017-02-27</v>
      </c>
      <c r="AF30" s="82" t="str">
        <f t="shared" si="13"/>
        <v>"C:\Program Files (x86)\AstroGrep\AstroGrep.exe" /spath="%USERPROFILE%\AppData\Local\Temp\OnboardLogs" /stypes="app*4017*20170226*"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6" t="str">
        <f t="shared" si="18"/>
        <v>"%USERPROFILE%\Documents\GitHub\eaglep3\Utilities\RefineRTDCRunTimes.py" --tripid 118-26 --locoid 4017 --swversion DE.1.0.9.0 --startMP 204:233000 --initTime 2017-02-26T06:36:31 --startdatetime 2017-02-26T06:41:22 --delay 1 --endMP 204:143 --enddatetime 2017-02-26T07:21:28 --enforcementcount 1 &gt;&gt;C:\Users\stu\Documents\GitHub\eaglep3-reporting\EC\2017-02-26-refined-times.txt</v>
      </c>
      <c r="AI30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{"issue":{"subject":"","project_id":79,"tracker_id":40,"status_id":1,"priority_id":2,"assigned_to_id":23,"start_date":"2017-02-26","description":"","custom_fields":[{"id":1,"name":"Subdivision","value":"EC"},{"id":4,"name":"Milepost","value":"0.0143"},{"id":17,"name":"Train ID","value":"118-26"},{"id":16,"name":"Locomotive ID","value":"4017"},{"id":130,"name":"Impact","value":""},{"id":150,"name":"Time of Event (Mountain Time)","value":"07:21:28"},{"id":151,"name":"Denver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4017 --day 2017-02-26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"%USERPROFILE%\AppData\Local\Temp\OnboardLogs"\RTDC4017\*4017*20170226* | grep -SE "(Enforcement Action)|(\[TIMEOUT)|(CHR.+\|PRM\|1\|D.+(SWITCH|SIGNAL).+UNKNOWN)" - &gt;&gt; 2017-02-26-UncaughtWiMAX.txt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615</v>
      </c>
      <c r="B31" s="7">
        <v>4025</v>
      </c>
      <c r="C31" s="21" t="s">
        <v>285</v>
      </c>
      <c r="D31" s="21" t="s">
        <v>803</v>
      </c>
      <c r="E31" s="13">
        <v>42792.250034722223</v>
      </c>
      <c r="F31" s="13">
        <v>42792.252222222225</v>
      </c>
      <c r="G31" s="7">
        <v>1</v>
      </c>
      <c r="H31" s="21" t="s">
        <v>804</v>
      </c>
      <c r="I31" s="13">
        <v>42792.278009259258</v>
      </c>
      <c r="J31" s="7">
        <v>1</v>
      </c>
      <c r="K31" s="98" t="str">
        <f t="shared" si="0"/>
        <v>4025/4026</v>
      </c>
      <c r="L31" s="21" t="str">
        <f>VLOOKUP(A31,'Trips&amp;Operators'!$C$1:$G$99999,5,FALSE)</f>
        <v>ARVIDSON DANIEL</v>
      </c>
      <c r="M31" s="6">
        <f t="shared" si="1"/>
        <v>2.5787037033296656E-2</v>
      </c>
      <c r="N31" s="7">
        <f t="shared" si="2"/>
        <v>37.133333327947184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5"/>
        <v>https://d0f6bd738d7f1b3e5a7ca70fe4ff75f0.us-east-1.aws.found.io/app/kibana#/discover/Steve-Slow-Train-Analysis-(2080s-and-2083s)?_g=(refreshInterval:(display:Off,pause:!f,section:0,value:0),time:(from:'2017-02-26T05:00:03-0700',mode:absolute,to:'2017-02-26T07:40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1" s="187" t="str">
        <f t="shared" si="6"/>
        <v>N</v>
      </c>
      <c r="X31" s="187">
        <f t="shared" si="7"/>
        <v>1</v>
      </c>
      <c r="Y31" s="62">
        <f t="shared" si="8"/>
        <v>7.0599999999999996E-2</v>
      </c>
      <c r="Z31" s="62">
        <f t="shared" si="9"/>
        <v>23.335999999999999</v>
      </c>
      <c r="AA31" s="62">
        <f t="shared" si="10"/>
        <v>23.2654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0119-26</v>
      </c>
      <c r="AE31" s="85" t="str">
        <f t="shared" si="12"/>
        <v>aws s3 cp s3://rtdc.mdm.uploadarchive.raw/RTDC4025/ "%USERPROFILE%\AppData\Local\Temp\OnboardLogs"\RTDC4025\2017-02-26 --exclude "*" --recursive --include "*20170226*" &amp; "%USERPROFILE%\Documents\GitHub\mrs-test-scripts\Headless Mode &amp; Sideloading\WalkAndUnGZ.bat" "%USERPROFILE%\AppData\Local\Temp\OnboardLogs"\RTDC4025\2017-02-26 &amp; aws s3 cp s3://rtdc.mdm.uploadarchive.raw/RTDC4025/ "%USERPROFILE%\AppData\Local\Temp\OnboardLogs"\RTDC4025\2017-02-27 --exclude "*" --recursive --include "*20170227*" &amp; "%USERPROFILE%\Documents\GitHub\mrs-test-scripts\Headless Mode &amp; Sideloading\WalkAndUnGZ.bat" "%USERPROFILE%\AppData\Local\Temp\OnboardLogs"\RTDC4025\2017-02-27</v>
      </c>
      <c r="AF31" s="82" t="str">
        <f t="shared" si="13"/>
        <v>"C:\Program Files (x86)\AstroGrep\AstroGrep.exe" /spath="%USERPROFILE%\AppData\Local\Temp\OnboardLogs" /stypes="app*4025*20170226*"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6" t="str">
        <f t="shared" si="18"/>
        <v>"%USERPROFILE%\Documents\GitHub\eaglep3\Utilities\RefineRTDCRunTimes.py" --tripid 119-26 --locoid 4025 --swversion DE.1.0.9.0 --startMP 204:706 --initTime 2017-02-26T06:00:03 --startdatetime 2017-02-26T06:03:12 --delay 1 --endMP 204:233360 --enddatetime 2017-02-26T06:40:20 --enforcementcount 1 &gt;&gt;C:\Users\stu\Documents\GitHub\eaglep3-reporting\EC\2017-02-26-refined-times.txt</v>
      </c>
      <c r="AI31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{"issue":{"subject":"","project_id":79,"tracker_id":40,"status_id":1,"priority_id":2,"assigned_to_id":23,"start_date":"2017-02-26","description":"","custom_fields":[{"id":1,"name":"Subdivision","value":"EC"},{"id":4,"name":"Milepost","value":"23.336"},{"id":17,"name":"Train ID","value":"119-26"},{"id":16,"name":"Locomotive ID","value":"4025"},{"id":130,"name":"Impact","value":""},{"id":150,"name":"Time of Event (Mountain Time)","value":"06:40:20"},{"id":151,"name":"Denver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4025 --day 2017-02-26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"%USERPROFILE%\AppData\Local\Temp\OnboardLogs"\RTDC4025\*4025*20170226* | grep -SE "(Enforcement Action)|(\[TIMEOUT)|(CHR.+\|PRM\|1\|D.+(SWITCH|SIGNAL).+UNKNOWN)" - &gt;&gt; 2017-02-26-UncaughtWiMAX.txt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621</v>
      </c>
      <c r="B32" s="7">
        <v>4026</v>
      </c>
      <c r="C32" s="21" t="s">
        <v>285</v>
      </c>
      <c r="D32" s="21" t="s">
        <v>383</v>
      </c>
      <c r="E32" s="13">
        <v>42792.287210648145</v>
      </c>
      <c r="F32" s="13">
        <v>42792.289305555554</v>
      </c>
      <c r="G32" s="7">
        <v>1</v>
      </c>
      <c r="H32" s="21" t="s">
        <v>223</v>
      </c>
      <c r="I32" s="13">
        <v>42792.31726851852</v>
      </c>
      <c r="J32" s="7">
        <v>1</v>
      </c>
      <c r="K32" s="98" t="str">
        <f t="shared" si="0"/>
        <v>4025/4026</v>
      </c>
      <c r="L32" s="21" t="str">
        <f>VLOOKUP(A32,'Trips&amp;Operators'!$C$1:$G$99999,5,FALSE)</f>
        <v>ARVIDSON DANIEL</v>
      </c>
      <c r="M32" s="6">
        <f t="shared" si="1"/>
        <v>2.7962962965830229E-2</v>
      </c>
      <c r="N32" s="7">
        <f t="shared" si="2"/>
        <v>40.26666667079553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5"/>
        <v>https://d0f6bd738d7f1b3e5a7ca70fe4ff75f0.us-east-1.aws.found.io/app/kibana#/discover/Steve-Slow-Train-Analysis-(2080s-and-2083s)?_g=(refreshInterval:(display:Off,pause:!f,section:0,value:0),time:(from:'2017-02-26T05:53:35-0700',mode:absolute,to:'2017-02-26T08:36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2" s="187" t="str">
        <f t="shared" si="6"/>
        <v>N</v>
      </c>
      <c r="X32" s="187">
        <f t="shared" si="7"/>
        <v>1</v>
      </c>
      <c r="Y32" s="62">
        <f t="shared" si="8"/>
        <v>23.300899999999999</v>
      </c>
      <c r="Z32" s="62">
        <f t="shared" si="9"/>
        <v>1.43E-2</v>
      </c>
      <c r="AA32" s="62">
        <f t="shared" si="10"/>
        <v>23.2866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0120-26</v>
      </c>
      <c r="AE32" s="85" t="str">
        <f t="shared" si="12"/>
        <v>aws s3 cp s3://rtdc.mdm.uploadarchive.raw/RTDC4026/ "%USERPROFILE%\AppData\Local\Temp\OnboardLogs"\RTDC4026\2017-02-26 --exclude "*" --recursive --include "*20170226*" &amp; "%USERPROFILE%\Documents\GitHub\mrs-test-scripts\Headless Mode &amp; Sideloading\WalkAndUnGZ.bat" "%USERPROFILE%\AppData\Local\Temp\OnboardLogs"\RTDC4026\2017-02-26 &amp; aws s3 cp s3://rtdc.mdm.uploadarchive.raw/RTDC4026/ "%USERPROFILE%\AppData\Local\Temp\OnboardLogs"\RTDC4026\2017-02-27 --exclude "*" --recursive --include "*20170227*" &amp; "%USERPROFILE%\Documents\GitHub\mrs-test-scripts\Headless Mode &amp; Sideloading\WalkAndUnGZ.bat" "%USERPROFILE%\AppData\Local\Temp\OnboardLogs"\RTDC4026\2017-02-27</v>
      </c>
      <c r="AF32" s="82" t="str">
        <f t="shared" si="13"/>
        <v>"C:\Program Files (x86)\AstroGrep\AstroGrep.exe" /spath="%USERPROFILE%\AppData\Local\Temp\OnboardLogs" /stypes="app*4026*20170226*"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6" t="str">
        <f t="shared" si="18"/>
        <v>"%USERPROFILE%\Documents\GitHub\eaglep3\Utilities\RefineRTDCRunTimes.py" --tripid 120-26 --locoid 4026 --swversion DE.1.0.9.0 --startMP 204:233009 --initTime 2017-02-26T06:53:35 --startdatetime 2017-02-26T06:56:36 --delay 1 --endMP 204:143 --enddatetime 2017-02-26T07:36:52 --enforcementcount 1 &gt;&gt;C:\Users\stu\Documents\GitHub\eaglep3-reporting\EC\2017-02-26-refined-times.txt</v>
      </c>
      <c r="AI32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{"issue":{"subject":"","project_id":79,"tracker_id":40,"status_id":1,"priority_id":2,"assigned_to_id":23,"start_date":"2017-02-26","description":"","custom_fields":[{"id":1,"name":"Subdivision","value":"EC"},{"id":4,"name":"Milepost","value":"0.0143"},{"id":17,"name":"Train ID","value":"120-26"},{"id":16,"name":"Locomotive ID","value":"4026"},{"id":130,"name":"Impact","value":""},{"id":150,"name":"Time of Event (Mountain Time)","value":"07:36:52"},{"id":151,"name":"Denver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4026 --day 2017-02-26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"%USERPROFILE%\AppData\Local\Temp\OnboardLogs"\RTDC4026\*4026*20170226* | grep -SE "(Enforcement Action)|(\[TIMEOUT)|(CHR.+\|PRM\|1\|D.+(SWITCH|SIGNAL).+UNKNOWN)" - &gt;&gt; 2017-02-26-UncaughtWiMAX.txt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551</v>
      </c>
      <c r="B33" s="7">
        <v>4029</v>
      </c>
      <c r="C33" s="21" t="s">
        <v>285</v>
      </c>
      <c r="D33" s="21" t="s">
        <v>378</v>
      </c>
      <c r="E33" s="13">
        <v>42792.257268518515</v>
      </c>
      <c r="F33" s="13">
        <v>42792.26059027778</v>
      </c>
      <c r="G33" s="7">
        <v>1</v>
      </c>
      <c r="H33" s="21" t="s">
        <v>805</v>
      </c>
      <c r="I33" s="13">
        <v>42792.288078703707</v>
      </c>
      <c r="J33" s="7">
        <v>1</v>
      </c>
      <c r="K33" s="98" t="str">
        <f t="shared" si="0"/>
        <v>4029/4030</v>
      </c>
      <c r="L33" s="21" t="str">
        <f>VLOOKUP(A33,'Trips&amp;Operators'!$C$1:$G$99999,5,FALSE)</f>
        <v>BRANDNER MELINDA</v>
      </c>
      <c r="M33" s="6">
        <f t="shared" si="1"/>
        <v>2.7488425927003846E-2</v>
      </c>
      <c r="N33" s="7">
        <f t="shared" si="2"/>
        <v>39.583333334885538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5"/>
        <v>https://d0f6bd738d7f1b3e5a7ca70fe4ff75f0.us-east-1.aws.found.io/app/kibana#/discover/Steve-Slow-Train-Analysis-(2080s-and-2083s)?_g=(refreshInterval:(display:Off,pause:!f,section:0,value:0),time:(from:'2017-02-26T05:10:28-0700',mode:absolute,to:'2017-02-26T07:54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3" s="187" t="str">
        <f t="shared" si="6"/>
        <v>N</v>
      </c>
      <c r="X33" s="187">
        <f t="shared" si="7"/>
        <v>1</v>
      </c>
      <c r="Y33" s="62">
        <f t="shared" si="8"/>
        <v>4.6699999999999998E-2</v>
      </c>
      <c r="Z33" s="62">
        <f t="shared" si="9"/>
        <v>23.322500000000002</v>
      </c>
      <c r="AA33" s="62">
        <f t="shared" si="10"/>
        <v>23.2758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0121-26</v>
      </c>
      <c r="AE33" s="85" t="str">
        <f t="shared" si="12"/>
        <v>aws s3 cp s3://rtdc.mdm.uploadarchive.raw/RTDC4029/ "%USERPROFILE%\AppData\Local\Temp\OnboardLogs"\RTDC4029\2017-02-26 --exclude "*" --recursive --include "*20170226*" &amp; "%USERPROFILE%\Documents\GitHub\mrs-test-scripts\Headless Mode &amp; Sideloading\WalkAndUnGZ.bat" "%USERPROFILE%\AppData\Local\Temp\OnboardLogs"\RTDC4029\2017-02-26 &amp; aws s3 cp s3://rtdc.mdm.uploadarchive.raw/RTDC4029/ "%USERPROFILE%\AppData\Local\Temp\OnboardLogs"\RTDC4029\2017-02-27 --exclude "*" --recursive --include "*20170227*" &amp; "%USERPROFILE%\Documents\GitHub\mrs-test-scripts\Headless Mode &amp; Sideloading\WalkAndUnGZ.bat" "%USERPROFILE%\AppData\Local\Temp\OnboardLogs"\RTDC4029\2017-02-27</v>
      </c>
      <c r="AF33" s="82" t="str">
        <f t="shared" si="13"/>
        <v>"C:\Program Files (x86)\AstroGrep\AstroGrep.exe" /spath="%USERPROFILE%\AppData\Local\Temp\OnboardLogs" /stypes="app*4029*20170226*"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6" t="str">
        <f t="shared" si="18"/>
        <v>"%USERPROFILE%\Documents\GitHub\eaglep3\Utilities\RefineRTDCRunTimes.py" --tripid 121-26 --locoid 4029 --swversion DE.1.0.9.0 --startMP 204:467 --initTime 2017-02-26T06:10:28 --startdatetime 2017-02-26T06:15:15 --delay 1 --endMP 204:233225 --enddatetime 2017-02-26T06:54:50 --enforcementcount 1 &gt;&gt;C:\Users\stu\Documents\GitHub\eaglep3-reporting\EC\2017-02-26-refined-times.txt</v>
      </c>
      <c r="AI33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{"issue":{"subject":"","project_id":79,"tracker_id":40,"status_id":1,"priority_id":2,"assigned_to_id":23,"start_date":"2017-02-26","description":"","custom_fields":[{"id":1,"name":"Subdivision","value":"EC"},{"id":4,"name":"Milepost","value":"23.3225"},{"id":17,"name":"Train ID","value":"121-26"},{"id":16,"name":"Locomotive ID","value":"4029"},{"id":130,"name":"Impact","value":""},{"id":150,"name":"Time of Event (Mountain Time)","value":"06:54:50"},{"id":151,"name":"Denver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4029 --day 2017-02-26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"%USERPROFILE%\AppData\Local\Temp\OnboardLogs"\RTDC4029\*4029*20170226* | grep -SE "(Enforcement Action)|(\[TIMEOUT)|(CHR.+\|PRM\|1\|D.+(SWITCH|SIGNAL).+UNKNOWN)" - &gt;&gt; 2017-02-26-UncaughtWiMAX.txt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624</v>
      </c>
      <c r="B34" s="7">
        <v>4030</v>
      </c>
      <c r="C34" s="21" t="s">
        <v>285</v>
      </c>
      <c r="D34" s="21" t="s">
        <v>806</v>
      </c>
      <c r="E34" s="13">
        <v>42792.294085648151</v>
      </c>
      <c r="F34" s="13">
        <v>42792.299571759257</v>
      </c>
      <c r="G34" s="7">
        <v>1</v>
      </c>
      <c r="H34" s="21" t="s">
        <v>184</v>
      </c>
      <c r="I34" s="13">
        <v>42792.327905092592</v>
      </c>
      <c r="J34" s="7">
        <v>1</v>
      </c>
      <c r="K34" s="98" t="str">
        <f t="shared" si="0"/>
        <v>4029/4030</v>
      </c>
      <c r="L34" s="21" t="str">
        <f>VLOOKUP(A34,'Trips&amp;Operators'!$C$1:$G$99999,5,FALSE)</f>
        <v>BRANDNER MELINDA</v>
      </c>
      <c r="M34" s="6">
        <f t="shared" si="1"/>
        <v>2.8333333335467614E-2</v>
      </c>
      <c r="N34" s="7">
        <f t="shared" si="2"/>
        <v>40.800000003073364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5"/>
        <v>https://d0f6bd738d7f1b3e5a7ca70fe4ff75f0.us-east-1.aws.found.io/app/kibana#/discover/Steve-Slow-Train-Analysis-(2080s-and-2083s)?_g=(refreshInterval:(display:Off,pause:!f,section:0,value:0),time:(from:'2017-02-26T06:03:29-0700',mode:absolute,to:'2017-02-26T08:52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4" s="187" t="str">
        <f t="shared" si="6"/>
        <v>N</v>
      </c>
      <c r="X34" s="187">
        <f t="shared" si="7"/>
        <v>1</v>
      </c>
      <c r="Y34" s="62">
        <f t="shared" si="8"/>
        <v>23.291499999999999</v>
      </c>
      <c r="Z34" s="62">
        <f t="shared" si="9"/>
        <v>1.49E-2</v>
      </c>
      <c r="AA34" s="62">
        <f t="shared" si="10"/>
        <v>23.276599999999998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0122-26</v>
      </c>
      <c r="AE34" s="85" t="str">
        <f t="shared" si="12"/>
        <v>aws s3 cp s3://rtdc.mdm.uploadarchive.raw/RTDC4030/ "%USERPROFILE%\AppData\Local\Temp\OnboardLogs"\RTDC4030\2017-02-26 --exclude "*" --recursive --include "*20170226*" &amp; "%USERPROFILE%\Documents\GitHub\mrs-test-scripts\Headless Mode &amp; Sideloading\WalkAndUnGZ.bat" "%USERPROFILE%\AppData\Local\Temp\OnboardLogs"\RTDC4030\2017-02-26 &amp; aws s3 cp s3://rtdc.mdm.uploadarchive.raw/RTDC4030/ "%USERPROFILE%\AppData\Local\Temp\OnboardLogs"\RTDC4030\2017-02-27 --exclude "*" --recursive --include "*20170227*" &amp; "%USERPROFILE%\Documents\GitHub\mrs-test-scripts\Headless Mode &amp; Sideloading\WalkAndUnGZ.bat" "%USERPROFILE%\AppData\Local\Temp\OnboardLogs"\RTDC4030\2017-02-27</v>
      </c>
      <c r="AF34" s="82" t="str">
        <f t="shared" si="13"/>
        <v>"C:\Program Files (x86)\AstroGrep\AstroGrep.exe" /spath="%USERPROFILE%\AppData\Local\Temp\OnboardLogs" /stypes="app*4030*20170226*"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6" t="str">
        <f t="shared" si="18"/>
        <v>"%USERPROFILE%\Documents\GitHub\eaglep3\Utilities\RefineRTDCRunTimes.py" --tripid 122-26 --locoid 4030 --swversion DE.1.0.9.0 --startMP 204:232915 --initTime 2017-02-26T07:03:29 --startdatetime 2017-02-26T07:11:23 --delay 1 --endMP 204:149 --enddatetime 2017-02-26T07:52:11 --enforcementcount 1 &gt;&gt;C:\Users\stu\Documents\GitHub\eaglep3-reporting\EC\2017-02-26-refined-times.txt</v>
      </c>
      <c r="AI34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{"issue":{"subject":"","project_id":79,"tracker_id":40,"status_id":1,"priority_id":2,"assigned_to_id":23,"start_date":"2017-02-26","description":"","custom_fields":[{"id":1,"name":"Subdivision","value":"EC"},{"id":4,"name":"Milepost","value":"0.0149"},{"id":17,"name":"Train ID","value":"122-26"},{"id":16,"name":"Locomotive ID","value":"4030"},{"id":130,"name":"Impact","value":""},{"id":150,"name":"Time of Event (Mountain Time)","value":"07:52:11"},{"id":151,"name":"Denver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4030 --day 2017-02-26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"%USERPROFILE%\AppData\Local\Temp\OnboardLogs"\RTDC4030\*4030*20170226* | grep -SE "(Enforcement Action)|(\[TIMEOUT)|(CHR.+\|PRM\|1\|D.+(SWITCH|SIGNAL).+UNKNOWN)" - &gt;&gt; 2017-02-26-UncaughtWiMAX.txt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617</v>
      </c>
      <c r="B35" s="7">
        <v>4003</v>
      </c>
      <c r="C35" s="21" t="s">
        <v>285</v>
      </c>
      <c r="D35" s="21" t="s">
        <v>229</v>
      </c>
      <c r="E35" s="13">
        <v>42792.267731481479</v>
      </c>
      <c r="F35" s="13">
        <v>42792.270983796298</v>
      </c>
      <c r="G35" s="7">
        <v>1</v>
      </c>
      <c r="H35" s="21" t="s">
        <v>807</v>
      </c>
      <c r="I35" s="13">
        <v>42792.296122685184</v>
      </c>
      <c r="J35" s="7">
        <v>1</v>
      </c>
      <c r="K35" s="98" t="str">
        <f t="shared" si="0"/>
        <v>4003/4004</v>
      </c>
      <c r="L35" s="21" t="str">
        <f>VLOOKUP(A35,'Trips&amp;Operators'!$C$1:$G$99999,5,FALSE)</f>
        <v>ROBINSON KADDIBA</v>
      </c>
      <c r="M35" s="6">
        <f t="shared" si="1"/>
        <v>2.5138888886431232E-2</v>
      </c>
      <c r="N35" s="7">
        <f t="shared" si="2"/>
        <v>36.199999996460974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5"/>
        <v>https://d0f6bd738d7f1b3e5a7ca70fe4ff75f0.us-east-1.aws.found.io/app/kibana#/discover/Steve-Slow-Train-Analysis-(2080s-and-2083s)?_g=(refreshInterval:(display:Off,pause:!f,section:0,value:0),time:(from:'2017-02-26T05:25:32-0700',mode:absolute,to:'2017-02-26T08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5" s="187" t="str">
        <f t="shared" si="6"/>
        <v>N</v>
      </c>
      <c r="X35" s="187">
        <f t="shared" si="7"/>
        <v>1</v>
      </c>
      <c r="Y35" s="62">
        <f t="shared" si="8"/>
        <v>4.5999999999999999E-2</v>
      </c>
      <c r="Z35" s="62">
        <f t="shared" si="9"/>
        <v>23.325500000000002</v>
      </c>
      <c r="AA35" s="62">
        <f t="shared" si="10"/>
        <v>23.279500000000002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0123-26</v>
      </c>
      <c r="AE35" s="85" t="str">
        <f t="shared" si="12"/>
        <v>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 &amp; aws s3 cp s3://rtdc.mdm.uploadarchive.raw/RTDC4003/ "%USERPROFILE%\AppData\Local\Temp\OnboardLogs"\RTDC4003\2017-02-27 --exclude "*" --recursive --include "*20170227*" &amp; "%USERPROFILE%\Documents\GitHub\mrs-test-scripts\Headless Mode &amp; Sideloading\WalkAndUnGZ.bat" "%USERPROFILE%\AppData\Local\Temp\OnboardLogs"\RTDC4003\2017-02-27</v>
      </c>
      <c r="AF35" s="82" t="str">
        <f t="shared" si="13"/>
        <v>"C:\Program Files (x86)\AstroGrep\AstroGrep.exe" /spath="%USERPROFILE%\AppData\Local\Temp\OnboardLogs" /stypes="app*4003*20170226*"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6" t="str">
        <f t="shared" si="18"/>
        <v>"%USERPROFILE%\Documents\GitHub\eaglep3\Utilities\RefineRTDCRunTimes.py" --tripid 123-26 --locoid 4003 --swversion DE.1.0.9.0 --startMP 204:460 --initTime 2017-02-26T06:25:32 --startdatetime 2017-02-26T06:30:13 --delay 1 --endMP 204:233255 --enddatetime 2017-02-26T07:06:25 --enforcementcount 1 &gt;&gt;C:\Users\stu\Documents\GitHub\eaglep3-reporting\EC\2017-02-26-refined-times.txt</v>
      </c>
      <c r="AI35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{"issue":{"subject":"","project_id":79,"tracker_id":40,"status_id":1,"priority_id":2,"assigned_to_id":23,"start_date":"2017-02-26","description":"","custom_fields":[{"id":1,"name":"Subdivision","value":"EC"},{"id":4,"name":"Milepost","value":"23.3255"},{"id":17,"name":"Train ID","value":"123-26"},{"id":16,"name":"Locomotive ID","value":"4003"},{"id":130,"name":"Impact","value":""},{"id":150,"name":"Time of Event (Mountain Time)","value":"07:06:25"},{"id":151,"name":"Denver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4003 --day 2017-02-26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"%USERPROFILE%\AppData\Local\Temp\OnboardLogs"\RTDC4003\*4003*20170226* | grep -SE "(Enforcement Action)|(\[TIMEOUT)|(CHR.+\|PRM\|1\|D.+(SWITCH|SIGNAL).+UNKNOWN)" - &gt;&gt; 2017-02-26-UncaughtWiMAX.txt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626</v>
      </c>
      <c r="B36" s="7">
        <v>4004</v>
      </c>
      <c r="C36" s="21" t="s">
        <v>285</v>
      </c>
      <c r="D36" s="21" t="s">
        <v>808</v>
      </c>
      <c r="E36" s="13">
        <v>42792.305613425924</v>
      </c>
      <c r="F36" s="13">
        <v>42792.309861111113</v>
      </c>
      <c r="G36" s="7">
        <v>1</v>
      </c>
      <c r="H36" s="21" t="s">
        <v>203</v>
      </c>
      <c r="I36" s="13">
        <v>42792.337754629632</v>
      </c>
      <c r="J36" s="7">
        <v>1</v>
      </c>
      <c r="K36" s="98" t="str">
        <f t="shared" si="0"/>
        <v>4003/4004</v>
      </c>
      <c r="L36" s="21" t="str">
        <f>VLOOKUP(A36,'Trips&amp;Operators'!$C$1:$G$99999,5,FALSE)</f>
        <v>ROBINSON KADDIBA</v>
      </c>
      <c r="M36" s="6">
        <f t="shared" si="1"/>
        <v>2.789351851970423E-2</v>
      </c>
      <c r="N36" s="7">
        <f t="shared" si="2"/>
        <v>40.166666668374091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5"/>
        <v>https://d0f6bd738d7f1b3e5a7ca70fe4ff75f0.us-east-1.aws.found.io/app/kibana#/discover/Steve-Slow-Train-Analysis-(2080s-and-2083s)?_g=(refreshInterval:(display:Off,pause:!f,section:0,value:0),time:(from:'2017-02-26T06:20:05-0700',mode:absolute,to:'2017-02-26T09:06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6" s="187" t="str">
        <f t="shared" si="6"/>
        <v>N</v>
      </c>
      <c r="X36" s="187">
        <f t="shared" si="7"/>
        <v>1</v>
      </c>
      <c r="Y36" s="62">
        <f t="shared" si="8"/>
        <v>23.2927</v>
      </c>
      <c r="Z36" s="62">
        <f t="shared" si="9"/>
        <v>1.6E-2</v>
      </c>
      <c r="AA36" s="62">
        <f t="shared" si="10"/>
        <v>23.276700000000002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0124-26</v>
      </c>
      <c r="AE36" s="85" t="str">
        <f t="shared" si="12"/>
        <v>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 &amp; aws s3 cp s3://rtdc.mdm.uploadarchive.raw/RTDC4004/ "%USERPROFILE%\AppData\Local\Temp\OnboardLogs"\RTDC4004\2017-02-27 --exclude "*" --recursive --include "*20170227*" &amp; "%USERPROFILE%\Documents\GitHub\mrs-test-scripts\Headless Mode &amp; Sideloading\WalkAndUnGZ.bat" "%USERPROFILE%\AppData\Local\Temp\OnboardLogs"\RTDC4004\2017-02-27</v>
      </c>
      <c r="AF36" s="82" t="str">
        <f t="shared" si="13"/>
        <v>"C:\Program Files (x86)\AstroGrep\AstroGrep.exe" /spath="%USERPROFILE%\AppData\Local\Temp\OnboardLogs" /stypes="app*4004*20170226*"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6" t="str">
        <f t="shared" si="18"/>
        <v>"%USERPROFILE%\Documents\GitHub\eaglep3\Utilities\RefineRTDCRunTimes.py" --tripid 124-26 --locoid 4004 --swversion DE.1.0.9.0 --startMP 204:232927 --initTime 2017-02-26T07:20:05 --startdatetime 2017-02-26T07:26:12 --delay 1 --endMP 204:160 --enddatetime 2017-02-26T08:06:22 --enforcementcount 1 &gt;&gt;C:\Users\stu\Documents\GitHub\eaglep3-reporting\EC\2017-02-26-refined-times.txt</v>
      </c>
      <c r="AI36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{"issue":{"subject":"","project_id":79,"tracker_id":40,"status_id":1,"priority_id":2,"assigned_to_id":23,"start_date":"2017-02-26","description":"","custom_fields":[{"id":1,"name":"Subdivision","value":"EC"},{"id":4,"name":"Milepost","value":"0.016"},{"id":17,"name":"Train ID","value":"124-26"},{"id":16,"name":"Locomotive ID","value":"4004"},{"id":130,"name":"Impact","value":""},{"id":150,"name":"Time of Event (Mountain Time)","value":"08:06:22"},{"id":151,"name":"Denver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4004 --day 2017-02-26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"%USERPROFILE%\AppData\Local\Temp\OnboardLogs"\RTDC4004\*4004*20170226* | grep -SE "(Enforcement Action)|(\[TIMEOUT)|(CHR.+\|PRM\|1\|D.+(SWITCH|SIGNAL).+UNKNOWN)" - &gt;&gt; 2017-02-26-UncaughtWiMAX.txt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620</v>
      </c>
      <c r="B37" s="7">
        <v>4009</v>
      </c>
      <c r="C37" s="21" t="s">
        <v>285</v>
      </c>
      <c r="D37" s="21" t="s">
        <v>243</v>
      </c>
      <c r="E37" s="13">
        <v>42792.277939814812</v>
      </c>
      <c r="F37" s="13">
        <v>42792.281423611108</v>
      </c>
      <c r="G37" s="7">
        <v>1</v>
      </c>
      <c r="H37" s="21" t="s">
        <v>374</v>
      </c>
      <c r="I37" s="13">
        <v>42792.306377314817</v>
      </c>
      <c r="J37" s="7">
        <v>1</v>
      </c>
      <c r="K37" s="98" t="str">
        <f t="shared" si="0"/>
        <v>4009/4010</v>
      </c>
      <c r="L37" s="21" t="str">
        <f>VLOOKUP(A37,'Trips&amp;Operators'!$C$1:$G$99999,5,FALSE)</f>
        <v>GEBRETEKLE DAGNEW</v>
      </c>
      <c r="M37" s="6">
        <f t="shared" si="1"/>
        <v>2.4953703708888497E-2</v>
      </c>
      <c r="N37" s="7">
        <f t="shared" si="2"/>
        <v>35.933333340799436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5"/>
        <v>https://d0f6bd738d7f1b3e5a7ca70fe4ff75f0.us-east-1.aws.found.io/app/kibana#/discover/Steve-Slow-Train-Analysis-(2080s-and-2083s)?_g=(refreshInterval:(display:Off,pause:!f,section:0,value:0),time:(from:'2017-02-26T05:40:14-0700',mode:absolute,to:'2017-02-26T08:21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7" s="187" t="str">
        <f t="shared" si="6"/>
        <v>N</v>
      </c>
      <c r="X37" s="187">
        <f t="shared" si="7"/>
        <v>1</v>
      </c>
      <c r="Y37" s="62">
        <f t="shared" si="8"/>
        <v>4.4600000000000001E-2</v>
      </c>
      <c r="Z37" s="62">
        <f t="shared" si="9"/>
        <v>23.3308</v>
      </c>
      <c r="AA37" s="62">
        <f t="shared" si="10"/>
        <v>23.286200000000001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0125-26</v>
      </c>
      <c r="AE37" s="85" t="str">
        <f t="shared" si="12"/>
        <v>aws s3 cp s3://rtdc.mdm.uploadarchive.raw/RTDC4009/ "%USERPROFILE%\AppData\Local\Temp\OnboardLogs"\RTDC4009\2017-02-26 --exclude "*" --recursive --include "*20170226*" &amp; "%USERPROFILE%\Documents\GitHub\mrs-test-scripts\Headless Mode &amp; Sideloading\WalkAndUnGZ.bat" "%USERPROFILE%\AppData\Local\Temp\OnboardLogs"\RTDC4009\2017-02-26 &amp; aws s3 cp s3://rtdc.mdm.uploadarchive.raw/RTDC4009/ "%USERPROFILE%\AppData\Local\Temp\OnboardLogs"\RTDC4009\2017-02-27 --exclude "*" --recursive --include "*20170227*" &amp; "%USERPROFILE%\Documents\GitHub\mrs-test-scripts\Headless Mode &amp; Sideloading\WalkAndUnGZ.bat" "%USERPROFILE%\AppData\Local\Temp\OnboardLogs"\RTDC4009\2017-02-27</v>
      </c>
      <c r="AF37" s="82" t="str">
        <f t="shared" si="13"/>
        <v>"C:\Program Files (x86)\AstroGrep\AstroGrep.exe" /spath="%USERPROFILE%\AppData\Local\Temp\OnboardLogs" /stypes="app*4009*20170226*"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6" t="str">
        <f t="shared" si="18"/>
        <v>"%USERPROFILE%\Documents\GitHub\eaglep3\Utilities\RefineRTDCRunTimes.py" --tripid 125-26 --locoid 4009 --swversion DE.1.0.9.0 --startMP 204:446 --initTime 2017-02-26T06:40:14 --startdatetime 2017-02-26T06:45:15 --delay 1 --endMP 204:233308 --enddatetime 2017-02-26T07:21:11 --enforcementcount 1 &gt;&gt;C:\Users\stu\Documents\GitHub\eaglep3-reporting\EC\2017-02-26-refined-times.txt</v>
      </c>
      <c r="AI37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{"issue":{"subject":"","project_id":79,"tracker_id":40,"status_id":1,"priority_id":2,"assigned_to_id":23,"start_date":"2017-02-26","description":"","custom_fields":[{"id":1,"name":"Subdivision","value":"EC"},{"id":4,"name":"Milepost","value":"23.3308"},{"id":17,"name":"Train ID","value":"125-26"},{"id":16,"name":"Locomotive ID","value":"4009"},{"id":130,"name":"Impact","value":""},{"id":150,"name":"Time of Event (Mountain Time)","value":"07:21:11"},{"id":151,"name":"Denver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4009 --day 2017-02-26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"%USERPROFILE%\AppData\Local\Temp\OnboardLogs"\RTDC4009\*4009*20170226* | grep -SE "(Enforcement Action)|(\[TIMEOUT)|(CHR.+\|PRM\|1\|D.+(SWITCH|SIGNAL).+UNKNOWN)" - &gt;&gt; 2017-02-26-UncaughtWiMAX.txt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627</v>
      </c>
      <c r="B38" s="7">
        <v>4010</v>
      </c>
      <c r="C38" s="21" t="s">
        <v>285</v>
      </c>
      <c r="D38" s="21" t="s">
        <v>377</v>
      </c>
      <c r="E38" s="13">
        <v>42792.307754629626</v>
      </c>
      <c r="F38" s="13">
        <v>42792.320416666669</v>
      </c>
      <c r="G38" s="7">
        <v>1</v>
      </c>
      <c r="H38" s="21" t="s">
        <v>203</v>
      </c>
      <c r="I38" s="13">
        <v>42792.34778935185</v>
      </c>
      <c r="J38" s="7">
        <v>1</v>
      </c>
      <c r="K38" s="98" t="str">
        <f t="shared" si="0"/>
        <v>4009/4010</v>
      </c>
      <c r="L38" s="21" t="str">
        <f>VLOOKUP(A38,'Trips&amp;Operators'!$C$1:$G$99999,5,FALSE)</f>
        <v>GEBRETEKLE DAGNEW</v>
      </c>
      <c r="M38" s="6">
        <f t="shared" si="1"/>
        <v>2.7372685181035195E-2</v>
      </c>
      <c r="N38" s="7">
        <f t="shared" si="2"/>
        <v>39.41666666069068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5"/>
        <v>https://d0f6bd738d7f1b3e5a7ca70fe4ff75f0.us-east-1.aws.found.io/app/kibana#/discover/Steve-Slow-Train-Analysis-(2080s-and-2083s)?_g=(refreshInterval:(display:Off,pause:!f,section:0,value:0),time:(from:'2017-02-26T06:23:10-0700',mode:absolute,to:'2017-02-26T09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8" s="187" t="str">
        <f t="shared" si="6"/>
        <v>N</v>
      </c>
      <c r="X38" s="187">
        <f t="shared" si="7"/>
        <v>1</v>
      </c>
      <c r="Y38" s="62">
        <f t="shared" si="8"/>
        <v>23.298300000000001</v>
      </c>
      <c r="Z38" s="62">
        <f t="shared" si="9"/>
        <v>1.6E-2</v>
      </c>
      <c r="AA38" s="62">
        <f t="shared" si="10"/>
        <v>23.282300000000003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0126-26</v>
      </c>
      <c r="AE38" s="85" t="str">
        <f t="shared" si="12"/>
        <v>aws s3 cp s3://rtdc.mdm.uploadarchive.raw/RTDC4010/ "%USERPROFILE%\AppData\Local\Temp\OnboardLogs"\RTDC4010\2017-02-26 --exclude "*" --recursive --include "*20170226*" &amp; "%USERPROFILE%\Documents\GitHub\mrs-test-scripts\Headless Mode &amp; Sideloading\WalkAndUnGZ.bat" "%USERPROFILE%\AppData\Local\Temp\OnboardLogs"\RTDC4010\2017-02-26 &amp; aws s3 cp s3://rtdc.mdm.uploadarchive.raw/RTDC4010/ "%USERPROFILE%\AppData\Local\Temp\OnboardLogs"\RTDC4010\2017-02-27 --exclude "*" --recursive --include "*20170227*" &amp; "%USERPROFILE%\Documents\GitHub\mrs-test-scripts\Headless Mode &amp; Sideloading\WalkAndUnGZ.bat" "%USERPROFILE%\AppData\Local\Temp\OnboardLogs"\RTDC4010\2017-02-27</v>
      </c>
      <c r="AF38" s="82" t="str">
        <f t="shared" si="13"/>
        <v>"C:\Program Files (x86)\AstroGrep\AstroGrep.exe" /spath="%USERPROFILE%\AppData\Local\Temp\OnboardLogs" /stypes="app*4010*20170226*"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6" t="str">
        <f t="shared" si="18"/>
        <v>"%USERPROFILE%\Documents\GitHub\eaglep3\Utilities\RefineRTDCRunTimes.py" --tripid 126-26 --locoid 4010 --swversion DE.1.0.9.0 --startMP 204:232983 --initTime 2017-02-26T07:23:10 --startdatetime 2017-02-26T07:41:24 --delay 1 --endMP 204:160 --enddatetime 2017-02-26T08:20:49 --enforcementcount 1 &gt;&gt;C:\Users\stu\Documents\GitHub\eaglep3-reporting\EC\2017-02-26-refined-times.txt</v>
      </c>
      <c r="AI38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{"issue":{"subject":"","project_id":79,"tracker_id":40,"status_id":1,"priority_id":2,"assigned_to_id":23,"start_date":"2017-02-26","description":"","custom_fields":[{"id":1,"name":"Subdivision","value":"EC"},{"id":4,"name":"Milepost","value":"0.016"},{"id":17,"name":"Train ID","value":"126-26"},{"id":16,"name":"Locomotive ID","value":"4010"},{"id":130,"name":"Impact","value":""},{"id":150,"name":"Time of Event (Mountain Time)","value":"08:20:49"},{"id":151,"name":"Denver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4010 --day 2017-02-26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"%USERPROFILE%\AppData\Local\Temp\OnboardLogs"\RTDC4010\*4010*20170226* | grep -SE "(Enforcement Action)|(\[TIMEOUT)|(CHR.+\|PRM\|1\|D.+(SWITCH|SIGNAL).+UNKNOWN)" - &gt;&gt; 2017-02-26-UncaughtWiMAX.txt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622</v>
      </c>
      <c r="B39" s="7">
        <v>4011</v>
      </c>
      <c r="C39" s="21" t="s">
        <v>285</v>
      </c>
      <c r="D39" s="21" t="s">
        <v>226</v>
      </c>
      <c r="E39" s="13">
        <v>42792.287789351853</v>
      </c>
      <c r="F39" s="13">
        <v>42792.291828703703</v>
      </c>
      <c r="G39" s="7">
        <v>1</v>
      </c>
      <c r="H39" s="21" t="s">
        <v>372</v>
      </c>
      <c r="I39" s="13">
        <v>42792.316736111112</v>
      </c>
      <c r="J39" s="7">
        <v>1</v>
      </c>
      <c r="K39" s="98" t="str">
        <f t="shared" si="0"/>
        <v>4011/4012</v>
      </c>
      <c r="L39" s="21" t="str">
        <f>VLOOKUP(A39,'Trips&amp;Operators'!$C$1:$G$99999,5,FALSE)</f>
        <v>SANTIZO D. EDY</v>
      </c>
      <c r="M39" s="6">
        <f t="shared" si="1"/>
        <v>2.4907407409045845E-2</v>
      </c>
      <c r="N39" s="7">
        <f t="shared" si="2"/>
        <v>35.866666669026017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5"/>
        <v>https://d0f6bd738d7f1b3e5a7ca70fe4ff75f0.us-east-1.aws.found.io/app/kibana#/discover/Steve-Slow-Train-Analysis-(2080s-and-2083s)?_g=(refreshInterval:(display:Off,pause:!f,section:0,value:0),time:(from:'2017-02-26T05:54:25-0700',mode:absolute,to:'2017-02-26T08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9" s="187" t="str">
        <f t="shared" si="6"/>
        <v>N</v>
      </c>
      <c r="X39" s="187">
        <f t="shared" si="7"/>
        <v>1</v>
      </c>
      <c r="Y39" s="62">
        <f t="shared" si="8"/>
        <v>4.5699999999999998E-2</v>
      </c>
      <c r="Z39" s="62">
        <f t="shared" si="9"/>
        <v>23.333600000000001</v>
      </c>
      <c r="AA39" s="62">
        <f t="shared" si="10"/>
        <v>23.2879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0127-26</v>
      </c>
      <c r="AE39" s="85" t="str">
        <f t="shared" si="12"/>
        <v>aws s3 cp s3://rtdc.mdm.uploadarchive.raw/RTDC4011/ "%USERPROFILE%\AppData\Local\Temp\OnboardLogs"\RTDC4011\2017-02-26 --exclude "*" --recursive --include "*20170226*" &amp; "%USERPROFILE%\Documents\GitHub\mrs-test-scripts\Headless Mode &amp; Sideloading\WalkAndUnGZ.bat" "%USERPROFILE%\AppData\Local\Temp\OnboardLogs"\RTDC4011\2017-02-26 &amp; aws s3 cp s3://rtdc.mdm.uploadarchive.raw/RTDC4011/ "%USERPROFILE%\AppData\Local\Temp\OnboardLogs"\RTDC4011\2017-02-27 --exclude "*" --recursive --include "*20170227*" &amp; "%USERPROFILE%\Documents\GitHub\mrs-test-scripts\Headless Mode &amp; Sideloading\WalkAndUnGZ.bat" "%USERPROFILE%\AppData\Local\Temp\OnboardLogs"\RTDC4011\2017-02-27</v>
      </c>
      <c r="AF39" s="82" t="str">
        <f t="shared" si="13"/>
        <v>"C:\Program Files (x86)\AstroGrep\AstroGrep.exe" /spath="%USERPROFILE%\AppData\Local\Temp\OnboardLogs" /stypes="app*4011*20170226*"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6" t="str">
        <f t="shared" si="18"/>
        <v>"%USERPROFILE%\Documents\GitHub\eaglep3\Utilities\RefineRTDCRunTimes.py" --tripid 127-26 --locoid 4011 --swversion DE.1.0.9.0 --startMP 204:457 --initTime 2017-02-26T06:54:25 --startdatetime 2017-02-26T07:00:14 --delay 1 --endMP 204:233336 --enddatetime 2017-02-26T07:36:06 --enforcementcount 1 &gt;&gt;C:\Users\stu\Documents\GitHub\eaglep3-reporting\EC\2017-02-26-refined-times.txt</v>
      </c>
      <c r="AI39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{"issue":{"subject":"","project_id":79,"tracker_id":40,"status_id":1,"priority_id":2,"assigned_to_id":23,"start_date":"2017-02-26","description":"","custom_fields":[{"id":1,"name":"Subdivision","value":"EC"},{"id":4,"name":"Milepost","value":"23.3336"},{"id":17,"name":"Train ID","value":"127-26"},{"id":16,"name":"Locomotive ID","value":"4011"},{"id":130,"name":"Impact","value":""},{"id":150,"name":"Time of Event (Mountain Time)","value":"07:36:06"},{"id":151,"name":"Denver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4011 --day 2017-02-26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"%USERPROFILE%\AppData\Local\Temp\OnboardLogs"\RTDC4011\*4011*20170226* | grep -SE "(Enforcement Action)|(\[TIMEOUT)|(CHR.+\|PRM\|1\|D.+(SWITCH|SIGNAL).+UNKNOWN)" - &gt;&gt; 2017-02-26-UncaughtWiMAX.txt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632</v>
      </c>
      <c r="B40" s="7">
        <v>4012</v>
      </c>
      <c r="C40" s="21" t="s">
        <v>285</v>
      </c>
      <c r="D40" s="21" t="s">
        <v>809</v>
      </c>
      <c r="E40" s="13">
        <v>42792.317893518521</v>
      </c>
      <c r="F40" s="13">
        <v>42792.33085648148</v>
      </c>
      <c r="G40" s="7">
        <v>1</v>
      </c>
      <c r="H40" s="21" t="s">
        <v>810</v>
      </c>
      <c r="I40" s="13">
        <v>42792.358472222222</v>
      </c>
      <c r="J40" s="7">
        <v>1</v>
      </c>
      <c r="K40" s="98" t="str">
        <f t="shared" si="0"/>
        <v>4011/4012</v>
      </c>
      <c r="L40" s="21" t="str">
        <f>VLOOKUP(A40,'Trips&amp;Operators'!$C$1:$G$99999,5,FALSE)</f>
        <v>SANTIZO D. EDY</v>
      </c>
      <c r="M40" s="6">
        <f t="shared" si="1"/>
        <v>2.7615740742476191E-2</v>
      </c>
      <c r="N40" s="7">
        <f t="shared" si="2"/>
        <v>39.766666669165716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5"/>
        <v>https://d0f6bd738d7f1b3e5a7ca70fe4ff75f0.us-east-1.aws.found.io/app/kibana#/discover/Steve-Slow-Train-Analysis-(2080s-and-2083s)?_g=(refreshInterval:(display:Off,pause:!f,section:0,value:0),time:(from:'2017-02-26T06:37:46-0700',mode:absolute,to:'2017-02-26T09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0" s="187" t="str">
        <f t="shared" si="6"/>
        <v>N</v>
      </c>
      <c r="X40" s="187">
        <f t="shared" si="7"/>
        <v>1</v>
      </c>
      <c r="Y40" s="62">
        <f t="shared" si="8"/>
        <v>23.3017</v>
      </c>
      <c r="Z40" s="62">
        <f t="shared" si="9"/>
        <v>1.7999999999999999E-2</v>
      </c>
      <c r="AA40" s="62">
        <f t="shared" si="10"/>
        <v>23.2837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0128-26</v>
      </c>
      <c r="AE40" s="85" t="str">
        <f t="shared" si="12"/>
        <v>aws s3 cp s3://rtdc.mdm.uploadarchive.raw/RTDC4012/ "%USERPROFILE%\AppData\Local\Temp\OnboardLogs"\RTDC4012\2017-02-26 --exclude "*" --recursive --include "*20170226*" &amp; "%USERPROFILE%\Documents\GitHub\mrs-test-scripts\Headless Mode &amp; Sideloading\WalkAndUnGZ.bat" "%USERPROFILE%\AppData\Local\Temp\OnboardLogs"\RTDC4012\2017-02-26 &amp; 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</v>
      </c>
      <c r="AF40" s="82" t="str">
        <f t="shared" si="13"/>
        <v>"C:\Program Files (x86)\AstroGrep\AstroGrep.exe" /spath="%USERPROFILE%\AppData\Local\Temp\OnboardLogs" /stypes="app*4012*20170226*"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6" t="str">
        <f t="shared" si="18"/>
        <v>"%USERPROFILE%\Documents\GitHub\eaglep3\Utilities\RefineRTDCRunTimes.py" --tripid 128-26 --locoid 4012 --swversion DE.1.0.9.0 --startMP 204:233017 --initTime 2017-02-26T07:37:46 --startdatetime 2017-02-26T07:56:26 --delay 1 --endMP 204:180 --enddatetime 2017-02-26T08:36:12 --enforcementcount 1 &gt;&gt;C:\Users\stu\Documents\GitHub\eaglep3-reporting\EC\2017-02-26-refined-times.txt</v>
      </c>
      <c r="AI40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{"issue":{"subject":"","project_id":79,"tracker_id":40,"status_id":1,"priority_id":2,"assigned_to_id":23,"start_date":"2017-02-26","description":"","custom_fields":[{"id":1,"name":"Subdivision","value":"EC"},{"id":4,"name":"Milepost","value":"0.018"},{"id":17,"name":"Train ID","value":"128-26"},{"id":16,"name":"Locomotive ID","value":"4012"},{"id":130,"name":"Impact","value":""},{"id":150,"name":"Time of Event (Mountain Time)","value":"08:36:12"},{"id":151,"name":"Denver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4012 --day 2017-02-26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"%USERPROFILE%\AppData\Local\Temp\OnboardLogs"\RTDC4012\*4012*20170226* | grep -SE "(Enforcement Action)|(\[TIMEOUT)|(CHR.+\|PRM\|1\|D.+(SWITCH|SIGNAL).+UNKNOWN)" - &gt;&gt; 2017-02-26-UncaughtWiMAX.txt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625</v>
      </c>
      <c r="B41" s="7">
        <v>4027</v>
      </c>
      <c r="C41" s="21" t="s">
        <v>285</v>
      </c>
      <c r="D41" s="21" t="s">
        <v>204</v>
      </c>
      <c r="E41" s="13">
        <v>42792.299826388888</v>
      </c>
      <c r="F41" s="13">
        <v>42792.302407407406</v>
      </c>
      <c r="G41" s="7">
        <v>1</v>
      </c>
      <c r="H41" s="21" t="s">
        <v>811</v>
      </c>
      <c r="I41" s="13">
        <v>42792.328425925924</v>
      </c>
      <c r="J41" s="7">
        <v>1</v>
      </c>
      <c r="K41" s="98" t="str">
        <f t="shared" si="0"/>
        <v>4027/4028</v>
      </c>
      <c r="L41" s="21" t="str">
        <f>VLOOKUP(A41,'Trips&amp;Operators'!$C$1:$G$99999,5,FALSE)</f>
        <v>SHOOK JOHN</v>
      </c>
      <c r="M41" s="6">
        <f t="shared" si="1"/>
        <v>2.6018518517958E-2</v>
      </c>
      <c r="N41" s="7">
        <f t="shared" si="2"/>
        <v>37.46666666585952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5"/>
        <v>https://d0f6bd738d7f1b3e5a7ca70fe4ff75f0.us-east-1.aws.found.io/app/kibana#/discover/Steve-Slow-Train-Analysis-(2080s-and-2083s)?_g=(refreshInterval:(display:Off,pause:!f,section:0,value:0),time:(from:'2017-02-26T06:11:45-0700',mode:absolute,to:'2017-02-26T08:52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1" s="187" t="str">
        <f t="shared" si="6"/>
        <v>N</v>
      </c>
      <c r="X41" s="187">
        <f t="shared" si="7"/>
        <v>1</v>
      </c>
      <c r="Y41" s="62">
        <f t="shared" si="8"/>
        <v>4.6199999999999998E-2</v>
      </c>
      <c r="Z41" s="62">
        <f t="shared" si="9"/>
        <v>23.334</v>
      </c>
      <c r="AA41" s="62">
        <f t="shared" si="10"/>
        <v>23.287800000000001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0129-26</v>
      </c>
      <c r="AE41" s="85" t="str">
        <f t="shared" si="12"/>
        <v>aws s3 cp s3://rtdc.mdm.uploadarchive.raw/RTDC4027/ "%USERPROFILE%\AppData\Local\Temp\OnboardLogs"\RTDC4027\2017-02-26 --exclude "*" --recursive --include "*20170226*" &amp; "%USERPROFILE%\Documents\GitHub\mrs-test-scripts\Headless Mode &amp; Sideloading\WalkAndUnGZ.bat" "%USERPROFILE%\AppData\Local\Temp\OnboardLogs"\RTDC4027\2017-02-26 &amp; aws s3 cp s3://rtdc.mdm.uploadarchive.raw/RTDC4027/ "%USERPROFILE%\AppData\Local\Temp\OnboardLogs"\RTDC4027\2017-02-27 --exclude "*" --recursive --include "*20170227*" &amp; "%USERPROFILE%\Documents\GitHub\mrs-test-scripts\Headless Mode &amp; Sideloading\WalkAndUnGZ.bat" "%USERPROFILE%\AppData\Local\Temp\OnboardLogs"\RTDC4027\2017-02-27</v>
      </c>
      <c r="AF41" s="82" t="str">
        <f t="shared" si="13"/>
        <v>"C:\Program Files (x86)\AstroGrep\AstroGrep.exe" /spath="%USERPROFILE%\AppData\Local\Temp\OnboardLogs" /stypes="app*4027*20170226*"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6" t="str">
        <f t="shared" si="18"/>
        <v>"%USERPROFILE%\Documents\GitHub\eaglep3\Utilities\RefineRTDCRunTimes.py" --tripid 129-26 --locoid 4027 --swversion DE.1.0.9.0 --startMP 204:462 --initTime 2017-02-26T07:11:45 --startdatetime 2017-02-26T07:15:28 --delay 1 --endMP 204:233340 --enddatetime 2017-02-26T07:52:56 --enforcementcount 1 &gt;&gt;C:\Users\stu\Documents\GitHub\eaglep3-reporting\EC\2017-02-26-refined-times.txt</v>
      </c>
      <c r="AI41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{"issue":{"subject":"","project_id":79,"tracker_id":40,"status_id":1,"priority_id":2,"assigned_to_id":23,"start_date":"2017-02-26","description":"","custom_fields":[{"id":1,"name":"Subdivision","value":"EC"},{"id":4,"name":"Milepost","value":"23.334"},{"id":17,"name":"Train ID","value":"129-26"},{"id":16,"name":"Locomotive ID","value":"4027"},{"id":130,"name":"Impact","value":""},{"id":150,"name":"Time of Event (Mountain Time)","value":"07:52:56"},{"id":151,"name":"Denver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4027 --day 2017-02-26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"%USERPROFILE%\AppData\Local\Temp\OnboardLogs"\RTDC4027\*4027*20170226* | grep -SE "(Enforcement Action)|(\[TIMEOUT)|(CHR.+\|PRM\|1\|D.+(SWITCH|SIGNAL).+UNKNOWN)" - &gt;&gt; 2017-02-26-UncaughtWiMAX.txt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635</v>
      </c>
      <c r="B42" s="7">
        <v>4028</v>
      </c>
      <c r="C42" s="21" t="s">
        <v>285</v>
      </c>
      <c r="D42" s="21" t="s">
        <v>812</v>
      </c>
      <c r="E42" s="13">
        <v>42792.330960648149</v>
      </c>
      <c r="F42" s="13">
        <v>42792.341157407405</v>
      </c>
      <c r="G42" s="7">
        <v>1</v>
      </c>
      <c r="H42" s="21" t="s">
        <v>813</v>
      </c>
      <c r="I42" s="13">
        <v>42792.370717592596</v>
      </c>
      <c r="J42" s="7">
        <v>1</v>
      </c>
      <c r="K42" s="98" t="str">
        <f t="shared" si="0"/>
        <v>4027/4028</v>
      </c>
      <c r="L42" s="21" t="str">
        <f>VLOOKUP(A42,'Trips&amp;Operators'!$C$1:$G$99999,5,FALSE)</f>
        <v>SHOOK JOHN</v>
      </c>
      <c r="M42" s="6">
        <f t="shared" si="1"/>
        <v>2.956018519034842E-2</v>
      </c>
      <c r="N42" s="7">
        <f t="shared" si="2"/>
        <v>42.566666674101725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5"/>
        <v>https://d0f6bd738d7f1b3e5a7ca70fe4ff75f0.us-east-1.aws.found.io/app/kibana#/discover/Steve-Slow-Train-Analysis-(2080s-and-2083s)?_g=(refreshInterval:(display:Off,pause:!f,section:0,value:0),time:(from:'2017-02-26T06:56:35-0700',mode:absolute,to:'2017-02-26T09:53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2" s="187" t="str">
        <f t="shared" si="6"/>
        <v>N</v>
      </c>
      <c r="X42" s="187">
        <f t="shared" si="7"/>
        <v>1</v>
      </c>
      <c r="Y42" s="62">
        <f t="shared" si="8"/>
        <v>23.304300000000001</v>
      </c>
      <c r="Z42" s="62">
        <f t="shared" si="9"/>
        <v>1.7600000000000001E-2</v>
      </c>
      <c r="AA42" s="62">
        <f t="shared" si="10"/>
        <v>23.2867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0130-26</v>
      </c>
      <c r="AE42" s="85" t="str">
        <f t="shared" si="12"/>
        <v>aws s3 cp s3://rtdc.mdm.uploadarchive.raw/RTDC4028/ "%USERPROFILE%\AppData\Local\Temp\OnboardLogs"\RTDC4028\2017-02-26 --exclude "*" --recursive --include "*20170226*" &amp; "%USERPROFILE%\Documents\GitHub\mrs-test-scripts\Headless Mode &amp; Sideloading\WalkAndUnGZ.bat" "%USERPROFILE%\AppData\Local\Temp\OnboardLogs"\RTDC4028\2017-02-26 &amp; aws s3 cp s3://rtdc.mdm.uploadarchive.raw/RTDC4028/ "%USERPROFILE%\AppData\Local\Temp\OnboardLogs"\RTDC4028\2017-02-27 --exclude "*" --recursive --include "*20170227*" &amp; "%USERPROFILE%\Documents\GitHub\mrs-test-scripts\Headless Mode &amp; Sideloading\WalkAndUnGZ.bat" "%USERPROFILE%\AppData\Local\Temp\OnboardLogs"\RTDC4028\2017-02-27</v>
      </c>
      <c r="AF42" s="82" t="str">
        <f t="shared" si="13"/>
        <v>"C:\Program Files (x86)\AstroGrep\AstroGrep.exe" /spath="%USERPROFILE%\AppData\Local\Temp\OnboardLogs" /stypes="app*4028*20170226*"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6" t="str">
        <f t="shared" si="18"/>
        <v>"%USERPROFILE%\Documents\GitHub\eaglep3\Utilities\RefineRTDCRunTimes.py" --tripid 130-26 --locoid 4028 --swversion DE.1.0.9.0 --startMP 204:233043 --initTime 2017-02-26T07:56:35 --startdatetime 2017-02-26T08:11:16 --delay 1 --endMP 204:176 --enddatetime 2017-02-26T08:53:50 --enforcementcount 1 &gt;&gt;C:\Users\stu\Documents\GitHub\eaglep3-reporting\EC\2017-02-26-refined-times.txt</v>
      </c>
      <c r="AI42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{"issue":{"subject":"","project_id":79,"tracker_id":40,"status_id":1,"priority_id":2,"assigned_to_id":23,"start_date":"2017-02-26","description":"","custom_fields":[{"id":1,"name":"Subdivision","value":"EC"},{"id":4,"name":"Milepost","value":"0.0176"},{"id":17,"name":"Train ID","value":"130-26"},{"id":16,"name":"Locomotive ID","value":"4028"},{"id":130,"name":"Impact","value":""},{"id":150,"name":"Time of Event (Mountain Time)","value":"08:53:50"},{"id":151,"name":"Denver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4028 --day 2017-02-26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"%USERPROFILE%\AppData\Local\Temp\OnboardLogs"\RTDC4028\*4028*20170226* | grep -SE "(Enforcement Action)|(\[TIMEOUT)|(CHR.+\|PRM\|1\|D.+(SWITCH|SIGNAL).+UNKNOWN)" - &gt;&gt; 2017-02-26-UncaughtWiMAX.txt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628</v>
      </c>
      <c r="B43" s="7">
        <v>4018</v>
      </c>
      <c r="C43" s="21" t="s">
        <v>285</v>
      </c>
      <c r="D43" s="21" t="s">
        <v>229</v>
      </c>
      <c r="E43" s="13">
        <v>42792.308553240742</v>
      </c>
      <c r="F43" s="13">
        <v>42792.312719907408</v>
      </c>
      <c r="G43" s="7">
        <v>1</v>
      </c>
      <c r="H43" s="21" t="s">
        <v>814</v>
      </c>
      <c r="I43" s="13">
        <v>42792.338831018518</v>
      </c>
      <c r="J43" s="7">
        <v>1</v>
      </c>
      <c r="K43" s="98" t="str">
        <f t="shared" si="0"/>
        <v>4017/4018</v>
      </c>
      <c r="L43" s="21" t="str">
        <f>VLOOKUP(A43,'Trips&amp;Operators'!$C$1:$G$99999,5,FALSE)</f>
        <v>MOSES BRADLEY</v>
      </c>
      <c r="M43" s="6">
        <f t="shared" si="1"/>
        <v>2.6111111110367347E-2</v>
      </c>
      <c r="N43" s="7">
        <f t="shared" si="2"/>
        <v>37.599999998928979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5"/>
        <v>https://d0f6bd738d7f1b3e5a7ca70fe4ff75f0.us-east-1.aws.found.io/app/kibana#/discover/Steve-Slow-Train-Analysis-(2080s-and-2083s)?_g=(refreshInterval:(display:Off,pause:!f,section:0,value:0),time:(from:'2017-02-26T06:24:19-0700',mode:absolute,to:'2017-02-26T09:07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3" s="187" t="str">
        <f t="shared" si="6"/>
        <v>N</v>
      </c>
      <c r="X43" s="187">
        <f t="shared" si="7"/>
        <v>1</v>
      </c>
      <c r="Y43" s="62">
        <f t="shared" si="8"/>
        <v>4.5999999999999999E-2</v>
      </c>
      <c r="Z43" s="62">
        <f t="shared" si="9"/>
        <v>23.3324</v>
      </c>
      <c r="AA43" s="62">
        <f t="shared" si="10"/>
        <v>23.2864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0131-26</v>
      </c>
      <c r="AE43" s="85" t="str">
        <f t="shared" si="12"/>
        <v>aws s3 cp s3://rtdc.mdm.uploadarchive.raw/RTDC4018/ "%USERPROFILE%\AppData\Local\Temp\OnboardLogs"\RTDC4018\2017-02-26 --exclude "*" --recursive --include "*20170226*" &amp; "%USERPROFILE%\Documents\GitHub\mrs-test-scripts\Headless Mode &amp; Sideloading\WalkAndUnGZ.bat" "%USERPROFILE%\AppData\Local\Temp\OnboardLogs"\RTDC4018\2017-02-26 &amp; aws s3 cp s3://rtdc.mdm.uploadarchive.raw/RTDC4018/ "%USERPROFILE%\AppData\Local\Temp\OnboardLogs"\RTDC4018\2017-02-27 --exclude "*" --recursive --include "*20170227*" &amp; "%USERPROFILE%\Documents\GitHub\mrs-test-scripts\Headless Mode &amp; Sideloading\WalkAndUnGZ.bat" "%USERPROFILE%\AppData\Local\Temp\OnboardLogs"\RTDC4018\2017-02-27</v>
      </c>
      <c r="AF43" s="82" t="str">
        <f t="shared" si="13"/>
        <v>"C:\Program Files (x86)\AstroGrep\AstroGrep.exe" /spath="%USERPROFILE%\AppData\Local\Temp\OnboardLogs" /stypes="app*4018*20170226*"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6" t="str">
        <f t="shared" si="18"/>
        <v>"%USERPROFILE%\Documents\GitHub\eaglep3\Utilities\RefineRTDCRunTimes.py" --tripid 131-26 --locoid 4018 --swversion DE.1.0.9.0 --startMP 204:460 --initTime 2017-02-26T07:24:19 --startdatetime 2017-02-26T07:30:19 --delay 1 --endMP 204:233324 --enddatetime 2017-02-26T08:07:55 --enforcementcount 1 &gt;&gt;C:\Users\stu\Documents\GitHub\eaglep3-reporting\EC\2017-02-26-refined-times.txt</v>
      </c>
      <c r="AI43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{"issue":{"subject":"","project_id":79,"tracker_id":40,"status_id":1,"priority_id":2,"assigned_to_id":23,"start_date":"2017-02-26","description":"","custom_fields":[{"id":1,"name":"Subdivision","value":"EC"},{"id":4,"name":"Milepost","value":"23.3324"},{"id":17,"name":"Train ID","value":"131-26"},{"id":16,"name":"Locomotive ID","value":"4018"},{"id":130,"name":"Impact","value":""},{"id":150,"name":"Time of Event (Mountain Time)","value":"08:07:55"},{"id":151,"name":"Denver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4018 --day 2017-02-26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"%USERPROFILE%\AppData\Local\Temp\OnboardLogs"\RTDC4018\*4018*20170226* | grep -SE "(Enforcement Action)|(\[TIMEOUT)|(CHR.+\|PRM\|1\|D.+(SWITCH|SIGNAL).+UNKNOWN)" - &gt;&gt; 2017-02-26-UncaughtWiMAX.txt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637</v>
      </c>
      <c r="B44" s="7">
        <v>4017</v>
      </c>
      <c r="C44" s="21" t="s">
        <v>285</v>
      </c>
      <c r="D44" s="21" t="s">
        <v>254</v>
      </c>
      <c r="E44" s="13">
        <v>42792.345717592594</v>
      </c>
      <c r="F44" s="13">
        <v>42792.351620370369</v>
      </c>
      <c r="G44" s="7">
        <v>1</v>
      </c>
      <c r="H44" s="21" t="s">
        <v>388</v>
      </c>
      <c r="I44" s="13">
        <v>42792.379930555559</v>
      </c>
      <c r="J44" s="7">
        <v>1</v>
      </c>
      <c r="K44" s="98" t="str">
        <f t="shared" si="0"/>
        <v>4017/4018</v>
      </c>
      <c r="L44" s="21" t="str">
        <f>VLOOKUP(A44,'Trips&amp;Operators'!$C$1:$G$99999,5,FALSE)</f>
        <v>MOSES BRADLEY</v>
      </c>
      <c r="M44" s="6">
        <f t="shared" si="1"/>
        <v>2.8310185189184267E-2</v>
      </c>
      <c r="N44" s="7">
        <f t="shared" si="2"/>
        <v>40.766666672425345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5"/>
        <v>https://d0f6bd738d7f1b3e5a7ca70fe4ff75f0.us-east-1.aws.found.io/app/kibana#/discover/Steve-Slow-Train-Analysis-(2080s-and-2083s)?_g=(refreshInterval:(display:Off,pause:!f,section:0,value:0),time:(from:'2017-02-26T07:17:50-0700',mode:absolute,to:'2017-02-26T10:07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4" s="187" t="str">
        <f t="shared" si="6"/>
        <v>N</v>
      </c>
      <c r="X44" s="187">
        <f t="shared" si="7"/>
        <v>1</v>
      </c>
      <c r="Y44" s="62">
        <f t="shared" si="8"/>
        <v>23.299600000000002</v>
      </c>
      <c r="Z44" s="62">
        <f t="shared" si="9"/>
        <v>1.6899999999999998E-2</v>
      </c>
      <c r="AA44" s="62">
        <f t="shared" si="10"/>
        <v>23.282700000000002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0132-26</v>
      </c>
      <c r="AE44" s="85" t="str">
        <f t="shared" si="12"/>
        <v>aws s3 cp s3://rtdc.mdm.uploadarchive.raw/RTDC4017/ "%USERPROFILE%\AppData\Local\Temp\OnboardLogs"\RTDC4017\2017-02-26 --exclude "*" --recursive --include "*20170226*" &amp; "%USERPROFILE%\Documents\GitHub\mrs-test-scripts\Headless Mode &amp; Sideloading\WalkAndUnGZ.bat" "%USERPROFILE%\AppData\Local\Temp\OnboardLogs"\RTDC4017\2017-02-26 &amp; aws s3 cp s3://rtdc.mdm.uploadarchive.raw/RTDC4017/ "%USERPROFILE%\AppData\Local\Temp\OnboardLogs"\RTDC4017\2017-02-27 --exclude "*" --recursive --include "*20170227*" &amp; "%USERPROFILE%\Documents\GitHub\mrs-test-scripts\Headless Mode &amp; Sideloading\WalkAndUnGZ.bat" "%USERPROFILE%\AppData\Local\Temp\OnboardLogs"\RTDC4017\2017-02-27</v>
      </c>
      <c r="AF44" s="82" t="str">
        <f t="shared" si="13"/>
        <v>"C:\Program Files (x86)\AstroGrep\AstroGrep.exe" /spath="%USERPROFILE%\AppData\Local\Temp\OnboardLogs" /stypes="app*4017*20170226*"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6" t="str">
        <f t="shared" si="18"/>
        <v>"%USERPROFILE%\Documents\GitHub\eaglep3\Utilities\RefineRTDCRunTimes.py" --tripid 132-26 --locoid 4017 --swversion DE.1.0.9.0 --startMP 204:232996 --initTime 2017-02-26T08:17:50 --startdatetime 2017-02-26T08:26:20 --delay 1 --endMP 204:169 --enddatetime 2017-02-26T09:07:06 --enforcementcount 1 &gt;&gt;C:\Users\stu\Documents\GitHub\eaglep3-reporting\EC\2017-02-26-refined-times.txt</v>
      </c>
      <c r="AI44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{"issue":{"subject":"","project_id":79,"tracker_id":40,"status_id":1,"priority_id":2,"assigned_to_id":23,"start_date":"2017-02-26","description":"","custom_fields":[{"id":1,"name":"Subdivision","value":"EC"},{"id":4,"name":"Milepost","value":"0.0169"},{"id":17,"name":"Train ID","value":"132-26"},{"id":16,"name":"Locomotive ID","value":"4017"},{"id":130,"name":"Impact","value":""},{"id":150,"name":"Time of Event (Mountain Time)","value":"09:07:06"},{"id":151,"name":"Denver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4017 --day 2017-02-26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"%USERPROFILE%\AppData\Local\Temp\OnboardLogs"\RTDC4017\*4017*20170226* | grep -SE "(Enforcement Action)|(\[TIMEOUT)|(CHR.+\|PRM\|1\|D.+(SWITCH|SIGNAL).+UNKNOWN)" - &gt;&gt; 2017-02-26-UncaughtWiMAX.txt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552</v>
      </c>
      <c r="B45" s="7">
        <v>4025</v>
      </c>
      <c r="C45" s="21" t="s">
        <v>285</v>
      </c>
      <c r="D45" s="21" t="s">
        <v>266</v>
      </c>
      <c r="E45" s="13">
        <v>42792.319085648145</v>
      </c>
      <c r="F45" s="13">
        <v>42792.323287037034</v>
      </c>
      <c r="G45" s="7">
        <v>1</v>
      </c>
      <c r="H45" s="21" t="s">
        <v>815</v>
      </c>
      <c r="I45" s="13">
        <v>42792.350127314814</v>
      </c>
      <c r="J45" s="7">
        <v>1</v>
      </c>
      <c r="K45" s="98" t="str">
        <f t="shared" si="0"/>
        <v>4025/4026</v>
      </c>
      <c r="L45" s="21" t="str">
        <f>VLOOKUP(A45,'Trips&amp;Operators'!$C$1:$G$99999,5,FALSE)</f>
        <v>ARVIDSON DANIEL</v>
      </c>
      <c r="M45" s="6">
        <f t="shared" si="1"/>
        <v>2.6840277780138422E-2</v>
      </c>
      <c r="N45" s="7">
        <f t="shared" si="2"/>
        <v>38.650000003399327</v>
      </c>
      <c r="O45" s="7"/>
      <c r="P45" s="7"/>
      <c r="Q45" s="22"/>
      <c r="R45" s="22"/>
      <c r="S45" s="31">
        <f t="shared" si="3"/>
        <v>1</v>
      </c>
      <c r="T45" s="46" t="str">
        <f t="shared" si="4"/>
        <v>NorthBound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5"/>
        <v>https://d0f6bd738d7f1b3e5a7ca70fe4ff75f0.us-east-1.aws.found.io/app/kibana#/discover/Steve-Slow-Train-Analysis-(2080s-and-2083s)?_g=(refreshInterval:(display:Off,pause:!f,section:0,value:0),time:(from:'2017-02-26T06:39:29-0700',mode:absolute,to:'2017-02-26T09:24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5" s="187" t="str">
        <f t="shared" si="6"/>
        <v>N</v>
      </c>
      <c r="X45" s="187">
        <f t="shared" si="7"/>
        <v>1</v>
      </c>
      <c r="Y45" s="62">
        <f t="shared" si="8"/>
        <v>4.4400000000000002E-2</v>
      </c>
      <c r="Z45" s="62">
        <f t="shared" si="9"/>
        <v>23.335100000000001</v>
      </c>
      <c r="AA45" s="62">
        <f t="shared" si="10"/>
        <v>23.290700000000001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0133-26</v>
      </c>
      <c r="AE45" s="85" t="str">
        <f t="shared" si="12"/>
        <v>aws s3 cp s3://rtdc.mdm.uploadarchive.raw/RTDC4025/ "%USERPROFILE%\AppData\Local\Temp\OnboardLogs"\RTDC4025\2017-02-26 --exclude "*" --recursive --include "*20170226*" &amp; "%USERPROFILE%\Documents\GitHub\mrs-test-scripts\Headless Mode &amp; Sideloading\WalkAndUnGZ.bat" "%USERPROFILE%\AppData\Local\Temp\OnboardLogs"\RTDC4025\2017-02-26 &amp; aws s3 cp s3://rtdc.mdm.uploadarchive.raw/RTDC4025/ "%USERPROFILE%\AppData\Local\Temp\OnboardLogs"\RTDC4025\2017-02-27 --exclude "*" --recursive --include "*20170227*" &amp; "%USERPROFILE%\Documents\GitHub\mrs-test-scripts\Headless Mode &amp; Sideloading\WalkAndUnGZ.bat" "%USERPROFILE%\AppData\Local\Temp\OnboardLogs"\RTDC4025\2017-02-27</v>
      </c>
      <c r="AF45" s="82" t="str">
        <f t="shared" si="13"/>
        <v>"C:\Program Files (x86)\AstroGrep\AstroGrep.exe" /spath="%USERPROFILE%\AppData\Local\Temp\OnboardLogs" /stypes="app*4025*20170226*"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6" t="str">
        <f t="shared" si="18"/>
        <v>"%USERPROFILE%\Documents\GitHub\eaglep3\Utilities\RefineRTDCRunTimes.py" --tripid 133-26 --locoid 4025 --swversion DE.1.0.9.0 --startMP 204:444 --initTime 2017-02-26T07:39:29 --startdatetime 2017-02-26T07:45:32 --delay 1 --endMP 204:233351 --enddatetime 2017-02-26T08:24:11 --enforcementcount 1 &gt;&gt;C:\Users\stu\Documents\GitHub\eaglep3-reporting\EC\2017-02-26-refined-times.txt</v>
      </c>
      <c r="AI45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{"issue":{"subject":"","project_id":79,"tracker_id":40,"status_id":1,"priority_id":2,"assigned_to_id":23,"start_date":"2017-02-26","description":"","custom_fields":[{"id":1,"name":"Subdivision","value":"EC"},{"id":4,"name":"Milepost","value":"23.3351"},{"id":17,"name":"Train ID","value":"133-26"},{"id":16,"name":"Locomotive ID","value":"4025"},{"id":130,"name":"Impact","value":""},{"id":150,"name":"Time of Event (Mountain Time)","value":"08:24:11"},{"id":151,"name":"Denver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4025 --day 2017-02-26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"%USERPROFILE%\AppData\Local\Temp\OnboardLogs"\RTDC4025\*4025*20170226* | grep -SE "(Enforcement Action)|(\[TIMEOUT)|(CHR.+\|PRM\|1\|D.+(SWITCH|SIGNAL).+UNKNOWN)" - &gt;&gt; 2017-02-26-UncaughtWiMAX.txt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640</v>
      </c>
      <c r="B46" s="7">
        <v>4026</v>
      </c>
      <c r="C46" s="21" t="s">
        <v>285</v>
      </c>
      <c r="D46" s="21" t="s">
        <v>816</v>
      </c>
      <c r="E46" s="13">
        <v>42792.360011574077</v>
      </c>
      <c r="F46" s="13">
        <v>42792.362187500003</v>
      </c>
      <c r="G46" s="7">
        <v>1</v>
      </c>
      <c r="H46" s="21" t="s">
        <v>213</v>
      </c>
      <c r="I46" s="13">
        <v>42792.390393518515</v>
      </c>
      <c r="J46" s="7">
        <v>1</v>
      </c>
      <c r="K46" s="98" t="str">
        <f t="shared" si="0"/>
        <v>4025/4026</v>
      </c>
      <c r="L46" s="21" t="str">
        <f>VLOOKUP(A46,'Trips&amp;Operators'!$C$1:$G$99999,5,FALSE)</f>
        <v>ARVIDSON DANIEL</v>
      </c>
      <c r="M46" s="6">
        <f t="shared" si="1"/>
        <v>2.8206018512719311E-2</v>
      </c>
      <c r="N46" s="7">
        <f t="shared" si="2"/>
        <v>40.616666658315808</v>
      </c>
      <c r="O46" s="7"/>
      <c r="P46" s="7"/>
      <c r="Q46" s="22"/>
      <c r="R46" s="22"/>
      <c r="S46" s="31">
        <f t="shared" si="3"/>
        <v>1</v>
      </c>
      <c r="T46" s="46" t="str">
        <f t="shared" si="4"/>
        <v>Southbound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5"/>
        <v>https://d0f6bd738d7f1b3e5a7ca70fe4ff75f0.us-east-1.aws.found.io/app/kibana#/discover/Steve-Slow-Train-Analysis-(2080s-and-2083s)?_g=(refreshInterval:(display:Off,pause:!f,section:0,value:0),time:(from:'2017-02-26T07:38:25-0700',mode:absolute,to:'2017-02-26T10:22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6" s="187" t="str">
        <f t="shared" si="6"/>
        <v>N</v>
      </c>
      <c r="X46" s="187">
        <f t="shared" si="7"/>
        <v>1</v>
      </c>
      <c r="Y46" s="62">
        <f t="shared" si="8"/>
        <v>23.303999999999998</v>
      </c>
      <c r="Z46" s="62">
        <f t="shared" si="9"/>
        <v>1.54E-2</v>
      </c>
      <c r="AA46" s="62">
        <f t="shared" si="10"/>
        <v>23.288599999999999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0134-26</v>
      </c>
      <c r="AE46" s="85" t="str">
        <f t="shared" si="12"/>
        <v>aws s3 cp s3://rtdc.mdm.uploadarchive.raw/RTDC4026/ "%USERPROFILE%\AppData\Local\Temp\OnboardLogs"\RTDC4026\2017-02-26 --exclude "*" --recursive --include "*20170226*" &amp; "%USERPROFILE%\Documents\GitHub\mrs-test-scripts\Headless Mode &amp; Sideloading\WalkAndUnGZ.bat" "%USERPROFILE%\AppData\Local\Temp\OnboardLogs"\RTDC4026\2017-02-26 &amp; aws s3 cp s3://rtdc.mdm.uploadarchive.raw/RTDC4026/ "%USERPROFILE%\AppData\Local\Temp\OnboardLogs"\RTDC4026\2017-02-27 --exclude "*" --recursive --include "*20170227*" &amp; "%USERPROFILE%\Documents\GitHub\mrs-test-scripts\Headless Mode &amp; Sideloading\WalkAndUnGZ.bat" "%USERPROFILE%\AppData\Local\Temp\OnboardLogs"\RTDC4026\2017-02-27</v>
      </c>
      <c r="AF46" s="82" t="str">
        <f t="shared" si="13"/>
        <v>"C:\Program Files (x86)\AstroGrep\AstroGrep.exe" /spath="%USERPROFILE%\AppData\Local\Temp\OnboardLogs" /stypes="app*4026*20170226*"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6" t="str">
        <f t="shared" si="18"/>
        <v>"%USERPROFILE%\Documents\GitHub\eaglep3\Utilities\RefineRTDCRunTimes.py" --tripid 134-26 --locoid 4026 --swversion DE.1.0.9.0 --startMP 204:233040 --initTime 2017-02-26T08:38:25 --startdatetime 2017-02-26T08:41:33 --delay 1 --endMP 204:154 --enddatetime 2017-02-26T09:22:10 --enforcementcount 1 &gt;&gt;C:\Users\stu\Documents\GitHub\eaglep3-reporting\EC\2017-02-26-refined-times.txt</v>
      </c>
      <c r="AI46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{"issue":{"subject":"","project_id":79,"tracker_id":40,"status_id":1,"priority_id":2,"assigned_to_id":23,"start_date":"2017-02-26","description":"","custom_fields":[{"id":1,"name":"Subdivision","value":"EC"},{"id":4,"name":"Milepost","value":"0.0154"},{"id":17,"name":"Train ID","value":"134-26"},{"id":16,"name":"Locomotive ID","value":"4026"},{"id":130,"name":"Impact","value":""},{"id":150,"name":"Time of Event (Mountain Time)","value":"09:22:10"},{"id":151,"name":"Denver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4026 --day 2017-02-26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"%USERPROFILE%\AppData\Local\Temp\OnboardLogs"\RTDC4026\*4026*20170226* | grep -SE "(Enforcement Action)|(\[TIMEOUT)|(CHR.+\|PRM\|1\|D.+(SWITCH|SIGNAL).+UNKNOWN)" - &gt;&gt; 2017-02-26-UncaughtWiMAX.txt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633</v>
      </c>
      <c r="B47" s="7">
        <v>4029</v>
      </c>
      <c r="C47" s="21" t="s">
        <v>285</v>
      </c>
      <c r="D47" s="21" t="s">
        <v>229</v>
      </c>
      <c r="E47" s="13">
        <v>42792.329571759263</v>
      </c>
      <c r="F47" s="13">
        <v>42792.333553240744</v>
      </c>
      <c r="G47" s="7">
        <v>1</v>
      </c>
      <c r="H47" s="21" t="s">
        <v>287</v>
      </c>
      <c r="I47" s="13">
        <v>42792.360069444447</v>
      </c>
      <c r="J47" s="7">
        <v>1</v>
      </c>
      <c r="K47" s="98" t="str">
        <f t="shared" si="0"/>
        <v>4029/4030</v>
      </c>
      <c r="L47" s="21" t="str">
        <f>VLOOKUP(A47,'Trips&amp;Operators'!$C$1:$G$99999,5,FALSE)</f>
        <v>BRANDNER MELINDA</v>
      </c>
      <c r="M47" s="6">
        <f t="shared" si="1"/>
        <v>2.6516203703067731E-2</v>
      </c>
      <c r="N47" s="7">
        <f t="shared" si="2"/>
        <v>38.183333332417533</v>
      </c>
      <c r="O47" s="7"/>
      <c r="P47" s="7"/>
      <c r="Q47" s="22"/>
      <c r="R47" s="22"/>
      <c r="S47" s="31">
        <f t="shared" si="3"/>
        <v>1</v>
      </c>
      <c r="T47" s="46" t="str">
        <f t="shared" si="4"/>
        <v>NorthBound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5"/>
        <v>https://d0f6bd738d7f1b3e5a7ca70fe4ff75f0.us-east-1.aws.found.io/app/kibana#/discover/Steve-Slow-Train-Analysis-(2080s-and-2083s)?_g=(refreshInterval:(display:Off,pause:!f,section:0,value:0),time:(from:'2017-02-26T06:54:35-0700',mode:absolute,to:'2017-02-26T09:38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7" s="187" t="str">
        <f t="shared" si="6"/>
        <v>N</v>
      </c>
      <c r="X47" s="187">
        <f t="shared" si="7"/>
        <v>1</v>
      </c>
      <c r="Y47" s="62">
        <f t="shared" si="8"/>
        <v>4.5999999999999999E-2</v>
      </c>
      <c r="Z47" s="62">
        <f t="shared" si="9"/>
        <v>23.333200000000001</v>
      </c>
      <c r="AA47" s="62">
        <f t="shared" si="10"/>
        <v>23.287200000000002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0135-26</v>
      </c>
      <c r="AE47" s="85" t="str">
        <f t="shared" si="12"/>
        <v>aws s3 cp s3://rtdc.mdm.uploadarchive.raw/RTDC4029/ "%USERPROFILE%\AppData\Local\Temp\OnboardLogs"\RTDC4029\2017-02-26 --exclude "*" --recursive --include "*20170226*" &amp; "%USERPROFILE%\Documents\GitHub\mrs-test-scripts\Headless Mode &amp; Sideloading\WalkAndUnGZ.bat" "%USERPROFILE%\AppData\Local\Temp\OnboardLogs"\RTDC4029\2017-02-26 &amp; aws s3 cp s3://rtdc.mdm.uploadarchive.raw/RTDC4029/ "%USERPROFILE%\AppData\Local\Temp\OnboardLogs"\RTDC4029\2017-02-27 --exclude "*" --recursive --include "*20170227*" &amp; "%USERPROFILE%\Documents\GitHub\mrs-test-scripts\Headless Mode &amp; Sideloading\WalkAndUnGZ.bat" "%USERPROFILE%\AppData\Local\Temp\OnboardLogs"\RTDC4029\2017-02-27</v>
      </c>
      <c r="AF47" s="82" t="str">
        <f t="shared" si="13"/>
        <v>"C:\Program Files (x86)\AstroGrep\AstroGrep.exe" /spath="%USERPROFILE%\AppData\Local\Temp\OnboardLogs" /stypes="app*4029*20170226*" /stext=" 15:.+((SYSTEM_STATE.+slice.+state.+changed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6" t="str">
        <f t="shared" si="18"/>
        <v>"%USERPROFILE%\Documents\GitHub\eaglep3\Utilities\RefineRTDCRunTimes.py" --tripid 135-26 --locoid 4029 --swversion DE.1.0.9.0 --startMP 204:460 --initTime 2017-02-26T07:54:35 --startdatetime 2017-02-26T08:00:19 --delay 1 --endMP 204:233332 --enddatetime 2017-02-26T08:38:30 --enforcementcount 1 &gt;&gt;C:\Users\stu\Documents\GitHub\eaglep3-reporting\EC\2017-02-26-refined-times.txt</v>
      </c>
      <c r="AI47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{"issue":{"subject":"","project_id":79,"tracker_id":40,"status_id":1,"priority_id":2,"assigned_to_id":23,"start_date":"2017-02-26","description":"","custom_fields":[{"id":1,"name":"Subdivision","value":"EC"},{"id":4,"name":"Milepost","value":"23.3332"},{"id":17,"name":"Train ID","value":"135-26"},{"id":16,"name":"Locomotive ID","value":"4029"},{"id":130,"name":"Impact","value":""},{"id":150,"name":"Time of Event (Mountain Time)","value":"08:38:30"},{"id":151,"name":"Denver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4029 --day 2017-02-26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"%USERPROFILE%\AppData\Local\Temp\OnboardLogs"\RTDC4029\*4029*20170226* | grep -SE "(Enforcement Action)|(\[TIMEOUT)|(CHR.+\|PRM\|1\|D.+(SWITCH|SIGNAL).+UNKNOWN)" - &gt;&gt; 2017-02-26-UncaughtWiMAX.txt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553</v>
      </c>
      <c r="B48" s="7">
        <v>4030</v>
      </c>
      <c r="C48" s="21" t="s">
        <v>285</v>
      </c>
      <c r="D48" s="21" t="s">
        <v>324</v>
      </c>
      <c r="E48" s="13">
        <v>42792.367361111108</v>
      </c>
      <c r="F48" s="13">
        <v>42792.372615740744</v>
      </c>
      <c r="G48" s="7">
        <v>2</v>
      </c>
      <c r="H48" s="21" t="s">
        <v>213</v>
      </c>
      <c r="I48" s="13">
        <v>42792.401747685188</v>
      </c>
      <c r="J48" s="7">
        <v>1</v>
      </c>
      <c r="K48" s="98" t="str">
        <f t="shared" si="0"/>
        <v>4029/4030</v>
      </c>
      <c r="L48" s="21" t="str">
        <f>VLOOKUP(A48,'Trips&amp;Operators'!$C$1:$G$99999,5,FALSE)</f>
        <v>BRANDNER MELINDA</v>
      </c>
      <c r="M48" s="6">
        <f t="shared" si="1"/>
        <v>2.9131944444088731E-2</v>
      </c>
      <c r="N48" s="7">
        <f t="shared" si="2"/>
        <v>41.949999999487773</v>
      </c>
      <c r="O48" s="7"/>
      <c r="P48" s="7"/>
      <c r="Q48" s="22"/>
      <c r="R48" s="22"/>
      <c r="S48" s="31">
        <f t="shared" si="3"/>
        <v>1</v>
      </c>
      <c r="T48" s="46" t="str">
        <f t="shared" si="4"/>
        <v>Southbound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5"/>
        <v>https://d0f6bd738d7f1b3e5a7ca70fe4ff75f0.us-east-1.aws.found.io/app/kibana#/discover/Steve-Slow-Train-Analysis-(2080s-and-2083s)?_g=(refreshInterval:(display:Off,pause:!f,section:0,value:0),time:(from:'2017-02-26T07:49:00-0700',mode:absolute,to:'2017-02-26T10:38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8" s="187" t="str">
        <f t="shared" si="6"/>
        <v>N</v>
      </c>
      <c r="X48" s="187">
        <f t="shared" si="7"/>
        <v>1</v>
      </c>
      <c r="Y48" s="62">
        <f t="shared" si="8"/>
        <v>23.3019</v>
      </c>
      <c r="Z48" s="62">
        <f t="shared" si="9"/>
        <v>1.54E-2</v>
      </c>
      <c r="AA48" s="62">
        <f t="shared" si="10"/>
        <v>23.2865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0136-26</v>
      </c>
      <c r="AE48" s="85" t="str">
        <f t="shared" si="12"/>
        <v>aws s3 cp s3://rtdc.mdm.uploadarchive.raw/RTDC4030/ "%USERPROFILE%\AppData\Local\Temp\OnboardLogs"\RTDC4030\2017-02-26 --exclude "*" --recursive --include "*20170226*" &amp; "%USERPROFILE%\Documents\GitHub\mrs-test-scripts\Headless Mode &amp; Sideloading\WalkAndUnGZ.bat" "%USERPROFILE%\AppData\Local\Temp\OnboardLogs"\RTDC4030\2017-02-26 &amp; aws s3 cp s3://rtdc.mdm.uploadarchive.raw/RTDC4030/ "%USERPROFILE%\AppData\Local\Temp\OnboardLogs"\RTDC4030\2017-02-27 --exclude "*" --recursive --include "*20170227*" &amp; "%USERPROFILE%\Documents\GitHub\mrs-test-scripts\Headless Mode &amp; Sideloading\WalkAndUnGZ.bat" "%USERPROFILE%\AppData\Local\Temp\OnboardLogs"\RTDC4030\2017-02-27</v>
      </c>
      <c r="AF48" s="82" t="str">
        <f t="shared" si="13"/>
        <v>"C:\Program Files (x86)\AstroGrep\AstroGrep.exe" /spath="%USERPROFILE%\AppData\Local\Temp\OnboardLogs" /stypes="app*4030*20170226*" /stext=" 16:.+((SYSTEM_STATE.+slice.+state.+changed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6" t="str">
        <f t="shared" si="18"/>
        <v>"%USERPROFILE%\Documents\GitHub\eaglep3\Utilities\RefineRTDCRunTimes.py" --tripid 136-26 --locoid 4030 --swversion DE.1.0.9.0 --startMP 204:233019 --initTime 2017-02-26T08:49:00 --startdatetime 2017-02-26T08:56:34 --delay 2 --endMP 204:154 --enddatetime 2017-02-26T09:38:31 --enforcementcount 1 &gt;&gt;C:\Users\stu\Documents\GitHub\eaglep3-reporting\EC\2017-02-26-refined-times.txt</v>
      </c>
      <c r="AI48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{"issue":{"subject":"","project_id":79,"tracker_id":40,"status_id":1,"priority_id":2,"assigned_to_id":23,"start_date":"2017-02-26","description":"","custom_fields":[{"id":1,"name":"Subdivision","value":"EC"},{"id":4,"name":"Milepost","value":"0.0154"},{"id":17,"name":"Train ID","value":"136-26"},{"id":16,"name":"Locomotive ID","value":"4030"},{"id":130,"name":"Impact","value":""},{"id":150,"name":"Time of Event (Mountain Time)","value":"09:38:31"},{"id":151,"name":"Denver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4030 --day 2017-02-26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"%USERPROFILE%\AppData\Local\Temp\OnboardLogs"\RTDC4030\*4030*20170226* | grep -SE "(Enforcement Action)|(\[TIMEOUT)|(CHR.+\|PRM\|1\|D.+(SWITCH|SIGNAL).+UNKNOWN)" - &gt;&gt; 2017-02-26-UncaughtWiMAX.txt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636</v>
      </c>
      <c r="B49" s="7">
        <v>4003</v>
      </c>
      <c r="C49" s="21" t="s">
        <v>285</v>
      </c>
      <c r="D49" s="21" t="s">
        <v>286</v>
      </c>
      <c r="E49" s="13">
        <v>42792.34033564815</v>
      </c>
      <c r="F49" s="13">
        <v>42792.343912037039</v>
      </c>
      <c r="G49" s="7">
        <v>1</v>
      </c>
      <c r="H49" s="21" t="s">
        <v>817</v>
      </c>
      <c r="I49" s="13">
        <v>42792.369317129633</v>
      </c>
      <c r="J49" s="7">
        <v>1</v>
      </c>
      <c r="K49" s="98" t="str">
        <f t="shared" si="0"/>
        <v>4003/4004</v>
      </c>
      <c r="L49" s="21" t="str">
        <f>VLOOKUP(A49,'Trips&amp;Operators'!$C$1:$G$99999,5,FALSE)</f>
        <v>ROBINSON KADDIBA</v>
      </c>
      <c r="M49" s="6">
        <f t="shared" si="1"/>
        <v>2.5405092594155576E-2</v>
      </c>
      <c r="N49" s="7">
        <f t="shared" si="2"/>
        <v>36.58333333558403</v>
      </c>
      <c r="O49" s="7"/>
      <c r="P49" s="7"/>
      <c r="Q49" s="22"/>
      <c r="R49" s="22"/>
      <c r="S49" s="31">
        <f t="shared" si="3"/>
        <v>1</v>
      </c>
      <c r="T49" s="46" t="str">
        <f t="shared" si="4"/>
        <v>NorthBound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5"/>
        <v>https://d0f6bd738d7f1b3e5a7ca70fe4ff75f0.us-east-1.aws.found.io/app/kibana#/discover/Steve-Slow-Train-Analysis-(2080s-and-2083s)?_g=(refreshInterval:(display:Off,pause:!f,section:0,value:0),time:(from:'2017-02-26T07:10:05-0700',mode:absolute,to:'2017-02-26T09:51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9" s="187" t="str">
        <f t="shared" si="6"/>
        <v>N</v>
      </c>
      <c r="X49" s="187">
        <f t="shared" si="7"/>
        <v>1</v>
      </c>
      <c r="Y49" s="62">
        <f t="shared" si="8"/>
        <v>4.58E-2</v>
      </c>
      <c r="Z49" s="62">
        <f t="shared" si="9"/>
        <v>23.336400000000001</v>
      </c>
      <c r="AA49" s="62">
        <f t="shared" si="10"/>
        <v>23.290600000000001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0137-26</v>
      </c>
      <c r="AE49" s="85" t="str">
        <f t="shared" si="12"/>
        <v>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 &amp; aws s3 cp s3://rtdc.mdm.uploadarchive.raw/RTDC4003/ "%USERPROFILE%\AppData\Local\Temp\OnboardLogs"\RTDC4003\2017-02-27 --exclude "*" --recursive --include "*20170227*" &amp; "%USERPROFILE%\Documents\GitHub\mrs-test-scripts\Headless Mode &amp; Sideloading\WalkAndUnGZ.bat" "%USERPROFILE%\AppData\Local\Temp\OnboardLogs"\RTDC4003\2017-02-27</v>
      </c>
      <c r="AF49" s="82" t="str">
        <f t="shared" si="13"/>
        <v>"C:\Program Files (x86)\AstroGrep\AstroGrep.exe" /spath="%USERPROFILE%\AppData\Local\Temp\OnboardLogs" /stypes="app*4003*20170226*" /stext=" 15:.+((SYSTEM_STATE.+slice.+state.+changed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6" t="str">
        <f t="shared" si="18"/>
        <v>"%USERPROFILE%\Documents\GitHub\eaglep3\Utilities\RefineRTDCRunTimes.py" --tripid 137-26 --locoid 4003 --swversion DE.1.0.9.0 --startMP 204:458 --initTime 2017-02-26T08:10:05 --startdatetime 2017-02-26T08:15:14 --delay 1 --endMP 204:233364 --enddatetime 2017-02-26T08:51:49 --enforcementcount 1 &gt;&gt;C:\Users\stu\Documents\GitHub\eaglep3-reporting\EC\2017-02-26-refined-times.txt</v>
      </c>
      <c r="AI49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{"issue":{"subject":"","project_id":79,"tracker_id":40,"status_id":1,"priority_id":2,"assigned_to_id":23,"start_date":"2017-02-26","description":"","custom_fields":[{"id":1,"name":"Subdivision","value":"EC"},{"id":4,"name":"Milepost","value":"23.3364"},{"id":17,"name":"Train ID","value":"137-26"},{"id":16,"name":"Locomotive ID","value":"4003"},{"id":130,"name":"Impact","value":""},{"id":150,"name":"Time of Event (Mountain Time)","value":"08:51:49"},{"id":151,"name":"Denver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4003 --day 2017-02-26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"%USERPROFILE%\AppData\Local\Temp\OnboardLogs"\RTDC4003\*4003*20170226* | grep -SE "(Enforcement Action)|(\[TIMEOUT)|(CHR.+\|PRM\|1\|D.+(SWITCH|SIGNAL).+UNKNOWN)" - &gt;&gt; 2017-02-26-UncaughtWiMAX.txt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644</v>
      </c>
      <c r="B50" s="7">
        <v>4004</v>
      </c>
      <c r="C50" s="21" t="s">
        <v>285</v>
      </c>
      <c r="D50" s="21" t="s">
        <v>310</v>
      </c>
      <c r="E50" s="13">
        <v>42792.379872685182</v>
      </c>
      <c r="F50" s="13">
        <v>42792.382835648146</v>
      </c>
      <c r="G50" s="7">
        <v>1</v>
      </c>
      <c r="H50" s="21" t="s">
        <v>267</v>
      </c>
      <c r="I50" s="13">
        <v>42792.41</v>
      </c>
      <c r="J50" s="7">
        <v>1</v>
      </c>
      <c r="K50" s="98" t="str">
        <f t="shared" si="0"/>
        <v>4003/4004</v>
      </c>
      <c r="L50" s="21" t="str">
        <f>VLOOKUP(A50,'Trips&amp;Operators'!$C$1:$G$99999,5,FALSE)</f>
        <v>ROBINSON KADDIBA</v>
      </c>
      <c r="M50" s="6">
        <f t="shared" si="1"/>
        <v>2.7164351857209112E-2</v>
      </c>
      <c r="N50" s="7">
        <f t="shared" si="2"/>
        <v>39.116666674381122</v>
      </c>
      <c r="O50" s="7"/>
      <c r="P50" s="7"/>
      <c r="Q50" s="22"/>
      <c r="R50" s="22"/>
      <c r="S50" s="31">
        <f t="shared" si="3"/>
        <v>1</v>
      </c>
      <c r="T50" s="46" t="str">
        <f t="shared" si="4"/>
        <v>Southbound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5"/>
        <v>https://d0f6bd738d7f1b3e5a7ca70fe4ff75f0.us-east-1.aws.found.io/app/kibana#/discover/Steve-Slow-Train-Analysis-(2080s-and-2083s)?_g=(refreshInterval:(display:Off,pause:!f,section:0,value:0),time:(from:'2017-02-26T08:07:01-0700',mode:absolute,to:'2017-02-26T10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0" s="187" t="str">
        <f t="shared" si="6"/>
        <v>N</v>
      </c>
      <c r="X50" s="187">
        <f t="shared" si="7"/>
        <v>1</v>
      </c>
      <c r="Y50" s="62">
        <f t="shared" si="8"/>
        <v>23.3002</v>
      </c>
      <c r="Z50" s="62">
        <f t="shared" si="9"/>
        <v>1.47E-2</v>
      </c>
      <c r="AA50" s="62">
        <f t="shared" si="10"/>
        <v>23.285499999999999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0138-26</v>
      </c>
      <c r="AE50" s="85" t="str">
        <f t="shared" si="12"/>
        <v>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 &amp; aws s3 cp s3://rtdc.mdm.uploadarchive.raw/RTDC4004/ "%USERPROFILE%\AppData\Local\Temp\OnboardLogs"\RTDC4004\2017-02-27 --exclude "*" --recursive --include "*20170227*" &amp; "%USERPROFILE%\Documents\GitHub\mrs-test-scripts\Headless Mode &amp; Sideloading\WalkAndUnGZ.bat" "%USERPROFILE%\AppData\Local\Temp\OnboardLogs"\RTDC4004\2017-02-27</v>
      </c>
      <c r="AF50" s="82" t="str">
        <f t="shared" si="13"/>
        <v>"C:\Program Files (x86)\AstroGrep\AstroGrep.exe" /spath="%USERPROFILE%\AppData\Local\Temp\OnboardLogs" /stypes="app*4004*20170226*"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6" t="str">
        <f t="shared" si="18"/>
        <v>"%USERPROFILE%\Documents\GitHub\eaglep3\Utilities\RefineRTDCRunTimes.py" --tripid 138-26 --locoid 4004 --swversion DE.1.0.9.0 --startMP 204:233002 --initTime 2017-02-26T09:07:01 --startdatetime 2017-02-26T09:11:17 --delay 1 --endMP 204:147 --enddatetime 2017-02-26T09:50:24 --enforcementcount 1 &gt;&gt;C:\Users\stu\Documents\GitHub\eaglep3-reporting\EC\2017-02-26-refined-times.txt</v>
      </c>
      <c r="AI50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{"issue":{"subject":"","project_id":79,"tracker_id":40,"status_id":1,"priority_id":2,"assigned_to_id":23,"start_date":"2017-02-26","description":"","custom_fields":[{"id":1,"name":"Subdivision","value":"EC"},{"id":4,"name":"Milepost","value":"0.0147"},{"id":17,"name":"Train ID","value":"138-26"},{"id":16,"name":"Locomotive ID","value":"4004"},{"id":130,"name":"Impact","value":""},{"id":150,"name":"Time of Event (Mountain Time)","value":"09:50:24"},{"id":151,"name":"Denver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4004 --day 2017-02-26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"%USERPROFILE%\AppData\Local\Temp\OnboardLogs"\RTDC4004\*4004*20170226* | grep -SE "(Enforcement Action)|(\[TIMEOUT)|(CHR.+\|PRM\|1\|D.+(SWITCH|SIGNAL).+UNKNOWN)" - &gt;&gt; 2017-02-26-UncaughtWiMAX.txt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638</v>
      </c>
      <c r="B51" s="7">
        <v>4009</v>
      </c>
      <c r="C51" s="21" t="s">
        <v>285</v>
      </c>
      <c r="D51" s="21" t="s">
        <v>244</v>
      </c>
      <c r="E51" s="13">
        <v>42792.350486111114</v>
      </c>
      <c r="F51" s="13">
        <v>42792.354328703703</v>
      </c>
      <c r="G51" s="7">
        <v>2</v>
      </c>
      <c r="H51" s="21" t="s">
        <v>298</v>
      </c>
      <c r="I51" s="13">
        <v>42792.379803240743</v>
      </c>
      <c r="J51" s="7">
        <v>1</v>
      </c>
      <c r="K51" s="98" t="str">
        <f t="shared" si="0"/>
        <v>4009/4010</v>
      </c>
      <c r="L51" s="21" t="str">
        <f>VLOOKUP(A51,'Trips&amp;Operators'!$C$1:$G$99999,5,FALSE)</f>
        <v>GEBRETEKLE DAGNEW</v>
      </c>
      <c r="M51" s="6">
        <f t="shared" si="1"/>
        <v>2.5474537040281575E-2</v>
      </c>
      <c r="N51" s="7">
        <f t="shared" si="2"/>
        <v>36.683333338005468</v>
      </c>
      <c r="O51" s="7"/>
      <c r="P51" s="7"/>
      <c r="Q51" s="22"/>
      <c r="R51" s="22"/>
      <c r="S51" s="31">
        <f t="shared" si="3"/>
        <v>1</v>
      </c>
      <c r="T51" s="46" t="str">
        <f t="shared" si="4"/>
        <v>NorthBound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5"/>
        <v>https://d0f6bd738d7f1b3e5a7ca70fe4ff75f0.us-east-1.aws.found.io/app/kibana#/discover/Steve-Slow-Train-Analysis-(2080s-and-2083s)?_g=(refreshInterval:(display:Off,pause:!f,section:0,value:0),time:(from:'2017-02-26T07:24:42-0700',mode:absolute,to:'2017-02-26T10:06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1" s="187" t="str">
        <f t="shared" si="6"/>
        <v>N</v>
      </c>
      <c r="X51" s="187">
        <f t="shared" si="7"/>
        <v>1</v>
      </c>
      <c r="Y51" s="62">
        <f t="shared" si="8"/>
        <v>4.5499999999999999E-2</v>
      </c>
      <c r="Z51" s="62">
        <f t="shared" si="9"/>
        <v>23.328900000000001</v>
      </c>
      <c r="AA51" s="62">
        <f t="shared" si="10"/>
        <v>23.2834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0139-26</v>
      </c>
      <c r="AE51" s="85" t="str">
        <f t="shared" si="12"/>
        <v>aws s3 cp s3://rtdc.mdm.uploadarchive.raw/RTDC4009/ "%USERPROFILE%\AppData\Local\Temp\OnboardLogs"\RTDC4009\2017-02-26 --exclude "*" --recursive --include "*20170226*" &amp; "%USERPROFILE%\Documents\GitHub\mrs-test-scripts\Headless Mode &amp; Sideloading\WalkAndUnGZ.bat" "%USERPROFILE%\AppData\Local\Temp\OnboardLogs"\RTDC4009\2017-02-26 &amp; aws s3 cp s3://rtdc.mdm.uploadarchive.raw/RTDC4009/ "%USERPROFILE%\AppData\Local\Temp\OnboardLogs"\RTDC4009\2017-02-27 --exclude "*" --recursive --include "*20170227*" &amp; "%USERPROFILE%\Documents\GitHub\mrs-test-scripts\Headless Mode &amp; Sideloading\WalkAndUnGZ.bat" "%USERPROFILE%\AppData\Local\Temp\OnboardLogs"\RTDC4009\2017-02-27</v>
      </c>
      <c r="AF51" s="82" t="str">
        <f t="shared" si="13"/>
        <v>"C:\Program Files (x86)\AstroGrep\AstroGrep.exe" /spath="%USERPROFILE%\AppData\Local\Temp\OnboardLogs" /stypes="app*4009*20170226*"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6" t="str">
        <f t="shared" si="18"/>
        <v>"%USERPROFILE%\Documents\GitHub\eaglep3\Utilities\RefineRTDCRunTimes.py" --tripid 139-26 --locoid 4009 --swversion DE.1.0.9.0 --startMP 204:455 --initTime 2017-02-26T08:24:42 --startdatetime 2017-02-26T08:30:14 --delay 2 --endMP 204:233289 --enddatetime 2017-02-26T09:06:55 --enforcementcount 1 &gt;&gt;C:\Users\stu\Documents\GitHub\eaglep3-reporting\EC\2017-02-26-refined-times.txt</v>
      </c>
      <c r="AI51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{"issue":{"subject":"","project_id":79,"tracker_id":40,"status_id":1,"priority_id":2,"assigned_to_id":23,"start_date":"2017-02-26","description":"","custom_fields":[{"id":1,"name":"Subdivision","value":"EC"},{"id":4,"name":"Milepost","value":"23.3289"},{"id":17,"name":"Train ID","value":"139-26"},{"id":16,"name":"Locomotive ID","value":"4009"},{"id":130,"name":"Impact","value":""},{"id":150,"name":"Time of Event (Mountain Time)","value":"09:06:55"},{"id":151,"name":"Denver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4009 --day 2017-02-26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"%USERPROFILE%\AppData\Local\Temp\OnboardLogs"\RTDC4009\*4009*20170226* | grep -SE "(Enforcement Action)|(\[TIMEOUT)|(CHR.+\|PRM\|1\|D.+(SWITCH|SIGNAL).+UNKNOWN)" - &gt;&gt; 2017-02-26-UncaughtWiMAX.txt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646</v>
      </c>
      <c r="B52" s="7">
        <v>4010</v>
      </c>
      <c r="C52" s="21" t="s">
        <v>285</v>
      </c>
      <c r="D52" s="21" t="s">
        <v>373</v>
      </c>
      <c r="E52" s="13">
        <v>42792.389421296299</v>
      </c>
      <c r="F52" s="13">
        <v>42792.393275462964</v>
      </c>
      <c r="G52" s="7">
        <v>1</v>
      </c>
      <c r="H52" s="21" t="s">
        <v>276</v>
      </c>
      <c r="I52" s="13">
        <v>42792.419861111113</v>
      </c>
      <c r="J52" s="7">
        <v>1</v>
      </c>
      <c r="K52" s="98" t="str">
        <f t="shared" si="0"/>
        <v>4009/4010</v>
      </c>
      <c r="L52" s="21" t="str">
        <f>VLOOKUP(A52,'Trips&amp;Operators'!$C$1:$G$99999,5,FALSE)</f>
        <v>GEBRETEKLE DAGNEW</v>
      </c>
      <c r="M52" s="6">
        <f t="shared" si="1"/>
        <v>2.658564814919373E-2</v>
      </c>
      <c r="N52" s="7">
        <f t="shared" si="2"/>
        <v>38.283333334838971</v>
      </c>
      <c r="O52" s="7"/>
      <c r="P52" s="7"/>
      <c r="Q52" s="22"/>
      <c r="R52" s="22"/>
      <c r="S52" s="31">
        <f t="shared" si="3"/>
        <v>1</v>
      </c>
      <c r="T52" s="46" t="str">
        <f t="shared" si="4"/>
        <v>Southbound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5"/>
        <v>https://d0f6bd738d7f1b3e5a7ca70fe4ff75f0.us-east-1.aws.found.io/app/kibana#/discover/Steve-Slow-Train-Analysis-(2080s-and-2083s)?_g=(refreshInterval:(display:Off,pause:!f,section:0,value:0),time:(from:'2017-02-26T08:20:46-0700',mode:absolute,to:'2017-02-26T11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2" s="187" t="str">
        <f t="shared" si="6"/>
        <v>N</v>
      </c>
      <c r="X52" s="187">
        <f t="shared" si="7"/>
        <v>1</v>
      </c>
      <c r="Y52" s="62">
        <f t="shared" si="8"/>
        <v>23.297699999999999</v>
      </c>
      <c r="Z52" s="62">
        <f t="shared" si="9"/>
        <v>1.6299999999999999E-2</v>
      </c>
      <c r="AA52" s="62">
        <f t="shared" si="10"/>
        <v>23.281399999999998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0140-26</v>
      </c>
      <c r="AE52" s="85" t="str">
        <f t="shared" si="12"/>
        <v>aws s3 cp s3://rtdc.mdm.uploadarchive.raw/RTDC4010/ "%USERPROFILE%\AppData\Local\Temp\OnboardLogs"\RTDC4010\2017-02-26 --exclude "*" --recursive --include "*20170226*" &amp; "%USERPROFILE%\Documents\GitHub\mrs-test-scripts\Headless Mode &amp; Sideloading\WalkAndUnGZ.bat" "%USERPROFILE%\AppData\Local\Temp\OnboardLogs"\RTDC4010\2017-02-26 &amp; aws s3 cp s3://rtdc.mdm.uploadarchive.raw/RTDC4010/ "%USERPROFILE%\AppData\Local\Temp\OnboardLogs"\RTDC4010\2017-02-27 --exclude "*" --recursive --include "*20170227*" &amp; "%USERPROFILE%\Documents\GitHub\mrs-test-scripts\Headless Mode &amp; Sideloading\WalkAndUnGZ.bat" "%USERPROFILE%\AppData\Local\Temp\OnboardLogs"\RTDC4010\2017-02-27</v>
      </c>
      <c r="AF52" s="82" t="str">
        <f t="shared" si="13"/>
        <v>"C:\Program Files (x86)\AstroGrep\AstroGrep.exe" /spath="%USERPROFILE%\AppData\Local\Temp\OnboardLogs" /stypes="app*4010*20170226*" /stext=" 17:.+((SYSTEM_STATE.+slice.+state.+changed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6" t="str">
        <f t="shared" si="18"/>
        <v>"%USERPROFILE%\Documents\GitHub\eaglep3\Utilities\RefineRTDCRunTimes.py" --tripid 140-26 --locoid 4010 --swversion DE.1.0.9.0 --startMP 204:232977 --initTime 2017-02-26T09:20:46 --startdatetime 2017-02-26T09:26:19 --delay 1 --endMP 204:163 --enddatetime 2017-02-26T10:04:36 --enforcementcount 1 &gt;&gt;C:\Users\stu\Documents\GitHub\eaglep3-reporting\EC\2017-02-26-refined-times.txt</v>
      </c>
      <c r="AI52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{"issue":{"subject":"","project_id":79,"tracker_id":40,"status_id":1,"priority_id":2,"assigned_to_id":23,"start_date":"2017-02-26","description":"","custom_fields":[{"id":1,"name":"Subdivision","value":"EC"},{"id":4,"name":"Milepost","value":"0.0163"},{"id":17,"name":"Train ID","value":"140-26"},{"id":16,"name":"Locomotive ID","value":"4010"},{"id":130,"name":"Impact","value":""},{"id":150,"name":"Time of Event (Mountain Time)","value":"10:04:36"},{"id":151,"name":"Denver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4010 --day 2017-02-26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"%USERPROFILE%\AppData\Local\Temp\OnboardLogs"\RTDC4010\*4010*20170226* | grep -SE "(Enforcement Action)|(\[TIMEOUT)|(CHR.+\|PRM\|1\|D.+(SWITCH|SIGNAL).+UNKNOWN)" - &gt;&gt; 2017-02-26-UncaughtWiMAX.txt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641</v>
      </c>
      <c r="B53" s="7">
        <v>4011</v>
      </c>
      <c r="C53" s="21" t="s">
        <v>285</v>
      </c>
      <c r="D53" s="21" t="s">
        <v>818</v>
      </c>
      <c r="E53" s="13">
        <v>42792.361192129632</v>
      </c>
      <c r="F53" s="13">
        <v>42792.364768518521</v>
      </c>
      <c r="G53" s="7">
        <v>1</v>
      </c>
      <c r="H53" s="21" t="s">
        <v>819</v>
      </c>
      <c r="I53" s="13">
        <v>42792.389988425923</v>
      </c>
      <c r="J53" s="7">
        <v>1</v>
      </c>
      <c r="K53" s="98" t="str">
        <f t="shared" si="0"/>
        <v>4011/4012</v>
      </c>
      <c r="L53" s="21" t="str">
        <f>VLOOKUP(A53,'Trips&amp;Operators'!$C$1:$G$99999,5,FALSE)</f>
        <v>SANTIZO D. EDY</v>
      </c>
      <c r="M53" s="6">
        <f t="shared" si="1"/>
        <v>2.5219907402060926E-2</v>
      </c>
      <c r="N53" s="7">
        <f t="shared" si="2"/>
        <v>36.316666658967733</v>
      </c>
      <c r="O53" s="7"/>
      <c r="P53" s="7"/>
      <c r="Q53" s="22"/>
      <c r="R53" s="22"/>
      <c r="S53" s="31">
        <f t="shared" si="3"/>
        <v>1</v>
      </c>
      <c r="T53" s="46" t="str">
        <f t="shared" si="4"/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5"/>
        <v>https://d0f6bd738d7f1b3e5a7ca70fe4ff75f0.us-east-1.aws.found.io/app/kibana#/discover/Steve-Slow-Train-Analysis-(2080s-and-2083s)?_g=(refreshInterval:(display:Off,pause:!f,section:0,value:0),time:(from:'2017-02-26T07:40:07-0700',mode:absolute,to:'2017-02-26T10:21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3" s="187" t="str">
        <f t="shared" si="6"/>
        <v>N</v>
      </c>
      <c r="X53" s="187">
        <f t="shared" si="7"/>
        <v>1</v>
      </c>
      <c r="Y53" s="62">
        <f t="shared" si="8"/>
        <v>4.8000000000000001E-2</v>
      </c>
      <c r="Z53" s="62">
        <f t="shared" si="9"/>
        <v>23.331499999999998</v>
      </c>
      <c r="AA53" s="62">
        <f t="shared" si="10"/>
        <v>23.2835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0141-26</v>
      </c>
      <c r="AE53" s="85" t="str">
        <f t="shared" si="12"/>
        <v>aws s3 cp s3://rtdc.mdm.uploadarchive.raw/RTDC4011/ "%USERPROFILE%\AppData\Local\Temp\OnboardLogs"\RTDC4011\2017-02-26 --exclude "*" --recursive --include "*20170226*" &amp; "%USERPROFILE%\Documents\GitHub\mrs-test-scripts\Headless Mode &amp; Sideloading\WalkAndUnGZ.bat" "%USERPROFILE%\AppData\Local\Temp\OnboardLogs"\RTDC4011\2017-02-26 &amp; aws s3 cp s3://rtdc.mdm.uploadarchive.raw/RTDC4011/ "%USERPROFILE%\AppData\Local\Temp\OnboardLogs"\RTDC4011\2017-02-27 --exclude "*" --recursive --include "*20170227*" &amp; "%USERPROFILE%\Documents\GitHub\mrs-test-scripts\Headless Mode &amp; Sideloading\WalkAndUnGZ.bat" "%USERPROFILE%\AppData\Local\Temp\OnboardLogs"\RTDC4011\2017-02-27</v>
      </c>
      <c r="AF53" s="82" t="str">
        <f t="shared" si="13"/>
        <v>"C:\Program Files (x86)\AstroGrep\AstroGrep.exe" /spath="%USERPROFILE%\AppData\Local\Temp\OnboardLogs" /stypes="app*4011*20170226*"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6" t="str">
        <f t="shared" si="18"/>
        <v>"%USERPROFILE%\Documents\GitHub\eaglep3\Utilities\RefineRTDCRunTimes.py" --tripid 141-26 --locoid 4011 --swversion DE.1.0.9.0 --startMP 204:480 --initTime 2017-02-26T08:40:07 --startdatetime 2017-02-26T08:45:16 --delay 1 --endMP 204:233315 --enddatetime 2017-02-26T09:21:35 --enforcementcount 1 &gt;&gt;C:\Users\stu\Documents\GitHub\eaglep3-reporting\EC\2017-02-26-refined-times.txt</v>
      </c>
      <c r="AI53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{"issue":{"subject":"","project_id":79,"tracker_id":40,"status_id":1,"priority_id":2,"assigned_to_id":23,"start_date":"2017-02-26","description":"","custom_fields":[{"id":1,"name":"Subdivision","value":"EC"},{"id":4,"name":"Milepost","value":"23.3315"},{"id":17,"name":"Train ID","value":"141-26"},{"id":16,"name":"Locomotive ID","value":"4011"},{"id":130,"name":"Impact","value":""},{"id":150,"name":"Time of Event (Mountain Time)","value":"09:21:35"},{"id":151,"name":"Denver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4011 --day 2017-02-26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"%USERPROFILE%\AppData\Local\Temp\OnboardLogs"\RTDC4011\*4011*20170226* | grep -SE "(Enforcement Action)|(\[TIMEOUT)|(CHR.+\|PRM\|1\|D.+(SWITCH|SIGNAL).+UNKNOWN)" - &gt;&gt; 2017-02-26-UncaughtWiMAX.txt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555</v>
      </c>
      <c r="B54" s="7">
        <v>4012</v>
      </c>
      <c r="C54" s="21" t="s">
        <v>285</v>
      </c>
      <c r="D54" s="21" t="s">
        <v>254</v>
      </c>
      <c r="E54" s="13">
        <v>42792.391365740739</v>
      </c>
      <c r="F54" s="13">
        <v>42792.403749999998</v>
      </c>
      <c r="G54" s="7">
        <v>0</v>
      </c>
      <c r="H54" s="21" t="s">
        <v>194</v>
      </c>
      <c r="I54" s="13">
        <v>42792.430694444447</v>
      </c>
      <c r="J54" s="7">
        <v>1</v>
      </c>
      <c r="K54" s="98" t="str">
        <f t="shared" si="0"/>
        <v>4011/4012</v>
      </c>
      <c r="L54" s="21" t="str">
        <f>VLOOKUP(A54,'Trips&amp;Operators'!$C$1:$G$99999,5,FALSE)</f>
        <v>SANTIZO D. EDY</v>
      </c>
      <c r="M54" s="6">
        <f t="shared" si="1"/>
        <v>2.694444444932742E-2</v>
      </c>
      <c r="N54" s="7">
        <f t="shared" si="2"/>
        <v>38.800000007031485</v>
      </c>
      <c r="O54" s="7"/>
      <c r="P54" s="7"/>
      <c r="Q54" s="22"/>
      <c r="R54" s="22"/>
      <c r="S54" s="31">
        <f t="shared" si="3"/>
        <v>1</v>
      </c>
      <c r="T54" s="46" t="str">
        <f t="shared" si="4"/>
        <v>Southbound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5"/>
        <v>https://d0f6bd738d7f1b3e5a7ca70fe4ff75f0.us-east-1.aws.found.io/app/kibana#/discover/Steve-Slow-Train-Analysis-(2080s-and-2083s)?_g=(refreshInterval:(display:Off,pause:!f,section:0,value:0),time:(from:'2017-02-26T08:23:34-0700',mode:absolute,to:'2017-02-26T11:20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4" s="187" t="str">
        <f t="shared" si="6"/>
        <v>N</v>
      </c>
      <c r="X54" s="187">
        <f t="shared" si="7"/>
        <v>1</v>
      </c>
      <c r="Y54" s="62">
        <f t="shared" si="8"/>
        <v>23.299600000000002</v>
      </c>
      <c r="Z54" s="62">
        <f t="shared" si="9"/>
        <v>1.4999999999999999E-2</v>
      </c>
      <c r="AA54" s="62">
        <f t="shared" si="10"/>
        <v>23.284600000000001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0142-26</v>
      </c>
      <c r="AE54" s="85" t="str">
        <f t="shared" si="12"/>
        <v>aws s3 cp s3://rtdc.mdm.uploadarchive.raw/RTDC4012/ "%USERPROFILE%\AppData\Local\Temp\OnboardLogs"\RTDC4012\2017-02-26 --exclude "*" --recursive --include "*20170226*" &amp; "%USERPROFILE%\Documents\GitHub\mrs-test-scripts\Headless Mode &amp; Sideloading\WalkAndUnGZ.bat" "%USERPROFILE%\AppData\Local\Temp\OnboardLogs"\RTDC4012\2017-02-26 &amp; 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</v>
      </c>
      <c r="AF54" s="82" t="str">
        <f t="shared" si="13"/>
        <v>"C:\Program Files (x86)\AstroGrep\AstroGrep.exe" /spath="%USERPROFILE%\AppData\Local\Temp\OnboardLogs" /stypes="app*4012*20170226*" /stext=" 17:.+((SYSTEM_STATE.+slice.+state.+changed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6" t="str">
        <f t="shared" si="18"/>
        <v>"%USERPROFILE%\Documents\GitHub\eaglep3\Utilities\RefineRTDCRunTimes.py" --tripid 142-26 --locoid 4012 --swversion DE.1.0.9.0 --startMP 204:232996 --initTime 2017-02-26T09:23:34 --startdatetime 2017-02-26T09:41:24 --delay 0 --endMP 204:150 --enddatetime 2017-02-26T10:20:12 --enforcementcount 1 &gt;&gt;C:\Users\stu\Documents\GitHub\eaglep3-reporting\EC\2017-02-26-refined-times.txt</v>
      </c>
      <c r="AI54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{"issue":{"subject":"","project_id":79,"tracker_id":40,"status_id":1,"priority_id":2,"assigned_to_id":23,"start_date":"2017-02-26","description":"","custom_fields":[{"id":1,"name":"Subdivision","value":"EC"},{"id":4,"name":"Milepost","value":"0.015"},{"id":17,"name":"Train ID","value":"142-26"},{"id":16,"name":"Locomotive ID","value":"4012"},{"id":130,"name":"Impact","value":""},{"id":150,"name":"Time of Event (Mountain Time)","value":"10:20:12"},{"id":151,"name":"Denver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4012 --day 2017-02-26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"%USERPROFILE%\AppData\Local\Temp\OnboardLogs"\RTDC4012\*4012*20170226* | grep -SE "(Enforcement Action)|(\[TIMEOUT)|(CHR.+\|PRM\|1\|D.+(SWITCH|SIGNAL).+UNKNOWN)" - &gt;&gt; 2017-02-26-UncaughtWiMAX.txt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643</v>
      </c>
      <c r="B55" s="7">
        <v>4027</v>
      </c>
      <c r="C55" s="21" t="s">
        <v>285</v>
      </c>
      <c r="D55" s="21" t="s">
        <v>278</v>
      </c>
      <c r="E55" s="13">
        <v>42792.372129629628</v>
      </c>
      <c r="F55" s="13">
        <v>42792.375185185185</v>
      </c>
      <c r="G55" s="7">
        <v>1</v>
      </c>
      <c r="H55" s="21" t="s">
        <v>293</v>
      </c>
      <c r="I55" s="13">
        <v>42792.401307870372</v>
      </c>
      <c r="J55" s="7">
        <v>1</v>
      </c>
      <c r="K55" s="98" t="str">
        <f t="shared" si="0"/>
        <v>4027/4028</v>
      </c>
      <c r="L55" s="21" t="str">
        <f>VLOOKUP(A55,'Trips&amp;Operators'!$C$1:$G$99999,5,FALSE)</f>
        <v>SHOOK JOHN</v>
      </c>
      <c r="M55" s="6">
        <f t="shared" si="1"/>
        <v>2.6122685187146999E-2</v>
      </c>
      <c r="N55" s="7">
        <f t="shared" si="2"/>
        <v>37.616666669491678</v>
      </c>
      <c r="O55" s="7"/>
      <c r="P55" s="7"/>
      <c r="Q55" s="22"/>
      <c r="R55" s="22"/>
      <c r="S55" s="31">
        <f t="shared" si="3"/>
        <v>1</v>
      </c>
      <c r="T55" s="46" t="str">
        <f t="shared" si="4"/>
        <v>NorthBound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5"/>
        <v>https://d0f6bd738d7f1b3e5a7ca70fe4ff75f0.us-east-1.aws.found.io/app/kibana#/discover/Steve-Slow-Train-Analysis-(2080s-and-2083s)?_g=(refreshInterval:(display:Off,pause:!f,section:0,value:0),time:(from:'2017-02-26T07:55:52-0700',mode:absolute,to:'2017-02-26T10:37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5" s="187" t="str">
        <f t="shared" si="6"/>
        <v>N</v>
      </c>
      <c r="X55" s="187">
        <f t="shared" si="7"/>
        <v>1</v>
      </c>
      <c r="Y55" s="62">
        <f t="shared" si="8"/>
        <v>4.4699999999999997E-2</v>
      </c>
      <c r="Z55" s="62">
        <f t="shared" si="9"/>
        <v>23.328399999999998</v>
      </c>
      <c r="AA55" s="62">
        <f t="shared" si="10"/>
        <v>23.2837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0143-26</v>
      </c>
      <c r="AE55" s="85" t="str">
        <f t="shared" si="12"/>
        <v>aws s3 cp s3://rtdc.mdm.uploadarchive.raw/RTDC4027/ "%USERPROFILE%\AppData\Local\Temp\OnboardLogs"\RTDC4027\2017-02-26 --exclude "*" --recursive --include "*20170226*" &amp; "%USERPROFILE%\Documents\GitHub\mrs-test-scripts\Headless Mode &amp; Sideloading\WalkAndUnGZ.bat" "%USERPROFILE%\AppData\Local\Temp\OnboardLogs"\RTDC4027\2017-02-26 &amp; aws s3 cp s3://rtdc.mdm.uploadarchive.raw/RTDC4027/ "%USERPROFILE%\AppData\Local\Temp\OnboardLogs"\RTDC4027\2017-02-27 --exclude "*" --recursive --include "*20170227*" &amp; "%USERPROFILE%\Documents\GitHub\mrs-test-scripts\Headless Mode &amp; Sideloading\WalkAndUnGZ.bat" "%USERPROFILE%\AppData\Local\Temp\OnboardLogs"\RTDC4027\2017-02-27</v>
      </c>
      <c r="AF55" s="82" t="str">
        <f t="shared" si="13"/>
        <v>"C:\Program Files (x86)\AstroGrep\AstroGrep.exe" /spath="%USERPROFILE%\AppData\Local\Temp\OnboardLogs" /stypes="app*4027*20170226*" /stext=" 16:.+((SYSTEM_STATE.+slice.+state.+changed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6" t="str">
        <f t="shared" si="18"/>
        <v>"%USERPROFILE%\Documents\GitHub\eaglep3\Utilities\RefineRTDCRunTimes.py" --tripid 143-26 --locoid 4027 --swversion DE.1.0.9.0 --startMP 204:447 --initTime 2017-02-26T08:55:52 --startdatetime 2017-02-26T09:00:16 --delay 1 --endMP 204:233284 --enddatetime 2017-02-26T09:37:53 --enforcementcount 1 &gt;&gt;C:\Users\stu\Documents\GitHub\eaglep3-reporting\EC\2017-02-26-refined-times.txt</v>
      </c>
      <c r="AI55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{"issue":{"subject":"","project_id":79,"tracker_id":40,"status_id":1,"priority_id":2,"assigned_to_id":23,"start_date":"2017-02-26","description":"","custom_fields":[{"id":1,"name":"Subdivision","value":"EC"},{"id":4,"name":"Milepost","value":"23.3284"},{"id":17,"name":"Train ID","value":"143-26"},{"id":16,"name":"Locomotive ID","value":"4027"},{"id":130,"name":"Impact","value":""},{"id":150,"name":"Time of Event (Mountain Time)","value":"09:37:53"},{"id":151,"name":"Denver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4027 --day 2017-02-26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"%USERPROFILE%\AppData\Local\Temp\OnboardLogs"\RTDC4027\*4027*20170226* | grep -SE "(Enforcement Action)|(\[TIMEOUT)|(CHR.+\|PRM\|1\|D.+(SWITCH|SIGNAL).+UNKNOWN)" - &gt;&gt; 2017-02-26-UncaughtWiMAX.txt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554</v>
      </c>
      <c r="B56" s="7">
        <v>4028</v>
      </c>
      <c r="C56" s="21" t="s">
        <v>285</v>
      </c>
      <c r="D56" s="21" t="s">
        <v>307</v>
      </c>
      <c r="E56" s="13">
        <v>42792.404826388891</v>
      </c>
      <c r="F56" s="13">
        <v>42792.414085648146</v>
      </c>
      <c r="G56" s="7">
        <v>1</v>
      </c>
      <c r="H56" s="21" t="s">
        <v>223</v>
      </c>
      <c r="I56" s="13">
        <v>42792.444849537038</v>
      </c>
      <c r="J56" s="7">
        <v>1</v>
      </c>
      <c r="K56" s="98" t="str">
        <f t="shared" si="0"/>
        <v>4027/4028</v>
      </c>
      <c r="L56" s="21" t="str">
        <f>VLOOKUP(A56,'Trips&amp;Operators'!$C$1:$G$99999,5,FALSE)</f>
        <v>SHOOK JOHN</v>
      </c>
      <c r="M56" s="6">
        <f t="shared" si="1"/>
        <v>3.0763888891669922E-2</v>
      </c>
      <c r="N56" s="7">
        <f t="shared" si="2"/>
        <v>44.300000004004687</v>
      </c>
      <c r="O56" s="7"/>
      <c r="P56" s="7"/>
      <c r="Q56" s="22"/>
      <c r="R56" s="22"/>
      <c r="S56" s="31">
        <f t="shared" si="3"/>
        <v>1</v>
      </c>
      <c r="T56" s="46" t="str">
        <f t="shared" si="4"/>
        <v>Southbound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5"/>
        <v>https://d0f6bd738d7f1b3e5a7ca70fe4ff75f0.us-east-1.aws.found.io/app/kibana#/discover/Steve-Slow-Train-Analysis-(2080s-and-2083s)?_g=(refreshInterval:(display:Off,pause:!f,section:0,value:0),time:(from:'2017-02-26T08:42:57-0700',mode:absolute,to:'2017-02-26T11:40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6" s="187" t="str">
        <f t="shared" si="6"/>
        <v>N</v>
      </c>
      <c r="X56" s="187">
        <f t="shared" si="7"/>
        <v>1</v>
      </c>
      <c r="Y56" s="62">
        <f t="shared" si="8"/>
        <v>23.299199999999999</v>
      </c>
      <c r="Z56" s="62">
        <f t="shared" si="9"/>
        <v>1.43E-2</v>
      </c>
      <c r="AA56" s="62">
        <f t="shared" si="10"/>
        <v>23.2849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0144-26</v>
      </c>
      <c r="AE56" s="85" t="str">
        <f t="shared" si="12"/>
        <v>aws s3 cp s3://rtdc.mdm.uploadarchive.raw/RTDC4028/ "%USERPROFILE%\AppData\Local\Temp\OnboardLogs"\RTDC4028\2017-02-26 --exclude "*" --recursive --include "*20170226*" &amp; "%USERPROFILE%\Documents\GitHub\mrs-test-scripts\Headless Mode &amp; Sideloading\WalkAndUnGZ.bat" "%USERPROFILE%\AppData\Local\Temp\OnboardLogs"\RTDC4028\2017-02-26 &amp; aws s3 cp s3://rtdc.mdm.uploadarchive.raw/RTDC4028/ "%USERPROFILE%\AppData\Local\Temp\OnboardLogs"\RTDC4028\2017-02-27 --exclude "*" --recursive --include "*20170227*" &amp; "%USERPROFILE%\Documents\GitHub\mrs-test-scripts\Headless Mode &amp; Sideloading\WalkAndUnGZ.bat" "%USERPROFILE%\AppData\Local\Temp\OnboardLogs"\RTDC4028\2017-02-27</v>
      </c>
      <c r="AF56" s="82" t="str">
        <f t="shared" si="13"/>
        <v>"C:\Program Files (x86)\AstroGrep\AstroGrep.exe" /spath="%USERPROFILE%\AppData\Local\Temp\OnboardLogs" /stypes="app*4028*20170226*" /stext=" 17:.+((SYSTEM_STATE.+slice.+state.+changed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6" t="str">
        <f t="shared" si="18"/>
        <v>"%USERPROFILE%\Documents\GitHub\eaglep3\Utilities\RefineRTDCRunTimes.py" --tripid 144-26 --locoid 4028 --swversion DE.1.0.9.0 --startMP 204:232992 --initTime 2017-02-26T09:42:57 --startdatetime 2017-02-26T09:56:17 --delay 1 --endMP 204:143 --enddatetime 2017-02-26T10:40:35 --enforcementcount 1 &gt;&gt;C:\Users\stu\Documents\GitHub\eaglep3-reporting\EC\2017-02-26-refined-times.txt</v>
      </c>
      <c r="AI56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{"issue":{"subject":"","project_id":79,"tracker_id":40,"status_id":1,"priority_id":2,"assigned_to_id":23,"start_date":"2017-02-26","description":"","custom_fields":[{"id":1,"name":"Subdivision","value":"EC"},{"id":4,"name":"Milepost","value":"0.0143"},{"id":17,"name":"Train ID","value":"144-26"},{"id":16,"name":"Locomotive ID","value":"4028"},{"id":130,"name":"Impact","value":""},{"id":150,"name":"Time of Event (Mountain Time)","value":"10:40:35"},{"id":151,"name":"Denver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4028 --day 2017-02-26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"%USERPROFILE%\AppData\Local\Temp\OnboardLogs"\RTDC4028\*4028*20170226* | grep -SE "(Enforcement Action)|(\[TIMEOUT)|(CHR.+\|PRM\|1\|D.+(SWITCH|SIGNAL).+UNKNOWN)" - &gt;&gt; 2017-02-26-UncaughtWiMAX.txt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645</v>
      </c>
      <c r="B57" s="7">
        <v>4018</v>
      </c>
      <c r="C57" s="21" t="s">
        <v>285</v>
      </c>
      <c r="D57" s="21" t="s">
        <v>279</v>
      </c>
      <c r="E57" s="13">
        <v>42792.382002314815</v>
      </c>
      <c r="F57" s="13">
        <v>42792.385694444441</v>
      </c>
      <c r="G57" s="7">
        <v>1</v>
      </c>
      <c r="H57" s="21" t="s">
        <v>296</v>
      </c>
      <c r="I57" s="13">
        <v>42792.410902777781</v>
      </c>
      <c r="J57" s="7">
        <v>1</v>
      </c>
      <c r="K57" s="98" t="str">
        <f t="shared" si="0"/>
        <v>4017/4018</v>
      </c>
      <c r="L57" s="21" t="str">
        <f>VLOOKUP(A57,'Trips&amp;Operators'!$C$1:$G$99999,5,FALSE)</f>
        <v>MAELZER KURT</v>
      </c>
      <c r="M57" s="6">
        <f t="shared" si="1"/>
        <v>2.5208333339833189E-2</v>
      </c>
      <c r="N57" s="7">
        <f t="shared" si="2"/>
        <v>36.300000009359792</v>
      </c>
      <c r="O57" s="7"/>
      <c r="P57" s="7"/>
      <c r="Q57" s="22"/>
      <c r="R57" s="22"/>
      <c r="S57" s="31">
        <f t="shared" si="3"/>
        <v>1</v>
      </c>
      <c r="T57" s="46" t="str">
        <f t="shared" si="4"/>
        <v>NorthBound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5"/>
        <v>https://d0f6bd738d7f1b3e5a7ca70fe4ff75f0.us-east-1.aws.found.io/app/kibana#/discover/Steve-Slow-Train-Analysis-(2080s-and-2083s)?_g=(refreshInterval:(display:Off,pause:!f,section:0,value:0),time:(from:'2017-02-26T08:10:05-0700',mode:absolute,to:'2017-02-26T10:51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7" s="187" t="str">
        <f t="shared" si="6"/>
        <v>N</v>
      </c>
      <c r="X57" s="187">
        <f t="shared" si="7"/>
        <v>1</v>
      </c>
      <c r="Y57" s="62">
        <f t="shared" si="8"/>
        <v>4.6600000000000003E-2</v>
      </c>
      <c r="Z57" s="62">
        <f t="shared" si="9"/>
        <v>23.331399999999999</v>
      </c>
      <c r="AA57" s="62">
        <f t="shared" si="10"/>
        <v>23.284799999999997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0145-26</v>
      </c>
      <c r="AE57" s="85" t="str">
        <f t="shared" si="12"/>
        <v>aws s3 cp s3://rtdc.mdm.uploadarchive.raw/RTDC4018/ "%USERPROFILE%\AppData\Local\Temp\OnboardLogs"\RTDC4018\2017-02-26 --exclude "*" --recursive --include "*20170226*" &amp; "%USERPROFILE%\Documents\GitHub\mrs-test-scripts\Headless Mode &amp; Sideloading\WalkAndUnGZ.bat" "%USERPROFILE%\AppData\Local\Temp\OnboardLogs"\RTDC4018\2017-02-26 &amp; aws s3 cp s3://rtdc.mdm.uploadarchive.raw/RTDC4018/ "%USERPROFILE%\AppData\Local\Temp\OnboardLogs"\RTDC4018\2017-02-27 --exclude "*" --recursive --include "*20170227*" &amp; "%USERPROFILE%\Documents\GitHub\mrs-test-scripts\Headless Mode &amp; Sideloading\WalkAndUnGZ.bat" "%USERPROFILE%\AppData\Local\Temp\OnboardLogs"\RTDC4018\2017-02-27</v>
      </c>
      <c r="AF57" s="82" t="str">
        <f t="shared" si="13"/>
        <v>"C:\Program Files (x86)\AstroGrep\AstroGrep.exe" /spath="%USERPROFILE%\AppData\Local\Temp\OnboardLogs" /stypes="app*4018*20170226*" /stext=" 16:.+((SYSTEM_STATE.+slice.+state.+changed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6" t="str">
        <f t="shared" si="18"/>
        <v>"%USERPROFILE%\Documents\GitHub\eaglep3\Utilities\RefineRTDCRunTimes.py" --tripid 145-26 --locoid 4018 --swversion DE.1.0.9.0 --startMP 204:466 --initTime 2017-02-26T09:10:05 --startdatetime 2017-02-26T09:15:24 --delay 1 --endMP 204:233314 --enddatetime 2017-02-26T09:51:42 --enforcementcount 1 &gt;&gt;C:\Users\stu\Documents\GitHub\eaglep3-reporting\EC\2017-02-26-refined-times.txt</v>
      </c>
      <c r="AI57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{"issue":{"subject":"","project_id":79,"tracker_id":40,"status_id":1,"priority_id":2,"assigned_to_id":23,"start_date":"2017-02-26","description":"","custom_fields":[{"id":1,"name":"Subdivision","value":"EC"},{"id":4,"name":"Milepost","value":"23.3314"},{"id":17,"name":"Train ID","value":"145-26"},{"id":16,"name":"Locomotive ID","value":"4018"},{"id":130,"name":"Impact","value":""},{"id":150,"name":"Time of Event (Mountain Time)","value":"09:51:42"},{"id":151,"name":"Denver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4018 --day 2017-02-26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"%USERPROFILE%\AppData\Local\Temp\OnboardLogs"\RTDC4018\*4018*20170226* | grep -SE "(Enforcement Action)|(\[TIMEOUT)|(CHR.+\|PRM\|1\|D.+(SWITCH|SIGNAL).+UNKNOWN)" - &gt;&gt; 2017-02-26-UncaughtWiMAX.txt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652</v>
      </c>
      <c r="B58" s="7">
        <v>4017</v>
      </c>
      <c r="C58" s="21" t="s">
        <v>285</v>
      </c>
      <c r="D58" s="21" t="s">
        <v>289</v>
      </c>
      <c r="E58" s="13">
        <v>42792.418692129628</v>
      </c>
      <c r="F58" s="13">
        <v>42792.424583333333</v>
      </c>
      <c r="G58" s="7">
        <v>1</v>
      </c>
      <c r="H58" s="21" t="s">
        <v>196</v>
      </c>
      <c r="I58" s="13">
        <v>42792.452430555553</v>
      </c>
      <c r="J58" s="7">
        <v>1</v>
      </c>
      <c r="K58" s="98" t="str">
        <f t="shared" si="0"/>
        <v>4017/4018</v>
      </c>
      <c r="L58" s="21" t="str">
        <f>VLOOKUP(A58,'Trips&amp;Operators'!$C$1:$G$99999,5,FALSE)</f>
        <v>MAELZER KURT</v>
      </c>
      <c r="M58" s="6">
        <f t="shared" si="1"/>
        <v>2.7847222219861578E-2</v>
      </c>
      <c r="N58" s="7">
        <f t="shared" si="2"/>
        <v>40.099999996600673</v>
      </c>
      <c r="O58" s="7"/>
      <c r="P58" s="7"/>
      <c r="Q58" s="22"/>
      <c r="R58" s="22"/>
      <c r="S58" s="31">
        <f t="shared" si="3"/>
        <v>1</v>
      </c>
      <c r="T58" s="46" t="str">
        <f t="shared" si="4"/>
        <v>Southbound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5"/>
        <v>https://d0f6bd738d7f1b3e5a7ca70fe4ff75f0.us-east-1.aws.found.io/app/kibana#/discover/Steve-Slow-Train-Analysis-(2080s-and-2083s)?_g=(refreshInterval:(display:Off,pause:!f,section:0,value:0),time:(from:'2017-02-26T09:02:55-0700',mode:absolute,to:'2017-02-26T11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8" s="187" t="str">
        <f t="shared" si="6"/>
        <v>N</v>
      </c>
      <c r="X58" s="187">
        <f t="shared" si="7"/>
        <v>1</v>
      </c>
      <c r="Y58" s="62">
        <f t="shared" si="8"/>
        <v>23.299399999999999</v>
      </c>
      <c r="Z58" s="62">
        <f t="shared" si="9"/>
        <v>1.4500000000000001E-2</v>
      </c>
      <c r="AA58" s="62">
        <f t="shared" si="10"/>
        <v>23.284899999999997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0146-26</v>
      </c>
      <c r="AE58" s="85" t="str">
        <f t="shared" si="12"/>
        <v>aws s3 cp s3://rtdc.mdm.uploadarchive.raw/RTDC4017/ "%USERPROFILE%\AppData\Local\Temp\OnboardLogs"\RTDC4017\2017-02-26 --exclude "*" --recursive --include "*20170226*" &amp; "%USERPROFILE%\Documents\GitHub\mrs-test-scripts\Headless Mode &amp; Sideloading\WalkAndUnGZ.bat" "%USERPROFILE%\AppData\Local\Temp\OnboardLogs"\RTDC4017\2017-02-26 &amp; aws s3 cp s3://rtdc.mdm.uploadarchive.raw/RTDC4017/ "%USERPROFILE%\AppData\Local\Temp\OnboardLogs"\RTDC4017\2017-02-27 --exclude "*" --recursive --include "*20170227*" &amp; "%USERPROFILE%\Documents\GitHub\mrs-test-scripts\Headless Mode &amp; Sideloading\WalkAndUnGZ.bat" "%USERPROFILE%\AppData\Local\Temp\OnboardLogs"\RTDC4017\2017-02-27</v>
      </c>
      <c r="AF58" s="82" t="str">
        <f t="shared" si="13"/>
        <v>"C:\Program Files (x86)\AstroGrep\AstroGrep.exe" /spath="%USERPROFILE%\AppData\Local\Temp\OnboardLogs" /stypes="app*4017*20170226*"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6" t="str">
        <f t="shared" si="18"/>
        <v>"%USERPROFILE%\Documents\GitHub\eaglep3\Utilities\RefineRTDCRunTimes.py" --tripid 146-26 --locoid 4017 --swversion DE.1.0.9.0 --startMP 204:232994 --initTime 2017-02-26T10:02:55 --startdatetime 2017-02-26T10:11:24 --delay 1 --endMP 204:145 --enddatetime 2017-02-26T10:51:30 --enforcementcount 1 &gt;&gt;C:\Users\stu\Documents\GitHub\eaglep3-reporting\EC\2017-02-26-refined-times.txt</v>
      </c>
      <c r="AI58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{"issue":{"subject":"","project_id":79,"tracker_id":40,"status_id":1,"priority_id":2,"assigned_to_id":23,"start_date":"2017-02-26","description":"","custom_fields":[{"id":1,"name":"Subdivision","value":"EC"},{"id":4,"name":"Milepost","value":"0.0145"},{"id":17,"name":"Train ID","value":"146-26"},{"id":16,"name":"Locomotive ID","value":"4017"},{"id":130,"name":"Impact","value":""},{"id":150,"name":"Time of Event (Mountain Time)","value":"10:51:30"},{"id":151,"name":"Denver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4017 --day 2017-02-26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"%USERPROFILE%\AppData\Local\Temp\OnboardLogs"\RTDC4017\*4017*20170226* | grep -SE "(Enforcement Action)|(\[TIMEOUT)|(CHR.+\|PRM\|1\|D.+(SWITCH|SIGNAL).+UNKNOWN)" - &gt;&gt; 2017-02-26-UncaughtWiMAX.txt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647</v>
      </c>
      <c r="B59" s="7">
        <v>4025</v>
      </c>
      <c r="C59" s="21" t="s">
        <v>285</v>
      </c>
      <c r="D59" s="21" t="s">
        <v>238</v>
      </c>
      <c r="E59" s="13">
        <v>42792.394155092596</v>
      </c>
      <c r="F59" s="13">
        <v>42792.396319444444</v>
      </c>
      <c r="G59" s="7">
        <v>1</v>
      </c>
      <c r="H59" s="21" t="s">
        <v>820</v>
      </c>
      <c r="I59" s="13">
        <v>42792.423032407409</v>
      </c>
      <c r="J59" s="7">
        <v>1</v>
      </c>
      <c r="K59" s="98" t="str">
        <f t="shared" si="0"/>
        <v>4025/4026</v>
      </c>
      <c r="L59" s="21" t="str">
        <f>VLOOKUP(A59,'Trips&amp;Operators'!$C$1:$G$99999,5,FALSE)</f>
        <v>ARVIDSON DANIEL</v>
      </c>
      <c r="M59" s="6">
        <f t="shared" si="1"/>
        <v>2.6712962964666076E-2</v>
      </c>
      <c r="N59" s="7">
        <f t="shared" si="2"/>
        <v>38.466666669119149</v>
      </c>
      <c r="O59" s="7"/>
      <c r="P59" s="7"/>
      <c r="Q59" s="22"/>
      <c r="R59" s="22"/>
      <c r="S59" s="31">
        <f t="shared" si="3"/>
        <v>1</v>
      </c>
      <c r="T59" s="46" t="str">
        <f t="shared" si="4"/>
        <v>NorthBound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5"/>
        <v>https://d0f6bd738d7f1b3e5a7ca70fe4ff75f0.us-east-1.aws.found.io/app/kibana#/discover/Steve-Slow-Train-Analysis-(2080s-and-2083s)?_g=(refreshInterval:(display:Off,pause:!f,section:0,value:0),time:(from:'2017-02-26T08:27:35-0700',mode:absolute,to:'2017-02-26T11:09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9" s="187" t="str">
        <f t="shared" si="6"/>
        <v>N</v>
      </c>
      <c r="X59" s="187">
        <f t="shared" si="7"/>
        <v>1</v>
      </c>
      <c r="Y59" s="62">
        <f t="shared" si="8"/>
        <v>4.53E-2</v>
      </c>
      <c r="Z59" s="62">
        <f t="shared" si="9"/>
        <v>23.3339</v>
      </c>
      <c r="AA59" s="62">
        <f t="shared" si="10"/>
        <v>23.288599999999999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0147-26</v>
      </c>
      <c r="AE59" s="85" t="str">
        <f t="shared" si="12"/>
        <v>aws s3 cp s3://rtdc.mdm.uploadarchive.raw/RTDC4025/ "%USERPROFILE%\AppData\Local\Temp\OnboardLogs"\RTDC4025\2017-02-26 --exclude "*" --recursive --include "*20170226*" &amp; "%USERPROFILE%\Documents\GitHub\mrs-test-scripts\Headless Mode &amp; Sideloading\WalkAndUnGZ.bat" "%USERPROFILE%\AppData\Local\Temp\OnboardLogs"\RTDC4025\2017-02-26 &amp; aws s3 cp s3://rtdc.mdm.uploadarchive.raw/RTDC4025/ "%USERPROFILE%\AppData\Local\Temp\OnboardLogs"\RTDC4025\2017-02-27 --exclude "*" --recursive --include "*20170227*" &amp; "%USERPROFILE%\Documents\GitHub\mrs-test-scripts\Headless Mode &amp; Sideloading\WalkAndUnGZ.bat" "%USERPROFILE%\AppData\Local\Temp\OnboardLogs"\RTDC4025\2017-02-27</v>
      </c>
      <c r="AF59" s="82" t="str">
        <f t="shared" si="13"/>
        <v>"C:\Program Files (x86)\AstroGrep\AstroGrep.exe" /spath="%USERPROFILE%\AppData\Local\Temp\OnboardLogs" /stypes="app*4025*20170226*"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6" t="str">
        <f t="shared" si="18"/>
        <v>"%USERPROFILE%\Documents\GitHub\eaglep3\Utilities\RefineRTDCRunTimes.py" --tripid 147-26 --locoid 4025 --swversion DE.1.0.9.0 --startMP 204:453 --initTime 2017-02-26T09:27:35 --startdatetime 2017-02-26T09:30:42 --delay 1 --endMP 204:233339 --enddatetime 2017-02-26T10:09:10 --enforcementcount 1 &gt;&gt;C:\Users\stu\Documents\GitHub\eaglep3-reporting\EC\2017-02-26-refined-times.txt</v>
      </c>
      <c r="AI59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{"issue":{"subject":"","project_id":79,"tracker_id":40,"status_id":1,"priority_id":2,"assigned_to_id":23,"start_date":"2017-02-26","description":"","custom_fields":[{"id":1,"name":"Subdivision","value":"EC"},{"id":4,"name":"Milepost","value":"23.3339"},{"id":17,"name":"Train ID","value":"147-26"},{"id":16,"name":"Locomotive ID","value":"4025"},{"id":130,"name":"Impact","value":""},{"id":150,"name":"Time of Event (Mountain Time)","value":"10:09:10"},{"id":151,"name":"Denver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4025 --day 2017-02-26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"%USERPROFILE%\AppData\Local\Temp\OnboardLogs"\RTDC4025\*4025*20170226* | grep -SE "(Enforcement Action)|(\[TIMEOUT)|(CHR.+\|PRM\|1\|D.+(SWITCH|SIGNAL).+UNKNOWN)" - &gt;&gt; 2017-02-26-UncaughtWiMAX.txt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654</v>
      </c>
      <c r="B60" s="7">
        <v>4026</v>
      </c>
      <c r="C60" s="21" t="s">
        <v>285</v>
      </c>
      <c r="D60" s="21" t="s">
        <v>821</v>
      </c>
      <c r="E60" s="13">
        <v>42792.43304398148</v>
      </c>
      <c r="F60" s="13">
        <v>42792.435081018521</v>
      </c>
      <c r="G60" s="7">
        <v>1</v>
      </c>
      <c r="H60" s="21" t="s">
        <v>822</v>
      </c>
      <c r="I60" s="13">
        <v>42792.464618055557</v>
      </c>
      <c r="J60" s="7">
        <v>1</v>
      </c>
      <c r="K60" s="98" t="str">
        <f t="shared" si="0"/>
        <v>4025/4026</v>
      </c>
      <c r="L60" s="21" t="str">
        <f>VLOOKUP(A60,'Trips&amp;Operators'!$C$1:$G$99999,5,FALSE)</f>
        <v>ARVIDSON DANIEL</v>
      </c>
      <c r="M60" s="6">
        <f t="shared" si="1"/>
        <v>2.9537037036789116E-2</v>
      </c>
      <c r="N60" s="7">
        <f t="shared" si="2"/>
        <v>42.533333332976326</v>
      </c>
      <c r="O60" s="7"/>
      <c r="P60" s="7"/>
      <c r="Q60" s="22"/>
      <c r="R60" s="22"/>
      <c r="S60" s="31">
        <f t="shared" si="3"/>
        <v>1</v>
      </c>
      <c r="T60" s="46" t="str">
        <f t="shared" si="4"/>
        <v>Southbound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5"/>
        <v>https://d0f6bd738d7f1b3e5a7ca70fe4ff75f0.us-east-1.aws.found.io/app/kibana#/discover/Steve-Slow-Train-Analysis-(2080s-and-2083s)?_g=(refreshInterval:(display:Off,pause:!f,section:0,value:0),time:(from:'2017-02-26T09:23:35-0700',mode:absolute,to:'2017-02-26T12:09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0" s="187" t="str">
        <f t="shared" si="6"/>
        <v>N</v>
      </c>
      <c r="X60" s="187">
        <f t="shared" si="7"/>
        <v>1</v>
      </c>
      <c r="Y60" s="62">
        <f t="shared" si="8"/>
        <v>23.3005</v>
      </c>
      <c r="Z60" s="62">
        <f t="shared" si="9"/>
        <v>1.18E-2</v>
      </c>
      <c r="AA60" s="62">
        <f t="shared" si="10"/>
        <v>23.288699999999999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0148-26</v>
      </c>
      <c r="AE60" s="85" t="str">
        <f t="shared" si="12"/>
        <v>aws s3 cp s3://rtdc.mdm.uploadarchive.raw/RTDC4026/ "%USERPROFILE%\AppData\Local\Temp\OnboardLogs"\RTDC4026\2017-02-26 --exclude "*" --recursive --include "*20170226*" &amp; "%USERPROFILE%\Documents\GitHub\mrs-test-scripts\Headless Mode &amp; Sideloading\WalkAndUnGZ.bat" "%USERPROFILE%\AppData\Local\Temp\OnboardLogs"\RTDC4026\2017-02-26 &amp; aws s3 cp s3://rtdc.mdm.uploadarchive.raw/RTDC4026/ "%USERPROFILE%\AppData\Local\Temp\OnboardLogs"\RTDC4026\2017-02-27 --exclude "*" --recursive --include "*20170227*" &amp; "%USERPROFILE%\Documents\GitHub\mrs-test-scripts\Headless Mode &amp; Sideloading\WalkAndUnGZ.bat" "%USERPROFILE%\AppData\Local\Temp\OnboardLogs"\RTDC4026\2017-02-27</v>
      </c>
      <c r="AF60" s="82" t="str">
        <f t="shared" si="13"/>
        <v>"C:\Program Files (x86)\AstroGrep\AstroGrep.exe" /spath="%USERPROFILE%\AppData\Local\Temp\OnboardLogs" /stypes="app*4026*20170226*" /stext=" 18:.+((SYSTEM_STATE.+slice.+state.+changed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6" t="str">
        <f t="shared" si="18"/>
        <v>"%USERPROFILE%\Documents\GitHub\eaglep3\Utilities\RefineRTDCRunTimes.py" --tripid 148-26 --locoid 4026 --swversion DE.1.0.9.0 --startMP 204:233005 --initTime 2017-02-26T10:23:35 --startdatetime 2017-02-26T10:26:31 --delay 1 --endMP 204:118 --enddatetime 2017-02-26T11:09:03 --enforcementcount 1 &gt;&gt;C:\Users\stu\Documents\GitHub\eaglep3-reporting\EC\2017-02-26-refined-times.txt</v>
      </c>
      <c r="AI60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{"issue":{"subject":"","project_id":79,"tracker_id":40,"status_id":1,"priority_id":2,"assigned_to_id":23,"start_date":"2017-02-26","description":"","custom_fields":[{"id":1,"name":"Subdivision","value":"EC"},{"id":4,"name":"Milepost","value":"0.0118"},{"id":17,"name":"Train ID","value":"148-26"},{"id":16,"name":"Locomotive ID","value":"4026"},{"id":130,"name":"Impact","value":""},{"id":150,"name":"Time of Event (Mountain Time)","value":"11:09:03"},{"id":151,"name":"Denver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4026 --day 2017-02-26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"%USERPROFILE%\AppData\Local\Temp\OnboardLogs"\RTDC4026\*4026*20170226* | grep -SE "(Enforcement Action)|(\[TIMEOUT)|(CHR.+\|PRM\|1\|D.+(SWITCH|SIGNAL).+UNKNOWN)" - &gt;&gt; 2017-02-26-UncaughtWiMAX.txt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649</v>
      </c>
      <c r="B61" s="7">
        <v>4029</v>
      </c>
      <c r="C61" s="21" t="s">
        <v>285</v>
      </c>
      <c r="D61" s="21" t="s">
        <v>238</v>
      </c>
      <c r="E61" s="13">
        <v>42792.40384259259</v>
      </c>
      <c r="F61" s="13">
        <v>42792.406574074077</v>
      </c>
      <c r="G61" s="7">
        <v>1</v>
      </c>
      <c r="H61" s="21" t="s">
        <v>823</v>
      </c>
      <c r="I61" s="13">
        <v>42792.433055555557</v>
      </c>
      <c r="J61" s="7">
        <v>1</v>
      </c>
      <c r="K61" s="98" t="str">
        <f t="shared" si="0"/>
        <v>4029/4030</v>
      </c>
      <c r="L61" s="21" t="str">
        <f>VLOOKUP(A61,'Trips&amp;Operators'!$C$1:$G$99999,5,FALSE)</f>
        <v>BRANDNER MELINDA</v>
      </c>
      <c r="M61" s="6">
        <f t="shared" si="1"/>
        <v>2.6481481480004732E-2</v>
      </c>
      <c r="N61" s="7">
        <f t="shared" si="2"/>
        <v>38.133333331206813</v>
      </c>
      <c r="O61" s="7"/>
      <c r="P61" s="7"/>
      <c r="Q61" s="22"/>
      <c r="R61" s="22"/>
      <c r="S61" s="31">
        <f t="shared" si="3"/>
        <v>1</v>
      </c>
      <c r="T61" s="46" t="str">
        <f t="shared" si="4"/>
        <v>NorthBound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5"/>
        <v>https://d0f6bd738d7f1b3e5a7ca70fe4ff75f0.us-east-1.aws.found.io/app/kibana#/discover/Steve-Slow-Train-Analysis-(2080s-and-2083s)?_g=(refreshInterval:(display:Off,pause:!f,section:0,value:0),time:(from:'2017-02-26T08:41:32-0700',mode:absolute,to:'2017-02-26T11:23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1" s="187" t="str">
        <f t="shared" si="6"/>
        <v>N</v>
      </c>
      <c r="X61" s="187">
        <f t="shared" si="7"/>
        <v>1</v>
      </c>
      <c r="Y61" s="62">
        <f t="shared" si="8"/>
        <v>4.53E-2</v>
      </c>
      <c r="Z61" s="62">
        <f t="shared" si="9"/>
        <v>23.319800000000001</v>
      </c>
      <c r="AA61" s="62">
        <f t="shared" si="10"/>
        <v>23.2745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0149-26</v>
      </c>
      <c r="AE61" s="85" t="str">
        <f t="shared" si="12"/>
        <v>aws s3 cp s3://rtdc.mdm.uploadarchive.raw/RTDC4029/ "%USERPROFILE%\AppData\Local\Temp\OnboardLogs"\RTDC4029\2017-02-26 --exclude "*" --recursive --include "*20170226*" &amp; "%USERPROFILE%\Documents\GitHub\mrs-test-scripts\Headless Mode &amp; Sideloading\WalkAndUnGZ.bat" "%USERPROFILE%\AppData\Local\Temp\OnboardLogs"\RTDC4029\2017-02-26 &amp; aws s3 cp s3://rtdc.mdm.uploadarchive.raw/RTDC4029/ "%USERPROFILE%\AppData\Local\Temp\OnboardLogs"\RTDC4029\2017-02-27 --exclude "*" --recursive --include "*20170227*" &amp; "%USERPROFILE%\Documents\GitHub\mrs-test-scripts\Headless Mode &amp; Sideloading\WalkAndUnGZ.bat" "%USERPROFILE%\AppData\Local\Temp\OnboardLogs"\RTDC4029\2017-02-27</v>
      </c>
      <c r="AF61" s="82" t="str">
        <f t="shared" si="13"/>
        <v>"C:\Program Files (x86)\AstroGrep\AstroGrep.exe" /spath="%USERPROFILE%\AppData\Local\Temp\OnboardLogs" /stypes="app*4029*20170226*"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6" t="str">
        <f t="shared" si="18"/>
        <v>"%USERPROFILE%\Documents\GitHub\eaglep3\Utilities\RefineRTDCRunTimes.py" --tripid 149-26 --locoid 4029 --swversion DE.1.0.9.0 --startMP 204:453 --initTime 2017-02-26T09:41:32 --startdatetime 2017-02-26T09:45:28 --delay 1 --endMP 204:233198 --enddatetime 2017-02-26T10:23:36 --enforcementcount 1 &gt;&gt;C:\Users\stu\Documents\GitHub\eaglep3-reporting\EC\2017-02-26-refined-times.txt</v>
      </c>
      <c r="AI61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{"issue":{"subject":"","project_id":79,"tracker_id":40,"status_id":1,"priority_id":2,"assigned_to_id":23,"start_date":"2017-02-26","description":"","custom_fields":[{"id":1,"name":"Subdivision","value":"EC"},{"id":4,"name":"Milepost","value":"23.3198"},{"id":17,"name":"Train ID","value":"149-26"},{"id":16,"name":"Locomotive ID","value":"4029"},{"id":130,"name":"Impact","value":""},{"id":150,"name":"Time of Event (Mountain Time)","value":"10:23:36"},{"id":151,"name":"Denver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4029 --day 2017-02-26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"%USERPROFILE%\AppData\Local\Temp\OnboardLogs"\RTDC4029\*4029*20170226* | grep -SE "(Enforcement Action)|(\[TIMEOUT)|(CHR.+\|PRM\|1\|D.+(SWITCH|SIGNAL).+UNKNOWN)" - &gt;&gt; 2017-02-26-UncaughtWiMAX.txt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558</v>
      </c>
      <c r="B62" s="7">
        <v>4030</v>
      </c>
      <c r="C62" s="21" t="s">
        <v>285</v>
      </c>
      <c r="D62" s="21" t="s">
        <v>824</v>
      </c>
      <c r="E62" s="13">
        <v>42792.440879629627</v>
      </c>
      <c r="F62" s="13">
        <v>42792.445300925923</v>
      </c>
      <c r="G62" s="7">
        <v>1</v>
      </c>
      <c r="H62" s="21" t="s">
        <v>825</v>
      </c>
      <c r="I62" s="13">
        <v>42792.474641203706</v>
      </c>
      <c r="J62" s="7">
        <v>1</v>
      </c>
      <c r="K62" s="98" t="str">
        <f t="shared" si="0"/>
        <v>4029/4030</v>
      </c>
      <c r="L62" s="21" t="str">
        <f>VLOOKUP(A62,'Trips&amp;Operators'!$C$1:$G$99999,5,FALSE)</f>
        <v>BRANDNER MELINDA</v>
      </c>
      <c r="M62" s="6">
        <f t="shared" si="1"/>
        <v>2.9340277782466728E-2</v>
      </c>
      <c r="N62" s="7">
        <f t="shared" si="2"/>
        <v>42.250000006752089</v>
      </c>
      <c r="O62" s="7"/>
      <c r="P62" s="7"/>
      <c r="Q62" s="22"/>
      <c r="R62" s="22"/>
      <c r="S62" s="31">
        <f t="shared" si="3"/>
        <v>1</v>
      </c>
      <c r="T62" s="46" t="str">
        <f t="shared" si="4"/>
        <v>Southbound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5"/>
        <v>https://d0f6bd738d7f1b3e5a7ca70fe4ff75f0.us-east-1.aws.found.io/app/kibana#/discover/Steve-Slow-Train-Analysis-(2080s-and-2083s)?_g=(refreshInterval:(display:Off,pause:!f,section:0,value:0),time:(from:'2017-02-26T09:34:52-0700',mode:absolute,to:'2017-02-26T12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2" s="187" t="str">
        <f t="shared" si="6"/>
        <v>N</v>
      </c>
      <c r="X62" s="187">
        <f t="shared" si="7"/>
        <v>1</v>
      </c>
      <c r="Y62" s="62">
        <f t="shared" si="8"/>
        <v>23.2879</v>
      </c>
      <c r="Z62" s="62">
        <f t="shared" si="9"/>
        <v>2.0299999999999999E-2</v>
      </c>
      <c r="AA62" s="62">
        <f t="shared" si="10"/>
        <v>23.267600000000002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0150-26</v>
      </c>
      <c r="AE62" s="85" t="str">
        <f t="shared" si="12"/>
        <v>aws s3 cp s3://rtdc.mdm.uploadarchive.raw/RTDC4030/ "%USERPROFILE%\AppData\Local\Temp\OnboardLogs"\RTDC4030\2017-02-26 --exclude "*" --recursive --include "*20170226*" &amp; "%USERPROFILE%\Documents\GitHub\mrs-test-scripts\Headless Mode &amp; Sideloading\WalkAndUnGZ.bat" "%USERPROFILE%\AppData\Local\Temp\OnboardLogs"\RTDC4030\2017-02-26 &amp; aws s3 cp s3://rtdc.mdm.uploadarchive.raw/RTDC4030/ "%USERPROFILE%\AppData\Local\Temp\OnboardLogs"\RTDC4030\2017-02-27 --exclude "*" --recursive --include "*20170227*" &amp; "%USERPROFILE%\Documents\GitHub\mrs-test-scripts\Headless Mode &amp; Sideloading\WalkAndUnGZ.bat" "%USERPROFILE%\AppData\Local\Temp\OnboardLogs"\RTDC4030\2017-02-27</v>
      </c>
      <c r="AF62" s="82" t="str">
        <f t="shared" si="13"/>
        <v>"C:\Program Files (x86)\AstroGrep\AstroGrep.exe" /spath="%USERPROFILE%\AppData\Local\Temp\OnboardLogs" /stypes="app*4030*20170226*" /stext=" 18:.+((SYSTEM_STATE.+slice.+state.+changed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6" t="str">
        <f t="shared" si="18"/>
        <v>"%USERPROFILE%\Documents\GitHub\eaglep3\Utilities\RefineRTDCRunTimes.py" --tripid 150-26 --locoid 4030 --swversion DE.1.0.9.0 --startMP 204:232879 --initTime 2017-02-26T10:34:52 --startdatetime 2017-02-26T10:41:14 --delay 1 --endMP 204:203 --enddatetime 2017-02-26T11:23:29 --enforcementcount 1 &gt;&gt;C:\Users\stu\Documents\GitHub\eaglep3-reporting\EC\2017-02-26-refined-times.txt</v>
      </c>
      <c r="AI62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{"issue":{"subject":"","project_id":79,"tracker_id":40,"status_id":1,"priority_id":2,"assigned_to_id":23,"start_date":"2017-02-26","description":"","custom_fields":[{"id":1,"name":"Subdivision","value":"EC"},{"id":4,"name":"Milepost","value":"0.0203"},{"id":17,"name":"Train ID","value":"150-26"},{"id":16,"name":"Locomotive ID","value":"4030"},{"id":130,"name":"Impact","value":""},{"id":150,"name":"Time of Event (Mountain Time)","value":"11:23:29"},{"id":151,"name":"Denver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4030 --day 2017-02-26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"%USERPROFILE%\AppData\Local\Temp\OnboardLogs"\RTDC4030\*4030*20170226* | grep -SE "(Enforcement Action)|(\[TIMEOUT)|(CHR.+\|PRM\|1\|D.+(SWITCH|SIGNAL).+UNKNOWN)" - &gt;&gt; 2017-02-26-UncaughtWiMAX.txt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650</v>
      </c>
      <c r="B63" s="7">
        <v>4003</v>
      </c>
      <c r="C63" s="21" t="s">
        <v>285</v>
      </c>
      <c r="D63" s="21" t="s">
        <v>255</v>
      </c>
      <c r="E63" s="13">
        <v>42792.413518518515</v>
      </c>
      <c r="F63" s="13">
        <v>42792.416828703703</v>
      </c>
      <c r="G63" s="7">
        <v>1</v>
      </c>
      <c r="H63" s="21" t="s">
        <v>370</v>
      </c>
      <c r="I63" s="13">
        <v>42792.442083333335</v>
      </c>
      <c r="J63" s="7">
        <v>1</v>
      </c>
      <c r="K63" s="98" t="str">
        <f t="shared" si="0"/>
        <v>4003/4004</v>
      </c>
      <c r="L63" s="21" t="str">
        <f>VLOOKUP(A63,'Trips&amp;Operators'!$C$1:$G$99999,5,FALSE)</f>
        <v>ROBINSON KADDIBA</v>
      </c>
      <c r="M63" s="6">
        <f t="shared" si="1"/>
        <v>2.5254629632399883E-2</v>
      </c>
      <c r="N63" s="7">
        <f t="shared" si="2"/>
        <v>36.366666670655832</v>
      </c>
      <c r="O63" s="7"/>
      <c r="P63" s="7"/>
      <c r="Q63" s="22"/>
      <c r="R63" s="22"/>
      <c r="S63" s="31">
        <f t="shared" si="3"/>
        <v>1</v>
      </c>
      <c r="T63" s="46" t="str">
        <f t="shared" si="4"/>
        <v>NorthBound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5"/>
        <v>https://d0f6bd738d7f1b3e5a7ca70fe4ff75f0.us-east-1.aws.found.io/app/kibana#/discover/Steve-Slow-Train-Analysis-(2080s-and-2083s)?_g=(refreshInterval:(display:Off,pause:!f,section:0,value:0),time:(from:'2017-02-26T08:55:28-0700',mode:absolute,to:'2017-02-26T11:36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3" s="187" t="str">
        <f t="shared" si="6"/>
        <v>N</v>
      </c>
      <c r="X63" s="187">
        <f t="shared" si="7"/>
        <v>1</v>
      </c>
      <c r="Y63" s="62">
        <f t="shared" si="8"/>
        <v>4.3999999999999997E-2</v>
      </c>
      <c r="Z63" s="62">
        <f t="shared" si="9"/>
        <v>23.325099999999999</v>
      </c>
      <c r="AA63" s="62">
        <f t="shared" si="10"/>
        <v>23.281099999999999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0151-26</v>
      </c>
      <c r="AE63" s="85" t="str">
        <f t="shared" si="12"/>
        <v>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 &amp; aws s3 cp s3://rtdc.mdm.uploadarchive.raw/RTDC4003/ "%USERPROFILE%\AppData\Local\Temp\OnboardLogs"\RTDC4003\2017-02-27 --exclude "*" --recursive --include "*20170227*" &amp; "%USERPROFILE%\Documents\GitHub\mrs-test-scripts\Headless Mode &amp; Sideloading\WalkAndUnGZ.bat" "%USERPROFILE%\AppData\Local\Temp\OnboardLogs"\RTDC4003\2017-02-27</v>
      </c>
      <c r="AF63" s="82" t="str">
        <f t="shared" si="13"/>
        <v>"C:\Program Files (x86)\AstroGrep\AstroGrep.exe" /spath="%USERPROFILE%\AppData\Local\Temp\OnboardLogs" /stypes="app*4003*20170226*" /stext=" 17:.+((SYSTEM_STATE.+slice.+state.+changed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6" t="str">
        <f t="shared" si="18"/>
        <v>"%USERPROFILE%\Documents\GitHub\eaglep3\Utilities\RefineRTDCRunTimes.py" --tripid 151-26 --locoid 4003 --swversion DE.1.0.9.0 --startMP 204:440 --initTime 2017-02-26T09:55:28 --startdatetime 2017-02-26T10:00:14 --delay 1 --endMP 204:233251 --enddatetime 2017-02-26T10:36:36 --enforcementcount 1 &gt;&gt;C:\Users\stu\Documents\GitHub\eaglep3-reporting\EC\2017-02-26-refined-times.txt</v>
      </c>
      <c r="AI63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{"issue":{"subject":"","project_id":79,"tracker_id":40,"status_id":1,"priority_id":2,"assigned_to_id":23,"start_date":"2017-02-26","description":"","custom_fields":[{"id":1,"name":"Subdivision","value":"EC"},{"id":4,"name":"Milepost","value":"23.3251"},{"id":17,"name":"Train ID","value":"151-26"},{"id":16,"name":"Locomotive ID","value":"4003"},{"id":130,"name":"Impact","value":""},{"id":150,"name":"Time of Event (Mountain Time)","value":"10:36:36"},{"id":151,"name":"Denver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4003 --day 2017-02-26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"%USERPROFILE%\AppData\Local\Temp\OnboardLogs"\RTDC4003\*4003*20170226* | grep -SE "(Enforcement Action)|(\[TIMEOUT)|(CHR.+\|PRM\|1\|D.+(SWITCH|SIGNAL).+UNKNOWN)" - &gt;&gt; 2017-02-26-UncaughtWiMAX.txt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659</v>
      </c>
      <c r="B64" s="7">
        <v>4004</v>
      </c>
      <c r="C64" s="21" t="s">
        <v>285</v>
      </c>
      <c r="D64" s="21" t="s">
        <v>826</v>
      </c>
      <c r="E64" s="13">
        <v>42792.452013888891</v>
      </c>
      <c r="F64" s="13">
        <v>42792.45585648148</v>
      </c>
      <c r="G64" s="7">
        <v>1</v>
      </c>
      <c r="H64" s="21" t="s">
        <v>827</v>
      </c>
      <c r="I64" s="13">
        <v>42792.484513888892</v>
      </c>
      <c r="J64" s="7">
        <v>1</v>
      </c>
      <c r="K64" s="98" t="str">
        <f t="shared" si="0"/>
        <v>4003/4004</v>
      </c>
      <c r="L64" s="21" t="str">
        <f>VLOOKUP(A64,'Trips&amp;Operators'!$C$1:$G$99999,5,FALSE)</f>
        <v>ROBINSON KADDIBA</v>
      </c>
      <c r="M64" s="6">
        <f t="shared" si="1"/>
        <v>2.8657407412538305E-2</v>
      </c>
      <c r="N64" s="7">
        <f t="shared" si="2"/>
        <v>41.266666674055159</v>
      </c>
      <c r="O64" s="7"/>
      <c r="P64" s="7"/>
      <c r="Q64" s="22"/>
      <c r="R64" s="22"/>
      <c r="S64" s="31">
        <f t="shared" si="3"/>
        <v>1</v>
      </c>
      <c r="T64" s="46" t="str">
        <f t="shared" si="4"/>
        <v>Southbound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5"/>
        <v>https://d0f6bd738d7f1b3e5a7ca70fe4ff75f0.us-east-1.aws.found.io/app/kibana#/discover/Steve-Slow-Train-Analysis-(2080s-and-2083s)?_g=(refreshInterval:(display:Off,pause:!f,section:0,value:0),time:(from:'2017-02-26T09:50:54-0700',mode:absolute,to:'2017-02-26T12:37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4" s="187" t="str">
        <f t="shared" si="6"/>
        <v>N</v>
      </c>
      <c r="X64" s="187">
        <f t="shared" si="7"/>
        <v>1</v>
      </c>
      <c r="Y64" s="62">
        <f t="shared" si="8"/>
        <v>23.293199999999999</v>
      </c>
      <c r="Z64" s="62">
        <f t="shared" si="9"/>
        <v>1.38E-2</v>
      </c>
      <c r="AA64" s="62">
        <f t="shared" si="10"/>
        <v>23.279399999999999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0152-26</v>
      </c>
      <c r="AE64" s="85" t="str">
        <f t="shared" si="12"/>
        <v>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 &amp; aws s3 cp s3://rtdc.mdm.uploadarchive.raw/RTDC4004/ "%USERPROFILE%\AppData\Local\Temp\OnboardLogs"\RTDC4004\2017-02-27 --exclude "*" --recursive --include "*20170227*" &amp; "%USERPROFILE%\Documents\GitHub\mrs-test-scripts\Headless Mode &amp; Sideloading\WalkAndUnGZ.bat" "%USERPROFILE%\AppData\Local\Temp\OnboardLogs"\RTDC4004\2017-02-27</v>
      </c>
      <c r="AF64" s="82" t="str">
        <f t="shared" si="13"/>
        <v>"C:\Program Files (x86)\AstroGrep\AstroGrep.exe" /spath="%USERPROFILE%\AppData\Local\Temp\OnboardLogs" /stypes="app*4004*20170226*" /stext=" 18:.+((SYSTEM_STATE.+slice.+state.+changed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6" t="str">
        <f t="shared" si="18"/>
        <v>"%USERPROFILE%\Documents\GitHub\eaglep3\Utilities\RefineRTDCRunTimes.py" --tripid 152-26 --locoid 4004 --swversion DE.1.0.9.0 --startMP 204:232932 --initTime 2017-02-26T10:50:54 --startdatetime 2017-02-26T10:56:26 --delay 1 --endMP 204:138 --enddatetime 2017-02-26T11:37:42 --enforcementcount 1 &gt;&gt;C:\Users\stu\Documents\GitHub\eaglep3-reporting\EC\2017-02-26-refined-times.txt</v>
      </c>
      <c r="AI64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{"issue":{"subject":"","project_id":79,"tracker_id":40,"status_id":1,"priority_id":2,"assigned_to_id":23,"start_date":"2017-02-26","description":"","custom_fields":[{"id":1,"name":"Subdivision","value":"EC"},{"id":4,"name":"Milepost","value":"0.0138"},{"id":17,"name":"Train ID","value":"152-26"},{"id":16,"name":"Locomotive ID","value":"4004"},{"id":130,"name":"Impact","value":""},{"id":150,"name":"Time of Event (Mountain Time)","value":"11:37:42"},{"id":151,"name":"Denver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4004 --day 2017-02-26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"%USERPROFILE%\AppData\Local\Temp\OnboardLogs"\RTDC4004\*4004*20170226* | grep -SE "(Enforcement Action)|(\[TIMEOUT)|(CHR.+\|PRM\|1\|D.+(SWITCH|SIGNAL).+UNKNOWN)" - &gt;&gt; 2017-02-26-UncaughtWiMAX.txt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653</v>
      </c>
      <c r="B65" s="7">
        <v>4009</v>
      </c>
      <c r="C65" s="21" t="s">
        <v>285</v>
      </c>
      <c r="D65" s="21" t="s">
        <v>818</v>
      </c>
      <c r="E65" s="13">
        <v>42792.423020833332</v>
      </c>
      <c r="F65" s="13">
        <v>42792.427256944444</v>
      </c>
      <c r="G65" s="7">
        <v>1</v>
      </c>
      <c r="H65" s="21" t="s">
        <v>371</v>
      </c>
      <c r="I65" s="13">
        <v>42792.452025462961</v>
      </c>
      <c r="J65" s="7">
        <v>1</v>
      </c>
      <c r="K65" s="98" t="str">
        <f t="shared" si="0"/>
        <v>4009/4010</v>
      </c>
      <c r="L65" s="21" t="str">
        <f>VLOOKUP(A65,'Trips&amp;Operators'!$C$1:$G$99999,5,FALSE)</f>
        <v>GEBRETEKLE DAGNEW</v>
      </c>
      <c r="M65" s="6">
        <f t="shared" si="1"/>
        <v>2.4768518516793847E-2</v>
      </c>
      <c r="N65" s="7">
        <f t="shared" si="2"/>
        <v>35.66666666418314</v>
      </c>
      <c r="O65" s="7"/>
      <c r="P65" s="7"/>
      <c r="Q65" s="22"/>
      <c r="R65" s="22"/>
      <c r="S65" s="31">
        <f t="shared" si="3"/>
        <v>1</v>
      </c>
      <c r="T65" s="46" t="str">
        <f t="shared" si="4"/>
        <v>NorthBound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5"/>
        <v>https://d0f6bd738d7f1b3e5a7ca70fe4ff75f0.us-east-1.aws.found.io/app/kibana#/discover/Steve-Slow-Train-Analysis-(2080s-and-2083s)?_g=(refreshInterval:(display:Off,pause:!f,section:0,value:0),time:(from:'2017-02-26T09:09:09-0700',mode:absolute,to:'2017-02-26T11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5" s="187" t="str">
        <f t="shared" si="6"/>
        <v>N</v>
      </c>
      <c r="X65" s="187">
        <f t="shared" si="7"/>
        <v>1</v>
      </c>
      <c r="Y65" s="62">
        <f t="shared" si="8"/>
        <v>4.8000000000000001E-2</v>
      </c>
      <c r="Z65" s="62">
        <f t="shared" si="9"/>
        <v>23.331199999999999</v>
      </c>
      <c r="AA65" s="62">
        <f t="shared" si="10"/>
        <v>23.283200000000001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0153-26</v>
      </c>
      <c r="AE65" s="85" t="str">
        <f t="shared" si="12"/>
        <v>aws s3 cp s3://rtdc.mdm.uploadarchive.raw/RTDC4009/ "%USERPROFILE%\AppData\Local\Temp\OnboardLogs"\RTDC4009\2017-02-26 --exclude "*" --recursive --include "*20170226*" &amp; "%USERPROFILE%\Documents\GitHub\mrs-test-scripts\Headless Mode &amp; Sideloading\WalkAndUnGZ.bat" "%USERPROFILE%\AppData\Local\Temp\OnboardLogs"\RTDC4009\2017-02-26 &amp; aws s3 cp s3://rtdc.mdm.uploadarchive.raw/RTDC4009/ "%USERPROFILE%\AppData\Local\Temp\OnboardLogs"\RTDC4009\2017-02-27 --exclude "*" --recursive --include "*20170227*" &amp; "%USERPROFILE%\Documents\GitHub\mrs-test-scripts\Headless Mode &amp; Sideloading\WalkAndUnGZ.bat" "%USERPROFILE%\AppData\Local\Temp\OnboardLogs"\RTDC4009\2017-02-27</v>
      </c>
      <c r="AF65" s="82" t="str">
        <f t="shared" si="13"/>
        <v>"C:\Program Files (x86)\AstroGrep\AstroGrep.exe" /spath="%USERPROFILE%\AppData\Local\Temp\OnboardLogs" /stypes="app*4009*20170226*" /stext=" 17:.+((SYSTEM_STATE.+slice.+state.+changed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6" t="str">
        <f t="shared" si="18"/>
        <v>"%USERPROFILE%\Documents\GitHub\eaglep3\Utilities\RefineRTDCRunTimes.py" --tripid 153-26 --locoid 4009 --swversion DE.1.0.9.0 --startMP 204:480 --initTime 2017-02-26T10:09:09 --startdatetime 2017-02-26T10:15:15 --delay 1 --endMP 204:233312 --enddatetime 2017-02-26T10:50:55 --enforcementcount 1 &gt;&gt;C:\Users\stu\Documents\GitHub\eaglep3-reporting\EC\2017-02-26-refined-times.txt</v>
      </c>
      <c r="AI65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{"issue":{"subject":"","project_id":79,"tracker_id":40,"status_id":1,"priority_id":2,"assigned_to_id":23,"start_date":"2017-02-26","description":"","custom_fields":[{"id":1,"name":"Subdivision","value":"EC"},{"id":4,"name":"Milepost","value":"23.3312"},{"id":17,"name":"Train ID","value":"153-26"},{"id":16,"name":"Locomotive ID","value":"4009"},{"id":130,"name":"Impact","value":""},{"id":150,"name":"Time of Event (Mountain Time)","value":"10:50:55"},{"id":151,"name":"Denver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4009 --day 2017-02-26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"%USERPROFILE%\AppData\Local\Temp\OnboardLogs"\RTDC4009\*4009*20170226* | grep -SE "(Enforcement Action)|(\[TIMEOUT)|(CHR.+\|PRM\|1\|D.+(SWITCH|SIGNAL).+UNKNOWN)" - &gt;&gt; 2017-02-26-UncaughtWiMAX.txt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662</v>
      </c>
      <c r="B66" s="7">
        <v>4010</v>
      </c>
      <c r="C66" s="21" t="s">
        <v>285</v>
      </c>
      <c r="D66" s="21" t="s">
        <v>246</v>
      </c>
      <c r="E66" s="13">
        <v>42792.460358796299</v>
      </c>
      <c r="F66" s="13">
        <v>42792.466192129628</v>
      </c>
      <c r="G66" s="7">
        <v>1</v>
      </c>
      <c r="H66" s="21" t="s">
        <v>184</v>
      </c>
      <c r="I66" s="13">
        <v>42792.493321759262</v>
      </c>
      <c r="J66" s="7">
        <v>1</v>
      </c>
      <c r="K66" s="98" t="str">
        <f t="shared" si="0"/>
        <v>4009/4010</v>
      </c>
      <c r="L66" s="21" t="str">
        <f>VLOOKUP(A66,'Trips&amp;Operators'!$C$1:$G$99999,5,FALSE)</f>
        <v>GEBRETEKLE DAGNEW</v>
      </c>
      <c r="M66" s="6">
        <f t="shared" si="1"/>
        <v>2.7129629634146113E-2</v>
      </c>
      <c r="N66" s="7">
        <f t="shared" si="2"/>
        <v>39.066666673170403</v>
      </c>
      <c r="O66" s="7"/>
      <c r="P66" s="7"/>
      <c r="Q66" s="22"/>
      <c r="R66" s="22"/>
      <c r="S66" s="31">
        <f t="shared" si="3"/>
        <v>1</v>
      </c>
      <c r="T66" s="46" t="str">
        <f t="shared" si="4"/>
        <v>Southbound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5"/>
        <v>https://d0f6bd738d7f1b3e5a7ca70fe4ff75f0.us-east-1.aws.found.io/app/kibana#/discover/Steve-Slow-Train-Analysis-(2080s-and-2083s)?_g=(refreshInterval:(display:Off,pause:!f,section:0,value:0),time:(from:'2017-02-26T10:02:55-0700',mode:absolute,to:'2017-02-26T12:50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6" s="187" t="str">
        <f t="shared" si="6"/>
        <v>N</v>
      </c>
      <c r="X66" s="187">
        <f t="shared" si="7"/>
        <v>1</v>
      </c>
      <c r="Y66" s="62">
        <f t="shared" si="8"/>
        <v>23.299299999999999</v>
      </c>
      <c r="Z66" s="62">
        <f t="shared" si="9"/>
        <v>1.49E-2</v>
      </c>
      <c r="AA66" s="62">
        <f t="shared" si="10"/>
        <v>23.284399999999998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0154-26</v>
      </c>
      <c r="AE66" s="85" t="str">
        <f t="shared" si="12"/>
        <v>aws s3 cp s3://rtdc.mdm.uploadarchive.raw/RTDC4010/ "%USERPROFILE%\AppData\Local\Temp\OnboardLogs"\RTDC4010\2017-02-26 --exclude "*" --recursive --include "*20170226*" &amp; "%USERPROFILE%\Documents\GitHub\mrs-test-scripts\Headless Mode &amp; Sideloading\WalkAndUnGZ.bat" "%USERPROFILE%\AppData\Local\Temp\OnboardLogs"\RTDC4010\2017-02-26 &amp; aws s3 cp s3://rtdc.mdm.uploadarchive.raw/RTDC4010/ "%USERPROFILE%\AppData\Local\Temp\OnboardLogs"\RTDC4010\2017-02-27 --exclude "*" --recursive --include "*20170227*" &amp; "%USERPROFILE%\Documents\GitHub\mrs-test-scripts\Headless Mode &amp; Sideloading\WalkAndUnGZ.bat" "%USERPROFILE%\AppData\Local\Temp\OnboardLogs"\RTDC4010\2017-02-27</v>
      </c>
      <c r="AF66" s="82" t="str">
        <f t="shared" si="13"/>
        <v>"C:\Program Files (x86)\AstroGrep\AstroGrep.exe" /spath="%USERPROFILE%\AppData\Local\Temp\OnboardLogs" /stypes="app*4010*20170226*"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6" t="str">
        <f t="shared" si="18"/>
        <v>"%USERPROFILE%\Documents\GitHub\eaglep3\Utilities\RefineRTDCRunTimes.py" --tripid 154-26 --locoid 4010 --swversion DE.1.0.9.0 --startMP 204:232993 --initTime 2017-02-26T11:02:55 --startdatetime 2017-02-26T11:11:19 --delay 1 --endMP 204:149 --enddatetime 2017-02-26T11:50:23 --enforcementcount 1 &gt;&gt;C:\Users\stu\Documents\GitHub\eaglep3-reporting\EC\2017-02-26-refined-times.txt</v>
      </c>
      <c r="AI66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{"issue":{"subject":"","project_id":79,"tracker_id":40,"status_id":1,"priority_id":2,"assigned_to_id":23,"start_date":"2017-02-26","description":"","custom_fields":[{"id":1,"name":"Subdivision","value":"EC"},{"id":4,"name":"Milepost","value":"0.0149"},{"id":17,"name":"Train ID","value":"154-26"},{"id":16,"name":"Locomotive ID","value":"4010"},{"id":130,"name":"Impact","value":""},{"id":150,"name":"Time of Event (Mountain Time)","value":"11:50:23"},{"id":151,"name":"Denver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4010 --day 2017-02-26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"%USERPROFILE%\AppData\Local\Temp\OnboardLogs"\RTDC4010\*4010*20170226* | grep -SE "(Enforcement Action)|(\[TIMEOUT)|(CHR.+\|PRM\|1\|D.+(SWITCH|SIGNAL).+UNKNOWN)" - &gt;&gt; 2017-02-26-UncaughtWiMAX.txt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556</v>
      </c>
      <c r="B67" s="7">
        <v>4011</v>
      </c>
      <c r="C67" s="21" t="s">
        <v>285</v>
      </c>
      <c r="D67" s="21" t="s">
        <v>204</v>
      </c>
      <c r="E67" s="13">
        <v>42792.43414351852</v>
      </c>
      <c r="F67" s="13">
        <v>42792.437662037039</v>
      </c>
      <c r="G67" s="7">
        <v>2</v>
      </c>
      <c r="H67" s="21" t="s">
        <v>306</v>
      </c>
      <c r="I67" s="13">
        <v>42792.462384259263</v>
      </c>
      <c r="J67" s="7">
        <v>1</v>
      </c>
      <c r="K67" s="98" t="str">
        <f t="shared" si="0"/>
        <v>4011/4012</v>
      </c>
      <c r="L67" s="21" t="str">
        <f>VLOOKUP(A67,'Trips&amp;Operators'!$C$1:$G$99999,5,FALSE)</f>
        <v>ROMERO CHAD</v>
      </c>
      <c r="M67" s="6">
        <f t="shared" si="1"/>
        <v>2.4722222224227153E-2</v>
      </c>
      <c r="N67" s="7">
        <f t="shared" si="2"/>
        <v>35.6000000028871</v>
      </c>
      <c r="O67" s="7"/>
      <c r="P67" s="7"/>
      <c r="Q67" s="22"/>
      <c r="R67" s="22"/>
      <c r="S67" s="31">
        <f t="shared" si="3"/>
        <v>1</v>
      </c>
      <c r="T67" s="46" t="str">
        <f t="shared" si="4"/>
        <v>NorthBound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5"/>
        <v>https://d0f6bd738d7f1b3e5a7ca70fe4ff75f0.us-east-1.aws.found.io/app/kibana#/discover/Steve-Slow-Train-Analysis-(2080s-and-2083s)?_g=(refreshInterval:(display:Off,pause:!f,section:0,value:0),time:(from:'2017-02-26T09:25:10-0700',mode:absolute,to:'2017-02-26T12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7" s="187" t="str">
        <f t="shared" si="6"/>
        <v>N</v>
      </c>
      <c r="X67" s="187">
        <f t="shared" si="7"/>
        <v>1</v>
      </c>
      <c r="Y67" s="62">
        <f t="shared" si="8"/>
        <v>4.6199999999999998E-2</v>
      </c>
      <c r="Z67" s="62">
        <f t="shared" si="9"/>
        <v>23.330500000000001</v>
      </c>
      <c r="AA67" s="62">
        <f t="shared" si="10"/>
        <v>23.284300000000002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0155-26</v>
      </c>
      <c r="AE67" s="85" t="str">
        <f t="shared" si="12"/>
        <v>aws s3 cp s3://rtdc.mdm.uploadarchive.raw/RTDC4011/ "%USERPROFILE%\AppData\Local\Temp\OnboardLogs"\RTDC4011\2017-02-26 --exclude "*" --recursive --include "*20170226*" &amp; "%USERPROFILE%\Documents\GitHub\mrs-test-scripts\Headless Mode &amp; Sideloading\WalkAndUnGZ.bat" "%USERPROFILE%\AppData\Local\Temp\OnboardLogs"\RTDC4011\2017-02-26 &amp; aws s3 cp s3://rtdc.mdm.uploadarchive.raw/RTDC4011/ "%USERPROFILE%\AppData\Local\Temp\OnboardLogs"\RTDC4011\2017-02-27 --exclude "*" --recursive --include "*20170227*" &amp; "%USERPROFILE%\Documents\GitHub\mrs-test-scripts\Headless Mode &amp; Sideloading\WalkAndUnGZ.bat" "%USERPROFILE%\AppData\Local\Temp\OnboardLogs"\RTDC4011\2017-02-27</v>
      </c>
      <c r="AF67" s="82" t="str">
        <f t="shared" si="13"/>
        <v>"C:\Program Files (x86)\AstroGrep\AstroGrep.exe" /spath="%USERPROFILE%\AppData\Local\Temp\OnboardLogs" /stypes="app*4011*20170226*"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6" t="str">
        <f t="shared" si="18"/>
        <v>"%USERPROFILE%\Documents\GitHub\eaglep3\Utilities\RefineRTDCRunTimes.py" --tripid 155-26 --locoid 4011 --swversion DE.1.0.9.0 --startMP 204:462 --initTime 2017-02-26T10:25:10 --startdatetime 2017-02-26T10:30:14 --delay 2 --endMP 204:233305 --enddatetime 2017-02-26T11:05:50 --enforcementcount 1 &gt;&gt;C:\Users\stu\Documents\GitHub\eaglep3-reporting\EC\2017-02-26-refined-times.txt</v>
      </c>
      <c r="AI67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{"issue":{"subject":"","project_id":79,"tracker_id":40,"status_id":1,"priority_id":2,"assigned_to_id":23,"start_date":"2017-02-26","description":"","custom_fields":[{"id":1,"name":"Subdivision","value":"EC"},{"id":4,"name":"Milepost","value":"23.3305"},{"id":17,"name":"Train ID","value":"155-26"},{"id":16,"name":"Locomotive ID","value":"4011"},{"id":130,"name":"Impact","value":""},{"id":150,"name":"Time of Event (Mountain Time)","value":"11:05:50"},{"id":151,"name":"Denver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4011 --day 2017-02-26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"%USERPROFILE%\AppData\Local\Temp\OnboardLogs"\RTDC4011\*4011*20170226* | grep -SE "(Enforcement Action)|(\[TIMEOUT)|(CHR.+\|PRM\|1\|D.+(SWITCH|SIGNAL).+UNKNOWN)" - &gt;&gt; 2017-02-26-UncaughtWiMAX.txt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663</v>
      </c>
      <c r="B68" s="7">
        <v>4012</v>
      </c>
      <c r="C68" s="21" t="s">
        <v>285</v>
      </c>
      <c r="D68" s="21" t="s">
        <v>247</v>
      </c>
      <c r="E68" s="13">
        <v>42792.464189814818</v>
      </c>
      <c r="F68" s="13">
        <v>42792.476550925923</v>
      </c>
      <c r="G68" s="7">
        <v>1</v>
      </c>
      <c r="H68" s="21" t="s">
        <v>828</v>
      </c>
      <c r="I68" s="13">
        <v>42792.503113425926</v>
      </c>
      <c r="J68" s="7">
        <v>1</v>
      </c>
      <c r="K68" s="98" t="str">
        <f t="shared" si="0"/>
        <v>4011/4012</v>
      </c>
      <c r="L68" s="21" t="str">
        <f>VLOOKUP(A68,'Trips&amp;Operators'!$C$1:$G$99999,5,FALSE)</f>
        <v>ROMERO CHAD</v>
      </c>
      <c r="M68" s="6">
        <f t="shared" si="1"/>
        <v>2.6562500002910383E-2</v>
      </c>
      <c r="N68" s="7">
        <f t="shared" si="2"/>
        <v>38.250000004190952</v>
      </c>
      <c r="O68" s="7"/>
      <c r="P68" s="7"/>
      <c r="Q68" s="22"/>
      <c r="R68" s="22"/>
      <c r="S68" s="31">
        <f t="shared" si="3"/>
        <v>1</v>
      </c>
      <c r="T68" s="46" t="str">
        <f t="shared" si="4"/>
        <v>Southbound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5"/>
        <v>https://d0f6bd738d7f1b3e5a7ca70fe4ff75f0.us-east-1.aws.found.io/app/kibana#/discover/Steve-Slow-Train-Analysis-(2080s-and-2083s)?_g=(refreshInterval:(display:Off,pause:!f,section:0,value:0),time:(from:'2017-02-26T10:08:26-0700',mode:absolute,to:'2017-02-26T13:04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8" s="187" t="str">
        <f t="shared" si="6"/>
        <v>N</v>
      </c>
      <c r="X68" s="187">
        <f t="shared" si="7"/>
        <v>1</v>
      </c>
      <c r="Y68" s="62">
        <f t="shared" si="8"/>
        <v>23.297799999999999</v>
      </c>
      <c r="Z68" s="62">
        <f t="shared" si="9"/>
        <v>1.2699999999999999E-2</v>
      </c>
      <c r="AA68" s="62">
        <f t="shared" si="10"/>
        <v>23.2851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0156-26</v>
      </c>
      <c r="AE68" s="85" t="str">
        <f t="shared" si="12"/>
        <v>aws s3 cp s3://rtdc.mdm.uploadarchive.raw/RTDC4012/ "%USERPROFILE%\AppData\Local\Temp\OnboardLogs"\RTDC4012\2017-02-26 --exclude "*" --recursive --include "*20170226*" &amp; "%USERPROFILE%\Documents\GitHub\mrs-test-scripts\Headless Mode &amp; Sideloading\WalkAndUnGZ.bat" "%USERPROFILE%\AppData\Local\Temp\OnboardLogs"\RTDC4012\2017-02-26 &amp; 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</v>
      </c>
      <c r="AF68" s="82" t="str">
        <f t="shared" si="13"/>
        <v>"C:\Program Files (x86)\AstroGrep\AstroGrep.exe" /spath="%USERPROFILE%\AppData\Local\Temp\OnboardLogs" /stypes="app*4012*20170226*" /stext=" 19:.+((SYSTEM_STATE.+slice.+state.+changed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6" t="str">
        <f t="shared" si="18"/>
        <v>"%USERPROFILE%\Documents\GitHub\eaglep3\Utilities\RefineRTDCRunTimes.py" --tripid 156-26 --locoid 4012 --swversion DE.1.0.9.0 --startMP 204:232978 --initTime 2017-02-26T11:08:26 --startdatetime 2017-02-26T11:26:14 --delay 1 --endMP 204:127 --enddatetime 2017-02-26T12:04:29 --enforcementcount 1 &gt;&gt;C:\Users\stu\Documents\GitHub\eaglep3-reporting\EC\2017-02-26-refined-times.txt</v>
      </c>
      <c r="AI68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{"issue":{"subject":"","project_id":79,"tracker_id":40,"status_id":1,"priority_id":2,"assigned_to_id":23,"start_date":"2017-02-26","description":"","custom_fields":[{"id":1,"name":"Subdivision","value":"EC"},{"id":4,"name":"Milepost","value":"0.0127"},{"id":17,"name":"Train ID","value":"156-26"},{"id":16,"name":"Locomotive ID","value":"4012"},{"id":130,"name":"Impact","value":""},{"id":150,"name":"Time of Event (Mountain Time)","value":"12:04:29"},{"id":151,"name":"Denver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4012 --day 2017-02-26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"%USERPROFILE%\AppData\Local\Temp\OnboardLogs"\RTDC4012\*4012*20170226* | grep -SE "(Enforcement Action)|(\[TIMEOUT)|(CHR.+\|PRM\|1\|D.+(SWITCH|SIGNAL).+UNKNOWN)" - &gt;&gt; 2017-02-26-UncaughtWiMAX.txt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658</v>
      </c>
      <c r="B69" s="7">
        <v>4027</v>
      </c>
      <c r="C69" s="21" t="s">
        <v>285</v>
      </c>
      <c r="D69" s="21" t="s">
        <v>279</v>
      </c>
      <c r="E69" s="13">
        <v>42792.446087962962</v>
      </c>
      <c r="F69" s="13">
        <v>42792.448078703703</v>
      </c>
      <c r="G69" s="7">
        <v>0</v>
      </c>
      <c r="H69" s="21" t="s">
        <v>309</v>
      </c>
      <c r="I69" s="13">
        <v>42792.474675925929</v>
      </c>
      <c r="J69" s="7">
        <v>1</v>
      </c>
      <c r="K69" s="98" t="str">
        <f t="shared" si="0"/>
        <v>4027/4028</v>
      </c>
      <c r="L69" s="21" t="str">
        <f>VLOOKUP(A69,'Trips&amp;Operators'!$C$1:$G$99999,5,FALSE)</f>
        <v>SHOOK JOHN</v>
      </c>
      <c r="M69" s="6">
        <f t="shared" si="1"/>
        <v>2.6597222225973383E-2</v>
      </c>
      <c r="N69" s="7">
        <f t="shared" si="2"/>
        <v>38.300000005401671</v>
      </c>
      <c r="O69" s="7"/>
      <c r="P69" s="7"/>
      <c r="Q69" s="22"/>
      <c r="R69" s="22"/>
      <c r="S69" s="31">
        <f t="shared" si="3"/>
        <v>1</v>
      </c>
      <c r="T69" s="46" t="str">
        <f t="shared" si="4"/>
        <v>NorthBound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5"/>
        <v>https://d0f6bd738d7f1b3e5a7ca70fe4ff75f0.us-east-1.aws.found.io/app/kibana#/discover/Steve-Slow-Train-Analysis-(2080s-and-2083s)?_g=(refreshInterval:(display:Off,pause:!f,section:0,value:0),time:(from:'2017-02-26T09:42:22-0700',mode:absolute,to:'2017-02-26T12:23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9" s="187" t="str">
        <f t="shared" si="6"/>
        <v>N</v>
      </c>
      <c r="X69" s="187">
        <f t="shared" si="7"/>
        <v>1</v>
      </c>
      <c r="Y69" s="62">
        <f t="shared" si="8"/>
        <v>4.6600000000000003E-2</v>
      </c>
      <c r="Z69" s="62">
        <f t="shared" si="9"/>
        <v>23.330200000000001</v>
      </c>
      <c r="AA69" s="62">
        <f t="shared" si="10"/>
        <v>23.2836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0157-26</v>
      </c>
      <c r="AE69" s="85" t="str">
        <f t="shared" si="12"/>
        <v>aws s3 cp s3://rtdc.mdm.uploadarchive.raw/RTDC4027/ "%USERPROFILE%\AppData\Local\Temp\OnboardLogs"\RTDC4027\2017-02-26 --exclude "*" --recursive --include "*20170226*" &amp; "%USERPROFILE%\Documents\GitHub\mrs-test-scripts\Headless Mode &amp; Sideloading\WalkAndUnGZ.bat" "%USERPROFILE%\AppData\Local\Temp\OnboardLogs"\RTDC4027\2017-02-26 &amp; aws s3 cp s3://rtdc.mdm.uploadarchive.raw/RTDC4027/ "%USERPROFILE%\AppData\Local\Temp\OnboardLogs"\RTDC4027\2017-02-27 --exclude "*" --recursive --include "*20170227*" &amp; "%USERPROFILE%\Documents\GitHub\mrs-test-scripts\Headless Mode &amp; Sideloading\WalkAndUnGZ.bat" "%USERPROFILE%\AppData\Local\Temp\OnboardLogs"\RTDC4027\2017-02-27</v>
      </c>
      <c r="AF69" s="82" t="str">
        <f t="shared" si="13"/>
        <v>"C:\Program Files (x86)\AstroGrep\AstroGrep.exe" /spath="%USERPROFILE%\AppData\Local\Temp\OnboardLogs" /stypes="app*4027*20170226*"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6" t="str">
        <f t="shared" si="18"/>
        <v>"%USERPROFILE%\Documents\GitHub\eaglep3\Utilities\RefineRTDCRunTimes.py" --tripid 157-26 --locoid 4027 --swversion DE.1.0.9.0 --startMP 204:466 --initTime 2017-02-26T10:42:22 --startdatetime 2017-02-26T10:45:14 --delay 0 --endMP 204:233302 --enddatetime 2017-02-26T11:23:32 --enforcementcount 1 &gt;&gt;C:\Users\stu\Documents\GitHub\eaglep3-reporting\EC\2017-02-26-refined-times.txt</v>
      </c>
      <c r="AI69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{"issue":{"subject":"","project_id":79,"tracker_id":40,"status_id":1,"priority_id":2,"assigned_to_id":23,"start_date":"2017-02-26","description":"","custom_fields":[{"id":1,"name":"Subdivision","value":"EC"},{"id":4,"name":"Milepost","value":"23.3302"},{"id":17,"name":"Train ID","value":"157-26"},{"id":16,"name":"Locomotive ID","value":"4027"},{"id":130,"name":"Impact","value":""},{"id":150,"name":"Time of Event (Mountain Time)","value":"11:23:32"},{"id":151,"name":"Denver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4027 --day 2017-02-26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"%USERPROFILE%\AppData\Local\Temp\OnboardLogs"\RTDC4027\*4027*20170226* | grep -SE "(Enforcement Action)|(\[TIMEOUT)|(CHR.+\|PRM\|1\|D.+(SWITCH|SIGNAL).+UNKNOWN)" - &gt;&gt; 2017-02-26-UncaughtWiMAX.txt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20" customFormat="1" x14ac:dyDescent="0.25">
      <c r="A70" s="33" t="s">
        <v>672</v>
      </c>
      <c r="B70" s="7">
        <v>4028</v>
      </c>
      <c r="C70" s="21" t="s">
        <v>285</v>
      </c>
      <c r="D70" s="21" t="s">
        <v>799</v>
      </c>
      <c r="E70" s="13">
        <v>42792.476909722223</v>
      </c>
      <c r="F70" s="13">
        <v>42792.486979166664</v>
      </c>
      <c r="G70" s="7">
        <v>1</v>
      </c>
      <c r="H70" s="21" t="s">
        <v>827</v>
      </c>
      <c r="I70" s="13">
        <v>42792.516076388885</v>
      </c>
      <c r="J70" s="7">
        <v>1</v>
      </c>
      <c r="K70" s="98" t="str">
        <f t="shared" si="0"/>
        <v>4027/4028</v>
      </c>
      <c r="L70" s="21" t="str">
        <f>VLOOKUP(A70,'Trips&amp;Operators'!$C$1:$G$99999,5,FALSE)</f>
        <v>SHOOK JOHN</v>
      </c>
      <c r="M70" s="6">
        <f t="shared" si="1"/>
        <v>2.9097222221025731E-2</v>
      </c>
      <c r="N70" s="7">
        <f t="shared" si="2"/>
        <v>41.899999998277053</v>
      </c>
      <c r="O70" s="7"/>
      <c r="P70" s="7"/>
      <c r="Q70" s="22"/>
      <c r="R70" s="22"/>
      <c r="S70" s="31">
        <f t="shared" si="3"/>
        <v>1</v>
      </c>
      <c r="T70" s="46" t="str">
        <f t="shared" si="4"/>
        <v>Southbound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5"/>
        <v>https://d0f6bd738d7f1b3e5a7ca70fe4ff75f0.us-east-1.aws.found.io/app/kibana#/discover/Steve-Slow-Train-Analysis-(2080s-and-2083s)?_g=(refreshInterval:(display:Off,pause:!f,section:0,value:0),time:(from:'2017-02-26T10:26:45-0700',mode:absolute,to:'2017-02-26T13:23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0" s="187" t="str">
        <f t="shared" si="6"/>
        <v>N</v>
      </c>
      <c r="X70" s="187">
        <f t="shared" si="7"/>
        <v>1</v>
      </c>
      <c r="Y70" s="62">
        <f t="shared" si="8"/>
        <v>23.3</v>
      </c>
      <c r="Z70" s="62">
        <f t="shared" si="9"/>
        <v>1.38E-2</v>
      </c>
      <c r="AA70" s="62">
        <f t="shared" si="10"/>
        <v>23.286200000000001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0158-26</v>
      </c>
      <c r="AE70" s="85" t="str">
        <f t="shared" si="12"/>
        <v>aws s3 cp s3://rtdc.mdm.uploadarchive.raw/RTDC4028/ "%USERPROFILE%\AppData\Local\Temp\OnboardLogs"\RTDC4028\2017-02-26 --exclude "*" --recursive --include "*20170226*" &amp; "%USERPROFILE%\Documents\GitHub\mrs-test-scripts\Headless Mode &amp; Sideloading\WalkAndUnGZ.bat" "%USERPROFILE%\AppData\Local\Temp\OnboardLogs"\RTDC4028\2017-02-26 &amp; aws s3 cp s3://rtdc.mdm.uploadarchive.raw/RTDC4028/ "%USERPROFILE%\AppData\Local\Temp\OnboardLogs"\RTDC4028\2017-02-27 --exclude "*" --recursive --include "*20170227*" &amp; "%USERPROFILE%\Documents\GitHub\mrs-test-scripts\Headless Mode &amp; Sideloading\WalkAndUnGZ.bat" "%USERPROFILE%\AppData\Local\Temp\OnboardLogs"\RTDC4028\2017-02-27</v>
      </c>
      <c r="AF70" s="82" t="str">
        <f t="shared" si="13"/>
        <v>"C:\Program Files (x86)\AstroGrep\AstroGrep.exe" /spath="%USERPROFILE%\AppData\Local\Temp\OnboardLogs" /stypes="app*4028*20170226*" /stext=" 19:.+((SYSTEM_STATE.+slice.+state.+changed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6" t="str">
        <f t="shared" si="18"/>
        <v>"%USERPROFILE%\Documents\GitHub\eaglep3\Utilities\RefineRTDCRunTimes.py" --tripid 158-26 --locoid 4028 --swversion DE.1.0.9.0 --startMP 204:233000 --initTime 2017-02-26T11:26:45 --startdatetime 2017-02-26T11:41:15 --delay 1 --endMP 204:138 --enddatetime 2017-02-26T12:23:09 --enforcementcount 1 &gt;&gt;C:\Users\stu\Documents\GitHub\eaglep3-reporting\EC\2017-02-26-refined-times.txt</v>
      </c>
      <c r="AI70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{"issue":{"subject":"","project_id":79,"tracker_id":40,"status_id":1,"priority_id":2,"assigned_to_id":23,"start_date":"2017-02-26","description":"","custom_fields":[{"id":1,"name":"Subdivision","value":"EC"},{"id":4,"name":"Milepost","value":"0.0138"},{"id":17,"name":"Train ID","value":"158-26"},{"id":16,"name":"Locomotive ID","value":"4028"},{"id":130,"name":"Impact","value":""},{"id":150,"name":"Time of Event (Mountain Time)","value":"12:23:09"},{"id":151,"name":"Denver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4028 --day 2017-02-26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"%USERPROFILE%\AppData\Local\Temp\OnboardLogs"\RTDC4028\*4028*20170226* | grep -SE "(Enforcement Action)|(\[TIMEOUT)|(CHR.+\|PRM\|1\|D.+(SWITCH|SIGNAL).+UNKNOWN)" - &gt;&gt; 2017-02-26-UncaughtWiMAX.txt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20" customFormat="1" x14ac:dyDescent="0.25">
      <c r="A71" s="33" t="s">
        <v>557</v>
      </c>
      <c r="B71" s="7">
        <v>4018</v>
      </c>
      <c r="C71" s="21" t="s">
        <v>285</v>
      </c>
      <c r="D71" s="21" t="s">
        <v>226</v>
      </c>
      <c r="E71" s="13">
        <v>42792.454629629632</v>
      </c>
      <c r="F71" s="13">
        <v>42792.458587962959</v>
      </c>
      <c r="G71" s="7">
        <v>3</v>
      </c>
      <c r="H71" s="21" t="s">
        <v>829</v>
      </c>
      <c r="I71" s="13">
        <v>42792.483923611115</v>
      </c>
      <c r="J71" s="7">
        <v>1</v>
      </c>
      <c r="K71" s="98" t="str">
        <f t="shared" si="0"/>
        <v>4017/4018</v>
      </c>
      <c r="L71" s="21" t="str">
        <f>VLOOKUP(A71,'Trips&amp;Operators'!$C$1:$G$99999,5,FALSE)</f>
        <v>STEWART MICHAEL</v>
      </c>
      <c r="M71" s="6">
        <f t="shared" si="1"/>
        <v>2.5335648155305535E-2</v>
      </c>
      <c r="N71" s="7">
        <f t="shared" si="2"/>
        <v>36.48333334363997</v>
      </c>
      <c r="O71" s="7"/>
      <c r="P71" s="7"/>
      <c r="Q71" s="22"/>
      <c r="R71" s="22"/>
      <c r="S71" s="31">
        <f t="shared" si="3"/>
        <v>1</v>
      </c>
      <c r="T71" s="46" t="str">
        <f t="shared" si="4"/>
        <v>NorthBound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5"/>
        <v>https://d0f6bd738d7f1b3e5a7ca70fe4ff75f0.us-east-1.aws.found.io/app/kibana#/discover/Steve-Slow-Train-Analysis-(2080s-and-2083s)?_g=(refreshInterval:(display:Off,pause:!f,section:0,value:0),time:(from:'2017-02-26T09:54:40-0700',mode:absolute,to:'2017-02-26T12:36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1" s="187" t="str">
        <f t="shared" si="6"/>
        <v>N</v>
      </c>
      <c r="X71" s="187">
        <f t="shared" si="7"/>
        <v>1</v>
      </c>
      <c r="Y71" s="62">
        <f t="shared" si="8"/>
        <v>4.5699999999999998E-2</v>
      </c>
      <c r="Z71" s="62">
        <f t="shared" si="9"/>
        <v>23.3309</v>
      </c>
      <c r="AA71" s="62">
        <f t="shared" si="10"/>
        <v>23.2852</v>
      </c>
      <c r="AB71" s="59" t="str">
        <f>VLOOKUP(A71,Enforcements!$C$7:$K$13,8,0)</f>
        <v>Bulletin (2)</v>
      </c>
      <c r="AC71" s="55" t="str">
        <f>VLOOKUP(A71,Enforcements!$C$7:$E$13,3,0)</f>
        <v>GRADE CROSSING</v>
      </c>
      <c r="AD71" s="56" t="str">
        <f t="shared" si="11"/>
        <v>0159-26</v>
      </c>
      <c r="AE71" s="85" t="str">
        <f t="shared" si="12"/>
        <v>aws s3 cp s3://rtdc.mdm.uploadarchive.raw/RTDC4018/ "%USERPROFILE%\AppData\Local\Temp\OnboardLogs"\RTDC4018\2017-02-26 --exclude "*" --recursive --include "*20170226*" &amp; "%USERPROFILE%\Documents\GitHub\mrs-test-scripts\Headless Mode &amp; Sideloading\WalkAndUnGZ.bat" "%USERPROFILE%\AppData\Local\Temp\OnboardLogs"\RTDC4018\2017-02-26 &amp; aws s3 cp s3://rtdc.mdm.uploadarchive.raw/RTDC4018/ "%USERPROFILE%\AppData\Local\Temp\OnboardLogs"\RTDC4018\2017-02-27 --exclude "*" --recursive --include "*20170227*" &amp; "%USERPROFILE%\Documents\GitHub\mrs-test-scripts\Headless Mode &amp; Sideloading\WalkAndUnGZ.bat" "%USERPROFILE%\AppData\Local\Temp\OnboardLogs"\RTDC4018\2017-02-27</v>
      </c>
      <c r="AF71" s="82" t="str">
        <f t="shared" si="13"/>
        <v>"C:\Program Files (x86)\AstroGrep\AstroGrep.exe" /spath="%USERPROFILE%\AppData\Local\Temp\OnboardLogs" /stypes="app*4018*20170226*" /stext=" 18:.+((SYSTEM_STATE.+slice.+state.+changed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6" t="str">
        <f t="shared" si="18"/>
        <v>"%USERPROFILE%\Documents\GitHub\eaglep3\Utilities\RefineRTDCRunTimes.py" --tripid 159-26 --locoid 4018 --swversion DE.1.0.9.0 --startMP 204:457 --initTime 2017-02-26T10:54:40 --startdatetime 2017-02-26T11:00:22 --delay 3 --endMP 204:233309 --enddatetime 2017-02-26T11:36:51 --enforcementcount 1 &gt;&gt;C:\Users\stu\Documents\GitHub\eaglep3-reporting\EC\2017-02-26-refined-times.txt</v>
      </c>
      <c r="AI71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{"issue":{"subject":"","project_id":79,"tracker_id":40,"status_id":1,"priority_id":2,"assigned_to_id":23,"start_date":"2017-02-26","description":"","custom_fields":[{"id":1,"name":"Subdivision","value":"EC"},{"id":4,"name":"Milepost","value":"23.3309"},{"id":17,"name":"Train ID","value":"159-26"},{"id":16,"name":"Locomotive ID","value":"4018"},{"id":130,"name":"Impact","value":""},{"id":150,"name":"Time of Event (Mountain Time)","value":"11:36:51"},{"id":151,"name":"Denver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4018 --day 2017-02-26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"%USERPROFILE%\AppData\Local\Temp\OnboardLogs"\RTDC4018\*4018*20170226* | grep -SE "(Enforcement Action)|(\[TIMEOUT)|(CHR.+\|PRM\|1\|D.+(SWITCH|SIGNAL).+UNKNOWN)" - &gt;&gt; 2017-02-26-UncaughtWiMAX.txt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20" customFormat="1" x14ac:dyDescent="0.25">
      <c r="A72" s="33" t="s">
        <v>675</v>
      </c>
      <c r="B72" s="7">
        <v>4017</v>
      </c>
      <c r="C72" s="21" t="s">
        <v>285</v>
      </c>
      <c r="D72" s="21" t="s">
        <v>830</v>
      </c>
      <c r="E72" s="13">
        <v>42792.493391203701</v>
      </c>
      <c r="F72" s="13">
        <v>42792.497581018521</v>
      </c>
      <c r="G72" s="7">
        <v>1</v>
      </c>
      <c r="H72" s="21" t="s">
        <v>194</v>
      </c>
      <c r="I72" s="13">
        <v>42792.527997685182</v>
      </c>
      <c r="J72" s="7">
        <v>1</v>
      </c>
      <c r="K72" s="98" t="str">
        <f t="shared" si="0"/>
        <v>4017/4018</v>
      </c>
      <c r="L72" s="21" t="str">
        <f>VLOOKUP(A72,'Trips&amp;Operators'!$C$1:$G$99999,5,FALSE)</f>
        <v>STEWART MICHAEL</v>
      </c>
      <c r="M72" s="6">
        <f t="shared" si="1"/>
        <v>3.0416666661039926E-2</v>
      </c>
      <c r="N72" s="7">
        <f t="shared" si="2"/>
        <v>43.799999991897494</v>
      </c>
      <c r="O72" s="7"/>
      <c r="P72" s="7"/>
      <c r="Q72" s="22"/>
      <c r="R72" s="22"/>
      <c r="S72" s="31">
        <f t="shared" si="3"/>
        <v>1</v>
      </c>
      <c r="T72" s="46" t="str">
        <f t="shared" si="4"/>
        <v>Southbound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5"/>
        <v>https://d0f6bd738d7f1b3e5a7ca70fe4ff75f0.us-east-1.aws.found.io/app/kibana#/discover/Steve-Slow-Train-Analysis-(2080s-and-2083s)?_g=(refreshInterval:(display:Off,pause:!f,section:0,value:0),time:(from:'2017-02-26T10:50:29-0700',mode:absolute,to:'2017-02-26T13:40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2" s="187" t="str">
        <f t="shared" si="6"/>
        <v>N</v>
      </c>
      <c r="X72" s="187">
        <f t="shared" si="7"/>
        <v>1</v>
      </c>
      <c r="Y72" s="62">
        <f t="shared" si="8"/>
        <v>23.297499999999999</v>
      </c>
      <c r="Z72" s="62">
        <f t="shared" si="9"/>
        <v>1.4999999999999999E-2</v>
      </c>
      <c r="AA72" s="62">
        <f t="shared" si="10"/>
        <v>23.282499999999999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0160-26</v>
      </c>
      <c r="AE72" s="85" t="str">
        <f t="shared" si="12"/>
        <v>aws s3 cp s3://rtdc.mdm.uploadarchive.raw/RTDC4017/ "%USERPROFILE%\AppData\Local\Temp\OnboardLogs"\RTDC4017\2017-02-26 --exclude "*" --recursive --include "*20170226*" &amp; "%USERPROFILE%\Documents\GitHub\mrs-test-scripts\Headless Mode &amp; Sideloading\WalkAndUnGZ.bat" "%USERPROFILE%\AppData\Local\Temp\OnboardLogs"\RTDC4017\2017-02-26 &amp; aws s3 cp s3://rtdc.mdm.uploadarchive.raw/RTDC4017/ "%USERPROFILE%\AppData\Local\Temp\OnboardLogs"\RTDC4017\2017-02-27 --exclude "*" --recursive --include "*20170227*" &amp; "%USERPROFILE%\Documents\GitHub\mrs-test-scripts\Headless Mode &amp; Sideloading\WalkAndUnGZ.bat" "%USERPROFILE%\AppData\Local\Temp\OnboardLogs"\RTDC4017\2017-02-27</v>
      </c>
      <c r="AF72" s="82" t="str">
        <f t="shared" si="13"/>
        <v>"C:\Program Files (x86)\AstroGrep\AstroGrep.exe" /spath="%USERPROFILE%\AppData\Local\Temp\OnboardLogs" /stypes="app*4017*20170226*" /stext=" 19:.+((SYSTEM_STATE.+slice.+state.+changed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6" t="str">
        <f t="shared" si="18"/>
        <v>"%USERPROFILE%\Documents\GitHub\eaglep3\Utilities\RefineRTDCRunTimes.py" --tripid 160-26 --locoid 4017 --swversion DE.1.0.9.0 --startMP 204:232975 --initTime 2017-02-26T11:50:29 --startdatetime 2017-02-26T11:56:31 --delay 1 --endMP 204:150 --enddatetime 2017-02-26T12:40:19 --enforcementcount 1 &gt;&gt;C:\Users\stu\Documents\GitHub\eaglep3-reporting\EC\2017-02-26-refined-times.txt</v>
      </c>
      <c r="AI72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{"issue":{"subject":"","project_id":79,"tracker_id":40,"status_id":1,"priority_id":2,"assigned_to_id":23,"start_date":"2017-02-26","description":"","custom_fields":[{"id":1,"name":"Subdivision","value":"EC"},{"id":4,"name":"Milepost","value":"0.015"},{"id":17,"name":"Train ID","value":"160-26"},{"id":16,"name":"Locomotive ID","value":"4017"},{"id":130,"name":"Impact","value":""},{"id":150,"name":"Time of Event (Mountain Time)","value":"12:40:19"},{"id":151,"name":"Denver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4017 --day 2017-02-26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"%USERPROFILE%\AppData\Local\Temp\OnboardLogs"\RTDC4017\*4017*20170226* | grep -SE "(Enforcement Action)|(\[TIMEOUT)|(CHR.+\|PRM\|1\|D.+(SWITCH|SIGNAL).+UNKNOWN)" - &gt;&gt; 2017-02-26-UncaughtWiMAX.txt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x14ac:dyDescent="0.25">
      <c r="A73" s="33" t="s">
        <v>664</v>
      </c>
      <c r="B73" s="7">
        <v>4025</v>
      </c>
      <c r="C73" s="21" t="s">
        <v>285</v>
      </c>
      <c r="D73" s="21" t="s">
        <v>831</v>
      </c>
      <c r="E73" s="13">
        <v>42792.467569444445</v>
      </c>
      <c r="F73" s="13">
        <v>42792.474004629628</v>
      </c>
      <c r="G73" s="7">
        <v>2</v>
      </c>
      <c r="H73" s="21" t="s">
        <v>296</v>
      </c>
      <c r="I73" s="13">
        <v>42792.502268518518</v>
      </c>
      <c r="J73" s="7">
        <v>1</v>
      </c>
      <c r="K73" s="98" t="str">
        <f t="shared" si="0"/>
        <v>4025/4026</v>
      </c>
      <c r="L73" s="21" t="str">
        <f>VLOOKUP(A73,'Trips&amp;Operators'!$C$1:$G$99999,5,FALSE)</f>
        <v>DAVIS MICHAEL</v>
      </c>
      <c r="M73" s="6">
        <f t="shared" si="1"/>
        <v>2.8263888889341615E-2</v>
      </c>
      <c r="N73" s="7">
        <f t="shared" si="2"/>
        <v>40.700000000651926</v>
      </c>
      <c r="O73" s="7"/>
      <c r="P73" s="7"/>
      <c r="Q73" s="22"/>
      <c r="R73" s="22"/>
      <c r="S73" s="31">
        <f t="shared" si="3"/>
        <v>1</v>
      </c>
      <c r="T73" s="46" t="str">
        <f t="shared" si="4"/>
        <v>NorthBound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5"/>
        <v>https://d0f6bd738d7f1b3e5a7ca70fe4ff75f0.us-east-1.aws.found.io/app/kibana#/discover/Steve-Slow-Train-Analysis-(2080s-and-2083s)?_g=(refreshInterval:(display:Off,pause:!f,section:0,value:0),time:(from:'2017-02-26T10:13:18-0700',mode:absolute,to:'2017-02-26T13:03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3" s="187" t="str">
        <f t="shared" si="6"/>
        <v>N</v>
      </c>
      <c r="X73" s="187">
        <f t="shared" si="7"/>
        <v>1</v>
      </c>
      <c r="Y73" s="62">
        <f t="shared" si="8"/>
        <v>4.1500000000000002E-2</v>
      </c>
      <c r="Z73" s="62">
        <f t="shared" si="9"/>
        <v>23.331399999999999</v>
      </c>
      <c r="AA73" s="62">
        <f t="shared" si="10"/>
        <v>23.289899999999999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0161-26</v>
      </c>
      <c r="AE73" s="85" t="str">
        <f t="shared" si="12"/>
        <v>aws s3 cp s3://rtdc.mdm.uploadarchive.raw/RTDC4025/ "%USERPROFILE%\AppData\Local\Temp\OnboardLogs"\RTDC4025\2017-02-26 --exclude "*" --recursive --include "*20170226*" &amp; "%USERPROFILE%\Documents\GitHub\mrs-test-scripts\Headless Mode &amp; Sideloading\WalkAndUnGZ.bat" "%USERPROFILE%\AppData\Local\Temp\OnboardLogs"\RTDC4025\2017-02-26 &amp; aws s3 cp s3://rtdc.mdm.uploadarchive.raw/RTDC4025/ "%USERPROFILE%\AppData\Local\Temp\OnboardLogs"\RTDC4025\2017-02-27 --exclude "*" --recursive --include "*20170227*" &amp; "%USERPROFILE%\Documents\GitHub\mrs-test-scripts\Headless Mode &amp; Sideloading\WalkAndUnGZ.bat" "%USERPROFILE%\AppData\Local\Temp\OnboardLogs"\RTDC4025\2017-02-27</v>
      </c>
      <c r="AF73" s="82" t="str">
        <f t="shared" si="13"/>
        <v>"C:\Program Files (x86)\AstroGrep\AstroGrep.exe" /spath="%USERPROFILE%\AppData\Local\Temp\OnboardLogs" /stypes="app*4025*20170226*" /stext=" 19:.+((SYSTEM_STATE.+slice.+state.+changed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6" t="str">
        <f t="shared" si="18"/>
        <v>"%USERPROFILE%\Documents\GitHub\eaglep3\Utilities\RefineRTDCRunTimes.py" --tripid 161-26 --locoid 4025 --swversion DE.1.0.9.0 --startMP 204:415 --initTime 2017-02-26T11:13:18 --startdatetime 2017-02-26T11:22:34 --delay 2 --endMP 204:233314 --enddatetime 2017-02-26T12:03:16 --enforcementcount 1 &gt;&gt;C:\Users\stu\Documents\GitHub\eaglep3-reporting\EC\2017-02-26-refined-times.txt</v>
      </c>
      <c r="AI73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{"issue":{"subject":"","project_id":79,"tracker_id":40,"status_id":1,"priority_id":2,"assigned_to_id":23,"start_date":"2017-02-26","description":"","custom_fields":[{"id":1,"name":"Subdivision","value":"EC"},{"id":4,"name":"Milepost","value":"23.3314"},{"id":17,"name":"Train ID","value":"161-26"},{"id":16,"name":"Locomotive ID","value":"4025"},{"id":130,"name":"Impact","value":""},{"id":150,"name":"Time of Event (Mountain Time)","value":"12:03:16"},{"id":151,"name":"Denver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4025 --day 2017-02-26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"%USERPROFILE%\AppData\Local\Temp\OnboardLogs"\RTDC4025\*4025*20170226* | grep -SE "(Enforcement Action)|(\[TIMEOUT)|(CHR.+\|PRM\|1\|D.+(SWITCH|SIGNAL).+UNKNOWN)" - &gt;&gt; 2017-02-26-UncaughtWiMAX.txt</v>
      </c>
    </row>
    <row r="74" spans="1:91" s="20" customFormat="1" x14ac:dyDescent="0.25">
      <c r="A74" s="33" t="s">
        <v>559</v>
      </c>
      <c r="B74" s="7">
        <v>4026</v>
      </c>
      <c r="C74" s="21" t="s">
        <v>285</v>
      </c>
      <c r="D74" s="21" t="s">
        <v>246</v>
      </c>
      <c r="E74" s="13">
        <v>42792.505347222221</v>
      </c>
      <c r="F74" s="13">
        <v>42792.50818287037</v>
      </c>
      <c r="G74" s="7">
        <v>2</v>
      </c>
      <c r="H74" s="21" t="s">
        <v>245</v>
      </c>
      <c r="I74" s="13">
        <v>42792.539699074077</v>
      </c>
      <c r="J74" s="7">
        <v>1</v>
      </c>
      <c r="K74" s="98" t="str">
        <f t="shared" si="0"/>
        <v>4025/4026</v>
      </c>
      <c r="L74" s="21" t="str">
        <f>VLOOKUP(A74,'Trips&amp;Operators'!$C$1:$G$99999,5,FALSE)</f>
        <v>DAVIS MICHAEL</v>
      </c>
      <c r="M74" s="6">
        <f t="shared" si="1"/>
        <v>3.1516203707724344E-2</v>
      </c>
      <c r="N74" s="7">
        <f t="shared" si="2"/>
        <v>45.383333339123055</v>
      </c>
      <c r="O74" s="7"/>
      <c r="P74" s="7"/>
      <c r="Q74" s="22"/>
      <c r="R74" s="22"/>
      <c r="S74" s="31">
        <f t="shared" si="3"/>
        <v>1</v>
      </c>
      <c r="T74" s="46" t="str">
        <f t="shared" si="4"/>
        <v>Southbound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5"/>
        <v>https://d0f6bd738d7f1b3e5a7ca70fe4ff75f0.us-east-1.aws.found.io/app/kibana#/discover/Steve-Slow-Train-Analysis-(2080s-and-2083s)?_g=(refreshInterval:(display:Off,pause:!f,section:0,value:0),time:(from:'2017-02-26T11:07:42-0700',mode:absolute,to:'2017-02-26T13:57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4" s="187" t="str">
        <f t="shared" si="6"/>
        <v>N</v>
      </c>
      <c r="X74" s="187">
        <f t="shared" si="7"/>
        <v>1</v>
      </c>
      <c r="Y74" s="62">
        <f t="shared" si="8"/>
        <v>23.299299999999999</v>
      </c>
      <c r="Z74" s="62">
        <f t="shared" si="9"/>
        <v>1.3899999999999999E-2</v>
      </c>
      <c r="AA74" s="62">
        <f t="shared" si="10"/>
        <v>23.285399999999999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0162-26</v>
      </c>
      <c r="AE74" s="85" t="str">
        <f t="shared" si="12"/>
        <v>aws s3 cp s3://rtdc.mdm.uploadarchive.raw/RTDC4026/ "%USERPROFILE%\AppData\Local\Temp\OnboardLogs"\RTDC4026\2017-02-26 --exclude "*" --recursive --include "*20170226*" &amp; "%USERPROFILE%\Documents\GitHub\mrs-test-scripts\Headless Mode &amp; Sideloading\WalkAndUnGZ.bat" "%USERPROFILE%\AppData\Local\Temp\OnboardLogs"\RTDC4026\2017-02-26 &amp; aws s3 cp s3://rtdc.mdm.uploadarchive.raw/RTDC4026/ "%USERPROFILE%\AppData\Local\Temp\OnboardLogs"\RTDC4026\2017-02-27 --exclude "*" --recursive --include "*20170227*" &amp; "%USERPROFILE%\Documents\GitHub\mrs-test-scripts\Headless Mode &amp; Sideloading\WalkAndUnGZ.bat" "%USERPROFILE%\AppData\Local\Temp\OnboardLogs"\RTDC4026\2017-02-27</v>
      </c>
      <c r="AF74" s="82" t="str">
        <f t="shared" si="13"/>
        <v>"C:\Program Files (x86)\AstroGrep\AstroGrep.exe" /spath="%USERPROFILE%\AppData\Local\Temp\OnboardLogs" /stypes="app*4026*20170226*"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6" t="str">
        <f t="shared" si="18"/>
        <v>"%USERPROFILE%\Documents\GitHub\eaglep3\Utilities\RefineRTDCRunTimes.py" --tripid 162-26 --locoid 4026 --swversion DE.1.0.9.0 --startMP 204:232993 --initTime 2017-02-26T12:07:42 --startdatetime 2017-02-26T12:11:47 --delay 2 --endMP 204:139 --enddatetime 2017-02-26T12:57:10 --enforcementcount 1 &gt;&gt;C:\Users\stu\Documents\GitHub\eaglep3-reporting\EC\2017-02-26-refined-times.txt</v>
      </c>
      <c r="AI74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{"issue":{"subject":"","project_id":79,"tracker_id":40,"status_id":1,"priority_id":2,"assigned_to_id":23,"start_date":"2017-02-26","description":"","custom_fields":[{"id":1,"name":"Subdivision","value":"EC"},{"id":4,"name":"Milepost","value":"0.0139"},{"id":17,"name":"Train ID","value":"162-26"},{"id":16,"name":"Locomotive ID","value":"4026"},{"id":130,"name":"Impact","value":""},{"id":150,"name":"Time of Event (Mountain Time)","value":"12:57:10"},{"id":151,"name":"Denver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4026 --day 2017-02-26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"%USERPROFILE%\AppData\Local\Temp\OnboardLogs"\RTDC4026\*4026*20170226* | grep -SE "(Enforcement Action)|(\[TIMEOUT)|(CHR.+\|PRM\|1\|D.+(SWITCH|SIGNAL).+UNKNOWN)" - &gt;&gt; 2017-02-26-UncaughtWiMAX.txt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669</v>
      </c>
      <c r="B75" s="7">
        <v>4029</v>
      </c>
      <c r="C75" s="21" t="s">
        <v>285</v>
      </c>
      <c r="D75" s="21" t="s">
        <v>394</v>
      </c>
      <c r="E75" s="13">
        <v>42792.476134259261</v>
      </c>
      <c r="F75" s="13">
        <v>42792.479467592595</v>
      </c>
      <c r="G75" s="7">
        <v>2</v>
      </c>
      <c r="H75" s="21" t="s">
        <v>832</v>
      </c>
      <c r="I75" s="13">
        <v>42792.507025462961</v>
      </c>
      <c r="J75" s="7">
        <v>1</v>
      </c>
      <c r="K75" s="98" t="str">
        <f t="shared" si="0"/>
        <v>4029/4030</v>
      </c>
      <c r="L75" s="21" t="str">
        <f>VLOOKUP(A75,'Trips&amp;Operators'!$C$1:$G$99999,5,FALSE)</f>
        <v>LEVIN SCOTT</v>
      </c>
      <c r="M75" s="6">
        <f t="shared" si="1"/>
        <v>2.7557870365853887E-2</v>
      </c>
      <c r="N75" s="7">
        <f t="shared" si="2"/>
        <v>39.683333326829597</v>
      </c>
      <c r="O75" s="7"/>
      <c r="P75" s="7"/>
      <c r="Q75" s="22"/>
      <c r="R75" s="22"/>
      <c r="S75" s="31">
        <f t="shared" si="3"/>
        <v>1</v>
      </c>
      <c r="T75" s="46" t="str">
        <f t="shared" si="4"/>
        <v>NorthBound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5"/>
        <v>https://d0f6bd738d7f1b3e5a7ca70fe4ff75f0.us-east-1.aws.found.io/app/kibana#/discover/Steve-Slow-Train-Analysis-(2080s-and-2083s)?_g=(refreshInterval:(display:Off,pause:!f,section:0,value:0),time:(from:'2017-02-26T10:25:38-0700',mode:absolute,to:'2017-02-26T13:10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5" s="187" t="str">
        <f t="shared" si="6"/>
        <v>N</v>
      </c>
      <c r="X75" s="187">
        <f t="shared" si="7"/>
        <v>1</v>
      </c>
      <c r="Y75" s="62">
        <f t="shared" si="8"/>
        <v>5.2200000000000003E-2</v>
      </c>
      <c r="Z75" s="62">
        <f t="shared" si="9"/>
        <v>23.334499999999998</v>
      </c>
      <c r="AA75" s="62">
        <f t="shared" si="10"/>
        <v>23.282299999999999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0163-26</v>
      </c>
      <c r="AE75" s="85" t="str">
        <f t="shared" si="12"/>
        <v>aws s3 cp s3://rtdc.mdm.uploadarchive.raw/RTDC4029/ "%USERPROFILE%\AppData\Local\Temp\OnboardLogs"\RTDC4029\2017-02-26 --exclude "*" --recursive --include "*20170226*" &amp; "%USERPROFILE%\Documents\GitHub\mrs-test-scripts\Headless Mode &amp; Sideloading\WalkAndUnGZ.bat" "%USERPROFILE%\AppData\Local\Temp\OnboardLogs"\RTDC4029\2017-02-26 &amp; aws s3 cp s3://rtdc.mdm.uploadarchive.raw/RTDC4029/ "%USERPROFILE%\AppData\Local\Temp\OnboardLogs"\RTDC4029\2017-02-27 --exclude "*" --recursive --include "*20170227*" &amp; "%USERPROFILE%\Documents\GitHub\mrs-test-scripts\Headless Mode &amp; Sideloading\WalkAndUnGZ.bat" "%USERPROFILE%\AppData\Local\Temp\OnboardLogs"\RTDC4029\2017-02-27</v>
      </c>
      <c r="AF75" s="82" t="str">
        <f t="shared" si="13"/>
        <v>"C:\Program Files (x86)\AstroGrep\AstroGrep.exe" /spath="%USERPROFILE%\AppData\Local\Temp\OnboardLogs" /stypes="app*4029*20170226*"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6" t="str">
        <f t="shared" si="18"/>
        <v>"%USERPROFILE%\Documents\GitHub\eaglep3\Utilities\RefineRTDCRunTimes.py" --tripid 163-26 --locoid 4029 --swversion DE.1.0.9.0 --startMP 204:522 --initTime 2017-02-26T11:25:38 --startdatetime 2017-02-26T11:30:26 --delay 2 --endMP 204:233345 --enddatetime 2017-02-26T12:10:07 --enforcementcount 1 &gt;&gt;C:\Users\stu\Documents\GitHub\eaglep3-reporting\EC\2017-02-26-refined-times.txt</v>
      </c>
      <c r="AI75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{"issue":{"subject":"","project_id":79,"tracker_id":40,"status_id":1,"priority_id":2,"assigned_to_id":23,"start_date":"2017-02-26","description":"","custom_fields":[{"id":1,"name":"Subdivision","value":"EC"},{"id":4,"name":"Milepost","value":"23.3345"},{"id":17,"name":"Train ID","value":"163-26"},{"id":16,"name":"Locomotive ID","value":"4029"},{"id":130,"name":"Impact","value":""},{"id":150,"name":"Time of Event (Mountain Time)","value":"12:10:07"},{"id":151,"name":"Denver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4029 --day 2017-02-26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"%USERPROFILE%\AppData\Local\Temp\OnboardLogs"\RTDC4029\*4029*20170226* | grep -SE "(Enforcement Action)|(\[TIMEOUT)|(CHR.+\|PRM\|1\|D.+(SWITCH|SIGNAL).+UNKNOWN)" - &gt;&gt; 2017-02-26-UncaughtWiMAX.txt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560</v>
      </c>
      <c r="B76" s="7">
        <v>4030</v>
      </c>
      <c r="C76" s="21" t="s">
        <v>285</v>
      </c>
      <c r="D76" s="21" t="s">
        <v>391</v>
      </c>
      <c r="E76" s="13">
        <v>42792.513958333337</v>
      </c>
      <c r="F76" s="13">
        <v>42792.51835648148</v>
      </c>
      <c r="G76" s="7">
        <v>4</v>
      </c>
      <c r="H76" s="21" t="s">
        <v>267</v>
      </c>
      <c r="I76" s="13">
        <v>42792.548449074071</v>
      </c>
      <c r="J76" s="7">
        <v>1</v>
      </c>
      <c r="K76" s="98" t="str">
        <f t="shared" si="0"/>
        <v>4029/4030</v>
      </c>
      <c r="L76" s="21" t="str">
        <f>VLOOKUP(A76,'Trips&amp;Operators'!$C$1:$G$99999,5,FALSE)</f>
        <v>HOLCOMB KAMDEN</v>
      </c>
      <c r="M76" s="6">
        <f t="shared" si="1"/>
        <v>3.0092592591245193E-2</v>
      </c>
      <c r="N76" s="7">
        <f t="shared" si="2"/>
        <v>43.333333331393078</v>
      </c>
      <c r="O76" s="7"/>
      <c r="P76" s="7"/>
      <c r="Q76" s="22"/>
      <c r="R76" s="22"/>
      <c r="S76" s="31">
        <f t="shared" si="3"/>
        <v>1</v>
      </c>
      <c r="T76" s="46" t="str">
        <f t="shared" si="4"/>
        <v>Southbound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5"/>
        <v>https://d0f6bd738d7f1b3e5a7ca70fe4ff75f0.us-east-1.aws.found.io/app/kibana#/discover/Steve-Slow-Train-Analysis-(2080s-and-2083s)?_g=(refreshInterval:(display:Off,pause:!f,section:0,value:0),time:(from:'2017-02-26T11:20:06-0700',mode:absolute,to:'2017-02-26T14:09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6" s="187" t="str">
        <f t="shared" si="6"/>
        <v>N</v>
      </c>
      <c r="X76" s="187">
        <f t="shared" si="7"/>
        <v>1</v>
      </c>
      <c r="Y76" s="62">
        <f t="shared" si="8"/>
        <v>23.301500000000001</v>
      </c>
      <c r="Z76" s="62">
        <f t="shared" si="9"/>
        <v>1.47E-2</v>
      </c>
      <c r="AA76" s="62">
        <f t="shared" si="10"/>
        <v>23.286799999999999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0164-26</v>
      </c>
      <c r="AE76" s="85" t="str">
        <f t="shared" si="12"/>
        <v>aws s3 cp s3://rtdc.mdm.uploadarchive.raw/RTDC4030/ "%USERPROFILE%\AppData\Local\Temp\OnboardLogs"\RTDC4030\2017-02-26 --exclude "*" --recursive --include "*20170226*" &amp; "%USERPROFILE%\Documents\GitHub\mrs-test-scripts\Headless Mode &amp; Sideloading\WalkAndUnGZ.bat" "%USERPROFILE%\AppData\Local\Temp\OnboardLogs"\RTDC4030\2017-02-26 &amp; aws s3 cp s3://rtdc.mdm.uploadarchive.raw/RTDC4030/ "%USERPROFILE%\AppData\Local\Temp\OnboardLogs"\RTDC4030\2017-02-27 --exclude "*" --recursive --include "*20170227*" &amp; "%USERPROFILE%\Documents\GitHub\mrs-test-scripts\Headless Mode &amp; Sideloading\WalkAndUnGZ.bat" "%USERPROFILE%\AppData\Local\Temp\OnboardLogs"\RTDC4030\2017-02-27</v>
      </c>
      <c r="AF76" s="82" t="str">
        <f t="shared" si="13"/>
        <v>"C:\Program Files (x86)\AstroGrep\AstroGrep.exe" /spath="%USERPROFILE%\AppData\Local\Temp\OnboardLogs" /stypes="app*4030*20170226*" /stext=" 20:.+((SYSTEM_STATE.+slice.+state.+changed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6" t="str">
        <f t="shared" si="18"/>
        <v>"%USERPROFILE%\Documents\GitHub\eaglep3\Utilities\RefineRTDCRunTimes.py" --tripid 164-26 --locoid 4030 --swversion DE.1.0.9.0 --startMP 204:233015 --initTime 2017-02-26T12:20:06 --startdatetime 2017-02-26T12:26:26 --delay 4 --endMP 204:147 --enddatetime 2017-02-26T13:09:46 --enforcementcount 1 &gt;&gt;C:\Users\stu\Documents\GitHub\eaglep3-reporting\EC\2017-02-26-refined-times.txt</v>
      </c>
      <c r="AI76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{"issue":{"subject":"","project_id":79,"tracker_id":40,"status_id":1,"priority_id":2,"assigned_to_id":23,"start_date":"2017-02-26","description":"","custom_fields":[{"id":1,"name":"Subdivision","value":"EC"},{"id":4,"name":"Milepost","value":"0.0147"},{"id":17,"name":"Train ID","value":"164-26"},{"id":16,"name":"Locomotive ID","value":"4030"},{"id":130,"name":"Impact","value":""},{"id":150,"name":"Time of Event (Mountain Time)","value":"13:09:46"},{"id":151,"name":"Denver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4030 --day 2017-02-26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"%USERPROFILE%\AppData\Local\Temp\OnboardLogs"\RTDC4030\*4030*20170226* | grep -SE "(Enforcement Action)|(\[TIMEOUT)|(CHR.+\|PRM\|1\|D.+(SWITCH|SIGNAL).+UNKNOWN)" - &gt;&gt; 2017-02-26-UncaughtWiMAX.txt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20" customFormat="1" x14ac:dyDescent="0.25">
      <c r="A77" s="33" t="s">
        <v>674</v>
      </c>
      <c r="B77" s="7">
        <v>4003</v>
      </c>
      <c r="C77" s="21" t="s">
        <v>285</v>
      </c>
      <c r="D77" s="21" t="s">
        <v>304</v>
      </c>
      <c r="E77" s="13">
        <v>42792.487303240741</v>
      </c>
      <c r="F77" s="13">
        <v>42792.489756944444</v>
      </c>
      <c r="G77" s="7">
        <v>1</v>
      </c>
      <c r="H77" s="21" t="s">
        <v>833</v>
      </c>
      <c r="I77" s="13">
        <v>42792.514652777776</v>
      </c>
      <c r="J77" s="7">
        <v>1</v>
      </c>
      <c r="K77" s="98" t="str">
        <f t="shared" ref="K77:K140" si="21">IF(ISEVEN(B77),(B77-1)&amp;"/"&amp;B77,B77&amp;"/"&amp;(B77+1))</f>
        <v>4003/4004</v>
      </c>
      <c r="L77" s="21" t="str">
        <f>VLOOKUP(A77,'Trips&amp;Operators'!$C$1:$G$99999,5,FALSE)</f>
        <v>BRUDER RICHARD</v>
      </c>
      <c r="M77" s="6">
        <f t="shared" ref="M77:M140" si="22">I77-F77</f>
        <v>2.4895833332266193E-2</v>
      </c>
      <c r="N77" s="7">
        <f t="shared" ref="N77:P140" si="23">24*60*SUM($M77:$M77)</f>
        <v>35.849999998463318</v>
      </c>
      <c r="O77" s="7"/>
      <c r="P77" s="7"/>
      <c r="Q77" s="22"/>
      <c r="R77" s="22"/>
      <c r="S77" s="31">
        <f t="shared" ref="S77:S140" si="24">SUM(U77:U77)/IF(AG77="EC",12,1)</f>
        <v>1</v>
      </c>
      <c r="T77" s="46" t="str">
        <f t="shared" ref="T77:T140" si="25">IF(ISEVEN(LEFT(AD77,4)),"Southbound","NorthBound")</f>
        <v>NorthBound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2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-02-26T10:41:43-0700',mode:absolute,to:'2017-02-26T13:21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7" s="187" t="str">
        <f t="shared" ref="W77:W140" si="27">IF(AA77&lt;IF(AG77="EC",23,5.65),"Y","N")</f>
        <v>N</v>
      </c>
      <c r="X77" s="187">
        <f t="shared" ref="X77:X140" si="28">VALUE(LEFT(AD77,4))-VALUE(LEFT(AD76,4))</f>
        <v>1</v>
      </c>
      <c r="Y77" s="62">
        <f t="shared" ref="Y77:Y140" si="29">RIGHT(D77,LEN(D77)-4)/10000</f>
        <v>4.4900000000000002E-2</v>
      </c>
      <c r="Z77" s="62">
        <f t="shared" ref="Z77:Z140" si="30">RIGHT(H77,LEN(H77)-4)/10000</f>
        <v>23.331900000000001</v>
      </c>
      <c r="AA77" s="62">
        <f t="shared" ref="AA77:AA140" si="31">ABS(Z77-Y77)</f>
        <v>23.287000000000003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2">IF(LEN(A77)=6,"0"&amp;A77,A77)</f>
        <v>0165-26</v>
      </c>
      <c r="AE77" s="85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 &amp; aws s3 cp s3://rtdc.mdm.uploadarchive.raw/RTDC4003/ "%USERPROFILE%\AppData\Local\Temp\OnboardLogs"\RTDC4003\2017-02-27 --exclude "*" --recursive --include "*20170227*" &amp; "%USERPROFILE%\Documents\GitHub\mrs-test-scripts\Headless Mode &amp; Sideloading\WalkAndUnGZ.bat" "%USERPROFILE%\AppData\Local\Temp\OnboardLogs"\RTDC4003\2017-02-27</v>
      </c>
      <c r="AF77" s="82" t="str">
        <f t="shared" ref="AF77:AF140" si="34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/stypes="app*4003*20170226*" /stext=" 19:.+((SYSTEM_STATE.+slice.+state.+changed )|(ment ac)|(multiple cpu faults)|(system.+state.+changed )|(\[timeout)|(PRM\|1\|D)|(kpr)|(kdp)|(\|lc)|(penalty))" /e /r /s</v>
      </c>
      <c r="AG77" s="1" t="str">
        <f t="shared" ref="AG77:AG140" si="35">IFERROR(IF(VALUE(LEFT(AD77,2))&lt;=2,"EC",IF(OR(VALUE(LEFT(AD77,2))=8,VALUE(LEFT(AD77,2))=18),"NW","Other")),"Other")</f>
        <v>EC</v>
      </c>
      <c r="AH77" s="86" t="str">
        <f t="shared" si="18"/>
        <v>"%USERPROFILE%\Documents\GitHub\eaglep3\Utilities\RefineRTDCRunTimes.py" --tripid 165-26 --locoid 4003 --swversion DE.1.0.9.0 --startMP 204:449 --initTime 2017-02-26T11:41:43 --startdatetime 2017-02-26T11:45:15 --delay 1 --endMP 204:233319 --enddatetime 2017-02-26T12:21:06 --enforcementcount 1 &gt;&gt;C:\Users\stu\Documents\GitHub\eaglep3-reporting\EC\2017-02-26-refined-times.txt</v>
      </c>
      <c r="AI77" s="108" t="str">
        <f t="shared" si="19"/>
        <v>echo {"issue":{"subject":"","project_id":79,"tracker_id":40,"status_id":1,"priority_id":2,"assigned_to_id":23,"start_date":"2017-02-26","description":"","custom_fields":[{"id":1,"name":"Subdivision","value":"EC"},{"id":4,"name":"Milepost","value":"23.3319"},{"id":17,"name":"Train ID","value":"165-26"},{"id":16,"name":"Locomotive ID","value":"4003"},{"id":130,"name":"Impact","value":""},{"id":150,"name":"Time of Event (Mountain Time)","value":"12:21:06"},{"id":151,"name":"Denver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4003 --day 2017-02-26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"%USERPROFILE%\AppData\Local\Temp\OnboardLogs"\RTDC4003\*4003*20170226* | grep -SE "(Enforcement Action)|(\[TIMEOUT)|(CHR.+\|PRM\|1\|D.+(SWITCH|SIGNAL).+UNKNOWN)" - &gt;&gt; 2017-02-26-UncaughtWiMAX.txt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x14ac:dyDescent="0.25">
      <c r="A78" s="33" t="s">
        <v>683</v>
      </c>
      <c r="B78" s="7">
        <v>4004</v>
      </c>
      <c r="C78" s="21" t="s">
        <v>285</v>
      </c>
      <c r="D78" s="21" t="s">
        <v>310</v>
      </c>
      <c r="E78" s="13">
        <v>42792.521678240744</v>
      </c>
      <c r="F78" s="13">
        <v>42792.528703703705</v>
      </c>
      <c r="G78" s="7">
        <v>1</v>
      </c>
      <c r="H78" s="21" t="s">
        <v>381</v>
      </c>
      <c r="I78" s="13">
        <v>42792.557638888888</v>
      </c>
      <c r="J78" s="7">
        <v>1</v>
      </c>
      <c r="K78" s="98" t="str">
        <f t="shared" si="21"/>
        <v>4003/4004</v>
      </c>
      <c r="L78" s="21" t="str">
        <f>VLOOKUP(A78,'Trips&amp;Operators'!$C$1:$G$99999,5,FALSE)</f>
        <v>BRUDER RICHARD</v>
      </c>
      <c r="M78" s="6">
        <f t="shared" si="22"/>
        <v>2.8935185182490386E-2</v>
      </c>
      <c r="N78" s="7">
        <f t="shared" si="23"/>
        <v>41.666666662786156</v>
      </c>
      <c r="O78" s="7"/>
      <c r="P78" s="7"/>
      <c r="Q78" s="22"/>
      <c r="R78" s="22"/>
      <c r="S78" s="31">
        <f t="shared" si="24"/>
        <v>1</v>
      </c>
      <c r="T78" s="46" t="str">
        <f t="shared" si="25"/>
        <v>Southbound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26"/>
        <v>https://d0f6bd738d7f1b3e5a7ca70fe4ff75f0.us-east-1.aws.found.io/app/kibana#/discover/Steve-Slow-Train-Analysis-(2080s-and-2083s)?_g=(refreshInterval:(display:Off,pause:!f,section:0,value:0),time:(from:'2017-02-26T11:31:13-0700',mode:absolute,to:'2017-02-26T14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8" s="187" t="str">
        <f t="shared" si="27"/>
        <v>N</v>
      </c>
      <c r="X78" s="187">
        <f t="shared" si="28"/>
        <v>1</v>
      </c>
      <c r="Y78" s="62">
        <f t="shared" si="29"/>
        <v>23.3002</v>
      </c>
      <c r="Z78" s="62">
        <f t="shared" si="30"/>
        <v>1.8100000000000002E-2</v>
      </c>
      <c r="AA78" s="62">
        <f t="shared" si="31"/>
        <v>23.2821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2"/>
        <v>0166-26</v>
      </c>
      <c r="AE78" s="85" t="str">
        <f t="shared" si="33"/>
        <v>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 &amp; aws s3 cp s3://rtdc.mdm.uploadarchive.raw/RTDC4004/ "%USERPROFILE%\AppData\Local\Temp\OnboardLogs"\RTDC4004\2017-02-27 --exclude "*" --recursive --include "*20170227*" &amp; "%USERPROFILE%\Documents\GitHub\mrs-test-scripts\Headless Mode &amp; Sideloading\WalkAndUnGZ.bat" "%USERPROFILE%\AppData\Local\Temp\OnboardLogs"\RTDC4004\2017-02-27</v>
      </c>
      <c r="AF78" s="82" t="str">
        <f t="shared" si="34"/>
        <v>"C:\Program Files (x86)\AstroGrep\AstroGrep.exe" /spath="%USERPROFILE%\AppData\Local\Temp\OnboardLogs" /stypes="app*4004*20170226*" /stext=" 20:.+((SYSTEM_STATE.+slice.+state.+changed )|(ment ac)|(multiple cpu faults)|(system.+state.+changed )|(\[timeout)|(PRM\|1\|D)|(kpr)|(kdp)|(\|lc)|(penalty))" /e /r /s</v>
      </c>
      <c r="AG78" s="1" t="str">
        <f t="shared" si="35"/>
        <v>EC</v>
      </c>
      <c r="AH78" s="86" t="str">
        <f t="shared" ref="AH78:AH141" si="3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166-26 --locoid 4004 --swversion DE.1.0.9.0 --startMP 204:233002 --initTime 2017-02-26T12:31:13 --startdatetime 2017-02-26T12:41:20 --delay 1 --endMP 204:181 --enddatetime 2017-02-26T13:23:00 --enforcementcount 1 &gt;&gt;C:\Users\stu\Documents\GitHub\eaglep3-reporting\EC\2017-02-26-refined-times.txt</v>
      </c>
      <c r="AI78" s="108" t="str">
        <f t="shared" ref="AI78:AI141" si="3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{"issue":{"subject":"","project_id":79,"tracker_id":40,"status_id":1,"priority_id":2,"assigned_to_id":23,"start_date":"2017-02-26","description":"","custom_fields":[{"id":1,"name":"Subdivision","value":"EC"},{"id":4,"name":"Milepost","value":"0.0181"},{"id":17,"name":"Train ID","value":"166-26"},{"id":16,"name":"Locomotive ID","value":"4004"},{"id":130,"name":"Impact","value":""},{"id":150,"name":"Time of Event (Mountain Time)","value":"13:23:00"},{"id":151,"name":"Denver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1" si="38">"start /low /b "&amp;dls3logs&amp;" --loco "&amp;B78&amp;" --day "&amp;TEXT(F78,"YYYY-MM-DD")</f>
        <v>start /low /b %USERPROFILE%\Documents\GitHub\eaglep3\Utilities\DownloadLogsFromS3.py --loco 4004 --day 2017-02-26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"%USERPROFILE%\AppData\Local\Temp\OnboardLogs"\RTDC4004\*4004*20170226* | grep -SE "(Enforcement Action)|(\[TIMEOUT)|(CHR.+\|PRM\|1\|D.+(SWITCH|SIGNAL).+UNKNOWN)" - &gt;&gt; 2017-02-26-UncaughtWiMAX.txt</v>
      </c>
    </row>
    <row r="79" spans="1:91" s="20" customFormat="1" x14ac:dyDescent="0.25">
      <c r="A79" s="33" t="s">
        <v>676</v>
      </c>
      <c r="B79" s="7">
        <v>4009</v>
      </c>
      <c r="C79" s="21" t="s">
        <v>285</v>
      </c>
      <c r="D79" s="21" t="s">
        <v>225</v>
      </c>
      <c r="E79" s="13">
        <v>42792.495335648149</v>
      </c>
      <c r="F79" s="13">
        <v>42792.500185185185</v>
      </c>
      <c r="G79" s="7">
        <v>1</v>
      </c>
      <c r="H79" s="21" t="s">
        <v>834</v>
      </c>
      <c r="I79" s="13">
        <v>42792.525266203702</v>
      </c>
      <c r="J79" s="7">
        <v>1</v>
      </c>
      <c r="K79" s="98" t="str">
        <f t="shared" si="21"/>
        <v>4009/4010</v>
      </c>
      <c r="L79" s="21" t="str">
        <f>VLOOKUP(A79,'Trips&amp;Operators'!$C$1:$G$99999,5,FALSE)</f>
        <v>CRAYTON QUNTRELL</v>
      </c>
      <c r="M79" s="6">
        <f t="shared" si="22"/>
        <v>2.5081018517084885E-2</v>
      </c>
      <c r="N79" s="7">
        <f t="shared" si="23"/>
        <v>36.116666664602235</v>
      </c>
      <c r="O79" s="7"/>
      <c r="P79" s="7"/>
      <c r="Q79" s="22"/>
      <c r="R79" s="22"/>
      <c r="S79" s="31">
        <f t="shared" si="24"/>
        <v>1</v>
      </c>
      <c r="T79" s="46" t="str">
        <f t="shared" si="25"/>
        <v>NorthBound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26"/>
        <v>https://d0f6bd738d7f1b3e5a7ca70fe4ff75f0.us-east-1.aws.found.io/app/kibana#/discover/Steve-Slow-Train-Analysis-(2080s-and-2083s)?_g=(refreshInterval:(display:Off,pause:!f,section:0,value:0),time:(from:'2017-02-26T10:53:17-0700',mode:absolute,to:'2017-02-26T13:36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9" s="187" t="str">
        <f t="shared" si="27"/>
        <v>N</v>
      </c>
      <c r="X79" s="187">
        <f t="shared" si="28"/>
        <v>1</v>
      </c>
      <c r="Y79" s="62">
        <f t="shared" si="29"/>
        <v>4.5100000000000001E-2</v>
      </c>
      <c r="Z79" s="62">
        <f t="shared" si="30"/>
        <v>23.328800000000001</v>
      </c>
      <c r="AA79" s="62">
        <f t="shared" si="31"/>
        <v>23.2837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2"/>
        <v>0167-26</v>
      </c>
      <c r="AE79" s="85" t="str">
        <f t="shared" si="33"/>
        <v>aws s3 cp s3://rtdc.mdm.uploadarchive.raw/RTDC4009/ "%USERPROFILE%\AppData\Local\Temp\OnboardLogs"\RTDC4009\2017-02-26 --exclude "*" --recursive --include "*20170226*" &amp; "%USERPROFILE%\Documents\GitHub\mrs-test-scripts\Headless Mode &amp; Sideloading\WalkAndUnGZ.bat" "%USERPROFILE%\AppData\Local\Temp\OnboardLogs"\RTDC4009\2017-02-26 &amp; aws s3 cp s3://rtdc.mdm.uploadarchive.raw/RTDC4009/ "%USERPROFILE%\AppData\Local\Temp\OnboardLogs"\RTDC4009\2017-02-27 --exclude "*" --recursive --include "*20170227*" &amp; "%USERPROFILE%\Documents\GitHub\mrs-test-scripts\Headless Mode &amp; Sideloading\WalkAndUnGZ.bat" "%USERPROFILE%\AppData\Local\Temp\OnboardLogs"\RTDC4009\2017-02-27</v>
      </c>
      <c r="AF79" s="82" t="str">
        <f t="shared" si="34"/>
        <v>"C:\Program Files (x86)\AstroGrep\AstroGrep.exe" /spath="%USERPROFILE%\AppData\Local\Temp\OnboardLogs" /stypes="app*4009*20170226*" /stext=" 19:.+((SYSTEM_STATE.+slice.+state.+changed )|(ment ac)|(multiple cpu faults)|(system.+state.+changed )|(\[timeout)|(PRM\|1\|D)|(kpr)|(kdp)|(\|lc)|(penalty))" /e /r /s</v>
      </c>
      <c r="AG79" s="1" t="str">
        <f t="shared" si="35"/>
        <v>EC</v>
      </c>
      <c r="AH79" s="86" t="str">
        <f t="shared" si="36"/>
        <v>"%USERPROFILE%\Documents\GitHub\eaglep3\Utilities\RefineRTDCRunTimes.py" --tripid 167-26 --locoid 4009 --swversion DE.1.0.9.0 --startMP 204:451 --initTime 2017-02-26T11:53:17 --startdatetime 2017-02-26T12:00:16 --delay 1 --endMP 204:233288 --enddatetime 2017-02-26T12:36:23 --enforcementcount 1 &gt;&gt;C:\Users\stu\Documents\GitHub\eaglep3-reporting\EC\2017-02-26-refined-times.txt</v>
      </c>
      <c r="AI79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{"issue":{"subject":"","project_id":79,"tracker_id":40,"status_id":1,"priority_id":2,"assigned_to_id":23,"start_date":"2017-02-26","description":"","custom_fields":[{"id":1,"name":"Subdivision","value":"EC"},{"id":4,"name":"Milepost","value":"23.3288"},{"id":17,"name":"Train ID","value":"167-26"},{"id":16,"name":"Locomotive ID","value":"4009"},{"id":130,"name":"Impact","value":""},{"id":150,"name":"Time of Event (Mountain Time)","value":"12:36:23"},{"id":151,"name":"Denver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38"/>
        <v>start /low /b %USERPROFILE%\Documents\GitHub\eaglep3\Utilities\DownloadLogsFromS3.py --loco 4009 --day 2017-02-26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"%USERPROFILE%\AppData\Local\Temp\OnboardLogs"\RTDC4009\*4009*20170226* | grep -SE "(Enforcement Action)|(\[TIMEOUT)|(CHR.+\|PRM\|1\|D.+(SWITCH|SIGNAL).+UNKNOWN)" - &gt;&gt; 2017-02-26-UncaughtWiMAX.txt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685</v>
      </c>
      <c r="B80" s="7">
        <v>4010</v>
      </c>
      <c r="C80" s="21" t="s">
        <v>285</v>
      </c>
      <c r="D80" s="21" t="s">
        <v>275</v>
      </c>
      <c r="E80" s="13">
        <v>42792.529085648152</v>
      </c>
      <c r="F80" s="13">
        <v>42792.539050925923</v>
      </c>
      <c r="G80" s="7">
        <v>2</v>
      </c>
      <c r="H80" s="21" t="s">
        <v>308</v>
      </c>
      <c r="I80" s="13">
        <v>42792.568958333337</v>
      </c>
      <c r="J80" s="7">
        <v>1</v>
      </c>
      <c r="K80" s="98" t="str">
        <f t="shared" si="21"/>
        <v>4009/4010</v>
      </c>
      <c r="L80" s="21" t="str">
        <f>VLOOKUP(A80,'Trips&amp;Operators'!$C$1:$G$99999,5,FALSE)</f>
        <v>CRAYTON QUNTRELL</v>
      </c>
      <c r="M80" s="6">
        <f t="shared" si="22"/>
        <v>2.9907407413702458E-2</v>
      </c>
      <c r="N80" s="7">
        <f t="shared" si="23"/>
        <v>43.06666667573154</v>
      </c>
      <c r="O80" s="7"/>
      <c r="P80" s="7"/>
      <c r="Q80" s="22"/>
      <c r="R80" s="22"/>
      <c r="S80" s="31">
        <f t="shared" si="24"/>
        <v>1</v>
      </c>
      <c r="T80" s="46" t="str">
        <f t="shared" si="25"/>
        <v>Southbound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26"/>
        <v>https://d0f6bd738d7f1b3e5a7ca70fe4ff75f0.us-east-1.aws.found.io/app/kibana#/discover/Steve-Slow-Train-Analysis-(2080s-and-2083s)?_g=(refreshInterval:(display:Off,pause:!f,section:0,value:0),time:(from:'2017-02-26T11:41:53-0700',mode:absolute,to:'2017-02-26T14:39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0" s="187" t="str">
        <f t="shared" si="27"/>
        <v>N</v>
      </c>
      <c r="X80" s="187">
        <f t="shared" si="28"/>
        <v>1</v>
      </c>
      <c r="Y80" s="62">
        <f t="shared" si="29"/>
        <v>23.298200000000001</v>
      </c>
      <c r="Z80" s="62">
        <f t="shared" si="30"/>
        <v>1.6500000000000001E-2</v>
      </c>
      <c r="AA80" s="62">
        <f t="shared" si="31"/>
        <v>23.281700000000001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2"/>
        <v>0168-26</v>
      </c>
      <c r="AE80" s="85" t="str">
        <f t="shared" si="33"/>
        <v>aws s3 cp s3://rtdc.mdm.uploadarchive.raw/RTDC4010/ "%USERPROFILE%\AppData\Local\Temp\OnboardLogs"\RTDC4010\2017-02-26 --exclude "*" --recursive --include "*20170226*" &amp; "%USERPROFILE%\Documents\GitHub\mrs-test-scripts\Headless Mode &amp; Sideloading\WalkAndUnGZ.bat" "%USERPROFILE%\AppData\Local\Temp\OnboardLogs"\RTDC4010\2017-02-26 &amp; aws s3 cp s3://rtdc.mdm.uploadarchive.raw/RTDC4010/ "%USERPROFILE%\AppData\Local\Temp\OnboardLogs"\RTDC4010\2017-02-27 --exclude "*" --recursive --include "*20170227*" &amp; "%USERPROFILE%\Documents\GitHub\mrs-test-scripts\Headless Mode &amp; Sideloading\WalkAndUnGZ.bat" "%USERPROFILE%\AppData\Local\Temp\OnboardLogs"\RTDC4010\2017-02-27</v>
      </c>
      <c r="AF80" s="82" t="str">
        <f t="shared" si="34"/>
        <v>"C:\Program Files (x86)\AstroGrep\AstroGrep.exe" /spath="%USERPROFILE%\AppData\Local\Temp\OnboardLogs" /stypes="app*4010*20170226*" /stext=" 20:.+((SYSTEM_STATE.+slice.+state.+changed )|(ment ac)|(multiple cpu faults)|(system.+state.+changed )|(\[timeout)|(PRM\|1\|D)|(kpr)|(kdp)|(\|lc)|(penalty))" /e /r /s</v>
      </c>
      <c r="AG80" s="1" t="str">
        <f t="shared" si="35"/>
        <v>EC</v>
      </c>
      <c r="AH80" s="86" t="str">
        <f t="shared" si="36"/>
        <v>"%USERPROFILE%\Documents\GitHub\eaglep3\Utilities\RefineRTDCRunTimes.py" --tripid 168-26 --locoid 4010 --swversion DE.1.0.9.0 --startMP 204:232982 --initTime 2017-02-26T12:41:53 --startdatetime 2017-02-26T12:56:14 --delay 2 --endMP 204:165 --enddatetime 2017-02-26T13:39:18 --enforcementcount 1 &gt;&gt;C:\Users\stu\Documents\GitHub\eaglep3-reporting\EC\2017-02-26-refined-times.txt</v>
      </c>
      <c r="AI80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{"issue":{"subject":"","project_id":79,"tracker_id":40,"status_id":1,"priority_id":2,"assigned_to_id":23,"start_date":"2017-02-26","description":"","custom_fields":[{"id":1,"name":"Subdivision","value":"EC"},{"id":4,"name":"Milepost","value":"0.0165"},{"id":17,"name":"Train ID","value":"168-26"},{"id":16,"name":"Locomotive ID","value":"4010"},{"id":130,"name":"Impact","value":""},{"id":150,"name":"Time of Event (Mountain Time)","value":"13:39:18"},{"id":151,"name":"Denver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38"/>
        <v>start /low /b %USERPROFILE%\Documents\GitHub\eaglep3\Utilities\DownloadLogsFromS3.py --loco 4010 --day 2017-02-26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"%USERPROFILE%\AppData\Local\Temp\OnboardLogs"\RTDC4010\*4010*20170226* | grep -SE "(Enforcement Action)|(\[TIMEOUT)|(CHR.+\|PRM\|1\|D.+(SWITCH|SIGNAL).+UNKNOWN)" - &gt;&gt; 2017-02-26-UncaughtWiMAX.txt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679</v>
      </c>
      <c r="B81" s="7">
        <v>4011</v>
      </c>
      <c r="C81" s="21" t="s">
        <v>285</v>
      </c>
      <c r="D81" s="21" t="s">
        <v>835</v>
      </c>
      <c r="E81" s="13">
        <v>42792.50571759259</v>
      </c>
      <c r="F81" s="13">
        <v>42792.510763888888</v>
      </c>
      <c r="G81" s="7">
        <v>1</v>
      </c>
      <c r="H81" s="21" t="s">
        <v>296</v>
      </c>
      <c r="I81" s="13">
        <v>42792.537175925929</v>
      </c>
      <c r="J81" s="7">
        <v>1</v>
      </c>
      <c r="K81" s="98" t="str">
        <f t="shared" si="21"/>
        <v>4011/4012</v>
      </c>
      <c r="L81" s="21" t="str">
        <f>VLOOKUP(A81,'Trips&amp;Operators'!$C$1:$G$99999,5,FALSE)</f>
        <v>ROMERO CHAD</v>
      </c>
      <c r="M81" s="6">
        <f t="shared" si="22"/>
        <v>2.641203704115469E-2</v>
      </c>
      <c r="N81" s="7">
        <f t="shared" si="23"/>
        <v>38.033333339262754</v>
      </c>
      <c r="O81" s="7"/>
      <c r="P81" s="7"/>
      <c r="Q81" s="22"/>
      <c r="R81" s="22"/>
      <c r="S81" s="31">
        <f t="shared" si="24"/>
        <v>1</v>
      </c>
      <c r="T81" s="46" t="str">
        <f t="shared" si="25"/>
        <v>NorthBound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26"/>
        <v>https://d0f6bd738d7f1b3e5a7ca70fe4ff75f0.us-east-1.aws.found.io/app/kibana#/discover/Steve-Slow-Train-Analysis-(2080s-and-2083s)?_g=(refreshInterval:(display:Off,pause:!f,section:0,value:0),time:(from:'2017-02-26T11:08:14-0700',mode:absolute,to:'2017-02-26T13:53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1" s="187" t="str">
        <f t="shared" si="27"/>
        <v>N</v>
      </c>
      <c r="X81" s="187">
        <f t="shared" si="28"/>
        <v>1</v>
      </c>
      <c r="Y81" s="62">
        <f t="shared" si="29"/>
        <v>4.2900000000000001E-2</v>
      </c>
      <c r="Z81" s="62">
        <f t="shared" si="30"/>
        <v>23.331399999999999</v>
      </c>
      <c r="AA81" s="62">
        <f t="shared" si="31"/>
        <v>23.288499999999999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2"/>
        <v>0169-26</v>
      </c>
      <c r="AE81" s="85" t="str">
        <f t="shared" si="33"/>
        <v>aws s3 cp s3://rtdc.mdm.uploadarchive.raw/RTDC4011/ "%USERPROFILE%\AppData\Local\Temp\OnboardLogs"\RTDC4011\2017-02-26 --exclude "*" --recursive --include "*20170226*" &amp; "%USERPROFILE%\Documents\GitHub\mrs-test-scripts\Headless Mode &amp; Sideloading\WalkAndUnGZ.bat" "%USERPROFILE%\AppData\Local\Temp\OnboardLogs"\RTDC4011\2017-02-26 &amp; aws s3 cp s3://rtdc.mdm.uploadarchive.raw/RTDC4011/ "%USERPROFILE%\AppData\Local\Temp\OnboardLogs"\RTDC4011\2017-02-27 --exclude "*" --recursive --include "*20170227*" &amp; "%USERPROFILE%\Documents\GitHub\mrs-test-scripts\Headless Mode &amp; Sideloading\WalkAndUnGZ.bat" "%USERPROFILE%\AppData\Local\Temp\OnboardLogs"\RTDC4011\2017-02-27</v>
      </c>
      <c r="AF81" s="82" t="str">
        <f t="shared" si="34"/>
        <v>"C:\Program Files (x86)\AstroGrep\AstroGrep.exe" /spath="%USERPROFILE%\AppData\Local\Temp\OnboardLogs" /stypes="app*4011*20170226*" /stext=" 19:.+((SYSTEM_STATE.+slice.+state.+changed )|(ment ac)|(multiple cpu faults)|(system.+state.+changed )|(\[timeout)|(PRM\|1\|D)|(kpr)|(kdp)|(\|lc)|(penalty))" /e /r /s</v>
      </c>
      <c r="AG81" s="1" t="str">
        <f t="shared" si="35"/>
        <v>EC</v>
      </c>
      <c r="AH81" s="86" t="str">
        <f t="shared" si="36"/>
        <v>"%USERPROFILE%\Documents\GitHub\eaglep3\Utilities\RefineRTDCRunTimes.py" --tripid 169-26 --locoid 4011 --swversion DE.1.0.9.0 --startMP 204:429 --initTime 2017-02-26T12:08:14 --startdatetime 2017-02-26T12:15:30 --delay 1 --endMP 204:233314 --enddatetime 2017-02-26T12:53:32 --enforcementcount 1 &gt;&gt;C:\Users\stu\Documents\GitHub\eaglep3-reporting\EC\2017-02-26-refined-times.txt</v>
      </c>
      <c r="AI81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{"issue":{"subject":"","project_id":79,"tracker_id":40,"status_id":1,"priority_id":2,"assigned_to_id":23,"start_date":"2017-02-26","description":"","custom_fields":[{"id":1,"name":"Subdivision","value":"EC"},{"id":4,"name":"Milepost","value":"23.3314"},{"id":17,"name":"Train ID","value":"169-26"},{"id":16,"name":"Locomotive ID","value":"4011"},{"id":130,"name":"Impact","value":""},{"id":150,"name":"Time of Event (Mountain Time)","value":"12:53:32"},{"id":151,"name":"Denver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38"/>
        <v>start /low /b %USERPROFILE%\Documents\GitHub\eaglep3\Utilities\DownloadLogsFromS3.py --loco 4011 --day 2017-02-26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"%USERPROFILE%\AppData\Local\Temp\OnboardLogs"\RTDC4011\*4011*20170226* | grep -SE "(Enforcement Action)|(\[TIMEOUT)|(CHR.+\|PRM\|1\|D.+(SWITCH|SIGNAL).+UNKNOWN)" - &gt;&gt; 2017-02-26-UncaughtWiMAX.txt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689</v>
      </c>
      <c r="B82" s="7">
        <v>4012</v>
      </c>
      <c r="C82" s="21" t="s">
        <v>285</v>
      </c>
      <c r="D82" s="21" t="s">
        <v>246</v>
      </c>
      <c r="E82" s="13">
        <v>42792.541481481479</v>
      </c>
      <c r="F82" s="13">
        <v>42792.549629629626</v>
      </c>
      <c r="G82" s="7">
        <v>1</v>
      </c>
      <c r="H82" s="21" t="s">
        <v>263</v>
      </c>
      <c r="I82" s="13">
        <v>42792.580648148149</v>
      </c>
      <c r="J82" s="7">
        <v>1</v>
      </c>
      <c r="K82" s="98" t="str">
        <f t="shared" si="21"/>
        <v>4011/4012</v>
      </c>
      <c r="L82" s="21" t="str">
        <f>VLOOKUP(A82,'Trips&amp;Operators'!$C$1:$G$99999,5,FALSE)</f>
        <v>ROMERO CHAD</v>
      </c>
      <c r="M82" s="6">
        <f t="shared" si="22"/>
        <v>3.1018518522614613E-2</v>
      </c>
      <c r="N82" s="7">
        <f t="shared" si="23"/>
        <v>44.666666672565043</v>
      </c>
      <c r="O82" s="7"/>
      <c r="P82" s="7"/>
      <c r="Q82" s="22"/>
      <c r="R82" s="22"/>
      <c r="S82" s="31">
        <f t="shared" si="24"/>
        <v>1</v>
      </c>
      <c r="T82" s="46" t="str">
        <f t="shared" si="25"/>
        <v>Southbound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26"/>
        <v>https://d0f6bd738d7f1b3e5a7ca70fe4ff75f0.us-east-1.aws.found.io/app/kibana#/discover/Steve-Slow-Train-Analysis-(2080s-and-2083s)?_g=(refreshInterval:(display:Off,pause:!f,section:0,value:0),time:(from:'2017-02-26T11:59:44-0700',mode:absolute,to:'2017-02-26T14:56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2" s="187" t="str">
        <f t="shared" si="27"/>
        <v>N</v>
      </c>
      <c r="X82" s="187">
        <f t="shared" si="28"/>
        <v>1</v>
      </c>
      <c r="Y82" s="62">
        <f t="shared" si="29"/>
        <v>23.299299999999999</v>
      </c>
      <c r="Z82" s="62">
        <f t="shared" si="30"/>
        <v>1.3599999999999999E-2</v>
      </c>
      <c r="AA82" s="62">
        <f t="shared" si="31"/>
        <v>23.285699999999999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2"/>
        <v>0170-26</v>
      </c>
      <c r="AE82" s="85" t="str">
        <f t="shared" si="33"/>
        <v>aws s3 cp s3://rtdc.mdm.uploadarchive.raw/RTDC4012/ "%USERPROFILE%\AppData\Local\Temp\OnboardLogs"\RTDC4012\2017-02-26 --exclude "*" --recursive --include "*20170226*" &amp; "%USERPROFILE%\Documents\GitHub\mrs-test-scripts\Headless Mode &amp; Sideloading\WalkAndUnGZ.bat" "%USERPROFILE%\AppData\Local\Temp\OnboardLogs"\RTDC4012\2017-02-26 &amp; 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</v>
      </c>
      <c r="AF82" s="82" t="str">
        <f t="shared" si="34"/>
        <v>"C:\Program Files (x86)\AstroGrep\AstroGrep.exe" /spath="%USERPROFILE%\AppData\Local\Temp\OnboardLogs" /stypes="app*4012*20170226*" /stext=" 20:.+((SYSTEM_STATE.+slice.+state.+changed )|(ment ac)|(multiple cpu faults)|(system.+state.+changed )|(\[timeout)|(PRM\|1\|D)|(kpr)|(kdp)|(\|lc)|(penalty))" /e /r /s</v>
      </c>
      <c r="AG82" s="1" t="str">
        <f t="shared" si="35"/>
        <v>EC</v>
      </c>
      <c r="AH82" s="86" t="str">
        <f t="shared" si="36"/>
        <v>"%USERPROFILE%\Documents\GitHub\eaglep3\Utilities\RefineRTDCRunTimes.py" --tripid 170-26 --locoid 4012 --swversion DE.1.0.9.0 --startMP 204:232993 --initTime 2017-02-26T12:59:44 --startdatetime 2017-02-26T13:11:28 --delay 1 --endMP 204:136 --enddatetime 2017-02-26T13:56:08 --enforcementcount 1 &gt;&gt;C:\Users\stu\Documents\GitHub\eaglep3-reporting\EC\2017-02-26-refined-times.txt</v>
      </c>
      <c r="AI82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{"issue":{"subject":"","project_id":79,"tracker_id":40,"status_id":1,"priority_id":2,"assigned_to_id":23,"start_date":"2017-02-26","description":"","custom_fields":[{"id":1,"name":"Subdivision","value":"EC"},{"id":4,"name":"Milepost","value":"0.0136"},{"id":17,"name":"Train ID","value":"170-26"},{"id":16,"name":"Locomotive ID","value":"4012"},{"id":130,"name":"Impact","value":""},{"id":150,"name":"Time of Event (Mountain Time)","value":"13:56:08"},{"id":151,"name":"Denver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38"/>
        <v>start /low /b %USERPROFILE%\Documents\GitHub\eaglep3\Utilities\DownloadLogsFromS3.py --loco 4012 --day 2017-02-26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"%USERPROFILE%\AppData\Local\Temp\OnboardLogs"\RTDC4012\*4012*20170226* | grep -SE "(Enforcement Action)|(\[TIMEOUT)|(CHR.+\|PRM\|1\|D.+(SWITCH|SIGNAL).+UNKNOWN)" - &gt;&gt; 2017-02-26-UncaughtWiMAX.txt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682</v>
      </c>
      <c r="B83" s="7">
        <v>4027</v>
      </c>
      <c r="C83" s="21" t="s">
        <v>285</v>
      </c>
      <c r="D83" s="21" t="s">
        <v>304</v>
      </c>
      <c r="E83" s="13">
        <v>42792.51767361111</v>
      </c>
      <c r="F83" s="13">
        <v>42792.521215277775</v>
      </c>
      <c r="G83" s="7">
        <v>1</v>
      </c>
      <c r="H83" s="21" t="s">
        <v>280</v>
      </c>
      <c r="I83" s="13">
        <v>42792.547071759262</v>
      </c>
      <c r="J83" s="7">
        <v>1</v>
      </c>
      <c r="K83" s="98" t="str">
        <f t="shared" si="21"/>
        <v>4027/4028</v>
      </c>
      <c r="L83" s="21" t="str">
        <f>VLOOKUP(A83,'Trips&amp;Operators'!$C$1:$G$99999,5,FALSE)</f>
        <v>KILLION DAVID</v>
      </c>
      <c r="M83" s="6">
        <f t="shared" si="22"/>
        <v>2.5856481486698613E-2</v>
      </c>
      <c r="N83" s="7">
        <f t="shared" si="23"/>
        <v>37.233333340846002</v>
      </c>
      <c r="O83" s="7"/>
      <c r="P83" s="7"/>
      <c r="Q83" s="22"/>
      <c r="R83" s="22"/>
      <c r="S83" s="31">
        <f t="shared" si="24"/>
        <v>1</v>
      </c>
      <c r="T83" s="46" t="str">
        <f t="shared" si="25"/>
        <v>NorthBound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26"/>
        <v>https://d0f6bd738d7f1b3e5a7ca70fe4ff75f0.us-east-1.aws.found.io/app/kibana#/discover/Steve-Slow-Train-Analysis-(2080s-and-2083s)?_g=(refreshInterval:(display:Off,pause:!f,section:0,value:0),time:(from:'2017-02-26T11:25:27-0700',mode:absolute,to:'2017-02-26T14:07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3" s="187" t="str">
        <f t="shared" si="27"/>
        <v>N</v>
      </c>
      <c r="X83" s="187">
        <f t="shared" si="28"/>
        <v>1</v>
      </c>
      <c r="Y83" s="62">
        <f t="shared" si="29"/>
        <v>4.4900000000000002E-2</v>
      </c>
      <c r="Z83" s="62">
        <f t="shared" si="30"/>
        <v>23.330300000000001</v>
      </c>
      <c r="AA83" s="62">
        <f t="shared" si="31"/>
        <v>23.285400000000003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2"/>
        <v>0171-26</v>
      </c>
      <c r="AE83" s="85" t="str">
        <f t="shared" si="33"/>
        <v>aws s3 cp s3://rtdc.mdm.uploadarchive.raw/RTDC4027/ "%USERPROFILE%\AppData\Local\Temp\OnboardLogs"\RTDC4027\2017-02-26 --exclude "*" --recursive --include "*20170226*" &amp; "%USERPROFILE%\Documents\GitHub\mrs-test-scripts\Headless Mode &amp; Sideloading\WalkAndUnGZ.bat" "%USERPROFILE%\AppData\Local\Temp\OnboardLogs"\RTDC4027\2017-02-26 &amp; aws s3 cp s3://rtdc.mdm.uploadarchive.raw/RTDC4027/ "%USERPROFILE%\AppData\Local\Temp\OnboardLogs"\RTDC4027\2017-02-27 --exclude "*" --recursive --include "*20170227*" &amp; "%USERPROFILE%\Documents\GitHub\mrs-test-scripts\Headless Mode &amp; Sideloading\WalkAndUnGZ.bat" "%USERPROFILE%\AppData\Local\Temp\OnboardLogs"\RTDC4027\2017-02-27</v>
      </c>
      <c r="AF83" s="82" t="str">
        <f t="shared" si="34"/>
        <v>"C:\Program Files (x86)\AstroGrep\AstroGrep.exe" /spath="%USERPROFILE%\AppData\Local\Temp\OnboardLogs" /stypes="app*4027*20170226*" /stext=" 20:.+((SYSTEM_STATE.+slice.+state.+changed )|(ment ac)|(multiple cpu faults)|(system.+state.+changed )|(\[timeout)|(PRM\|1\|D)|(kpr)|(kdp)|(\|lc)|(penalty))" /e /r /s</v>
      </c>
      <c r="AG83" s="1" t="str">
        <f t="shared" si="35"/>
        <v>EC</v>
      </c>
      <c r="AH83" s="86" t="str">
        <f t="shared" si="36"/>
        <v>"%USERPROFILE%\Documents\GitHub\eaglep3\Utilities\RefineRTDCRunTimes.py" --tripid 171-26 --locoid 4027 --swversion DE.1.0.9.0 --startMP 204:449 --initTime 2017-02-26T12:25:27 --startdatetime 2017-02-26T12:30:33 --delay 1 --endMP 204:233303 --enddatetime 2017-02-26T13:07:47 --enforcementcount 1 &gt;&gt;C:\Users\stu\Documents\GitHub\eaglep3-reporting\EC\2017-02-26-refined-times.txt</v>
      </c>
      <c r="AI83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{"issue":{"subject":"","project_id":79,"tracker_id":40,"status_id":1,"priority_id":2,"assigned_to_id":23,"start_date":"2017-02-26","description":"","custom_fields":[{"id":1,"name":"Subdivision","value":"EC"},{"id":4,"name":"Milepost","value":"23.3303"},{"id":17,"name":"Train ID","value":"171-26"},{"id":16,"name":"Locomotive ID","value":"4027"},{"id":130,"name":"Impact","value":""},{"id":150,"name":"Time of Event (Mountain Time)","value":"13:07:47"},{"id":151,"name":"Denver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38"/>
        <v>start /low /b %USERPROFILE%\Documents\GitHub\eaglep3\Utilities\DownloadLogsFromS3.py --loco 4027 --day 2017-02-26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"%USERPROFILE%\AppData\Local\Temp\OnboardLogs"\RTDC4027\*4027*20170226* | grep -SE "(Enforcement Action)|(\[TIMEOUT)|(CHR.+\|PRM\|1\|D.+(SWITCH|SIGNAL).+UNKNOWN)" - &gt;&gt; 2017-02-26-UncaughtWiMAX.txt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563</v>
      </c>
      <c r="B84" s="7">
        <v>4028</v>
      </c>
      <c r="C84" s="21" t="s">
        <v>285</v>
      </c>
      <c r="D84" s="21" t="s">
        <v>836</v>
      </c>
      <c r="E84" s="13">
        <v>42792.552511574075</v>
      </c>
      <c r="F84" s="13">
        <v>42792.559907407405</v>
      </c>
      <c r="G84" s="7">
        <v>2</v>
      </c>
      <c r="H84" s="21" t="s">
        <v>194</v>
      </c>
      <c r="I84" s="13">
        <v>42792.59103009259</v>
      </c>
      <c r="J84" s="7">
        <v>1</v>
      </c>
      <c r="K84" s="98" t="str">
        <f t="shared" si="21"/>
        <v>4027/4028</v>
      </c>
      <c r="L84" s="21" t="str">
        <f>VLOOKUP(A84,'Trips&amp;Operators'!$C$1:$G$99999,5,FALSE)</f>
        <v>KILLION DAVID</v>
      </c>
      <c r="M84" s="6">
        <f t="shared" si="22"/>
        <v>3.1122685184527654E-2</v>
      </c>
      <c r="N84" s="7">
        <f t="shared" si="23"/>
        <v>44.816666665719822</v>
      </c>
      <c r="O84" s="7"/>
      <c r="P84" s="7"/>
      <c r="Q84" s="22"/>
      <c r="R84" s="22"/>
      <c r="S84" s="31">
        <f t="shared" si="24"/>
        <v>1</v>
      </c>
      <c r="T84" s="46" t="str">
        <f t="shared" si="25"/>
        <v>Southbound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26"/>
        <v>https://d0f6bd738d7f1b3e5a7ca70fe4ff75f0.us-east-1.aws.found.io/app/kibana#/discover/Steve-Slow-Train-Analysis-(2080s-and-2083s)?_g=(refreshInterval:(display:Off,pause:!f,section:0,value:0),time:(from:'2017-02-26T12:15:37-0700',mode:absolute,to:'2017-02-26T15:11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4" s="187" t="str">
        <f t="shared" si="27"/>
        <v>N</v>
      </c>
      <c r="X84" s="187">
        <f t="shared" si="28"/>
        <v>1</v>
      </c>
      <c r="Y84" s="62">
        <f t="shared" si="29"/>
        <v>23.297999999999998</v>
      </c>
      <c r="Z84" s="62">
        <f t="shared" si="30"/>
        <v>1.4999999999999999E-2</v>
      </c>
      <c r="AA84" s="62">
        <f t="shared" si="31"/>
        <v>23.282999999999998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2"/>
        <v>0172-26</v>
      </c>
      <c r="AE84" s="85" t="str">
        <f t="shared" si="33"/>
        <v>aws s3 cp s3://rtdc.mdm.uploadarchive.raw/RTDC4028/ "%USERPROFILE%\AppData\Local\Temp\OnboardLogs"\RTDC4028\2017-02-26 --exclude "*" --recursive --include "*20170226*" &amp; "%USERPROFILE%\Documents\GitHub\mrs-test-scripts\Headless Mode &amp; Sideloading\WalkAndUnGZ.bat" "%USERPROFILE%\AppData\Local\Temp\OnboardLogs"\RTDC4028\2017-02-26 &amp; aws s3 cp s3://rtdc.mdm.uploadarchive.raw/RTDC4028/ "%USERPROFILE%\AppData\Local\Temp\OnboardLogs"\RTDC4028\2017-02-27 --exclude "*" --recursive --include "*20170227*" &amp; "%USERPROFILE%\Documents\GitHub\mrs-test-scripts\Headless Mode &amp; Sideloading\WalkAndUnGZ.bat" "%USERPROFILE%\AppData\Local\Temp\OnboardLogs"\RTDC4028\2017-02-27</v>
      </c>
      <c r="AF84" s="82" t="str">
        <f t="shared" si="34"/>
        <v>"C:\Program Files (x86)\AstroGrep\AstroGrep.exe" /spath="%USERPROFILE%\AppData\Local\Temp\OnboardLogs" /stypes="app*4028*20170226*" /stext=" 21:.+((SYSTEM_STATE.+slice.+state.+changed )|(ment ac)|(multiple cpu faults)|(system.+state.+changed )|(\[timeout)|(PRM\|1\|D)|(kpr)|(kdp)|(\|lc)|(penalty))" /e /r /s</v>
      </c>
      <c r="AG84" s="1" t="str">
        <f t="shared" si="35"/>
        <v>EC</v>
      </c>
      <c r="AH84" s="86" t="str">
        <f t="shared" si="36"/>
        <v>"%USERPROFILE%\Documents\GitHub\eaglep3\Utilities\RefineRTDCRunTimes.py" --tripid 172-26 --locoid 4028 --swversion DE.1.0.9.0 --startMP 204:232980 --initTime 2017-02-26T13:15:37 --startdatetime 2017-02-26T13:26:16 --delay 2 --endMP 204:150 --enddatetime 2017-02-26T14:11:05 --enforcementcount 1 &gt;&gt;C:\Users\stu\Documents\GitHub\eaglep3-reporting\EC\2017-02-26-refined-times.txt</v>
      </c>
      <c r="AI84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{"issue":{"subject":"","project_id":79,"tracker_id":40,"status_id":1,"priority_id":2,"assigned_to_id":23,"start_date":"2017-02-26","description":"","custom_fields":[{"id":1,"name":"Subdivision","value":"EC"},{"id":4,"name":"Milepost","value":"0.015"},{"id":17,"name":"Train ID","value":"172-26"},{"id":16,"name":"Locomotive ID","value":"4028"},{"id":130,"name":"Impact","value":""},{"id":150,"name":"Time of Event (Mountain Time)","value":"14:11:05"},{"id":151,"name":"Denver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38"/>
        <v>start /low /b %USERPROFILE%\Documents\GitHub\eaglep3\Utilities\DownloadLogsFromS3.py --loco 4028 --day 2017-02-26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"%USERPROFILE%\AppData\Local\Temp\OnboardLogs"\RTDC4028\*4028*20170226* | grep -SE "(Enforcement Action)|(\[TIMEOUT)|(CHR.+\|PRM\|1\|D.+(SWITCH|SIGNAL).+UNKNOWN)" - &gt;&gt; 2017-02-26-UncaughtWiMAX.txt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686</v>
      </c>
      <c r="B85" s="7">
        <v>4018</v>
      </c>
      <c r="C85" s="21" t="s">
        <v>285</v>
      </c>
      <c r="D85" s="21" t="s">
        <v>204</v>
      </c>
      <c r="E85" s="13">
        <v>42792.529907407406</v>
      </c>
      <c r="F85" s="13">
        <v>42792.531527777777</v>
      </c>
      <c r="G85" s="7">
        <v>1</v>
      </c>
      <c r="H85" s="21" t="s">
        <v>272</v>
      </c>
      <c r="I85" s="13">
        <v>42792.557523148149</v>
      </c>
      <c r="J85" s="7">
        <v>1</v>
      </c>
      <c r="K85" s="98" t="str">
        <f t="shared" si="21"/>
        <v>4017/4018</v>
      </c>
      <c r="L85" s="21" t="str">
        <f>VLOOKUP(A85,'Trips&amp;Operators'!$C$1:$G$99999,5,FALSE)</f>
        <v>STEWART MICHAEL</v>
      </c>
      <c r="M85" s="6">
        <f t="shared" si="22"/>
        <v>2.5995370371674653E-2</v>
      </c>
      <c r="N85" s="7">
        <f t="shared" si="23"/>
        <v>37.433333335211501</v>
      </c>
      <c r="O85" s="7"/>
      <c r="P85" s="7"/>
      <c r="Q85" s="22"/>
      <c r="R85" s="22"/>
      <c r="S85" s="31">
        <f t="shared" si="24"/>
        <v>1</v>
      </c>
      <c r="T85" s="46" t="str">
        <f t="shared" si="25"/>
        <v>NorthBound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26"/>
        <v>https://d0f6bd738d7f1b3e5a7ca70fe4ff75f0.us-east-1.aws.found.io/app/kibana#/discover/Steve-Slow-Train-Analysis-(2080s-and-2083s)?_g=(refreshInterval:(display:Off,pause:!f,section:0,value:0),time:(from:'2017-02-26T11:43:04-0700',mode:absolute,to:'2017-02-26T14:22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5" s="187" t="str">
        <f t="shared" si="27"/>
        <v>N</v>
      </c>
      <c r="X85" s="187">
        <f t="shared" si="28"/>
        <v>1</v>
      </c>
      <c r="Y85" s="62">
        <f t="shared" si="29"/>
        <v>4.6199999999999998E-2</v>
      </c>
      <c r="Z85" s="62">
        <f t="shared" si="30"/>
        <v>23.3306</v>
      </c>
      <c r="AA85" s="62">
        <f t="shared" si="31"/>
        <v>23.284400000000002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2"/>
        <v>0173-26</v>
      </c>
      <c r="AE85" s="85" t="str">
        <f t="shared" si="33"/>
        <v>aws s3 cp s3://rtdc.mdm.uploadarchive.raw/RTDC4018/ "%USERPROFILE%\AppData\Local\Temp\OnboardLogs"\RTDC4018\2017-02-26 --exclude "*" --recursive --include "*20170226*" &amp; "%USERPROFILE%\Documents\GitHub\mrs-test-scripts\Headless Mode &amp; Sideloading\WalkAndUnGZ.bat" "%USERPROFILE%\AppData\Local\Temp\OnboardLogs"\RTDC4018\2017-02-26 &amp; aws s3 cp s3://rtdc.mdm.uploadarchive.raw/RTDC4018/ "%USERPROFILE%\AppData\Local\Temp\OnboardLogs"\RTDC4018\2017-02-27 --exclude "*" --recursive --include "*20170227*" &amp; "%USERPROFILE%\Documents\GitHub\mrs-test-scripts\Headless Mode &amp; Sideloading\WalkAndUnGZ.bat" "%USERPROFILE%\AppData\Local\Temp\OnboardLogs"\RTDC4018\2017-02-27</v>
      </c>
      <c r="AF85" s="82" t="str">
        <f t="shared" si="34"/>
        <v>"C:\Program Files (x86)\AstroGrep\AstroGrep.exe" /spath="%USERPROFILE%\AppData\Local\Temp\OnboardLogs" /stypes="app*4018*20170226*" /stext=" 20:.+((SYSTEM_STATE.+slice.+state.+changed )|(ment ac)|(multiple cpu faults)|(system.+state.+changed )|(\[timeout)|(PRM\|1\|D)|(kpr)|(kdp)|(\|lc)|(penalty))" /e /r /s</v>
      </c>
      <c r="AG85" s="1" t="str">
        <f t="shared" si="35"/>
        <v>EC</v>
      </c>
      <c r="AH85" s="86" t="str">
        <f t="shared" si="36"/>
        <v>"%USERPROFILE%\Documents\GitHub\eaglep3\Utilities\RefineRTDCRunTimes.py" --tripid 173-26 --locoid 4018 --swversion DE.1.0.9.0 --startMP 204:462 --initTime 2017-02-26T12:43:04 --startdatetime 2017-02-26T12:45:24 --delay 1 --endMP 204:233306 --enddatetime 2017-02-26T13:22:50 --enforcementcount 1 &gt;&gt;C:\Users\stu\Documents\GitHub\eaglep3-reporting\EC\2017-02-26-refined-times.txt</v>
      </c>
      <c r="AI85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{"issue":{"subject":"","project_id":79,"tracker_id":40,"status_id":1,"priority_id":2,"assigned_to_id":23,"start_date":"2017-02-26","description":"","custom_fields":[{"id":1,"name":"Subdivision","value":"EC"},{"id":4,"name":"Milepost","value":"23.3306"},{"id":17,"name":"Train ID","value":"173-26"},{"id":16,"name":"Locomotive ID","value":"4018"},{"id":130,"name":"Impact","value":""},{"id":150,"name":"Time of Event (Mountain Time)","value":"13:22:50"},{"id":151,"name":"Denver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38"/>
        <v>start /low /b %USERPROFILE%\Documents\GitHub\eaglep3\Utilities\DownloadLogsFromS3.py --loco 4018 --day 2017-02-26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"%USERPROFILE%\AppData\Local\Temp\OnboardLogs"\RTDC4018\*4018*20170226* | grep -SE "(Enforcement Action)|(\[TIMEOUT)|(CHR.+\|PRM\|1\|D.+(SWITCH|SIGNAL).+UNKNOWN)" - &gt;&gt; 2017-02-26-UncaughtWiMAX.txt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3" t="s">
        <v>691</v>
      </c>
      <c r="B86" s="7">
        <v>4017</v>
      </c>
      <c r="C86" s="21" t="s">
        <v>285</v>
      </c>
      <c r="D86" s="21" t="s">
        <v>295</v>
      </c>
      <c r="E86" s="13">
        <v>42792.56523148148</v>
      </c>
      <c r="F86" s="13">
        <v>42792.570405092592</v>
      </c>
      <c r="G86" s="7">
        <v>2</v>
      </c>
      <c r="H86" s="21" t="s">
        <v>206</v>
      </c>
      <c r="I86" s="13">
        <v>42792.599004629628</v>
      </c>
      <c r="J86" s="7">
        <v>1</v>
      </c>
      <c r="K86" s="98" t="str">
        <f t="shared" si="21"/>
        <v>4017/4018</v>
      </c>
      <c r="L86" s="21" t="str">
        <f>VLOOKUP(A86,'Trips&amp;Operators'!$C$1:$G$99999,5,FALSE)</f>
        <v>STEWART MICHAEL</v>
      </c>
      <c r="M86" s="6">
        <f t="shared" si="22"/>
        <v>2.8599537035916001E-2</v>
      </c>
      <c r="N86" s="7">
        <f t="shared" si="23"/>
        <v>41.183333331719041</v>
      </c>
      <c r="O86" s="7"/>
      <c r="P86" s="7"/>
      <c r="Q86" s="22"/>
      <c r="R86" s="22"/>
      <c r="S86" s="31">
        <f t="shared" si="24"/>
        <v>1</v>
      </c>
      <c r="T86" s="46" t="str">
        <f t="shared" si="25"/>
        <v>Southbound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26"/>
        <v>https://d0f6bd738d7f1b3e5a7ca70fe4ff75f0.us-east-1.aws.found.io/app/kibana#/discover/Steve-Slow-Train-Analysis-(2080s-and-2083s)?_g=(refreshInterval:(display:Off,pause:!f,section:0,value:0),time:(from:'2017-02-26T12:33:56-0700',mode:absolute,to:'2017-02-26T15:22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6" s="187" t="str">
        <f t="shared" si="27"/>
        <v>N</v>
      </c>
      <c r="X86" s="187">
        <f t="shared" si="28"/>
        <v>1</v>
      </c>
      <c r="Y86" s="62">
        <f t="shared" si="29"/>
        <v>23.2987</v>
      </c>
      <c r="Z86" s="62">
        <f t="shared" si="30"/>
        <v>1.52E-2</v>
      </c>
      <c r="AA86" s="62">
        <f t="shared" si="31"/>
        <v>23.2835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2"/>
        <v>0174-26</v>
      </c>
      <c r="AE86" s="85" t="str">
        <f t="shared" si="33"/>
        <v>aws s3 cp s3://rtdc.mdm.uploadarchive.raw/RTDC4017/ "%USERPROFILE%\AppData\Local\Temp\OnboardLogs"\RTDC4017\2017-02-26 --exclude "*" --recursive --include "*20170226*" &amp; "%USERPROFILE%\Documents\GitHub\mrs-test-scripts\Headless Mode &amp; Sideloading\WalkAndUnGZ.bat" "%USERPROFILE%\AppData\Local\Temp\OnboardLogs"\RTDC4017\2017-02-26 &amp; aws s3 cp s3://rtdc.mdm.uploadarchive.raw/RTDC4017/ "%USERPROFILE%\AppData\Local\Temp\OnboardLogs"\RTDC4017\2017-02-27 --exclude "*" --recursive --include "*20170227*" &amp; "%USERPROFILE%\Documents\GitHub\mrs-test-scripts\Headless Mode &amp; Sideloading\WalkAndUnGZ.bat" "%USERPROFILE%\AppData\Local\Temp\OnboardLogs"\RTDC4017\2017-02-27</v>
      </c>
      <c r="AF86" s="82" t="str">
        <f t="shared" si="34"/>
        <v>"C:\Program Files (x86)\AstroGrep\AstroGrep.exe" /spath="%USERPROFILE%\AppData\Local\Temp\OnboardLogs" /stypes="app*4017*20170226*" /stext=" 21:.+((SYSTEM_STATE.+slice.+state.+changed )|(ment ac)|(multiple cpu faults)|(system.+state.+changed )|(\[timeout)|(PRM\|1\|D)|(kpr)|(kdp)|(\|lc)|(penalty))" /e /r /s</v>
      </c>
      <c r="AG86" s="1" t="str">
        <f t="shared" si="35"/>
        <v>EC</v>
      </c>
      <c r="AH86" s="86" t="str">
        <f t="shared" si="36"/>
        <v>"%USERPROFILE%\Documents\GitHub\eaglep3\Utilities\RefineRTDCRunTimes.py" --tripid 174-26 --locoid 4017 --swversion DE.1.0.9.0 --startMP 204:232987 --initTime 2017-02-26T13:33:56 --startdatetime 2017-02-26T13:41:23 --delay 2 --endMP 204:152 --enddatetime 2017-02-26T14:22:34 --enforcementcount 1 &gt;&gt;C:\Users\stu\Documents\GitHub\eaglep3-reporting\EC\2017-02-26-refined-times.txt</v>
      </c>
      <c r="AI86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{"issue":{"subject":"","project_id":79,"tracker_id":40,"status_id":1,"priority_id":2,"assigned_to_id":23,"start_date":"2017-02-26","description":"","custom_fields":[{"id":1,"name":"Subdivision","value":"EC"},{"id":4,"name":"Milepost","value":"0.0152"},{"id":17,"name":"Train ID","value":"174-26"},{"id":16,"name":"Locomotive ID","value":"4017"},{"id":130,"name":"Impact","value":""},{"id":150,"name":"Time of Event (Mountain Time)","value":"14:22:34"},{"id":151,"name":"Denver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38"/>
        <v>start /low /b %USERPROFILE%\Documents\GitHub\eaglep3\Utilities\DownloadLogsFromS3.py --loco 4017 --day 2017-02-26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"%USERPROFILE%\AppData\Local\Temp\OnboardLogs"\RTDC4017\*4017*20170226* | grep -SE "(Enforcement Action)|(\[TIMEOUT)|(CHR.+\|PRM\|1\|D.+(SWITCH|SIGNAL).+UNKNOWN)" - &gt;&gt; 2017-02-26-UncaughtWiMAX.txt</v>
      </c>
    </row>
    <row r="87" spans="1:91" s="20" customFormat="1" x14ac:dyDescent="0.25">
      <c r="A87" s="33" t="s">
        <v>688</v>
      </c>
      <c r="B87" s="7">
        <v>4025</v>
      </c>
      <c r="C87" s="21" t="s">
        <v>285</v>
      </c>
      <c r="D87" s="21" t="s">
        <v>266</v>
      </c>
      <c r="E87" s="13">
        <v>42792.541458333333</v>
      </c>
      <c r="F87" s="13">
        <v>42792.543009259258</v>
      </c>
      <c r="G87" s="7">
        <v>1</v>
      </c>
      <c r="H87" s="21" t="s">
        <v>829</v>
      </c>
      <c r="I87" s="13">
        <v>42792.571435185186</v>
      </c>
      <c r="J87" s="7">
        <v>1</v>
      </c>
      <c r="K87" s="98" t="str">
        <f t="shared" si="21"/>
        <v>4025/4026</v>
      </c>
      <c r="L87" s="21" t="str">
        <f>VLOOKUP(A87,'Trips&amp;Operators'!$C$1:$G$99999,5,FALSE)</f>
        <v>DAVIS MICHAEL</v>
      </c>
      <c r="M87" s="6">
        <f t="shared" si="22"/>
        <v>2.842592592787696E-2</v>
      </c>
      <c r="N87" s="7">
        <f t="shared" si="23"/>
        <v>40.933333336142823</v>
      </c>
      <c r="O87" s="7"/>
      <c r="P87" s="7"/>
      <c r="Q87" s="22"/>
      <c r="R87" s="22"/>
      <c r="S87" s="31">
        <f t="shared" si="24"/>
        <v>1</v>
      </c>
      <c r="T87" s="46" t="str">
        <f t="shared" si="25"/>
        <v>NorthBound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26"/>
        <v>https://d0f6bd738d7f1b3e5a7ca70fe4ff75f0.us-east-1.aws.found.io/app/kibana#/discover/Steve-Slow-Train-Analysis-(2080s-and-2083s)?_g=(refreshInterval:(display:Off,pause:!f,section:0,value:0),time:(from:'2017-02-26T11:59:42-0700',mode:absolute,to:'2017-02-26T14:42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7" s="187" t="str">
        <f t="shared" si="27"/>
        <v>N</v>
      </c>
      <c r="X87" s="187">
        <f t="shared" si="28"/>
        <v>1</v>
      </c>
      <c r="Y87" s="62">
        <f t="shared" si="29"/>
        <v>4.4400000000000002E-2</v>
      </c>
      <c r="Z87" s="62">
        <f t="shared" si="30"/>
        <v>23.3309</v>
      </c>
      <c r="AA87" s="62">
        <f t="shared" si="31"/>
        <v>23.2865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2"/>
        <v>0175-26</v>
      </c>
      <c r="AE87" s="85" t="str">
        <f t="shared" si="33"/>
        <v>aws s3 cp s3://rtdc.mdm.uploadarchive.raw/RTDC4025/ "%USERPROFILE%\AppData\Local\Temp\OnboardLogs"\RTDC4025\2017-02-26 --exclude "*" --recursive --include "*20170226*" &amp; "%USERPROFILE%\Documents\GitHub\mrs-test-scripts\Headless Mode &amp; Sideloading\WalkAndUnGZ.bat" "%USERPROFILE%\AppData\Local\Temp\OnboardLogs"\RTDC4025\2017-02-26 &amp; aws s3 cp s3://rtdc.mdm.uploadarchive.raw/RTDC4025/ "%USERPROFILE%\AppData\Local\Temp\OnboardLogs"\RTDC4025\2017-02-27 --exclude "*" --recursive --include "*20170227*" &amp; "%USERPROFILE%\Documents\GitHub\mrs-test-scripts\Headless Mode &amp; Sideloading\WalkAndUnGZ.bat" "%USERPROFILE%\AppData\Local\Temp\OnboardLogs"\RTDC4025\2017-02-27</v>
      </c>
      <c r="AF87" s="82" t="str">
        <f t="shared" si="34"/>
        <v>"C:\Program Files (x86)\AstroGrep\AstroGrep.exe" /spath="%USERPROFILE%\AppData\Local\Temp\OnboardLogs" /stypes="app*4025*20170226*" /stext=" 20:.+((SYSTEM_STATE.+slice.+state.+changed )|(ment ac)|(multiple cpu faults)|(system.+state.+changed )|(\[timeout)|(PRM\|1\|D)|(kpr)|(kdp)|(\|lc)|(penalty))" /e /r /s</v>
      </c>
      <c r="AG87" s="1" t="str">
        <f t="shared" si="35"/>
        <v>EC</v>
      </c>
      <c r="AH87" s="86" t="str">
        <f t="shared" si="36"/>
        <v>"%USERPROFILE%\Documents\GitHub\eaglep3\Utilities\RefineRTDCRunTimes.py" --tripid 175-26 --locoid 4025 --swversion DE.1.0.9.0 --startMP 204:444 --initTime 2017-02-26T12:59:42 --startdatetime 2017-02-26T13:01:56 --delay 1 --endMP 204:233309 --enddatetime 2017-02-26T13:42:52 --enforcementcount 1 &gt;&gt;C:\Users\stu\Documents\GitHub\eaglep3-reporting\EC\2017-02-26-refined-times.txt</v>
      </c>
      <c r="AI87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{"issue":{"subject":"","project_id":79,"tracker_id":40,"status_id":1,"priority_id":2,"assigned_to_id":23,"start_date":"2017-02-26","description":"","custom_fields":[{"id":1,"name":"Subdivision","value":"EC"},{"id":4,"name":"Milepost","value":"23.3309"},{"id":17,"name":"Train ID","value":"175-26"},{"id":16,"name":"Locomotive ID","value":"4025"},{"id":130,"name":"Impact","value":""},{"id":150,"name":"Time of Event (Mountain Time)","value":"13:42:52"},{"id":151,"name":"Denver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38"/>
        <v>start /low /b %USERPROFILE%\Documents\GitHub\eaglep3\Utilities\DownloadLogsFromS3.py --loco 4025 --day 2017-02-26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"%USERPROFILE%\AppData\Local\Temp\OnboardLogs"\RTDC4025\*4025*20170226* | grep -SE "(Enforcement Action)|(\[TIMEOUT)|(CHR.+\|PRM\|1\|D.+(SWITCH|SIGNAL).+UNKNOWN)" - &gt;&gt; 2017-02-26-UncaughtWiMAX.txt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694</v>
      </c>
      <c r="B88" s="7">
        <v>4026</v>
      </c>
      <c r="C88" s="21" t="s">
        <v>285</v>
      </c>
      <c r="D88" s="21" t="s">
        <v>275</v>
      </c>
      <c r="E88" s="13">
        <v>42792.577951388892</v>
      </c>
      <c r="F88" s="13">
        <v>42792.581145833334</v>
      </c>
      <c r="G88" s="7">
        <v>1</v>
      </c>
      <c r="H88" s="21" t="s">
        <v>276</v>
      </c>
      <c r="I88" s="13">
        <v>42792.611921296295</v>
      </c>
      <c r="J88" s="7">
        <v>1</v>
      </c>
      <c r="K88" s="98" t="str">
        <f t="shared" si="21"/>
        <v>4025/4026</v>
      </c>
      <c r="L88" s="21" t="str">
        <f>VLOOKUP(A88,'Trips&amp;Operators'!$C$1:$G$99999,5,FALSE)</f>
        <v>DAVIS MICHAEL</v>
      </c>
      <c r="M88" s="6">
        <f t="shared" si="22"/>
        <v>3.0775462961173616E-2</v>
      </c>
      <c r="N88" s="7">
        <f t="shared" si="23"/>
        <v>44.316666664090008</v>
      </c>
      <c r="O88" s="7"/>
      <c r="P88" s="7"/>
      <c r="Q88" s="22"/>
      <c r="R88" s="22"/>
      <c r="S88" s="31">
        <f t="shared" si="24"/>
        <v>1</v>
      </c>
      <c r="T88" s="46" t="str">
        <f t="shared" si="25"/>
        <v>Southbound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26"/>
        <v>https://d0f6bd738d7f1b3e5a7ca70fe4ff75f0.us-east-1.aws.found.io/app/kibana#/discover/Steve-Slow-Train-Analysis-(2080s-and-2083s)?_g=(refreshInterval:(display:Off,pause:!f,section:0,value:0),time:(from:'2017-02-26T12:52:15-0700',mode:absolute,to:'2017-02-26T15:41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8" s="187" t="str">
        <f t="shared" si="27"/>
        <v>N</v>
      </c>
      <c r="X88" s="187">
        <f t="shared" si="28"/>
        <v>1</v>
      </c>
      <c r="Y88" s="62">
        <f t="shared" si="29"/>
        <v>23.298200000000001</v>
      </c>
      <c r="Z88" s="62">
        <f t="shared" si="30"/>
        <v>1.6299999999999999E-2</v>
      </c>
      <c r="AA88" s="62">
        <f t="shared" si="31"/>
        <v>23.2819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2"/>
        <v>0176-26</v>
      </c>
      <c r="AE88" s="85" t="str">
        <f t="shared" si="33"/>
        <v>aws s3 cp s3://rtdc.mdm.uploadarchive.raw/RTDC4026/ "%USERPROFILE%\AppData\Local\Temp\OnboardLogs"\RTDC4026\2017-02-26 --exclude "*" --recursive --include "*20170226*" &amp; "%USERPROFILE%\Documents\GitHub\mrs-test-scripts\Headless Mode &amp; Sideloading\WalkAndUnGZ.bat" "%USERPROFILE%\AppData\Local\Temp\OnboardLogs"\RTDC4026\2017-02-26 &amp; aws s3 cp s3://rtdc.mdm.uploadarchive.raw/RTDC4026/ "%USERPROFILE%\AppData\Local\Temp\OnboardLogs"\RTDC4026\2017-02-27 --exclude "*" --recursive --include "*20170227*" &amp; "%USERPROFILE%\Documents\GitHub\mrs-test-scripts\Headless Mode &amp; Sideloading\WalkAndUnGZ.bat" "%USERPROFILE%\AppData\Local\Temp\OnboardLogs"\RTDC4026\2017-02-27</v>
      </c>
      <c r="AF88" s="82" t="str">
        <f t="shared" si="34"/>
        <v>"C:\Program Files (x86)\AstroGrep\AstroGrep.exe" /spath="%USERPROFILE%\AppData\Local\Temp\OnboardLogs" /stypes="app*4026*20170226*" /stext=" 21:.+((SYSTEM_STATE.+slice.+state.+changed )|(ment ac)|(multiple cpu faults)|(system.+state.+changed )|(\[timeout)|(PRM\|1\|D)|(kpr)|(kdp)|(\|lc)|(penalty))" /e /r /s</v>
      </c>
      <c r="AG88" s="1" t="str">
        <f t="shared" si="35"/>
        <v>EC</v>
      </c>
      <c r="AH88" s="86" t="str">
        <f t="shared" si="36"/>
        <v>"%USERPROFILE%\Documents\GitHub\eaglep3\Utilities\RefineRTDCRunTimes.py" --tripid 176-26 --locoid 4026 --swversion DE.1.0.9.0 --startMP 204:232982 --initTime 2017-02-26T13:52:15 --startdatetime 2017-02-26T13:56:51 --delay 1 --endMP 204:163 --enddatetime 2017-02-26T14:41:10 --enforcementcount 1 &gt;&gt;C:\Users\stu\Documents\GitHub\eaglep3-reporting\EC\2017-02-26-refined-times.txt</v>
      </c>
      <c r="AI88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{"issue":{"subject":"","project_id":79,"tracker_id":40,"status_id":1,"priority_id":2,"assigned_to_id":23,"start_date":"2017-02-26","description":"","custom_fields":[{"id":1,"name":"Subdivision","value":"EC"},{"id":4,"name":"Milepost","value":"0.0163"},{"id":17,"name":"Train ID","value":"176-26"},{"id":16,"name":"Locomotive ID","value":"4026"},{"id":130,"name":"Impact","value":""},{"id":150,"name":"Time of Event (Mountain Time)","value":"14:41:10"},{"id":151,"name":"Denver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38"/>
        <v>start /low /b %USERPROFILE%\Documents\GitHub\eaglep3\Utilities\DownloadLogsFromS3.py --loco 4026 --day 2017-02-26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"%USERPROFILE%\AppData\Local\Temp\OnboardLogs"\RTDC4026\*4026*20170226* | grep -SE "(Enforcement Action)|(\[TIMEOUT)|(CHR.+\|PRM\|1\|D.+(SWITCH|SIGNAL).+UNKNOWN)" - &gt;&gt; 2017-02-26-UncaughtWiMAX.txt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690</v>
      </c>
      <c r="B89" s="7">
        <v>4029</v>
      </c>
      <c r="C89" s="21" t="s">
        <v>285</v>
      </c>
      <c r="D89" s="21" t="s">
        <v>375</v>
      </c>
      <c r="E89" s="13">
        <v>42792.550486111111</v>
      </c>
      <c r="F89" s="13">
        <v>42792.552430555559</v>
      </c>
      <c r="G89" s="7">
        <v>1</v>
      </c>
      <c r="H89" s="21" t="s">
        <v>837</v>
      </c>
      <c r="I89" s="13">
        <v>42792.577893518515</v>
      </c>
      <c r="J89" s="7">
        <v>1</v>
      </c>
      <c r="K89" s="98" t="str">
        <f t="shared" si="21"/>
        <v>4029/4030</v>
      </c>
      <c r="L89" s="21" t="str">
        <f>VLOOKUP(A89,'Trips&amp;Operators'!$C$1:$G$99999,5,FALSE)</f>
        <v>LEVIN SCOTT</v>
      </c>
      <c r="M89" s="6">
        <f t="shared" si="22"/>
        <v>2.5462962956225965E-2</v>
      </c>
      <c r="N89" s="7">
        <f t="shared" si="23"/>
        <v>36.66666665696539</v>
      </c>
      <c r="O89" s="7"/>
      <c r="P89" s="7"/>
      <c r="Q89" s="22"/>
      <c r="R89" s="22"/>
      <c r="S89" s="31">
        <f t="shared" si="24"/>
        <v>1</v>
      </c>
      <c r="T89" s="46" t="str">
        <f t="shared" si="25"/>
        <v>NorthBound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26"/>
        <v>https://d0f6bd738d7f1b3e5a7ca70fe4ff75f0.us-east-1.aws.found.io/app/kibana#/discover/Steve-Slow-Train-Analysis-(2080s-and-2083s)?_g=(refreshInterval:(display:Off,pause:!f,section:0,value:0),time:(from:'2017-02-26T12:12:42-0700',mode:absolute,to:'2017-02-26T14:52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9" s="187" t="str">
        <f t="shared" si="27"/>
        <v>N</v>
      </c>
      <c r="X89" s="187">
        <f t="shared" si="28"/>
        <v>1</v>
      </c>
      <c r="Y89" s="62">
        <f t="shared" si="29"/>
        <v>4.82E-2</v>
      </c>
      <c r="Z89" s="62">
        <f t="shared" si="30"/>
        <v>23.3368</v>
      </c>
      <c r="AA89" s="62">
        <f t="shared" si="31"/>
        <v>23.288599999999999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2"/>
        <v>0177-26</v>
      </c>
      <c r="AE89" s="85" t="str">
        <f t="shared" si="33"/>
        <v>aws s3 cp s3://rtdc.mdm.uploadarchive.raw/RTDC4029/ "%USERPROFILE%\AppData\Local\Temp\OnboardLogs"\RTDC4029\2017-02-26 --exclude "*" --recursive --include "*20170226*" &amp; "%USERPROFILE%\Documents\GitHub\mrs-test-scripts\Headless Mode &amp; Sideloading\WalkAndUnGZ.bat" "%USERPROFILE%\AppData\Local\Temp\OnboardLogs"\RTDC4029\2017-02-26 &amp; aws s3 cp s3://rtdc.mdm.uploadarchive.raw/RTDC4029/ "%USERPROFILE%\AppData\Local\Temp\OnboardLogs"\RTDC4029\2017-02-27 --exclude "*" --recursive --include "*20170227*" &amp; "%USERPROFILE%\Documents\GitHub\mrs-test-scripts\Headless Mode &amp; Sideloading\WalkAndUnGZ.bat" "%USERPROFILE%\AppData\Local\Temp\OnboardLogs"\RTDC4029\2017-02-27</v>
      </c>
      <c r="AF89" s="82" t="str">
        <f t="shared" si="34"/>
        <v>"C:\Program Files (x86)\AstroGrep\AstroGrep.exe" /spath="%USERPROFILE%\AppData\Local\Temp\OnboardLogs" /stypes="app*4029*20170226*" /stext=" 20:.+((SYSTEM_STATE.+slice.+state.+changed )|(ment ac)|(multiple cpu faults)|(system.+state.+changed )|(\[timeout)|(PRM\|1\|D)|(kpr)|(kdp)|(\|lc)|(penalty))" /e /r /s</v>
      </c>
      <c r="AG89" s="1" t="str">
        <f t="shared" si="35"/>
        <v>EC</v>
      </c>
      <c r="AH89" s="86" t="str">
        <f t="shared" si="36"/>
        <v>"%USERPROFILE%\Documents\GitHub\eaglep3\Utilities\RefineRTDCRunTimes.py" --tripid 177-26 --locoid 4029 --swversion DE.1.0.9.0 --startMP 204:482 --initTime 2017-02-26T13:12:42 --startdatetime 2017-02-26T13:15:30 --delay 1 --endMP 204:233368 --enddatetime 2017-02-26T13:52:10 --enforcementcount 1 &gt;&gt;C:\Users\stu\Documents\GitHub\eaglep3-reporting\EC\2017-02-26-refined-times.txt</v>
      </c>
      <c r="AI89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{"issue":{"subject":"","project_id":79,"tracker_id":40,"status_id":1,"priority_id":2,"assigned_to_id":23,"start_date":"2017-02-26","description":"","custom_fields":[{"id":1,"name":"Subdivision","value":"EC"},{"id":4,"name":"Milepost","value":"23.3368"},{"id":17,"name":"Train ID","value":"177-26"},{"id":16,"name":"Locomotive ID","value":"4029"},{"id":130,"name":"Impact","value":""},{"id":150,"name":"Time of Event (Mountain Time)","value":"13:52:10"},{"id":151,"name":"Denver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38"/>
        <v>start /low /b %USERPROFILE%\Documents\GitHub\eaglep3\Utilities\DownloadLogsFromS3.py --loco 4029 --day 2017-02-26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"%USERPROFILE%\AppData\Local\Temp\OnboardLogs"\RTDC4029\*4029*20170226* | grep -SE "(Enforcement Action)|(\[TIMEOUT)|(CHR.+\|PRM\|1\|D.+(SWITCH|SIGNAL).+UNKNOWN)" - &gt;&gt; 2017-02-26-UncaughtWiMAX.txt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695</v>
      </c>
      <c r="B90" s="7">
        <v>4030</v>
      </c>
      <c r="C90" s="21" t="s">
        <v>285</v>
      </c>
      <c r="D90" s="21" t="s">
        <v>838</v>
      </c>
      <c r="E90" s="13">
        <v>42792.584953703707</v>
      </c>
      <c r="F90" s="13">
        <v>42792.591145833336</v>
      </c>
      <c r="G90" s="7">
        <v>1</v>
      </c>
      <c r="H90" s="21" t="s">
        <v>839</v>
      </c>
      <c r="I90" s="13">
        <v>42792.620532407411</v>
      </c>
      <c r="J90" s="7">
        <v>1</v>
      </c>
      <c r="K90" s="98" t="str">
        <f t="shared" si="21"/>
        <v>4029/4030</v>
      </c>
      <c r="L90" s="21" t="str">
        <f>VLOOKUP(A90,'Trips&amp;Operators'!$C$1:$G$99999,5,FALSE)</f>
        <v>LEVIN SCOTT</v>
      </c>
      <c r="M90" s="6">
        <f t="shared" si="22"/>
        <v>2.9386574075033423E-2</v>
      </c>
      <c r="N90" s="7">
        <f t="shared" si="23"/>
        <v>42.316666668048128</v>
      </c>
      <c r="O90" s="7"/>
      <c r="P90" s="7"/>
      <c r="Q90" s="22"/>
      <c r="R90" s="22"/>
      <c r="S90" s="31">
        <f t="shared" si="24"/>
        <v>1</v>
      </c>
      <c r="T90" s="46" t="str">
        <f t="shared" si="25"/>
        <v>Southbound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26"/>
        <v>https://d0f6bd738d7f1b3e5a7ca70fe4ff75f0.us-east-1.aws.found.io/app/kibana#/discover/Steve-Slow-Train-Analysis-(2080s-and-2083s)?_g=(refreshInterval:(display:Off,pause:!f,section:0,value:0),time:(from:'2017-02-26T13:02:20-0700',mode:absolute,to:'2017-02-26T15:53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0" s="187" t="str">
        <f t="shared" si="27"/>
        <v>N</v>
      </c>
      <c r="X90" s="187">
        <f t="shared" si="28"/>
        <v>1</v>
      </c>
      <c r="Y90" s="62">
        <f t="shared" si="29"/>
        <v>23.3066</v>
      </c>
      <c r="Z90" s="62">
        <f t="shared" si="30"/>
        <v>1.2500000000000001E-2</v>
      </c>
      <c r="AA90" s="62">
        <f t="shared" si="31"/>
        <v>23.2941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2"/>
        <v>0178-26</v>
      </c>
      <c r="AE90" s="85" t="str">
        <f t="shared" si="33"/>
        <v>aws s3 cp s3://rtdc.mdm.uploadarchive.raw/RTDC4030/ "%USERPROFILE%\AppData\Local\Temp\OnboardLogs"\RTDC4030\2017-02-26 --exclude "*" --recursive --include "*20170226*" &amp; "%USERPROFILE%\Documents\GitHub\mrs-test-scripts\Headless Mode &amp; Sideloading\WalkAndUnGZ.bat" "%USERPROFILE%\AppData\Local\Temp\OnboardLogs"\RTDC4030\2017-02-26 &amp; aws s3 cp s3://rtdc.mdm.uploadarchive.raw/RTDC4030/ "%USERPROFILE%\AppData\Local\Temp\OnboardLogs"\RTDC4030\2017-02-27 --exclude "*" --recursive --include "*20170227*" &amp; "%USERPROFILE%\Documents\GitHub\mrs-test-scripts\Headless Mode &amp; Sideloading\WalkAndUnGZ.bat" "%USERPROFILE%\AppData\Local\Temp\OnboardLogs"\RTDC4030\2017-02-27</v>
      </c>
      <c r="AF90" s="82" t="str">
        <f t="shared" si="34"/>
        <v>"C:\Program Files (x86)\AstroGrep\AstroGrep.exe" /spath="%USERPROFILE%\AppData\Local\Temp\OnboardLogs" /stypes="app*4030*20170226*" /stext=" 21:.+((SYSTEM_STATE.+slice.+state.+changed )|(ment ac)|(multiple cpu faults)|(system.+state.+changed )|(\[timeout)|(PRM\|1\|D)|(kpr)|(kdp)|(\|lc)|(penalty))" /e /r /s</v>
      </c>
      <c r="AG90" s="1" t="str">
        <f t="shared" si="35"/>
        <v>EC</v>
      </c>
      <c r="AH90" s="86" t="str">
        <f t="shared" si="36"/>
        <v>"%USERPROFILE%\Documents\GitHub\eaglep3\Utilities\RefineRTDCRunTimes.py" --tripid 178-26 --locoid 4030 --swversion DE.1.0.9.0 --startMP 204:233066 --initTime 2017-02-26T14:02:20 --startdatetime 2017-02-26T14:11:15 --delay 1 --endMP 204:125 --enddatetime 2017-02-26T14:53:34 --enforcementcount 1 &gt;&gt;C:\Users\stu\Documents\GitHub\eaglep3-reporting\EC\2017-02-26-refined-times.txt</v>
      </c>
      <c r="AI90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{"issue":{"subject":"","project_id":79,"tracker_id":40,"status_id":1,"priority_id":2,"assigned_to_id":23,"start_date":"2017-02-26","description":"","custom_fields":[{"id":1,"name":"Subdivision","value":"EC"},{"id":4,"name":"Milepost","value":"0.0125"},{"id":17,"name":"Train ID","value":"178-26"},{"id":16,"name":"Locomotive ID","value":"4030"},{"id":130,"name":"Impact","value":""},{"id":150,"name":"Time of Event (Mountain Time)","value":"14:53:34"},{"id":151,"name":"Denver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38"/>
        <v>start /low /b %USERPROFILE%\Documents\GitHub\eaglep3\Utilities\DownloadLogsFromS3.py --loco 4030 --day 2017-02-26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"%USERPROFILE%\AppData\Local\Temp\OnboardLogs"\RTDC4030\*4030*20170226* | grep -SE "(Enforcement Action)|(\[TIMEOUT)|(CHR.+\|PRM\|1\|D.+(SWITCH|SIGNAL).+UNKNOWN)" - &gt;&gt; 2017-02-26-UncaughtWiMAX.txt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561</v>
      </c>
      <c r="B91" s="7">
        <v>4003</v>
      </c>
      <c r="C91" s="21" t="s">
        <v>285</v>
      </c>
      <c r="D91" s="21" t="s">
        <v>380</v>
      </c>
      <c r="E91" s="13">
        <v>42792.559513888889</v>
      </c>
      <c r="F91" s="13">
        <v>42792.562673611108</v>
      </c>
      <c r="G91" s="7">
        <v>1</v>
      </c>
      <c r="H91" s="21" t="s">
        <v>248</v>
      </c>
      <c r="I91" s="13">
        <v>42792.587824074071</v>
      </c>
      <c r="J91" s="7">
        <v>1</v>
      </c>
      <c r="K91" s="98" t="str">
        <f t="shared" si="21"/>
        <v>4003/4004</v>
      </c>
      <c r="L91" s="21" t="str">
        <f>VLOOKUP(A91,'Trips&amp;Operators'!$C$1:$G$99999,5,FALSE)</f>
        <v>BRUDER RICHARD</v>
      </c>
      <c r="M91" s="6">
        <f t="shared" si="22"/>
        <v>2.5150462963210884E-2</v>
      </c>
      <c r="N91" s="7">
        <f t="shared" si="23"/>
        <v>36.216666667023674</v>
      </c>
      <c r="O91" s="7"/>
      <c r="P91" s="7"/>
      <c r="Q91" s="22"/>
      <c r="R91" s="22"/>
      <c r="S91" s="31">
        <f t="shared" si="24"/>
        <v>1</v>
      </c>
      <c r="T91" s="46" t="str">
        <f t="shared" si="25"/>
        <v>NorthBound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26"/>
        <v>https://d0f6bd738d7f1b3e5a7ca70fe4ff75f0.us-east-1.aws.found.io/app/kibana#/discover/Steve-Slow-Train-Analysis-(2080s-and-2083s)?_g=(refreshInterval:(display:Off,pause:!f,section:0,value:0),time:(from:'2017-02-26T12:25:42-0700',mode:absolute,to:'2017-02-26T15:06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1" s="187" t="str">
        <f t="shared" si="27"/>
        <v>N</v>
      </c>
      <c r="X91" s="187">
        <f t="shared" si="28"/>
        <v>1</v>
      </c>
      <c r="Y91" s="62">
        <f t="shared" si="29"/>
        <v>4.9099999999999998E-2</v>
      </c>
      <c r="Z91" s="62">
        <f t="shared" si="30"/>
        <v>23.3293</v>
      </c>
      <c r="AA91" s="62">
        <f t="shared" si="31"/>
        <v>23.280200000000001</v>
      </c>
      <c r="AB91" s="59" t="str">
        <f>VLOOKUP(A91,Enforcements!$C$7:$K$13,8,0)</f>
        <v>Bulletin (2)</v>
      </c>
      <c r="AC91" s="55" t="str">
        <f>VLOOKUP(A91,Enforcements!$C$7:$E$13,3,0)</f>
        <v>GRADE CROSSING</v>
      </c>
      <c r="AD91" s="56" t="str">
        <f t="shared" si="32"/>
        <v>0179-26</v>
      </c>
      <c r="AE91" s="85" t="str">
        <f t="shared" si="33"/>
        <v>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 &amp; aws s3 cp s3://rtdc.mdm.uploadarchive.raw/RTDC4003/ "%USERPROFILE%\AppData\Local\Temp\OnboardLogs"\RTDC4003\2017-02-27 --exclude "*" --recursive --include "*20170227*" &amp; "%USERPROFILE%\Documents\GitHub\mrs-test-scripts\Headless Mode &amp; Sideloading\WalkAndUnGZ.bat" "%USERPROFILE%\AppData\Local\Temp\OnboardLogs"\RTDC4003\2017-02-27</v>
      </c>
      <c r="AF91" s="82" t="str">
        <f t="shared" si="34"/>
        <v>"C:\Program Files (x86)\AstroGrep\AstroGrep.exe" /spath="%USERPROFILE%\AppData\Local\Temp\OnboardLogs" /stypes="app*4003*20170226*" /stext=" 21:.+((SYSTEM_STATE.+slice.+state.+changed )|(ment ac)|(multiple cpu faults)|(system.+state.+changed )|(\[timeout)|(PRM\|1\|D)|(kpr)|(kdp)|(\|lc)|(penalty))" /e /r /s</v>
      </c>
      <c r="AG91" s="1" t="str">
        <f t="shared" si="35"/>
        <v>EC</v>
      </c>
      <c r="AH91" s="86" t="str">
        <f t="shared" si="36"/>
        <v>"%USERPROFILE%\Documents\GitHub\eaglep3\Utilities\RefineRTDCRunTimes.py" --tripid 179-26 --locoid 4003 --swversion DE.1.0.9.0 --startMP 204:491 --initTime 2017-02-26T13:25:42 --startdatetime 2017-02-26T13:30:15 --delay 1 --endMP 204:233293 --enddatetime 2017-02-26T14:06:28 --enforcementcount 1 &gt;&gt;C:\Users\stu\Documents\GitHub\eaglep3-reporting\EC\2017-02-26-refined-times.txt</v>
      </c>
      <c r="AI91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{"issue":{"subject":"","project_id":79,"tracker_id":40,"status_id":1,"priority_id":2,"assigned_to_id":23,"start_date":"2017-02-26","description":"","custom_fields":[{"id":1,"name":"Subdivision","value":"EC"},{"id":4,"name":"Milepost","value":"23.3293"},{"id":17,"name":"Train ID","value":"179-26"},{"id":16,"name":"Locomotive ID","value":"4003"},{"id":130,"name":"Impact","value":""},{"id":150,"name":"Time of Event (Mountain Time)","value":"14:06:28"},{"id":151,"name":"Denver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38"/>
        <v>start /low /b %USERPROFILE%\Documents\GitHub\eaglep3\Utilities\DownloadLogsFromS3.py --loco 4003 --day 2017-02-26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"%USERPROFILE%\AppData\Local\Temp\OnboardLogs"\RTDC4003\*4003*20170226* | grep -SE "(Enforcement Action)|(\[TIMEOUT)|(CHR.+\|PRM\|1\|D.+(SWITCH|SIGNAL).+UNKNOWN)" - &gt;&gt; 2017-02-26-UncaughtWiMAX.txt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564</v>
      </c>
      <c r="B92" s="7">
        <v>4004</v>
      </c>
      <c r="C92" s="21" t="s">
        <v>285</v>
      </c>
      <c r="D92" s="21" t="s">
        <v>294</v>
      </c>
      <c r="E92" s="13">
        <v>42792.595775462964</v>
      </c>
      <c r="F92" s="13">
        <v>42792.601851851854</v>
      </c>
      <c r="G92" s="7">
        <v>4</v>
      </c>
      <c r="H92" s="21" t="s">
        <v>840</v>
      </c>
      <c r="I92" s="13">
        <v>42792.631782407407</v>
      </c>
      <c r="J92" s="7">
        <v>1</v>
      </c>
      <c r="K92" s="98" t="str">
        <f t="shared" si="21"/>
        <v>4003/4004</v>
      </c>
      <c r="L92" s="21" t="str">
        <f>VLOOKUP(A92,'Trips&amp;Operators'!$C$1:$G$99999,5,FALSE)</f>
        <v>HOLCOMB KAMDEN</v>
      </c>
      <c r="M92" s="6">
        <f t="shared" si="22"/>
        <v>2.9930555552709848E-2</v>
      </c>
      <c r="N92" s="7">
        <f t="shared" si="23"/>
        <v>43.099999995902181</v>
      </c>
      <c r="O92" s="7"/>
      <c r="P92" s="7"/>
      <c r="Q92" s="22"/>
      <c r="R92" s="22"/>
      <c r="S92" s="31">
        <f t="shared" si="24"/>
        <v>1</v>
      </c>
      <c r="T92" s="46" t="str">
        <f t="shared" si="25"/>
        <v>Southbound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26"/>
        <v>https://d0f6bd738d7f1b3e5a7ca70fe4ff75f0.us-east-1.aws.found.io/app/kibana#/discover/Steve-Slow-Train-Analysis-(2080s-and-2083s)?_g=(refreshInterval:(display:Off,pause:!f,section:0,value:0),time:(from:'2017-02-26T13:17:55-0700',mode:absolute,to:'2017-02-26T16:09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2" s="187" t="str">
        <f t="shared" si="27"/>
        <v>N</v>
      </c>
      <c r="X92" s="187">
        <f t="shared" si="28"/>
        <v>1</v>
      </c>
      <c r="Y92" s="62">
        <f t="shared" si="29"/>
        <v>23.2971</v>
      </c>
      <c r="Z92" s="62">
        <f t="shared" si="30"/>
        <v>1.9800000000000002E-2</v>
      </c>
      <c r="AA92" s="62">
        <f t="shared" si="31"/>
        <v>23.2773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2"/>
        <v>0180-26</v>
      </c>
      <c r="AE92" s="85" t="str">
        <f t="shared" si="33"/>
        <v>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 &amp; aws s3 cp s3://rtdc.mdm.uploadarchive.raw/RTDC4004/ "%USERPROFILE%\AppData\Local\Temp\OnboardLogs"\RTDC4004\2017-02-27 --exclude "*" --recursive --include "*20170227*" &amp; "%USERPROFILE%\Documents\GitHub\mrs-test-scripts\Headless Mode &amp; Sideloading\WalkAndUnGZ.bat" "%USERPROFILE%\AppData\Local\Temp\OnboardLogs"\RTDC4004\2017-02-27</v>
      </c>
      <c r="AF92" s="82" t="str">
        <f t="shared" si="34"/>
        <v>"C:\Program Files (x86)\AstroGrep\AstroGrep.exe" /spath="%USERPROFILE%\AppData\Local\Temp\OnboardLogs" /stypes="app*4004*20170226*" /stext=" 22:.+((SYSTEM_STATE.+slice.+state.+changed )|(ment ac)|(multiple cpu faults)|(system.+state.+changed )|(\[timeout)|(PRM\|1\|D)|(kpr)|(kdp)|(\|lc)|(penalty))" /e /r /s</v>
      </c>
      <c r="AG92" s="1" t="str">
        <f t="shared" si="35"/>
        <v>EC</v>
      </c>
      <c r="AH92" s="86" t="str">
        <f t="shared" si="36"/>
        <v>"%USERPROFILE%\Documents\GitHub\eaglep3\Utilities\RefineRTDCRunTimes.py" --tripid 180-26 --locoid 4004 --swversion DE.1.0.9.0 --startMP 204:232971 --initTime 2017-02-26T14:17:55 --startdatetime 2017-02-26T14:26:40 --delay 4 --endMP 204:198 --enddatetime 2017-02-26T15:09:46 --enforcementcount 1 &gt;&gt;C:\Users\stu\Documents\GitHub\eaglep3-reporting\EC\2017-02-26-refined-times.txt</v>
      </c>
      <c r="AI92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{"issue":{"subject":"","project_id":79,"tracker_id":40,"status_id":1,"priority_id":2,"assigned_to_id":23,"start_date":"2017-02-26","description":"","custom_fields":[{"id":1,"name":"Subdivision","value":"EC"},{"id":4,"name":"Milepost","value":"0.0198"},{"id":17,"name":"Train ID","value":"180-26"},{"id":16,"name":"Locomotive ID","value":"4004"},{"id":130,"name":"Impact","value":""},{"id":150,"name":"Time of Event (Mountain Time)","value":"15:09:46"},{"id":151,"name":"Denver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38"/>
        <v>start /low /b %USERPROFILE%\Documents\GitHub\eaglep3\Utilities\DownloadLogsFromS3.py --loco 4004 --day 2017-02-26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"%USERPROFILE%\AppData\Local\Temp\OnboardLogs"\RTDC4004\*4004*20170226* | grep -SE "(Enforcement Action)|(\[TIMEOUT)|(CHR.+\|PRM\|1\|D.+(SWITCH|SIGNAL).+UNKNOWN)" - &gt;&gt; 2017-02-26-UncaughtWiMAX.txt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693</v>
      </c>
      <c r="B93" s="7">
        <v>4009</v>
      </c>
      <c r="C93" s="21" t="s">
        <v>285</v>
      </c>
      <c r="D93" s="21" t="s">
        <v>277</v>
      </c>
      <c r="E93" s="13">
        <v>42792.570393518516</v>
      </c>
      <c r="F93" s="13">
        <v>42792.573078703703</v>
      </c>
      <c r="G93" s="7">
        <v>1</v>
      </c>
      <c r="H93" s="21" t="s">
        <v>274</v>
      </c>
      <c r="I93" s="13">
        <v>42792.598576388889</v>
      </c>
      <c r="J93" s="7">
        <v>1</v>
      </c>
      <c r="K93" s="98" t="str">
        <f t="shared" si="21"/>
        <v>4009/4010</v>
      </c>
      <c r="L93" s="21" t="str">
        <f>VLOOKUP(A93,'Trips&amp;Operators'!$C$1:$G$99999,5,FALSE)</f>
        <v>CRAYTON QUNTRELL</v>
      </c>
      <c r="M93" s="6">
        <f t="shared" si="22"/>
        <v>2.5497685186564922E-2</v>
      </c>
      <c r="N93" s="7">
        <f t="shared" si="23"/>
        <v>36.716666668653488</v>
      </c>
      <c r="O93" s="7"/>
      <c r="P93" s="7"/>
      <c r="Q93" s="22"/>
      <c r="R93" s="22"/>
      <c r="S93" s="31">
        <f t="shared" si="24"/>
        <v>1</v>
      </c>
      <c r="T93" s="46" t="str">
        <f t="shared" si="25"/>
        <v>NorthBound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26"/>
        <v>https://d0f6bd738d7f1b3e5a7ca70fe4ff75f0.us-east-1.aws.found.io/app/kibana#/discover/Steve-Slow-Train-Analysis-(2080s-and-2083s)?_g=(refreshInterval:(display:Off,pause:!f,section:0,value:0),time:(from:'2017-02-26T12:41:22-0700',mode:absolute,to:'2017-02-26T15:21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3" s="187" t="str">
        <f t="shared" si="27"/>
        <v>N</v>
      </c>
      <c r="X93" s="187">
        <f t="shared" si="28"/>
        <v>1</v>
      </c>
      <c r="Y93" s="62">
        <f t="shared" si="29"/>
        <v>4.7500000000000001E-2</v>
      </c>
      <c r="Z93" s="62">
        <f t="shared" si="30"/>
        <v>23.331700000000001</v>
      </c>
      <c r="AA93" s="62">
        <f t="shared" si="31"/>
        <v>23.284200000000002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2"/>
        <v>0181-26</v>
      </c>
      <c r="AE93" s="85" t="str">
        <f t="shared" si="33"/>
        <v>aws s3 cp s3://rtdc.mdm.uploadarchive.raw/RTDC4009/ "%USERPROFILE%\AppData\Local\Temp\OnboardLogs"\RTDC4009\2017-02-26 --exclude "*" --recursive --include "*20170226*" &amp; "%USERPROFILE%\Documents\GitHub\mrs-test-scripts\Headless Mode &amp; Sideloading\WalkAndUnGZ.bat" "%USERPROFILE%\AppData\Local\Temp\OnboardLogs"\RTDC4009\2017-02-26 &amp; aws s3 cp s3://rtdc.mdm.uploadarchive.raw/RTDC4009/ "%USERPROFILE%\AppData\Local\Temp\OnboardLogs"\RTDC4009\2017-02-27 --exclude "*" --recursive --include "*20170227*" &amp; "%USERPROFILE%\Documents\GitHub\mrs-test-scripts\Headless Mode &amp; Sideloading\WalkAndUnGZ.bat" "%USERPROFILE%\AppData\Local\Temp\OnboardLogs"\RTDC4009\2017-02-27</v>
      </c>
      <c r="AF93" s="82" t="str">
        <f t="shared" si="34"/>
        <v>"C:\Program Files (x86)\AstroGrep\AstroGrep.exe" /spath="%USERPROFILE%\AppData\Local\Temp\OnboardLogs" /stypes="app*4009*20170226*" /stext=" 21:.+((SYSTEM_STATE.+slice.+state.+changed )|(ment ac)|(multiple cpu faults)|(system.+state.+changed )|(\[timeout)|(PRM\|1\|D)|(kpr)|(kdp)|(\|lc)|(penalty))" /e /r /s</v>
      </c>
      <c r="AG93" s="1" t="str">
        <f t="shared" si="35"/>
        <v>EC</v>
      </c>
      <c r="AH93" s="86" t="str">
        <f t="shared" si="36"/>
        <v>"%USERPROFILE%\Documents\GitHub\eaglep3\Utilities\RefineRTDCRunTimes.py" --tripid 181-26 --locoid 4009 --swversion DE.1.0.9.0 --startMP 204:475 --initTime 2017-02-26T13:41:22 --startdatetime 2017-02-26T13:45:14 --delay 1 --endMP 204:233317 --enddatetime 2017-02-26T14:21:57 --enforcementcount 1 &gt;&gt;C:\Users\stu\Documents\GitHub\eaglep3-reporting\EC\2017-02-26-refined-times.txt</v>
      </c>
      <c r="AI93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{"issue":{"subject":"","project_id":79,"tracker_id":40,"status_id":1,"priority_id":2,"assigned_to_id":23,"start_date":"2017-02-26","description":"","custom_fields":[{"id":1,"name":"Subdivision","value":"EC"},{"id":4,"name":"Milepost","value":"23.3317"},{"id":17,"name":"Train ID","value":"181-26"},{"id":16,"name":"Locomotive ID","value":"4009"},{"id":130,"name":"Impact","value":""},{"id":150,"name":"Time of Event (Mountain Time)","value":"14:21:57"},{"id":151,"name":"Denver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38"/>
        <v>start /low /b %USERPROFILE%\Documents\GitHub\eaglep3\Utilities\DownloadLogsFromS3.py --loco 4009 --day 2017-02-26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"%USERPROFILE%\AppData\Local\Temp\OnboardLogs"\RTDC4009\*4009*20170226* | grep -SE "(Enforcement Action)|(\[TIMEOUT)|(CHR.+\|PRM\|1\|D.+(SWITCH|SIGNAL).+UNKNOWN)" - &gt;&gt; 2017-02-26-UncaughtWiMAX.txt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699</v>
      </c>
      <c r="B94" s="7">
        <v>4010</v>
      </c>
      <c r="C94" s="21" t="s">
        <v>285</v>
      </c>
      <c r="D94" s="21" t="s">
        <v>376</v>
      </c>
      <c r="E94" s="13">
        <v>42792.603912037041</v>
      </c>
      <c r="F94" s="13">
        <v>42792.612175925926</v>
      </c>
      <c r="G94" s="7">
        <v>1</v>
      </c>
      <c r="H94" s="21" t="s">
        <v>388</v>
      </c>
      <c r="I94" s="13">
        <v>42792.640324074076</v>
      </c>
      <c r="J94" s="7">
        <v>1</v>
      </c>
      <c r="K94" s="98" t="str">
        <f t="shared" si="21"/>
        <v>4009/4010</v>
      </c>
      <c r="L94" s="21" t="str">
        <f>VLOOKUP(A94,'Trips&amp;Operators'!$C$1:$G$99999,5,FALSE)</f>
        <v>CRAYTON QUNTRELL</v>
      </c>
      <c r="M94" s="6">
        <f t="shared" si="22"/>
        <v>2.8148148150648922E-2</v>
      </c>
      <c r="N94" s="7">
        <f t="shared" si="23"/>
        <v>40.533333336934447</v>
      </c>
      <c r="O94" s="7"/>
      <c r="P94" s="7"/>
      <c r="Q94" s="22"/>
      <c r="R94" s="22"/>
      <c r="S94" s="31">
        <f t="shared" si="24"/>
        <v>1</v>
      </c>
      <c r="T94" s="46" t="str">
        <f t="shared" si="25"/>
        <v>Southbound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26"/>
        <v>https://d0f6bd738d7f1b3e5a7ca70fe4ff75f0.us-east-1.aws.found.io/app/kibana#/discover/Steve-Slow-Train-Analysis-(2080s-and-2083s)?_g=(refreshInterval:(display:Off,pause:!f,section:0,value:0),time:(from:'2017-02-26T13:29:38-0700',mode:absolute,to:'2017-02-26T16:22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4" s="187" t="str">
        <f t="shared" si="27"/>
        <v>N</v>
      </c>
      <c r="X94" s="187">
        <f t="shared" si="28"/>
        <v>1</v>
      </c>
      <c r="Y94" s="62">
        <f t="shared" si="29"/>
        <v>23.298100000000002</v>
      </c>
      <c r="Z94" s="62">
        <f t="shared" si="30"/>
        <v>1.6899999999999998E-2</v>
      </c>
      <c r="AA94" s="62">
        <f t="shared" si="31"/>
        <v>23.281200000000002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2"/>
        <v>0182-26</v>
      </c>
      <c r="AE94" s="85" t="str">
        <f t="shared" si="33"/>
        <v>aws s3 cp s3://rtdc.mdm.uploadarchive.raw/RTDC4010/ "%USERPROFILE%\AppData\Local\Temp\OnboardLogs"\RTDC4010\2017-02-26 --exclude "*" --recursive --include "*20170226*" &amp; "%USERPROFILE%\Documents\GitHub\mrs-test-scripts\Headless Mode &amp; Sideloading\WalkAndUnGZ.bat" "%USERPROFILE%\AppData\Local\Temp\OnboardLogs"\RTDC4010\2017-02-26 &amp; aws s3 cp s3://rtdc.mdm.uploadarchive.raw/RTDC4010/ "%USERPROFILE%\AppData\Local\Temp\OnboardLogs"\RTDC4010\2017-02-27 --exclude "*" --recursive --include "*20170227*" &amp; "%USERPROFILE%\Documents\GitHub\mrs-test-scripts\Headless Mode &amp; Sideloading\WalkAndUnGZ.bat" "%USERPROFILE%\AppData\Local\Temp\OnboardLogs"\RTDC4010\2017-02-27</v>
      </c>
      <c r="AF94" s="82" t="str">
        <f t="shared" si="34"/>
        <v>"C:\Program Files (x86)\AstroGrep\AstroGrep.exe" /spath="%USERPROFILE%\AppData\Local\Temp\OnboardLogs" /stypes="app*4010*20170226*" /stext=" 22:.+((SYSTEM_STATE.+slice.+state.+changed )|(ment ac)|(multiple cpu faults)|(system.+state.+changed )|(\[timeout)|(PRM\|1\|D)|(kpr)|(kdp)|(\|lc)|(penalty))" /e /r /s</v>
      </c>
      <c r="AG94" s="1" t="str">
        <f t="shared" si="35"/>
        <v>EC</v>
      </c>
      <c r="AH94" s="86" t="str">
        <f t="shared" si="36"/>
        <v>"%USERPROFILE%\Documents\GitHub\eaglep3\Utilities\RefineRTDCRunTimes.py" --tripid 182-26 --locoid 4010 --swversion DE.1.0.9.0 --startMP 204:232981 --initTime 2017-02-26T14:29:38 --startdatetime 2017-02-26T14:41:32 --delay 1 --endMP 204:169 --enddatetime 2017-02-26T15:22:04 --enforcementcount 1 &gt;&gt;C:\Users\stu\Documents\GitHub\eaglep3-reporting\EC\2017-02-26-refined-times.txt</v>
      </c>
      <c r="AI94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{"issue":{"subject":"","project_id":79,"tracker_id":40,"status_id":1,"priority_id":2,"assigned_to_id":23,"start_date":"2017-02-26","description":"","custom_fields":[{"id":1,"name":"Subdivision","value":"EC"},{"id":4,"name":"Milepost","value":"0.0169"},{"id":17,"name":"Train ID","value":"182-26"},{"id":16,"name":"Locomotive ID","value":"4010"},{"id":130,"name":"Impact","value":""},{"id":150,"name":"Time of Event (Mountain Time)","value":"15:22:04"},{"id":151,"name":"Denver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38"/>
        <v>start /low /b %USERPROFILE%\Documents\GitHub\eaglep3\Utilities\DownloadLogsFromS3.py --loco 4010 --day 2017-02-26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"%USERPROFILE%\AppData\Local\Temp\OnboardLogs"\RTDC4010\*4010*20170226* | grep -SE "(Enforcement Action)|(\[TIMEOUT)|(CHR.+\|PRM\|1\|D.+(SWITCH|SIGNAL).+UNKNOWN)" - &gt;&gt; 2017-02-26-UncaughtWiMAX.txt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562</v>
      </c>
      <c r="B95" s="7">
        <v>4011</v>
      </c>
      <c r="C95" s="21" t="s">
        <v>285</v>
      </c>
      <c r="D95" s="21" t="s">
        <v>875</v>
      </c>
      <c r="E95" s="13">
        <v>42792.587256944447</v>
      </c>
      <c r="F95" s="13">
        <v>42792.593645833331</v>
      </c>
      <c r="G95" s="7">
        <v>1</v>
      </c>
      <c r="H95" s="21" t="s">
        <v>876</v>
      </c>
      <c r="I95" s="13">
        <v>42792.612175925926</v>
      </c>
      <c r="J95" s="7">
        <v>1</v>
      </c>
      <c r="K95" s="98" t="str">
        <f t="shared" si="21"/>
        <v>4011/4012</v>
      </c>
      <c r="L95" s="21" t="str">
        <f>VLOOKUP(A95,'Trips&amp;Operators'!$C$1:$G$99999,5,FALSE)</f>
        <v>ROMERO CHAD</v>
      </c>
      <c r="M95" s="6">
        <f t="shared" si="22"/>
        <v>1.8530092595028691E-2</v>
      </c>
      <c r="N95" s="7"/>
      <c r="O95" s="7"/>
      <c r="P95" s="7">
        <f t="shared" si="23"/>
        <v>26.683333336841315</v>
      </c>
      <c r="Q95" s="22"/>
      <c r="R95" s="22" t="s">
        <v>961</v>
      </c>
      <c r="S95" s="31">
        <f>SUM(U95:U97)/IF(AG95="EC",12,1)</f>
        <v>0.75</v>
      </c>
      <c r="T95" s="46" t="str">
        <f t="shared" si="25"/>
        <v>NorthBound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0</v>
      </c>
      <c r="V95" s="186" t="str">
        <f t="shared" si="26"/>
        <v>https://d0f6bd738d7f1b3e5a7ca70fe4ff75f0.us-east-1.aws.found.io/app/kibana#/discover/Steve-Slow-Train-Analysis-(2080s-and-2083s)?_g=(refreshInterval:(display:Off,pause:!f,section:0,value:0),time:(from:'2017-02-26T13:05:39-0700',mode:absolute,to:'2017-02-26T15:41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5" s="187" t="str">
        <f t="shared" si="27"/>
        <v>Y</v>
      </c>
      <c r="X95" s="187">
        <f t="shared" si="28"/>
        <v>1</v>
      </c>
      <c r="Y95" s="62">
        <f t="shared" si="29"/>
        <v>1.9145000000000001</v>
      </c>
      <c r="Z95" s="62">
        <f t="shared" si="30"/>
        <v>2.0992999999999999</v>
      </c>
      <c r="AA95" s="62">
        <f t="shared" si="31"/>
        <v>0.18479999999999985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2"/>
        <v>0183-26</v>
      </c>
      <c r="AE95" s="85" t="str">
        <f t="shared" si="33"/>
        <v>aws s3 cp s3://rtdc.mdm.uploadarchive.raw/RTDC4011/ "%USERPROFILE%\AppData\Local\Temp\OnboardLogs"\RTDC4011\2017-02-26 --exclude "*" --recursive --include "*20170226*" &amp; "%USERPROFILE%\Documents\GitHub\mrs-test-scripts\Headless Mode &amp; Sideloading\WalkAndUnGZ.bat" "%USERPROFILE%\AppData\Local\Temp\OnboardLogs"\RTDC4011\2017-02-26 &amp; aws s3 cp s3://rtdc.mdm.uploadarchive.raw/RTDC4011/ "%USERPROFILE%\AppData\Local\Temp\OnboardLogs"\RTDC4011\2017-02-27 --exclude "*" --recursive --include "*20170227*" &amp; "%USERPROFILE%\Documents\GitHub\mrs-test-scripts\Headless Mode &amp; Sideloading\WalkAndUnGZ.bat" "%USERPROFILE%\AppData\Local\Temp\OnboardLogs"\RTDC4011\2017-02-27</v>
      </c>
      <c r="AF95" s="82" t="str">
        <f t="shared" si="34"/>
        <v>"C:\Program Files (x86)\AstroGrep\AstroGrep.exe" /spath="%USERPROFILE%\AppData\Local\Temp\OnboardLogs" /stypes="app*4011*20170226*" /stext=" 21:.+((SYSTEM_STATE.+slice.+state.+changed )|(ment ac)|(multiple cpu faults)|(system.+state.+changed )|(\[timeout)|(PRM\|1\|D)|(kpr)|(kdp)|(\|lc)|(penalty))" /e /r /s</v>
      </c>
      <c r="AG95" s="1" t="str">
        <f t="shared" si="35"/>
        <v>EC</v>
      </c>
      <c r="AH95" s="86" t="str">
        <f t="shared" si="36"/>
        <v>"%USERPROFILE%\Documents\GitHub\eaglep3\Utilities\RefineRTDCRunTimes.py" --tripid 183-26 --locoid 4011 --swversion DE.1.0.9.0 --startMP 204:19145 --initTime 2017-02-26T14:05:39 --startdatetime 2017-02-26T14:14:51 --delay 1 --endMP 204:20993 --enddatetime 2017-02-26T14:41:32 --enforcementcount 1 &gt;&gt;C:\Users\stu\Documents\GitHub\eaglep3-reporting\EC\2017-02-26-refined-times.txt</v>
      </c>
      <c r="AI95" s="108" t="str">
        <f t="shared" si="37"/>
        <v>echo {"issue":{"subject":"Onboard in-route failure","project_id":79,"tracker_id":40,"status_id":1,"priority_id":2,"assigned_to_id":23,"start_date":"2017-02-26","description":"","custom_fields":[{"id":1,"name":"Subdivision","value":"EC"},{"id":4,"name":"Milepost","value":"2.0993"},{"id":17,"name":"Train ID","value":"183-26"},{"id":16,"name":"Locomotive ID","value":"4011"},{"id":130,"name":"Impact","value":""},{"id":150,"name":"Time of Event (Mountain Time)","value":"14:41:32"},{"id":151,"name":"Denver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38"/>
        <v>start /low /b %USERPROFILE%\Documents\GitHub\eaglep3\Utilities\DownloadLogsFromS3.py --loco 4011 --day 2017-02-26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"%USERPROFILE%\AppData\Local\Temp\OnboardLogs"\RTDC4011\*4011*20170226* | grep -SE "(Enforcement Action)|(\[TIMEOUT)|(CHR.+\|PRM\|1\|D.+(SWITCH|SIGNAL).+UNKNOWN)" - &gt;&gt; 2017-02-26-UncaughtWiMAX.txt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562</v>
      </c>
      <c r="B96" s="7">
        <v>4011</v>
      </c>
      <c r="C96" s="21" t="s">
        <v>285</v>
      </c>
      <c r="D96" s="21" t="s">
        <v>877</v>
      </c>
      <c r="E96" s="13">
        <v>42792.592592592591</v>
      </c>
      <c r="F96" s="13">
        <v>42792.593645833331</v>
      </c>
      <c r="G96" s="7">
        <v>0</v>
      </c>
      <c r="H96" s="21" t="s">
        <v>297</v>
      </c>
      <c r="I96" s="13">
        <v>42792.612175925926</v>
      </c>
      <c r="J96" s="7">
        <v>1</v>
      </c>
      <c r="K96" s="98" t="str">
        <f t="shared" si="21"/>
        <v>4011/4012</v>
      </c>
      <c r="L96" s="21" t="str">
        <f>VLOOKUP(A96,'Trips&amp;Operators'!$C$1:$G$99999,5,FALSE)</f>
        <v>ROMERO CHAD</v>
      </c>
      <c r="M96" s="6">
        <f t="shared" si="22"/>
        <v>1.8530092595028691E-2</v>
      </c>
      <c r="N96" s="7"/>
      <c r="O96" s="7"/>
      <c r="P96" s="7"/>
      <c r="Q96" s="22"/>
      <c r="R96" s="22"/>
      <c r="S96" s="31"/>
      <c r="T96" s="46" t="str">
        <f t="shared" si="25"/>
        <v>NorthBound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9</v>
      </c>
      <c r="V96" s="186" t="str">
        <f t="shared" si="26"/>
        <v>https://d0f6bd738d7f1b3e5a7ca70fe4ff75f0.us-east-1.aws.found.io/app/kibana#/discover/Steve-Slow-Train-Analysis-(2080s-and-2083s)?_g=(refreshInterval:(display:Off,pause:!f,section:0,value:0),time:(from:'2017-02-26T13:13:20-0700',mode:absolute,to:'2017-02-26T15:41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6" s="187" t="str">
        <f t="shared" si="27"/>
        <v>Y</v>
      </c>
      <c r="X96" s="187">
        <f t="shared" si="28"/>
        <v>0</v>
      </c>
      <c r="Y96" s="62">
        <f t="shared" si="29"/>
        <v>3.7181999999999999</v>
      </c>
      <c r="Z96" s="62">
        <f t="shared" si="30"/>
        <v>23.329699999999999</v>
      </c>
      <c r="AA96" s="62">
        <f t="shared" si="31"/>
        <v>19.611499999999999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2"/>
        <v>0183-26</v>
      </c>
      <c r="AE96" s="85" t="str">
        <f t="shared" si="33"/>
        <v>aws s3 cp s3://rtdc.mdm.uploadarchive.raw/RTDC4011/ "%USERPROFILE%\AppData\Local\Temp\OnboardLogs"\RTDC4011\2017-02-26 --exclude "*" --recursive --include "*20170226*" &amp; "%USERPROFILE%\Documents\GitHub\mrs-test-scripts\Headless Mode &amp; Sideloading\WalkAndUnGZ.bat" "%USERPROFILE%\AppData\Local\Temp\OnboardLogs"\RTDC4011\2017-02-26 &amp; aws s3 cp s3://rtdc.mdm.uploadarchive.raw/RTDC4011/ "%USERPROFILE%\AppData\Local\Temp\OnboardLogs"\RTDC4011\2017-02-27 --exclude "*" --recursive --include "*20170227*" &amp; "%USERPROFILE%\Documents\GitHub\mrs-test-scripts\Headless Mode &amp; Sideloading\WalkAndUnGZ.bat" "%USERPROFILE%\AppData\Local\Temp\OnboardLogs"\RTDC4011\2017-02-27</v>
      </c>
      <c r="AF96" s="82" t="str">
        <f t="shared" si="34"/>
        <v>"C:\Program Files (x86)\AstroGrep\AstroGrep.exe" /spath="%USERPROFILE%\AppData\Local\Temp\OnboardLogs" /stypes="app*4011*20170226*" /stext=" 21:.+((SYSTEM_STATE.+slice.+state.+changed )|(ment ac)|(multiple cpu faults)|(system.+state.+changed )|(\[timeout)|(PRM\|1\|D)|(kpr)|(kdp)|(\|lc)|(penalty))" /e /r /s</v>
      </c>
      <c r="AG96" s="1" t="str">
        <f t="shared" si="35"/>
        <v>EC</v>
      </c>
      <c r="AH96" s="86" t="str">
        <f t="shared" si="36"/>
        <v>"%USERPROFILE%\Documents\GitHub\eaglep3\Utilities\RefineRTDCRunTimes.py" --tripid 183-26 --locoid 4011 --swversion DE.1.0.9.0 --startMP 204:37182 --initTime 2017-02-26T14:13:20 --startdatetime 2017-02-26T14:14:51 --delay 0 --endMP 204:233297 --enddatetime 2017-02-26T14:41:32 --enforcementcount 1 &gt;&gt;C:\Users\stu\Documents\GitHub\eaglep3-reporting\EC\2017-02-26-refined-times.txt</v>
      </c>
      <c r="AI96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{"issue":{"subject":"","project_id":79,"tracker_id":40,"status_id":1,"priority_id":2,"assigned_to_id":23,"start_date":"2017-02-26","description":"","custom_fields":[{"id":1,"name":"Subdivision","value":"EC"},{"id":4,"name":"Milepost","value":"23.3297"},{"id":17,"name":"Train ID","value":"183-26"},{"id":16,"name":"Locomotive ID","value":"4011"},{"id":130,"name":"Impact","value":""},{"id":150,"name":"Time of Event (Mountain Time)","value":"14:41:32"},{"id":151,"name":"Denver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38"/>
        <v>start /low /b %USERPROFILE%\Documents\GitHub\eaglep3\Utilities\DownloadLogsFromS3.py --loco 4011 --day 2017-02-26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"%USERPROFILE%\AppData\Local\Temp\OnboardLogs"\RTDC4011\*4011*20170226* | grep -SE "(Enforcement Action)|(\[TIMEOUT)|(CHR.+\|PRM\|1\|D.+(SWITCH|SIGNAL).+UNKNOWN)" - &gt;&gt; 2017-02-26-UncaughtWiMAX.txt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562</v>
      </c>
      <c r="B97" s="7">
        <v>4011</v>
      </c>
      <c r="C97" s="21" t="s">
        <v>285</v>
      </c>
      <c r="D97" s="21" t="s">
        <v>878</v>
      </c>
      <c r="E97" s="13">
        <v>42792.582314814812</v>
      </c>
      <c r="F97" s="13">
        <v>42792.593645833331</v>
      </c>
      <c r="G97" s="7">
        <v>0</v>
      </c>
      <c r="H97" s="21" t="s">
        <v>876</v>
      </c>
      <c r="I97" s="13">
        <v>42792.612175925926</v>
      </c>
      <c r="J97" s="7">
        <v>1</v>
      </c>
      <c r="K97" s="98" t="str">
        <f t="shared" si="21"/>
        <v>4011/4012</v>
      </c>
      <c r="L97" s="21" t="str">
        <f>VLOOKUP(A97,'Trips&amp;Operators'!$C$1:$G$99999,5,FALSE)</f>
        <v>ROMERO CHAD</v>
      </c>
      <c r="M97" s="6">
        <f t="shared" si="22"/>
        <v>1.8530092595028691E-2</v>
      </c>
      <c r="N97" s="7"/>
      <c r="O97" s="7"/>
      <c r="P97" s="7"/>
      <c r="Q97" s="22"/>
      <c r="R97" s="22"/>
      <c r="S97" s="31"/>
      <c r="T97" s="46" t="str">
        <f t="shared" si="25"/>
        <v>NorthBound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0</v>
      </c>
      <c r="V97" s="186" t="str">
        <f t="shared" si="26"/>
        <v>https://d0f6bd738d7f1b3e5a7ca70fe4ff75f0.us-east-1.aws.found.io/app/kibana#/discover/Steve-Slow-Train-Analysis-(2080s-and-2083s)?_g=(refreshInterval:(display:Off,pause:!f,section:0,value:0),time:(from:'2017-02-26T12:58:32-0700',mode:absolute,to:'2017-02-26T15:41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7" s="187" t="str">
        <f t="shared" si="27"/>
        <v>Y</v>
      </c>
      <c r="X97" s="187">
        <f t="shared" si="28"/>
        <v>0</v>
      </c>
      <c r="Y97" s="62">
        <f t="shared" si="29"/>
        <v>4.3499999999999997E-2</v>
      </c>
      <c r="Z97" s="62">
        <f t="shared" si="30"/>
        <v>2.0992999999999999</v>
      </c>
      <c r="AA97" s="62">
        <f t="shared" si="31"/>
        <v>2.0558000000000001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2"/>
        <v>0183-26</v>
      </c>
      <c r="AE97" s="85" t="str">
        <f t="shared" si="33"/>
        <v>aws s3 cp s3://rtdc.mdm.uploadarchive.raw/RTDC4011/ "%USERPROFILE%\AppData\Local\Temp\OnboardLogs"\RTDC4011\2017-02-26 --exclude "*" --recursive --include "*20170226*" &amp; "%USERPROFILE%\Documents\GitHub\mrs-test-scripts\Headless Mode &amp; Sideloading\WalkAndUnGZ.bat" "%USERPROFILE%\AppData\Local\Temp\OnboardLogs"\RTDC4011\2017-02-26 &amp; aws s3 cp s3://rtdc.mdm.uploadarchive.raw/RTDC4011/ "%USERPROFILE%\AppData\Local\Temp\OnboardLogs"\RTDC4011\2017-02-27 --exclude "*" --recursive --include "*20170227*" &amp; "%USERPROFILE%\Documents\GitHub\mrs-test-scripts\Headless Mode &amp; Sideloading\WalkAndUnGZ.bat" "%USERPROFILE%\AppData\Local\Temp\OnboardLogs"\RTDC4011\2017-02-27</v>
      </c>
      <c r="AF97" s="82" t="str">
        <f t="shared" si="34"/>
        <v>"C:\Program Files (x86)\AstroGrep\AstroGrep.exe" /spath="%USERPROFILE%\AppData\Local\Temp\OnboardLogs" /stypes="app*4011*20170226*" /stext=" 21:.+((SYSTEM_STATE.+slice.+state.+changed )|(ment ac)|(multiple cpu faults)|(system.+state.+changed )|(\[timeout)|(PRM\|1\|D)|(kpr)|(kdp)|(\|lc)|(penalty))" /e /r /s</v>
      </c>
      <c r="AG97" s="1" t="str">
        <f t="shared" si="35"/>
        <v>EC</v>
      </c>
      <c r="AH97" s="86" t="str">
        <f t="shared" si="36"/>
        <v>"%USERPROFILE%\Documents\GitHub\eaglep3\Utilities\RefineRTDCRunTimes.py" --tripid 183-26 --locoid 4011 --swversion DE.1.0.9.0 --startMP 204:435 --initTime 2017-02-26T13:58:32 --startdatetime 2017-02-26T14:14:51 --delay 0 --endMP 204:20993 --enddatetime 2017-02-26T14:41:32 --enforcementcount 1 &gt;&gt;C:\Users\stu\Documents\GitHub\eaglep3-reporting\EC\2017-02-26-refined-times.txt</v>
      </c>
      <c r="AI97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{"issue":{"subject":"","project_id":79,"tracker_id":40,"status_id":1,"priority_id":2,"assigned_to_id":23,"start_date":"2017-02-26","description":"","custom_fields":[{"id":1,"name":"Subdivision","value":"EC"},{"id":4,"name":"Milepost","value":"2.0993"},{"id":17,"name":"Train ID","value":"183-26"},{"id":16,"name":"Locomotive ID","value":"4011"},{"id":130,"name":"Impact","value":""},{"id":150,"name":"Time of Event (Mountain Time)","value":"14:41:32"},{"id":151,"name":"Denver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38"/>
        <v>start /low /b %USERPROFILE%\Documents\GitHub\eaglep3\Utilities\DownloadLogsFromS3.py --loco 4011 --day 2017-02-26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"%USERPROFILE%\AppData\Local\Temp\OnboardLogs"\RTDC4011\*4011*20170226* | grep -SE "(Enforcement Action)|(\[TIMEOUT)|(CHR.+\|PRM\|1\|D.+(SWITCH|SIGNAL).+UNKNOWN)" - &gt;&gt; 2017-02-26-UncaughtWiMAX.txt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701</v>
      </c>
      <c r="B98" s="7">
        <v>4012</v>
      </c>
      <c r="C98" s="21" t="s">
        <v>285</v>
      </c>
      <c r="D98" s="21" t="s">
        <v>836</v>
      </c>
      <c r="E98" s="13">
        <v>42792.613900462966</v>
      </c>
      <c r="F98" s="13">
        <v>42792.622488425928</v>
      </c>
      <c r="G98" s="7">
        <v>1</v>
      </c>
      <c r="H98" s="21" t="s">
        <v>213</v>
      </c>
      <c r="I98" s="13">
        <v>42792.649502314816</v>
      </c>
      <c r="J98" s="7">
        <v>1</v>
      </c>
      <c r="K98" s="98" t="str">
        <f t="shared" si="21"/>
        <v>4011/4012</v>
      </c>
      <c r="L98" s="21" t="str">
        <f>VLOOKUP(A98,'Trips&amp;Operators'!$C$1:$G$99999,5,FALSE)</f>
        <v>ROMERO CHAD</v>
      </c>
      <c r="M98" s="6">
        <f t="shared" si="22"/>
        <v>2.7013888888177462E-2</v>
      </c>
      <c r="N98" s="7">
        <f t="shared" si="23"/>
        <v>38.899999998975545</v>
      </c>
      <c r="O98" s="7"/>
      <c r="P98" s="7"/>
      <c r="Q98" s="22"/>
      <c r="R98" s="22"/>
      <c r="S98" s="31">
        <f t="shared" si="24"/>
        <v>1</v>
      </c>
      <c r="T98" s="46" t="str">
        <f t="shared" si="25"/>
        <v>Southbound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26"/>
        <v>https://d0f6bd738d7f1b3e5a7ca70fe4ff75f0.us-east-1.aws.found.io/app/kibana#/discover/Steve-Slow-Train-Analysis-(2080s-and-2083s)?_g=(refreshInterval:(display:Off,pause:!f,section:0,value:0),time:(from:'2017-02-26T13:44:01-0700',mode:absolute,to:'2017-02-26T16:35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8" s="187" t="str">
        <f t="shared" si="27"/>
        <v>N</v>
      </c>
      <c r="X98" s="187">
        <f t="shared" si="28"/>
        <v>1</v>
      </c>
      <c r="Y98" s="62">
        <f t="shared" si="29"/>
        <v>23.297999999999998</v>
      </c>
      <c r="Z98" s="62">
        <f t="shared" si="30"/>
        <v>1.54E-2</v>
      </c>
      <c r="AA98" s="62">
        <f t="shared" si="31"/>
        <v>23.282599999999999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2"/>
        <v>0184-26</v>
      </c>
      <c r="AE98" s="85" t="str">
        <f t="shared" si="33"/>
        <v>aws s3 cp s3://rtdc.mdm.uploadarchive.raw/RTDC4012/ "%USERPROFILE%\AppData\Local\Temp\OnboardLogs"\RTDC4012\2017-02-26 --exclude "*" --recursive --include "*20170226*" &amp; "%USERPROFILE%\Documents\GitHub\mrs-test-scripts\Headless Mode &amp; Sideloading\WalkAndUnGZ.bat" "%USERPROFILE%\AppData\Local\Temp\OnboardLogs"\RTDC4012\2017-02-26 &amp; 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</v>
      </c>
      <c r="AF98" s="82" t="str">
        <f t="shared" si="34"/>
        <v>"C:\Program Files (x86)\AstroGrep\AstroGrep.exe" /spath="%USERPROFILE%\AppData\Local\Temp\OnboardLogs" /stypes="app*4012*20170226*" /stext=" 22:.+((SYSTEM_STATE.+slice.+state.+changed )|(ment ac)|(multiple cpu faults)|(system.+state.+changed )|(\[timeout)|(PRM\|1\|D)|(kpr)|(kdp)|(\|lc)|(penalty))" /e /r /s</v>
      </c>
      <c r="AG98" s="1" t="str">
        <f t="shared" si="35"/>
        <v>EC</v>
      </c>
      <c r="AH98" s="86" t="str">
        <f t="shared" si="36"/>
        <v>"%USERPROFILE%\Documents\GitHub\eaglep3\Utilities\RefineRTDCRunTimes.py" --tripid 184-26 --locoid 4012 --swversion DE.1.0.9.0 --startMP 204:232980 --initTime 2017-02-26T14:44:01 --startdatetime 2017-02-26T14:56:23 --delay 1 --endMP 204:154 --enddatetime 2017-02-26T15:35:17 --enforcementcount 1 &gt;&gt;C:\Users\stu\Documents\GitHub\eaglep3-reporting\EC\2017-02-26-refined-times.txt</v>
      </c>
      <c r="AI98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{"issue":{"subject":"","project_id":79,"tracker_id":40,"status_id":1,"priority_id":2,"assigned_to_id":23,"start_date":"2017-02-26","description":"","custom_fields":[{"id":1,"name":"Subdivision","value":"EC"},{"id":4,"name":"Milepost","value":"0.0154"},{"id":17,"name":"Train ID","value":"184-26"},{"id":16,"name":"Locomotive ID","value":"4012"},{"id":130,"name":"Impact","value":""},{"id":150,"name":"Time of Event (Mountain Time)","value":"15:35:17"},{"id":151,"name":"Denver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38"/>
        <v>start /low /b %USERPROFILE%\Documents\GitHub\eaglep3\Utilities\DownloadLogsFromS3.py --loco 4012 --day 2017-02-26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"%USERPROFILE%\AppData\Local\Temp\OnboardLogs"\RTDC4012\*4012*20170226* | grep -SE "(Enforcement Action)|(\[TIMEOUT)|(CHR.+\|PRM\|1\|D.+(SWITCH|SIGNAL).+UNKNOWN)" - &gt;&gt; 2017-02-26-UncaughtWiMAX.txt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696</v>
      </c>
      <c r="B99" s="7">
        <v>4027</v>
      </c>
      <c r="C99" s="21" t="s">
        <v>285</v>
      </c>
      <c r="D99" s="21" t="s">
        <v>378</v>
      </c>
      <c r="E99" s="13">
        <v>42792.592499999999</v>
      </c>
      <c r="F99" s="13">
        <v>42792.594074074077</v>
      </c>
      <c r="G99" s="7">
        <v>1</v>
      </c>
      <c r="H99" s="21" t="s">
        <v>881</v>
      </c>
      <c r="I99" s="13">
        <v>42792.620011574072</v>
      </c>
      <c r="J99" s="7">
        <v>1</v>
      </c>
      <c r="K99" s="98" t="str">
        <f t="shared" si="21"/>
        <v>4027/4028</v>
      </c>
      <c r="L99" s="21" t="str">
        <f>VLOOKUP(A99,'Trips&amp;Operators'!$C$1:$G$99999,5,FALSE)</f>
        <v>KILLION DAVID</v>
      </c>
      <c r="M99" s="6">
        <f t="shared" si="22"/>
        <v>2.5937499995052349E-2</v>
      </c>
      <c r="N99" s="7">
        <f t="shared" si="23"/>
        <v>37.349999992875382</v>
      </c>
      <c r="O99" s="7"/>
      <c r="P99" s="7"/>
      <c r="Q99" s="22"/>
      <c r="R99" s="22"/>
      <c r="S99" s="31">
        <f t="shared" si="24"/>
        <v>1</v>
      </c>
      <c r="T99" s="46" t="str">
        <f t="shared" si="25"/>
        <v>NorthBound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26"/>
        <v>https://d0f6bd738d7f1b3e5a7ca70fe4ff75f0.us-east-1.aws.found.io/app/kibana#/discover/Steve-Slow-Train-Analysis-(2080s-and-2083s)?_g=(refreshInterval:(display:Off,pause:!f,section:0,value:0),time:(from:'2017-02-26T13:13:12-0700',mode:absolute,to:'2017-02-26T15:52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9" s="187" t="str">
        <f t="shared" si="27"/>
        <v>N</v>
      </c>
      <c r="X99" s="187">
        <f t="shared" si="28"/>
        <v>1</v>
      </c>
      <c r="Y99" s="62">
        <f t="shared" si="29"/>
        <v>4.6699999999999998E-2</v>
      </c>
      <c r="Z99" s="62">
        <f t="shared" si="30"/>
        <v>23.3291</v>
      </c>
      <c r="AA99" s="62">
        <f t="shared" si="31"/>
        <v>23.282399999999999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2"/>
        <v>0185-26</v>
      </c>
      <c r="AE99" s="85" t="str">
        <f t="shared" si="33"/>
        <v>aws s3 cp s3://rtdc.mdm.uploadarchive.raw/RTDC4027/ "%USERPROFILE%\AppData\Local\Temp\OnboardLogs"\RTDC4027\2017-02-26 --exclude "*" --recursive --include "*20170226*" &amp; "%USERPROFILE%\Documents\GitHub\mrs-test-scripts\Headless Mode &amp; Sideloading\WalkAndUnGZ.bat" "%USERPROFILE%\AppData\Local\Temp\OnboardLogs"\RTDC4027\2017-02-26 &amp; aws s3 cp s3://rtdc.mdm.uploadarchive.raw/RTDC4027/ "%USERPROFILE%\AppData\Local\Temp\OnboardLogs"\RTDC4027\2017-02-27 --exclude "*" --recursive --include "*20170227*" &amp; "%USERPROFILE%\Documents\GitHub\mrs-test-scripts\Headless Mode &amp; Sideloading\WalkAndUnGZ.bat" "%USERPROFILE%\AppData\Local\Temp\OnboardLogs"\RTDC4027\2017-02-27</v>
      </c>
      <c r="AF99" s="82" t="str">
        <f t="shared" si="34"/>
        <v>"C:\Program Files (x86)\AstroGrep\AstroGrep.exe" /spath="%USERPROFILE%\AppData\Local\Temp\OnboardLogs" /stypes="app*4027*20170226*" /stext=" 21:.+((SYSTEM_STATE.+slice.+state.+changed )|(ment ac)|(multiple cpu faults)|(system.+state.+changed )|(\[timeout)|(PRM\|1\|D)|(kpr)|(kdp)|(\|lc)|(penalty))" /e /r /s</v>
      </c>
      <c r="AG99" s="1" t="str">
        <f t="shared" si="35"/>
        <v>EC</v>
      </c>
      <c r="AH99" s="86" t="str">
        <f t="shared" si="36"/>
        <v>"%USERPROFILE%\Documents\GitHub\eaglep3\Utilities\RefineRTDCRunTimes.py" --tripid 185-26 --locoid 4027 --swversion DE.1.0.9.0 --startMP 204:467 --initTime 2017-02-26T14:13:12 --startdatetime 2017-02-26T14:15:28 --delay 1 --endMP 204:233291 --enddatetime 2017-02-26T14:52:49 --enforcementcount 1 &gt;&gt;C:\Users\stu\Documents\GitHub\eaglep3-reporting\EC\2017-02-26-refined-times.txt</v>
      </c>
      <c r="AI99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{"issue":{"subject":"","project_id":79,"tracker_id":40,"status_id":1,"priority_id":2,"assigned_to_id":23,"start_date":"2017-02-26","description":"","custom_fields":[{"id":1,"name":"Subdivision","value":"EC"},{"id":4,"name":"Milepost","value":"23.3291"},{"id":17,"name":"Train ID","value":"185-26"},{"id":16,"name":"Locomotive ID","value":"4027"},{"id":130,"name":"Impact","value":""},{"id":150,"name":"Time of Event (Mountain Time)","value":"14:52:49"},{"id":151,"name":"Denver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38"/>
        <v>start /low /b %USERPROFILE%\Documents\GitHub\eaglep3\Utilities\DownloadLogsFromS3.py --loco 4027 --day 2017-02-26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"%USERPROFILE%\AppData\Local\Temp\OnboardLogs"\RTDC4027\*4027*20170226* | grep -SE "(Enforcement Action)|(\[TIMEOUT)|(CHR.+\|PRM\|1\|D.+(SWITCH|SIGNAL).+UNKNOWN)" - &gt;&gt; 2017-02-26-UncaughtWiMAX.txt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704</v>
      </c>
      <c r="B100" s="7">
        <v>4028</v>
      </c>
      <c r="C100" s="21" t="s">
        <v>285</v>
      </c>
      <c r="D100" s="21" t="s">
        <v>882</v>
      </c>
      <c r="E100" s="13">
        <v>42792.627384259256</v>
      </c>
      <c r="F100" s="13">
        <v>42792.632893518516</v>
      </c>
      <c r="G100" s="7">
        <v>1</v>
      </c>
      <c r="H100" s="21" t="s">
        <v>184</v>
      </c>
      <c r="I100" s="13">
        <v>42792.662048611113</v>
      </c>
      <c r="J100" s="7">
        <v>1</v>
      </c>
      <c r="K100" s="98" t="str">
        <f t="shared" si="21"/>
        <v>4027/4028</v>
      </c>
      <c r="L100" s="21" t="str">
        <f>VLOOKUP(A100,'Trips&amp;Operators'!$C$1:$G$99999,5,FALSE)</f>
        <v>KILLION DAVID</v>
      </c>
      <c r="M100" s="6">
        <f t="shared" si="22"/>
        <v>2.9155092597648036E-2</v>
      </c>
      <c r="N100" s="7">
        <f t="shared" si="23"/>
        <v>41.983333340613171</v>
      </c>
      <c r="O100" s="7"/>
      <c r="P100" s="7"/>
      <c r="Q100" s="22"/>
      <c r="R100" s="22"/>
      <c r="S100" s="31">
        <f t="shared" si="24"/>
        <v>1</v>
      </c>
      <c r="T100" s="46" t="str">
        <f t="shared" si="25"/>
        <v>Southbound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26"/>
        <v>https://d0f6bd738d7f1b3e5a7ca70fe4ff75f0.us-east-1.aws.found.io/app/kibana#/discover/Steve-Slow-Train-Analysis-(2080s-and-2083s)?_g=(refreshInterval:(display:Off,pause:!f,section:0,value:0),time:(from:'2017-02-26T14:03:26-0700',mode:absolute,to:'2017-02-26T16:53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0" s="187" t="str">
        <f t="shared" si="27"/>
        <v>N</v>
      </c>
      <c r="X100" s="187">
        <f t="shared" si="28"/>
        <v>1</v>
      </c>
      <c r="Y100" s="62">
        <f t="shared" si="29"/>
        <v>23.296800000000001</v>
      </c>
      <c r="Z100" s="62">
        <f t="shared" si="30"/>
        <v>1.49E-2</v>
      </c>
      <c r="AA100" s="62">
        <f t="shared" si="31"/>
        <v>23.2819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2"/>
        <v>0186-26</v>
      </c>
      <c r="AE100" s="85" t="str">
        <f t="shared" si="33"/>
        <v>aws s3 cp s3://rtdc.mdm.uploadarchive.raw/RTDC4028/ "%USERPROFILE%\AppData\Local\Temp\OnboardLogs"\RTDC4028\2017-02-26 --exclude "*" --recursive --include "*20170226*" &amp; "%USERPROFILE%\Documents\GitHub\mrs-test-scripts\Headless Mode &amp; Sideloading\WalkAndUnGZ.bat" "%USERPROFILE%\AppData\Local\Temp\OnboardLogs"\RTDC4028\2017-02-26 &amp; aws s3 cp s3://rtdc.mdm.uploadarchive.raw/RTDC4028/ "%USERPROFILE%\AppData\Local\Temp\OnboardLogs"\RTDC4028\2017-02-27 --exclude "*" --recursive --include "*20170227*" &amp; "%USERPROFILE%\Documents\GitHub\mrs-test-scripts\Headless Mode &amp; Sideloading\WalkAndUnGZ.bat" "%USERPROFILE%\AppData\Local\Temp\OnboardLogs"\RTDC4028\2017-02-27</v>
      </c>
      <c r="AF100" s="82" t="str">
        <f t="shared" si="34"/>
        <v>"C:\Program Files (x86)\AstroGrep\AstroGrep.exe" /spath="%USERPROFILE%\AppData\Local\Temp\OnboardLogs" /stypes="app*4028*20170226*" /stext=" 22:.+((SYSTEM_STATE.+slice.+state.+changed )|(ment ac)|(multiple cpu faults)|(system.+state.+changed )|(\[timeout)|(PRM\|1\|D)|(kpr)|(kdp)|(\|lc)|(penalty))" /e /r /s</v>
      </c>
      <c r="AG100" s="1" t="str">
        <f t="shared" si="35"/>
        <v>EC</v>
      </c>
      <c r="AH100" s="86" t="str">
        <f t="shared" si="36"/>
        <v>"%USERPROFILE%\Documents\GitHub\eaglep3\Utilities\RefineRTDCRunTimes.py" --tripid 186-26 --locoid 4028 --swversion DE.1.0.9.0 --startMP 204:232968 --initTime 2017-02-26T15:03:26 --startdatetime 2017-02-26T15:11:22 --delay 1 --endMP 204:149 --enddatetime 2017-02-26T15:53:21 --enforcementcount 1 &gt;&gt;C:\Users\stu\Documents\GitHub\eaglep3-reporting\EC\2017-02-26-refined-times.txt</v>
      </c>
      <c r="AI100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{"issue":{"subject":"","project_id":79,"tracker_id":40,"status_id":1,"priority_id":2,"assigned_to_id":23,"start_date":"2017-02-26","description":"","custom_fields":[{"id":1,"name":"Subdivision","value":"EC"},{"id":4,"name":"Milepost","value":"0.0149"},{"id":17,"name":"Train ID","value":"186-26"},{"id":16,"name":"Locomotive ID","value":"4028"},{"id":130,"name":"Impact","value":""},{"id":150,"name":"Time of Event (Mountain Time)","value":"15:53:21"},{"id":151,"name":"Denver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38"/>
        <v>start /low /b %USERPROFILE%\Documents\GitHub\eaglep3\Utilities\DownloadLogsFromS3.py --loco 4028 --day 2017-02-26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"%USERPROFILE%\AppData\Local\Temp\OnboardLogs"\RTDC4028\*4028*20170226* | grep -SE "(Enforcement Action)|(\[TIMEOUT)|(CHR.+\|PRM\|1\|D.+(SWITCH|SIGNAL).+UNKNOWN)" - &gt;&gt; 2017-02-26-UncaughtWiMAX.txt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3" t="s">
        <v>698</v>
      </c>
      <c r="B101" s="7">
        <v>4018</v>
      </c>
      <c r="C101" s="21" t="s">
        <v>285</v>
      </c>
      <c r="D101" s="21" t="s">
        <v>384</v>
      </c>
      <c r="E101" s="13">
        <v>42792.601400462961</v>
      </c>
      <c r="F101" s="13">
        <v>42792.604409722226</v>
      </c>
      <c r="G101" s="7">
        <v>1</v>
      </c>
      <c r="H101" s="21" t="s">
        <v>303</v>
      </c>
      <c r="I101" s="13">
        <v>42792.630659722221</v>
      </c>
      <c r="J101" s="7">
        <v>1</v>
      </c>
      <c r="K101" s="98" t="str">
        <f t="shared" si="21"/>
        <v>4017/4018</v>
      </c>
      <c r="L101" s="21" t="str">
        <f>VLOOKUP(A101,'Trips&amp;Operators'!$C$1:$G$99999,5,FALSE)</f>
        <v>STEWART MICHAEL</v>
      </c>
      <c r="M101" s="6">
        <f t="shared" si="22"/>
        <v>2.6249999995343387E-2</v>
      </c>
      <c r="N101" s="7">
        <f t="shared" si="23"/>
        <v>37.799999993294477</v>
      </c>
      <c r="O101" s="7"/>
      <c r="P101" s="7"/>
      <c r="Q101" s="22"/>
      <c r="R101" s="22"/>
      <c r="S101" s="31">
        <f t="shared" si="24"/>
        <v>1</v>
      </c>
      <c r="T101" s="46" t="str">
        <f t="shared" si="25"/>
        <v>NorthBound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26"/>
        <v>https://d0f6bd738d7f1b3e5a7ca70fe4ff75f0.us-east-1.aws.found.io/app/kibana#/discover/Steve-Slow-Train-Analysis-(2080s-and-2083s)?_g=(refreshInterval:(display:Off,pause:!f,section:0,value:0),time:(from:'2017-02-26T13:26:01-0700',mode:absolute,to:'2017-02-26T16:08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1" s="187" t="str">
        <f t="shared" si="27"/>
        <v>N</v>
      </c>
      <c r="X101" s="187">
        <f t="shared" si="28"/>
        <v>1</v>
      </c>
      <c r="Y101" s="62">
        <f t="shared" si="29"/>
        <v>4.6899999999999997E-2</v>
      </c>
      <c r="Z101" s="62">
        <f t="shared" si="30"/>
        <v>23.329499999999999</v>
      </c>
      <c r="AA101" s="62">
        <f t="shared" si="31"/>
        <v>23.282599999999999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2"/>
        <v>0187-26</v>
      </c>
      <c r="AE101" s="85" t="str">
        <f t="shared" si="33"/>
        <v>aws s3 cp s3://rtdc.mdm.uploadarchive.raw/RTDC4018/ "%USERPROFILE%\AppData\Local\Temp\OnboardLogs"\RTDC4018\2017-02-26 --exclude "*" --recursive --include "*20170226*" &amp; "%USERPROFILE%\Documents\GitHub\mrs-test-scripts\Headless Mode &amp; Sideloading\WalkAndUnGZ.bat" "%USERPROFILE%\AppData\Local\Temp\OnboardLogs"\RTDC4018\2017-02-26 &amp; aws s3 cp s3://rtdc.mdm.uploadarchive.raw/RTDC4018/ "%USERPROFILE%\AppData\Local\Temp\OnboardLogs"\RTDC4018\2017-02-27 --exclude "*" --recursive --include "*20170227*" &amp; "%USERPROFILE%\Documents\GitHub\mrs-test-scripts\Headless Mode &amp; Sideloading\WalkAndUnGZ.bat" "%USERPROFILE%\AppData\Local\Temp\OnboardLogs"\RTDC4018\2017-02-27</v>
      </c>
      <c r="AF101" s="82" t="str">
        <f t="shared" si="34"/>
        <v>"C:\Program Files (x86)\AstroGrep\AstroGrep.exe" /spath="%USERPROFILE%\AppData\Local\Temp\OnboardLogs" /stypes="app*4018*20170226*" /stext=" 22:.+((SYSTEM_STATE.+slice.+state.+changed )|(ment ac)|(multiple cpu faults)|(system.+state.+changed )|(\[timeout)|(PRM\|1\|D)|(kpr)|(kdp)|(\|lc)|(penalty))" /e /r /s</v>
      </c>
      <c r="AG101" s="1" t="str">
        <f t="shared" si="35"/>
        <v>EC</v>
      </c>
      <c r="AH101" s="86" t="str">
        <f t="shared" si="36"/>
        <v>"%USERPROFILE%\Documents\GitHub\eaglep3\Utilities\RefineRTDCRunTimes.py" --tripid 187-26 --locoid 4018 --swversion DE.1.0.9.0 --startMP 204:469 --initTime 2017-02-26T14:26:01 --startdatetime 2017-02-26T14:30:21 --delay 1 --endMP 204:233295 --enddatetime 2017-02-26T15:08:09 --enforcementcount 1 &gt;&gt;C:\Users\stu\Documents\GitHub\eaglep3-reporting\EC\2017-02-26-refined-times.txt</v>
      </c>
      <c r="AI101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{"issue":{"subject":"","project_id":79,"tracker_id":40,"status_id":1,"priority_id":2,"assigned_to_id":23,"start_date":"2017-02-26","description":"","custom_fields":[{"id":1,"name":"Subdivision","value":"EC"},{"id":4,"name":"Milepost","value":"23.3295"},{"id":17,"name":"Train ID","value":"187-26"},{"id":16,"name":"Locomotive ID","value":"4018"},{"id":130,"name":"Impact","value":""},{"id":150,"name":"Time of Event (Mountain Time)","value":"15:08:09"},{"id":151,"name":"Denver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38"/>
        <v>start /low /b %USERPROFILE%\Documents\GitHub\eaglep3\Utilities\DownloadLogsFromS3.py --loco 4018 --day 2017-02-26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"%USERPROFILE%\AppData\Local\Temp\OnboardLogs"\RTDC4018\*4018*20170226* | grep -SE "(Enforcement Action)|(\[TIMEOUT)|(CHR.+\|PRM\|1\|D.+(SWITCH|SIGNAL).+UNKNOWN)" - &gt;&gt; 2017-02-26-UncaughtWiMAX.txt</v>
      </c>
    </row>
    <row r="102" spans="1:91" s="20" customFormat="1" x14ac:dyDescent="0.25">
      <c r="A102" s="33" t="s">
        <v>707</v>
      </c>
      <c r="B102" s="7">
        <v>4017</v>
      </c>
      <c r="C102" s="21" t="s">
        <v>285</v>
      </c>
      <c r="D102" s="21" t="s">
        <v>883</v>
      </c>
      <c r="E102" s="13">
        <v>42792.640196759261</v>
      </c>
      <c r="F102" s="13">
        <v>42792.643287037034</v>
      </c>
      <c r="G102" s="7">
        <v>1</v>
      </c>
      <c r="H102" s="21" t="s">
        <v>264</v>
      </c>
      <c r="I102" s="13">
        <v>42792.670682870368</v>
      </c>
      <c r="J102" s="7">
        <v>1</v>
      </c>
      <c r="K102" s="98" t="str">
        <f t="shared" si="21"/>
        <v>4017/4018</v>
      </c>
      <c r="L102" s="21" t="str">
        <f>VLOOKUP(A102,'Trips&amp;Operators'!$C$1:$G$99999,5,FALSE)</f>
        <v>STEWART MICHAEL</v>
      </c>
      <c r="M102" s="6">
        <f t="shared" si="22"/>
        <v>2.7395833334594499E-2</v>
      </c>
      <c r="N102" s="7">
        <f t="shared" si="23"/>
        <v>39.450000001816079</v>
      </c>
      <c r="O102" s="7"/>
      <c r="P102" s="7"/>
      <c r="Q102" s="22"/>
      <c r="R102" s="22"/>
      <c r="S102" s="31">
        <f t="shared" si="24"/>
        <v>1</v>
      </c>
      <c r="T102" s="46" t="str">
        <f t="shared" si="25"/>
        <v>Southbound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26"/>
        <v>https://d0f6bd738d7f1b3e5a7ca70fe4ff75f0.us-east-1.aws.found.io/app/kibana#/discover/Steve-Slow-Train-Analysis-(2080s-and-2083s)?_g=(refreshInterval:(display:Off,pause:!f,section:0,value:0),time:(from:'2017-02-26T14:21:53-0700',mode:absolute,to:'2017-02-26T17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2" s="187" t="str">
        <f t="shared" si="27"/>
        <v>N</v>
      </c>
      <c r="X102" s="187">
        <f t="shared" si="28"/>
        <v>1</v>
      </c>
      <c r="Y102" s="62">
        <f t="shared" si="29"/>
        <v>23.296500000000002</v>
      </c>
      <c r="Z102" s="62">
        <f t="shared" si="30"/>
        <v>1.5599999999999999E-2</v>
      </c>
      <c r="AA102" s="62">
        <f t="shared" si="31"/>
        <v>23.280900000000003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2"/>
        <v>0188-26</v>
      </c>
      <c r="AE102" s="85" t="str">
        <f t="shared" si="33"/>
        <v>aws s3 cp s3://rtdc.mdm.uploadarchive.raw/RTDC4017/ "%USERPROFILE%\AppData\Local\Temp\OnboardLogs"\RTDC4017\2017-02-26 --exclude "*" --recursive --include "*20170226*" &amp; "%USERPROFILE%\Documents\GitHub\mrs-test-scripts\Headless Mode &amp; Sideloading\WalkAndUnGZ.bat" "%USERPROFILE%\AppData\Local\Temp\OnboardLogs"\RTDC4017\2017-02-26 &amp; aws s3 cp s3://rtdc.mdm.uploadarchive.raw/RTDC4017/ "%USERPROFILE%\AppData\Local\Temp\OnboardLogs"\RTDC4017\2017-02-27 --exclude "*" --recursive --include "*20170227*" &amp; "%USERPROFILE%\Documents\GitHub\mrs-test-scripts\Headless Mode &amp; Sideloading\WalkAndUnGZ.bat" "%USERPROFILE%\AppData\Local\Temp\OnboardLogs"\RTDC4017\2017-02-27</v>
      </c>
      <c r="AF102" s="82" t="str">
        <f t="shared" si="34"/>
        <v>"C:\Program Files (x86)\AstroGrep\AstroGrep.exe" /spath="%USERPROFILE%\AppData\Local\Temp\OnboardLogs" /stypes="app*4017*20170226*" /stext=" 23:.+((SYSTEM_STATE.+slice.+state.+changed )|(ment ac)|(multiple cpu faults)|(system.+state.+changed )|(\[timeout)|(PRM\|1\|D)|(kpr)|(kdp)|(\|lc)|(penalty))" /e /r /s</v>
      </c>
      <c r="AG102" s="1" t="str">
        <f t="shared" si="35"/>
        <v>EC</v>
      </c>
      <c r="AH102" s="86" t="str">
        <f t="shared" si="36"/>
        <v>"%USERPROFILE%\Documents\GitHub\eaglep3\Utilities\RefineRTDCRunTimes.py" --tripid 188-26 --locoid 4017 --swversion DE.1.0.9.0 --startMP 204:232965 --initTime 2017-02-26T15:21:53 --startdatetime 2017-02-26T15:26:20 --delay 1 --endMP 204:156 --enddatetime 2017-02-26T16:05:47 --enforcementcount 1 &gt;&gt;C:\Users\stu\Documents\GitHub\eaglep3-reporting\EC\2017-02-26-refined-times.txt</v>
      </c>
      <c r="AI102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{"issue":{"subject":"","project_id":79,"tracker_id":40,"status_id":1,"priority_id":2,"assigned_to_id":23,"start_date":"2017-02-26","description":"","custom_fields":[{"id":1,"name":"Subdivision","value":"EC"},{"id":4,"name":"Milepost","value":"0.0156"},{"id":17,"name":"Train ID","value":"188-26"},{"id":16,"name":"Locomotive ID","value":"4017"},{"id":130,"name":"Impact","value":""},{"id":150,"name":"Time of Event (Mountain Time)","value":"16:05:47"},{"id":151,"name":"Denver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38"/>
        <v>start /low /b %USERPROFILE%\Documents\GitHub\eaglep3\Utilities\DownloadLogsFromS3.py --loco 4017 --day 2017-02-26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"%USERPROFILE%\AppData\Local\Temp\OnboardLogs"\RTDC4017\*4017*20170226* | grep -SE "(Enforcement Action)|(\[TIMEOUT)|(CHR.+\|PRM\|1\|D.+(SWITCH|SIGNAL).+UNKNOWN)" - &gt;&gt; 2017-02-26-UncaughtWiMAX.txt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 s="33" t="s">
        <v>702</v>
      </c>
      <c r="B103" s="7">
        <v>4025</v>
      </c>
      <c r="C103" s="21" t="s">
        <v>285</v>
      </c>
      <c r="D103" s="21" t="s">
        <v>226</v>
      </c>
      <c r="E103" s="13">
        <v>42792.613958333335</v>
      </c>
      <c r="F103" s="13">
        <v>42792.615439814814</v>
      </c>
      <c r="G103" s="7">
        <v>1</v>
      </c>
      <c r="H103" s="21" t="s">
        <v>309</v>
      </c>
      <c r="I103" s="13">
        <v>42792.641840277778</v>
      </c>
      <c r="J103" s="7">
        <v>1</v>
      </c>
      <c r="K103" s="98" t="str">
        <f t="shared" si="21"/>
        <v>4025/4026</v>
      </c>
      <c r="L103" s="21" t="str">
        <f>VLOOKUP(A103,'Trips&amp;Operators'!$C$1:$G$99999,5,FALSE)</f>
        <v>DAVIS MICHAEL</v>
      </c>
      <c r="M103" s="6">
        <f t="shared" si="22"/>
        <v>2.6400462964375038E-2</v>
      </c>
      <c r="N103" s="7">
        <f t="shared" si="23"/>
        <v>38.016666668700054</v>
      </c>
      <c r="O103" s="7"/>
      <c r="P103" s="7"/>
      <c r="Q103" s="22"/>
      <c r="R103" s="22"/>
      <c r="S103" s="31">
        <f t="shared" si="24"/>
        <v>1</v>
      </c>
      <c r="T103" s="46" t="str">
        <f t="shared" si="25"/>
        <v>NorthBound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26"/>
        <v>https://d0f6bd738d7f1b3e5a7ca70fe4ff75f0.us-east-1.aws.found.io/app/kibana#/discover/Steve-Slow-Train-Analysis-(2080s-and-2083s)?_g=(refreshInterval:(display:Off,pause:!f,section:0,value:0),time:(from:'2017-02-26T13:44:06-0700',mode:absolute,to:'2017-02-26T16:24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3" s="187" t="str">
        <f t="shared" si="27"/>
        <v>N</v>
      </c>
      <c r="X103" s="187">
        <f t="shared" si="28"/>
        <v>1</v>
      </c>
      <c r="Y103" s="62">
        <f t="shared" si="29"/>
        <v>4.5699999999999998E-2</v>
      </c>
      <c r="Z103" s="62">
        <f t="shared" si="30"/>
        <v>23.330200000000001</v>
      </c>
      <c r="AA103" s="62">
        <f t="shared" si="31"/>
        <v>23.284500000000001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2"/>
        <v>0189-26</v>
      </c>
      <c r="AE103" s="85" t="str">
        <f t="shared" si="33"/>
        <v>aws s3 cp s3://rtdc.mdm.uploadarchive.raw/RTDC4025/ "%USERPROFILE%\AppData\Local\Temp\OnboardLogs"\RTDC4025\2017-02-26 --exclude "*" --recursive --include "*20170226*" &amp; "%USERPROFILE%\Documents\GitHub\mrs-test-scripts\Headless Mode &amp; Sideloading\WalkAndUnGZ.bat" "%USERPROFILE%\AppData\Local\Temp\OnboardLogs"\RTDC4025\2017-02-26 &amp; aws s3 cp s3://rtdc.mdm.uploadarchive.raw/RTDC4025/ "%USERPROFILE%\AppData\Local\Temp\OnboardLogs"\RTDC4025\2017-02-27 --exclude "*" --recursive --include "*20170227*" &amp; "%USERPROFILE%\Documents\GitHub\mrs-test-scripts\Headless Mode &amp; Sideloading\WalkAndUnGZ.bat" "%USERPROFILE%\AppData\Local\Temp\OnboardLogs"\RTDC4025\2017-02-27</v>
      </c>
      <c r="AF103" s="82" t="str">
        <f t="shared" si="34"/>
        <v>"C:\Program Files (x86)\AstroGrep\AstroGrep.exe" /spath="%USERPROFILE%\AppData\Local\Temp\OnboardLogs" /stypes="app*4025*20170226*" /stext=" 22:.+((SYSTEM_STATE.+slice.+state.+changed )|(ment ac)|(multiple cpu faults)|(system.+state.+changed )|(\[timeout)|(PRM\|1\|D)|(kpr)|(kdp)|(\|lc)|(penalty))" /e /r /s</v>
      </c>
      <c r="AG103" s="1" t="str">
        <f t="shared" si="35"/>
        <v>EC</v>
      </c>
      <c r="AH103" s="86" t="str">
        <f t="shared" si="36"/>
        <v>"%USERPROFILE%\Documents\GitHub\eaglep3\Utilities\RefineRTDCRunTimes.py" --tripid 189-26 --locoid 4025 --swversion DE.1.0.9.0 --startMP 204:457 --initTime 2017-02-26T14:44:06 --startdatetime 2017-02-26T14:46:14 --delay 1 --endMP 204:233302 --enddatetime 2017-02-26T15:24:15 --enforcementcount 1 &gt;&gt;C:\Users\stu\Documents\GitHub\eaglep3-reporting\EC\2017-02-26-refined-times.txt</v>
      </c>
      <c r="AI103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{"issue":{"subject":"","project_id":79,"tracker_id":40,"status_id":1,"priority_id":2,"assigned_to_id":23,"start_date":"2017-02-26","description":"","custom_fields":[{"id":1,"name":"Subdivision","value":"EC"},{"id":4,"name":"Milepost","value":"23.3302"},{"id":17,"name":"Train ID","value":"189-26"},{"id":16,"name":"Locomotive ID","value":"4025"},{"id":130,"name":"Impact","value":""},{"id":150,"name":"Time of Event (Mountain Time)","value":"15:24:15"},{"id":151,"name":"Denver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38"/>
        <v>start /low /b %USERPROFILE%\Documents\GitHub\eaglep3\Utilities\DownloadLogsFromS3.py --loco 4025 --day 2017-02-26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"%USERPROFILE%\AppData\Local\Temp\OnboardLogs"\RTDC4025\*4025*20170226* | grep -SE "(Enforcement Action)|(\[TIMEOUT)|(CHR.+\|PRM\|1\|D.+(SWITCH|SIGNAL).+UNKNOWN)" - &gt;&gt; 2017-02-26-UncaughtWiMAX.txt</v>
      </c>
    </row>
    <row r="104" spans="1:91" s="20" customFormat="1" x14ac:dyDescent="0.25">
      <c r="A104" s="33" t="s">
        <v>710</v>
      </c>
      <c r="B104" s="7">
        <v>4026</v>
      </c>
      <c r="C104" s="21" t="s">
        <v>285</v>
      </c>
      <c r="D104" s="21" t="s">
        <v>289</v>
      </c>
      <c r="E104" s="13">
        <v>42792.652025462965</v>
      </c>
      <c r="F104" s="13">
        <v>42792.654861111114</v>
      </c>
      <c r="G104" s="7">
        <v>1</v>
      </c>
      <c r="H104" s="21" t="s">
        <v>884</v>
      </c>
      <c r="I104" s="13">
        <v>42792.685486111113</v>
      </c>
      <c r="J104" s="7">
        <v>1</v>
      </c>
      <c r="K104" s="98" t="str">
        <f t="shared" si="21"/>
        <v>4025/4026</v>
      </c>
      <c r="L104" s="21" t="str">
        <f>VLOOKUP(A104,'Trips&amp;Operators'!$C$1:$G$99999,5,FALSE)</f>
        <v>DAVIS MICHAEL</v>
      </c>
      <c r="M104" s="6">
        <f t="shared" si="22"/>
        <v>3.0624999999417923E-2</v>
      </c>
      <c r="N104" s="7">
        <f t="shared" si="23"/>
        <v>44.09999999916181</v>
      </c>
      <c r="O104" s="7"/>
      <c r="P104" s="7"/>
      <c r="Q104" s="22"/>
      <c r="R104" s="22"/>
      <c r="S104" s="31">
        <f t="shared" si="24"/>
        <v>1</v>
      </c>
      <c r="T104" s="46" t="str">
        <f t="shared" si="25"/>
        <v>Southbound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26"/>
        <v>https://d0f6bd738d7f1b3e5a7ca70fe4ff75f0.us-east-1.aws.found.io/app/kibana#/discover/Steve-Slow-Train-Analysis-(2080s-and-2083s)?_g=(refreshInterval:(display:Off,pause:!f,section:0,value:0),time:(from:'2017-02-26T14:38:55-0700',mode:absolute,to:'2017-02-26T17:27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4" s="187" t="str">
        <f t="shared" si="27"/>
        <v>N</v>
      </c>
      <c r="X104" s="187">
        <f t="shared" si="28"/>
        <v>1</v>
      </c>
      <c r="Y104" s="62">
        <f t="shared" si="29"/>
        <v>23.299399999999999</v>
      </c>
      <c r="Z104" s="62">
        <f t="shared" si="30"/>
        <v>0.1164</v>
      </c>
      <c r="AA104" s="62">
        <f t="shared" si="31"/>
        <v>23.183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2"/>
        <v>0190-26</v>
      </c>
      <c r="AE104" s="85" t="str">
        <f t="shared" si="33"/>
        <v>aws s3 cp s3://rtdc.mdm.uploadarchive.raw/RTDC4026/ "%USERPROFILE%\AppData\Local\Temp\OnboardLogs"\RTDC4026\2017-02-26 --exclude "*" --recursive --include "*20170226*" &amp; "%USERPROFILE%\Documents\GitHub\mrs-test-scripts\Headless Mode &amp; Sideloading\WalkAndUnGZ.bat" "%USERPROFILE%\AppData\Local\Temp\OnboardLogs"\RTDC4026\2017-02-26 &amp; aws s3 cp s3://rtdc.mdm.uploadarchive.raw/RTDC4026/ "%USERPROFILE%\AppData\Local\Temp\OnboardLogs"\RTDC4026\2017-02-27 --exclude "*" --recursive --include "*20170227*" &amp; "%USERPROFILE%\Documents\GitHub\mrs-test-scripts\Headless Mode &amp; Sideloading\WalkAndUnGZ.bat" "%USERPROFILE%\AppData\Local\Temp\OnboardLogs"\RTDC4026\2017-02-27</v>
      </c>
      <c r="AF104" s="82" t="str">
        <f t="shared" si="34"/>
        <v>"C:\Program Files (x86)\AstroGrep\AstroGrep.exe" /spath="%USERPROFILE%\AppData\Local\Temp\OnboardLogs" /stypes="app*4026*20170226*" /stext=" 23:.+((SYSTEM_STATE.+slice.+state.+changed )|(ment ac)|(multiple cpu faults)|(system.+state.+changed )|(\[timeout)|(PRM\|1\|D)|(kpr)|(kdp)|(\|lc)|(penalty))" /e /r /s</v>
      </c>
      <c r="AG104" s="1" t="str">
        <f t="shared" si="35"/>
        <v>EC</v>
      </c>
      <c r="AH104" s="86" t="str">
        <f t="shared" si="36"/>
        <v>"%USERPROFILE%\Documents\GitHub\eaglep3\Utilities\RefineRTDCRunTimes.py" --tripid 190-26 --locoid 4026 --swversion DE.1.0.9.0 --startMP 204:232994 --initTime 2017-02-26T15:38:55 --startdatetime 2017-02-26T15:43:00 --delay 1 --endMP 204:1164 --enddatetime 2017-02-26T16:27:06 --enforcementcount 1 &gt;&gt;C:\Users\stu\Documents\GitHub\eaglep3-reporting\EC\2017-02-26-refined-times.txt</v>
      </c>
      <c r="AI104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{"issue":{"subject":"","project_id":79,"tracker_id":40,"status_id":1,"priority_id":2,"assigned_to_id":23,"start_date":"2017-02-26","description":"","custom_fields":[{"id":1,"name":"Subdivision","value":"EC"},{"id":4,"name":"Milepost","value":"0.1164"},{"id":17,"name":"Train ID","value":"190-26"},{"id":16,"name":"Locomotive ID","value":"4026"},{"id":130,"name":"Impact","value":""},{"id":150,"name":"Time of Event (Mountain Time)","value":"16:27:06"},{"id":151,"name":"Denver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38"/>
        <v>start /low /b %USERPROFILE%\Documents\GitHub\eaglep3\Utilities\DownloadLogsFromS3.py --loco 4026 --day 2017-02-26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"%USERPROFILE%\AppData\Local\Temp\OnboardLogs"\RTDC4026\*4026*20170226* | grep -SE "(Enforcement Action)|(\[TIMEOUT)|(CHR.+\|PRM\|1\|D.+(SWITCH|SIGNAL).+UNKNOWN)" - &gt;&gt; 2017-02-26-UncaughtWiMAX.txt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703</v>
      </c>
      <c r="B105" s="7">
        <v>4029</v>
      </c>
      <c r="C105" s="21" t="s">
        <v>285</v>
      </c>
      <c r="D105" s="21" t="s">
        <v>386</v>
      </c>
      <c r="E105" s="13">
        <v>42792.621851851851</v>
      </c>
      <c r="F105" s="13">
        <v>42792.625185185185</v>
      </c>
      <c r="G105" s="7">
        <v>1</v>
      </c>
      <c r="H105" s="21" t="s">
        <v>888</v>
      </c>
      <c r="I105" s="13">
        <v>42792.650393518517</v>
      </c>
      <c r="J105" s="7">
        <v>1</v>
      </c>
      <c r="K105" s="98" t="str">
        <f t="shared" si="21"/>
        <v>4029/4030</v>
      </c>
      <c r="L105" s="21" t="str">
        <f>VLOOKUP(A105,'Trips&amp;Operators'!$C$1:$G$99999,5,FALSE)</f>
        <v>LEVIN SCOTT</v>
      </c>
      <c r="M105" s="6">
        <f t="shared" si="22"/>
        <v>2.5208333332557231E-2</v>
      </c>
      <c r="N105" s="7">
        <f t="shared" si="23"/>
        <v>36.299999998882413</v>
      </c>
      <c r="O105" s="7"/>
      <c r="P105" s="7"/>
      <c r="Q105" s="22"/>
      <c r="R105" s="22"/>
      <c r="S105" s="31">
        <f t="shared" si="24"/>
        <v>1</v>
      </c>
      <c r="T105" s="46" t="str">
        <f t="shared" si="25"/>
        <v>NorthBound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26"/>
        <v>https://d0f6bd738d7f1b3e5a7ca70fe4ff75f0.us-east-1.aws.found.io/app/kibana#/discover/Steve-Slow-Train-Analysis-(2080s-and-2083s)?_g=(refreshInterval:(display:Off,pause:!f,section:0,value:0),time:(from:'2017-02-26T13:55:28-0700',mode:absolute,to:'2017-02-26T16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5" s="187" t="str">
        <f t="shared" si="27"/>
        <v>N</v>
      </c>
      <c r="X105" s="187">
        <f t="shared" si="28"/>
        <v>1</v>
      </c>
      <c r="Y105" s="62">
        <f t="shared" si="29"/>
        <v>4.2599999999999999E-2</v>
      </c>
      <c r="Z105" s="62">
        <f t="shared" si="30"/>
        <v>23.335899999999999</v>
      </c>
      <c r="AA105" s="62">
        <f t="shared" si="31"/>
        <v>23.293299999999999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2"/>
        <v>0191-26</v>
      </c>
      <c r="AE105" s="85" t="str">
        <f t="shared" si="33"/>
        <v>aws s3 cp s3://rtdc.mdm.uploadarchive.raw/RTDC4029/ "%USERPROFILE%\AppData\Local\Temp\OnboardLogs"\RTDC4029\2017-02-26 --exclude "*" --recursive --include "*20170226*" &amp; "%USERPROFILE%\Documents\GitHub\mrs-test-scripts\Headless Mode &amp; Sideloading\WalkAndUnGZ.bat" "%USERPROFILE%\AppData\Local\Temp\OnboardLogs"\RTDC4029\2017-02-26 &amp; aws s3 cp s3://rtdc.mdm.uploadarchive.raw/RTDC4029/ "%USERPROFILE%\AppData\Local\Temp\OnboardLogs"\RTDC4029\2017-02-27 --exclude "*" --recursive --include "*20170227*" &amp; "%USERPROFILE%\Documents\GitHub\mrs-test-scripts\Headless Mode &amp; Sideloading\WalkAndUnGZ.bat" "%USERPROFILE%\AppData\Local\Temp\OnboardLogs"\RTDC4029\2017-02-27</v>
      </c>
      <c r="AF105" s="82" t="str">
        <f t="shared" si="34"/>
        <v>"C:\Program Files (x86)\AstroGrep\AstroGrep.exe" /spath="%USERPROFILE%\AppData\Local\Temp\OnboardLogs" /stypes="app*4029*20170226*" /stext=" 22:.+((SYSTEM_STATE.+slice.+state.+changed )|(ment ac)|(multiple cpu faults)|(system.+state.+changed )|(\[timeout)|(PRM\|1\|D)|(kpr)|(kdp)|(\|lc)|(penalty))" /e /r /s</v>
      </c>
      <c r="AG105" s="1" t="str">
        <f t="shared" si="35"/>
        <v>EC</v>
      </c>
      <c r="AH105" s="86" t="str">
        <f t="shared" si="36"/>
        <v>"%USERPROFILE%\Documents\GitHub\eaglep3\Utilities\RefineRTDCRunTimes.py" --tripid 191-26 --locoid 4029 --swversion DE.1.0.9.0 --startMP 204:426 --initTime 2017-02-26T14:55:28 --startdatetime 2017-02-26T15:00:16 --delay 1 --endMP 204:233359 --enddatetime 2017-02-26T15:36:34 --enforcementcount 1 &gt;&gt;C:\Users\stu\Documents\GitHub\eaglep3-reporting\EC\2017-02-26-refined-times.txt</v>
      </c>
      <c r="AI105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{"issue":{"subject":"","project_id":79,"tracker_id":40,"status_id":1,"priority_id":2,"assigned_to_id":23,"start_date":"2017-02-26","description":"","custom_fields":[{"id":1,"name":"Subdivision","value":"EC"},{"id":4,"name":"Milepost","value":"23.3359"},{"id":17,"name":"Train ID","value":"191-26"},{"id":16,"name":"Locomotive ID","value":"4029"},{"id":130,"name":"Impact","value":""},{"id":150,"name":"Time of Event (Mountain Time)","value":"15:36:34"},{"id":151,"name":"Denver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38"/>
        <v>start /low /b %USERPROFILE%\Documents\GitHub\eaglep3\Utilities\DownloadLogsFromS3.py --loco 4029 --day 2017-02-26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"%USERPROFILE%\AppData\Local\Temp\OnboardLogs"\RTDC4029\*4029*20170226* | grep -SE "(Enforcement Action)|(\[TIMEOUT)|(CHR.+\|PRM\|1\|D.+(SWITCH|SIGNAL).+UNKNOWN)" - &gt;&gt; 2017-02-26-UncaughtWiMAX.txt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711</v>
      </c>
      <c r="B106" s="7">
        <v>4030</v>
      </c>
      <c r="C106" s="21" t="s">
        <v>285</v>
      </c>
      <c r="D106" s="21" t="s">
        <v>889</v>
      </c>
      <c r="E106" s="13">
        <v>42792.659872685188</v>
      </c>
      <c r="F106" s="13">
        <v>42792.664074074077</v>
      </c>
      <c r="G106" s="7">
        <v>1</v>
      </c>
      <c r="H106" s="21" t="s">
        <v>196</v>
      </c>
      <c r="I106" s="13">
        <v>42792.690891203703</v>
      </c>
      <c r="J106" s="7">
        <v>1</v>
      </c>
      <c r="K106" s="98" t="str">
        <f t="shared" si="21"/>
        <v>4029/4030</v>
      </c>
      <c r="L106" s="21" t="str">
        <f>VLOOKUP(A106,'Trips&amp;Operators'!$C$1:$G$99999,5,FALSE)</f>
        <v>LEVIN SCOTT</v>
      </c>
      <c r="M106" s="6">
        <f t="shared" si="22"/>
        <v>2.6817129626579117E-2</v>
      </c>
      <c r="N106" s="7">
        <f t="shared" si="23"/>
        <v>38.616666662273929</v>
      </c>
      <c r="O106" s="7"/>
      <c r="P106" s="7"/>
      <c r="Q106" s="22"/>
      <c r="R106" s="22"/>
      <c r="S106" s="31">
        <f t="shared" si="24"/>
        <v>1</v>
      </c>
      <c r="T106" s="46" t="str">
        <f t="shared" si="25"/>
        <v>Southbound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26"/>
        <v>https://d0f6bd738d7f1b3e5a7ca70fe4ff75f0.us-east-1.aws.found.io/app/kibana#/discover/Steve-Slow-Train-Analysis-(2080s-and-2083s)?_g=(refreshInterval:(display:Off,pause:!f,section:0,value:0),time:(from:'2017-02-26T14:50:13-0700',mode:absolute,to:'2017-02-26T17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6" s="187" t="str">
        <f t="shared" si="27"/>
        <v>N</v>
      </c>
      <c r="X106" s="187">
        <f t="shared" si="28"/>
        <v>1</v>
      </c>
      <c r="Y106" s="62">
        <f t="shared" si="29"/>
        <v>23.304200000000002</v>
      </c>
      <c r="Z106" s="62">
        <f t="shared" si="30"/>
        <v>1.4500000000000001E-2</v>
      </c>
      <c r="AA106" s="62">
        <f t="shared" si="31"/>
        <v>23.2897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2"/>
        <v>0192-26</v>
      </c>
      <c r="AE106" s="85" t="str">
        <f t="shared" si="33"/>
        <v>aws s3 cp s3://rtdc.mdm.uploadarchive.raw/RTDC4030/ "%USERPROFILE%\AppData\Local\Temp\OnboardLogs"\RTDC4030\2017-02-26 --exclude "*" --recursive --include "*20170226*" &amp; "%USERPROFILE%\Documents\GitHub\mrs-test-scripts\Headless Mode &amp; Sideloading\WalkAndUnGZ.bat" "%USERPROFILE%\AppData\Local\Temp\OnboardLogs"\RTDC4030\2017-02-26 &amp; aws s3 cp s3://rtdc.mdm.uploadarchive.raw/RTDC4030/ "%USERPROFILE%\AppData\Local\Temp\OnboardLogs"\RTDC4030\2017-02-27 --exclude "*" --recursive --include "*20170227*" &amp; "%USERPROFILE%\Documents\GitHub\mrs-test-scripts\Headless Mode &amp; Sideloading\WalkAndUnGZ.bat" "%USERPROFILE%\AppData\Local\Temp\OnboardLogs"\RTDC4030\2017-02-27</v>
      </c>
      <c r="AF106" s="82" t="str">
        <f t="shared" si="34"/>
        <v>"C:\Program Files (x86)\AstroGrep\AstroGrep.exe" /spath="%USERPROFILE%\AppData\Local\Temp\OnboardLogs" /stypes="app*4030*20170226*" /stext=" 23:.+((SYSTEM_STATE.+slice.+state.+changed )|(ment ac)|(multiple cpu faults)|(system.+state.+changed )|(\[timeout)|(PRM\|1\|D)|(kpr)|(kdp)|(\|lc)|(penalty))" /e /r /s</v>
      </c>
      <c r="AG106" s="1" t="str">
        <f t="shared" si="35"/>
        <v>EC</v>
      </c>
      <c r="AH106" s="86" t="str">
        <f t="shared" si="36"/>
        <v>"%USERPROFILE%\Documents\GitHub\eaglep3\Utilities\RefineRTDCRunTimes.py" --tripid 192-26 --locoid 4030 --swversion DE.1.0.9.0 --startMP 204:233042 --initTime 2017-02-26T15:50:13 --startdatetime 2017-02-26T15:56:16 --delay 1 --endMP 204:145 --enddatetime 2017-02-26T16:34:53 --enforcementcount 1 &gt;&gt;C:\Users\stu\Documents\GitHub\eaglep3-reporting\EC\2017-02-26-refined-times.txt</v>
      </c>
      <c r="AI106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{"issue":{"subject":"","project_id":79,"tracker_id":40,"status_id":1,"priority_id":2,"assigned_to_id":23,"start_date":"2017-02-26","description":"","custom_fields":[{"id":1,"name":"Subdivision","value":"EC"},{"id":4,"name":"Milepost","value":"0.0145"},{"id":17,"name":"Train ID","value":"192-26"},{"id":16,"name":"Locomotive ID","value":"4030"},{"id":130,"name":"Impact","value":""},{"id":150,"name":"Time of Event (Mountain Time)","value":"16:34:53"},{"id":151,"name":"Denver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38"/>
        <v>start /low /b %USERPROFILE%\Documents\GitHub\eaglep3\Utilities\DownloadLogsFromS3.py --loco 4030 --day 2017-02-26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"%USERPROFILE%\AppData\Local\Temp\OnboardLogs"\RTDC4030\*4030*20170226* | grep -SE "(Enforcement Action)|(\[TIMEOUT)|(CHR.+\|PRM\|1\|D.+(SWITCH|SIGNAL).+UNKNOWN)" - &gt;&gt; 2017-02-26-UncaughtWiMAX.txt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705</v>
      </c>
      <c r="B107" s="7">
        <v>4003</v>
      </c>
      <c r="C107" s="21" t="s">
        <v>285</v>
      </c>
      <c r="D107" s="21" t="s">
        <v>378</v>
      </c>
      <c r="E107" s="13">
        <v>42792.633148148147</v>
      </c>
      <c r="F107" s="13">
        <v>42792.635601851849</v>
      </c>
      <c r="G107" s="7">
        <v>1</v>
      </c>
      <c r="H107" s="21" t="s">
        <v>374</v>
      </c>
      <c r="I107" s="13">
        <v>42792.660416666666</v>
      </c>
      <c r="J107" s="7">
        <v>1</v>
      </c>
      <c r="K107" s="98" t="str">
        <f t="shared" si="21"/>
        <v>4003/4004</v>
      </c>
      <c r="L107" s="21" t="str">
        <f>VLOOKUP(A107,'Trips&amp;Operators'!$C$1:$G$99999,5,FALSE)</f>
        <v>BRUDER RICHARD</v>
      </c>
      <c r="M107" s="6">
        <f t="shared" si="22"/>
        <v>2.4814814816636499E-2</v>
      </c>
      <c r="N107" s="7">
        <f t="shared" si="23"/>
        <v>35.733333335956559</v>
      </c>
      <c r="O107" s="7"/>
      <c r="P107" s="7"/>
      <c r="Q107" s="22"/>
      <c r="R107" s="22"/>
      <c r="S107" s="31">
        <f t="shared" si="24"/>
        <v>1</v>
      </c>
      <c r="T107" s="46" t="str">
        <f t="shared" si="25"/>
        <v>NorthBound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26"/>
        <v>https://d0f6bd738d7f1b3e5a7ca70fe4ff75f0.us-east-1.aws.found.io/app/kibana#/discover/Steve-Slow-Train-Analysis-(2080s-and-2083s)?_g=(refreshInterval:(display:Off,pause:!f,section:0,value:0),time:(from:'2017-02-26T14:11:44-0700',mode:absolute,to:'2017-02-26T16:51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7" s="187" t="str">
        <f t="shared" si="27"/>
        <v>N</v>
      </c>
      <c r="X107" s="187">
        <f t="shared" si="28"/>
        <v>1</v>
      </c>
      <c r="Y107" s="62">
        <f t="shared" si="29"/>
        <v>4.6699999999999998E-2</v>
      </c>
      <c r="Z107" s="62">
        <f t="shared" si="30"/>
        <v>23.3308</v>
      </c>
      <c r="AA107" s="62">
        <f t="shared" si="31"/>
        <v>23.284099999999999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2"/>
        <v>0193-26</v>
      </c>
      <c r="AE107" s="85" t="str">
        <f t="shared" si="33"/>
        <v>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 &amp; aws s3 cp s3://rtdc.mdm.uploadarchive.raw/RTDC4003/ "%USERPROFILE%\AppData\Local\Temp\OnboardLogs"\RTDC4003\2017-02-27 --exclude "*" --recursive --include "*20170227*" &amp; "%USERPROFILE%\Documents\GitHub\mrs-test-scripts\Headless Mode &amp; Sideloading\WalkAndUnGZ.bat" "%USERPROFILE%\AppData\Local\Temp\OnboardLogs"\RTDC4003\2017-02-27</v>
      </c>
      <c r="AF107" s="82" t="str">
        <f t="shared" si="34"/>
        <v>"C:\Program Files (x86)\AstroGrep\AstroGrep.exe" /spath="%USERPROFILE%\AppData\Local\Temp\OnboardLogs" /stypes="app*4003*20170226*" /stext=" 22:.+((SYSTEM_STATE.+slice.+state.+changed )|(ment ac)|(multiple cpu faults)|(system.+state.+changed )|(\[timeout)|(PRM\|1\|D)|(kpr)|(kdp)|(\|lc)|(penalty))" /e /r /s</v>
      </c>
      <c r="AG107" s="1" t="str">
        <f t="shared" si="35"/>
        <v>EC</v>
      </c>
      <c r="AH107" s="86" t="str">
        <f t="shared" si="36"/>
        <v>"%USERPROFILE%\Documents\GitHub\eaglep3\Utilities\RefineRTDCRunTimes.py" --tripid 193-26 --locoid 4003 --swversion DE.1.0.9.0 --startMP 204:467 --initTime 2017-02-26T15:11:44 --startdatetime 2017-02-26T15:15:16 --delay 1 --endMP 204:233308 --enddatetime 2017-02-26T15:51:00 --enforcementcount 1 &gt;&gt;C:\Users\stu\Documents\GitHub\eaglep3-reporting\EC\2017-02-26-refined-times.txt</v>
      </c>
      <c r="AI107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{"issue":{"subject":"","project_id":79,"tracker_id":40,"status_id":1,"priority_id":2,"assigned_to_id":23,"start_date":"2017-02-26","description":"","custom_fields":[{"id":1,"name":"Subdivision","value":"EC"},{"id":4,"name":"Milepost","value":"23.3308"},{"id":17,"name":"Train ID","value":"193-26"},{"id":16,"name":"Locomotive ID","value":"4003"},{"id":130,"name":"Impact","value":""},{"id":150,"name":"Time of Event (Mountain Time)","value":"15:51:00"},{"id":151,"name":"Denver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38"/>
        <v>start /low /b %USERPROFILE%\Documents\GitHub\eaglep3\Utilities\DownloadLogsFromS3.py --loco 4003 --day 2017-02-26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"%USERPROFILE%\AppData\Local\Temp\OnboardLogs"\RTDC4003\*4003*20170226* | grep -SE "(Enforcement Action)|(\[TIMEOUT)|(CHR.+\|PRM\|1\|D.+(SWITCH|SIGNAL).+UNKNOWN)" - &gt;&gt; 2017-02-26-UncaughtWiMAX.txt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713</v>
      </c>
      <c r="B108" s="7">
        <v>4004</v>
      </c>
      <c r="C108" s="21" t="s">
        <v>285</v>
      </c>
      <c r="D108" s="21" t="s">
        <v>246</v>
      </c>
      <c r="E108" s="13">
        <v>42792.670138888891</v>
      </c>
      <c r="F108" s="13">
        <v>42792.674502314818</v>
      </c>
      <c r="G108" s="7">
        <v>1</v>
      </c>
      <c r="H108" s="21" t="s">
        <v>184</v>
      </c>
      <c r="I108" s="13">
        <v>42792.701331018521</v>
      </c>
      <c r="J108" s="7">
        <v>1</v>
      </c>
      <c r="K108" s="98" t="str">
        <f t="shared" si="21"/>
        <v>4003/4004</v>
      </c>
      <c r="L108" s="21" t="str">
        <f>VLOOKUP(A108,'Trips&amp;Operators'!$C$1:$G$99999,5,FALSE)</f>
        <v>BRUDER RICHARD</v>
      </c>
      <c r="M108" s="6">
        <f t="shared" si="22"/>
        <v>2.6828703703358769E-2</v>
      </c>
      <c r="N108" s="7">
        <f t="shared" si="23"/>
        <v>38.633333332836628</v>
      </c>
      <c r="O108" s="7"/>
      <c r="P108" s="7"/>
      <c r="Q108" s="22"/>
      <c r="R108" s="22"/>
      <c r="S108" s="31">
        <f t="shared" si="24"/>
        <v>1</v>
      </c>
      <c r="T108" s="46" t="str">
        <f t="shared" si="25"/>
        <v>Southbound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26"/>
        <v>https://d0f6bd738d7f1b3e5a7ca70fe4ff75f0.us-east-1.aws.found.io/app/kibana#/discover/Steve-Slow-Train-Analysis-(2080s-and-2083s)?_g=(refreshInterval:(display:Off,pause:!f,section:0,value:0),time:(from:'2017-02-26T15:05:00-0700',mode:absolute,to:'2017-02-26T17:49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8" s="187" t="str">
        <f t="shared" si="27"/>
        <v>N</v>
      </c>
      <c r="X108" s="187">
        <f t="shared" si="28"/>
        <v>1</v>
      </c>
      <c r="Y108" s="62">
        <f t="shared" si="29"/>
        <v>23.299299999999999</v>
      </c>
      <c r="Z108" s="62">
        <f t="shared" si="30"/>
        <v>1.49E-2</v>
      </c>
      <c r="AA108" s="62">
        <f t="shared" si="31"/>
        <v>23.284399999999998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2"/>
        <v>0194-26</v>
      </c>
      <c r="AE108" s="85" t="str">
        <f t="shared" si="33"/>
        <v>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 &amp; aws s3 cp s3://rtdc.mdm.uploadarchive.raw/RTDC4004/ "%USERPROFILE%\AppData\Local\Temp\OnboardLogs"\RTDC4004\2017-02-27 --exclude "*" --recursive --include "*20170227*" &amp; "%USERPROFILE%\Documents\GitHub\mrs-test-scripts\Headless Mode &amp; Sideloading\WalkAndUnGZ.bat" "%USERPROFILE%\AppData\Local\Temp\OnboardLogs"\RTDC4004\2017-02-27</v>
      </c>
      <c r="AF108" s="82" t="str">
        <f t="shared" si="34"/>
        <v>"C:\Program Files (x86)\AstroGrep\AstroGrep.exe" /spath="%USERPROFILE%\AppData\Local\Temp\OnboardLogs" /stypes="app*4004*20170226*" /stext=" 23:.+((SYSTEM_STATE.+slice.+state.+changed )|(ment ac)|(multiple cpu faults)|(system.+state.+changed )|(\[timeout)|(PRM\|1\|D)|(kpr)|(kdp)|(\|lc)|(penalty))" /e /r /s</v>
      </c>
      <c r="AG108" s="1" t="str">
        <f t="shared" si="35"/>
        <v>EC</v>
      </c>
      <c r="AH108" s="86" t="str">
        <f t="shared" si="36"/>
        <v>"%USERPROFILE%\Documents\GitHub\eaglep3\Utilities\RefineRTDCRunTimes.py" --tripid 194-26 --locoid 4004 --swversion DE.1.0.9.0 --startMP 204:232993 --initTime 2017-02-26T16:05:00 --startdatetime 2017-02-26T16:11:17 --delay 1 --endMP 204:149 --enddatetime 2017-02-26T16:49:55 --enforcementcount 1 &gt;&gt;C:\Users\stu\Documents\GitHub\eaglep3-reporting\EC\2017-02-26-refined-times.txt</v>
      </c>
      <c r="AI108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{"issue":{"subject":"","project_id":79,"tracker_id":40,"status_id":1,"priority_id":2,"assigned_to_id":23,"start_date":"2017-02-26","description":"","custom_fields":[{"id":1,"name":"Subdivision","value":"EC"},{"id":4,"name":"Milepost","value":"0.0149"},{"id":17,"name":"Train ID","value":"194-26"},{"id":16,"name":"Locomotive ID","value":"4004"},{"id":130,"name":"Impact","value":""},{"id":150,"name":"Time of Event (Mountain Time)","value":"16:49:55"},{"id":151,"name":"Denver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38"/>
        <v>start /low /b %USERPROFILE%\Documents\GitHub\eaglep3\Utilities\DownloadLogsFromS3.py --loco 4004 --day 2017-02-26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"%USERPROFILE%\AppData\Local\Temp\OnboardLogs"\RTDC4004\*4004*20170226* | grep -SE "(Enforcement Action)|(\[TIMEOUT)|(CHR.+\|PRM\|1\|D.+(SWITCH|SIGNAL).+UNKNOWN)" - &gt;&gt; 2017-02-26-UncaughtWiMAX.txt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708</v>
      </c>
      <c r="B109" s="7">
        <v>4009</v>
      </c>
      <c r="C109" s="21" t="s">
        <v>285</v>
      </c>
      <c r="D109" s="21" t="s">
        <v>384</v>
      </c>
      <c r="E109" s="13">
        <v>42792.642951388887</v>
      </c>
      <c r="F109" s="13">
        <v>42792.646006944444</v>
      </c>
      <c r="G109" s="7">
        <v>1</v>
      </c>
      <c r="H109" s="21" t="s">
        <v>296</v>
      </c>
      <c r="I109" s="13">
        <v>42792.671678240738</v>
      </c>
      <c r="J109" s="7">
        <v>1</v>
      </c>
      <c r="K109" s="98" t="str">
        <f t="shared" si="21"/>
        <v>4009/4010</v>
      </c>
      <c r="L109" s="21" t="str">
        <f>VLOOKUP(A109,'Trips&amp;Operators'!$C$1:$G$99999,5,FALSE)</f>
        <v>WHITED DUSTIN</v>
      </c>
      <c r="M109" s="6">
        <f t="shared" si="22"/>
        <v>2.5671296294603962E-2</v>
      </c>
      <c r="N109" s="7">
        <f t="shared" si="23"/>
        <v>36.966666664229706</v>
      </c>
      <c r="O109" s="7"/>
      <c r="P109" s="7"/>
      <c r="Q109" s="22"/>
      <c r="R109" s="22"/>
      <c r="S109" s="31">
        <f t="shared" si="24"/>
        <v>1</v>
      </c>
      <c r="T109" s="46" t="str">
        <f t="shared" si="25"/>
        <v>NorthBound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26"/>
        <v>https://d0f6bd738d7f1b3e5a7ca70fe4ff75f0.us-east-1.aws.found.io/app/kibana#/discover/Steve-Slow-Train-Analysis-(2080s-and-2083s)?_g=(refreshInterval:(display:Off,pause:!f,section:0,value:0),time:(from:'2017-02-26T14:25:51-0700',mode:absolute,to:'2017-02-26T17:07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9" s="187" t="str">
        <f t="shared" si="27"/>
        <v>N</v>
      </c>
      <c r="X109" s="187">
        <f t="shared" si="28"/>
        <v>1</v>
      </c>
      <c r="Y109" s="62">
        <f t="shared" si="29"/>
        <v>4.6899999999999997E-2</v>
      </c>
      <c r="Z109" s="62">
        <f t="shared" si="30"/>
        <v>23.331399999999999</v>
      </c>
      <c r="AA109" s="62">
        <f t="shared" si="31"/>
        <v>23.284499999999998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2"/>
        <v>0195-26</v>
      </c>
      <c r="AE109" s="85" t="str">
        <f t="shared" si="33"/>
        <v>aws s3 cp s3://rtdc.mdm.uploadarchive.raw/RTDC4009/ "%USERPROFILE%\AppData\Local\Temp\OnboardLogs"\RTDC4009\2017-02-26 --exclude "*" --recursive --include "*20170226*" &amp; "%USERPROFILE%\Documents\GitHub\mrs-test-scripts\Headless Mode &amp; Sideloading\WalkAndUnGZ.bat" "%USERPROFILE%\AppData\Local\Temp\OnboardLogs"\RTDC4009\2017-02-26 &amp; aws s3 cp s3://rtdc.mdm.uploadarchive.raw/RTDC4009/ "%USERPROFILE%\AppData\Local\Temp\OnboardLogs"\RTDC4009\2017-02-27 --exclude "*" --recursive --include "*20170227*" &amp; "%USERPROFILE%\Documents\GitHub\mrs-test-scripts\Headless Mode &amp; Sideloading\WalkAndUnGZ.bat" "%USERPROFILE%\AppData\Local\Temp\OnboardLogs"\RTDC4009\2017-02-27</v>
      </c>
      <c r="AF109" s="82" t="str">
        <f t="shared" si="34"/>
        <v>"C:\Program Files (x86)\AstroGrep\AstroGrep.exe" /spath="%USERPROFILE%\AppData\Local\Temp\OnboardLogs" /stypes="app*4009*20170226*" /stext=" 23:.+((SYSTEM_STATE.+slice.+state.+changed )|(ment ac)|(multiple cpu faults)|(system.+state.+changed )|(\[timeout)|(PRM\|1\|D)|(kpr)|(kdp)|(\|lc)|(penalty))" /e /r /s</v>
      </c>
      <c r="AG109" s="1" t="str">
        <f t="shared" si="35"/>
        <v>EC</v>
      </c>
      <c r="AH109" s="86" t="str">
        <f t="shared" si="36"/>
        <v>"%USERPROFILE%\Documents\GitHub\eaglep3\Utilities\RefineRTDCRunTimes.py" --tripid 195-26 --locoid 4009 --swversion DE.1.0.9.0 --startMP 204:469 --initTime 2017-02-26T15:25:51 --startdatetime 2017-02-26T15:30:15 --delay 1 --endMP 204:233314 --enddatetime 2017-02-26T16:07:13 --enforcementcount 1 &gt;&gt;C:\Users\stu\Documents\GitHub\eaglep3-reporting\EC\2017-02-26-refined-times.txt</v>
      </c>
      <c r="AI109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{"issue":{"subject":"","project_id":79,"tracker_id":40,"status_id":1,"priority_id":2,"assigned_to_id":23,"start_date":"2017-02-26","description":"","custom_fields":[{"id":1,"name":"Subdivision","value":"EC"},{"id":4,"name":"Milepost","value":"23.3314"},{"id":17,"name":"Train ID","value":"195-26"},{"id":16,"name":"Locomotive ID","value":"4009"},{"id":130,"name":"Impact","value":""},{"id":150,"name":"Time of Event (Mountain Time)","value":"16:07:13"},{"id":151,"name":"Denver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38"/>
        <v>start /low /b %USERPROFILE%\Documents\GitHub\eaglep3\Utilities\DownloadLogsFromS3.py --loco 4009 --day 2017-02-26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"%USERPROFILE%\AppData\Local\Temp\OnboardLogs"\RTDC4009\*4009*20170226* | grep -SE "(Enforcement Action)|(\[TIMEOUT)|(CHR.+\|PRM\|1\|D.+(SWITCH|SIGNAL).+UNKNOWN)" - &gt;&gt; 2017-02-26-UncaughtWiMAX.txt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714</v>
      </c>
      <c r="B110" s="7">
        <v>4010</v>
      </c>
      <c r="C110" s="21" t="s">
        <v>285</v>
      </c>
      <c r="D110" s="21" t="s">
        <v>325</v>
      </c>
      <c r="E110" s="13">
        <v>42792.676898148151</v>
      </c>
      <c r="F110" s="13">
        <v>42792.684942129628</v>
      </c>
      <c r="G110" s="7">
        <v>1</v>
      </c>
      <c r="H110" s="21" t="s">
        <v>184</v>
      </c>
      <c r="I110" s="13">
        <v>42792.715787037036</v>
      </c>
      <c r="J110" s="7">
        <v>1</v>
      </c>
      <c r="K110" s="98" t="str">
        <f t="shared" si="21"/>
        <v>4009/4010</v>
      </c>
      <c r="L110" s="21" t="str">
        <f>VLOOKUP(A110,'Trips&amp;Operators'!$C$1:$G$99999,5,FALSE)</f>
        <v>WHITED DUSTIN</v>
      </c>
      <c r="M110" s="6">
        <f t="shared" si="22"/>
        <v>3.0844907407299615E-2</v>
      </c>
      <c r="N110" s="7">
        <f t="shared" si="23"/>
        <v>44.416666666511446</v>
      </c>
      <c r="O110" s="7"/>
      <c r="P110" s="7"/>
      <c r="Q110" s="22"/>
      <c r="R110" s="22"/>
      <c r="S110" s="31">
        <f t="shared" si="24"/>
        <v>1</v>
      </c>
      <c r="T110" s="46" t="str">
        <f t="shared" si="25"/>
        <v>Southbound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26"/>
        <v>https://d0f6bd738d7f1b3e5a7ca70fe4ff75f0.us-east-1.aws.found.io/app/kibana#/discover/Steve-Slow-Train-Analysis-(2080s-and-2083s)?_g=(refreshInterval:(display:Off,pause:!f,section:0,value:0),time:(from:'2017-02-26T15:14:44-0700',mode:absolute,to:'2017-02-26T18:10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0" s="187" t="str">
        <f t="shared" si="27"/>
        <v>N</v>
      </c>
      <c r="X110" s="187">
        <f t="shared" si="28"/>
        <v>1</v>
      </c>
      <c r="Y110" s="62">
        <f t="shared" si="29"/>
        <v>23.3003</v>
      </c>
      <c r="Z110" s="62">
        <f t="shared" si="30"/>
        <v>1.49E-2</v>
      </c>
      <c r="AA110" s="62">
        <f t="shared" si="31"/>
        <v>23.285399999999999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2"/>
        <v>0196-26</v>
      </c>
      <c r="AE110" s="85" t="str">
        <f t="shared" si="33"/>
        <v>aws s3 cp s3://rtdc.mdm.uploadarchive.raw/RTDC4010/ "%USERPROFILE%\AppData\Local\Temp\OnboardLogs"\RTDC4010\2017-02-26 --exclude "*" --recursive --include "*20170226*" &amp; "%USERPROFILE%\Documents\GitHub\mrs-test-scripts\Headless Mode &amp; Sideloading\WalkAndUnGZ.bat" "%USERPROFILE%\AppData\Local\Temp\OnboardLogs"\RTDC4010\2017-02-26 &amp; aws s3 cp s3://rtdc.mdm.uploadarchive.raw/RTDC4010/ "%USERPROFILE%\AppData\Local\Temp\OnboardLogs"\RTDC4010\2017-02-27 --exclude "*" --recursive --include "*20170227*" &amp; "%USERPROFILE%\Documents\GitHub\mrs-test-scripts\Headless Mode &amp; Sideloading\WalkAndUnGZ.bat" "%USERPROFILE%\AppData\Local\Temp\OnboardLogs"\RTDC4010\2017-02-27</v>
      </c>
      <c r="AF110" s="82" t="str">
        <f t="shared" si="34"/>
        <v>"C:\Program Files (x86)\AstroGrep\AstroGrep.exe" /spath="%USERPROFILE%\AppData\Local\Temp\OnboardLogs" /stypes="app*4010*20170227*" /stext=" 00:.+((SYSTEM_STATE.+slice.+state.+changed )|(ment ac)|(multiple cpu faults)|(system.+state.+changed )|(\[timeout)|(PRM\|1\|D)|(kpr)|(kdp)|(\|lc)|(penalty))" /e /r /s</v>
      </c>
      <c r="AG110" s="1" t="str">
        <f t="shared" si="35"/>
        <v>EC</v>
      </c>
      <c r="AH110" s="86" t="str">
        <f t="shared" si="36"/>
        <v>"%USERPROFILE%\Documents\GitHub\eaglep3\Utilities\RefineRTDCRunTimes.py" --tripid 196-26 --locoid 4010 --swversion DE.1.0.9.0 --startMP 204:233003 --initTime 2017-02-26T16:14:44 --startdatetime 2017-02-26T16:26:19 --delay 1 --endMP 204:149 --enddatetime 2017-02-26T17:10:44 --enforcementcount 1 &gt;&gt;C:\Users\stu\Documents\GitHub\eaglep3-reporting\EC\2017-02-26-refined-times.txt</v>
      </c>
      <c r="AI110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{"issue":{"subject":"","project_id":79,"tracker_id":40,"status_id":1,"priority_id":2,"assigned_to_id":23,"start_date":"2017-02-26","description":"","custom_fields":[{"id":1,"name":"Subdivision","value":"EC"},{"id":4,"name":"Milepost","value":"0.0149"},{"id":17,"name":"Train ID","value":"196-26"},{"id":16,"name":"Locomotive ID","value":"4010"},{"id":130,"name":"Impact","value":""},{"id":150,"name":"Time of Event (Mountain Time)","value":"17:10:44"},{"id":151,"name":"Denver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38"/>
        <v>start /low /b %USERPROFILE%\Documents\GitHub\eaglep3\Utilities\DownloadLogsFromS3.py --loco 4010 --day 2017-02-26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"%USERPROFILE%\AppData\Local\Temp\OnboardLogs"\RTDC4010\*4010*20170226* | grep -SE "(Enforcement Action)|(\[TIMEOUT)|(CHR.+\|PRM\|1\|D.+(SWITCH|SIGNAL).+UNKNOWN)" - &gt;&gt; 2017-02-26-UncaughtWiMAX.txt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709</v>
      </c>
      <c r="B111" s="7">
        <v>4011</v>
      </c>
      <c r="C111" s="21" t="s">
        <v>285</v>
      </c>
      <c r="D111" s="21" t="s">
        <v>890</v>
      </c>
      <c r="E111" s="13">
        <v>42792.651064814818</v>
      </c>
      <c r="F111" s="13">
        <v>42792.656400462962</v>
      </c>
      <c r="G111" s="7">
        <v>2</v>
      </c>
      <c r="H111" s="21" t="s">
        <v>371</v>
      </c>
      <c r="I111" s="13">
        <v>42792.68074074074</v>
      </c>
      <c r="J111" s="7">
        <v>1</v>
      </c>
      <c r="K111" s="98" t="str">
        <f t="shared" si="21"/>
        <v>4011/4012</v>
      </c>
      <c r="L111" s="21" t="str">
        <f>VLOOKUP(A111,'Trips&amp;Operators'!$C$1:$G$99999,5,FALSE)</f>
        <v>ROMERO CHAD</v>
      </c>
      <c r="M111" s="6">
        <f t="shared" si="22"/>
        <v>2.4340277777810115E-2</v>
      </c>
      <c r="N111" s="7">
        <f t="shared" si="23"/>
        <v>35.050000000046566</v>
      </c>
      <c r="O111" s="7"/>
      <c r="P111" s="7"/>
      <c r="Q111" s="22"/>
      <c r="R111" s="22"/>
      <c r="S111" s="31">
        <f t="shared" si="24"/>
        <v>1</v>
      </c>
      <c r="T111" s="46" t="str">
        <f t="shared" si="25"/>
        <v>NorthBound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26"/>
        <v>https://d0f6bd738d7f1b3e5a7ca70fe4ff75f0.us-east-1.aws.found.io/app/kibana#/discover/Steve-Slow-Train-Analysis-(2080s-and-2083s)?_g=(refreshInterval:(display:Off,pause:!f,section:0,value:0),time:(from:'2017-02-26T14:37:32-0700',mode:absolute,to:'2017-02-26T17:20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1" s="187" t="str">
        <f t="shared" si="27"/>
        <v>N</v>
      </c>
      <c r="X111" s="187">
        <f t="shared" si="28"/>
        <v>1</v>
      </c>
      <c r="Y111" s="62">
        <f t="shared" si="29"/>
        <v>4.3700000000000003E-2</v>
      </c>
      <c r="Z111" s="62">
        <f t="shared" si="30"/>
        <v>23.331199999999999</v>
      </c>
      <c r="AA111" s="62">
        <f t="shared" si="31"/>
        <v>23.287499999999998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2"/>
        <v>0197-26</v>
      </c>
      <c r="AE111" s="85" t="str">
        <f t="shared" si="33"/>
        <v>aws s3 cp s3://rtdc.mdm.uploadarchive.raw/RTDC4011/ "%USERPROFILE%\AppData\Local\Temp\OnboardLogs"\RTDC4011\2017-02-26 --exclude "*" --recursive --include "*20170226*" &amp; "%USERPROFILE%\Documents\GitHub\mrs-test-scripts\Headless Mode &amp; Sideloading\WalkAndUnGZ.bat" "%USERPROFILE%\AppData\Local\Temp\OnboardLogs"\RTDC4011\2017-02-26 &amp; aws s3 cp s3://rtdc.mdm.uploadarchive.raw/RTDC4011/ "%USERPROFILE%\AppData\Local\Temp\OnboardLogs"\RTDC4011\2017-02-27 --exclude "*" --recursive --include "*20170227*" &amp; "%USERPROFILE%\Documents\GitHub\mrs-test-scripts\Headless Mode &amp; Sideloading\WalkAndUnGZ.bat" "%USERPROFILE%\AppData\Local\Temp\OnboardLogs"\RTDC4011\2017-02-27</v>
      </c>
      <c r="AF111" s="82" t="str">
        <f t="shared" si="34"/>
        <v>"C:\Program Files (x86)\AstroGrep\AstroGrep.exe" /spath="%USERPROFILE%\AppData\Local\Temp\OnboardLogs" /stypes="app*4011*20170226*" /stext=" 23:.+((SYSTEM_STATE.+slice.+state.+changed )|(ment ac)|(multiple cpu faults)|(system.+state.+changed )|(\[timeout)|(PRM\|1\|D)|(kpr)|(kdp)|(\|lc)|(penalty))" /e /r /s</v>
      </c>
      <c r="AG111" s="1" t="str">
        <f t="shared" si="35"/>
        <v>EC</v>
      </c>
      <c r="AH111" s="86" t="str">
        <f t="shared" si="36"/>
        <v>"%USERPROFILE%\Documents\GitHub\eaglep3\Utilities\RefineRTDCRunTimes.py" --tripid 197-26 --locoid 4011 --swversion DE.1.0.9.0 --startMP 204:437 --initTime 2017-02-26T15:37:32 --startdatetime 2017-02-26T15:45:13 --delay 2 --endMP 204:233312 --enddatetime 2017-02-26T16:20:16 --enforcementcount 1 &gt;&gt;C:\Users\stu\Documents\GitHub\eaglep3-reporting\EC\2017-02-26-refined-times.txt</v>
      </c>
      <c r="AI111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{"issue":{"subject":"","project_id":79,"tracker_id":40,"status_id":1,"priority_id":2,"assigned_to_id":23,"start_date":"2017-02-26","description":"","custom_fields":[{"id":1,"name":"Subdivision","value":"EC"},{"id":4,"name":"Milepost","value":"23.3312"},{"id":17,"name":"Train ID","value":"197-26"},{"id":16,"name":"Locomotive ID","value":"4011"},{"id":130,"name":"Impact","value":""},{"id":150,"name":"Time of Event (Mountain Time)","value":"16:20:16"},{"id":151,"name":"Denver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38"/>
        <v>start /low /b %USERPROFILE%\Documents\GitHub\eaglep3\Utilities\DownloadLogsFromS3.py --loco 4011 --day 2017-02-26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"%USERPROFILE%\AppData\Local\Temp\OnboardLogs"\RTDC4011\*4011*20170226* | grep -SE "(Enforcement Action)|(\[TIMEOUT)|(CHR.+\|PRM\|1\|D.+(SWITCH|SIGNAL).+UNKNOWN)" - &gt;&gt; 2017-02-26-UncaughtWiMAX.txt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716</v>
      </c>
      <c r="B112" s="7">
        <v>4012</v>
      </c>
      <c r="C112" s="21" t="s">
        <v>285</v>
      </c>
      <c r="D112" s="21" t="s">
        <v>324</v>
      </c>
      <c r="E112" s="13">
        <v>42792.682523148149</v>
      </c>
      <c r="F112" s="13">
        <v>42792.695324074077</v>
      </c>
      <c r="G112" s="7">
        <v>1</v>
      </c>
      <c r="H112" s="21" t="s">
        <v>253</v>
      </c>
      <c r="I112" s="13">
        <v>42792.721805555557</v>
      </c>
      <c r="J112" s="7">
        <v>1</v>
      </c>
      <c r="K112" s="98" t="str">
        <f t="shared" si="21"/>
        <v>4011/4012</v>
      </c>
      <c r="L112" s="21" t="str">
        <f>VLOOKUP(A112,'Trips&amp;Operators'!$C$1:$G$99999,5,FALSE)</f>
        <v>ROMERO CHAD</v>
      </c>
      <c r="M112" s="6">
        <f t="shared" si="22"/>
        <v>2.6481481480004732E-2</v>
      </c>
      <c r="N112" s="7">
        <f t="shared" si="23"/>
        <v>38.133333331206813</v>
      </c>
      <c r="O112" s="7"/>
      <c r="P112" s="7"/>
      <c r="Q112" s="22"/>
      <c r="R112" s="22"/>
      <c r="S112" s="31">
        <f t="shared" si="24"/>
        <v>1</v>
      </c>
      <c r="T112" s="46" t="str">
        <f t="shared" si="25"/>
        <v>Southbound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26"/>
        <v>https://d0f6bd738d7f1b3e5a7ca70fe4ff75f0.us-east-1.aws.found.io/app/kibana#/discover/Steve-Slow-Train-Analysis-(2080s-and-2083s)?_g=(refreshInterval:(display:Off,pause:!f,section:0,value:0),time:(from:'2017-02-26T15:22:50-0700',mode:absolute,to:'2017-02-26T18:19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2" s="187" t="str">
        <f t="shared" si="27"/>
        <v>N</v>
      </c>
      <c r="X112" s="187">
        <f t="shared" si="28"/>
        <v>1</v>
      </c>
      <c r="Y112" s="62">
        <f t="shared" si="29"/>
        <v>23.3019</v>
      </c>
      <c r="Z112" s="62">
        <f t="shared" si="30"/>
        <v>1.41E-2</v>
      </c>
      <c r="AA112" s="62">
        <f t="shared" si="31"/>
        <v>23.287800000000001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2"/>
        <v>0198-26</v>
      </c>
      <c r="AE112" s="85" t="str">
        <f t="shared" si="33"/>
        <v>aws s3 cp s3://rtdc.mdm.uploadarchive.raw/RTDC4012/ "%USERPROFILE%\AppData\Local\Temp\OnboardLogs"\RTDC4012\2017-02-26 --exclude "*" --recursive --include "*20170226*" &amp; "%USERPROFILE%\Documents\GitHub\mrs-test-scripts\Headless Mode &amp; Sideloading\WalkAndUnGZ.bat" "%USERPROFILE%\AppData\Local\Temp\OnboardLogs"\RTDC4012\2017-02-26 &amp; 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</v>
      </c>
      <c r="AF112" s="82" t="str">
        <f t="shared" si="34"/>
        <v>"C:\Program Files (x86)\AstroGrep\AstroGrep.exe" /spath="%USERPROFILE%\AppData\Local\Temp\OnboardLogs" /stypes="app*4012*20170227*" /stext=" 00:.+((SYSTEM_STATE.+slice.+state.+changed )|(ment ac)|(multiple cpu faults)|(system.+state.+changed )|(\[timeout)|(PRM\|1\|D)|(kpr)|(kdp)|(\|lc)|(penalty))" /e /r /s</v>
      </c>
      <c r="AG112" s="1" t="str">
        <f t="shared" si="35"/>
        <v>EC</v>
      </c>
      <c r="AH112" s="86" t="str">
        <f t="shared" si="36"/>
        <v>"%USERPROFILE%\Documents\GitHub\eaglep3\Utilities\RefineRTDCRunTimes.py" --tripid 198-26 --locoid 4012 --swversion DE.1.0.9.0 --startMP 204:233019 --initTime 2017-02-26T16:22:50 --startdatetime 2017-02-26T16:41:16 --delay 1 --endMP 204:141 --enddatetime 2017-02-26T17:19:24 --enforcementcount 1 &gt;&gt;C:\Users\stu\Documents\GitHub\eaglep3-reporting\EC\2017-02-26-refined-times.txt</v>
      </c>
      <c r="AI112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{"issue":{"subject":"","project_id":79,"tracker_id":40,"status_id":1,"priority_id":2,"assigned_to_id":23,"start_date":"2017-02-26","description":"","custom_fields":[{"id":1,"name":"Subdivision","value":"EC"},{"id":4,"name":"Milepost","value":"0.0141"},{"id":17,"name":"Train ID","value":"198-26"},{"id":16,"name":"Locomotive ID","value":"4012"},{"id":130,"name":"Impact","value":""},{"id":150,"name":"Time of Event (Mountain Time)","value":"17:19:24"},{"id":151,"name":"Denver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38"/>
        <v>start /low /b %USERPROFILE%\Documents\GitHub\eaglep3\Utilities\DownloadLogsFromS3.py --loco 4012 --day 2017-02-26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"%USERPROFILE%\AppData\Local\Temp\OnboardLogs"\RTDC4012\*4012*20170227* | grep -SE "(Enforcement Action)|(\[TIMEOUT)|(CHR.+\|PRM\|1\|D.+(SWITCH|SIGNAL).+UNKNOWN)" - &gt;&gt; 2017-02-26-UncaughtWiMAX.txt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712</v>
      </c>
      <c r="B113" s="7">
        <v>4027</v>
      </c>
      <c r="C113" s="21" t="s">
        <v>285</v>
      </c>
      <c r="D113" s="21" t="s">
        <v>266</v>
      </c>
      <c r="E113" s="13">
        <v>42792.663599537038</v>
      </c>
      <c r="F113" s="13">
        <v>42792.666909722226</v>
      </c>
      <c r="G113" s="7">
        <v>1</v>
      </c>
      <c r="H113" s="21" t="s">
        <v>891</v>
      </c>
      <c r="I113" s="13">
        <v>42792.693020833336</v>
      </c>
      <c r="J113" s="7">
        <v>1</v>
      </c>
      <c r="K113" s="98" t="str">
        <f t="shared" si="21"/>
        <v>4027/4028</v>
      </c>
      <c r="L113" s="21" t="str">
        <f>VLOOKUP(A113,'Trips&amp;Operators'!$C$1:$G$99999,5,FALSE)</f>
        <v>KILLION DAVID</v>
      </c>
      <c r="M113" s="6">
        <f t="shared" si="22"/>
        <v>2.6111111110367347E-2</v>
      </c>
      <c r="N113" s="7">
        <f t="shared" si="23"/>
        <v>37.599999998928979</v>
      </c>
      <c r="O113" s="7"/>
      <c r="P113" s="7"/>
      <c r="Q113" s="22"/>
      <c r="R113" s="22"/>
      <c r="S113" s="31">
        <f t="shared" si="24"/>
        <v>1</v>
      </c>
      <c r="T113" s="46" t="str">
        <f t="shared" si="25"/>
        <v>NorthBound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26"/>
        <v>https://d0f6bd738d7f1b3e5a7ca70fe4ff75f0.us-east-1.aws.found.io/app/kibana#/discover/Steve-Slow-Train-Analysis-(2080s-and-2083s)?_g=(refreshInterval:(display:Off,pause:!f,section:0,value:0),time:(from:'2017-02-26T14:55:35-0700',mode:absolute,to:'2017-02-26T17:37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3" s="187" t="str">
        <f t="shared" si="27"/>
        <v>N</v>
      </c>
      <c r="X113" s="187">
        <f t="shared" si="28"/>
        <v>1</v>
      </c>
      <c r="Y113" s="62">
        <f t="shared" si="29"/>
        <v>4.4400000000000002E-2</v>
      </c>
      <c r="Z113" s="62">
        <f t="shared" si="30"/>
        <v>23.331099999999999</v>
      </c>
      <c r="AA113" s="62">
        <f t="shared" si="31"/>
        <v>23.2867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2"/>
        <v>0199-26</v>
      </c>
      <c r="AE113" s="85" t="str">
        <f t="shared" si="33"/>
        <v>aws s3 cp s3://rtdc.mdm.uploadarchive.raw/RTDC4027/ "%USERPROFILE%\AppData\Local\Temp\OnboardLogs"\RTDC4027\2017-02-26 --exclude "*" --recursive --include "*20170226*" &amp; "%USERPROFILE%\Documents\GitHub\mrs-test-scripts\Headless Mode &amp; Sideloading\WalkAndUnGZ.bat" "%USERPROFILE%\AppData\Local\Temp\OnboardLogs"\RTDC4027\2017-02-26 &amp; aws s3 cp s3://rtdc.mdm.uploadarchive.raw/RTDC4027/ "%USERPROFILE%\AppData\Local\Temp\OnboardLogs"\RTDC4027\2017-02-27 --exclude "*" --recursive --include "*20170227*" &amp; "%USERPROFILE%\Documents\GitHub\mrs-test-scripts\Headless Mode &amp; Sideloading\WalkAndUnGZ.bat" "%USERPROFILE%\AppData\Local\Temp\OnboardLogs"\RTDC4027\2017-02-27</v>
      </c>
      <c r="AF113" s="82" t="str">
        <f t="shared" si="34"/>
        <v>"C:\Program Files (x86)\AstroGrep\AstroGrep.exe" /spath="%USERPROFILE%\AppData\Local\Temp\OnboardLogs" /stypes="app*4027*20170226*" /stext=" 23:.+((SYSTEM_STATE.+slice.+state.+changed )|(ment ac)|(multiple cpu faults)|(system.+state.+changed )|(\[timeout)|(PRM\|1\|D)|(kpr)|(kdp)|(\|lc)|(penalty))" /e /r /s</v>
      </c>
      <c r="AG113" s="1" t="str">
        <f t="shared" si="35"/>
        <v>EC</v>
      </c>
      <c r="AH113" s="86" t="str">
        <f t="shared" si="36"/>
        <v>"%USERPROFILE%\Documents\GitHub\eaglep3\Utilities\RefineRTDCRunTimes.py" --tripid 199-26 --locoid 4027 --swversion DE.1.0.9.0 --startMP 204:444 --initTime 2017-02-26T15:55:35 --startdatetime 2017-02-26T16:00:21 --delay 1 --endMP 204:233311 --enddatetime 2017-02-26T16:37:57 --enforcementcount 1 &gt;&gt;C:\Users\stu\Documents\GitHub\eaglep3-reporting\EC\2017-02-26-refined-times.txt</v>
      </c>
      <c r="AI113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{"issue":{"subject":"","project_id":79,"tracker_id":40,"status_id":1,"priority_id":2,"assigned_to_id":23,"start_date":"2017-02-26","description":"","custom_fields":[{"id":1,"name":"Subdivision","value":"EC"},{"id":4,"name":"Milepost","value":"23.3311"},{"id":17,"name":"Train ID","value":"199-26"},{"id":16,"name":"Locomotive ID","value":"4027"},{"id":130,"name":"Impact","value":""},{"id":150,"name":"Time of Event (Mountain Time)","value":"16:37:57"},{"id":151,"name":"Denver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38"/>
        <v>start /low /b %USERPROFILE%\Documents\GitHub\eaglep3\Utilities\DownloadLogsFromS3.py --loco 4027 --day 2017-02-26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"%USERPROFILE%\AppData\Local\Temp\OnboardLogs"\RTDC4027\*4027*20170226* | grep -SE "(Enforcement Action)|(\[TIMEOUT)|(CHR.+\|PRM\|1\|D.+(SWITCH|SIGNAL).+UNKNOWN)" - &gt;&gt; 2017-02-26-UncaughtWiMAX.txt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720</v>
      </c>
      <c r="B114" s="7">
        <v>4028</v>
      </c>
      <c r="C114" s="21" t="s">
        <v>285</v>
      </c>
      <c r="D114" s="21" t="s">
        <v>275</v>
      </c>
      <c r="E114" s="13">
        <v>42792.703229166669</v>
      </c>
      <c r="F114" s="13">
        <v>42792.70579861111</v>
      </c>
      <c r="G114" s="7">
        <v>1</v>
      </c>
      <c r="H114" s="21" t="s">
        <v>245</v>
      </c>
      <c r="I114" s="13">
        <v>42792.73269675926</v>
      </c>
      <c r="J114" s="7">
        <v>1</v>
      </c>
      <c r="K114" s="98" t="str">
        <f t="shared" si="21"/>
        <v>4027/4028</v>
      </c>
      <c r="L114" s="21" t="str">
        <f>VLOOKUP(A114,'Trips&amp;Operators'!$C$1:$G$99999,5,FALSE)</f>
        <v>KILLION DAVID</v>
      </c>
      <c r="M114" s="6">
        <f t="shared" si="22"/>
        <v>2.6898148149484769E-2</v>
      </c>
      <c r="N114" s="7">
        <f t="shared" si="23"/>
        <v>38.733333335258067</v>
      </c>
      <c r="O114" s="7"/>
      <c r="P114" s="7"/>
      <c r="Q114" s="22"/>
      <c r="R114" s="22"/>
      <c r="S114" s="31">
        <f t="shared" si="24"/>
        <v>1</v>
      </c>
      <c r="T114" s="46" t="str">
        <f t="shared" si="25"/>
        <v>Southbound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26"/>
        <v>https://d0f6bd738d7f1b3e5a7ca70fe4ff75f0.us-east-1.aws.found.io/app/kibana#/discover/Steve-Slow-Train-Analysis-(2080s-and-2083s)?_g=(refreshInterval:(display:Off,pause:!f,section:0,value:0),time:(from:'2017-02-26T15:52:39-0700',mode:absolute,to:'2017-02-26T18:35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4" s="187" t="str">
        <f t="shared" si="27"/>
        <v>N</v>
      </c>
      <c r="X114" s="187">
        <f t="shared" si="28"/>
        <v>1</v>
      </c>
      <c r="Y114" s="62">
        <f t="shared" si="29"/>
        <v>23.298200000000001</v>
      </c>
      <c r="Z114" s="62">
        <f t="shared" si="30"/>
        <v>1.3899999999999999E-2</v>
      </c>
      <c r="AA114" s="62">
        <f t="shared" si="31"/>
        <v>23.284300000000002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2"/>
        <v>0200-26</v>
      </c>
      <c r="AE114" s="85" t="str">
        <f t="shared" si="33"/>
        <v>aws s3 cp s3://rtdc.mdm.uploadarchive.raw/RTDC4028/ "%USERPROFILE%\AppData\Local\Temp\OnboardLogs"\RTDC4028\2017-02-26 --exclude "*" --recursive --include "*20170226*" &amp; "%USERPROFILE%\Documents\GitHub\mrs-test-scripts\Headless Mode &amp; Sideloading\WalkAndUnGZ.bat" "%USERPROFILE%\AppData\Local\Temp\OnboardLogs"\RTDC4028\2017-02-26 &amp; aws s3 cp s3://rtdc.mdm.uploadarchive.raw/RTDC4028/ "%USERPROFILE%\AppData\Local\Temp\OnboardLogs"\RTDC4028\2017-02-27 --exclude "*" --recursive --include "*20170227*" &amp; "%USERPROFILE%\Documents\GitHub\mrs-test-scripts\Headless Mode &amp; Sideloading\WalkAndUnGZ.bat" "%USERPROFILE%\AppData\Local\Temp\OnboardLogs"\RTDC4028\2017-02-27</v>
      </c>
      <c r="AF114" s="82" t="str">
        <f t="shared" si="34"/>
        <v>"C:\Program Files (x86)\AstroGrep\AstroGrep.exe" /spath="%USERPROFILE%\AppData\Local\Temp\OnboardLogs" /stypes="app*4028*20170227*" /stext=" 00:.+((SYSTEM_STATE.+slice.+state.+changed )|(ment ac)|(multiple cpu faults)|(system.+state.+changed )|(\[timeout)|(PRM\|1\|D)|(kpr)|(kdp)|(\|lc)|(penalty))" /e /r /s</v>
      </c>
      <c r="AG114" s="1" t="str">
        <f t="shared" si="35"/>
        <v>EC</v>
      </c>
      <c r="AH114" s="86" t="str">
        <f t="shared" si="36"/>
        <v>"%USERPROFILE%\Documents\GitHub\eaglep3\Utilities\RefineRTDCRunTimes.py" --tripid 200-26 --locoid 4028 --swversion DE.1.0.9.0 --startMP 204:232982 --initTime 2017-02-26T16:52:39 --startdatetime 2017-02-26T16:56:21 --delay 1 --endMP 204:139 --enddatetime 2017-02-26T17:35:05 --enforcementcount 1 &gt;&gt;C:\Users\stu\Documents\GitHub\eaglep3-reporting\EC\2017-02-26-refined-times.txt</v>
      </c>
      <c r="AI114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{"issue":{"subject":"","project_id":79,"tracker_id":40,"status_id":1,"priority_id":2,"assigned_to_id":23,"start_date":"2017-02-26","description":"","custom_fields":[{"id":1,"name":"Subdivision","value":"EC"},{"id":4,"name":"Milepost","value":"0.0139"},{"id":17,"name":"Train ID","value":"200-26"},{"id":16,"name":"Locomotive ID","value":"4028"},{"id":130,"name":"Impact","value":""},{"id":150,"name":"Time of Event (Mountain Time)","value":"17:35:05"},{"id":151,"name":"Denver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38"/>
        <v>start /low /b %USERPROFILE%\Documents\GitHub\eaglep3\Utilities\DownloadLogsFromS3.py --loco 4028 --day 2017-02-26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"%USERPROFILE%\AppData\Local\Temp\OnboardLogs"\RTDC4028\*4028*20170227* | grep -SE "(Enforcement Action)|(\[TIMEOUT)|(CHR.+\|PRM\|1\|D.+(SWITCH|SIGNAL).+UNKNOWN)" - &gt;&gt; 2017-02-26-UncaughtWiMAX.txt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566</v>
      </c>
      <c r="B115" s="7">
        <v>4018</v>
      </c>
      <c r="C115" s="21" t="s">
        <v>285</v>
      </c>
      <c r="D115" s="21" t="s">
        <v>382</v>
      </c>
      <c r="E115" s="13">
        <v>42792.673958333333</v>
      </c>
      <c r="F115" s="13">
        <v>42792.677453703705</v>
      </c>
      <c r="G115" s="7">
        <v>1</v>
      </c>
      <c r="H115" s="21" t="s">
        <v>374</v>
      </c>
      <c r="I115" s="13">
        <v>42792.702303240738</v>
      </c>
      <c r="J115" s="7">
        <v>1</v>
      </c>
      <c r="K115" s="98" t="str">
        <f t="shared" si="21"/>
        <v>4017/4018</v>
      </c>
      <c r="L115" s="21" t="str">
        <f>VLOOKUP(A115,'Trips&amp;Operators'!$C$1:$G$99999,5,FALSE)</f>
        <v>STEWART MICHAEL</v>
      </c>
      <c r="M115" s="6">
        <f t="shared" si="22"/>
        <v>2.4849537032423541E-2</v>
      </c>
      <c r="N115" s="7">
        <f t="shared" si="23"/>
        <v>35.783333326689899</v>
      </c>
      <c r="O115" s="7"/>
      <c r="P115" s="7"/>
      <c r="Q115" s="22"/>
      <c r="R115" s="22"/>
      <c r="S115" s="31">
        <f t="shared" si="24"/>
        <v>1</v>
      </c>
      <c r="T115" s="46" t="str">
        <f t="shared" si="25"/>
        <v>NorthBound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26"/>
        <v>https://d0f6bd738d7f1b3e5a7ca70fe4ff75f0.us-east-1.aws.found.io/app/kibana#/discover/Steve-Slow-Train-Analysis-(2080s-and-2083s)?_g=(refreshInterval:(display:Off,pause:!f,section:0,value:0),time:(from:'2017-02-26T15:10:30-0700',mode:absolute,to:'2017-02-26T17:51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5" s="187" t="str">
        <f t="shared" si="27"/>
        <v>N</v>
      </c>
      <c r="X115" s="187">
        <f t="shared" si="28"/>
        <v>1</v>
      </c>
      <c r="Y115" s="62">
        <f t="shared" si="29"/>
        <v>4.7800000000000002E-2</v>
      </c>
      <c r="Z115" s="62">
        <f t="shared" si="30"/>
        <v>23.3308</v>
      </c>
      <c r="AA115" s="62">
        <f t="shared" si="31"/>
        <v>23.283000000000001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2"/>
        <v>0201-26</v>
      </c>
      <c r="AE115" s="85" t="str">
        <f t="shared" si="33"/>
        <v>aws s3 cp s3://rtdc.mdm.uploadarchive.raw/RTDC4018/ "%USERPROFILE%\AppData\Local\Temp\OnboardLogs"\RTDC4018\2017-02-26 --exclude "*" --recursive --include "*20170226*" &amp; "%USERPROFILE%\Documents\GitHub\mrs-test-scripts\Headless Mode &amp; Sideloading\WalkAndUnGZ.bat" "%USERPROFILE%\AppData\Local\Temp\OnboardLogs"\RTDC4018\2017-02-26 &amp; aws s3 cp s3://rtdc.mdm.uploadarchive.raw/RTDC4018/ "%USERPROFILE%\AppData\Local\Temp\OnboardLogs"\RTDC4018\2017-02-27 --exclude "*" --recursive --include "*20170227*" &amp; "%USERPROFILE%\Documents\GitHub\mrs-test-scripts\Headless Mode &amp; Sideloading\WalkAndUnGZ.bat" "%USERPROFILE%\AppData\Local\Temp\OnboardLogs"\RTDC4018\2017-02-27</v>
      </c>
      <c r="AF115" s="82" t="str">
        <f t="shared" si="34"/>
        <v>"C:\Program Files (x86)\AstroGrep\AstroGrep.exe" /spath="%USERPROFILE%\AppData\Local\Temp\OnboardLogs" /stypes="app*4018*20170226*" /stext=" 23:.+((SYSTEM_STATE.+slice.+state.+changed )|(ment ac)|(multiple cpu faults)|(system.+state.+changed )|(\[timeout)|(PRM\|1\|D)|(kpr)|(kdp)|(\|lc)|(penalty))" /e /r /s</v>
      </c>
      <c r="AG115" s="1" t="str">
        <f t="shared" si="35"/>
        <v>EC</v>
      </c>
      <c r="AH115" s="86" t="str">
        <f t="shared" si="36"/>
        <v>"%USERPROFILE%\Documents\GitHub\eaglep3\Utilities\RefineRTDCRunTimes.py" --tripid 201-26 --locoid 4018 --swversion DE.1.0.9.0 --startMP 204:478 --initTime 2017-02-26T16:10:30 --startdatetime 2017-02-26T16:15:32 --delay 1 --endMP 204:233308 --enddatetime 2017-02-26T16:51:19 --enforcementcount 1 &gt;&gt;C:\Users\stu\Documents\GitHub\eaglep3-reporting\EC\2017-02-26-refined-times.txt</v>
      </c>
      <c r="AI115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{"issue":{"subject":"","project_id":79,"tracker_id":40,"status_id":1,"priority_id":2,"assigned_to_id":23,"start_date":"2017-02-26","description":"","custom_fields":[{"id":1,"name":"Subdivision","value":"EC"},{"id":4,"name":"Milepost","value":"23.3308"},{"id":17,"name":"Train ID","value":"201-26"},{"id":16,"name":"Locomotive ID","value":"4018"},{"id":130,"name":"Impact","value":""},{"id":150,"name":"Time of Event (Mountain Time)","value":"16:51:19"},{"id":151,"name":"Denver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38"/>
        <v>start /low /b %USERPROFILE%\Documents\GitHub\eaglep3\Utilities\DownloadLogsFromS3.py --loco 4018 --day 2017-02-26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"%USERPROFILE%\AppData\Local\Temp\OnboardLogs"\RTDC4018\*4018*20170226* | grep -SE "(Enforcement Action)|(\[TIMEOUT)|(CHR.+\|PRM\|1\|D.+(SWITCH|SIGNAL).+UNKNOWN)" - &gt;&gt; 2017-02-26-UncaughtWiMAX.txt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722</v>
      </c>
      <c r="B116" s="7">
        <v>4017</v>
      </c>
      <c r="C116" s="21" t="s">
        <v>285</v>
      </c>
      <c r="D116" s="21" t="s">
        <v>892</v>
      </c>
      <c r="E116" s="13">
        <v>42792.710069444445</v>
      </c>
      <c r="F116" s="13">
        <v>42792.716226851851</v>
      </c>
      <c r="G116" s="7">
        <v>1</v>
      </c>
      <c r="H116" s="21" t="s">
        <v>213</v>
      </c>
      <c r="I116" s="13">
        <v>42792.743645833332</v>
      </c>
      <c r="J116" s="7">
        <v>1</v>
      </c>
      <c r="K116" s="98" t="str">
        <f t="shared" si="21"/>
        <v>4017/4018</v>
      </c>
      <c r="L116" s="21" t="str">
        <f>VLOOKUP(A116,'Trips&amp;Operators'!$C$1:$G$99999,5,FALSE)</f>
        <v>STEWART MICHAEL</v>
      </c>
      <c r="M116" s="6">
        <f t="shared" si="22"/>
        <v>2.7418981480877846E-2</v>
      </c>
      <c r="N116" s="7">
        <f t="shared" si="23"/>
        <v>39.483333332464099</v>
      </c>
      <c r="O116" s="7"/>
      <c r="P116" s="7"/>
      <c r="Q116" s="22"/>
      <c r="R116" s="22"/>
      <c r="S116" s="31">
        <f t="shared" si="24"/>
        <v>1</v>
      </c>
      <c r="T116" s="46" t="str">
        <f t="shared" si="25"/>
        <v>Southbound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26"/>
        <v>https://d0f6bd738d7f1b3e5a7ca70fe4ff75f0.us-east-1.aws.found.io/app/kibana#/discover/Steve-Slow-Train-Analysis-(2080s-and-2083s)?_g=(refreshInterval:(display:Off,pause:!f,section:0,value:0),time:(from:'2017-02-26T16:02:30-0700',mode:absolute,to:'2017-02-26T18:50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6" s="187" t="str">
        <f t="shared" si="27"/>
        <v>N</v>
      </c>
      <c r="X116" s="187">
        <f t="shared" si="28"/>
        <v>1</v>
      </c>
      <c r="Y116" s="62">
        <f t="shared" si="29"/>
        <v>23.2989</v>
      </c>
      <c r="Z116" s="62">
        <f t="shared" si="30"/>
        <v>1.54E-2</v>
      </c>
      <c r="AA116" s="62">
        <f t="shared" si="31"/>
        <v>23.2835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2"/>
        <v>0202-26</v>
      </c>
      <c r="AE116" s="85" t="str">
        <f t="shared" si="33"/>
        <v>aws s3 cp s3://rtdc.mdm.uploadarchive.raw/RTDC4017/ "%USERPROFILE%\AppData\Local\Temp\OnboardLogs"\RTDC4017\2017-02-26 --exclude "*" --recursive --include "*20170226*" &amp; "%USERPROFILE%\Documents\GitHub\mrs-test-scripts\Headless Mode &amp; Sideloading\WalkAndUnGZ.bat" "%USERPROFILE%\AppData\Local\Temp\OnboardLogs"\RTDC4017\2017-02-26 &amp; aws s3 cp s3://rtdc.mdm.uploadarchive.raw/RTDC4017/ "%USERPROFILE%\AppData\Local\Temp\OnboardLogs"\RTDC4017\2017-02-27 --exclude "*" --recursive --include "*20170227*" &amp; "%USERPROFILE%\Documents\GitHub\mrs-test-scripts\Headless Mode &amp; Sideloading\WalkAndUnGZ.bat" "%USERPROFILE%\AppData\Local\Temp\OnboardLogs"\RTDC4017\2017-02-27</v>
      </c>
      <c r="AF116" s="82" t="str">
        <f t="shared" si="34"/>
        <v>"C:\Program Files (x86)\AstroGrep\AstroGrep.exe" /spath="%USERPROFILE%\AppData\Local\Temp\OnboardLogs" /stypes="app*4017*20170227*" /stext=" 00:.+((SYSTEM_STATE.+slice.+state.+changed )|(ment ac)|(multiple cpu faults)|(system.+state.+changed )|(\[timeout)|(PRM\|1\|D)|(kpr)|(kdp)|(\|lc)|(penalty))" /e /r /s</v>
      </c>
      <c r="AG116" s="1" t="str">
        <f t="shared" si="35"/>
        <v>EC</v>
      </c>
      <c r="AH116" s="86" t="str">
        <f t="shared" si="36"/>
        <v>"%USERPROFILE%\Documents\GitHub\eaglep3\Utilities\RefineRTDCRunTimes.py" --tripid 202-26 --locoid 4017 --swversion DE.1.0.9.0 --startMP 204:232989 --initTime 2017-02-26T17:02:30 --startdatetime 2017-02-26T17:11:22 --delay 1 --endMP 204:154 --enddatetime 2017-02-26T17:50:51 --enforcementcount 1 &gt;&gt;C:\Users\stu\Documents\GitHub\eaglep3-reporting\EC\2017-02-26-refined-times.txt</v>
      </c>
      <c r="AI116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{"issue":{"subject":"","project_id":79,"tracker_id":40,"status_id":1,"priority_id":2,"assigned_to_id":23,"start_date":"2017-02-26","description":"","custom_fields":[{"id":1,"name":"Subdivision","value":"EC"},{"id":4,"name":"Milepost","value":"0.0154"},{"id":17,"name":"Train ID","value":"202-26"},{"id":16,"name":"Locomotive ID","value":"4017"},{"id":130,"name":"Impact","value":""},{"id":150,"name":"Time of Event (Mountain Time)","value":"17:50:51"},{"id":151,"name":"Denver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38"/>
        <v>start /low /b %USERPROFILE%\Documents\GitHub\eaglep3\Utilities\DownloadLogsFromS3.py --loco 4017 --day 2017-02-26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"%USERPROFILE%\AppData\Local\Temp\OnboardLogs"\RTDC4017\*4017*20170227* | grep -SE "(Enforcement Action)|(\[TIMEOUT)|(CHR.+\|PRM\|1\|D.+(SWITCH|SIGNAL).+UNKNOWN)" - &gt;&gt; 2017-02-26-UncaughtWiMAX.txt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717</v>
      </c>
      <c r="B117" s="7">
        <v>4053</v>
      </c>
      <c r="C117" s="21" t="s">
        <v>285</v>
      </c>
      <c r="D117" s="21" t="s">
        <v>229</v>
      </c>
      <c r="E117" s="13">
        <v>42792.691099537034</v>
      </c>
      <c r="F117" s="13">
        <v>42792.69327546296</v>
      </c>
      <c r="G117" s="7">
        <v>2</v>
      </c>
      <c r="H117" s="21" t="s">
        <v>248</v>
      </c>
      <c r="I117" s="13">
        <v>42792.720659722225</v>
      </c>
      <c r="J117" s="7">
        <v>1</v>
      </c>
      <c r="K117" s="98" t="str">
        <f t="shared" si="21"/>
        <v>4053/4054</v>
      </c>
      <c r="L117" s="21" t="str">
        <f>VLOOKUP(A117,'Trips&amp;Operators'!$C$1:$G$99999,5,FALSE)</f>
        <v>DAVIS MICHAEL</v>
      </c>
      <c r="M117" s="6">
        <f t="shared" si="22"/>
        <v>2.7384259265090805E-2</v>
      </c>
      <c r="N117" s="7">
        <f t="shared" si="23"/>
        <v>39.433333341730759</v>
      </c>
      <c r="O117" s="7"/>
      <c r="P117" s="7"/>
      <c r="Q117" s="22"/>
      <c r="R117" s="22"/>
      <c r="S117" s="31">
        <f t="shared" si="24"/>
        <v>1</v>
      </c>
      <c r="T117" s="46" t="str">
        <f t="shared" si="25"/>
        <v>NorthBound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26"/>
        <v>https://d0f6bd738d7f1b3e5a7ca70fe4ff75f0.us-east-1.aws.found.io/app/kibana#/discover/Steve-Slow-Train-Analysis-(2080s-and-2083s)?_g=(refreshInterval:(display:Off,pause:!f,section:0,value:0),time:(from:'2017-02-26T15:35:11-0700',mode:absolute,to:'2017-02-26T18:17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7" s="187" t="str">
        <f t="shared" si="27"/>
        <v>N</v>
      </c>
      <c r="X117" s="187">
        <f t="shared" si="28"/>
        <v>1</v>
      </c>
      <c r="Y117" s="62">
        <f t="shared" si="29"/>
        <v>4.5999999999999999E-2</v>
      </c>
      <c r="Z117" s="62">
        <f t="shared" si="30"/>
        <v>23.3293</v>
      </c>
      <c r="AA117" s="62">
        <f t="shared" si="31"/>
        <v>23.283300000000001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2"/>
        <v>0203-26</v>
      </c>
      <c r="AE117" s="85" t="str">
        <f t="shared" si="33"/>
        <v>aws s3 cp s3://rtdc.mdm.uploadarchive.raw/RTDC4053/ "%USERPROFILE%\AppData\Local\Temp\OnboardLogs"\RTDC4053\2017-02-26 --exclude "*" --recursive --include "*20170226*" &amp; "%USERPROFILE%\Documents\GitHub\mrs-test-scripts\Headless Mode &amp; Sideloading\WalkAndUnGZ.bat" "%USERPROFILE%\AppData\Local\Temp\OnboardLogs"\RTDC4053\2017-02-26 &amp; aws s3 cp s3://rtdc.mdm.uploadarchive.raw/RTDC4053/ "%USERPROFILE%\AppData\Local\Temp\OnboardLogs"\RTDC4053\2017-02-27 --exclude "*" --recursive --include "*20170227*" &amp; "%USERPROFILE%\Documents\GitHub\mrs-test-scripts\Headless Mode &amp; Sideloading\WalkAndUnGZ.bat" "%USERPROFILE%\AppData\Local\Temp\OnboardLogs"\RTDC4053\2017-02-27</v>
      </c>
      <c r="AF117" s="82" t="str">
        <f t="shared" si="34"/>
        <v>"C:\Program Files (x86)\AstroGrep\AstroGrep.exe" /spath="%USERPROFILE%\AppData\Local\Temp\OnboardLogs" /stypes="app*4053*20170227*" /stext=" 00:.+((SYSTEM_STATE.+slice.+state.+changed )|(ment ac)|(multiple cpu faults)|(system.+state.+changed )|(\[timeout)|(PRM\|1\|D)|(kpr)|(kdp)|(\|lc)|(penalty))" /e /r /s</v>
      </c>
      <c r="AG117" s="1" t="str">
        <f t="shared" si="35"/>
        <v>EC</v>
      </c>
      <c r="AH117" s="86" t="str">
        <f t="shared" si="36"/>
        <v>"%USERPROFILE%\Documents\GitHub\eaglep3\Utilities\RefineRTDCRunTimes.py" --tripid 203-26 --locoid 4053 --swversion DE.1.0.9.0 --startMP 204:460 --initTime 2017-02-26T16:35:11 --startdatetime 2017-02-26T16:38:19 --delay 2 --endMP 204:233293 --enddatetime 2017-02-26T17:17:45 --enforcementcount 1 &gt;&gt;C:\Users\stu\Documents\GitHub\eaglep3-reporting\EC\2017-02-26-refined-times.txt</v>
      </c>
      <c r="AI117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{"issue":{"subject":"","project_id":79,"tracker_id":40,"status_id":1,"priority_id":2,"assigned_to_id":23,"start_date":"2017-02-26","description":"","custom_fields":[{"id":1,"name":"Subdivision","value":"EC"},{"id":4,"name":"Milepost","value":"23.3293"},{"id":17,"name":"Train ID","value":"203-26"},{"id":16,"name":"Locomotive ID","value":"4053"},{"id":130,"name":"Impact","value":""},{"id":150,"name":"Time of Event (Mountain Time)","value":"17:17:45"},{"id":151,"name":"Denver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38"/>
        <v>start /low /b %USERPROFILE%\Documents\GitHub\eaglep3\Utilities\DownloadLogsFromS3.py --loco 4053 --day 2017-02-26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"%USERPROFILE%\AppData\Local\Temp\OnboardLogs"\RTDC4053\*4053*20170226* | grep -SE "(Enforcement Action)|(\[TIMEOUT)|(CHR.+\|PRM\|1\|D.+(SWITCH|SIGNAL).+UNKNOWN)" - &gt;&gt; 2017-02-26-UncaughtWiMAX.txt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726</v>
      </c>
      <c r="B118" s="7">
        <v>4054</v>
      </c>
      <c r="C118" s="21" t="s">
        <v>285</v>
      </c>
      <c r="D118" s="21" t="s">
        <v>836</v>
      </c>
      <c r="E118" s="13">
        <v>42792.724259259259</v>
      </c>
      <c r="F118" s="13">
        <v>42792.726793981485</v>
      </c>
      <c r="G118" s="7">
        <v>1</v>
      </c>
      <c r="H118" s="21" t="s">
        <v>264</v>
      </c>
      <c r="I118" s="13">
        <v>42792.755949074075</v>
      </c>
      <c r="J118" s="7">
        <v>1</v>
      </c>
      <c r="K118" s="98" t="str">
        <f t="shared" si="21"/>
        <v>4053/4054</v>
      </c>
      <c r="L118" s="21" t="str">
        <f>VLOOKUP(A118,'Trips&amp;Operators'!$C$1:$G$99999,5,FALSE)</f>
        <v>DAVIS MICHAEL</v>
      </c>
      <c r="M118" s="6">
        <f t="shared" si="22"/>
        <v>2.9155092590372078E-2</v>
      </c>
      <c r="N118" s="7">
        <f t="shared" si="23"/>
        <v>41.983333330135792</v>
      </c>
      <c r="O118" s="7"/>
      <c r="P118" s="7"/>
      <c r="Q118" s="22"/>
      <c r="R118" s="22"/>
      <c r="S118" s="31">
        <f t="shared" si="24"/>
        <v>1</v>
      </c>
      <c r="T118" s="46" t="str">
        <f t="shared" si="25"/>
        <v>Southbound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26"/>
        <v>https://d0f6bd738d7f1b3e5a7ca70fe4ff75f0.us-east-1.aws.found.io/app/kibana#/discover/Steve-Slow-Train-Analysis-(2080s-and-2083s)?_g=(refreshInterval:(display:Off,pause:!f,section:0,value:0),time:(from:'2017-02-26T16:22:56-0700',mode:absolute,to:'2017-02-26T19:08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8" s="187" t="str">
        <f t="shared" si="27"/>
        <v>N</v>
      </c>
      <c r="X118" s="187">
        <f t="shared" si="28"/>
        <v>1</v>
      </c>
      <c r="Y118" s="62">
        <f t="shared" si="29"/>
        <v>23.297999999999998</v>
      </c>
      <c r="Z118" s="62">
        <f t="shared" si="30"/>
        <v>1.5599999999999999E-2</v>
      </c>
      <c r="AA118" s="62">
        <f t="shared" si="31"/>
        <v>23.282399999999999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2"/>
        <v>0204-26</v>
      </c>
      <c r="AE118" s="85" t="str">
        <f t="shared" si="33"/>
        <v>aws s3 cp s3://rtdc.mdm.uploadarchive.raw/RTDC4054/ "%USERPROFILE%\AppData\Local\Temp\OnboardLogs"\RTDC4054\2017-02-26 --exclude "*" --recursive --include "*20170226*" &amp; "%USERPROFILE%\Documents\GitHub\mrs-test-scripts\Headless Mode &amp; Sideloading\WalkAndUnGZ.bat" "%USERPROFILE%\AppData\Local\Temp\OnboardLogs"\RTDC4054\2017-02-26 &amp; aws s3 cp s3://rtdc.mdm.uploadarchive.raw/RTDC4054/ "%USERPROFILE%\AppData\Local\Temp\OnboardLogs"\RTDC4054\2017-02-27 --exclude "*" --recursive --include "*20170227*" &amp; "%USERPROFILE%\Documents\GitHub\mrs-test-scripts\Headless Mode &amp; Sideloading\WalkAndUnGZ.bat" "%USERPROFILE%\AppData\Local\Temp\OnboardLogs"\RTDC4054\2017-02-27</v>
      </c>
      <c r="AF118" s="82" t="str">
        <f t="shared" si="34"/>
        <v>"C:\Program Files (x86)\AstroGrep\AstroGrep.exe" /spath="%USERPROFILE%\AppData\Local\Temp\OnboardLogs" /stypes="app*4054*20170227*" /stext=" 01:.+((SYSTEM_STATE.+slice.+state.+changed )|(ment ac)|(multiple cpu faults)|(system.+state.+changed )|(\[timeout)|(PRM\|1\|D)|(kpr)|(kdp)|(\|lc)|(penalty))" /e /r /s</v>
      </c>
      <c r="AG118" s="1" t="str">
        <f t="shared" si="35"/>
        <v>EC</v>
      </c>
      <c r="AH118" s="86" t="str">
        <f t="shared" si="36"/>
        <v>"%USERPROFILE%\Documents\GitHub\eaglep3\Utilities\RefineRTDCRunTimes.py" --tripid 204-26 --locoid 4054 --swversion DE.1.0.9.0 --startMP 204:232980 --initTime 2017-02-26T17:22:56 --startdatetime 2017-02-26T17:26:35 --delay 1 --endMP 204:156 --enddatetime 2017-02-26T18:08:34 --enforcementcount 1 &gt;&gt;C:\Users\stu\Documents\GitHub\eaglep3-reporting\EC\2017-02-26-refined-times.txt</v>
      </c>
      <c r="AI118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{"issue":{"subject":"","project_id":79,"tracker_id":40,"status_id":1,"priority_id":2,"assigned_to_id":23,"start_date":"2017-02-26","description":"","custom_fields":[{"id":1,"name":"Subdivision","value":"EC"},{"id":4,"name":"Milepost","value":"0.0156"},{"id":17,"name":"Train ID","value":"204-26"},{"id":16,"name":"Locomotive ID","value":"4054"},{"id":130,"name":"Impact","value":""},{"id":150,"name":"Time of Event (Mountain Time)","value":"18:08:34"},{"id":151,"name":"Denver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38"/>
        <v>start /low /b %USERPROFILE%\Documents\GitHub\eaglep3\Utilities\DownloadLogsFromS3.py --loco 4054 --day 2017-02-26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"%USERPROFILE%\AppData\Local\Temp\OnboardLogs"\RTDC4054\*4054*20170227* | grep -SE "(Enforcement Action)|(\[TIMEOUT)|(CHR.+\|PRM\|1\|D.+(SWITCH|SIGNAL).+UNKNOWN)" - &gt;&gt; 2017-02-26-UncaughtWiMAX.txt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719</v>
      </c>
      <c r="B119" s="7">
        <v>4029</v>
      </c>
      <c r="C119" s="21" t="s">
        <v>285</v>
      </c>
      <c r="D119" s="21" t="s">
        <v>890</v>
      </c>
      <c r="E119" s="13">
        <v>42792.695729166669</v>
      </c>
      <c r="F119" s="13">
        <v>42792.698171296295</v>
      </c>
      <c r="G119" s="7">
        <v>1</v>
      </c>
      <c r="H119" s="21" t="s">
        <v>893</v>
      </c>
      <c r="I119" s="13">
        <v>42792.723136574074</v>
      </c>
      <c r="J119" s="7">
        <v>1</v>
      </c>
      <c r="K119" s="98" t="str">
        <f t="shared" si="21"/>
        <v>4029/4030</v>
      </c>
      <c r="L119" s="21" t="str">
        <f>VLOOKUP(A119,'Trips&amp;Operators'!$C$1:$G$99999,5,FALSE)</f>
        <v>LEVIN SCOTT</v>
      </c>
      <c r="M119" s="6">
        <f t="shared" si="22"/>
        <v>2.4965277778392192E-2</v>
      </c>
      <c r="N119" s="7">
        <f t="shared" si="23"/>
        <v>35.950000000884756</v>
      </c>
      <c r="O119" s="7"/>
      <c r="P119" s="7"/>
      <c r="Q119" s="22"/>
      <c r="R119" s="22"/>
      <c r="S119" s="31">
        <f t="shared" si="24"/>
        <v>1</v>
      </c>
      <c r="T119" s="46" t="str">
        <f t="shared" si="25"/>
        <v>NorthBound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26"/>
        <v>https://d0f6bd738d7f1b3e5a7ca70fe4ff75f0.us-east-1.aws.found.io/app/kibana#/discover/Steve-Slow-Train-Analysis-(2080s-and-2083s)?_g=(refreshInterval:(display:Off,pause:!f,section:0,value:0),time:(from:'2017-02-26T15:41:51-0700',mode:absolute,to:'2017-02-26T18:21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9" s="187" t="str">
        <f t="shared" si="27"/>
        <v>N</v>
      </c>
      <c r="X119" s="187">
        <f t="shared" si="28"/>
        <v>1</v>
      </c>
      <c r="Y119" s="62">
        <f t="shared" si="29"/>
        <v>4.3700000000000003E-2</v>
      </c>
      <c r="Z119" s="62">
        <f t="shared" si="30"/>
        <v>23.338000000000001</v>
      </c>
      <c r="AA119" s="62">
        <f t="shared" si="31"/>
        <v>23.2943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2"/>
        <v>0205-26</v>
      </c>
      <c r="AE119" s="85" t="str">
        <f t="shared" si="33"/>
        <v>aws s3 cp s3://rtdc.mdm.uploadarchive.raw/RTDC4029/ "%USERPROFILE%\AppData\Local\Temp\OnboardLogs"\RTDC4029\2017-02-26 --exclude "*" --recursive --include "*20170226*" &amp; "%USERPROFILE%\Documents\GitHub\mrs-test-scripts\Headless Mode &amp; Sideloading\WalkAndUnGZ.bat" "%USERPROFILE%\AppData\Local\Temp\OnboardLogs"\RTDC4029\2017-02-26 &amp; aws s3 cp s3://rtdc.mdm.uploadarchive.raw/RTDC4029/ "%USERPROFILE%\AppData\Local\Temp\OnboardLogs"\RTDC4029\2017-02-27 --exclude "*" --recursive --include "*20170227*" &amp; "%USERPROFILE%\Documents\GitHub\mrs-test-scripts\Headless Mode &amp; Sideloading\WalkAndUnGZ.bat" "%USERPROFILE%\AppData\Local\Temp\OnboardLogs"\RTDC4029\2017-02-27</v>
      </c>
      <c r="AF119" s="82" t="str">
        <f t="shared" si="34"/>
        <v>"C:\Program Files (x86)\AstroGrep\AstroGrep.exe" /spath="%USERPROFILE%\AppData\Local\Temp\OnboardLogs" /stypes="app*4029*20170227*" /stext=" 00:.+((SYSTEM_STATE.+slice.+state.+changed )|(ment ac)|(multiple cpu faults)|(system.+state.+changed )|(\[timeout)|(PRM\|1\|D)|(kpr)|(kdp)|(\|lc)|(penalty))" /e /r /s</v>
      </c>
      <c r="AG119" s="1" t="str">
        <f t="shared" si="35"/>
        <v>EC</v>
      </c>
      <c r="AH119" s="86" t="str">
        <f t="shared" si="36"/>
        <v>"%USERPROFILE%\Documents\GitHub\eaglep3\Utilities\RefineRTDCRunTimes.py" --tripid 205-26 --locoid 4029 --swversion DE.1.0.9.0 --startMP 204:437 --initTime 2017-02-26T16:41:51 --startdatetime 2017-02-26T16:45:22 --delay 1 --endMP 204:233380 --enddatetime 2017-02-26T17:21:19 --enforcementcount 1 &gt;&gt;C:\Users\stu\Documents\GitHub\eaglep3-reporting\EC\2017-02-26-refined-times.txt</v>
      </c>
      <c r="AI119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{"issue":{"subject":"","project_id":79,"tracker_id":40,"status_id":1,"priority_id":2,"assigned_to_id":23,"start_date":"2017-02-26","description":"","custom_fields":[{"id":1,"name":"Subdivision","value":"EC"},{"id":4,"name":"Milepost","value":"23.338"},{"id":17,"name":"Train ID","value":"205-26"},{"id":16,"name":"Locomotive ID","value":"4029"},{"id":130,"name":"Impact","value":""},{"id":150,"name":"Time of Event (Mountain Time)","value":"17:21:19"},{"id":151,"name":"Denver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38"/>
        <v>start /low /b %USERPROFILE%\Documents\GitHub\eaglep3\Utilities\DownloadLogsFromS3.py --loco 4029 --day 2017-02-26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"%USERPROFILE%\AppData\Local\Temp\OnboardLogs"\RTDC4029\*4029*20170227* | grep -SE "(Enforcement Action)|(\[TIMEOUT)|(CHR.+\|PRM\|1\|D.+(SWITCH|SIGNAL).+UNKNOWN)" - &gt;&gt; 2017-02-26-UncaughtWiMAX.txt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730</v>
      </c>
      <c r="B120" s="7">
        <v>4030</v>
      </c>
      <c r="C120" s="21" t="s">
        <v>285</v>
      </c>
      <c r="D120" s="21" t="s">
        <v>894</v>
      </c>
      <c r="E120" s="13">
        <v>42792.732858796298</v>
      </c>
      <c r="F120" s="13">
        <v>42792.737210648149</v>
      </c>
      <c r="G120" s="7">
        <v>1</v>
      </c>
      <c r="H120" s="21" t="s">
        <v>263</v>
      </c>
      <c r="I120" s="13">
        <v>42792.76457175926</v>
      </c>
      <c r="J120" s="7">
        <v>1</v>
      </c>
      <c r="K120" s="98" t="str">
        <f t="shared" si="21"/>
        <v>4029/4030</v>
      </c>
      <c r="L120" s="21" t="str">
        <f>VLOOKUP(A120,'Trips&amp;Operators'!$C$1:$G$99999,5,FALSE)</f>
        <v>LEVIN SCOTT</v>
      </c>
      <c r="M120" s="6">
        <f t="shared" si="22"/>
        <v>2.73611111115315E-2</v>
      </c>
      <c r="N120" s="7">
        <f t="shared" si="23"/>
        <v>39.40000000060536</v>
      </c>
      <c r="O120" s="7"/>
      <c r="P120" s="7"/>
      <c r="Q120" s="22"/>
      <c r="R120" s="22"/>
      <c r="S120" s="31">
        <f t="shared" si="24"/>
        <v>1</v>
      </c>
      <c r="T120" s="46" t="str">
        <f t="shared" si="25"/>
        <v>Southbound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26"/>
        <v>https://d0f6bd738d7f1b3e5a7ca70fe4ff75f0.us-east-1.aws.found.io/app/kibana#/discover/Steve-Slow-Train-Analysis-(2080s-and-2083s)?_g=(refreshInterval:(display:Off,pause:!f,section:0,value:0),time:(from:'2017-02-26T16:35:19-0700',mode:absolute,to:'2017-02-26T19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0" s="187" t="str">
        <f t="shared" si="27"/>
        <v>N</v>
      </c>
      <c r="X120" s="187">
        <f t="shared" si="28"/>
        <v>1</v>
      </c>
      <c r="Y120" s="62">
        <f t="shared" si="29"/>
        <v>23.307200000000002</v>
      </c>
      <c r="Z120" s="62">
        <f t="shared" si="30"/>
        <v>1.3599999999999999E-2</v>
      </c>
      <c r="AA120" s="62">
        <f t="shared" si="31"/>
        <v>23.293600000000001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2"/>
        <v>0206-26</v>
      </c>
      <c r="AE120" s="85" t="str">
        <f t="shared" si="33"/>
        <v>aws s3 cp s3://rtdc.mdm.uploadarchive.raw/RTDC4030/ "%USERPROFILE%\AppData\Local\Temp\OnboardLogs"\RTDC4030\2017-02-26 --exclude "*" --recursive --include "*20170226*" &amp; "%USERPROFILE%\Documents\GitHub\mrs-test-scripts\Headless Mode &amp; Sideloading\WalkAndUnGZ.bat" "%USERPROFILE%\AppData\Local\Temp\OnboardLogs"\RTDC4030\2017-02-26 &amp; aws s3 cp s3://rtdc.mdm.uploadarchive.raw/RTDC4030/ "%USERPROFILE%\AppData\Local\Temp\OnboardLogs"\RTDC4030\2017-02-27 --exclude "*" --recursive --include "*20170227*" &amp; "%USERPROFILE%\Documents\GitHub\mrs-test-scripts\Headless Mode &amp; Sideloading\WalkAndUnGZ.bat" "%USERPROFILE%\AppData\Local\Temp\OnboardLogs"\RTDC4030\2017-02-27</v>
      </c>
      <c r="AF120" s="82" t="str">
        <f t="shared" si="34"/>
        <v>"C:\Program Files (x86)\AstroGrep\AstroGrep.exe" /spath="%USERPROFILE%\AppData\Local\Temp\OnboardLogs" /stypes="app*4030*20170227*" /stext=" 01:.+((SYSTEM_STATE.+slice.+state.+changed )|(ment ac)|(multiple cpu faults)|(system.+state.+changed )|(\[timeout)|(PRM\|1\|D)|(kpr)|(kdp)|(\|lc)|(penalty))" /e /r /s</v>
      </c>
      <c r="AG120" s="1" t="str">
        <f t="shared" si="35"/>
        <v>EC</v>
      </c>
      <c r="AH120" s="86" t="str">
        <f t="shared" si="36"/>
        <v>"%USERPROFILE%\Documents\GitHub\eaglep3\Utilities\RefineRTDCRunTimes.py" --tripid 206-26 --locoid 4030 --swversion DE.1.0.9.0 --startMP 204:233072 --initTime 2017-02-26T17:35:19 --startdatetime 2017-02-26T17:41:35 --delay 1 --endMP 204:136 --enddatetime 2017-02-26T18:20:59 --enforcementcount 1 &gt;&gt;C:\Users\stu\Documents\GitHub\eaglep3-reporting\EC\2017-02-26-refined-times.txt</v>
      </c>
      <c r="AI120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{"issue":{"subject":"","project_id":79,"tracker_id":40,"status_id":1,"priority_id":2,"assigned_to_id":23,"start_date":"2017-02-26","description":"","custom_fields":[{"id":1,"name":"Subdivision","value":"EC"},{"id":4,"name":"Milepost","value":"0.0136"},{"id":17,"name":"Train ID","value":"206-26"},{"id":16,"name":"Locomotive ID","value":"4030"},{"id":130,"name":"Impact","value":""},{"id":150,"name":"Time of Event (Mountain Time)","value":"18:20:59"},{"id":151,"name":"Denver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38"/>
        <v>start /low /b %USERPROFILE%\Documents\GitHub\eaglep3\Utilities\DownloadLogsFromS3.py --loco 4030 --day 2017-02-26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"%USERPROFILE%\AppData\Local\Temp\OnboardLogs"\RTDC4030\*4030*20170227* | grep -SE "(Enforcement Action)|(\[TIMEOUT)|(CHR.+\|PRM\|1\|D.+(SWITCH|SIGNAL).+UNKNOWN)" - &gt;&gt; 2017-02-26-UncaughtWiMAX.txt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721</v>
      </c>
      <c r="B121" s="7">
        <v>4003</v>
      </c>
      <c r="C121" s="21" t="s">
        <v>285</v>
      </c>
      <c r="D121" s="21" t="s">
        <v>890</v>
      </c>
      <c r="E121" s="13">
        <v>42792.703796296293</v>
      </c>
      <c r="F121" s="13">
        <v>42792.708506944444</v>
      </c>
      <c r="G121" s="7">
        <v>1</v>
      </c>
      <c r="H121" s="21" t="s">
        <v>280</v>
      </c>
      <c r="I121" s="13">
        <v>42792.733819444446</v>
      </c>
      <c r="J121" s="7">
        <v>1</v>
      </c>
      <c r="K121" s="98" t="str">
        <f t="shared" si="21"/>
        <v>4003/4004</v>
      </c>
      <c r="L121" s="21" t="str">
        <f>VLOOKUP(A121,'Trips&amp;Operators'!$C$1:$G$99999,5,FALSE)</f>
        <v>BRUDER RICHARD</v>
      </c>
      <c r="M121" s="6">
        <f t="shared" si="22"/>
        <v>2.531250000174623E-2</v>
      </c>
      <c r="N121" s="7">
        <f t="shared" si="23"/>
        <v>36.450000002514571</v>
      </c>
      <c r="O121" s="7"/>
      <c r="P121" s="7"/>
      <c r="Q121" s="22"/>
      <c r="R121" s="22"/>
      <c r="S121" s="31">
        <f t="shared" si="24"/>
        <v>1</v>
      </c>
      <c r="T121" s="46" t="str">
        <f t="shared" si="25"/>
        <v>NorthBound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26"/>
        <v>https://d0f6bd738d7f1b3e5a7ca70fe4ff75f0.us-east-1.aws.found.io/app/kibana#/discover/Steve-Slow-Train-Analysis-(2080s-and-2083s)?_g=(refreshInterval:(display:Off,pause:!f,section:0,value:0),time:(from:'2017-02-26T15:53:28-0700',mode:absolute,to:'2017-02-26T18:36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1" s="187" t="str">
        <f t="shared" si="27"/>
        <v>N</v>
      </c>
      <c r="X121" s="187">
        <f t="shared" si="28"/>
        <v>1</v>
      </c>
      <c r="Y121" s="62">
        <f t="shared" si="29"/>
        <v>4.3700000000000003E-2</v>
      </c>
      <c r="Z121" s="62">
        <f t="shared" si="30"/>
        <v>23.330300000000001</v>
      </c>
      <c r="AA121" s="62">
        <f t="shared" si="31"/>
        <v>23.2866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2"/>
        <v>0207-26</v>
      </c>
      <c r="AE121" s="85" t="str">
        <f t="shared" si="33"/>
        <v>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 &amp; aws s3 cp s3://rtdc.mdm.uploadarchive.raw/RTDC4003/ "%USERPROFILE%\AppData\Local\Temp\OnboardLogs"\RTDC4003\2017-02-27 --exclude "*" --recursive --include "*20170227*" &amp; "%USERPROFILE%\Documents\GitHub\mrs-test-scripts\Headless Mode &amp; Sideloading\WalkAndUnGZ.bat" "%USERPROFILE%\AppData\Local\Temp\OnboardLogs"\RTDC4003\2017-02-27</v>
      </c>
      <c r="AF121" s="82" t="str">
        <f t="shared" si="34"/>
        <v>"C:\Program Files (x86)\AstroGrep\AstroGrep.exe" /spath="%USERPROFILE%\AppData\Local\Temp\OnboardLogs" /stypes="app*4003*20170227*" /stext=" 00:.+((SYSTEM_STATE.+slice.+state.+changed )|(ment ac)|(multiple cpu faults)|(system.+state.+changed )|(\[timeout)|(PRM\|1\|D)|(kpr)|(kdp)|(\|lc)|(penalty))" /e /r /s</v>
      </c>
      <c r="AG121" s="1" t="str">
        <f t="shared" si="35"/>
        <v>EC</v>
      </c>
      <c r="AH121" s="86" t="str">
        <f t="shared" si="36"/>
        <v>"%USERPROFILE%\Documents\GitHub\eaglep3\Utilities\RefineRTDCRunTimes.py" --tripid 207-26 --locoid 4003 --swversion DE.1.0.9.0 --startMP 204:437 --initTime 2017-02-26T16:53:28 --startdatetime 2017-02-26T17:00:15 --delay 1 --endMP 204:233303 --enddatetime 2017-02-26T17:36:42 --enforcementcount 1 &gt;&gt;C:\Users\stu\Documents\GitHub\eaglep3-reporting\EC\2017-02-26-refined-times.txt</v>
      </c>
      <c r="AI121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{"issue":{"subject":"","project_id":79,"tracker_id":40,"status_id":1,"priority_id":2,"assigned_to_id":23,"start_date":"2017-02-26","description":"","custom_fields":[{"id":1,"name":"Subdivision","value":"EC"},{"id":4,"name":"Milepost","value":"23.3303"},{"id":17,"name":"Train ID","value":"207-26"},{"id":16,"name":"Locomotive ID","value":"4003"},{"id":130,"name":"Impact","value":""},{"id":150,"name":"Time of Event (Mountain Time)","value":"17:36:42"},{"id":151,"name":"Denver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38"/>
        <v>start /low /b %USERPROFILE%\Documents\GitHub\eaglep3\Utilities\DownloadLogsFromS3.py --loco 4003 --day 2017-02-26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"%USERPROFILE%\AppData\Local\Temp\OnboardLogs"\RTDC4003\*4003*20170227* | grep -SE "(Enforcement Action)|(\[TIMEOUT)|(CHR.+\|PRM\|1\|D.+(SWITCH|SIGNAL).+UNKNOWN)" - &gt;&gt; 2017-02-26-UncaughtWiMAX.txt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733</v>
      </c>
      <c r="B122" s="7">
        <v>4004</v>
      </c>
      <c r="C122" s="21" t="s">
        <v>285</v>
      </c>
      <c r="D122" s="21" t="s">
        <v>290</v>
      </c>
      <c r="E122" s="13">
        <v>42792.742071759261</v>
      </c>
      <c r="F122" s="13">
        <v>42792.747407407405</v>
      </c>
      <c r="G122" s="7">
        <v>1</v>
      </c>
      <c r="H122" s="21" t="s">
        <v>203</v>
      </c>
      <c r="I122" s="13">
        <v>42792.774675925924</v>
      </c>
      <c r="J122" s="7">
        <v>1</v>
      </c>
      <c r="K122" s="98" t="str">
        <f t="shared" si="21"/>
        <v>4003/4004</v>
      </c>
      <c r="L122" s="21" t="str">
        <f>VLOOKUP(A122,'Trips&amp;Operators'!$C$1:$G$99999,5,FALSE)</f>
        <v>BRUDER RICHARD</v>
      </c>
      <c r="M122" s="6">
        <f t="shared" si="22"/>
        <v>2.7268518519122154E-2</v>
      </c>
      <c r="N122" s="7">
        <f t="shared" si="23"/>
        <v>39.266666667535901</v>
      </c>
      <c r="O122" s="7"/>
      <c r="P122" s="7"/>
      <c r="Q122" s="22"/>
      <c r="R122" s="22"/>
      <c r="S122" s="31">
        <f t="shared" si="24"/>
        <v>1</v>
      </c>
      <c r="T122" s="46" t="str">
        <f t="shared" si="25"/>
        <v>Southbound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26"/>
        <v>https://d0f6bd738d7f1b3e5a7ca70fe4ff75f0.us-east-1.aws.found.io/app/kibana#/discover/Steve-Slow-Train-Analysis-(2080s-and-2083s)?_g=(refreshInterval:(display:Off,pause:!f,section:0,value:0),time:(from:'2017-02-26T16:48:35-0700',mode:absolute,to:'2017-02-26T19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2" s="187" t="str">
        <f t="shared" si="27"/>
        <v>N</v>
      </c>
      <c r="X122" s="187">
        <f t="shared" si="28"/>
        <v>1</v>
      </c>
      <c r="Y122" s="62">
        <f t="shared" si="29"/>
        <v>23.298400000000001</v>
      </c>
      <c r="Z122" s="62">
        <f t="shared" si="30"/>
        <v>1.6E-2</v>
      </c>
      <c r="AA122" s="62">
        <f t="shared" si="31"/>
        <v>23.282400000000003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2"/>
        <v>0208-26</v>
      </c>
      <c r="AE122" s="85" t="str">
        <f t="shared" si="33"/>
        <v>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 &amp; aws s3 cp s3://rtdc.mdm.uploadarchive.raw/RTDC4004/ "%USERPROFILE%\AppData\Local\Temp\OnboardLogs"\RTDC4004\2017-02-27 --exclude "*" --recursive --include "*20170227*" &amp; "%USERPROFILE%\Documents\GitHub\mrs-test-scripts\Headless Mode &amp; Sideloading\WalkAndUnGZ.bat" "%USERPROFILE%\AppData\Local\Temp\OnboardLogs"\RTDC4004\2017-02-27</v>
      </c>
      <c r="AF122" s="82" t="str">
        <f t="shared" si="34"/>
        <v>"C:\Program Files (x86)\AstroGrep\AstroGrep.exe" /spath="%USERPROFILE%\AppData\Local\Temp\OnboardLogs" /stypes="app*4004*20170227*" /stext=" 01:.+((SYSTEM_STATE.+slice.+state.+changed )|(ment ac)|(multiple cpu faults)|(system.+state.+changed )|(\[timeout)|(PRM\|1\|D)|(kpr)|(kdp)|(\|lc)|(penalty))" /e /r /s</v>
      </c>
      <c r="AG122" s="1" t="str">
        <f t="shared" si="35"/>
        <v>EC</v>
      </c>
      <c r="AH122" s="86" t="str">
        <f t="shared" si="36"/>
        <v>"%USERPROFILE%\Documents\GitHub\eaglep3\Utilities\RefineRTDCRunTimes.py" --tripid 208-26 --locoid 4004 --swversion DE.1.0.9.0 --startMP 204:232984 --initTime 2017-02-26T17:48:35 --startdatetime 2017-02-26T17:56:16 --delay 1 --endMP 204:160 --enddatetime 2017-02-26T18:35:32 --enforcementcount 1 &gt;&gt;C:\Users\stu\Documents\GitHub\eaglep3-reporting\EC\2017-02-26-refined-times.txt</v>
      </c>
      <c r="AI122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{"issue":{"subject":"","project_id":79,"tracker_id":40,"status_id":1,"priority_id":2,"assigned_to_id":23,"start_date":"2017-02-26","description":"","custom_fields":[{"id":1,"name":"Subdivision","value":"EC"},{"id":4,"name":"Milepost","value":"0.016"},{"id":17,"name":"Train ID","value":"208-26"},{"id":16,"name":"Locomotive ID","value":"4004"},{"id":130,"name":"Impact","value":""},{"id":150,"name":"Time of Event (Mountain Time)","value":"18:35:32"},{"id":151,"name":"Denver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38"/>
        <v>start /low /b %USERPROFILE%\Documents\GitHub\eaglep3\Utilities\DownloadLogsFromS3.py --loco 4004 --day 2017-02-26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"%USERPROFILE%\AppData\Local\Temp\OnboardLogs"\RTDC4004\*4004*20170227* | grep -SE "(Enforcement Action)|(\[TIMEOUT)|(CHR.+\|PRM\|1\|D.+(SWITCH|SIGNAL).+UNKNOWN)" - &gt;&gt; 2017-02-26-UncaughtWiMAX.txt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723</v>
      </c>
      <c r="B123" s="7">
        <v>4009</v>
      </c>
      <c r="C123" s="21" t="s">
        <v>285</v>
      </c>
      <c r="D123" s="21" t="s">
        <v>266</v>
      </c>
      <c r="E123" s="13">
        <v>42792.718726851854</v>
      </c>
      <c r="F123" s="13">
        <v>42792.720486111109</v>
      </c>
      <c r="G123" s="7">
        <v>1</v>
      </c>
      <c r="H123" s="21" t="s">
        <v>309</v>
      </c>
      <c r="I123" s="13">
        <v>42792.745196759257</v>
      </c>
      <c r="J123" s="7">
        <v>1</v>
      </c>
      <c r="K123" s="98" t="str">
        <f t="shared" si="21"/>
        <v>4009/4010</v>
      </c>
      <c r="L123" s="21" t="str">
        <f>VLOOKUP(A123,'Trips&amp;Operators'!$C$1:$G$99999,5,FALSE)</f>
        <v>CHANDLER KELVIN</v>
      </c>
      <c r="M123" s="6">
        <f t="shared" si="22"/>
        <v>2.47106481474475E-2</v>
      </c>
      <c r="N123" s="7">
        <f t="shared" si="23"/>
        <v>35.583333332324401</v>
      </c>
      <c r="O123" s="7"/>
      <c r="P123" s="7"/>
      <c r="Q123" s="22"/>
      <c r="R123" s="22"/>
      <c r="S123" s="31">
        <f t="shared" si="24"/>
        <v>1</v>
      </c>
      <c r="T123" s="46" t="str">
        <f t="shared" si="25"/>
        <v>NorthBound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26"/>
        <v>https://d0f6bd738d7f1b3e5a7ca70fe4ff75f0.us-east-1.aws.found.io/app/kibana#/discover/Steve-Slow-Train-Analysis-(2080s-and-2083s)?_g=(refreshInterval:(display:Off,pause:!f,section:0,value:0),time:(from:'2017-02-26T16:14:58-0700',mode:absolute,to:'2017-02-26T18:53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3" s="187" t="str">
        <f t="shared" si="27"/>
        <v>N</v>
      </c>
      <c r="X123" s="187">
        <f t="shared" si="28"/>
        <v>1</v>
      </c>
      <c r="Y123" s="62">
        <f t="shared" si="29"/>
        <v>4.4400000000000002E-2</v>
      </c>
      <c r="Z123" s="62">
        <f t="shared" si="30"/>
        <v>23.330200000000001</v>
      </c>
      <c r="AA123" s="62">
        <f t="shared" si="31"/>
        <v>23.285800000000002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2"/>
        <v>0209-26</v>
      </c>
      <c r="AE123" s="85" t="str">
        <f t="shared" si="33"/>
        <v>aws s3 cp s3://rtdc.mdm.uploadarchive.raw/RTDC4009/ "%USERPROFILE%\AppData\Local\Temp\OnboardLogs"\RTDC4009\2017-02-26 --exclude "*" --recursive --include "*20170226*" &amp; "%USERPROFILE%\Documents\GitHub\mrs-test-scripts\Headless Mode &amp; Sideloading\WalkAndUnGZ.bat" "%USERPROFILE%\AppData\Local\Temp\OnboardLogs"\RTDC4009\2017-02-26 &amp; aws s3 cp s3://rtdc.mdm.uploadarchive.raw/RTDC4009/ "%USERPROFILE%\AppData\Local\Temp\OnboardLogs"\RTDC4009\2017-02-27 --exclude "*" --recursive --include "*20170227*" &amp; "%USERPROFILE%\Documents\GitHub\mrs-test-scripts\Headless Mode &amp; Sideloading\WalkAndUnGZ.bat" "%USERPROFILE%\AppData\Local\Temp\OnboardLogs"\RTDC4009\2017-02-27</v>
      </c>
      <c r="AF123" s="82" t="str">
        <f t="shared" si="34"/>
        <v>"C:\Program Files (x86)\AstroGrep\AstroGrep.exe" /spath="%USERPROFILE%\AppData\Local\Temp\OnboardLogs" /stypes="app*4009*20170227*" /stext=" 00:.+((SYSTEM_STATE.+slice.+state.+changed )|(ment ac)|(multiple cpu faults)|(system.+state.+changed )|(\[timeout)|(PRM\|1\|D)|(kpr)|(kdp)|(\|lc)|(penalty))" /e /r /s</v>
      </c>
      <c r="AG123" s="1" t="str">
        <f t="shared" si="35"/>
        <v>EC</v>
      </c>
      <c r="AH123" s="86" t="str">
        <f t="shared" si="36"/>
        <v>"%USERPROFILE%\Documents\GitHub\eaglep3\Utilities\RefineRTDCRunTimes.py" --tripid 209-26 --locoid 4009 --swversion DE.1.0.9.0 --startMP 204:444 --initTime 2017-02-26T17:14:58 --startdatetime 2017-02-26T17:17:30 --delay 1 --endMP 204:233302 --enddatetime 2017-02-26T17:53:05 --enforcementcount 1 &gt;&gt;C:\Users\stu\Documents\GitHub\eaglep3-reporting\EC\2017-02-26-refined-times.txt</v>
      </c>
      <c r="AI123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{"issue":{"subject":"","project_id":79,"tracker_id":40,"status_id":1,"priority_id":2,"assigned_to_id":23,"start_date":"2017-02-26","description":"","custom_fields":[{"id":1,"name":"Subdivision","value":"EC"},{"id":4,"name":"Milepost","value":"23.3302"},{"id":17,"name":"Train ID","value":"209-26"},{"id":16,"name":"Locomotive ID","value":"4009"},{"id":130,"name":"Impact","value":""},{"id":150,"name":"Time of Event (Mountain Time)","value":"17:53:05"},{"id":151,"name":"Denver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38"/>
        <v>start /low /b %USERPROFILE%\Documents\GitHub\eaglep3\Utilities\DownloadLogsFromS3.py --loco 4009 --day 2017-02-26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"%USERPROFILE%\AppData\Local\Temp\OnboardLogs"\RTDC4009\*4009*20170227* | grep -SE "(Enforcement Action)|(\[TIMEOUT)|(CHR.+\|PRM\|1\|D.+(SWITCH|SIGNAL).+UNKNOWN)" - &gt;&gt; 2017-02-26-UncaughtWiMAX.txt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736</v>
      </c>
      <c r="B124" s="7">
        <v>4010</v>
      </c>
      <c r="C124" s="21" t="s">
        <v>285</v>
      </c>
      <c r="D124" s="21" t="s">
        <v>895</v>
      </c>
      <c r="E124" s="13">
        <v>42792.755810185183</v>
      </c>
      <c r="F124" s="13">
        <v>42792.758043981485</v>
      </c>
      <c r="G124" s="7">
        <v>1</v>
      </c>
      <c r="H124" s="21" t="s">
        <v>206</v>
      </c>
      <c r="I124" s="13">
        <v>42792.786006944443</v>
      </c>
      <c r="J124" s="7">
        <v>1</v>
      </c>
      <c r="K124" s="98" t="str">
        <f t="shared" si="21"/>
        <v>4009/4010</v>
      </c>
      <c r="L124" s="21" t="str">
        <f>VLOOKUP(A124,'Trips&amp;Operators'!$C$1:$G$99999,5,FALSE)</f>
        <v>CHANDLER KELVIN</v>
      </c>
      <c r="M124" s="6">
        <f t="shared" si="22"/>
        <v>2.7962962958554272E-2</v>
      </c>
      <c r="N124" s="7">
        <f t="shared" si="23"/>
        <v>40.266666660318151</v>
      </c>
      <c r="O124" s="7"/>
      <c r="P124" s="7"/>
      <c r="Q124" s="22"/>
      <c r="R124" s="22"/>
      <c r="S124" s="31">
        <f t="shared" si="24"/>
        <v>1</v>
      </c>
      <c r="T124" s="46" t="str">
        <f t="shared" si="25"/>
        <v>Southbound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26"/>
        <v>https://d0f6bd738d7f1b3e5a7ca70fe4ff75f0.us-east-1.aws.found.io/app/kibana#/discover/Steve-Slow-Train-Analysis-(2080s-and-2083s)?_g=(refreshInterval:(display:Off,pause:!f,section:0,value:0),time:(from:'2017-02-26T17:08:22-0700',mode:absolute,to:'2017-02-26T19:51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4" s="187" t="str">
        <f t="shared" si="27"/>
        <v>N</v>
      </c>
      <c r="X124" s="187">
        <f t="shared" si="28"/>
        <v>1</v>
      </c>
      <c r="Y124" s="62">
        <f t="shared" si="29"/>
        <v>23.296399999999998</v>
      </c>
      <c r="Z124" s="62">
        <f t="shared" si="30"/>
        <v>1.52E-2</v>
      </c>
      <c r="AA124" s="62">
        <f t="shared" si="31"/>
        <v>23.281199999999998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2"/>
        <v>0210-26</v>
      </c>
      <c r="AE124" s="85" t="str">
        <f t="shared" si="33"/>
        <v>aws s3 cp s3://rtdc.mdm.uploadarchive.raw/RTDC4010/ "%USERPROFILE%\AppData\Local\Temp\OnboardLogs"\RTDC4010\2017-02-26 --exclude "*" --recursive --include "*20170226*" &amp; "%USERPROFILE%\Documents\GitHub\mrs-test-scripts\Headless Mode &amp; Sideloading\WalkAndUnGZ.bat" "%USERPROFILE%\AppData\Local\Temp\OnboardLogs"\RTDC4010\2017-02-26 &amp; aws s3 cp s3://rtdc.mdm.uploadarchive.raw/RTDC4010/ "%USERPROFILE%\AppData\Local\Temp\OnboardLogs"\RTDC4010\2017-02-27 --exclude "*" --recursive --include "*20170227*" &amp; "%USERPROFILE%\Documents\GitHub\mrs-test-scripts\Headless Mode &amp; Sideloading\WalkAndUnGZ.bat" "%USERPROFILE%\AppData\Local\Temp\OnboardLogs"\RTDC4010\2017-02-27</v>
      </c>
      <c r="AF124" s="82" t="str">
        <f t="shared" si="34"/>
        <v>"C:\Program Files (x86)\AstroGrep\AstroGrep.exe" /spath="%USERPROFILE%\AppData\Local\Temp\OnboardLogs" /stypes="app*4010*20170227*" /stext=" 01:.+((SYSTEM_STATE.+slice.+state.+changed )|(ment ac)|(multiple cpu faults)|(system.+state.+changed )|(\[timeout)|(PRM\|1\|D)|(kpr)|(kdp)|(\|lc)|(penalty))" /e /r /s</v>
      </c>
      <c r="AG124" s="1" t="str">
        <f t="shared" si="35"/>
        <v>EC</v>
      </c>
      <c r="AH124" s="86" t="str">
        <f t="shared" si="36"/>
        <v>"%USERPROFILE%\Documents\GitHub\eaglep3\Utilities\RefineRTDCRunTimes.py" --tripid 210-26 --locoid 4010 --swversion DE.1.0.9.0 --startMP 204:232964 --initTime 2017-02-26T18:08:22 --startdatetime 2017-02-26T18:11:35 --delay 1 --endMP 204:152 --enddatetime 2017-02-26T18:51:51 --enforcementcount 1 &gt;&gt;C:\Users\stu\Documents\GitHub\eaglep3-reporting\EC\2017-02-26-refined-times.txt</v>
      </c>
      <c r="AI124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{"issue":{"subject":"","project_id":79,"tracker_id":40,"status_id":1,"priority_id":2,"assigned_to_id":23,"start_date":"2017-02-26","description":"","custom_fields":[{"id":1,"name":"Subdivision","value":"EC"},{"id":4,"name":"Milepost","value":"0.0152"},{"id":17,"name":"Train ID","value":"210-26"},{"id":16,"name":"Locomotive ID","value":"4010"},{"id":130,"name":"Impact","value":""},{"id":150,"name":"Time of Event (Mountain Time)","value":"18:51:51"},{"id":151,"name":"Denver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38"/>
        <v>start /low /b %USERPROFILE%\Documents\GitHub\eaglep3\Utilities\DownloadLogsFromS3.py --loco 4010 --day 2017-02-26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"%USERPROFILE%\AppData\Local\Temp\OnboardLogs"\RTDC4010\*4010*20170227* | grep -SE "(Enforcement Action)|(\[TIMEOUT)|(CHR.+\|PRM\|1\|D.+(SWITCH|SIGNAL).+UNKNOWN)" - &gt;&gt; 2017-02-26-UncaughtWiMAX.txt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567</v>
      </c>
      <c r="B125" s="7">
        <v>4011</v>
      </c>
      <c r="C125" s="21" t="s">
        <v>285</v>
      </c>
      <c r="D125" s="21" t="s">
        <v>266</v>
      </c>
      <c r="E125" s="13">
        <v>42792.724791666667</v>
      </c>
      <c r="F125" s="13">
        <v>42792.729618055557</v>
      </c>
      <c r="G125" s="7">
        <v>1</v>
      </c>
      <c r="H125" s="21" t="s">
        <v>896</v>
      </c>
      <c r="I125" s="13">
        <v>42792.755312499998</v>
      </c>
      <c r="J125" s="7">
        <v>1</v>
      </c>
      <c r="K125" s="98" t="str">
        <f t="shared" si="21"/>
        <v>4011/4012</v>
      </c>
      <c r="L125" s="21" t="str">
        <f>VLOOKUP(A125,'Trips&amp;Operators'!$C$1:$G$99999,5,FALSE)</f>
        <v>PERKINS DARREN</v>
      </c>
      <c r="M125" s="6">
        <f t="shared" si="22"/>
        <v>2.569444444088731E-2</v>
      </c>
      <c r="N125" s="7">
        <f t="shared" si="23"/>
        <v>36.999999994877726</v>
      </c>
      <c r="O125" s="7"/>
      <c r="P125" s="7"/>
      <c r="Q125" s="22"/>
      <c r="R125" s="22"/>
      <c r="S125" s="31">
        <f t="shared" si="24"/>
        <v>1</v>
      </c>
      <c r="T125" s="46" t="str">
        <f t="shared" si="25"/>
        <v>NorthBound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26"/>
        <v>https://d0f6bd738d7f1b3e5a7ca70fe4ff75f0.us-east-1.aws.found.io/app/kibana#/discover/Steve-Slow-Train-Analysis-(2080s-and-2083s)?_g=(refreshInterval:(display:Off,pause:!f,section:0,value:0),time:(from:'2017-02-26T16:23:42-0700',mode:absolute,to:'2017-02-26T19:07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5" s="187" t="str">
        <f t="shared" si="27"/>
        <v>N</v>
      </c>
      <c r="X125" s="187">
        <f t="shared" si="28"/>
        <v>1</v>
      </c>
      <c r="Y125" s="62">
        <f t="shared" si="29"/>
        <v>4.4400000000000002E-2</v>
      </c>
      <c r="Z125" s="62">
        <f t="shared" si="30"/>
        <v>23.3201</v>
      </c>
      <c r="AA125" s="62">
        <f t="shared" si="31"/>
        <v>23.275700000000001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2"/>
        <v>0211-26</v>
      </c>
      <c r="AE125" s="85" t="str">
        <f t="shared" si="33"/>
        <v>aws s3 cp s3://rtdc.mdm.uploadarchive.raw/RTDC4011/ "%USERPROFILE%\AppData\Local\Temp\OnboardLogs"\RTDC4011\2017-02-26 --exclude "*" --recursive --include "*20170226*" &amp; "%USERPROFILE%\Documents\GitHub\mrs-test-scripts\Headless Mode &amp; Sideloading\WalkAndUnGZ.bat" "%USERPROFILE%\AppData\Local\Temp\OnboardLogs"\RTDC4011\2017-02-26 &amp; aws s3 cp s3://rtdc.mdm.uploadarchive.raw/RTDC4011/ "%USERPROFILE%\AppData\Local\Temp\OnboardLogs"\RTDC4011\2017-02-27 --exclude "*" --recursive --include "*20170227*" &amp; "%USERPROFILE%\Documents\GitHub\mrs-test-scripts\Headless Mode &amp; Sideloading\WalkAndUnGZ.bat" "%USERPROFILE%\AppData\Local\Temp\OnboardLogs"\RTDC4011\2017-02-27</v>
      </c>
      <c r="AF125" s="82" t="str">
        <f t="shared" si="34"/>
        <v>"C:\Program Files (x86)\AstroGrep\AstroGrep.exe" /spath="%USERPROFILE%\AppData\Local\Temp\OnboardLogs" /stypes="app*4011*20170227*" /stext=" 01:.+((SYSTEM_STATE.+slice.+state.+changed )|(ment ac)|(multiple cpu faults)|(system.+state.+changed )|(\[timeout)|(PRM\|1\|D)|(kpr)|(kdp)|(\|lc)|(penalty))" /e /r /s</v>
      </c>
      <c r="AG125" s="1" t="str">
        <f t="shared" si="35"/>
        <v>EC</v>
      </c>
      <c r="AH125" s="86" t="str">
        <f t="shared" si="36"/>
        <v>"%USERPROFILE%\Documents\GitHub\eaglep3\Utilities\RefineRTDCRunTimes.py" --tripid 211-26 --locoid 4011 --swversion DE.1.0.9.0 --startMP 204:444 --initTime 2017-02-26T17:23:42 --startdatetime 2017-02-26T17:30:39 --delay 1 --endMP 204:233201 --enddatetime 2017-02-26T18:07:39 --enforcementcount 1 &gt;&gt;C:\Users\stu\Documents\GitHub\eaglep3-reporting\EC\2017-02-26-refined-times.txt</v>
      </c>
      <c r="AI125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{"issue":{"subject":"","project_id":79,"tracker_id":40,"status_id":1,"priority_id":2,"assigned_to_id":23,"start_date":"2017-02-26","description":"","custom_fields":[{"id":1,"name":"Subdivision","value":"EC"},{"id":4,"name":"Milepost","value":"23.3201"},{"id":17,"name":"Train ID","value":"211-26"},{"id":16,"name":"Locomotive ID","value":"4011"},{"id":130,"name":"Impact","value":""},{"id":150,"name":"Time of Event (Mountain Time)","value":"18:07:39"},{"id":151,"name":"Denver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38"/>
        <v>start /low /b %USERPROFILE%\Documents\GitHub\eaglep3\Utilities\DownloadLogsFromS3.py --loco 4011 --day 2017-02-26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"%USERPROFILE%\AppData\Local\Temp\OnboardLogs"\RTDC4011\*4011*20170227* | grep -SE "(Enforcement Action)|(\[TIMEOUT)|(CHR.+\|PRM\|1\|D.+(SWITCH|SIGNAL).+UNKNOWN)" - &gt;&gt; 2017-02-26-UncaughtWiMAX.txt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568</v>
      </c>
      <c r="B126" s="7">
        <v>4012</v>
      </c>
      <c r="C126" s="21" t="s">
        <v>285</v>
      </c>
      <c r="D126" s="21" t="s">
        <v>897</v>
      </c>
      <c r="E126" s="13">
        <v>42792.758379629631</v>
      </c>
      <c r="F126" s="13">
        <v>42792.76840277778</v>
      </c>
      <c r="G126" s="7">
        <v>1</v>
      </c>
      <c r="H126" s="21" t="s">
        <v>267</v>
      </c>
      <c r="I126" s="13">
        <v>42792.797256944446</v>
      </c>
      <c r="J126" s="7">
        <v>1</v>
      </c>
      <c r="K126" s="98" t="str">
        <f t="shared" si="21"/>
        <v>4011/4012</v>
      </c>
      <c r="L126" s="21" t="str">
        <f>VLOOKUP(A126,'Trips&amp;Operators'!$C$1:$G$99999,5,FALSE)</f>
        <v>PERKINS DARREN</v>
      </c>
      <c r="M126" s="6">
        <f t="shared" si="22"/>
        <v>2.8854166666860692E-2</v>
      </c>
      <c r="N126" s="7">
        <f t="shared" si="23"/>
        <v>41.550000000279397</v>
      </c>
      <c r="O126" s="7"/>
      <c r="P126" s="7"/>
      <c r="Q126" s="22"/>
      <c r="R126" s="22"/>
      <c r="S126" s="31">
        <f t="shared" si="24"/>
        <v>1</v>
      </c>
      <c r="T126" s="46" t="str">
        <f t="shared" si="25"/>
        <v>Southbound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26"/>
        <v>https://d0f6bd738d7f1b3e5a7ca70fe4ff75f0.us-east-1.aws.found.io/app/kibana#/discover/Steve-Slow-Train-Analysis-(2080s-and-2083s)?_g=(refreshInterval:(display:Off,pause:!f,section:0,value:0),time:(from:'2017-02-26T17:12:04-0700',mode:absolute,to:'2017-02-26T20:08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6" s="187" t="str">
        <f t="shared" si="27"/>
        <v>N</v>
      </c>
      <c r="X126" s="187">
        <f t="shared" si="28"/>
        <v>1</v>
      </c>
      <c r="Y126" s="62">
        <f t="shared" si="29"/>
        <v>23.289200000000001</v>
      </c>
      <c r="Z126" s="62">
        <f t="shared" si="30"/>
        <v>1.47E-2</v>
      </c>
      <c r="AA126" s="62">
        <f t="shared" si="31"/>
        <v>23.2745</v>
      </c>
      <c r="AB126" s="59" t="str">
        <f>VLOOKUP(A126,Enforcements!$C$7:$K$13,8,0)</f>
        <v>Bulletin (2)</v>
      </c>
      <c r="AC126" s="55" t="str">
        <f>VLOOKUP(A126,Enforcements!$C$7:$E$13,3,0)</f>
        <v>GRADE CROSSING</v>
      </c>
      <c r="AD126" s="56" t="str">
        <f t="shared" si="32"/>
        <v>0212-26</v>
      </c>
      <c r="AE126" s="85" t="str">
        <f t="shared" si="33"/>
        <v>aws s3 cp s3://rtdc.mdm.uploadarchive.raw/RTDC4012/ "%USERPROFILE%\AppData\Local\Temp\OnboardLogs"\RTDC4012\2017-02-26 --exclude "*" --recursive --include "*20170226*" &amp; "%USERPROFILE%\Documents\GitHub\mrs-test-scripts\Headless Mode &amp; Sideloading\WalkAndUnGZ.bat" "%USERPROFILE%\AppData\Local\Temp\OnboardLogs"\RTDC4012\2017-02-26 &amp; 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</v>
      </c>
      <c r="AF126" s="82" t="str">
        <f t="shared" si="34"/>
        <v>"C:\Program Files (x86)\AstroGrep\AstroGrep.exe" /spath="%USERPROFILE%\AppData\Local\Temp\OnboardLogs" /stypes="app*4012*20170227*" /stext=" 02:.+((SYSTEM_STATE.+slice.+state.+changed )|(ment ac)|(multiple cpu faults)|(system.+state.+changed )|(\[timeout)|(PRM\|1\|D)|(kpr)|(kdp)|(\|lc)|(penalty))" /e /r /s</v>
      </c>
      <c r="AG126" s="1" t="str">
        <f t="shared" si="35"/>
        <v>EC</v>
      </c>
      <c r="AH126" s="86" t="str">
        <f t="shared" si="36"/>
        <v>"%USERPROFILE%\Documents\GitHub\eaglep3\Utilities\RefineRTDCRunTimes.py" --tripid 212-26 --locoid 4012 --swversion DE.1.0.9.0 --startMP 204:232892 --initTime 2017-02-26T18:12:04 --startdatetime 2017-02-26T18:26:30 --delay 1 --endMP 204:147 --enddatetime 2017-02-26T19:08:03 --enforcementcount 1 &gt;&gt;C:\Users\stu\Documents\GitHub\eaglep3-reporting\EC\2017-02-26-refined-times.txt</v>
      </c>
      <c r="AI126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{"issue":{"subject":"","project_id":79,"tracker_id":40,"status_id":1,"priority_id":2,"assigned_to_id":23,"start_date":"2017-02-26","description":"","custom_fields":[{"id":1,"name":"Subdivision","value":"EC"},{"id":4,"name":"Milepost","value":"0.0147"},{"id":17,"name":"Train ID","value":"212-26"},{"id":16,"name":"Locomotive ID","value":"4012"},{"id":130,"name":"Impact","value":""},{"id":150,"name":"Time of Event (Mountain Time)","value":"19:08:03"},{"id":151,"name":"Denver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38"/>
        <v>start /low /b %USERPROFILE%\Documents\GitHub\eaglep3\Utilities\DownloadLogsFromS3.py --loco 4012 --day 2017-02-26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"%USERPROFILE%\AppData\Local\Temp\OnboardLogs"\RTDC4012\*4012*20170227* | grep -SE "(Enforcement Action)|(\[TIMEOUT)|(CHR.+\|PRM\|1\|D.+(SWITCH|SIGNAL).+UNKNOWN)" - &gt;&gt; 2017-02-26-UncaughtWiMAX.txt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731</v>
      </c>
      <c r="B127" s="7">
        <v>4027</v>
      </c>
      <c r="C127" s="21" t="s">
        <v>285</v>
      </c>
      <c r="D127" s="21" t="s">
        <v>898</v>
      </c>
      <c r="E127" s="13">
        <v>42792.734594907408</v>
      </c>
      <c r="F127" s="13">
        <v>42792.739756944444</v>
      </c>
      <c r="G127" s="7">
        <v>1</v>
      </c>
      <c r="H127" s="21" t="s">
        <v>321</v>
      </c>
      <c r="I127" s="13">
        <v>42792.765173611115</v>
      </c>
      <c r="J127" s="7">
        <v>1</v>
      </c>
      <c r="K127" s="98" t="str">
        <f t="shared" si="21"/>
        <v>4027/4028</v>
      </c>
      <c r="L127" s="21" t="str">
        <f>VLOOKUP(A127,'Trips&amp;Operators'!$C$1:$G$99999,5,FALSE)</f>
        <v>NEWELL JAMES</v>
      </c>
      <c r="M127" s="6">
        <f t="shared" si="22"/>
        <v>2.5416666670935228E-2</v>
      </c>
      <c r="N127" s="7">
        <f t="shared" si="23"/>
        <v>36.600000006146729</v>
      </c>
      <c r="O127" s="7"/>
      <c r="P127" s="7"/>
      <c r="Q127" s="22"/>
      <c r="R127" s="22"/>
      <c r="S127" s="31">
        <f t="shared" si="24"/>
        <v>1</v>
      </c>
      <c r="T127" s="46" t="str">
        <f t="shared" si="25"/>
        <v>NorthBound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26"/>
        <v>https://d0f6bd738d7f1b3e5a7ca70fe4ff75f0.us-east-1.aws.found.io/app/kibana#/discover/Steve-Slow-Train-Analysis-(2080s-and-2083s)?_g=(refreshInterval:(display:Off,pause:!f,section:0,value:0),time:(from:'2017-02-26T16:37:49-0700',mode:absolute,to:'2017-02-26T19:21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7" s="187" t="str">
        <f t="shared" si="27"/>
        <v>N</v>
      </c>
      <c r="X127" s="187">
        <f t="shared" si="28"/>
        <v>1</v>
      </c>
      <c r="Y127" s="62">
        <f t="shared" si="29"/>
        <v>4.8800000000000003E-2</v>
      </c>
      <c r="Z127" s="62">
        <f t="shared" si="30"/>
        <v>23.330400000000001</v>
      </c>
      <c r="AA127" s="62">
        <f t="shared" si="31"/>
        <v>23.281600000000001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2"/>
        <v>0213-26</v>
      </c>
      <c r="AE127" s="85" t="str">
        <f t="shared" si="33"/>
        <v>aws s3 cp s3://rtdc.mdm.uploadarchive.raw/RTDC4027/ "%USERPROFILE%\AppData\Local\Temp\OnboardLogs"\RTDC4027\2017-02-26 --exclude "*" --recursive --include "*20170226*" &amp; "%USERPROFILE%\Documents\GitHub\mrs-test-scripts\Headless Mode &amp; Sideloading\WalkAndUnGZ.bat" "%USERPROFILE%\AppData\Local\Temp\OnboardLogs"\RTDC4027\2017-02-26 &amp; aws s3 cp s3://rtdc.mdm.uploadarchive.raw/RTDC4027/ "%USERPROFILE%\AppData\Local\Temp\OnboardLogs"\RTDC4027\2017-02-27 --exclude "*" --recursive --include "*20170227*" &amp; "%USERPROFILE%\Documents\GitHub\mrs-test-scripts\Headless Mode &amp; Sideloading\WalkAndUnGZ.bat" "%USERPROFILE%\AppData\Local\Temp\OnboardLogs"\RTDC4027\2017-02-27</v>
      </c>
      <c r="AF127" s="82" t="str">
        <f t="shared" si="34"/>
        <v>"C:\Program Files (x86)\AstroGrep\AstroGrep.exe" /spath="%USERPROFILE%\AppData\Local\Temp\OnboardLogs" /stypes="app*4027*20170227*" /stext=" 01:.+((SYSTEM_STATE.+slice.+state.+changed )|(ment ac)|(multiple cpu faults)|(system.+state.+changed )|(\[timeout)|(PRM\|1\|D)|(kpr)|(kdp)|(\|lc)|(penalty))" /e /r /s</v>
      </c>
      <c r="AG127" s="1" t="str">
        <f t="shared" si="35"/>
        <v>EC</v>
      </c>
      <c r="AH127" s="86" t="str">
        <f t="shared" si="36"/>
        <v>"%USERPROFILE%\Documents\GitHub\eaglep3\Utilities\RefineRTDCRunTimes.py" --tripid 213-26 --locoid 4027 --swversion DE.1.0.9.0 --startMP 204:488 --initTime 2017-02-26T17:37:49 --startdatetime 2017-02-26T17:45:15 --delay 1 --endMP 204:233304 --enddatetime 2017-02-26T18:21:51 --enforcementcount 1 &gt;&gt;C:\Users\stu\Documents\GitHub\eaglep3-reporting\EC\2017-02-26-refined-times.txt</v>
      </c>
      <c r="AI127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{"issue":{"subject":"","project_id":79,"tracker_id":40,"status_id":1,"priority_id":2,"assigned_to_id":23,"start_date":"2017-02-26","description":"","custom_fields":[{"id":1,"name":"Subdivision","value":"EC"},{"id":4,"name":"Milepost","value":"23.3304"},{"id":17,"name":"Train ID","value":"213-26"},{"id":16,"name":"Locomotive ID","value":"4027"},{"id":130,"name":"Impact","value":""},{"id":150,"name":"Time of Event (Mountain Time)","value":"18:21:51"},{"id":151,"name":"Denver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38"/>
        <v>start /low /b %USERPROFILE%\Documents\GitHub\eaglep3\Utilities\DownloadLogsFromS3.py --loco 4027 --day 2017-02-26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"%USERPROFILE%\AppData\Local\Temp\OnboardLogs"\RTDC4027\*4027*20170227* | grep -SE "(Enforcement Action)|(\[TIMEOUT)|(CHR.+\|PRM\|1\|D.+(SWITCH|SIGNAL).+UNKNOWN)" - &gt;&gt; 2017-02-26-UncaughtWiMAX.txt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570</v>
      </c>
      <c r="B128" s="7">
        <v>4028</v>
      </c>
      <c r="C128" s="21" t="s">
        <v>285</v>
      </c>
      <c r="D128" s="21" t="s">
        <v>892</v>
      </c>
      <c r="E128" s="13">
        <v>42792.770844907405</v>
      </c>
      <c r="F128" s="13">
        <v>42792.778680555559</v>
      </c>
      <c r="G128" s="7">
        <v>1</v>
      </c>
      <c r="H128" s="21" t="s">
        <v>194</v>
      </c>
      <c r="I128" s="13">
        <v>42792.805995370371</v>
      </c>
      <c r="J128" s="7">
        <v>1</v>
      </c>
      <c r="K128" s="98" t="str">
        <f t="shared" si="21"/>
        <v>4027/4028</v>
      </c>
      <c r="L128" s="21" t="str">
        <f>VLOOKUP(A128,'Trips&amp;Operators'!$C$1:$G$99999,5,FALSE)</f>
        <v>NEWELL JAMES</v>
      </c>
      <c r="M128" s="6">
        <f t="shared" si="22"/>
        <v>2.7314814811688848E-2</v>
      </c>
      <c r="N128" s="7">
        <f t="shared" si="23"/>
        <v>39.333333328831941</v>
      </c>
      <c r="O128" s="7"/>
      <c r="P128" s="7"/>
      <c r="Q128" s="22"/>
      <c r="R128" s="22"/>
      <c r="S128" s="31">
        <f t="shared" si="24"/>
        <v>1</v>
      </c>
      <c r="T128" s="46" t="str">
        <f t="shared" si="25"/>
        <v>Southbound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26"/>
        <v>https://d0f6bd738d7f1b3e5a7ca70fe4ff75f0.us-east-1.aws.found.io/app/kibana#/discover/Steve-Slow-Train-Analysis-(2080s-and-2083s)?_g=(refreshInterval:(display:Off,pause:!f,section:0,value:0),time:(from:'2017-02-26T17:30:01-0700',mode:absolute,to:'2017-02-26T20:20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8" s="187" t="str">
        <f t="shared" si="27"/>
        <v>N</v>
      </c>
      <c r="X128" s="187">
        <f t="shared" si="28"/>
        <v>1</v>
      </c>
      <c r="Y128" s="62">
        <f t="shared" si="29"/>
        <v>23.2989</v>
      </c>
      <c r="Z128" s="62">
        <f t="shared" si="30"/>
        <v>1.4999999999999999E-2</v>
      </c>
      <c r="AA128" s="62">
        <f t="shared" si="31"/>
        <v>23.283899999999999</v>
      </c>
      <c r="AB128" s="59" t="str">
        <f>VLOOKUP(A128,Enforcements!$C$7:$K$13,8,0)</f>
        <v>Bulletin (2)</v>
      </c>
      <c r="AC128" s="55" t="str">
        <f>VLOOKUP(A128,Enforcements!$C$7:$E$13,3,0)</f>
        <v>GRADE CROSSING</v>
      </c>
      <c r="AD128" s="56" t="str">
        <f t="shared" si="32"/>
        <v>0214-26</v>
      </c>
      <c r="AE128" s="85" t="str">
        <f t="shared" si="33"/>
        <v>aws s3 cp s3://rtdc.mdm.uploadarchive.raw/RTDC4028/ "%USERPROFILE%\AppData\Local\Temp\OnboardLogs"\RTDC4028\2017-02-26 --exclude "*" --recursive --include "*20170226*" &amp; "%USERPROFILE%\Documents\GitHub\mrs-test-scripts\Headless Mode &amp; Sideloading\WalkAndUnGZ.bat" "%USERPROFILE%\AppData\Local\Temp\OnboardLogs"\RTDC4028\2017-02-26 &amp; aws s3 cp s3://rtdc.mdm.uploadarchive.raw/RTDC4028/ "%USERPROFILE%\AppData\Local\Temp\OnboardLogs"\RTDC4028\2017-02-27 --exclude "*" --recursive --include "*20170227*" &amp; "%USERPROFILE%\Documents\GitHub\mrs-test-scripts\Headless Mode &amp; Sideloading\WalkAndUnGZ.bat" "%USERPROFILE%\AppData\Local\Temp\OnboardLogs"\RTDC4028\2017-02-27</v>
      </c>
      <c r="AF128" s="82" t="str">
        <f t="shared" si="34"/>
        <v>"C:\Program Files (x86)\AstroGrep\AstroGrep.exe" /spath="%USERPROFILE%\AppData\Local\Temp\OnboardLogs" /stypes="app*4028*20170227*" /stext=" 02:.+((SYSTEM_STATE.+slice.+state.+changed )|(ment ac)|(multiple cpu faults)|(system.+state.+changed )|(\[timeout)|(PRM\|1\|D)|(kpr)|(kdp)|(\|lc)|(penalty))" /e /r /s</v>
      </c>
      <c r="AG128" s="1" t="str">
        <f t="shared" si="35"/>
        <v>EC</v>
      </c>
      <c r="AH128" s="86" t="str">
        <f t="shared" si="36"/>
        <v>"%USERPROFILE%\Documents\GitHub\eaglep3\Utilities\RefineRTDCRunTimes.py" --tripid 214-26 --locoid 4028 --swversion DE.1.0.9.0 --startMP 204:232989 --initTime 2017-02-26T18:30:01 --startdatetime 2017-02-26T18:41:18 --delay 1 --endMP 204:150 --enddatetime 2017-02-26T19:20:38 --enforcementcount 1 &gt;&gt;C:\Users\stu\Documents\GitHub\eaglep3-reporting\EC\2017-02-26-refined-times.txt</v>
      </c>
      <c r="AI128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{"issue":{"subject":"","project_id":79,"tracker_id":40,"status_id":1,"priority_id":2,"assigned_to_id":23,"start_date":"2017-02-26","description":"","custom_fields":[{"id":1,"name":"Subdivision","value":"EC"},{"id":4,"name":"Milepost","value":"0.015"},{"id":17,"name":"Train ID","value":"214-26"},{"id":16,"name":"Locomotive ID","value":"4028"},{"id":130,"name":"Impact","value":""},{"id":150,"name":"Time of Event (Mountain Time)","value":"19:20:38"},{"id":151,"name":"Denver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38"/>
        <v>start /low /b %USERPROFILE%\Documents\GitHub\eaglep3\Utilities\DownloadLogsFromS3.py --loco 4028 --day 2017-02-26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"%USERPROFILE%\AppData\Local\Temp\OnboardLogs"\RTDC4028\*4028*20170227* | grep -SE "(Enforcement Action)|(\[TIMEOUT)|(CHR.+\|PRM\|1\|D.+(SWITCH|SIGNAL).+UNKNOWN)" - &gt;&gt; 2017-02-26-UncaughtWiMAX.txt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734</v>
      </c>
      <c r="B129" s="7">
        <v>4018</v>
      </c>
      <c r="C129" s="21" t="s">
        <v>285</v>
      </c>
      <c r="D129" s="21" t="s">
        <v>385</v>
      </c>
      <c r="E129" s="13">
        <v>42792.745752314811</v>
      </c>
      <c r="F129" s="13">
        <v>42792.750185185185</v>
      </c>
      <c r="G129" s="7">
        <v>2</v>
      </c>
      <c r="H129" s="21" t="s">
        <v>899</v>
      </c>
      <c r="I129" s="13">
        <v>42792.776550925926</v>
      </c>
      <c r="J129" s="7">
        <v>1</v>
      </c>
      <c r="K129" s="98" t="str">
        <f t="shared" si="21"/>
        <v>4017/4018</v>
      </c>
      <c r="L129" s="21" t="str">
        <f>VLOOKUP(A129,'Trips&amp;Operators'!$C$1:$G$99999,5,FALSE)</f>
        <v>KILLION DAVID</v>
      </c>
      <c r="M129" s="6">
        <f t="shared" si="22"/>
        <v>2.6365740741312038E-2</v>
      </c>
      <c r="N129" s="7">
        <f t="shared" si="23"/>
        <v>37.966666667489335</v>
      </c>
      <c r="O129" s="7"/>
      <c r="P129" s="7"/>
      <c r="Q129" s="22"/>
      <c r="R129" s="22"/>
      <c r="S129" s="31">
        <f t="shared" si="24"/>
        <v>1</v>
      </c>
      <c r="T129" s="46" t="str">
        <f t="shared" si="25"/>
        <v>NorthBound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26"/>
        <v>https://d0f6bd738d7f1b3e5a7ca70fe4ff75f0.us-east-1.aws.found.io/app/kibana#/discover/Steve-Slow-Train-Analysis-(2080s-and-2083s)?_g=(refreshInterval:(display:Off,pause:!f,section:0,value:0),time:(from:'2017-02-26T16:53:53-0700',mode:absolute,to:'2017-02-26T19:38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9" s="187" t="str">
        <f t="shared" si="27"/>
        <v>N</v>
      </c>
      <c r="X129" s="187">
        <f t="shared" si="28"/>
        <v>1</v>
      </c>
      <c r="Y129" s="62">
        <f t="shared" si="29"/>
        <v>4.7300000000000002E-2</v>
      </c>
      <c r="Z129" s="62">
        <f t="shared" si="30"/>
        <v>23.328600000000002</v>
      </c>
      <c r="AA129" s="62">
        <f t="shared" si="31"/>
        <v>23.281300000000002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2"/>
        <v>0215-26</v>
      </c>
      <c r="AE129" s="85" t="str">
        <f t="shared" si="33"/>
        <v>aws s3 cp s3://rtdc.mdm.uploadarchive.raw/RTDC4018/ "%USERPROFILE%\AppData\Local\Temp\OnboardLogs"\RTDC4018\2017-02-26 --exclude "*" --recursive --include "*20170226*" &amp; "%USERPROFILE%\Documents\GitHub\mrs-test-scripts\Headless Mode &amp; Sideloading\WalkAndUnGZ.bat" "%USERPROFILE%\AppData\Local\Temp\OnboardLogs"\RTDC4018\2017-02-26 &amp; aws s3 cp s3://rtdc.mdm.uploadarchive.raw/RTDC4018/ "%USERPROFILE%\AppData\Local\Temp\OnboardLogs"\RTDC4018\2017-02-27 --exclude "*" --recursive --include "*20170227*" &amp; "%USERPROFILE%\Documents\GitHub\mrs-test-scripts\Headless Mode &amp; Sideloading\WalkAndUnGZ.bat" "%USERPROFILE%\AppData\Local\Temp\OnboardLogs"\RTDC4018\2017-02-27</v>
      </c>
      <c r="AF129" s="82" t="str">
        <f t="shared" si="34"/>
        <v>"C:\Program Files (x86)\AstroGrep\AstroGrep.exe" /spath="%USERPROFILE%\AppData\Local\Temp\OnboardLogs" /stypes="app*4018*20170227*" /stext=" 01:.+((SYSTEM_STATE.+slice.+state.+changed )|(ment ac)|(multiple cpu faults)|(system.+state.+changed )|(\[timeout)|(PRM\|1\|D)|(kpr)|(kdp)|(\|lc)|(penalty))" /e /r /s</v>
      </c>
      <c r="AG129" s="1" t="str">
        <f t="shared" si="35"/>
        <v>EC</v>
      </c>
      <c r="AH129" s="86" t="str">
        <f t="shared" si="36"/>
        <v>"%USERPROFILE%\Documents\GitHub\eaglep3\Utilities\RefineRTDCRunTimes.py" --tripid 215-26 --locoid 4018 --swversion DE.1.0.9.0 --startMP 204:473 --initTime 2017-02-26T17:53:53 --startdatetime 2017-02-26T18:00:16 --delay 2 --endMP 204:233286 --enddatetime 2017-02-26T18:38:14 --enforcementcount 1 &gt;&gt;C:\Users\stu\Documents\GitHub\eaglep3-reporting\EC\2017-02-26-refined-times.txt</v>
      </c>
      <c r="AI129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{"issue":{"subject":"","project_id":79,"tracker_id":40,"status_id":1,"priority_id":2,"assigned_to_id":23,"start_date":"2017-02-26","description":"","custom_fields":[{"id":1,"name":"Subdivision","value":"EC"},{"id":4,"name":"Milepost","value":"23.3286"},{"id":17,"name":"Train ID","value":"215-26"},{"id":16,"name":"Locomotive ID","value":"4018"},{"id":130,"name":"Impact","value":""},{"id":150,"name":"Time of Event (Mountain Time)","value":"18:38:14"},{"id":151,"name":"Denver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38"/>
        <v>start /low /b %USERPROFILE%\Documents\GitHub\eaglep3\Utilities\DownloadLogsFromS3.py --loco 4018 --day 2017-02-26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"%USERPROFILE%\AppData\Local\Temp\OnboardLogs"\RTDC4018\*4018*20170227* | grep -SE "(Enforcement Action)|(\[TIMEOUT)|(CHR.+\|PRM\|1\|D.+(SWITCH|SIGNAL).+UNKNOWN)" - &gt;&gt; 2017-02-26-UncaughtWiMAX.txt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743</v>
      </c>
      <c r="B130" s="7">
        <v>4017</v>
      </c>
      <c r="C130" s="21" t="s">
        <v>285</v>
      </c>
      <c r="D130" s="21" t="s">
        <v>830</v>
      </c>
      <c r="E130" s="13">
        <v>42792.784699074073</v>
      </c>
      <c r="F130" s="13">
        <v>42792.789178240739</v>
      </c>
      <c r="G130" s="7">
        <v>1</v>
      </c>
      <c r="H130" s="21" t="s">
        <v>203</v>
      </c>
      <c r="I130" s="13">
        <v>42792.816284722219</v>
      </c>
      <c r="J130" s="7">
        <v>1</v>
      </c>
      <c r="K130" s="98" t="str">
        <f t="shared" si="21"/>
        <v>4017/4018</v>
      </c>
      <c r="L130" s="21" t="str">
        <f>VLOOKUP(A130,'Trips&amp;Operators'!$C$1:$G$99999,5,FALSE)</f>
        <v>KILLION DAVID</v>
      </c>
      <c r="M130" s="6">
        <f t="shared" si="22"/>
        <v>2.7106481480586808E-2</v>
      </c>
      <c r="N130" s="7">
        <f t="shared" si="23"/>
        <v>39.033333332045004</v>
      </c>
      <c r="O130" s="7"/>
      <c r="P130" s="7"/>
      <c r="Q130" s="22"/>
      <c r="R130" s="22"/>
      <c r="S130" s="31">
        <f t="shared" si="24"/>
        <v>1</v>
      </c>
      <c r="T130" s="46" t="str">
        <f t="shared" si="25"/>
        <v>Southbound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26"/>
        <v>https://d0f6bd738d7f1b3e5a7ca70fe4ff75f0.us-east-1.aws.found.io/app/kibana#/discover/Steve-Slow-Train-Analysis-(2080s-and-2083s)?_g=(refreshInterval:(display:Off,pause:!f,section:0,value:0),time:(from:'2017-02-26T17:49:58-0700',mode:absolute,to:'2017-02-26T20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0" s="187" t="str">
        <f t="shared" si="27"/>
        <v>N</v>
      </c>
      <c r="X130" s="187">
        <f t="shared" si="28"/>
        <v>1</v>
      </c>
      <c r="Y130" s="62">
        <f t="shared" si="29"/>
        <v>23.297499999999999</v>
      </c>
      <c r="Z130" s="62">
        <f t="shared" si="30"/>
        <v>1.6E-2</v>
      </c>
      <c r="AA130" s="62">
        <f t="shared" si="31"/>
        <v>23.281500000000001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2"/>
        <v>0216-26</v>
      </c>
      <c r="AE130" s="85" t="str">
        <f t="shared" si="33"/>
        <v>aws s3 cp s3://rtdc.mdm.uploadarchive.raw/RTDC4017/ "%USERPROFILE%\AppData\Local\Temp\OnboardLogs"\RTDC4017\2017-02-26 --exclude "*" --recursive --include "*20170226*" &amp; "%USERPROFILE%\Documents\GitHub\mrs-test-scripts\Headless Mode &amp; Sideloading\WalkAndUnGZ.bat" "%USERPROFILE%\AppData\Local\Temp\OnboardLogs"\RTDC4017\2017-02-26 &amp; aws s3 cp s3://rtdc.mdm.uploadarchive.raw/RTDC4017/ "%USERPROFILE%\AppData\Local\Temp\OnboardLogs"\RTDC4017\2017-02-27 --exclude "*" --recursive --include "*20170227*" &amp; "%USERPROFILE%\Documents\GitHub\mrs-test-scripts\Headless Mode &amp; Sideloading\WalkAndUnGZ.bat" "%USERPROFILE%\AppData\Local\Temp\OnboardLogs"\RTDC4017\2017-02-27</v>
      </c>
      <c r="AF130" s="82" t="str">
        <f t="shared" si="34"/>
        <v>"C:\Program Files (x86)\AstroGrep\AstroGrep.exe" /spath="%USERPROFILE%\AppData\Local\Temp\OnboardLogs" /stypes="app*4017*20170227*" /stext=" 02:.+((SYSTEM_STATE.+slice.+state.+changed )|(ment ac)|(multiple cpu faults)|(system.+state.+changed )|(\[timeout)|(PRM\|1\|D)|(kpr)|(kdp)|(\|lc)|(penalty))" /e /r /s</v>
      </c>
      <c r="AG130" s="1" t="str">
        <f t="shared" si="35"/>
        <v>EC</v>
      </c>
      <c r="AH130" s="86" t="str">
        <f t="shared" si="36"/>
        <v>"%USERPROFILE%\Documents\GitHub\eaglep3\Utilities\RefineRTDCRunTimes.py" --tripid 216-26 --locoid 4017 --swversion DE.1.0.9.0 --startMP 204:232975 --initTime 2017-02-26T18:49:58 --startdatetime 2017-02-26T18:56:25 --delay 1 --endMP 204:160 --enddatetime 2017-02-26T19:35:27 --enforcementcount 1 &gt;&gt;C:\Users\stu\Documents\GitHub\eaglep3-reporting\EC\2017-02-26-refined-times.txt</v>
      </c>
      <c r="AI130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{"issue":{"subject":"","project_id":79,"tracker_id":40,"status_id":1,"priority_id":2,"assigned_to_id":23,"start_date":"2017-02-26","description":"","custom_fields":[{"id":1,"name":"Subdivision","value":"EC"},{"id":4,"name":"Milepost","value":"0.016"},{"id":17,"name":"Train ID","value":"216-26"},{"id":16,"name":"Locomotive ID","value":"4017"},{"id":130,"name":"Impact","value":""},{"id":150,"name":"Time of Event (Mountain Time)","value":"19:35:27"},{"id":151,"name":"Denver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38"/>
        <v>start /low /b %USERPROFILE%\Documents\GitHub\eaglep3\Utilities\DownloadLogsFromS3.py --loco 4017 --day 2017-02-26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"%USERPROFILE%\AppData\Local\Temp\OnboardLogs"\RTDC4017\*4017*20170227* | grep -SE "(Enforcement Action)|(\[TIMEOUT)|(CHR.+\|PRM\|1\|D.+(SWITCH|SIGNAL).+UNKNOWN)" - &gt;&gt; 2017-02-26-UncaughtWiMAX.txt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737</v>
      </c>
      <c r="B131" s="7">
        <v>4053</v>
      </c>
      <c r="C131" s="21" t="s">
        <v>285</v>
      </c>
      <c r="D131" s="21" t="s">
        <v>878</v>
      </c>
      <c r="E131" s="13">
        <v>42792.757337962961</v>
      </c>
      <c r="F131" s="13">
        <v>42792.760682870372</v>
      </c>
      <c r="G131" s="7">
        <v>3</v>
      </c>
      <c r="H131" s="21" t="s">
        <v>387</v>
      </c>
      <c r="I131" s="13">
        <v>42792.786192129628</v>
      </c>
      <c r="J131" s="7">
        <v>1</v>
      </c>
      <c r="K131" s="98" t="str">
        <f t="shared" si="21"/>
        <v>4053/4054</v>
      </c>
      <c r="L131" s="21" t="str">
        <f>VLOOKUP(A131,'Trips&amp;Operators'!$C$1:$G$99999,5,FALSE)</f>
        <v>SAFIEF AEIMEN</v>
      </c>
      <c r="M131" s="6">
        <f t="shared" si="22"/>
        <v>2.5509259256068617E-2</v>
      </c>
      <c r="N131" s="7">
        <f t="shared" si="23"/>
        <v>36.733333328738809</v>
      </c>
      <c r="O131" s="7"/>
      <c r="P131" s="7"/>
      <c r="Q131" s="22"/>
      <c r="R131" s="22"/>
      <c r="S131" s="31">
        <f t="shared" si="24"/>
        <v>1</v>
      </c>
      <c r="T131" s="46" t="str">
        <f t="shared" si="25"/>
        <v>NorthBound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26"/>
        <v>https://d0f6bd738d7f1b3e5a7ca70fe4ff75f0.us-east-1.aws.found.io/app/kibana#/discover/Steve-Slow-Train-Analysis-(2080s-and-2083s)?_g=(refreshInterval:(display:Off,pause:!f,section:0,value:0),time:(from:'2017-02-26T17:10:34-0700',mode:absolute,to:'2017-02-26T19:52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1" s="187" t="str">
        <f t="shared" si="27"/>
        <v>N</v>
      </c>
      <c r="X131" s="187">
        <f t="shared" si="28"/>
        <v>1</v>
      </c>
      <c r="Y131" s="62">
        <f t="shared" si="29"/>
        <v>4.3499999999999997E-2</v>
      </c>
      <c r="Z131" s="62">
        <f t="shared" si="30"/>
        <v>23.328299999999999</v>
      </c>
      <c r="AA131" s="62">
        <f t="shared" si="31"/>
        <v>23.284799999999997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2"/>
        <v>0217-26</v>
      </c>
      <c r="AE131" s="85" t="str">
        <f t="shared" si="33"/>
        <v>aws s3 cp s3://rtdc.mdm.uploadarchive.raw/RTDC4053/ "%USERPROFILE%\AppData\Local\Temp\OnboardLogs"\RTDC4053\2017-02-26 --exclude "*" --recursive --include "*20170226*" &amp; "%USERPROFILE%\Documents\GitHub\mrs-test-scripts\Headless Mode &amp; Sideloading\WalkAndUnGZ.bat" "%USERPROFILE%\AppData\Local\Temp\OnboardLogs"\RTDC4053\2017-02-26 &amp; aws s3 cp s3://rtdc.mdm.uploadarchive.raw/RTDC4053/ "%USERPROFILE%\AppData\Local\Temp\OnboardLogs"\RTDC4053\2017-02-27 --exclude "*" --recursive --include "*20170227*" &amp; "%USERPROFILE%\Documents\GitHub\mrs-test-scripts\Headless Mode &amp; Sideloading\WalkAndUnGZ.bat" "%USERPROFILE%\AppData\Local\Temp\OnboardLogs"\RTDC4053\2017-02-27</v>
      </c>
      <c r="AF131" s="82" t="str">
        <f t="shared" si="34"/>
        <v>"C:\Program Files (x86)\AstroGrep\AstroGrep.exe" /spath="%USERPROFILE%\AppData\Local\Temp\OnboardLogs" /stypes="app*4053*20170227*" /stext=" 01:.+((SYSTEM_STATE.+slice.+state.+changed )|(ment ac)|(multiple cpu faults)|(system.+state.+changed )|(\[timeout)|(PRM\|1\|D)|(kpr)|(kdp)|(\|lc)|(penalty))" /e /r /s</v>
      </c>
      <c r="AG131" s="1" t="str">
        <f t="shared" si="35"/>
        <v>EC</v>
      </c>
      <c r="AH131" s="86" t="str">
        <f t="shared" si="36"/>
        <v>"%USERPROFILE%\Documents\GitHub\eaglep3\Utilities\RefineRTDCRunTimes.py" --tripid 217-26 --locoid 4053 --swversion DE.1.0.9.0 --startMP 204:435 --initTime 2017-02-26T18:10:34 --startdatetime 2017-02-26T18:15:23 --delay 3 --endMP 204:233283 --enddatetime 2017-02-26T18:52:07 --enforcementcount 1 &gt;&gt;C:\Users\stu\Documents\GitHub\eaglep3-reporting\EC\2017-02-26-refined-times.txt</v>
      </c>
      <c r="AI131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{"issue":{"subject":"","project_id":79,"tracker_id":40,"status_id":1,"priority_id":2,"assigned_to_id":23,"start_date":"2017-02-26","description":"","custom_fields":[{"id":1,"name":"Subdivision","value":"EC"},{"id":4,"name":"Milepost","value":"23.3283"},{"id":17,"name":"Train ID","value":"217-26"},{"id":16,"name":"Locomotive ID","value":"4053"},{"id":130,"name":"Impact","value":""},{"id":150,"name":"Time of Event (Mountain Time)","value":"18:52:07"},{"id":151,"name":"Denver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38"/>
        <v>start /low /b %USERPROFILE%\Documents\GitHub\eaglep3\Utilities\DownloadLogsFromS3.py --loco 4053 --day 2017-02-26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"%USERPROFILE%\AppData\Local\Temp\OnboardLogs"\RTDC4053\*4053*20170227* | grep -SE "(Enforcement Action)|(\[TIMEOUT)|(CHR.+\|PRM\|1\|D.+(SWITCH|SIGNAL).+UNKNOWN)" - &gt;&gt; 2017-02-26-UncaughtWiMAX.txt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744</v>
      </c>
      <c r="B132" s="7">
        <v>4054</v>
      </c>
      <c r="C132" s="21" t="s">
        <v>285</v>
      </c>
      <c r="D132" s="21" t="s">
        <v>373</v>
      </c>
      <c r="E132" s="13">
        <v>42792.788969907408</v>
      </c>
      <c r="F132" s="13">
        <v>42792.799513888887</v>
      </c>
      <c r="G132" s="7">
        <v>2</v>
      </c>
      <c r="H132" s="21" t="s">
        <v>206</v>
      </c>
      <c r="I132" s="13">
        <v>42792.827303240738</v>
      </c>
      <c r="J132" s="7">
        <v>1</v>
      </c>
      <c r="K132" s="98" t="str">
        <f t="shared" si="21"/>
        <v>4053/4054</v>
      </c>
      <c r="L132" s="21" t="str">
        <f>VLOOKUP(A132,'Trips&amp;Operators'!$C$1:$G$99999,5,FALSE)</f>
        <v>SAFIEF AEIMEN</v>
      </c>
      <c r="M132" s="6">
        <f t="shared" si="22"/>
        <v>2.7789351850515231E-2</v>
      </c>
      <c r="N132" s="7">
        <f t="shared" si="23"/>
        <v>40.016666664741933</v>
      </c>
      <c r="O132" s="7"/>
      <c r="P132" s="7"/>
      <c r="Q132" s="22"/>
      <c r="R132" s="22"/>
      <c r="S132" s="31">
        <f t="shared" si="24"/>
        <v>1</v>
      </c>
      <c r="T132" s="46" t="str">
        <f t="shared" si="25"/>
        <v>Southbound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26"/>
        <v>https://d0f6bd738d7f1b3e5a7ca70fe4ff75f0.us-east-1.aws.found.io/app/kibana#/discover/Steve-Slow-Train-Analysis-(2080s-and-2083s)?_g=(refreshInterval:(display:Off,pause:!f,section:0,value:0),time:(from:'2017-02-26T17:56:07-0700',mode:absolute,to:'2017-02-26T20:51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2" s="187" t="str">
        <f t="shared" si="27"/>
        <v>N</v>
      </c>
      <c r="X132" s="187">
        <f t="shared" si="28"/>
        <v>1</v>
      </c>
      <c r="Y132" s="62">
        <f t="shared" si="29"/>
        <v>23.297699999999999</v>
      </c>
      <c r="Z132" s="62">
        <f t="shared" si="30"/>
        <v>1.52E-2</v>
      </c>
      <c r="AA132" s="62">
        <f t="shared" si="31"/>
        <v>23.282499999999999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2"/>
        <v>0218-26</v>
      </c>
      <c r="AE132" s="85" t="str">
        <f t="shared" si="33"/>
        <v>aws s3 cp s3://rtdc.mdm.uploadarchive.raw/RTDC4054/ "%USERPROFILE%\AppData\Local\Temp\OnboardLogs"\RTDC4054\2017-02-26 --exclude "*" --recursive --include "*20170226*" &amp; "%USERPROFILE%\Documents\GitHub\mrs-test-scripts\Headless Mode &amp; Sideloading\WalkAndUnGZ.bat" "%USERPROFILE%\AppData\Local\Temp\OnboardLogs"\RTDC4054\2017-02-26 &amp; aws s3 cp s3://rtdc.mdm.uploadarchive.raw/RTDC4054/ "%USERPROFILE%\AppData\Local\Temp\OnboardLogs"\RTDC4054\2017-02-27 --exclude "*" --recursive --include "*20170227*" &amp; "%USERPROFILE%\Documents\GitHub\mrs-test-scripts\Headless Mode &amp; Sideloading\WalkAndUnGZ.bat" "%USERPROFILE%\AppData\Local\Temp\OnboardLogs"\RTDC4054\2017-02-27</v>
      </c>
      <c r="AF132" s="82" t="str">
        <f t="shared" si="34"/>
        <v>"C:\Program Files (x86)\AstroGrep\AstroGrep.exe" /spath="%USERPROFILE%\AppData\Local\Temp\OnboardLogs" /stypes="app*4054*20170227*" /stext=" 02:.+((SYSTEM_STATE.+slice.+state.+changed )|(ment ac)|(multiple cpu faults)|(system.+state.+changed )|(\[timeout)|(PRM\|1\|D)|(kpr)|(kdp)|(\|lc)|(penalty))" /e /r /s</v>
      </c>
      <c r="AG132" s="1" t="str">
        <f t="shared" si="35"/>
        <v>EC</v>
      </c>
      <c r="AH132" s="86" t="str">
        <f t="shared" si="36"/>
        <v>"%USERPROFILE%\Documents\GitHub\eaglep3\Utilities\RefineRTDCRunTimes.py" --tripid 218-26 --locoid 4054 --swversion DE.1.0.9.0 --startMP 204:232977 --initTime 2017-02-26T18:56:07 --startdatetime 2017-02-26T19:11:18 --delay 2 --endMP 204:152 --enddatetime 2017-02-26T19:51:19 --enforcementcount 1 &gt;&gt;C:\Users\stu\Documents\GitHub\eaglep3-reporting\EC\2017-02-26-refined-times.txt</v>
      </c>
      <c r="AI132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{"issue":{"subject":"","project_id":79,"tracker_id":40,"status_id":1,"priority_id":2,"assigned_to_id":23,"start_date":"2017-02-26","description":"","custom_fields":[{"id":1,"name":"Subdivision","value":"EC"},{"id":4,"name":"Milepost","value":"0.0152"},{"id":17,"name":"Train ID","value":"218-26"},{"id":16,"name":"Locomotive ID","value":"4054"},{"id":130,"name":"Impact","value":""},{"id":150,"name":"Time of Event (Mountain Time)","value":"19:51:19"},{"id":151,"name":"Denver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38"/>
        <v>start /low /b %USERPROFILE%\Documents\GitHub\eaglep3\Utilities\DownloadLogsFromS3.py --loco 4054 --day 2017-02-26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"%USERPROFILE%\AppData\Local\Temp\OnboardLogs"\RTDC4054\*4054*20170227* | grep -SE "(Enforcement Action)|(\[TIMEOUT)|(CHR.+\|PRM\|1\|D.+(SWITCH|SIGNAL).+UNKNOWN)" - &gt;&gt; 2017-02-26-UncaughtWiMAX.txt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740</v>
      </c>
      <c r="B133" s="7">
        <v>4029</v>
      </c>
      <c r="C133" s="21" t="s">
        <v>285</v>
      </c>
      <c r="D133" s="21" t="s">
        <v>266</v>
      </c>
      <c r="E133" s="13">
        <v>42792.767152777778</v>
      </c>
      <c r="F133" s="13">
        <v>42792.771226851852</v>
      </c>
      <c r="G133" s="7">
        <v>1</v>
      </c>
      <c r="H133" s="21" t="s">
        <v>322</v>
      </c>
      <c r="I133" s="13">
        <v>42792.796134259261</v>
      </c>
      <c r="J133" s="7">
        <v>1</v>
      </c>
      <c r="K133" s="98" t="str">
        <f t="shared" si="21"/>
        <v>4029/4030</v>
      </c>
      <c r="L133" s="21" t="str">
        <f>VLOOKUP(A133,'Trips&amp;Operators'!$C$1:$G$99999,5,FALSE)</f>
        <v>STAMBAUGH JAMES</v>
      </c>
      <c r="M133" s="6">
        <f t="shared" si="22"/>
        <v>2.4907407409045845E-2</v>
      </c>
      <c r="N133" s="7">
        <f t="shared" si="23"/>
        <v>35.866666669026017</v>
      </c>
      <c r="O133" s="7"/>
      <c r="P133" s="7"/>
      <c r="Q133" s="22"/>
      <c r="R133" s="22"/>
      <c r="S133" s="31">
        <f t="shared" si="24"/>
        <v>1</v>
      </c>
      <c r="T133" s="46" t="str">
        <f t="shared" si="25"/>
        <v>NorthBound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26"/>
        <v>https://d0f6bd738d7f1b3e5a7ca70fe4ff75f0.us-east-1.aws.found.io/app/kibana#/discover/Steve-Slow-Train-Analysis-(2080s-and-2083s)?_g=(refreshInterval:(display:Off,pause:!f,section:0,value:0),time:(from:'2017-02-26T17:24:42-0700',mode:absolute,to:'2017-02-26T20:06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3" s="187" t="str">
        <f t="shared" si="27"/>
        <v>N</v>
      </c>
      <c r="X133" s="187">
        <f t="shared" si="28"/>
        <v>1</v>
      </c>
      <c r="Y133" s="62">
        <f t="shared" si="29"/>
        <v>4.4400000000000002E-2</v>
      </c>
      <c r="Z133" s="62">
        <f t="shared" si="30"/>
        <v>23.329899999999999</v>
      </c>
      <c r="AA133" s="62">
        <f t="shared" si="31"/>
        <v>23.285499999999999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2"/>
        <v>0219-26</v>
      </c>
      <c r="AE133" s="85" t="str">
        <f t="shared" si="33"/>
        <v>aws s3 cp s3://rtdc.mdm.uploadarchive.raw/RTDC4029/ "%USERPROFILE%\AppData\Local\Temp\OnboardLogs"\RTDC4029\2017-02-26 --exclude "*" --recursive --include "*20170226*" &amp; "%USERPROFILE%\Documents\GitHub\mrs-test-scripts\Headless Mode &amp; Sideloading\WalkAndUnGZ.bat" "%USERPROFILE%\AppData\Local\Temp\OnboardLogs"\RTDC4029\2017-02-26 &amp; aws s3 cp s3://rtdc.mdm.uploadarchive.raw/RTDC4029/ "%USERPROFILE%\AppData\Local\Temp\OnboardLogs"\RTDC4029\2017-02-27 --exclude "*" --recursive --include "*20170227*" &amp; "%USERPROFILE%\Documents\GitHub\mrs-test-scripts\Headless Mode &amp; Sideloading\WalkAndUnGZ.bat" "%USERPROFILE%\AppData\Local\Temp\OnboardLogs"\RTDC4029\2017-02-27</v>
      </c>
      <c r="AF133" s="82" t="str">
        <f t="shared" si="34"/>
        <v>"C:\Program Files (x86)\AstroGrep\AstroGrep.exe" /spath="%USERPROFILE%\AppData\Local\Temp\OnboardLogs" /stypes="app*4029*20170227*" /stext=" 02:.+((SYSTEM_STATE.+slice.+state.+changed )|(ment ac)|(multiple cpu faults)|(system.+state.+changed )|(\[timeout)|(PRM\|1\|D)|(kpr)|(kdp)|(\|lc)|(penalty))" /e /r /s</v>
      </c>
      <c r="AG133" s="1" t="str">
        <f t="shared" si="35"/>
        <v>EC</v>
      </c>
      <c r="AH133" s="86" t="str">
        <f t="shared" si="36"/>
        <v>"%USERPROFILE%\Documents\GitHub\eaglep3\Utilities\RefineRTDCRunTimes.py" --tripid 219-26 --locoid 4029 --swversion DE.1.0.9.0 --startMP 204:444 --initTime 2017-02-26T18:24:42 --startdatetime 2017-02-26T18:30:34 --delay 1 --endMP 204:233299 --enddatetime 2017-02-26T19:06:26 --enforcementcount 1 &gt;&gt;C:\Users\stu\Documents\GitHub\eaglep3-reporting\EC\2017-02-26-refined-times.txt</v>
      </c>
      <c r="AI133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{"issue":{"subject":"","project_id":79,"tracker_id":40,"status_id":1,"priority_id":2,"assigned_to_id":23,"start_date":"2017-02-26","description":"","custom_fields":[{"id":1,"name":"Subdivision","value":"EC"},{"id":4,"name":"Milepost","value":"23.3299"},{"id":17,"name":"Train ID","value":"219-26"},{"id":16,"name":"Locomotive ID","value":"4029"},{"id":130,"name":"Impact","value":""},{"id":150,"name":"Time of Event (Mountain Time)","value":"19:06:26"},{"id":151,"name":"Denver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38"/>
        <v>start /low /b %USERPROFILE%\Documents\GitHub\eaglep3\Utilities\DownloadLogsFromS3.py --loco 4029 --day 2017-02-26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"%USERPROFILE%\AppData\Local\Temp\OnboardLogs"\RTDC4029\*4029*20170227* | grep -SE "(Enforcement Action)|(\[TIMEOUT)|(CHR.+\|PRM\|1\|D.+(SWITCH|SIGNAL).+UNKNOWN)" - &gt;&gt; 2017-02-26-UncaughtWiMAX.txt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571</v>
      </c>
      <c r="B134" s="7">
        <v>4030</v>
      </c>
      <c r="C134" s="21" t="s">
        <v>285</v>
      </c>
      <c r="D134" s="21" t="s">
        <v>290</v>
      </c>
      <c r="E134" s="13">
        <v>42792.799525462964</v>
      </c>
      <c r="F134" s="13">
        <v>42792.810011574074</v>
      </c>
      <c r="G134" s="7">
        <v>5</v>
      </c>
      <c r="H134" s="21" t="s">
        <v>206</v>
      </c>
      <c r="I134" s="13">
        <v>42792.836562500001</v>
      </c>
      <c r="J134" s="7">
        <v>1</v>
      </c>
      <c r="K134" s="98" t="str">
        <f t="shared" si="21"/>
        <v>4029/4030</v>
      </c>
      <c r="L134" s="21" t="str">
        <f>VLOOKUP(A134,'Trips&amp;Operators'!$C$1:$G$99999,5,FALSE)</f>
        <v>STAMBAUGH JAMES</v>
      </c>
      <c r="M134" s="6">
        <f t="shared" si="22"/>
        <v>2.6550925926130731E-2</v>
      </c>
      <c r="N134" s="7">
        <f t="shared" si="23"/>
        <v>38.233333333628252</v>
      </c>
      <c r="O134" s="7"/>
      <c r="P134" s="7"/>
      <c r="Q134" s="22"/>
      <c r="R134" s="22"/>
      <c r="S134" s="31">
        <f t="shared" si="24"/>
        <v>1</v>
      </c>
      <c r="T134" s="46" t="str">
        <f t="shared" si="25"/>
        <v>Southbound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26"/>
        <v>https://d0f6bd738d7f1b3e5a7ca70fe4ff75f0.us-east-1.aws.found.io/app/kibana#/discover/Steve-Slow-Train-Analysis-(2080s-and-2083s)?_g=(refreshInterval:(display:Off,pause:!f,section:0,value:0),time:(from:'2017-02-26T18:11:19-0700',mode:absolute,to:'2017-02-26T21:04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4" s="187" t="str">
        <f t="shared" si="27"/>
        <v>N</v>
      </c>
      <c r="X134" s="187">
        <f t="shared" si="28"/>
        <v>1</v>
      </c>
      <c r="Y134" s="62">
        <f t="shared" si="29"/>
        <v>23.298400000000001</v>
      </c>
      <c r="Z134" s="62">
        <f t="shared" si="30"/>
        <v>1.52E-2</v>
      </c>
      <c r="AA134" s="62">
        <f t="shared" si="31"/>
        <v>23.283200000000001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2"/>
        <v>0220-26</v>
      </c>
      <c r="AE134" s="85" t="str">
        <f t="shared" si="33"/>
        <v>aws s3 cp s3://rtdc.mdm.uploadarchive.raw/RTDC4030/ "%USERPROFILE%\AppData\Local\Temp\OnboardLogs"\RTDC4030\2017-02-26 --exclude "*" --recursive --include "*20170226*" &amp; "%USERPROFILE%\Documents\GitHub\mrs-test-scripts\Headless Mode &amp; Sideloading\WalkAndUnGZ.bat" "%USERPROFILE%\AppData\Local\Temp\OnboardLogs"\RTDC4030\2017-02-26 &amp; aws s3 cp s3://rtdc.mdm.uploadarchive.raw/RTDC4030/ "%USERPROFILE%\AppData\Local\Temp\OnboardLogs"\RTDC4030\2017-02-27 --exclude "*" --recursive --include "*20170227*" &amp; "%USERPROFILE%\Documents\GitHub\mrs-test-scripts\Headless Mode &amp; Sideloading\WalkAndUnGZ.bat" "%USERPROFILE%\AppData\Local\Temp\OnboardLogs"\RTDC4030\2017-02-27</v>
      </c>
      <c r="AF134" s="82" t="str">
        <f t="shared" si="34"/>
        <v>"C:\Program Files (x86)\AstroGrep\AstroGrep.exe" /spath="%USERPROFILE%\AppData\Local\Temp\OnboardLogs" /stypes="app*4030*20170227*" /stext=" 03:.+((SYSTEM_STATE.+slice.+state.+changed )|(ment ac)|(multiple cpu faults)|(system.+state.+changed )|(\[timeout)|(PRM\|1\|D)|(kpr)|(kdp)|(\|lc)|(penalty))" /e /r /s</v>
      </c>
      <c r="AG134" s="1" t="str">
        <f t="shared" si="35"/>
        <v>EC</v>
      </c>
      <c r="AH134" s="86" t="str">
        <f t="shared" si="36"/>
        <v>"%USERPROFILE%\Documents\GitHub\eaglep3\Utilities\RefineRTDCRunTimes.py" --tripid 220-26 --locoid 4030 --swversion DE.1.0.9.0 --startMP 204:232984 --initTime 2017-02-26T19:11:19 --startdatetime 2017-02-26T19:26:25 --delay 5 --endMP 204:152 --enddatetime 2017-02-26T20:04:39 --enforcementcount 1 &gt;&gt;C:\Users\stu\Documents\GitHub\eaglep3-reporting\EC\2017-02-26-refined-times.txt</v>
      </c>
      <c r="AI134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{"issue":{"subject":"","project_id":79,"tracker_id":40,"status_id":1,"priority_id":2,"assigned_to_id":23,"start_date":"2017-02-26","description":"","custom_fields":[{"id":1,"name":"Subdivision","value":"EC"},{"id":4,"name":"Milepost","value":"0.0152"},{"id":17,"name":"Train ID","value":"220-26"},{"id":16,"name":"Locomotive ID","value":"4030"},{"id":130,"name":"Impact","value":""},{"id":150,"name":"Time of Event (Mountain Time)","value":"20:04:39"},{"id":151,"name":"Denver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38"/>
        <v>start /low /b %USERPROFILE%\Documents\GitHub\eaglep3\Utilities\DownloadLogsFromS3.py --loco 4030 --day 2017-02-26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"%USERPROFILE%\AppData\Local\Temp\OnboardLogs"\RTDC4030\*4030*20170227* | grep -SE "(Enforcement Action)|(\[TIMEOUT)|(CHR.+\|PRM\|1\|D.+(SWITCH|SIGNAL).+UNKNOWN)" - &gt;&gt; 2017-02-26-UncaughtWiMAX.txt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569</v>
      </c>
      <c r="B135" s="7">
        <v>4009</v>
      </c>
      <c r="C135" s="21" t="s">
        <v>285</v>
      </c>
      <c r="D135" s="21" t="s">
        <v>244</v>
      </c>
      <c r="E135" s="13">
        <v>42792.789143518516</v>
      </c>
      <c r="F135" s="13">
        <v>42792.792013888888</v>
      </c>
      <c r="G135" s="7">
        <v>1</v>
      </c>
      <c r="H135" s="21" t="s">
        <v>900</v>
      </c>
      <c r="I135" s="13">
        <v>42792.817384259259</v>
      </c>
      <c r="J135" s="7">
        <v>1</v>
      </c>
      <c r="K135" s="98" t="str">
        <f t="shared" si="21"/>
        <v>4009/4010</v>
      </c>
      <c r="L135" s="21" t="str">
        <f>VLOOKUP(A135,'Trips&amp;Operators'!$C$1:$G$99999,5,FALSE)</f>
        <v>CHANDLER KELVIN</v>
      </c>
      <c r="M135" s="6">
        <f t="shared" si="22"/>
        <v>2.5370370371092577E-2</v>
      </c>
      <c r="N135" s="7">
        <f t="shared" si="23"/>
        <v>36.53333333437331</v>
      </c>
      <c r="O135" s="7"/>
      <c r="P135" s="7"/>
      <c r="Q135" s="22"/>
      <c r="R135" s="22"/>
      <c r="S135" s="31">
        <f t="shared" si="24"/>
        <v>1</v>
      </c>
      <c r="T135" s="46" t="str">
        <f t="shared" si="25"/>
        <v>NorthBound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26"/>
        <v>https://d0f6bd738d7f1b3e5a7ca70fe4ff75f0.us-east-1.aws.found.io/app/kibana#/discover/Steve-Slow-Train-Analysis-(2080s-and-2083s)?_g=(refreshInterval:(display:Off,pause:!f,section:0,value:0),time:(from:'2017-02-26T17:56:22-0700',mode:absolute,to:'2017-02-26T20:37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5" s="187" t="str">
        <f t="shared" si="27"/>
        <v>N</v>
      </c>
      <c r="X135" s="187">
        <f t="shared" si="28"/>
        <v>1</v>
      </c>
      <c r="Y135" s="62">
        <f t="shared" si="29"/>
        <v>4.5499999999999999E-2</v>
      </c>
      <c r="Z135" s="62">
        <f t="shared" si="30"/>
        <v>23.328099999999999</v>
      </c>
      <c r="AA135" s="62">
        <f t="shared" si="31"/>
        <v>23.282599999999999</v>
      </c>
      <c r="AB135" s="59" t="str">
        <f>VLOOKUP(A135,Enforcements!$C$7:$K$13,8,0)</f>
        <v>Bulletin (2)</v>
      </c>
      <c r="AC135" s="55" t="str">
        <f>VLOOKUP(A135,Enforcements!$C$7:$E$13,3,0)</f>
        <v>GRADE CROSSING</v>
      </c>
      <c r="AD135" s="56" t="str">
        <f t="shared" si="32"/>
        <v>0221-26</v>
      </c>
      <c r="AE135" s="85" t="str">
        <f t="shared" si="33"/>
        <v>aws s3 cp s3://rtdc.mdm.uploadarchive.raw/RTDC4009/ "%USERPROFILE%\AppData\Local\Temp\OnboardLogs"\RTDC4009\2017-02-26 --exclude "*" --recursive --include "*20170226*" &amp; "%USERPROFILE%\Documents\GitHub\mrs-test-scripts\Headless Mode &amp; Sideloading\WalkAndUnGZ.bat" "%USERPROFILE%\AppData\Local\Temp\OnboardLogs"\RTDC4009\2017-02-26 &amp; aws s3 cp s3://rtdc.mdm.uploadarchive.raw/RTDC4009/ "%USERPROFILE%\AppData\Local\Temp\OnboardLogs"\RTDC4009\2017-02-27 --exclude "*" --recursive --include "*20170227*" &amp; "%USERPROFILE%\Documents\GitHub\mrs-test-scripts\Headless Mode &amp; Sideloading\WalkAndUnGZ.bat" "%USERPROFILE%\AppData\Local\Temp\OnboardLogs"\RTDC4009\2017-02-27</v>
      </c>
      <c r="AF135" s="82" t="str">
        <f t="shared" si="34"/>
        <v>"C:\Program Files (x86)\AstroGrep\AstroGrep.exe" /spath="%USERPROFILE%\AppData\Local\Temp\OnboardLogs" /stypes="app*4009*20170227*" /stext=" 02:.+((SYSTEM_STATE.+slice.+state.+changed )|(ment ac)|(multiple cpu faults)|(system.+state.+changed )|(\[timeout)|(PRM\|1\|D)|(kpr)|(kdp)|(\|lc)|(penalty))" /e /r /s</v>
      </c>
      <c r="AG135" s="1" t="str">
        <f t="shared" si="35"/>
        <v>EC</v>
      </c>
      <c r="AH135" s="86" t="str">
        <f t="shared" si="36"/>
        <v>"%USERPROFILE%\Documents\GitHub\eaglep3\Utilities\RefineRTDCRunTimes.py" --tripid 221-26 --locoid 4009 --swversion DE.1.0.9.0 --startMP 204:455 --initTime 2017-02-26T18:56:22 --startdatetime 2017-02-26T19:00:30 --delay 1 --endMP 204:233281 --enddatetime 2017-02-26T19:37:02 --enforcementcount 1 &gt;&gt;C:\Users\stu\Documents\GitHub\eaglep3-reporting\EC\2017-02-26-refined-times.txt</v>
      </c>
      <c r="AI135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{"issue":{"subject":"","project_id":79,"tracker_id":40,"status_id":1,"priority_id":2,"assigned_to_id":23,"start_date":"2017-02-26","description":"","custom_fields":[{"id":1,"name":"Subdivision","value":"EC"},{"id":4,"name":"Milepost","value":"23.3281"},{"id":17,"name":"Train ID","value":"221-26"},{"id":16,"name":"Locomotive ID","value":"4009"},{"id":130,"name":"Impact","value":""},{"id":150,"name":"Time of Event (Mountain Time)","value":"19:37:02"},{"id":151,"name":"Denver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38"/>
        <v>start /low /b %USERPROFILE%\Documents\GitHub\eaglep3\Utilities\DownloadLogsFromS3.py --loco 4009 --day 2017-02-26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"%USERPROFILE%\AppData\Local\Temp\OnboardLogs"\RTDC4009\*4009*20170227* | grep -SE "(Enforcement Action)|(\[TIMEOUT)|(CHR.+\|PRM\|1\|D.+(SWITCH|SIGNAL).+UNKNOWN)" - &gt;&gt; 2017-02-26-UncaughtWiMAX.txt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x14ac:dyDescent="0.25">
      <c r="A136" s="33" t="s">
        <v>752</v>
      </c>
      <c r="B136" s="7">
        <v>4010</v>
      </c>
      <c r="C136" s="21" t="s">
        <v>285</v>
      </c>
      <c r="D136" s="21" t="s">
        <v>390</v>
      </c>
      <c r="E136" s="13">
        <v>42792.827002314814</v>
      </c>
      <c r="F136" s="13">
        <v>42792.830821759257</v>
      </c>
      <c r="G136" s="7">
        <v>1</v>
      </c>
      <c r="H136" s="21" t="s">
        <v>267</v>
      </c>
      <c r="I136" s="13">
        <v>42792.859224537038</v>
      </c>
      <c r="J136" s="7">
        <v>1</v>
      </c>
      <c r="K136" s="98" t="str">
        <f t="shared" si="21"/>
        <v>4009/4010</v>
      </c>
      <c r="L136" s="21" t="str">
        <f>VLOOKUP(A136,'Trips&amp;Operators'!$C$1:$G$99999,5,FALSE)</f>
        <v>CHANDLER KELVIN</v>
      </c>
      <c r="M136" s="6">
        <f t="shared" si="22"/>
        <v>2.8402777781593613E-2</v>
      </c>
      <c r="N136" s="7">
        <f t="shared" si="23"/>
        <v>40.900000005494803</v>
      </c>
      <c r="O136" s="7"/>
      <c r="P136" s="7"/>
      <c r="Q136" s="22"/>
      <c r="R136" s="22"/>
      <c r="S136" s="31">
        <f t="shared" si="24"/>
        <v>1</v>
      </c>
      <c r="T136" s="46" t="str">
        <f t="shared" si="25"/>
        <v>Southbound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26"/>
        <v>https://d0f6bd738d7f1b3e5a7ca70fe4ff75f0.us-east-1.aws.found.io/app/kibana#/discover/Steve-Slow-Train-Analysis-(2080s-and-2083s)?_g=(refreshInterval:(display:Off,pause:!f,section:0,value:0),time:(from:'2017-02-26T18:50:53-0700',mode:absolute,to:'2017-02-26T21:37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6" s="187" t="str">
        <f t="shared" si="27"/>
        <v>N</v>
      </c>
      <c r="X136" s="187">
        <f t="shared" si="28"/>
        <v>1</v>
      </c>
      <c r="Y136" s="62">
        <f t="shared" si="29"/>
        <v>23.297599999999999</v>
      </c>
      <c r="Z136" s="62">
        <f t="shared" si="30"/>
        <v>1.47E-2</v>
      </c>
      <c r="AA136" s="62">
        <f t="shared" si="31"/>
        <v>23.282899999999998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2"/>
        <v>0222-26</v>
      </c>
      <c r="AE136" s="85" t="str">
        <f t="shared" si="33"/>
        <v>aws s3 cp s3://rtdc.mdm.uploadarchive.raw/RTDC4010/ "%USERPROFILE%\AppData\Local\Temp\OnboardLogs"\RTDC4010\2017-02-26 --exclude "*" --recursive --include "*20170226*" &amp; "%USERPROFILE%\Documents\GitHub\mrs-test-scripts\Headless Mode &amp; Sideloading\WalkAndUnGZ.bat" "%USERPROFILE%\AppData\Local\Temp\OnboardLogs"\RTDC4010\2017-02-26 &amp; aws s3 cp s3://rtdc.mdm.uploadarchive.raw/RTDC4010/ "%USERPROFILE%\AppData\Local\Temp\OnboardLogs"\RTDC4010\2017-02-27 --exclude "*" --recursive --include "*20170227*" &amp; "%USERPROFILE%\Documents\GitHub\mrs-test-scripts\Headless Mode &amp; Sideloading\WalkAndUnGZ.bat" "%USERPROFILE%\AppData\Local\Temp\OnboardLogs"\RTDC4010\2017-02-27</v>
      </c>
      <c r="AF136" s="82" t="str">
        <f t="shared" si="34"/>
        <v>"C:\Program Files (x86)\AstroGrep\AstroGrep.exe" /spath="%USERPROFILE%\AppData\Local\Temp\OnboardLogs" /stypes="app*4010*20170227*" /stext=" 03:.+((SYSTEM_STATE.+slice.+state.+changed )|(ment ac)|(multiple cpu faults)|(system.+state.+changed )|(\[timeout)|(PRM\|1\|D)|(kpr)|(kdp)|(\|lc)|(penalty))" /e /r /s</v>
      </c>
      <c r="AG136" s="1" t="str">
        <f t="shared" si="35"/>
        <v>EC</v>
      </c>
      <c r="AH136" s="86" t="str">
        <f t="shared" si="36"/>
        <v>"%USERPROFILE%\Documents\GitHub\eaglep3\Utilities\RefineRTDCRunTimes.py" --tripid 222-26 --locoid 4010 --swversion DE.1.0.9.0 --startMP 204:232976 --initTime 2017-02-26T19:50:53 --startdatetime 2017-02-26T19:56:23 --delay 1 --endMP 204:147 --enddatetime 2017-02-26T20:37:17 --enforcementcount 1 &gt;&gt;C:\Users\stu\Documents\GitHub\eaglep3-reporting\EC\2017-02-26-refined-times.txt</v>
      </c>
      <c r="AI136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{"issue":{"subject":"","project_id":79,"tracker_id":40,"status_id":1,"priority_id":2,"assigned_to_id":23,"start_date":"2017-02-26","description":"","custom_fields":[{"id":1,"name":"Subdivision","value":"EC"},{"id":4,"name":"Milepost","value":"0.0147"},{"id":17,"name":"Train ID","value":"222-26"},{"id":16,"name":"Locomotive ID","value":"4010"},{"id":130,"name":"Impact","value":""},{"id":150,"name":"Time of Event (Mountain Time)","value":"20:37:17"},{"id":151,"name":"Denver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38"/>
        <v>start /low /b %USERPROFILE%\Documents\GitHub\eaglep3\Utilities\DownloadLogsFromS3.py --loco 4010 --day 2017-02-26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"%USERPROFILE%\AppData\Local\Temp\OnboardLogs"\RTDC4010\*4010*20170227* | grep -SE "(Enforcement Action)|(\[TIMEOUT)|(CHR.+\|PRM\|1\|D.+(SWITCH|SIGNAL).+UNKNOWN)" - &gt;&gt; 2017-02-26-UncaughtWiMAX.txt</v>
      </c>
    </row>
    <row r="137" spans="1:91" s="20" customFormat="1" x14ac:dyDescent="0.25">
      <c r="A137" s="33" t="s">
        <v>749</v>
      </c>
      <c r="B137" s="7">
        <v>4027</v>
      </c>
      <c r="C137" s="21" t="s">
        <v>285</v>
      </c>
      <c r="D137" s="21" t="s">
        <v>890</v>
      </c>
      <c r="E137" s="13">
        <v>42792.809918981482</v>
      </c>
      <c r="F137" s="13">
        <v>42792.812951388885</v>
      </c>
      <c r="G137" s="7">
        <v>3</v>
      </c>
      <c r="H137" s="21" t="s">
        <v>320</v>
      </c>
      <c r="I137" s="13">
        <v>42792.837534722225</v>
      </c>
      <c r="J137" s="7">
        <v>1</v>
      </c>
      <c r="K137" s="98" t="str">
        <f t="shared" si="21"/>
        <v>4027/4028</v>
      </c>
      <c r="L137" s="21" t="str">
        <f>VLOOKUP(A137,'Trips&amp;Operators'!$C$1:$G$99999,5,FALSE)</f>
        <v>NEWELL JAMES</v>
      </c>
      <c r="M137" s="6">
        <f t="shared" si="22"/>
        <v>2.4583333339251112E-2</v>
      </c>
      <c r="N137" s="7">
        <f t="shared" si="23"/>
        <v>35.400000008521602</v>
      </c>
      <c r="O137" s="7"/>
      <c r="P137" s="7"/>
      <c r="Q137" s="22"/>
      <c r="R137" s="22"/>
      <c r="S137" s="31">
        <f t="shared" si="24"/>
        <v>1</v>
      </c>
      <c r="T137" s="46" t="str">
        <f t="shared" si="25"/>
        <v>NorthBound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26"/>
        <v>https://d0f6bd738d7f1b3e5a7ca70fe4ff75f0.us-east-1.aws.found.io/app/kibana#/discover/Steve-Slow-Train-Analysis-(2080s-and-2083s)?_g=(refreshInterval:(display:Off,pause:!f,section:0,value:0),time:(from:'2017-02-26T18:26:17-0700',mode:absolute,to:'2017-02-26T21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7" s="187" t="str">
        <f t="shared" si="27"/>
        <v>N</v>
      </c>
      <c r="X137" s="187">
        <f t="shared" si="28"/>
        <v>1</v>
      </c>
      <c r="Y137" s="62">
        <f t="shared" si="29"/>
        <v>4.3700000000000003E-2</v>
      </c>
      <c r="Z137" s="62">
        <f t="shared" si="30"/>
        <v>23.33</v>
      </c>
      <c r="AA137" s="62">
        <f t="shared" si="31"/>
        <v>23.286299999999997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2"/>
        <v>0223-26</v>
      </c>
      <c r="AE137" s="85" t="str">
        <f t="shared" si="33"/>
        <v>aws s3 cp s3://rtdc.mdm.uploadarchive.raw/RTDC4027/ "%USERPROFILE%\AppData\Local\Temp\OnboardLogs"\RTDC4027\2017-02-26 --exclude "*" --recursive --include "*20170226*" &amp; "%USERPROFILE%\Documents\GitHub\mrs-test-scripts\Headless Mode &amp; Sideloading\WalkAndUnGZ.bat" "%USERPROFILE%\AppData\Local\Temp\OnboardLogs"\RTDC4027\2017-02-26 &amp; aws s3 cp s3://rtdc.mdm.uploadarchive.raw/RTDC4027/ "%USERPROFILE%\AppData\Local\Temp\OnboardLogs"\RTDC4027\2017-02-27 --exclude "*" --recursive --include "*20170227*" &amp; "%USERPROFILE%\Documents\GitHub\mrs-test-scripts\Headless Mode &amp; Sideloading\WalkAndUnGZ.bat" "%USERPROFILE%\AppData\Local\Temp\OnboardLogs"\RTDC4027\2017-02-27</v>
      </c>
      <c r="AF137" s="82" t="str">
        <f t="shared" si="34"/>
        <v>"C:\Program Files (x86)\AstroGrep\AstroGrep.exe" /spath="%USERPROFILE%\AppData\Local\Temp\OnboardLogs" /stypes="app*4027*20170227*" /stext=" 03:.+((SYSTEM_STATE.+slice.+state.+changed )|(ment ac)|(multiple cpu faults)|(system.+state.+changed )|(\[timeout)|(PRM\|1\|D)|(kpr)|(kdp)|(\|lc)|(penalty))" /e /r /s</v>
      </c>
      <c r="AG137" s="1" t="str">
        <f t="shared" si="35"/>
        <v>EC</v>
      </c>
      <c r="AH137" s="86" t="str">
        <f t="shared" si="36"/>
        <v>"%USERPROFILE%\Documents\GitHub\eaglep3\Utilities\RefineRTDCRunTimes.py" --tripid 223-26 --locoid 4027 --swversion DE.1.0.9.0 --startMP 204:437 --initTime 2017-02-26T19:26:17 --startdatetime 2017-02-26T19:30:39 --delay 3 --endMP 204:233300 --enddatetime 2017-02-26T20:06:03 --enforcementcount 1 &gt;&gt;C:\Users\stu\Documents\GitHub\eaglep3-reporting\EC\2017-02-26-refined-times.txt</v>
      </c>
      <c r="AI137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{"issue":{"subject":"","project_id":79,"tracker_id":40,"status_id":1,"priority_id":2,"assigned_to_id":23,"start_date":"2017-02-26","description":"","custom_fields":[{"id":1,"name":"Subdivision","value":"EC"},{"id":4,"name":"Milepost","value":"23.33"},{"id":17,"name":"Train ID","value":"223-26"},{"id":16,"name":"Locomotive ID","value":"4027"},{"id":130,"name":"Impact","value":""},{"id":150,"name":"Time of Event (Mountain Time)","value":"20:06:03"},{"id":151,"name":"Denver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38"/>
        <v>start /low /b %USERPROFILE%\Documents\GitHub\eaglep3\Utilities\DownloadLogsFromS3.py --loco 4027 --day 2017-02-26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"%USERPROFILE%\AppData\Local\Temp\OnboardLogs"\RTDC4027\*4027*20170227* | grep -SE "(Enforcement Action)|(\[TIMEOUT)|(CHR.+\|PRM\|1\|D.+(SWITCH|SIGNAL).+UNKNOWN)" - &gt;&gt; 2017-02-26-UncaughtWiMAX.txt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755</v>
      </c>
      <c r="B138" s="7">
        <v>4028</v>
      </c>
      <c r="C138" s="21" t="s">
        <v>285</v>
      </c>
      <c r="D138" s="21" t="s">
        <v>901</v>
      </c>
      <c r="E138" s="13">
        <v>42792.848645833335</v>
      </c>
      <c r="F138" s="13">
        <v>42792.862210648149</v>
      </c>
      <c r="G138" s="7">
        <v>19</v>
      </c>
      <c r="H138" s="21" t="s">
        <v>246</v>
      </c>
      <c r="I138" s="13">
        <v>42792.879293981481</v>
      </c>
      <c r="J138" s="7">
        <v>1</v>
      </c>
      <c r="K138" s="98" t="str">
        <f t="shared" si="21"/>
        <v>4027/4028</v>
      </c>
      <c r="L138" s="21" t="str">
        <f>VLOOKUP(A138,'Trips&amp;Operators'!$C$1:$G$99999,5,FALSE)</f>
        <v>NEWELL JAMES</v>
      </c>
      <c r="M138" s="6">
        <f t="shared" si="22"/>
        <v>1.7083333332266193E-2</v>
      </c>
      <c r="N138" s="7"/>
      <c r="O138" s="7"/>
      <c r="P138" s="7">
        <f t="shared" si="23"/>
        <v>24.599999998463318</v>
      </c>
      <c r="Q138" s="22"/>
      <c r="R138" s="22" t="s">
        <v>961</v>
      </c>
      <c r="S138" s="31">
        <f t="shared" si="24"/>
        <v>0</v>
      </c>
      <c r="T138" s="46" t="str">
        <f t="shared" si="25"/>
        <v>Southbound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0</v>
      </c>
      <c r="V138" s="186" t="str">
        <f t="shared" si="26"/>
        <v>https://d0f6bd738d7f1b3e5a7ca70fe4ff75f0.us-east-1.aws.found.io/app/kibana#/discover/Steve-Slow-Train-Analysis-(2080s-and-2083s)?_g=(refreshInterval:(display:Off,pause:!f,section:0,value:0),time:(from:'2017-02-26T19:22:03-0700',mode:absolute,to:'2017-02-26T22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8" s="187" t="str">
        <f t="shared" si="27"/>
        <v>Y</v>
      </c>
      <c r="X138" s="187">
        <f t="shared" si="28"/>
        <v>1</v>
      </c>
      <c r="Y138" s="62">
        <f t="shared" si="29"/>
        <v>12.7864</v>
      </c>
      <c r="Z138" s="62">
        <f t="shared" si="30"/>
        <v>23.299299999999999</v>
      </c>
      <c r="AA138" s="62">
        <f t="shared" si="31"/>
        <v>10.512899999999998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2"/>
        <v>0224-26</v>
      </c>
      <c r="AE138" s="85" t="str">
        <f t="shared" si="33"/>
        <v>aws s3 cp s3://rtdc.mdm.uploadarchive.raw/RTDC4028/ "%USERPROFILE%\AppData\Local\Temp\OnboardLogs"\RTDC4028\2017-02-26 --exclude "*" --recursive --include "*20170226*" &amp; "%USERPROFILE%\Documents\GitHub\mrs-test-scripts\Headless Mode &amp; Sideloading\WalkAndUnGZ.bat" "%USERPROFILE%\AppData\Local\Temp\OnboardLogs"\RTDC4028\2017-02-26 &amp; aws s3 cp s3://rtdc.mdm.uploadarchive.raw/RTDC4028/ "%USERPROFILE%\AppData\Local\Temp\OnboardLogs"\RTDC4028\2017-02-27 --exclude "*" --recursive --include "*20170227*" &amp; "%USERPROFILE%\Documents\GitHub\mrs-test-scripts\Headless Mode &amp; Sideloading\WalkAndUnGZ.bat" "%USERPROFILE%\AppData\Local\Temp\OnboardLogs"\RTDC4028\2017-02-27</v>
      </c>
      <c r="AF138" s="82" t="str">
        <f t="shared" si="34"/>
        <v>"C:\Program Files (x86)\AstroGrep\AstroGrep.exe" /spath="%USERPROFILE%\AppData\Local\Temp\OnboardLogs" /stypes="app*4028*20170227*" /stext=" 04:.+((SYSTEM_STATE.+slice.+state.+changed )|(ment ac)|(multiple cpu faults)|(system.+state.+changed )|(\[timeout)|(PRM\|1\|D)|(kpr)|(kdp)|(\|lc)|(penalty))" /e /r /s</v>
      </c>
      <c r="AG138" s="1" t="str">
        <f t="shared" si="35"/>
        <v>EC</v>
      </c>
      <c r="AH138" s="86" t="str">
        <f t="shared" si="36"/>
        <v>"%USERPROFILE%\Documents\GitHub\eaglep3\Utilities\RefineRTDCRunTimes.py" --tripid 224-26 --locoid 4028 --swversion DE.1.0.9.0 --startMP 204:127864 --initTime 2017-02-26T20:22:03 --startdatetime 2017-02-26T20:41:35 --delay 19 --endMP 204:232993 --enddatetime 2017-02-26T21:06:11 --enforcementcount 1 &gt;&gt;C:\Users\stu\Documents\GitHub\eaglep3-reporting\EC\2017-02-26-refined-times.txt</v>
      </c>
      <c r="AI138" s="108" t="str">
        <f t="shared" si="37"/>
        <v>echo {"issue":{"subject":"Onboard in-route failure","project_id":79,"tracker_id":40,"status_id":1,"priority_id":2,"assigned_to_id":23,"start_date":"2017-02-26","description":"","custom_fields":[{"id":1,"name":"Subdivision","value":"EC"},{"id":4,"name":"Milepost","value":"23.2993"},{"id":17,"name":"Train ID","value":"224-26"},{"id":16,"name":"Locomotive ID","value":"4028"},{"id":130,"name":"Impact","value":""},{"id":150,"name":"Time of Event (Mountain Time)","value":"21:06:11"},{"id":151,"name":"Denver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38"/>
        <v>start /low /b %USERPROFILE%\Documents\GitHub\eaglep3\Utilities\DownloadLogsFromS3.py --loco 4028 --day 2017-02-26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"%USERPROFILE%\AppData\Local\Temp\OnboardLogs"\RTDC4028\*4028*20170227* | grep -SE "(Enforcement Action)|(\[TIMEOUT)|(CHR.+\|PRM\|1\|D.+(SWITCH|SIGNAL).+UNKNOWN)" - &gt;&gt; 2017-02-26-UncaughtWiMAX.txt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755</v>
      </c>
      <c r="B139" s="7">
        <v>4028</v>
      </c>
      <c r="C139" s="21" t="s">
        <v>285</v>
      </c>
      <c r="D139" s="21" t="s">
        <v>246</v>
      </c>
      <c r="E139" s="13">
        <v>42792.840462962966</v>
      </c>
      <c r="F139" s="13">
        <v>42792.862210648149</v>
      </c>
      <c r="G139" s="7">
        <v>0</v>
      </c>
      <c r="H139" s="21" t="s">
        <v>246</v>
      </c>
      <c r="I139" s="13">
        <v>42792.879293981481</v>
      </c>
      <c r="J139" s="7">
        <v>1</v>
      </c>
      <c r="K139" s="98" t="str">
        <f t="shared" si="21"/>
        <v>4027/4028</v>
      </c>
      <c r="L139" s="21" t="str">
        <f>VLOOKUP(A139,'Trips&amp;Operators'!$C$1:$G$99999,5,FALSE)</f>
        <v>NEWELL JAMES</v>
      </c>
      <c r="M139" s="6">
        <f t="shared" si="22"/>
        <v>1.7083333332266193E-2</v>
      </c>
      <c r="N139" s="7"/>
      <c r="O139" s="7"/>
      <c r="P139" s="7"/>
      <c r="Q139" s="22"/>
      <c r="R139" s="22"/>
      <c r="S139" s="31"/>
      <c r="T139" s="46" t="str">
        <f t="shared" si="25"/>
        <v>Southbound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0</v>
      </c>
      <c r="V139" s="186" t="str">
        <f t="shared" si="26"/>
        <v>https://d0f6bd738d7f1b3e5a7ca70fe4ff75f0.us-east-1.aws.found.io/app/kibana#/discover/Steve-Slow-Train-Analysis-(2080s-and-2083s)?_g=(refreshInterval:(display:Off,pause:!f,section:0,value:0),time:(from:'2017-02-26T19:10:16-0700',mode:absolute,to:'2017-02-26T22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9" s="187" t="str">
        <f t="shared" si="27"/>
        <v>Y</v>
      </c>
      <c r="X139" s="187">
        <f t="shared" si="28"/>
        <v>0</v>
      </c>
      <c r="Y139" s="62">
        <f t="shared" si="29"/>
        <v>23.299299999999999</v>
      </c>
      <c r="Z139" s="62">
        <f t="shared" si="30"/>
        <v>23.299299999999999</v>
      </c>
      <c r="AA139" s="62">
        <f t="shared" si="31"/>
        <v>0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2"/>
        <v>0224-26</v>
      </c>
      <c r="AE139" s="85" t="str">
        <f t="shared" si="33"/>
        <v>aws s3 cp s3://rtdc.mdm.uploadarchive.raw/RTDC4028/ "%USERPROFILE%\AppData\Local\Temp\OnboardLogs"\RTDC4028\2017-02-26 --exclude "*" --recursive --include "*20170226*" &amp; "%USERPROFILE%\Documents\GitHub\mrs-test-scripts\Headless Mode &amp; Sideloading\WalkAndUnGZ.bat" "%USERPROFILE%\AppData\Local\Temp\OnboardLogs"\RTDC4028\2017-02-26 &amp; aws s3 cp s3://rtdc.mdm.uploadarchive.raw/RTDC4028/ "%USERPROFILE%\AppData\Local\Temp\OnboardLogs"\RTDC4028\2017-02-27 --exclude "*" --recursive --include "*20170227*" &amp; "%USERPROFILE%\Documents\GitHub\mrs-test-scripts\Headless Mode &amp; Sideloading\WalkAndUnGZ.bat" "%USERPROFILE%\AppData\Local\Temp\OnboardLogs"\RTDC4028\2017-02-27</v>
      </c>
      <c r="AF139" s="82" t="str">
        <f t="shared" si="34"/>
        <v>"C:\Program Files (x86)\AstroGrep\AstroGrep.exe" /spath="%USERPROFILE%\AppData\Local\Temp\OnboardLogs" /stypes="app*4028*20170227*" /stext=" 04:.+((SYSTEM_STATE.+slice.+state.+changed )|(ment ac)|(multiple cpu faults)|(system.+state.+changed )|(\[timeout)|(PRM\|1\|D)|(kpr)|(kdp)|(\|lc)|(penalty))" /e /r /s</v>
      </c>
      <c r="AG139" s="1" t="str">
        <f t="shared" si="35"/>
        <v>EC</v>
      </c>
      <c r="AH139" s="86" t="str">
        <f t="shared" si="36"/>
        <v>"%USERPROFILE%\Documents\GitHub\eaglep3\Utilities\RefineRTDCRunTimes.py" --tripid 224-26 --locoid 4028 --swversion DE.1.0.9.0 --startMP 204:232993 --initTime 2017-02-26T20:10:16 --startdatetime 2017-02-26T20:41:35 --delay 0 --endMP 204:232993 --enddatetime 2017-02-26T21:06:11 --enforcementcount 1 &gt;&gt;C:\Users\stu\Documents\GitHub\eaglep3-reporting\EC\2017-02-26-refined-times.txt</v>
      </c>
      <c r="AI139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{"issue":{"subject":"","project_id":79,"tracker_id":40,"status_id":1,"priority_id":2,"assigned_to_id":23,"start_date":"2017-02-26","description":"","custom_fields":[{"id":1,"name":"Subdivision","value":"EC"},{"id":4,"name":"Milepost","value":"23.2993"},{"id":17,"name":"Train ID","value":"224-26"},{"id":16,"name":"Locomotive ID","value":"4028"},{"id":130,"name":"Impact","value":""},{"id":150,"name":"Time of Event (Mountain Time)","value":"21:06:11"},{"id":151,"name":"Denver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38"/>
        <v>start /low /b %USERPROFILE%\Documents\GitHub\eaglep3\Utilities\DownloadLogsFromS3.py --loco 4028 --day 2017-02-26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"%USERPROFILE%\AppData\Local\Temp\OnboardLogs"\RTDC4028\*4028*20170227* | grep -SE "(Enforcement Action)|(\[TIMEOUT)|(CHR.+\|PRM\|1\|D.+(SWITCH|SIGNAL).+UNKNOWN)" - &gt;&gt; 2017-02-26-UncaughtWiMAX.txt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753</v>
      </c>
      <c r="B140" s="7">
        <v>4053</v>
      </c>
      <c r="C140" s="21" t="s">
        <v>285</v>
      </c>
      <c r="D140" s="21" t="s">
        <v>278</v>
      </c>
      <c r="E140" s="13">
        <v>42792.828958333332</v>
      </c>
      <c r="F140" s="13">
        <v>42792.833657407406</v>
      </c>
      <c r="G140" s="7">
        <v>2</v>
      </c>
      <c r="H140" s="21" t="s">
        <v>265</v>
      </c>
      <c r="I140" s="13">
        <v>42792.858923611115</v>
      </c>
      <c r="J140" s="7">
        <v>1</v>
      </c>
      <c r="K140" s="98" t="str">
        <f t="shared" si="21"/>
        <v>4053/4054</v>
      </c>
      <c r="L140" s="21" t="str">
        <f>VLOOKUP(A140,'Trips&amp;Operators'!$C$1:$G$99999,5,FALSE)</f>
        <v>SMITH MICHAEL</v>
      </c>
      <c r="M140" s="6">
        <f t="shared" si="22"/>
        <v>2.5266203709179536E-2</v>
      </c>
      <c r="N140" s="7">
        <f t="shared" si="23"/>
        <v>36.383333341218531</v>
      </c>
      <c r="O140" s="7"/>
      <c r="P140" s="7"/>
      <c r="Q140" s="22"/>
      <c r="R140" s="22"/>
      <c r="S140" s="31">
        <f t="shared" si="24"/>
        <v>1</v>
      </c>
      <c r="T140" s="46" t="str">
        <f t="shared" si="25"/>
        <v>NorthBound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26"/>
        <v>https://d0f6bd738d7f1b3e5a7ca70fe4ff75f0.us-east-1.aws.found.io/app/kibana#/discover/Steve-Slow-Train-Analysis-(2080s-and-2083s)?_g=(refreshInterval:(display:Off,pause:!f,section:0,value:0),time:(from:'2017-02-26T18:53:42-0700',mode:absolute,to:'2017-02-26T21:36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0" s="187" t="str">
        <f t="shared" si="27"/>
        <v>N</v>
      </c>
      <c r="X140" s="187">
        <f t="shared" si="28"/>
        <v>1</v>
      </c>
      <c r="Y140" s="62">
        <f t="shared" si="29"/>
        <v>4.4699999999999997E-2</v>
      </c>
      <c r="Z140" s="62">
        <f t="shared" si="30"/>
        <v>23.331</v>
      </c>
      <c r="AA140" s="62">
        <f t="shared" si="31"/>
        <v>23.286300000000001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2"/>
        <v>0225-26</v>
      </c>
      <c r="AE140" s="85" t="str">
        <f t="shared" si="33"/>
        <v>aws s3 cp s3://rtdc.mdm.uploadarchive.raw/RTDC4053/ "%USERPROFILE%\AppData\Local\Temp\OnboardLogs"\RTDC4053\2017-02-26 --exclude "*" --recursive --include "*20170226*" &amp; "%USERPROFILE%\Documents\GitHub\mrs-test-scripts\Headless Mode &amp; Sideloading\WalkAndUnGZ.bat" "%USERPROFILE%\AppData\Local\Temp\OnboardLogs"\RTDC4053\2017-02-26 &amp; aws s3 cp s3://rtdc.mdm.uploadarchive.raw/RTDC4053/ "%USERPROFILE%\AppData\Local\Temp\OnboardLogs"\RTDC4053\2017-02-27 --exclude "*" --recursive --include "*20170227*" &amp; "%USERPROFILE%\Documents\GitHub\mrs-test-scripts\Headless Mode &amp; Sideloading\WalkAndUnGZ.bat" "%USERPROFILE%\AppData\Local\Temp\OnboardLogs"\RTDC4053\2017-02-27</v>
      </c>
      <c r="AF140" s="82" t="str">
        <f t="shared" si="34"/>
        <v>"C:\Program Files (x86)\AstroGrep\AstroGrep.exe" /spath="%USERPROFILE%\AppData\Local\Temp\OnboardLogs" /stypes="app*4053*20170227*" /stext=" 03:.+((SYSTEM_STATE.+slice.+state.+changed )|(ment ac)|(multiple cpu faults)|(system.+state.+changed )|(\[timeout)|(PRM\|1\|D)|(kpr)|(kdp)|(\|lc)|(penalty))" /e /r /s</v>
      </c>
      <c r="AG140" s="1" t="str">
        <f t="shared" si="35"/>
        <v>EC</v>
      </c>
      <c r="AH140" s="86" t="str">
        <f t="shared" si="36"/>
        <v>"%USERPROFILE%\Documents\GitHub\eaglep3\Utilities\RefineRTDCRunTimes.py" --tripid 225-26 --locoid 4053 --swversion DE.1.0.9.0 --startMP 204:447 --initTime 2017-02-26T19:53:42 --startdatetime 2017-02-26T20:00:28 --delay 2 --endMP 204:233310 --enddatetime 2017-02-26T20:36:51 --enforcementcount 1 &gt;&gt;C:\Users\stu\Documents\GitHub\eaglep3-reporting\EC\2017-02-26-refined-times.txt</v>
      </c>
      <c r="AI140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{"issue":{"subject":"","project_id":79,"tracker_id":40,"status_id":1,"priority_id":2,"assigned_to_id":23,"start_date":"2017-02-26","description":"","custom_fields":[{"id":1,"name":"Subdivision","value":"EC"},{"id":4,"name":"Milepost","value":"23.331"},{"id":17,"name":"Train ID","value":"225-26"},{"id":16,"name":"Locomotive ID","value":"4053"},{"id":130,"name":"Impact","value":""},{"id":150,"name":"Time of Event (Mountain Time)","value":"20:36:51"},{"id":151,"name":"Denver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38"/>
        <v>start /low /b %USERPROFILE%\Documents\GitHub\eaglep3\Utilities\DownloadLogsFromS3.py --loco 4053 --day 2017-02-26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"%USERPROFILE%\AppData\Local\Temp\OnboardLogs"\RTDC4053\*4053*20170227* | grep -SE "(Enforcement Action)|(\[TIMEOUT)|(CHR.+\|PRM\|1\|D.+(SWITCH|SIGNAL).+UNKNOWN)" - &gt;&gt; 2017-02-26-UncaughtWiMAX.txt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758</v>
      </c>
      <c r="B141" s="7">
        <v>4054</v>
      </c>
      <c r="C141" s="21" t="s">
        <v>285</v>
      </c>
      <c r="D141" s="21" t="s">
        <v>246</v>
      </c>
      <c r="E141" s="13">
        <v>42792.864398148151</v>
      </c>
      <c r="F141" s="13">
        <v>42792.872465277775</v>
      </c>
      <c r="G141" s="7">
        <v>1</v>
      </c>
      <c r="H141" s="21" t="s">
        <v>213</v>
      </c>
      <c r="I141" s="13">
        <v>42792.900451388887</v>
      </c>
      <c r="J141" s="7">
        <v>1</v>
      </c>
      <c r="K141" s="98" t="str">
        <f t="shared" ref="K141:K202" si="39">IF(ISEVEN(B141),(B141-1)&amp;"/"&amp;B141,B141&amp;"/"&amp;(B141+1))</f>
        <v>4053/4054</v>
      </c>
      <c r="L141" s="21" t="str">
        <f>VLOOKUP(A141,'Trips&amp;Operators'!$C$1:$G$99999,5,FALSE)</f>
        <v>SMITH MICHAEL</v>
      </c>
      <c r="M141" s="6">
        <f t="shared" ref="M141:M202" si="40">I141-F141</f>
        <v>2.7986111112113576E-2</v>
      </c>
      <c r="N141" s="7">
        <f t="shared" ref="N141:N202" si="41">24*60*SUM($M141:$M141)</f>
        <v>40.30000000144355</v>
      </c>
      <c r="O141" s="7"/>
      <c r="P141" s="7"/>
      <c r="Q141" s="22"/>
      <c r="R141" s="22"/>
      <c r="S141" s="31">
        <f t="shared" ref="S141:S202" si="42">SUM(U141:U141)/IF(AG141="EC",12,1)</f>
        <v>1</v>
      </c>
      <c r="T141" s="46" t="str">
        <f t="shared" ref="T141:T202" si="43">IF(ISEVEN(LEFT(AD141,4)),"Southbound","NorthBound")</f>
        <v>Southbound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2" si="4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-02-26T19:44:44-0700',mode:absolute,to:'2017-02-26T22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1" s="187" t="str">
        <f t="shared" ref="W141:W202" si="45">IF(AA141&lt;IF(AG141="EC",23,5.65),"Y","N")</f>
        <v>N</v>
      </c>
      <c r="X141" s="187">
        <f t="shared" ref="X141:X202" si="46">VALUE(LEFT(AD141,4))-VALUE(LEFT(AD140,4))</f>
        <v>1</v>
      </c>
      <c r="Y141" s="62">
        <f t="shared" ref="Y141:Y202" si="47">RIGHT(D141,LEN(D141)-4)/10000</f>
        <v>23.299299999999999</v>
      </c>
      <c r="Z141" s="62">
        <f t="shared" ref="Z141:Z202" si="48">RIGHT(H141,LEN(H141)-4)/10000</f>
        <v>1.54E-2</v>
      </c>
      <c r="AA141" s="62">
        <f t="shared" ref="AA141:AA202" si="49">ABS(Z141-Y141)</f>
        <v>23.283899999999999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2" si="50">IF(LEN(A141)=6,"0"&amp;A141,A141)</f>
        <v>0226-26</v>
      </c>
      <c r="AE141" s="85" t="str">
        <f t="shared" ref="AE141:AE202" si="5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s3://rtdc.mdm.uploadarchive.raw/RTDC4054/ "%USERPROFILE%\AppData\Local\Temp\OnboardLogs"\RTDC4054\2017-02-26 --exclude "*" --recursive --include "*20170226*" &amp; "%USERPROFILE%\Documents\GitHub\mrs-test-scripts\Headless Mode &amp; Sideloading\WalkAndUnGZ.bat" "%USERPROFILE%\AppData\Local\Temp\OnboardLogs"\RTDC4054\2017-02-26 &amp; aws s3 cp s3://rtdc.mdm.uploadarchive.raw/RTDC4054/ "%USERPROFILE%\AppData\Local\Temp\OnboardLogs"\RTDC4054\2017-02-27 --exclude "*" --recursive --include "*20170227*" &amp; "%USERPROFILE%\Documents\GitHub\mrs-test-scripts\Headless Mode &amp; Sideloading\WalkAndUnGZ.bat" "%USERPROFILE%\AppData\Local\Temp\OnboardLogs"\RTDC4054\2017-02-27</v>
      </c>
      <c r="AF141" s="82" t="str">
        <f t="shared" ref="AF141:AF202" si="52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/stypes="app*4054*20170227*" /stext=" 04:.+((SYSTEM_STATE.+slice.+state.+changed )|(ment ac)|(multiple cpu faults)|(system.+state.+changed )|(\[timeout)|(PRM\|1\|D)|(kpr)|(kdp)|(\|lc)|(penalty))" /e /r /s</v>
      </c>
      <c r="AG141" s="1" t="str">
        <f t="shared" ref="AG141:AG202" si="53">IFERROR(IF(VALUE(LEFT(AD141,2))&lt;=2,"EC",IF(OR(VALUE(LEFT(AD141,2))=8,VALUE(LEFT(AD141,2))=18),"NW","Other")),"Other")</f>
        <v>EC</v>
      </c>
      <c r="AH141" s="86" t="str">
        <f t="shared" si="36"/>
        <v>"%USERPROFILE%\Documents\GitHub\eaglep3\Utilities\RefineRTDCRunTimes.py" --tripid 226-26 --locoid 4054 --swversion DE.1.0.9.0 --startMP 204:232993 --initTime 2017-02-26T20:44:44 --startdatetime 2017-02-26T20:56:21 --delay 1 --endMP 204:154 --enddatetime 2017-02-26T21:36:39 --enforcementcount 1 &gt;&gt;C:\Users\stu\Documents\GitHub\eaglep3-reporting\EC\2017-02-26-refined-times.txt</v>
      </c>
      <c r="AI141" s="108" t="str">
        <f t="shared" si="37"/>
        <v>echo {"issue":{"subject":"","project_id":79,"tracker_id":40,"status_id":1,"priority_id":2,"assigned_to_id":23,"start_date":"2017-02-26","description":"","custom_fields":[{"id":1,"name":"Subdivision","value":"EC"},{"id":4,"name":"Milepost","value":"0.0154"},{"id":17,"name":"Train ID","value":"226-26"},{"id":16,"name":"Locomotive ID","value":"4054"},{"id":130,"name":"Impact","value":""},{"id":150,"name":"Time of Event (Mountain Time)","value":"21:36:39"},{"id":151,"name":"Denver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38"/>
        <v>start /low /b %USERPROFILE%\Documents\GitHub\eaglep3\Utilities\DownloadLogsFromS3.py --loco 4054 --day 2017-02-26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"%USERPROFILE%\AppData\Local\Temp\OnboardLogs"\RTDC4054\*4054*20170227* | grep -SE "(Enforcement Action)|(\[TIMEOUT)|(CHR.+\|PRM\|1\|D.+(SWITCH|SIGNAL).+UNKNOWN)" - &gt;&gt; 2017-02-26-UncaughtWiMAX.txt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x14ac:dyDescent="0.25">
      <c r="A142" s="33" t="s">
        <v>754</v>
      </c>
      <c r="B142" s="7">
        <v>4029</v>
      </c>
      <c r="C142" s="21" t="s">
        <v>285</v>
      </c>
      <c r="D142" s="21" t="s">
        <v>384</v>
      </c>
      <c r="E142" s="13">
        <v>42792.838182870371</v>
      </c>
      <c r="F142" s="13">
        <v>42792.854675925926</v>
      </c>
      <c r="G142" s="7">
        <v>1</v>
      </c>
      <c r="H142" s="21" t="s">
        <v>389</v>
      </c>
      <c r="I142" s="13">
        <v>42792.879907407405</v>
      </c>
      <c r="J142" s="7">
        <v>1</v>
      </c>
      <c r="K142" s="98" t="str">
        <f t="shared" si="39"/>
        <v>4029/4030</v>
      </c>
      <c r="L142" s="21" t="str">
        <f>VLOOKUP(A142,'Trips&amp;Operators'!$C$1:$G$99999,5,FALSE)</f>
        <v>STAMBAUGH JAMES</v>
      </c>
      <c r="M142" s="6">
        <f t="shared" si="40"/>
        <v>2.5231481478840578E-2</v>
      </c>
      <c r="N142" s="7">
        <f t="shared" si="41"/>
        <v>36.333333329530433</v>
      </c>
      <c r="O142" s="7"/>
      <c r="P142" s="7"/>
      <c r="Q142" s="22"/>
      <c r="R142" s="22"/>
      <c r="S142" s="31">
        <f t="shared" si="42"/>
        <v>1</v>
      </c>
      <c r="T142" s="46" t="str">
        <f t="shared" si="43"/>
        <v>NorthBound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44"/>
        <v>https://d0f6bd738d7f1b3e5a7ca70fe4ff75f0.us-east-1.aws.found.io/app/kibana#/discover/Steve-Slow-Train-Analysis-(2080s-and-2083s)?_g=(refreshInterval:(display:Off,pause:!f,section:0,value:0),time:(from:'2017-02-26T19:06:59-0700',mode:absolute,to:'2017-02-26T22:07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2" s="187" t="str">
        <f t="shared" si="45"/>
        <v>N</v>
      </c>
      <c r="X142" s="187">
        <f t="shared" si="46"/>
        <v>1</v>
      </c>
      <c r="Y142" s="62">
        <f t="shared" si="47"/>
        <v>4.6899999999999997E-2</v>
      </c>
      <c r="Z142" s="62">
        <f t="shared" si="48"/>
        <v>23.334199999999999</v>
      </c>
      <c r="AA142" s="62">
        <f t="shared" si="49"/>
        <v>23.287299999999998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0"/>
        <v>0227-26</v>
      </c>
      <c r="AE142" s="85" t="str">
        <f t="shared" si="51"/>
        <v>aws s3 cp s3://rtdc.mdm.uploadarchive.raw/RTDC4029/ "%USERPROFILE%\AppData\Local\Temp\OnboardLogs"\RTDC4029\2017-02-26 --exclude "*" --recursive --include "*20170226*" &amp; "%USERPROFILE%\Documents\GitHub\mrs-test-scripts\Headless Mode &amp; Sideloading\WalkAndUnGZ.bat" "%USERPROFILE%\AppData\Local\Temp\OnboardLogs"\RTDC4029\2017-02-26 &amp; aws s3 cp s3://rtdc.mdm.uploadarchive.raw/RTDC4029/ "%USERPROFILE%\AppData\Local\Temp\OnboardLogs"\RTDC4029\2017-02-27 --exclude "*" --recursive --include "*20170227*" &amp; "%USERPROFILE%\Documents\GitHub\mrs-test-scripts\Headless Mode &amp; Sideloading\WalkAndUnGZ.bat" "%USERPROFILE%\AppData\Local\Temp\OnboardLogs"\RTDC4029\2017-02-27</v>
      </c>
      <c r="AF142" s="82" t="str">
        <f t="shared" si="52"/>
        <v>"C:\Program Files (x86)\AstroGrep\AstroGrep.exe" /spath="%USERPROFILE%\AppData\Local\Temp\OnboardLogs" /stypes="app*4029*20170227*" /stext=" 04:.+((SYSTEM_STATE.+slice.+state.+changed )|(ment ac)|(multiple cpu faults)|(system.+state.+changed )|(\[timeout)|(PRM\|1\|D)|(kpr)|(kdp)|(\|lc)|(penalty))" /e /r /s</v>
      </c>
      <c r="AG142" s="1" t="str">
        <f t="shared" si="53"/>
        <v>EC</v>
      </c>
      <c r="AH142" s="86" t="str">
        <f t="shared" ref="AH142:AH203" si="5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227-26 --locoid 4029 --swversion DE.1.0.9.0 --startMP 204:469 --initTime 2017-02-26T20:06:59 --startdatetime 2017-02-26T20:30:44 --delay 1 --endMP 204:233342 --enddatetime 2017-02-26T21:07:04 --enforcementcount 1 &gt;&gt;C:\Users\stu\Documents\GitHub\eaglep3-reporting\EC\2017-02-26-refined-times.txt</v>
      </c>
      <c r="AI142" s="108" t="str">
        <f t="shared" ref="AI142:AI203" si="5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{"issue":{"subject":"","project_id":79,"tracker_id":40,"status_id":1,"priority_id":2,"assigned_to_id":23,"start_date":"2017-02-26","description":"","custom_fields":[{"id":1,"name":"Subdivision","value":"EC"},{"id":4,"name":"Milepost","value":"23.3342"},{"id":17,"name":"Train ID","value":"227-26"},{"id":16,"name":"Locomotive ID","value":"4029"},{"id":130,"name":"Impact","value":""},{"id":150,"name":"Time of Event (Mountain Time)","value":"21:07:04"},{"id":151,"name":"Denver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ref="AM142:AM203" si="56">"start /low /b "&amp;dls3logs&amp;" --loco "&amp;B142&amp;" --day "&amp;TEXT(F142,"YYYY-MM-DD")</f>
        <v>start /low /b %USERPROFILE%\Documents\GitHub\eaglep3\Utilities\DownloadLogsFromS3.py --loco 4029 --day 2017-02-26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"%USERPROFILE%\AppData\Local\Temp\OnboardLogs"\RTDC4029\*4029*20170227* | grep -SE "(Enforcement Action)|(\[TIMEOUT)|(CHR.+\|PRM\|1\|D.+(SWITCH|SIGNAL).+UNKNOWN)" - &gt;&gt; 2017-02-26-UncaughtWiMAX.txt</v>
      </c>
    </row>
    <row r="143" spans="1:91" s="20" customFormat="1" x14ac:dyDescent="0.25">
      <c r="A143" s="33" t="s">
        <v>762</v>
      </c>
      <c r="B143" s="7">
        <v>4030</v>
      </c>
      <c r="C143" s="21" t="s">
        <v>285</v>
      </c>
      <c r="D143" s="21" t="s">
        <v>902</v>
      </c>
      <c r="E143" s="13">
        <v>42792.883275462962</v>
      </c>
      <c r="F143" s="13">
        <v>42792.893692129626</v>
      </c>
      <c r="G143" s="7">
        <v>5</v>
      </c>
      <c r="H143" s="21" t="s">
        <v>213</v>
      </c>
      <c r="I143" s="13">
        <v>42792.920069444444</v>
      </c>
      <c r="J143" s="7">
        <v>1</v>
      </c>
      <c r="K143" s="98" t="str">
        <f t="shared" si="39"/>
        <v>4029/4030</v>
      </c>
      <c r="L143" s="21" t="str">
        <f>VLOOKUP(A143,'Trips&amp;Operators'!$C$1:$G$99999,5,FALSE)</f>
        <v>STAMBAUGH JAMES</v>
      </c>
      <c r="M143" s="6">
        <f t="shared" si="40"/>
        <v>2.6377314818091691E-2</v>
      </c>
      <c r="N143" s="7">
        <f t="shared" si="41"/>
        <v>37.983333338052034</v>
      </c>
      <c r="O143" s="7"/>
      <c r="P143" s="7"/>
      <c r="Q143" s="22"/>
      <c r="R143" s="22"/>
      <c r="S143" s="31">
        <f t="shared" si="42"/>
        <v>1</v>
      </c>
      <c r="T143" s="46" t="str">
        <f t="shared" si="43"/>
        <v>Southbound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44"/>
        <v>https://d0f6bd738d7f1b3e5a7ca70fe4ff75f0.us-east-1.aws.found.io/app/kibana#/discover/Steve-Slow-Train-Analysis-(2080s-and-2083s)?_g=(refreshInterval:(display:Off,pause:!f,section:0,value:0),time:(from:'2017-02-26T20:11:55-0700',mode:absolute,to:'2017-02-26T23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3" s="187" t="str">
        <f t="shared" si="45"/>
        <v>N</v>
      </c>
      <c r="X143" s="187">
        <f t="shared" si="46"/>
        <v>1</v>
      </c>
      <c r="Y143" s="62">
        <f t="shared" si="47"/>
        <v>23.3032</v>
      </c>
      <c r="Z143" s="62">
        <f t="shared" si="48"/>
        <v>1.54E-2</v>
      </c>
      <c r="AA143" s="62">
        <f t="shared" si="49"/>
        <v>23.287800000000001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0"/>
        <v>0228-26</v>
      </c>
      <c r="AE143" s="85" t="str">
        <f t="shared" si="51"/>
        <v>aws s3 cp s3://rtdc.mdm.uploadarchive.raw/RTDC4030/ "%USERPROFILE%\AppData\Local\Temp\OnboardLogs"\RTDC4030\2017-02-26 --exclude "*" --recursive --include "*20170226*" &amp; "%USERPROFILE%\Documents\GitHub\mrs-test-scripts\Headless Mode &amp; Sideloading\WalkAndUnGZ.bat" "%USERPROFILE%\AppData\Local\Temp\OnboardLogs"\RTDC4030\2017-02-26 &amp; aws s3 cp s3://rtdc.mdm.uploadarchive.raw/RTDC4030/ "%USERPROFILE%\AppData\Local\Temp\OnboardLogs"\RTDC4030\2017-02-27 --exclude "*" --recursive --include "*20170227*" &amp; "%USERPROFILE%\Documents\GitHub\mrs-test-scripts\Headless Mode &amp; Sideloading\WalkAndUnGZ.bat" "%USERPROFILE%\AppData\Local\Temp\OnboardLogs"\RTDC4030\2017-02-27</v>
      </c>
      <c r="AF143" s="82" t="str">
        <f t="shared" si="52"/>
        <v>"C:\Program Files (x86)\AstroGrep\AstroGrep.exe" /spath="%USERPROFILE%\AppData\Local\Temp\OnboardLogs" /stypes="app*4030*20170227*" /stext=" 05:.+((SYSTEM_STATE.+slice.+state.+changed )|(ment ac)|(multiple cpu faults)|(system.+state.+changed )|(\[timeout)|(PRM\|1\|D)|(kpr)|(kdp)|(\|lc)|(penalty))" /e /r /s</v>
      </c>
      <c r="AG143" s="1" t="str">
        <f t="shared" si="53"/>
        <v>EC</v>
      </c>
      <c r="AH143" s="86" t="str">
        <f t="shared" si="54"/>
        <v>"%USERPROFILE%\Documents\GitHub\eaglep3\Utilities\RefineRTDCRunTimes.py" --tripid 228-26 --locoid 4030 --swversion DE.1.0.9.0 --startMP 204:233032 --initTime 2017-02-26T21:11:55 --startdatetime 2017-02-26T21:26:55 --delay 5 --endMP 204:154 --enddatetime 2017-02-26T22:04:54 --enforcementcount 1 &gt;&gt;C:\Users\stu\Documents\GitHub\eaglep3-reporting\EC\2017-02-26-refined-times.txt</v>
      </c>
      <c r="AI143" s="108" t="str">
        <f t="shared" si="55"/>
        <v>echo {"issue":{"subject":"","project_id":79,"tracker_id":40,"status_id":1,"priority_id":2,"assigned_to_id":23,"start_date":"2017-02-26","description":"","custom_fields":[{"id":1,"name":"Subdivision","value":"EC"},{"id":4,"name":"Milepost","value":"0.0154"},{"id":17,"name":"Train ID","value":"228-26"},{"id":16,"name":"Locomotive ID","value":"4030"},{"id":130,"name":"Impact","value":""},{"id":150,"name":"Time of Event (Mountain Time)","value":"22:04:54"},{"id":151,"name":"Denver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56"/>
        <v>start /low /b %USERPROFILE%\Documents\GitHub\eaglep3\Utilities\DownloadLogsFromS3.py --loco 4030 --day 2017-02-26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"%USERPROFILE%\AppData\Local\Temp\OnboardLogs"\RTDC4030\*4030*20170227* | grep -SE "(Enforcement Action)|(\[TIMEOUT)|(CHR.+\|PRM\|1\|D.+(SWITCH|SIGNAL).+UNKNOWN)" - &gt;&gt; 2017-02-26-UncaughtWiMAX.txt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759</v>
      </c>
      <c r="B144" s="7">
        <v>4009</v>
      </c>
      <c r="C144" s="21" t="s">
        <v>285</v>
      </c>
      <c r="D144" s="21" t="s">
        <v>305</v>
      </c>
      <c r="E144" s="13">
        <v>42792.871458333335</v>
      </c>
      <c r="F144" s="13">
        <v>42792.875219907408</v>
      </c>
      <c r="G144" s="7">
        <v>1</v>
      </c>
      <c r="H144" s="21" t="s">
        <v>903</v>
      </c>
      <c r="I144" s="13">
        <v>42792.900358796294</v>
      </c>
      <c r="J144" s="7">
        <v>1</v>
      </c>
      <c r="K144" s="98" t="str">
        <f t="shared" si="39"/>
        <v>4009/4010</v>
      </c>
      <c r="L144" s="21" t="str">
        <f>VLOOKUP(A144,'Trips&amp;Operators'!$C$1:$G$99999,5,FALSE)</f>
        <v>CHANDLER KELVIN</v>
      </c>
      <c r="M144" s="6">
        <f t="shared" si="40"/>
        <v>2.5138888886431232E-2</v>
      </c>
      <c r="N144" s="7">
        <f t="shared" si="41"/>
        <v>36.199999996460974</v>
      </c>
      <c r="O144" s="7"/>
      <c r="P144" s="7"/>
      <c r="Q144" s="22"/>
      <c r="R144" s="22"/>
      <c r="S144" s="31">
        <f t="shared" si="42"/>
        <v>1</v>
      </c>
      <c r="T144" s="46" t="str">
        <f t="shared" si="43"/>
        <v>NorthBound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si="44"/>
        <v>https://d0f6bd738d7f1b3e5a7ca70fe4ff75f0.us-east-1.aws.found.io/app/kibana#/discover/Steve-Slow-Train-Analysis-(2080s-and-2083s)?_g=(refreshInterval:(display:Off,pause:!f,section:0,value:0),time:(from:'2017-02-26T19:54:54-0700',mode:absolute,to:'2017-02-26T22:36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4" s="187" t="str">
        <f t="shared" si="45"/>
        <v>N</v>
      </c>
      <c r="X144" s="187">
        <f t="shared" si="46"/>
        <v>1</v>
      </c>
      <c r="Y144" s="62">
        <f t="shared" si="47"/>
        <v>4.3299999999999998E-2</v>
      </c>
      <c r="Z144" s="62">
        <f t="shared" si="48"/>
        <v>23.329799999999999</v>
      </c>
      <c r="AA144" s="62">
        <f t="shared" si="49"/>
        <v>23.2865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0"/>
        <v>0229-26</v>
      </c>
      <c r="AE144" s="85" t="str">
        <f t="shared" si="51"/>
        <v>aws s3 cp s3://rtdc.mdm.uploadarchive.raw/RTDC4009/ "%USERPROFILE%\AppData\Local\Temp\OnboardLogs"\RTDC4009\2017-02-26 --exclude "*" --recursive --include "*20170226*" &amp; "%USERPROFILE%\Documents\GitHub\mrs-test-scripts\Headless Mode &amp; Sideloading\WalkAndUnGZ.bat" "%USERPROFILE%\AppData\Local\Temp\OnboardLogs"\RTDC4009\2017-02-26 &amp; aws s3 cp s3://rtdc.mdm.uploadarchive.raw/RTDC4009/ "%USERPROFILE%\AppData\Local\Temp\OnboardLogs"\RTDC4009\2017-02-27 --exclude "*" --recursive --include "*20170227*" &amp; "%USERPROFILE%\Documents\GitHub\mrs-test-scripts\Headless Mode &amp; Sideloading\WalkAndUnGZ.bat" "%USERPROFILE%\AppData\Local\Temp\OnboardLogs"\RTDC4009\2017-02-27</v>
      </c>
      <c r="AF144" s="82" t="str">
        <f t="shared" si="52"/>
        <v>"C:\Program Files (x86)\AstroGrep\AstroGrep.exe" /spath="%USERPROFILE%\AppData\Local\Temp\OnboardLogs" /stypes="app*4009*20170227*" /stext=" 04:.+((SYSTEM_STATE.+slice.+state.+changed )|(ment ac)|(multiple cpu faults)|(system.+state.+changed )|(\[timeout)|(PRM\|1\|D)|(kpr)|(kdp)|(\|lc)|(penalty))" /e /r /s</v>
      </c>
      <c r="AG144" s="1" t="str">
        <f t="shared" si="53"/>
        <v>EC</v>
      </c>
      <c r="AH144" s="86" t="str">
        <f t="shared" si="54"/>
        <v>"%USERPROFILE%\Documents\GitHub\eaglep3\Utilities\RefineRTDCRunTimes.py" --tripid 229-26 --locoid 4009 --swversion DE.1.0.9.0 --startMP 204:433 --initTime 2017-02-26T20:54:54 --startdatetime 2017-02-26T21:00:19 --delay 1 --endMP 204:233298 --enddatetime 2017-02-26T21:36:31 --enforcementcount 1 &gt;&gt;C:\Users\stu\Documents\GitHub\eaglep3-reporting\EC\2017-02-26-refined-times.txt</v>
      </c>
      <c r="AI144" s="108" t="str">
        <f t="shared" si="55"/>
        <v>echo {"issue":{"subject":"","project_id":79,"tracker_id":40,"status_id":1,"priority_id":2,"assigned_to_id":23,"start_date":"2017-02-26","description":"","custom_fields":[{"id":1,"name":"Subdivision","value":"EC"},{"id":4,"name":"Milepost","value":"23.3298"},{"id":17,"name":"Train ID","value":"229-26"},{"id":16,"name":"Locomotive ID","value":"4009"},{"id":130,"name":"Impact","value":""},{"id":150,"name":"Time of Event (Mountain Time)","value":"21:36:31"},{"id":151,"name":"Denver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56"/>
        <v>start /low /b %USERPROFILE%\Documents\GitHub\eaglep3\Utilities\DownloadLogsFromS3.py --loco 4009 --day 2017-02-26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"%USERPROFILE%\AppData\Local\Temp\OnboardLogs"\RTDC4009\*4009*20170227* | grep -SE "(Enforcement Action)|(\[TIMEOUT)|(CHR.+\|PRM\|1\|D.+(SWITCH|SIGNAL).+UNKNOWN)" - &gt;&gt; 2017-02-26-UncaughtWiMAX.txt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765</v>
      </c>
      <c r="B145" s="7">
        <v>4010</v>
      </c>
      <c r="C145" s="21" t="s">
        <v>285</v>
      </c>
      <c r="D145" s="21" t="s">
        <v>904</v>
      </c>
      <c r="E145" s="13">
        <v>42792.910810185182</v>
      </c>
      <c r="F145" s="13">
        <v>42792.914201388892</v>
      </c>
      <c r="G145" s="7">
        <v>1</v>
      </c>
      <c r="H145" s="21" t="s">
        <v>207</v>
      </c>
      <c r="I145" s="13">
        <v>42792.942719907405</v>
      </c>
      <c r="J145" s="7">
        <v>1</v>
      </c>
      <c r="K145" s="98" t="str">
        <f t="shared" si="39"/>
        <v>4009/4010</v>
      </c>
      <c r="L145" s="21" t="str">
        <f>VLOOKUP(A145,'Trips&amp;Operators'!$C$1:$G$99999,5,FALSE)</f>
        <v>CHANDLER KELVIN</v>
      </c>
      <c r="M145" s="6">
        <f t="shared" si="40"/>
        <v>2.8518518513010349E-2</v>
      </c>
      <c r="N145" s="7">
        <f t="shared" si="41"/>
        <v>41.066666658734903</v>
      </c>
      <c r="O145" s="7"/>
      <c r="P145" s="7"/>
      <c r="Q145" s="22"/>
      <c r="R145" s="22"/>
      <c r="S145" s="31">
        <f t="shared" si="42"/>
        <v>1</v>
      </c>
      <c r="T145" s="46" t="str">
        <f t="shared" si="43"/>
        <v>Southbound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44"/>
        <v>https://d0f6bd738d7f1b3e5a7ca70fe4ff75f0.us-east-1.aws.found.io/app/kibana#/discover/Steve-Slow-Train-Analysis-(2080s-and-2083s)?_g=(refreshInterval:(display:Off,pause:!f,section:0,value:0),time:(from:'2017-02-26T20:51:34-0700',mode:absolute,to:'2017-02-26T23:37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5" s="187" t="str">
        <f t="shared" si="45"/>
        <v>N</v>
      </c>
      <c r="X145" s="187">
        <f t="shared" si="46"/>
        <v>1</v>
      </c>
      <c r="Y145" s="62">
        <f t="shared" si="47"/>
        <v>23.2974</v>
      </c>
      <c r="Z145" s="62">
        <f t="shared" si="48"/>
        <v>1.5800000000000002E-2</v>
      </c>
      <c r="AA145" s="62">
        <f t="shared" si="49"/>
        <v>23.281600000000001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0"/>
        <v>0230-26</v>
      </c>
      <c r="AE145" s="85" t="str">
        <f t="shared" si="51"/>
        <v>aws s3 cp s3://rtdc.mdm.uploadarchive.raw/RTDC4010/ "%USERPROFILE%\AppData\Local\Temp\OnboardLogs"\RTDC4010\2017-02-26 --exclude "*" --recursive --include "*20170226*" &amp; "%USERPROFILE%\Documents\GitHub\mrs-test-scripts\Headless Mode &amp; Sideloading\WalkAndUnGZ.bat" "%USERPROFILE%\AppData\Local\Temp\OnboardLogs"\RTDC4010\2017-02-26 &amp; aws s3 cp s3://rtdc.mdm.uploadarchive.raw/RTDC4010/ "%USERPROFILE%\AppData\Local\Temp\OnboardLogs"\RTDC4010\2017-02-27 --exclude "*" --recursive --include "*20170227*" &amp; "%USERPROFILE%\Documents\GitHub\mrs-test-scripts\Headless Mode &amp; Sideloading\WalkAndUnGZ.bat" "%USERPROFILE%\AppData\Local\Temp\OnboardLogs"\RTDC4010\2017-02-27</v>
      </c>
      <c r="AF145" s="82" t="str">
        <f t="shared" si="52"/>
        <v>"C:\Program Files (x86)\AstroGrep\AstroGrep.exe" /spath="%USERPROFILE%\AppData\Local\Temp\OnboardLogs" /stypes="app*4010*20170227*" /stext=" 05:.+((SYSTEM_STATE.+slice.+state.+changed )|(ment ac)|(multiple cpu faults)|(system.+state.+changed )|(\[timeout)|(PRM\|1\|D)|(kpr)|(kdp)|(\|lc)|(penalty))" /e /r /s</v>
      </c>
      <c r="AG145" s="1" t="str">
        <f t="shared" si="53"/>
        <v>EC</v>
      </c>
      <c r="AH145" s="86" t="str">
        <f t="shared" si="54"/>
        <v>"%USERPROFILE%\Documents\GitHub\eaglep3\Utilities\RefineRTDCRunTimes.py" --tripid 230-26 --locoid 4010 --swversion DE.1.0.9.0 --startMP 204:232974 --initTime 2017-02-26T21:51:34 --startdatetime 2017-02-26T21:56:27 --delay 1 --endMP 204:158 --enddatetime 2017-02-26T22:37:31 --enforcementcount 1 &gt;&gt;C:\Users\stu\Documents\GitHub\eaglep3-reporting\EC\2017-02-26-refined-times.txt</v>
      </c>
      <c r="AI145" s="108" t="str">
        <f t="shared" si="55"/>
        <v>echo {"issue":{"subject":"","project_id":79,"tracker_id":40,"status_id":1,"priority_id":2,"assigned_to_id":23,"start_date":"2017-02-26","description":"","custom_fields":[{"id":1,"name":"Subdivision","value":"EC"},{"id":4,"name":"Milepost","value":"0.0158"},{"id":17,"name":"Train ID","value":"230-26"},{"id":16,"name":"Locomotive ID","value":"4010"},{"id":130,"name":"Impact","value":""},{"id":150,"name":"Time of Event (Mountain Time)","value":"22:37:31"},{"id":151,"name":"Denver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56"/>
        <v>start /low /b %USERPROFILE%\Documents\GitHub\eaglep3\Utilities\DownloadLogsFromS3.py --loco 4010 --day 2017-02-26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"%USERPROFILE%\AppData\Local\Temp\OnboardLogs"\RTDC4010\*4010*20170227* | grep -SE "(Enforcement Action)|(\[TIMEOUT)|(CHR.+\|PRM\|1\|D.+(SWITCH|SIGNAL).+UNKNOWN)" - &gt;&gt; 2017-02-26-UncaughtWiMAX.txt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761</v>
      </c>
      <c r="B146" s="7">
        <v>4027</v>
      </c>
      <c r="C146" s="21" t="s">
        <v>285</v>
      </c>
      <c r="D146" s="21" t="s">
        <v>266</v>
      </c>
      <c r="E146" s="13">
        <v>42792.880729166667</v>
      </c>
      <c r="F146" s="13">
        <v>42792.895995370367</v>
      </c>
      <c r="G146" s="7">
        <v>1</v>
      </c>
      <c r="H146" s="21" t="s">
        <v>296</v>
      </c>
      <c r="I146" s="13">
        <v>42792.9216087963</v>
      </c>
      <c r="J146" s="7">
        <v>1</v>
      </c>
      <c r="K146" s="98" t="str">
        <f t="shared" si="39"/>
        <v>4027/4028</v>
      </c>
      <c r="L146" s="21" t="str">
        <f>VLOOKUP(A146,'Trips&amp;Operators'!$C$1:$G$99999,5,FALSE)</f>
        <v>NEWELL JAMES</v>
      </c>
      <c r="M146" s="6">
        <f t="shared" si="40"/>
        <v>2.5613425932533573E-2</v>
      </c>
      <c r="N146" s="7">
        <f t="shared" si="41"/>
        <v>36.883333342848346</v>
      </c>
      <c r="O146" s="7"/>
      <c r="P146" s="7"/>
      <c r="Q146" s="22"/>
      <c r="R146" s="22"/>
      <c r="S146" s="31">
        <f t="shared" si="42"/>
        <v>1</v>
      </c>
      <c r="T146" s="46" t="str">
        <f t="shared" si="43"/>
        <v>NorthBound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44"/>
        <v>https://d0f6bd738d7f1b3e5a7ca70fe4ff75f0.us-east-1.aws.found.io/app/kibana#/discover/Steve-Slow-Train-Analysis-(2080s-and-2083s)?_g=(refreshInterval:(display:Off,pause:!f,section:0,value:0),time:(from:'2017-02-26T20:08:15-0700',mode:absolute,to:'2017-02-26T23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6" s="187" t="str">
        <f t="shared" si="45"/>
        <v>N</v>
      </c>
      <c r="X146" s="187">
        <f t="shared" si="46"/>
        <v>1</v>
      </c>
      <c r="Y146" s="62">
        <f t="shared" si="47"/>
        <v>4.4400000000000002E-2</v>
      </c>
      <c r="Z146" s="62">
        <f t="shared" si="48"/>
        <v>23.331399999999999</v>
      </c>
      <c r="AA146" s="62">
        <f t="shared" si="49"/>
        <v>23.286999999999999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0"/>
        <v>0231-26</v>
      </c>
      <c r="AE146" s="85" t="str">
        <f t="shared" si="51"/>
        <v>aws s3 cp s3://rtdc.mdm.uploadarchive.raw/RTDC4027/ "%USERPROFILE%\AppData\Local\Temp\OnboardLogs"\RTDC4027\2017-02-26 --exclude "*" --recursive --include "*20170226*" &amp; "%USERPROFILE%\Documents\GitHub\mrs-test-scripts\Headless Mode &amp; Sideloading\WalkAndUnGZ.bat" "%USERPROFILE%\AppData\Local\Temp\OnboardLogs"\RTDC4027\2017-02-26 &amp; aws s3 cp s3://rtdc.mdm.uploadarchive.raw/RTDC4027/ "%USERPROFILE%\AppData\Local\Temp\OnboardLogs"\RTDC4027\2017-02-27 --exclude "*" --recursive --include "*20170227*" &amp; "%USERPROFILE%\Documents\GitHub\mrs-test-scripts\Headless Mode &amp; Sideloading\WalkAndUnGZ.bat" "%USERPROFILE%\AppData\Local\Temp\OnboardLogs"\RTDC4027\2017-02-27</v>
      </c>
      <c r="AF146" s="82" t="str">
        <f t="shared" si="52"/>
        <v>"C:\Program Files (x86)\AstroGrep\AstroGrep.exe" /spath="%USERPROFILE%\AppData\Local\Temp\OnboardLogs" /stypes="app*4027*20170227*" /stext=" 05:.+((SYSTEM_STATE.+slice.+state.+changed )|(ment ac)|(multiple cpu faults)|(system.+state.+changed )|(\[timeout)|(PRM\|1\|D)|(kpr)|(kdp)|(\|lc)|(penalty))" /e /r /s</v>
      </c>
      <c r="AG146" s="1" t="str">
        <f t="shared" si="53"/>
        <v>EC</v>
      </c>
      <c r="AH146" s="86" t="str">
        <f t="shared" si="54"/>
        <v>"%USERPROFILE%\Documents\GitHub\eaglep3\Utilities\RefineRTDCRunTimes.py" --tripid 231-26 --locoid 4027 --swversion DE.1.0.9.0 --startMP 204:444 --initTime 2017-02-26T21:08:15 --startdatetime 2017-02-26T21:30:14 --delay 1 --endMP 204:233314 --enddatetime 2017-02-26T22:07:07 --enforcementcount 1 &gt;&gt;C:\Users\stu\Documents\GitHub\eaglep3-reporting\EC\2017-02-26-refined-times.txt</v>
      </c>
      <c r="AI146" s="108" t="str">
        <f t="shared" si="55"/>
        <v>echo {"issue":{"subject":"","project_id":79,"tracker_id":40,"status_id":1,"priority_id":2,"assigned_to_id":23,"start_date":"2017-02-26","description":"","custom_fields":[{"id":1,"name":"Subdivision","value":"EC"},{"id":4,"name":"Milepost","value":"23.3314"},{"id":17,"name":"Train ID","value":"231-26"},{"id":16,"name":"Locomotive ID","value":"4027"},{"id":130,"name":"Impact","value":""},{"id":150,"name":"Time of Event (Mountain Time)","value":"22:07:07"},{"id":151,"name":"Denver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56"/>
        <v>start /low /b %USERPROFILE%\Documents\GitHub\eaglep3\Utilities\DownloadLogsFromS3.py --loco 4027 --day 2017-02-26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"%USERPROFILE%\AppData\Local\Temp\OnboardLogs"\RTDC4027\*4027*20170227* | grep -SE "(Enforcement Action)|(\[TIMEOUT)|(CHR.+\|PRM\|1\|D.+(SWITCH|SIGNAL).+UNKNOWN)" - &gt;&gt; 2017-02-26-UncaughtWiMAX.txt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768</v>
      </c>
      <c r="B147" s="7">
        <v>4028</v>
      </c>
      <c r="C147" s="21" t="s">
        <v>285</v>
      </c>
      <c r="D147" s="21" t="s">
        <v>310</v>
      </c>
      <c r="E147" s="13">
        <v>42792.933148148149</v>
      </c>
      <c r="F147" s="13">
        <v>42792.934872685182</v>
      </c>
      <c r="G147" s="7">
        <v>1</v>
      </c>
      <c r="H147" s="21" t="s">
        <v>203</v>
      </c>
      <c r="I147" s="13">
        <v>42792.96162037037</v>
      </c>
      <c r="J147" s="7">
        <v>1</v>
      </c>
      <c r="K147" s="98" t="str">
        <f t="shared" si="39"/>
        <v>4027/4028</v>
      </c>
      <c r="L147" s="21" t="str">
        <f>VLOOKUP(A147,'Trips&amp;Operators'!$C$1:$G$99999,5,FALSE)</f>
        <v>NEWELL JAMES</v>
      </c>
      <c r="M147" s="6">
        <f t="shared" si="40"/>
        <v>2.6747685187729076E-2</v>
      </c>
      <c r="N147" s="7">
        <f t="shared" si="41"/>
        <v>38.516666670329869</v>
      </c>
      <c r="O147" s="7"/>
      <c r="P147" s="7"/>
      <c r="Q147" s="22"/>
      <c r="R147" s="22"/>
      <c r="S147" s="31">
        <f t="shared" si="42"/>
        <v>1</v>
      </c>
      <c r="T147" s="46" t="str">
        <f t="shared" si="43"/>
        <v>Southbound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44"/>
        <v>https://d0f6bd738d7f1b3e5a7ca70fe4ff75f0.us-east-1.aws.found.io/app/kibana#/discover/Steve-Slow-Train-Analysis-(2080s-and-2083s)?_g=(refreshInterval:(display:Off,pause:!f,section:0,value:0),time:(from:'2017-02-26T21:23:44-0700',mode:absolute,to:'2017-02-27T00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7" s="187" t="str">
        <f t="shared" si="45"/>
        <v>N</v>
      </c>
      <c r="X147" s="187">
        <f t="shared" si="46"/>
        <v>1</v>
      </c>
      <c r="Y147" s="62">
        <f t="shared" si="47"/>
        <v>23.3002</v>
      </c>
      <c r="Z147" s="62">
        <f t="shared" si="48"/>
        <v>1.6E-2</v>
      </c>
      <c r="AA147" s="62">
        <f t="shared" si="49"/>
        <v>23.284200000000002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0"/>
        <v>0232-26</v>
      </c>
      <c r="AE147" s="85" t="str">
        <f t="shared" si="51"/>
        <v>aws s3 cp s3://rtdc.mdm.uploadarchive.raw/RTDC4028/ "%USERPROFILE%\AppData\Local\Temp\OnboardLogs"\RTDC4028\2017-02-26 --exclude "*" --recursive --include "*20170226*" &amp; "%USERPROFILE%\Documents\GitHub\mrs-test-scripts\Headless Mode &amp; Sideloading\WalkAndUnGZ.bat" "%USERPROFILE%\AppData\Local\Temp\OnboardLogs"\RTDC4028\2017-02-26 &amp; aws s3 cp s3://rtdc.mdm.uploadarchive.raw/RTDC4028/ "%USERPROFILE%\AppData\Local\Temp\OnboardLogs"\RTDC4028\2017-02-27 --exclude "*" --recursive --include "*20170227*" &amp; "%USERPROFILE%\Documents\GitHub\mrs-test-scripts\Headless Mode &amp; Sideloading\WalkAndUnGZ.bat" "%USERPROFILE%\AppData\Local\Temp\OnboardLogs"\RTDC4028\2017-02-27</v>
      </c>
      <c r="AF147" s="82" t="str">
        <f t="shared" si="52"/>
        <v>"C:\Program Files (x86)\AstroGrep\AstroGrep.exe" /spath="%USERPROFILE%\AppData\Local\Temp\OnboardLogs" /stypes="app*4028*20170227*" /stext=" 06:.+((SYSTEM_STATE.+slice.+state.+changed )|(ment ac)|(multiple cpu faults)|(system.+state.+changed )|(\[timeout)|(PRM\|1\|D)|(kpr)|(kdp)|(\|lc)|(penalty))" /e /r /s</v>
      </c>
      <c r="AG147" s="1" t="str">
        <f t="shared" si="53"/>
        <v>EC</v>
      </c>
      <c r="AH147" s="86" t="str">
        <f t="shared" si="54"/>
        <v>"%USERPROFILE%\Documents\GitHub\eaglep3\Utilities\RefineRTDCRunTimes.py" --tripid 232-26 --locoid 4028 --swversion DE.1.0.9.0 --startMP 204:233002 --initTime 2017-02-26T22:23:44 --startdatetime 2017-02-26T22:26:13 --delay 1 --endMP 204:160 --enddatetime 2017-02-26T23:04:44 --enforcementcount 1 &gt;&gt;C:\Users\stu\Documents\GitHub\eaglep3-reporting\EC\2017-02-26-refined-times.txt</v>
      </c>
      <c r="AI147" s="108" t="str">
        <f t="shared" si="55"/>
        <v>echo {"issue":{"subject":"","project_id":79,"tracker_id":40,"status_id":1,"priority_id":2,"assigned_to_id":23,"start_date":"2017-02-26","description":"","custom_fields":[{"id":1,"name":"Subdivision","value":"EC"},{"id":4,"name":"Milepost","value":"0.016"},{"id":17,"name":"Train ID","value":"232-26"},{"id":16,"name":"Locomotive ID","value":"4028"},{"id":130,"name":"Impact","value":""},{"id":150,"name":"Time of Event (Mountain Time)","value":"23:04:44"},{"id":151,"name":"Denver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56"/>
        <v>start /low /b %USERPROFILE%\Documents\GitHub\eaglep3\Utilities\DownloadLogsFromS3.py --loco 4028 --day 2017-02-26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"%USERPROFILE%\AppData\Local\Temp\OnboardLogs"\RTDC4028\*4028*20170227* | grep -SE "(Enforcement Action)|(\[TIMEOUT)|(CHR.+\|PRM\|1\|D.+(SWITCH|SIGNAL).+UNKNOWN)" - &gt;&gt; 2017-02-26-UncaughtWiMAX.txt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3" t="s">
        <v>764</v>
      </c>
      <c r="B148" s="7">
        <v>4053</v>
      </c>
      <c r="C148" s="21" t="s">
        <v>285</v>
      </c>
      <c r="D148" s="21" t="s">
        <v>243</v>
      </c>
      <c r="E148" s="13">
        <v>42792.902037037034</v>
      </c>
      <c r="F148" s="13">
        <v>42792.91684027778</v>
      </c>
      <c r="G148" s="7">
        <v>1</v>
      </c>
      <c r="H148" s="21" t="s">
        <v>272</v>
      </c>
      <c r="I148" s="13">
        <v>42792.941874999997</v>
      </c>
      <c r="J148" s="7">
        <v>1</v>
      </c>
      <c r="K148" s="98" t="str">
        <f t="shared" si="39"/>
        <v>4053/4054</v>
      </c>
      <c r="L148" s="21" t="str">
        <f>VLOOKUP(A148,'Trips&amp;Operators'!$C$1:$G$99999,5,FALSE)</f>
        <v>SMITH MICHAEL</v>
      </c>
      <c r="M148" s="6">
        <f t="shared" si="40"/>
        <v>2.5034722217242233E-2</v>
      </c>
      <c r="N148" s="7">
        <f t="shared" si="41"/>
        <v>36.049999992828816</v>
      </c>
      <c r="O148" s="7"/>
      <c r="P148" s="7"/>
      <c r="Q148" s="22"/>
      <c r="R148" s="22"/>
      <c r="S148" s="31">
        <f t="shared" si="42"/>
        <v>1</v>
      </c>
      <c r="T148" s="46" t="str">
        <f t="shared" si="43"/>
        <v>NorthBound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44"/>
        <v>https://d0f6bd738d7f1b3e5a7ca70fe4ff75f0.us-east-1.aws.found.io/app/kibana#/discover/Steve-Slow-Train-Analysis-(2080s-and-2083s)?_g=(refreshInterval:(display:Off,pause:!f,section:0,value:0),time:(from:'2017-02-26T20:38:56-0700',mode:absolute,to:'2017-02-26T23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8" s="187" t="str">
        <f t="shared" si="45"/>
        <v>N</v>
      </c>
      <c r="X148" s="187">
        <f t="shared" si="46"/>
        <v>1</v>
      </c>
      <c r="Y148" s="62">
        <f t="shared" si="47"/>
        <v>4.4600000000000001E-2</v>
      </c>
      <c r="Z148" s="62">
        <f t="shared" si="48"/>
        <v>23.3306</v>
      </c>
      <c r="AA148" s="62">
        <f t="shared" si="49"/>
        <v>23.286000000000001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0"/>
        <v>0233-26</v>
      </c>
      <c r="AE148" s="85" t="str">
        <f t="shared" si="51"/>
        <v>aws s3 cp s3://rtdc.mdm.uploadarchive.raw/RTDC4053/ "%USERPROFILE%\AppData\Local\Temp\OnboardLogs"\RTDC4053\2017-02-26 --exclude "*" --recursive --include "*20170226*" &amp; "%USERPROFILE%\Documents\GitHub\mrs-test-scripts\Headless Mode &amp; Sideloading\WalkAndUnGZ.bat" "%USERPROFILE%\AppData\Local\Temp\OnboardLogs"\RTDC4053\2017-02-26 &amp; aws s3 cp s3://rtdc.mdm.uploadarchive.raw/RTDC4053/ "%USERPROFILE%\AppData\Local\Temp\OnboardLogs"\RTDC4053\2017-02-27 --exclude "*" --recursive --include "*20170227*" &amp; "%USERPROFILE%\Documents\GitHub\mrs-test-scripts\Headless Mode &amp; Sideloading\WalkAndUnGZ.bat" "%USERPROFILE%\AppData\Local\Temp\OnboardLogs"\RTDC4053\2017-02-27</v>
      </c>
      <c r="AF148" s="82" t="str">
        <f t="shared" si="52"/>
        <v>"C:\Program Files (x86)\AstroGrep\AstroGrep.exe" /spath="%USERPROFILE%\AppData\Local\Temp\OnboardLogs" /stypes="app*4053*20170227*" /stext=" 05:.+((SYSTEM_STATE.+slice.+state.+changed )|(ment ac)|(multiple cpu faults)|(system.+state.+changed )|(\[timeout)|(PRM\|1\|D)|(kpr)|(kdp)|(\|lc)|(penalty))" /e /r /s</v>
      </c>
      <c r="AG148" s="1" t="str">
        <f t="shared" si="53"/>
        <v>EC</v>
      </c>
      <c r="AH148" s="86" t="str">
        <f t="shared" si="54"/>
        <v>"%USERPROFILE%\Documents\GitHub\eaglep3\Utilities\RefineRTDCRunTimes.py" --tripid 233-26 --locoid 4053 --swversion DE.1.0.9.0 --startMP 204:446 --initTime 2017-02-26T21:38:56 --startdatetime 2017-02-26T22:00:15 --delay 1 --endMP 204:233306 --enddatetime 2017-02-26T22:36:18 --enforcementcount 1 &gt;&gt;C:\Users\stu\Documents\GitHub\eaglep3-reporting\EC\2017-02-26-refined-times.txt</v>
      </c>
      <c r="AI148" s="108" t="str">
        <f t="shared" si="55"/>
        <v>echo {"issue":{"subject":"","project_id":79,"tracker_id":40,"status_id":1,"priority_id":2,"assigned_to_id":23,"start_date":"2017-02-26","description":"","custom_fields":[{"id":1,"name":"Subdivision","value":"EC"},{"id":4,"name":"Milepost","value":"23.3306"},{"id":17,"name":"Train ID","value":"233-26"},{"id":16,"name":"Locomotive ID","value":"4053"},{"id":130,"name":"Impact","value":""},{"id":150,"name":"Time of Event (Mountain Time)","value":"22:36:18"},{"id":151,"name":"Denver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56"/>
        <v>start /low /b %USERPROFILE%\Documents\GitHub\eaglep3\Utilities\DownloadLogsFromS3.py --loco 4053 --day 2017-02-26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"%USERPROFILE%\AppData\Local\Temp\OnboardLogs"\RTDC4053\*4053*20170227* | grep -SE "(Enforcement Action)|(\[TIMEOUT)|(CHR.+\|PRM\|1\|D.+(SWITCH|SIGNAL).+UNKNOWN)" - &gt;&gt; 2017-02-26-UncaughtWiMAX.txt</v>
      </c>
    </row>
    <row r="149" spans="1:91" x14ac:dyDescent="0.25">
      <c r="A149" s="33" t="s">
        <v>770</v>
      </c>
      <c r="B149" s="7">
        <v>4054</v>
      </c>
      <c r="C149" s="21" t="s">
        <v>285</v>
      </c>
      <c r="D149" s="21" t="s">
        <v>270</v>
      </c>
      <c r="E149" s="13">
        <v>42792.9452662037</v>
      </c>
      <c r="F149" s="13">
        <v>42792.955787037034</v>
      </c>
      <c r="G149" s="7">
        <v>1</v>
      </c>
      <c r="H149" s="21" t="s">
        <v>245</v>
      </c>
      <c r="I149" s="13">
        <v>42792.983240740738</v>
      </c>
      <c r="J149" s="7">
        <v>1</v>
      </c>
      <c r="K149" s="98" t="str">
        <f t="shared" si="39"/>
        <v>4053/4054</v>
      </c>
      <c r="L149" s="21" t="str">
        <f>VLOOKUP(A149,'Trips&amp;Operators'!$C$1:$G$99999,5,FALSE)</f>
        <v>SMITH MICHAEL</v>
      </c>
      <c r="M149" s="6">
        <f t="shared" si="40"/>
        <v>2.7453703703940846E-2</v>
      </c>
      <c r="N149" s="7">
        <f t="shared" si="41"/>
        <v>39.533333333674818</v>
      </c>
      <c r="O149" s="7"/>
      <c r="P149" s="7"/>
      <c r="Q149" s="22"/>
      <c r="R149" s="22"/>
      <c r="S149" s="31">
        <f t="shared" si="42"/>
        <v>1</v>
      </c>
      <c r="T149" s="46" t="str">
        <f t="shared" si="43"/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44"/>
        <v>https://d0f6bd738d7f1b3e5a7ca70fe4ff75f0.us-east-1.aws.found.io/app/kibana#/discover/Steve-Slow-Train-Analysis-(2080s-and-2083s)?_g=(refreshInterval:(display:Off,pause:!f,section:0,value:0),time:(from:'2017-02-26T21:41:11-0700',mode:absolute,to:'2017-02-27T00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9" s="187" t="str">
        <f t="shared" si="45"/>
        <v>N</v>
      </c>
      <c r="X149" s="187">
        <f t="shared" si="46"/>
        <v>1</v>
      </c>
      <c r="Y149" s="62">
        <f t="shared" si="47"/>
        <v>23.298500000000001</v>
      </c>
      <c r="Z149" s="62">
        <f t="shared" si="48"/>
        <v>1.3899999999999999E-2</v>
      </c>
      <c r="AA149" s="62">
        <f t="shared" si="49"/>
        <v>23.284600000000001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0"/>
        <v>0234-26</v>
      </c>
      <c r="AE149" s="85" t="str">
        <f t="shared" si="51"/>
        <v>aws s3 cp s3://rtdc.mdm.uploadarchive.raw/RTDC4054/ "%USERPROFILE%\AppData\Local\Temp\OnboardLogs"\RTDC4054\2017-02-26 --exclude "*" --recursive --include "*20170226*" &amp; "%USERPROFILE%\Documents\GitHub\mrs-test-scripts\Headless Mode &amp; Sideloading\WalkAndUnGZ.bat" "%USERPROFILE%\AppData\Local\Temp\OnboardLogs"\RTDC4054\2017-02-26 &amp; aws s3 cp s3://rtdc.mdm.uploadarchive.raw/RTDC4054/ "%USERPROFILE%\AppData\Local\Temp\OnboardLogs"\RTDC4054\2017-02-27 --exclude "*" --recursive --include "*20170227*" &amp; "%USERPROFILE%\Documents\GitHub\mrs-test-scripts\Headless Mode &amp; Sideloading\WalkAndUnGZ.bat" "%USERPROFILE%\AppData\Local\Temp\OnboardLogs"\RTDC4054\2017-02-27</v>
      </c>
      <c r="AF149" s="82" t="str">
        <f t="shared" si="52"/>
        <v>"C:\Program Files (x86)\AstroGrep\AstroGrep.exe" /spath="%USERPROFILE%\AppData\Local\Temp\OnboardLogs" /stypes="app*4054*20170227*" /stext=" 06:.+((SYSTEM_STATE.+slice.+state.+changed )|(ment ac)|(multiple cpu faults)|(system.+state.+changed )|(\[timeout)|(PRM\|1\|D)|(kpr)|(kdp)|(\|lc)|(penalty))" /e /r /s</v>
      </c>
      <c r="AG149" s="1" t="str">
        <f t="shared" si="53"/>
        <v>EC</v>
      </c>
      <c r="AH149" s="86" t="str">
        <f t="shared" si="54"/>
        <v>"%USERPROFILE%\Documents\GitHub\eaglep3\Utilities\RefineRTDCRunTimes.py" --tripid 234-26 --locoid 4054 --swversion DE.1.0.9.0 --startMP 204:232985 --initTime 2017-02-26T22:41:11 --startdatetime 2017-02-26T22:56:20 --delay 1 --endMP 204:139 --enddatetime 2017-02-26T23:35:52 --enforcementcount 1 &gt;&gt;C:\Users\stu\Documents\GitHub\eaglep3-reporting\EC\2017-02-26-refined-times.txt</v>
      </c>
      <c r="AI149" s="108" t="str">
        <f t="shared" si="55"/>
        <v>echo {"issue":{"subject":"","project_id":79,"tracker_id":40,"status_id":1,"priority_id":2,"assigned_to_id":23,"start_date":"2017-02-26","description":"","custom_fields":[{"id":1,"name":"Subdivision","value":"EC"},{"id":4,"name":"Milepost","value":"0.0139"},{"id":17,"name":"Train ID","value":"234-26"},{"id":16,"name":"Locomotive ID","value":"4054"},{"id":130,"name":"Impact","value":""},{"id":150,"name":"Time of Event (Mountain Time)","value":"23:35:52"},{"id":151,"name":"Denver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56"/>
        <v>start /low /b %USERPROFILE%\Documents\GitHub\eaglep3\Utilities\DownloadLogsFromS3.py --loco 4054 --day 2017-02-26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"%USERPROFILE%\AppData\Local\Temp\OnboardLogs"\RTDC4054\*4054*20170227* | grep -SE "(Enforcement Action)|(\[TIMEOUT)|(CHR.+\|PRM\|1\|D.+(SWITCH|SIGNAL).+UNKNOWN)" - &gt;&gt; 2017-02-26-UncaughtWiMAX.txt</v>
      </c>
    </row>
    <row r="150" spans="1:91" x14ac:dyDescent="0.25">
      <c r="A150" s="33" t="s">
        <v>766</v>
      </c>
      <c r="B150" s="7">
        <v>4029</v>
      </c>
      <c r="C150" s="21" t="s">
        <v>285</v>
      </c>
      <c r="D150" s="21" t="s">
        <v>384</v>
      </c>
      <c r="E150" s="13">
        <v>42792.922048611108</v>
      </c>
      <c r="F150" s="13">
        <v>42792.937916666669</v>
      </c>
      <c r="G150" s="7">
        <v>1</v>
      </c>
      <c r="H150" s="21" t="s">
        <v>905</v>
      </c>
      <c r="I150" s="13">
        <v>42792.962395833332</v>
      </c>
      <c r="J150" s="7">
        <v>1</v>
      </c>
      <c r="K150" s="98" t="str">
        <f t="shared" si="39"/>
        <v>4029/4030</v>
      </c>
      <c r="L150" s="21" t="str">
        <f>VLOOKUP(A150,'Trips&amp;Operators'!$C$1:$G$99999,5,FALSE)</f>
        <v>STAMBAUGH JAMES</v>
      </c>
      <c r="M150" s="6">
        <f t="shared" si="40"/>
        <v>2.4479166662786156E-2</v>
      </c>
      <c r="N150" s="7">
        <f t="shared" si="41"/>
        <v>35.249999994412065</v>
      </c>
      <c r="O150" s="7"/>
      <c r="P150" s="7"/>
      <c r="Q150" s="22"/>
      <c r="R150" s="22"/>
      <c r="S150" s="31">
        <f t="shared" si="42"/>
        <v>1</v>
      </c>
      <c r="T150" s="46" t="str">
        <f t="shared" si="43"/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44"/>
        <v>https://d0f6bd738d7f1b3e5a7ca70fe4ff75f0.us-east-1.aws.found.io/app/kibana#/discover/Steve-Slow-Train-Analysis-(2080s-and-2083s)?_g=(refreshInterval:(display:Off,pause:!f,section:0,value:0),time:(from:'2017-02-26T21:07:45-0700',mode:absolute,to:'2017-02-27T00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0" s="187" t="str">
        <f t="shared" si="45"/>
        <v>N</v>
      </c>
      <c r="X150" s="187">
        <f t="shared" si="46"/>
        <v>1</v>
      </c>
      <c r="Y150" s="62">
        <f t="shared" si="47"/>
        <v>4.6899999999999997E-2</v>
      </c>
      <c r="Z150" s="62">
        <f t="shared" si="48"/>
        <v>23.334599999999998</v>
      </c>
      <c r="AA150" s="62">
        <f t="shared" si="49"/>
        <v>23.287699999999997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0"/>
        <v>0235-26</v>
      </c>
      <c r="AE150" s="85" t="str">
        <f t="shared" si="51"/>
        <v>aws s3 cp s3://rtdc.mdm.uploadarchive.raw/RTDC4029/ "%USERPROFILE%\AppData\Local\Temp\OnboardLogs"\RTDC4029\2017-02-26 --exclude "*" --recursive --include "*20170226*" &amp; "%USERPROFILE%\Documents\GitHub\mrs-test-scripts\Headless Mode &amp; Sideloading\WalkAndUnGZ.bat" "%USERPROFILE%\AppData\Local\Temp\OnboardLogs"\RTDC4029\2017-02-26 &amp; aws s3 cp s3://rtdc.mdm.uploadarchive.raw/RTDC4029/ "%USERPROFILE%\AppData\Local\Temp\OnboardLogs"\RTDC4029\2017-02-27 --exclude "*" --recursive --include "*20170227*" &amp; "%USERPROFILE%\Documents\GitHub\mrs-test-scripts\Headless Mode &amp; Sideloading\WalkAndUnGZ.bat" "%USERPROFILE%\AppData\Local\Temp\OnboardLogs"\RTDC4029\2017-02-27</v>
      </c>
      <c r="AF150" s="82" t="str">
        <f t="shared" si="52"/>
        <v>"C:\Program Files (x86)\AstroGrep\AstroGrep.exe" /spath="%USERPROFILE%\AppData\Local\Temp\OnboardLogs" /stypes="app*4029*20170227*" /stext=" 06:.+((SYSTEM_STATE.+slice.+state.+changed )|(ment ac)|(multiple cpu faults)|(system.+state.+changed )|(\[timeout)|(PRM\|1\|D)|(kpr)|(kdp)|(\|lc)|(penalty))" /e /r /s</v>
      </c>
      <c r="AG150" s="1" t="str">
        <f t="shared" si="53"/>
        <v>EC</v>
      </c>
      <c r="AH150" s="86" t="str">
        <f t="shared" si="54"/>
        <v>"%USERPROFILE%\Documents\GitHub\eaglep3\Utilities\RefineRTDCRunTimes.py" --tripid 235-26 --locoid 4029 --swversion DE.1.0.9.0 --startMP 204:469 --initTime 2017-02-26T22:07:45 --startdatetime 2017-02-26T22:30:36 --delay 1 --endMP 204:233346 --enddatetime 2017-02-26T23:05:51 --enforcementcount 1 &gt;&gt;C:\Users\stu\Documents\GitHub\eaglep3-reporting\EC\2017-02-26-refined-times.txt</v>
      </c>
      <c r="AI150" s="108" t="str">
        <f t="shared" si="55"/>
        <v>echo {"issue":{"subject":"","project_id":79,"tracker_id":40,"status_id":1,"priority_id":2,"assigned_to_id":23,"start_date":"2017-02-26","description":"","custom_fields":[{"id":1,"name":"Subdivision","value":"EC"},{"id":4,"name":"Milepost","value":"23.3346"},{"id":17,"name":"Train ID","value":"235-26"},{"id":16,"name":"Locomotive ID","value":"4029"},{"id":130,"name":"Impact","value":""},{"id":150,"name":"Time of Event (Mountain Time)","value":"23:05:51"},{"id":151,"name":"Denver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56"/>
        <v>start /low /b %USERPROFILE%\Documents\GitHub\eaglep3\Utilities\DownloadLogsFromS3.py --loco 4029 --day 2017-02-26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"%USERPROFILE%\AppData\Local\Temp\OnboardLogs"\RTDC4029\*4029*20170227* | grep -SE "(Enforcement Action)|(\[TIMEOUT)|(CHR.+\|PRM\|1\|D.+(SWITCH|SIGNAL).+UNKNOWN)" - &gt;&gt; 2017-02-26-UncaughtWiMAX.txt</v>
      </c>
    </row>
    <row r="151" spans="1:91" x14ac:dyDescent="0.25">
      <c r="A151" s="33" t="s">
        <v>772</v>
      </c>
      <c r="B151" s="7">
        <v>4030</v>
      </c>
      <c r="C151" s="21" t="s">
        <v>285</v>
      </c>
      <c r="D151" s="21" t="s">
        <v>796</v>
      </c>
      <c r="E151" s="13">
        <v>42792.975543981483</v>
      </c>
      <c r="F151" s="13">
        <v>42792.976840277777</v>
      </c>
      <c r="G151" s="7">
        <v>1</v>
      </c>
      <c r="H151" s="21" t="s">
        <v>207</v>
      </c>
      <c r="I151" s="13">
        <v>42793.003217592595</v>
      </c>
      <c r="J151" s="7">
        <v>1</v>
      </c>
      <c r="K151" s="98" t="str">
        <f t="shared" si="39"/>
        <v>4029/4030</v>
      </c>
      <c r="L151" s="21" t="str">
        <f>VLOOKUP(A151,'Trips&amp;Operators'!$C$1:$G$99999,5,FALSE)</f>
        <v>STAMBAUGH JAMES</v>
      </c>
      <c r="M151" s="6">
        <f t="shared" si="40"/>
        <v>2.6377314818091691E-2</v>
      </c>
      <c r="N151" s="7">
        <f t="shared" si="41"/>
        <v>37.983333338052034</v>
      </c>
      <c r="O151" s="7"/>
      <c r="P151" s="7"/>
      <c r="Q151" s="22"/>
      <c r="R151" s="22"/>
      <c r="S151" s="31">
        <f t="shared" si="42"/>
        <v>1</v>
      </c>
      <c r="T151" s="46" t="str">
        <f t="shared" si="43"/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44"/>
        <v>https://d0f6bd738d7f1b3e5a7ca70fe4ff75f0.us-east-1.aws.found.io/app/kibana#/discover/Steve-Slow-Train-Analysis-(2080s-and-2083s)?_g=(refreshInterval:(display:Off,pause:!f,section:0,value:0),time:(from:'2017-02-26T22:24:47-0700',mode:absolute,to:'2017-02-27T01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1" s="187" t="str">
        <f t="shared" si="45"/>
        <v>N</v>
      </c>
      <c r="X151" s="187">
        <f t="shared" si="46"/>
        <v>1</v>
      </c>
      <c r="Y151" s="62">
        <f t="shared" si="47"/>
        <v>23.302499999999998</v>
      </c>
      <c r="Z151" s="62">
        <f t="shared" si="48"/>
        <v>1.5800000000000002E-2</v>
      </c>
      <c r="AA151" s="62">
        <f t="shared" si="49"/>
        <v>23.2867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0"/>
        <v>0236-26</v>
      </c>
      <c r="AE151" s="85" t="str">
        <f t="shared" si="51"/>
        <v>aws s3 cp s3://rtdc.mdm.uploadarchive.raw/RTDC4030/ "%USERPROFILE%\AppData\Local\Temp\OnboardLogs"\RTDC4030\2017-02-26 --exclude "*" --recursive --include "*20170226*" &amp; "%USERPROFILE%\Documents\GitHub\mrs-test-scripts\Headless Mode &amp; Sideloading\WalkAndUnGZ.bat" "%USERPROFILE%\AppData\Local\Temp\OnboardLogs"\RTDC4030\2017-02-26 &amp; aws s3 cp s3://rtdc.mdm.uploadarchive.raw/RTDC4030/ "%USERPROFILE%\AppData\Local\Temp\OnboardLogs"\RTDC4030\2017-02-27 --exclude "*" --recursive --include "*20170227*" &amp; "%USERPROFILE%\Documents\GitHub\mrs-test-scripts\Headless Mode &amp; Sideloading\WalkAndUnGZ.bat" "%USERPROFILE%\AppData\Local\Temp\OnboardLogs"\RTDC4030\2017-02-27</v>
      </c>
      <c r="AF151" s="82" t="str">
        <f t="shared" si="52"/>
        <v>"C:\Program Files (x86)\AstroGrep\AstroGrep.exe" /spath="%USERPROFILE%\AppData\Local\Temp\OnboardLogs" /stypes="app*4030*20170227*" /stext=" 07:.+((SYSTEM_STATE.+slice.+state.+changed )|(ment ac)|(multiple cpu faults)|(system.+state.+changed )|(\[timeout)|(PRM\|1\|D)|(kpr)|(kdp)|(\|lc)|(penalty))" /e /r /s</v>
      </c>
      <c r="AG151" s="1" t="str">
        <f t="shared" si="53"/>
        <v>EC</v>
      </c>
      <c r="AH151" s="86" t="str">
        <f t="shared" si="54"/>
        <v>"%USERPROFILE%\Documents\GitHub\eaglep3\Utilities\RefineRTDCRunTimes.py" --tripid 236-26 --locoid 4030 --swversion DE.1.0.9.0 --startMP 204:233025 --initTime 2017-02-26T23:24:47 --startdatetime 2017-02-26T23:26:39 --delay 1 --endMP 204:158 --enddatetime 2017-02-27T00:04:38 --enforcementcount 1 &gt;&gt;C:\Users\stu\Documents\GitHub\eaglep3-reporting\EC\2017-02-26-refined-times.txt</v>
      </c>
      <c r="AI151" s="108" t="str">
        <f t="shared" si="55"/>
        <v>echo {"issue":{"subject":"","project_id":79,"tracker_id":40,"status_id":1,"priority_id":2,"assigned_to_id":23,"start_date":"2017-02-27","description":"","custom_fields":[{"id":1,"name":"Subdivision","value":"EC"},{"id":4,"name":"Milepost","value":"0.0158"},{"id":17,"name":"Train ID","value":"236-26"},{"id":16,"name":"Locomotive ID","value":"4030"},{"id":130,"name":"Impact","value":""},{"id":150,"name":"Time of Event (Mountain Time)","value":"00:04:38"},{"id":151,"name":"Denver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56"/>
        <v>start /low /b %USERPROFILE%\Documents\GitHub\eaglep3\Utilities\DownloadLogsFromS3.py --loco 4030 --day 2017-02-26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"%USERPROFILE%\AppData\Local\Temp\OnboardLogs"\RTDC4030\*4030*20170227* | grep -SE "(Enforcement Action)|(\[TIMEOUT)|(CHR.+\|PRM\|1\|D.+(SWITCH|SIGNAL).+UNKNOWN)" - &gt;&gt; 2017-02-26-UncaughtWiMAX.txt</v>
      </c>
    </row>
    <row r="152" spans="1:91" x14ac:dyDescent="0.25">
      <c r="A152" s="33" t="s">
        <v>771</v>
      </c>
      <c r="B152" s="7">
        <v>4009</v>
      </c>
      <c r="C152" s="21" t="s">
        <v>285</v>
      </c>
      <c r="D152" s="21" t="s">
        <v>229</v>
      </c>
      <c r="E152" s="13">
        <v>42792.955625000002</v>
      </c>
      <c r="F152" s="13">
        <v>42792.958599537036</v>
      </c>
      <c r="G152" s="7">
        <v>1</v>
      </c>
      <c r="H152" s="21" t="s">
        <v>298</v>
      </c>
      <c r="I152" s="13">
        <v>42792.983657407407</v>
      </c>
      <c r="J152" s="7">
        <v>1</v>
      </c>
      <c r="K152" s="98" t="str">
        <f t="shared" si="39"/>
        <v>4009/4010</v>
      </c>
      <c r="L152" s="21" t="str">
        <f>VLOOKUP(A152,'Trips&amp;Operators'!$C$1:$G$99999,5,FALSE)</f>
        <v>CHANDLER KELVIN</v>
      </c>
      <c r="M152" s="6">
        <f t="shared" si="40"/>
        <v>2.5057870370801538E-2</v>
      </c>
      <c r="N152" s="7">
        <f t="shared" si="41"/>
        <v>36.083333333954215</v>
      </c>
      <c r="O152" s="7"/>
      <c r="P152" s="7"/>
      <c r="Q152" s="22"/>
      <c r="R152" s="22"/>
      <c r="S152" s="31">
        <f t="shared" si="42"/>
        <v>1</v>
      </c>
      <c r="T152" s="46" t="str">
        <f t="shared" si="43"/>
        <v>NorthBound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44"/>
        <v>https://d0f6bd738d7f1b3e5a7ca70fe4ff75f0.us-east-1.aws.found.io/app/kibana#/discover/Steve-Slow-Train-Analysis-(2080s-and-2083s)?_g=(refreshInterval:(display:Off,pause:!f,section:0,value:0),time:(from:'2017-02-26T21:56:06-0700',mode:absolute,to:'2017-02-27T00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2" s="187" t="str">
        <f t="shared" si="45"/>
        <v>N</v>
      </c>
      <c r="X152" s="187">
        <f t="shared" si="46"/>
        <v>1</v>
      </c>
      <c r="Y152" s="62">
        <f t="shared" si="47"/>
        <v>4.5999999999999999E-2</v>
      </c>
      <c r="Z152" s="62">
        <f t="shared" si="48"/>
        <v>23.328900000000001</v>
      </c>
      <c r="AA152" s="62">
        <f t="shared" si="49"/>
        <v>23.282900000000001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0"/>
        <v>0237-26</v>
      </c>
      <c r="AE152" s="85" t="str">
        <f t="shared" si="51"/>
        <v>aws s3 cp s3://rtdc.mdm.uploadarchive.raw/RTDC4009/ "%USERPROFILE%\AppData\Local\Temp\OnboardLogs"\RTDC4009\2017-02-26 --exclude "*" --recursive --include "*20170226*" &amp; "%USERPROFILE%\Documents\GitHub\mrs-test-scripts\Headless Mode &amp; Sideloading\WalkAndUnGZ.bat" "%USERPROFILE%\AppData\Local\Temp\OnboardLogs"\RTDC4009\2017-02-26 &amp; aws s3 cp s3://rtdc.mdm.uploadarchive.raw/RTDC4009/ "%USERPROFILE%\AppData\Local\Temp\OnboardLogs"\RTDC4009\2017-02-27 --exclude "*" --recursive --include "*20170227*" &amp; "%USERPROFILE%\Documents\GitHub\mrs-test-scripts\Headless Mode &amp; Sideloading\WalkAndUnGZ.bat" "%USERPROFILE%\AppData\Local\Temp\OnboardLogs"\RTDC4009\2017-02-27</v>
      </c>
      <c r="AF152" s="82" t="str">
        <f t="shared" si="52"/>
        <v>"C:\Program Files (x86)\AstroGrep\AstroGrep.exe" /spath="%USERPROFILE%\AppData\Local\Temp\OnboardLogs" /stypes="app*4009*20170227*" /stext=" 06:.+((SYSTEM_STATE.+slice.+state.+changed )|(ment ac)|(multiple cpu faults)|(system.+state.+changed )|(\[timeout)|(PRM\|1\|D)|(kpr)|(kdp)|(\|lc)|(penalty))" /e /r /s</v>
      </c>
      <c r="AG152" s="1" t="str">
        <f t="shared" si="53"/>
        <v>EC</v>
      </c>
      <c r="AH152" s="86" t="str">
        <f t="shared" si="54"/>
        <v>"%USERPROFILE%\Documents\GitHub\eaglep3\Utilities\RefineRTDCRunTimes.py" --tripid 237-26 --locoid 4009 --swversion DE.1.0.9.0 --startMP 204:460 --initTime 2017-02-26T22:56:06 --startdatetime 2017-02-26T23:00:23 --delay 1 --endMP 204:233289 --enddatetime 2017-02-26T23:36:28 --enforcementcount 1 &gt;&gt;C:\Users\stu\Documents\GitHub\eaglep3-reporting\EC\2017-02-26-refined-times.txt</v>
      </c>
      <c r="AI152" s="108" t="str">
        <f t="shared" si="55"/>
        <v>echo {"issue":{"subject":"","project_id":79,"tracker_id":40,"status_id":1,"priority_id":2,"assigned_to_id":23,"start_date":"2017-02-26","description":"","custom_fields":[{"id":1,"name":"Subdivision","value":"EC"},{"id":4,"name":"Milepost","value":"23.3289"},{"id":17,"name":"Train ID","value":"237-26"},{"id":16,"name":"Locomotive ID","value":"4009"},{"id":130,"name":"Impact","value":""},{"id":150,"name":"Time of Event (Mountain Time)","value":"23:36:28"},{"id":151,"name":"Denver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56"/>
        <v>start /low /b %USERPROFILE%\Documents\GitHub\eaglep3\Utilities\DownloadLogsFromS3.py --loco 4009 --day 2017-02-26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"%USERPROFILE%\AppData\Local\Temp\OnboardLogs"\RTDC4009\*4009*20170227* | grep -SE "(Enforcement Action)|(\[TIMEOUT)|(CHR.+\|PRM\|1\|D.+(SWITCH|SIGNAL).+UNKNOWN)" - &gt;&gt; 2017-02-26-UncaughtWiMAX.txt</v>
      </c>
    </row>
    <row r="153" spans="1:91" x14ac:dyDescent="0.25">
      <c r="A153" s="33" t="s">
        <v>775</v>
      </c>
      <c r="B153" s="7">
        <v>4010</v>
      </c>
      <c r="C153" s="21" t="s">
        <v>285</v>
      </c>
      <c r="D153" s="21" t="s">
        <v>373</v>
      </c>
      <c r="E153" s="13">
        <v>42792.992488425924</v>
      </c>
      <c r="F153" s="13">
        <v>42792.997604166667</v>
      </c>
      <c r="G153" s="7">
        <v>1</v>
      </c>
      <c r="H153" s="21" t="s">
        <v>906</v>
      </c>
      <c r="I153" s="13">
        <v>42793.024942129632</v>
      </c>
      <c r="J153" s="7">
        <v>1</v>
      </c>
      <c r="K153" s="98" t="str">
        <f t="shared" si="39"/>
        <v>4009/4010</v>
      </c>
      <c r="L153" s="21" t="str">
        <f>VLOOKUP(A153,'Trips&amp;Operators'!$C$1:$G$99999,5,FALSE)</f>
        <v>CHANDLER KELVIN</v>
      </c>
      <c r="M153" s="6">
        <f t="shared" si="40"/>
        <v>2.7337962965248153E-2</v>
      </c>
      <c r="N153" s="7">
        <f t="shared" si="41"/>
        <v>39.36666666995734</v>
      </c>
      <c r="O153" s="7"/>
      <c r="P153" s="7"/>
      <c r="Q153" s="22"/>
      <c r="R153" s="22"/>
      <c r="S153" s="31">
        <f t="shared" si="42"/>
        <v>1</v>
      </c>
      <c r="T153" s="46" t="str">
        <f t="shared" si="43"/>
        <v>Southbound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44"/>
        <v>https://d0f6bd738d7f1b3e5a7ca70fe4ff75f0.us-east-1.aws.found.io/app/kibana#/discover/Steve-Slow-Train-Analysis-(2080s-and-2083s)?_g=(refreshInterval:(display:Off,pause:!f,section:0,value:0),time:(from:'2017-02-26T22:49:11-0700',mode:absolute,to:'2017-02-27T01:35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3" s="187" t="str">
        <f t="shared" si="45"/>
        <v>N</v>
      </c>
      <c r="X153" s="187">
        <f t="shared" si="46"/>
        <v>1</v>
      </c>
      <c r="Y153" s="62">
        <f t="shared" si="47"/>
        <v>23.297699999999999</v>
      </c>
      <c r="Z153" s="62">
        <f t="shared" si="48"/>
        <v>1.7000000000000001E-2</v>
      </c>
      <c r="AA153" s="62">
        <f t="shared" si="49"/>
        <v>23.2807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0"/>
        <v>0238-26</v>
      </c>
      <c r="AE153" s="85" t="str">
        <f t="shared" si="51"/>
        <v>aws s3 cp s3://rtdc.mdm.uploadarchive.raw/RTDC4010/ "%USERPROFILE%\AppData\Local\Temp\OnboardLogs"\RTDC4010\2017-02-26 --exclude "*" --recursive --include "*20170226*" &amp; "%USERPROFILE%\Documents\GitHub\mrs-test-scripts\Headless Mode &amp; Sideloading\WalkAndUnGZ.bat" "%USERPROFILE%\AppData\Local\Temp\OnboardLogs"\RTDC4010\2017-02-26 &amp; aws s3 cp s3://rtdc.mdm.uploadarchive.raw/RTDC4010/ "%USERPROFILE%\AppData\Local\Temp\OnboardLogs"\RTDC4010\2017-02-27 --exclude "*" --recursive --include "*20170227*" &amp; "%USERPROFILE%\Documents\GitHub\mrs-test-scripts\Headless Mode &amp; Sideloading\WalkAndUnGZ.bat" "%USERPROFILE%\AppData\Local\Temp\OnboardLogs"\RTDC4010\2017-02-27</v>
      </c>
      <c r="AF153" s="82" t="str">
        <f t="shared" si="52"/>
        <v>"C:\Program Files (x86)\AstroGrep\AstroGrep.exe" /spath="%USERPROFILE%\AppData\Local\Temp\OnboardLogs" /stypes="app*4010*20170227*" /stext=" 07:.+((SYSTEM_STATE.+slice.+state.+changed )|(ment ac)|(multiple cpu faults)|(system.+state.+changed )|(\[timeout)|(PRM\|1\|D)|(kpr)|(kdp)|(\|lc)|(penalty))" /e /r /s</v>
      </c>
      <c r="AG153" s="1" t="str">
        <f t="shared" si="53"/>
        <v>EC</v>
      </c>
      <c r="AH153" s="86" t="str">
        <f t="shared" si="54"/>
        <v>"%USERPROFILE%\Documents\GitHub\eaglep3\Utilities\RefineRTDCRunTimes.py" --tripid 238-26 --locoid 4010 --swversion DE.1.0.9.0 --startMP 204:232977 --initTime 2017-02-26T23:49:11 --startdatetime 2017-02-26T23:56:33 --delay 1 --endMP 204:170 --enddatetime 2017-02-27T00:35:55 --enforcementcount 1 &gt;&gt;C:\Users\stu\Documents\GitHub\eaglep3-reporting\EC\2017-02-26-refined-times.txt</v>
      </c>
      <c r="AI153" s="108" t="str">
        <f t="shared" si="55"/>
        <v>echo {"issue":{"subject":"","project_id":79,"tracker_id":40,"status_id":1,"priority_id":2,"assigned_to_id":23,"start_date":"2017-02-27","description":"","custom_fields":[{"id":1,"name":"Subdivision","value":"EC"},{"id":4,"name":"Milepost","value":"0.017"},{"id":17,"name":"Train ID","value":"238-26"},{"id":16,"name":"Locomotive ID","value":"4010"},{"id":130,"name":"Impact","value":""},{"id":150,"name":"Time of Event (Mountain Time)","value":"00:35:55"},{"id":151,"name":"Denver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56"/>
        <v>start /low /b %USERPROFILE%\Documents\GitHub\eaglep3\Utilities\DownloadLogsFromS3.py --loco 4010 --day 2017-02-26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"%USERPROFILE%\AppData\Local\Temp\OnboardLogs"\RTDC4010\*4010*20170227* | grep -SE "(Enforcement Action)|(\[TIMEOUT)|(CHR.+\|PRM\|1\|D.+(SWITCH|SIGNAL).+UNKNOWN)" - &gt;&gt; 2017-02-26-UncaughtWiMAX.txt</v>
      </c>
    </row>
    <row r="154" spans="1:91" x14ac:dyDescent="0.25">
      <c r="A154" s="33" t="s">
        <v>773</v>
      </c>
      <c r="B154" s="7">
        <v>4027</v>
      </c>
      <c r="C154" s="21" t="s">
        <v>285</v>
      </c>
      <c r="D154" s="21" t="s">
        <v>226</v>
      </c>
      <c r="E154" s="13">
        <v>42792.976215277777</v>
      </c>
      <c r="F154" s="13">
        <v>42792.97934027778</v>
      </c>
      <c r="G154" s="7">
        <v>1</v>
      </c>
      <c r="H154" s="21" t="s">
        <v>371</v>
      </c>
      <c r="I154" s="13">
        <v>42793.003912037035</v>
      </c>
      <c r="J154" s="7">
        <v>1</v>
      </c>
      <c r="K154" s="98" t="str">
        <f t="shared" si="39"/>
        <v>4027/4028</v>
      </c>
      <c r="L154" s="21" t="str">
        <f>VLOOKUP(A154,'Trips&amp;Operators'!$C$1:$G$99999,5,FALSE)</f>
        <v>NEWELL JAMES</v>
      </c>
      <c r="M154" s="6">
        <f t="shared" si="40"/>
        <v>2.4571759255195502E-2</v>
      </c>
      <c r="N154" s="7">
        <f t="shared" si="41"/>
        <v>35.383333327481523</v>
      </c>
      <c r="O154" s="7"/>
      <c r="P154" s="7"/>
      <c r="Q154" s="22"/>
      <c r="R154" s="22"/>
      <c r="S154" s="31">
        <f t="shared" si="42"/>
        <v>1</v>
      </c>
      <c r="T154" s="46" t="str">
        <f t="shared" si="43"/>
        <v>NorthBound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44"/>
        <v>https://d0f6bd738d7f1b3e5a7ca70fe4ff75f0.us-east-1.aws.found.io/app/kibana#/discover/Steve-Slow-Train-Analysis-(2080s-and-2083s)?_g=(refreshInterval:(display:Off,pause:!f,section:0,value:0),time:(from:'2017-02-26T22:25:45-0700',mode:absolute,to:'2017-02-27T01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4" s="187" t="str">
        <f t="shared" si="45"/>
        <v>N</v>
      </c>
      <c r="X154" s="187">
        <f t="shared" si="46"/>
        <v>1</v>
      </c>
      <c r="Y154" s="62">
        <f t="shared" si="47"/>
        <v>4.5699999999999998E-2</v>
      </c>
      <c r="Z154" s="62">
        <f t="shared" si="48"/>
        <v>23.331199999999999</v>
      </c>
      <c r="AA154" s="62">
        <f t="shared" si="49"/>
        <v>23.285499999999999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0"/>
        <v>0239-26</v>
      </c>
      <c r="AE154" s="85" t="str">
        <f t="shared" si="51"/>
        <v>aws s3 cp s3://rtdc.mdm.uploadarchive.raw/RTDC4027/ "%USERPROFILE%\AppData\Local\Temp\OnboardLogs"\RTDC4027\2017-02-26 --exclude "*" --recursive --include "*20170226*" &amp; "%USERPROFILE%\Documents\GitHub\mrs-test-scripts\Headless Mode &amp; Sideloading\WalkAndUnGZ.bat" "%USERPROFILE%\AppData\Local\Temp\OnboardLogs"\RTDC4027\2017-02-26 &amp; aws s3 cp s3://rtdc.mdm.uploadarchive.raw/RTDC4027/ "%USERPROFILE%\AppData\Local\Temp\OnboardLogs"\RTDC4027\2017-02-27 --exclude "*" --recursive --include "*20170227*" &amp; "%USERPROFILE%\Documents\GitHub\mrs-test-scripts\Headless Mode &amp; Sideloading\WalkAndUnGZ.bat" "%USERPROFILE%\AppData\Local\Temp\OnboardLogs"\RTDC4027\2017-02-27</v>
      </c>
      <c r="AF154" s="82" t="str">
        <f t="shared" si="52"/>
        <v>"C:\Program Files (x86)\AstroGrep\AstroGrep.exe" /spath="%USERPROFILE%\AppData\Local\Temp\OnboardLogs" /stypes="app*4027*20170227*" /stext=" 07:.+((SYSTEM_STATE.+slice.+state.+changed )|(ment ac)|(multiple cpu faults)|(system.+state.+changed )|(\[timeout)|(PRM\|1\|D)|(kpr)|(kdp)|(\|lc)|(penalty))" /e /r /s</v>
      </c>
      <c r="AG154" s="1" t="str">
        <f t="shared" si="53"/>
        <v>EC</v>
      </c>
      <c r="AH154" s="86" t="str">
        <f t="shared" si="54"/>
        <v>"%USERPROFILE%\Documents\GitHub\eaglep3\Utilities\RefineRTDCRunTimes.py" --tripid 239-26 --locoid 4027 --swversion DE.1.0.9.0 --startMP 204:457 --initTime 2017-02-26T23:25:45 --startdatetime 2017-02-26T23:30:15 --delay 1 --endMP 204:233312 --enddatetime 2017-02-27T00:05:38 --enforcementcount 1 &gt;&gt;C:\Users\stu\Documents\GitHub\eaglep3-reporting\EC\2017-02-26-refined-times.txt</v>
      </c>
      <c r="AI154" s="108" t="str">
        <f t="shared" si="55"/>
        <v>echo {"issue":{"subject":"","project_id":79,"tracker_id":40,"status_id":1,"priority_id":2,"assigned_to_id":23,"start_date":"2017-02-27","description":"","custom_fields":[{"id":1,"name":"Subdivision","value":"EC"},{"id":4,"name":"Milepost","value":"23.3312"},{"id":17,"name":"Train ID","value":"239-26"},{"id":16,"name":"Locomotive ID","value":"4027"},{"id":130,"name":"Impact","value":""},{"id":150,"name":"Time of Event (Mountain Time)","value":"00:05:38"},{"id":151,"name":"Denver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56"/>
        <v>start /low /b %USERPROFILE%\Documents\GitHub\eaglep3\Utilities\DownloadLogsFromS3.py --loco 4027 --day 2017-02-26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"%USERPROFILE%\AppData\Local\Temp\OnboardLogs"\RTDC4027\*4027*20170227* | grep -SE "(Enforcement Action)|(\[TIMEOUT)|(CHR.+\|PRM\|1\|D.+(SWITCH|SIGNAL).+UNKNOWN)" - &gt;&gt; 2017-02-26-UncaughtWiMAX.txt</v>
      </c>
    </row>
    <row r="155" spans="1:91" x14ac:dyDescent="0.25">
      <c r="A155" s="33" t="s">
        <v>777</v>
      </c>
      <c r="B155" s="7">
        <v>4028</v>
      </c>
      <c r="C155" s="21" t="s">
        <v>285</v>
      </c>
      <c r="D155" s="21" t="s">
        <v>270</v>
      </c>
      <c r="E155" s="13">
        <v>42793.015601851854</v>
      </c>
      <c r="F155" s="13">
        <v>42793.018217592595</v>
      </c>
      <c r="G155" s="7">
        <v>0</v>
      </c>
      <c r="H155" s="21" t="s">
        <v>267</v>
      </c>
      <c r="I155" s="13">
        <v>42793.045219907406</v>
      </c>
      <c r="J155" s="7">
        <v>1</v>
      </c>
      <c r="K155" s="98" t="str">
        <f t="shared" si="39"/>
        <v>4027/4028</v>
      </c>
      <c r="L155" s="21" t="str">
        <f>VLOOKUP(A155,'Trips&amp;Operators'!$C$1:$G$99999,5,FALSE)</f>
        <v>NEWELL JAMES</v>
      </c>
      <c r="M155" s="6">
        <f t="shared" si="40"/>
        <v>2.700231481139781E-2</v>
      </c>
      <c r="N155" s="7">
        <f t="shared" si="41"/>
        <v>38.883333328412846</v>
      </c>
      <c r="O155" s="7"/>
      <c r="P155" s="7"/>
      <c r="Q155" s="22"/>
      <c r="R155" s="22"/>
      <c r="S155" s="31">
        <f t="shared" si="42"/>
        <v>1</v>
      </c>
      <c r="T155" s="46" t="str">
        <f t="shared" si="43"/>
        <v>Southbound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44"/>
        <v>https://d0f6bd738d7f1b3e5a7ca70fe4ff75f0.us-east-1.aws.found.io/app/kibana#/discover/Steve-Slow-Train-Analysis-(2080s-and-2083s)?_g=(refreshInterval:(display:Off,pause:!f,section:0,value:0),time:(from:'2017-02-26T23:22:28-0700',mode:absolute,to:'2017-02-27T02:05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5" s="187" t="str">
        <f t="shared" si="45"/>
        <v>N</v>
      </c>
      <c r="X155" s="187">
        <f t="shared" si="46"/>
        <v>1</v>
      </c>
      <c r="Y155" s="62">
        <f t="shared" si="47"/>
        <v>23.298500000000001</v>
      </c>
      <c r="Z155" s="62">
        <f t="shared" si="48"/>
        <v>1.47E-2</v>
      </c>
      <c r="AA155" s="62">
        <f t="shared" si="49"/>
        <v>23.283799999999999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0"/>
        <v>0240-26</v>
      </c>
      <c r="AE155" s="85" t="str">
        <f t="shared" si="51"/>
        <v>aws s3 cp s3://rtdc.mdm.uploadarchive.raw/RTDC4028/ "%USERPROFILE%\AppData\Local\Temp\OnboardLogs"\RTDC4028\2017-02-27 --exclude "*" --recursive --include "*20170227*" &amp; "%USERPROFILE%\Documents\GitHub\mrs-test-scripts\Headless Mode &amp; Sideloading\WalkAndUnGZ.bat" "%USERPROFILE%\AppData\Local\Temp\OnboardLogs"\RTDC4028\2017-02-27 &amp; aws s3 cp s3://rtdc.mdm.uploadarchive.raw/RTDC4028/ "%USERPROFILE%\AppData\Local\Temp\OnboardLogs"\RTDC4028\2017-02-28 --exclude "*" --recursive --include "*20170228*" &amp; "%USERPROFILE%\Documents\GitHub\mrs-test-scripts\Headless Mode &amp; Sideloading\WalkAndUnGZ.bat" "%USERPROFILE%\AppData\Local\Temp\OnboardLogs"\RTDC4028\2017-02-28</v>
      </c>
      <c r="AF155" s="82" t="str">
        <f t="shared" si="52"/>
        <v>"C:\Program Files (x86)\AstroGrep\AstroGrep.exe" /spath="%USERPROFILE%\AppData\Local\Temp\OnboardLogs" /stypes="app*4028*20170227*" /stext=" 08:.+((SYSTEM_STATE.+slice.+state.+changed )|(ment ac)|(multiple cpu faults)|(system.+state.+changed )|(\[timeout)|(PRM\|1\|D)|(kpr)|(kdp)|(\|lc)|(penalty))" /e /r /s</v>
      </c>
      <c r="AG155" s="1" t="str">
        <f t="shared" si="53"/>
        <v>EC</v>
      </c>
      <c r="AH155" s="86" t="str">
        <f t="shared" si="54"/>
        <v>"%USERPROFILE%\Documents\GitHub\eaglep3\Utilities\RefineRTDCRunTimes.py" --tripid 240-26 --locoid 4028 --swversion DE.1.0.9.0 --startMP 204:232985 --initTime 2017-02-27T00:22:28 --startdatetime 2017-02-27T00:26:14 --delay 0 --endMP 204:147 --enddatetime 2017-02-27T01:05:07 --enforcementcount 1 &gt;&gt;C:\Users\stu\Documents\GitHub\eaglep3-reporting\EC\2017-02-26-refined-times.txt</v>
      </c>
      <c r="AI155" s="108" t="str">
        <f t="shared" si="55"/>
        <v>echo {"issue":{"subject":"","project_id":79,"tracker_id":40,"status_id":1,"priority_id":2,"assigned_to_id":23,"start_date":"2017-02-27","description":"","custom_fields":[{"id":1,"name":"Subdivision","value":"EC"},{"id":4,"name":"Milepost","value":"0.0147"},{"id":17,"name":"Train ID","value":"240-26"},{"id":16,"name":"Locomotive ID","value":"4028"},{"id":130,"name":"Impact","value":""},{"id":150,"name":"Time of Event (Mountain Time)","value":"01:05:07"},{"id":151,"name":"Denver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56"/>
        <v>start /low /b %USERPROFILE%\Documents\GitHub\eaglep3\Utilities\DownloadLogsFromS3.py --loco 4028 --day 2017-02-27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"%USERPROFILE%\AppData\Local\Temp\OnboardLogs"\RTDC4028\*4028*20170227* | grep -SE "(Enforcement Action)|(\[TIMEOUT)|(CHR.+\|PRM\|1\|D.+(SWITCH|SIGNAL).+UNKNOWN)" - &gt;&gt; 2017-02-26-UncaughtWiMAX.txt</v>
      </c>
    </row>
    <row r="156" spans="1:91" s="20" customFormat="1" x14ac:dyDescent="0.25">
      <c r="A156" s="33" t="s">
        <v>774</v>
      </c>
      <c r="B156" s="7">
        <v>4053</v>
      </c>
      <c r="C156" s="21" t="s">
        <v>285</v>
      </c>
      <c r="D156" s="21" t="s">
        <v>204</v>
      </c>
      <c r="E156" s="13">
        <v>42792.986087962963</v>
      </c>
      <c r="F156" s="13">
        <v>42793.000439814816</v>
      </c>
      <c r="G156" s="7">
        <v>1</v>
      </c>
      <c r="H156" s="21" t="s">
        <v>309</v>
      </c>
      <c r="I156" s="13">
        <v>42793.025185185186</v>
      </c>
      <c r="J156" s="7">
        <v>1</v>
      </c>
      <c r="K156" s="98" t="str">
        <f t="shared" si="39"/>
        <v>4053/4054</v>
      </c>
      <c r="L156" s="21" t="str">
        <f>VLOOKUP(A156,'Trips&amp;Operators'!$C$1:$G$99999,5,FALSE)</f>
        <v>SMITH MICHAEL</v>
      </c>
      <c r="M156" s="6">
        <f t="shared" si="40"/>
        <v>2.47453703705105E-2</v>
      </c>
      <c r="N156" s="7">
        <f t="shared" si="41"/>
        <v>35.63333333353512</v>
      </c>
      <c r="O156" s="7"/>
      <c r="P156" s="7"/>
      <c r="Q156" s="22"/>
      <c r="R156" s="22"/>
      <c r="S156" s="31">
        <f t="shared" si="42"/>
        <v>1</v>
      </c>
      <c r="T156" s="46" t="str">
        <f t="shared" si="43"/>
        <v>NorthBound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44"/>
        <v>https://d0f6bd738d7f1b3e5a7ca70fe4ff75f0.us-east-1.aws.found.io/app/kibana#/discover/Steve-Slow-Train-Analysis-(2080s-and-2083s)?_g=(refreshInterval:(display:Off,pause:!f,section:0,value:0),time:(from:'2017-02-26T22:39:58-0700',mode:absolute,to:'2017-02-27T01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6" s="187" t="str">
        <f t="shared" si="45"/>
        <v>N</v>
      </c>
      <c r="X156" s="187">
        <f t="shared" si="46"/>
        <v>1</v>
      </c>
      <c r="Y156" s="62">
        <f t="shared" si="47"/>
        <v>4.6199999999999998E-2</v>
      </c>
      <c r="Z156" s="62">
        <f t="shared" si="48"/>
        <v>23.330200000000001</v>
      </c>
      <c r="AA156" s="62">
        <f t="shared" si="49"/>
        <v>23.284000000000002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0"/>
        <v>0241-26</v>
      </c>
      <c r="AE156" s="85" t="str">
        <f t="shared" si="51"/>
        <v>aws s3 cp s3://rtdc.mdm.uploadarchive.raw/RTDC4053/ "%USERPROFILE%\AppData\Local\Temp\OnboardLogs"\RTDC4053\2017-02-27 --exclude "*" --recursive --include "*20170227*" &amp; "%USERPROFILE%\Documents\GitHub\mrs-test-scripts\Headless Mode &amp; Sideloading\WalkAndUnGZ.bat" "%USERPROFILE%\AppData\Local\Temp\OnboardLogs"\RTDC4053\2017-02-27 &amp; aws s3 cp s3://rtdc.mdm.uploadarchive.raw/RTDC4053/ "%USERPROFILE%\AppData\Local\Temp\OnboardLogs"\RTDC4053\2017-02-28 --exclude "*" --recursive --include "*20170228*" &amp; "%USERPROFILE%\Documents\GitHub\mrs-test-scripts\Headless Mode &amp; Sideloading\WalkAndUnGZ.bat" "%USERPROFILE%\AppData\Local\Temp\OnboardLogs"\RTDC4053\2017-02-28</v>
      </c>
      <c r="AF156" s="82" t="str">
        <f t="shared" si="52"/>
        <v>"C:\Program Files (x86)\AstroGrep\AstroGrep.exe" /spath="%USERPROFILE%\AppData\Local\Temp\OnboardLogs" /stypes="app*4053*20170227*" /stext=" 07:.+((SYSTEM_STATE.+slice.+state.+changed )|(ment ac)|(multiple cpu faults)|(system.+state.+changed )|(\[timeout)|(PRM\|1\|D)|(kpr)|(kdp)|(\|lc)|(penalty))" /e /r /s</v>
      </c>
      <c r="AG156" s="1" t="str">
        <f t="shared" si="53"/>
        <v>EC</v>
      </c>
      <c r="AH156" s="86" t="str">
        <f t="shared" si="54"/>
        <v>"%USERPROFILE%\Documents\GitHub\eaglep3\Utilities\RefineRTDCRunTimes.py" --tripid 241-26 --locoid 4053 --swversion DE.1.0.9.0 --startMP 204:462 --initTime 2017-02-26T23:39:58 --startdatetime 2017-02-27T00:00:38 --delay 1 --endMP 204:233302 --enddatetime 2017-02-27T00:36:16 --enforcementcount 1 &gt;&gt;C:\Users\stu\Documents\GitHub\eaglep3-reporting\EC\2017-02-26-refined-times.txt</v>
      </c>
      <c r="AI156" s="108" t="str">
        <f t="shared" si="55"/>
        <v>echo {"issue":{"subject":"","project_id":79,"tracker_id":40,"status_id":1,"priority_id":2,"assigned_to_id":23,"start_date":"2017-02-27","description":"","custom_fields":[{"id":1,"name":"Subdivision","value":"EC"},{"id":4,"name":"Milepost","value":"23.3302"},{"id":17,"name":"Train ID","value":"241-26"},{"id":16,"name":"Locomotive ID","value":"4053"},{"id":130,"name":"Impact","value":""},{"id":150,"name":"Time of Event (Mountain Time)","value":"00:36:16"},{"id":151,"name":"Denver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56"/>
        <v>start /low /b %USERPROFILE%\Documents\GitHub\eaglep3\Utilities\DownloadLogsFromS3.py --loco 4053 --day 2017-02-27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"%USERPROFILE%\AppData\Local\Temp\OnboardLogs"\RTDC4053\*4053*20170227* | grep -SE "(Enforcement Action)|(\[TIMEOUT)|(CHR.+\|PRM\|1\|D.+(SWITCH|SIGNAL).+UNKNOWN)" - &gt;&gt; 2017-02-26-UncaughtWiMAX.txt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3" t="s">
        <v>574</v>
      </c>
      <c r="B157" s="7">
        <v>4054</v>
      </c>
      <c r="C157" s="21" t="s">
        <v>285</v>
      </c>
      <c r="D157" s="21" t="s">
        <v>295</v>
      </c>
      <c r="E157" s="13">
        <v>42793.031284722223</v>
      </c>
      <c r="F157" s="13">
        <v>42793.039236111108</v>
      </c>
      <c r="G157" s="7">
        <v>1</v>
      </c>
      <c r="H157" s="21" t="s">
        <v>907</v>
      </c>
      <c r="I157" s="13">
        <v>42793.066192129627</v>
      </c>
      <c r="J157" s="7">
        <v>1</v>
      </c>
      <c r="K157" s="98" t="str">
        <f t="shared" si="39"/>
        <v>4053/4054</v>
      </c>
      <c r="L157" s="21" t="str">
        <f>VLOOKUP(A157,'Trips&amp;Operators'!$C$1:$G$99999,5,FALSE)</f>
        <v>SMITH MICHAEL</v>
      </c>
      <c r="M157" s="6">
        <f t="shared" si="40"/>
        <v>2.6956018518831115E-2</v>
      </c>
      <c r="N157" s="7">
        <f t="shared" si="41"/>
        <v>38.816666667116806</v>
      </c>
      <c r="O157" s="7"/>
      <c r="P157" s="7"/>
      <c r="Q157" s="22"/>
      <c r="R157" s="22"/>
      <c r="S157" s="31">
        <f t="shared" si="42"/>
        <v>1</v>
      </c>
      <c r="T157" s="46" t="str">
        <f t="shared" si="43"/>
        <v>Southbound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 t="shared" si="44"/>
        <v>https://d0f6bd738d7f1b3e5a7ca70fe4ff75f0.us-east-1.aws.found.io/app/kibana#/discover/Steve-Slow-Train-Analysis-(2080s-and-2083s)?_g=(refreshInterval:(display:Off,pause:!f,section:0,value:0),time:(from:'2017-02-26T23:45:03-0700',mode:absolute,to:'2017-02-27T02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7" s="187" t="str">
        <f t="shared" si="45"/>
        <v>N</v>
      </c>
      <c r="X157" s="187">
        <f t="shared" si="46"/>
        <v>1</v>
      </c>
      <c r="Y157" s="62">
        <f t="shared" si="47"/>
        <v>23.2987</v>
      </c>
      <c r="Z157" s="62">
        <f t="shared" si="48"/>
        <v>1.7399999999999999E-2</v>
      </c>
      <c r="AA157" s="62">
        <f t="shared" si="49"/>
        <v>23.281300000000002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0"/>
        <v>0242-26</v>
      </c>
      <c r="AE157" s="85" t="str">
        <f t="shared" si="51"/>
        <v>aws s3 cp s3://rtdc.mdm.uploadarchive.raw/RTDC4054/ "%USERPROFILE%\AppData\Local\Temp\OnboardLogs"\RTDC4054\2017-02-27 --exclude "*" --recursive --include "*20170227*" &amp; "%USERPROFILE%\Documents\GitHub\mrs-test-scripts\Headless Mode &amp; Sideloading\WalkAndUnGZ.bat" "%USERPROFILE%\AppData\Local\Temp\OnboardLogs"\RTDC4054\2017-02-27 &amp; aws s3 cp s3://rtdc.mdm.uploadarchive.raw/RTDC4054/ "%USERPROFILE%\AppData\Local\Temp\OnboardLogs"\RTDC4054\2017-02-28 --exclude "*" --recursive --include "*20170228*" &amp; "%USERPROFILE%\Documents\GitHub\mrs-test-scripts\Headless Mode &amp; Sideloading\WalkAndUnGZ.bat" "%USERPROFILE%\AppData\Local\Temp\OnboardLogs"\RTDC4054\2017-02-28</v>
      </c>
      <c r="AF157" s="82" t="str">
        <f t="shared" si="52"/>
        <v>"C:\Program Files (x86)\AstroGrep\AstroGrep.exe" /spath="%USERPROFILE%\AppData\Local\Temp\OnboardLogs" /stypes="app*4054*20170227*" /stext=" 08:.+((SYSTEM_STATE.+slice.+state.+changed )|(ment ac)|(multiple cpu faults)|(system.+state.+changed )|(\[timeout)|(PRM\|1\|D)|(kpr)|(kdp)|(\|lc)|(penalty))" /e /r /s</v>
      </c>
      <c r="AG157" s="1" t="str">
        <f t="shared" si="53"/>
        <v>EC</v>
      </c>
      <c r="AH157" s="86" t="str">
        <f t="shared" si="54"/>
        <v>"%USERPROFILE%\Documents\GitHub\eaglep3\Utilities\RefineRTDCRunTimes.py" --tripid 242-26 --locoid 4054 --swversion DE.1.0.9.0 --startMP 204:232987 --initTime 2017-02-27T00:45:03 --startdatetime 2017-02-27T00:56:30 --delay 1 --endMP 204:174 --enddatetime 2017-02-27T01:35:19 --enforcementcount 1 &gt;&gt;C:\Users\stu\Documents\GitHub\eaglep3-reporting\EC\2017-02-26-refined-times.txt</v>
      </c>
      <c r="AI157" s="108" t="str">
        <f t="shared" si="55"/>
        <v>echo {"issue":{"subject":"","project_id":79,"tracker_id":40,"status_id":1,"priority_id":2,"assigned_to_id":23,"start_date":"2017-02-27","description":"","custom_fields":[{"id":1,"name":"Subdivision","value":"EC"},{"id":4,"name":"Milepost","value":"0.0174"},{"id":17,"name":"Train ID","value":"242-26"},{"id":16,"name":"Locomotive ID","value":"4054"},{"id":130,"name":"Impact","value":""},{"id":150,"name":"Time of Event (Mountain Time)","value":"01:35:19"},{"id":151,"name":"Denver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56"/>
        <v>start /low /b %USERPROFILE%\Documents\GitHub\eaglep3\Utilities\DownloadLogsFromS3.py --loco 4054 --day 2017-02-27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"%USERPROFILE%\AppData\Local\Temp\OnboardLogs"\RTDC4054\*4054*20170227* | grep -SE "(Enforcement Action)|(\[TIMEOUT)|(CHR.+\|PRM\|1\|D.+(SWITCH|SIGNAL).+UNKNOWN)" - &gt;&gt; 2017-02-26-UncaughtWiMAX.txt</v>
      </c>
    </row>
    <row r="158" spans="1:91" x14ac:dyDescent="0.25">
      <c r="A158" s="33" t="s">
        <v>776</v>
      </c>
      <c r="B158" s="7">
        <v>4029</v>
      </c>
      <c r="C158" s="21" t="s">
        <v>285</v>
      </c>
      <c r="D158" s="21" t="s">
        <v>250</v>
      </c>
      <c r="E158" s="13">
        <v>42793.009016203701</v>
      </c>
      <c r="F158" s="13">
        <v>42793.021134259259</v>
      </c>
      <c r="G158" s="7">
        <v>1</v>
      </c>
      <c r="H158" s="21" t="s">
        <v>323</v>
      </c>
      <c r="I158" s="13">
        <v>42793.045763888891</v>
      </c>
      <c r="J158" s="7">
        <v>1</v>
      </c>
      <c r="K158" s="98" t="str">
        <f t="shared" si="39"/>
        <v>4029/4030</v>
      </c>
      <c r="L158" s="21" t="str">
        <f>VLOOKUP(A158,'Trips&amp;Operators'!$C$1:$G$99999,5,FALSE)</f>
        <v>STAMBAUGH JAMES</v>
      </c>
      <c r="M158" s="6">
        <f t="shared" si="40"/>
        <v>2.4629629631817807E-2</v>
      </c>
      <c r="N158" s="7">
        <f t="shared" si="41"/>
        <v>35.466666669817641</v>
      </c>
      <c r="O158" s="7"/>
      <c r="P158" s="7"/>
      <c r="Q158" s="22"/>
      <c r="R158" s="22"/>
      <c r="S158" s="31">
        <f t="shared" si="42"/>
        <v>1</v>
      </c>
      <c r="T158" s="46" t="str">
        <f t="shared" si="43"/>
        <v>NorthBound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6" t="str">
        <f t="shared" si="44"/>
        <v>https://d0f6bd738d7f1b3e5a7ca70fe4ff75f0.us-east-1.aws.found.io/app/kibana#/discover/Steve-Slow-Train-Analysis-(2080s-and-2083s)?_g=(refreshInterval:(display:Off,pause:!f,section:0,value:0),time:(from:'2017-02-26T23:12:59-0700',mode:absolute,to:'2017-02-27T02:05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8" s="187" t="str">
        <f t="shared" si="45"/>
        <v>N</v>
      </c>
      <c r="X158" s="187">
        <f t="shared" si="46"/>
        <v>1</v>
      </c>
      <c r="Y158" s="62">
        <f t="shared" si="47"/>
        <v>4.6399999999999997E-2</v>
      </c>
      <c r="Z158" s="62">
        <f t="shared" si="48"/>
        <v>23.332699999999999</v>
      </c>
      <c r="AA158" s="62">
        <f t="shared" si="49"/>
        <v>23.286300000000001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0"/>
        <v>0243-26</v>
      </c>
      <c r="AE158" s="85" t="str">
        <f t="shared" si="51"/>
        <v>aws s3 cp s3://rtdc.mdm.uploadarchive.raw/RTDC4029/ "%USERPROFILE%\AppData\Local\Temp\OnboardLogs"\RTDC4029\2017-02-27 --exclude "*" --recursive --include "*20170227*" &amp; "%USERPROFILE%\Documents\GitHub\mrs-test-scripts\Headless Mode &amp; Sideloading\WalkAndUnGZ.bat" "%USERPROFILE%\AppData\Local\Temp\OnboardLogs"\RTDC4029\2017-02-27 &amp; aws s3 cp s3://rtdc.mdm.uploadarchive.raw/RTDC4029/ "%USERPROFILE%\AppData\Local\Temp\OnboardLogs"\RTDC4029\2017-02-28 --exclude "*" --recursive --include "*20170228*" &amp; "%USERPROFILE%\Documents\GitHub\mrs-test-scripts\Headless Mode &amp; Sideloading\WalkAndUnGZ.bat" "%USERPROFILE%\AppData\Local\Temp\OnboardLogs"\RTDC4029\2017-02-28</v>
      </c>
      <c r="AF158" s="82" t="str">
        <f t="shared" si="52"/>
        <v>"C:\Program Files (x86)\AstroGrep\AstroGrep.exe" /spath="%USERPROFILE%\AppData\Local\Temp\OnboardLogs" /stypes="app*4029*20170227*" /stext=" 08:.+((SYSTEM_STATE.+slice.+state.+changed )|(ment ac)|(multiple cpu faults)|(system.+state.+changed )|(\[timeout)|(PRM\|1\|D)|(kpr)|(kdp)|(\|lc)|(penalty))" /e /r /s</v>
      </c>
      <c r="AG158" s="1" t="str">
        <f t="shared" si="53"/>
        <v>EC</v>
      </c>
      <c r="AH158" s="86" t="str">
        <f t="shared" si="54"/>
        <v>"%USERPROFILE%\Documents\GitHub\eaglep3\Utilities\RefineRTDCRunTimes.py" --tripid 243-26 --locoid 4029 --swversion DE.1.0.9.0 --startMP 204:464 --initTime 2017-02-27T00:12:59 --startdatetime 2017-02-27T00:30:26 --delay 1 --endMP 204:233327 --enddatetime 2017-02-27T01:05:54 --enforcementcount 1 &gt;&gt;C:\Users\stu\Documents\GitHub\eaglep3-reporting\EC\2017-02-26-refined-times.txt</v>
      </c>
      <c r="AI158" s="108" t="str">
        <f t="shared" si="55"/>
        <v>echo {"issue":{"subject":"","project_id":79,"tracker_id":40,"status_id":1,"priority_id":2,"assigned_to_id":23,"start_date":"2017-02-27","description":"","custom_fields":[{"id":1,"name":"Subdivision","value":"EC"},{"id":4,"name":"Milepost","value":"23.3327"},{"id":17,"name":"Train ID","value":"243-26"},{"id":16,"name":"Locomotive ID","value":"4029"},{"id":130,"name":"Impact","value":""},{"id":150,"name":"Time of Event (Mountain Time)","value":"01:05:54"},{"id":151,"name":"Denver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56"/>
        <v>start /low /b %USERPROFILE%\Documents\GitHub\eaglep3\Utilities\DownloadLogsFromS3.py --loco 4029 --day 2017-02-27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"%USERPROFILE%\AppData\Local\Temp\OnboardLogs"\RTDC4029\*4029*20170227* | grep -SE "(Enforcement Action)|(\[TIMEOUT)|(CHR.+\|PRM\|1\|D.+(SWITCH|SIGNAL).+UNKNOWN)" - &gt;&gt; 2017-02-26-UncaughtWiMAX.txt</v>
      </c>
    </row>
    <row r="159" spans="1:91" x14ac:dyDescent="0.25">
      <c r="A159" s="33" t="s">
        <v>780</v>
      </c>
      <c r="B159" s="7">
        <v>4030</v>
      </c>
      <c r="C159" s="21" t="s">
        <v>285</v>
      </c>
      <c r="D159" s="21" t="s">
        <v>889</v>
      </c>
      <c r="E159" s="13">
        <v>42793.058252314811</v>
      </c>
      <c r="F159" s="13">
        <v>42793.059988425928</v>
      </c>
      <c r="G159" s="7">
        <v>1</v>
      </c>
      <c r="H159" s="21" t="s">
        <v>266</v>
      </c>
      <c r="I159" s="13">
        <v>42793.086956018517</v>
      </c>
      <c r="J159" s="7">
        <v>1</v>
      </c>
      <c r="K159" s="98" t="str">
        <f t="shared" si="39"/>
        <v>4029/4030</v>
      </c>
      <c r="L159" s="21" t="str">
        <f>VLOOKUP(A159,'Trips&amp;Operators'!$C$1:$G$99999,5,FALSE)</f>
        <v>STAMBAUGH JAMES</v>
      </c>
      <c r="M159" s="6">
        <f t="shared" si="40"/>
        <v>2.696759258833481E-2</v>
      </c>
      <c r="N159" s="7">
        <f t="shared" si="41"/>
        <v>38.833333327202126</v>
      </c>
      <c r="O159" s="7"/>
      <c r="P159" s="7"/>
      <c r="Q159" s="22"/>
      <c r="R159" s="22"/>
      <c r="S159" s="31">
        <f t="shared" si="42"/>
        <v>1</v>
      </c>
      <c r="T159" s="46" t="str">
        <f t="shared" si="43"/>
        <v>Southbound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6" t="str">
        <f t="shared" si="44"/>
        <v>https://d0f6bd738d7f1b3e5a7ca70fe4ff75f0.us-east-1.aws.found.io/app/kibana#/discover/Steve-Slow-Train-Analysis-(2080s-and-2083s)?_g=(refreshInterval:(display:Off,pause:!f,section:0,value:0),time:(from:'2017-02-27T00:23:53-0700',mode:absolute,to:'2017-02-27T03:05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9" s="187" t="str">
        <f t="shared" si="45"/>
        <v>N</v>
      </c>
      <c r="X159" s="187">
        <f t="shared" si="46"/>
        <v>1</v>
      </c>
      <c r="Y159" s="62">
        <f t="shared" si="47"/>
        <v>23.304200000000002</v>
      </c>
      <c r="Z159" s="62">
        <f t="shared" si="48"/>
        <v>4.4400000000000002E-2</v>
      </c>
      <c r="AA159" s="62">
        <f t="shared" si="49"/>
        <v>23.259800000000002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0"/>
        <v>0244-26</v>
      </c>
      <c r="AE159" s="85" t="str">
        <f t="shared" si="51"/>
        <v>aws s3 cp s3://rtdc.mdm.uploadarchive.raw/RTDC4030/ "%USERPROFILE%\AppData\Local\Temp\OnboardLogs"\RTDC4030\2017-02-27 --exclude "*" --recursive --include "*20170227*" &amp; "%USERPROFILE%\Documents\GitHub\mrs-test-scripts\Headless Mode &amp; Sideloading\WalkAndUnGZ.bat" "%USERPROFILE%\AppData\Local\Temp\OnboardLogs"\RTDC4030\2017-02-27 &amp; aws s3 cp s3://rtdc.mdm.uploadarchive.raw/RTDC4030/ "%USERPROFILE%\AppData\Local\Temp\OnboardLogs"\RTDC4030\2017-02-28 --exclude "*" --recursive --include "*20170228*" &amp; "%USERPROFILE%\Documents\GitHub\mrs-test-scripts\Headless Mode &amp; Sideloading\WalkAndUnGZ.bat" "%USERPROFILE%\AppData\Local\Temp\OnboardLogs"\RTDC4030\2017-02-28</v>
      </c>
      <c r="AF159" s="82" t="str">
        <f t="shared" si="52"/>
        <v>"C:\Program Files (x86)\AstroGrep\AstroGrep.exe" /spath="%USERPROFILE%\AppData\Local\Temp\OnboardLogs" /stypes="app*4030*20170227*" /stext=" 09:.+((SYSTEM_STATE.+slice.+state.+changed )|(ment ac)|(multiple cpu faults)|(system.+state.+changed )|(\[timeout)|(PRM\|1\|D)|(kpr)|(kdp)|(\|lc)|(penalty))" /e /r /s</v>
      </c>
      <c r="AG159" s="1" t="str">
        <f t="shared" si="53"/>
        <v>EC</v>
      </c>
      <c r="AH159" s="86" t="str">
        <f t="shared" si="54"/>
        <v>"%USERPROFILE%\Documents\GitHub\eaglep3\Utilities\RefineRTDCRunTimes.py" --tripid 244-26 --locoid 4030 --swversion DE.1.0.9.0 --startMP 204:233042 --initTime 2017-02-27T01:23:53 --startdatetime 2017-02-27T01:26:23 --delay 1 --endMP 204:444 --enddatetime 2017-02-27T02:05:13 --enforcementcount 1 &gt;&gt;C:\Users\stu\Documents\GitHub\eaglep3-reporting\EC\2017-02-26-refined-times.txt</v>
      </c>
      <c r="AI159" s="108" t="str">
        <f t="shared" si="55"/>
        <v>echo {"issue":{"subject":"","project_id":79,"tracker_id":40,"status_id":1,"priority_id":2,"assigned_to_id":23,"start_date":"2017-02-27","description":"","custom_fields":[{"id":1,"name":"Subdivision","value":"EC"},{"id":4,"name":"Milepost","value":"0.0444"},{"id":17,"name":"Train ID","value":"244-26"},{"id":16,"name":"Locomotive ID","value":"4030"},{"id":130,"name":"Impact","value":""},{"id":150,"name":"Time of Event (Mountain Time)","value":"02:05:13"},{"id":151,"name":"Denver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56"/>
        <v>start /low /b %USERPROFILE%\Documents\GitHub\eaglep3\Utilities\DownloadLogsFromS3.py --loco 4030 --day 2017-02-27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"%USERPROFILE%\AppData\Local\Temp\OnboardLogs"\RTDC4030\*4030*20170227* | grep -SE "(Enforcement Action)|(\[TIMEOUT)|(CHR.+\|PRM\|1\|D.+(SWITCH|SIGNAL).+UNKNOWN)" - &gt;&gt; 2017-02-26-UncaughtWiMAX.txt</v>
      </c>
    </row>
    <row r="160" spans="1:91" x14ac:dyDescent="0.25">
      <c r="A160" s="33" t="s">
        <v>611</v>
      </c>
      <c r="B160" s="7">
        <v>4008</v>
      </c>
      <c r="C160" s="21" t="s">
        <v>285</v>
      </c>
      <c r="D160" s="21" t="s">
        <v>841</v>
      </c>
      <c r="E160" s="13">
        <v>42792.229861111111</v>
      </c>
      <c r="F160" s="13">
        <v>42792.232418981483</v>
      </c>
      <c r="G160" s="7">
        <v>1</v>
      </c>
      <c r="H160" s="21" t="s">
        <v>842</v>
      </c>
      <c r="I160" s="13">
        <v>42792.246620370373</v>
      </c>
      <c r="J160" s="7">
        <v>1</v>
      </c>
      <c r="K160" s="98" t="str">
        <f t="shared" si="39"/>
        <v>4007/4008</v>
      </c>
      <c r="L160" s="21" t="str">
        <f>VLOOKUP(A160,'Trips&amp;Operators'!$C$1:$G$99999,5,FALSE)</f>
        <v>YORK EDGAR</v>
      </c>
      <c r="M160" s="6">
        <f t="shared" si="40"/>
        <v>1.4201388890796807E-2</v>
      </c>
      <c r="N160" s="7">
        <f t="shared" si="41"/>
        <v>20.450000002747402</v>
      </c>
      <c r="O160" s="7"/>
      <c r="P160" s="7"/>
      <c r="Q160" s="22"/>
      <c r="R160" s="22"/>
      <c r="S160" s="31">
        <f t="shared" si="42"/>
        <v>1</v>
      </c>
      <c r="T160" s="46" t="str">
        <f t="shared" si="43"/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44"/>
        <v>https://d0f6bd738d7f1b3e5a7ca70fe4ff75f0.us-east-1.aws.found.io/app/kibana#/discover/Steve-Slow-Train-Analysis-(2080s-and-2083s)?_g=(refreshInterval:(display:Off,pause:!f,section:0,value:0),time:(from:'2017-02-26T04:31:00-0700',mode:absolute,to:'2017-02-26T06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0" s="187" t="str">
        <f t="shared" si="45"/>
        <v>N</v>
      </c>
      <c r="X160" s="187">
        <f t="shared" si="46"/>
        <v>1556</v>
      </c>
      <c r="Y160" s="62">
        <f t="shared" si="47"/>
        <v>5.8620999999999999</v>
      </c>
      <c r="Z160" s="62">
        <f t="shared" si="48"/>
        <v>7.4499999999999997E-2</v>
      </c>
      <c r="AA160" s="62">
        <f t="shared" si="49"/>
        <v>5.7876000000000003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0"/>
        <v>1800-26</v>
      </c>
      <c r="AE160" s="85" t="str">
        <f t="shared" si="51"/>
        <v>aws s3 cp s3://rtdc.mdm.uploadarchive.raw/RTDC4008/ "%USERPROFILE%\AppData\Local\Temp\OnboardLogs"\RTDC4008\2017-02-26 --exclude "*" --recursive --include "*20170226*" &amp; "%USERPROFILE%\Documents\GitHub\mrs-test-scripts\Headless Mode &amp; Sideloading\WalkAndUnGZ.bat" "%USERPROFILE%\AppData\Local\Temp\OnboardLogs"\RTDC4008\2017-02-26 &amp; aws s3 cp s3://rtdc.mdm.uploadarchive.raw/RTDC4008/ "%USERPROFILE%\AppData\Local\Temp\OnboardLogs"\RTDC4008\2017-02-27 --exclude "*" --recursive --include "*20170227*" &amp; "%USERPROFILE%\Documents\GitHub\mrs-test-scripts\Headless Mode &amp; Sideloading\WalkAndUnGZ.bat" "%USERPROFILE%\AppData\Local\Temp\OnboardLogs"\RTDC4008\2017-02-27</v>
      </c>
      <c r="AF160" s="82" t="str">
        <f t="shared" si="52"/>
        <v>"C:\Program Files (x86)\AstroGrep\AstroGrep.exe" /spath="%USERPROFILE%\AppData\Local\Temp\OnboardLogs" /stypes="app*4008*20170226*" /stext=" 12:.+((SYSTEM_STATE.+slice.+state.+changed )|(ment ac)|(multiple cpu faults)|(system.+state.+changed )|(\[timeout)|(PRM\|1\|D)|(kpr)|(kdp)|(\|lc)|(penalty))" /e /r /s</v>
      </c>
      <c r="AG160" s="1" t="str">
        <f t="shared" si="53"/>
        <v>NW</v>
      </c>
      <c r="AH160" s="86" t="str">
        <f t="shared" si="54"/>
        <v>"%USERPROFILE%\Documents\GitHub\eaglep3\Utilities\RefineRTDCRunTimes.py" --tripid 1800-26 --locoid 4008 --swversion DE.1.0.9.0 --startMP 300:58621 --initTime 2017-02-26T05:31:00 --startdatetime 2017-02-26T05:34:41 --delay 1 --endMP 204:745 --enddatetime 2017-02-26T05:55:08 --enforcementcount 1 &gt;&gt;C:\Users\stu\Documents\GitHub\eaglep3-reporting\EC\2017-02-26-refined-times.txt</v>
      </c>
      <c r="AI160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{"issue":{"subject":"","project_id":79,"tracker_id":40,"status_id":1,"priority_id":2,"assigned_to_id":23,"start_date":"2017-02-26","description":"","custom_fields":[{"id":1,"name":"Subdivision","value":"NW"},{"id":4,"name":"Milepost","value":"0.0745"},{"id":17,"name":"Train ID","value":"1800-26"},{"id":16,"name":"Locomotive ID","value":"4008"},{"id":130,"name":"Impact","value":""},{"id":150,"name":"Time of Event (Mountain Time)","value":"05:55:08"},{"id":151,"name":"Denver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56"/>
        <v>start /low /b %USERPROFILE%\Documents\GitHub\eaglep3\Utilities\DownloadLogsFromS3.py --loco 4008 --day 2017-02-26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"%USERPROFILE%\AppData\Local\Temp\OnboardLogs"\RTDC4008\*4008*20170226* | grep -SE "(Enforcement Action)|(\[TIMEOUT)|(CHR.+\|PRM\|1\|D.+(SWITCH|SIGNAL).+UNKNOWN)" - &gt;&gt; 2017-02-26-UncaughtWiMAX.txt</v>
      </c>
    </row>
    <row r="161" spans="1:91" x14ac:dyDescent="0.25">
      <c r="A161" s="33" t="s">
        <v>614</v>
      </c>
      <c r="B161" s="7">
        <v>4007</v>
      </c>
      <c r="C161" s="21" t="s">
        <v>285</v>
      </c>
      <c r="D161" s="21" t="s">
        <v>843</v>
      </c>
      <c r="E161" s="13">
        <v>42792.248159722221</v>
      </c>
      <c r="F161" s="13">
        <v>42792.264861111114</v>
      </c>
      <c r="G161" s="7">
        <v>1</v>
      </c>
      <c r="H161" s="21" t="s">
        <v>844</v>
      </c>
      <c r="I161" s="13">
        <v>42792.273252314815</v>
      </c>
      <c r="J161" s="7">
        <v>1</v>
      </c>
      <c r="K161" s="98" t="str">
        <f t="shared" si="39"/>
        <v>4007/4008</v>
      </c>
      <c r="L161" s="21" t="str">
        <f>VLOOKUP(A161,'Trips&amp;Operators'!$C$1:$G$99999,5,FALSE)</f>
        <v>YORK EDGAR</v>
      </c>
      <c r="M161" s="6">
        <f t="shared" si="40"/>
        <v>8.3912037007394247E-3</v>
      </c>
      <c r="N161" s="7">
        <f t="shared" si="41"/>
        <v>12.083333329064772</v>
      </c>
      <c r="O161" s="7"/>
      <c r="P161" s="7"/>
      <c r="Q161" s="22"/>
      <c r="R161" s="22"/>
      <c r="S161" s="31">
        <f t="shared" si="42"/>
        <v>1</v>
      </c>
      <c r="T161" s="46" t="str">
        <f t="shared" si="43"/>
        <v>NorthBound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44"/>
        <v>https://d0f6bd738d7f1b3e5a7ca70fe4ff75f0.us-east-1.aws.found.io/app/kibana#/discover/Steve-Slow-Train-Analysis-(2080s-and-2083s)?_g=(refreshInterval:(display:Off,pause:!f,section:0,value:0),time:(from:'2017-02-26T04:57:21-0700',mode:absolute,to:'2017-02-26T07:33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1" s="187" t="str">
        <f t="shared" si="45"/>
        <v>N</v>
      </c>
      <c r="X161" s="187">
        <f t="shared" si="46"/>
        <v>1</v>
      </c>
      <c r="Y161" s="62">
        <f t="shared" si="47"/>
        <v>0.10349999999999999</v>
      </c>
      <c r="Z161" s="62">
        <f t="shared" si="48"/>
        <v>5.8933</v>
      </c>
      <c r="AA161" s="62">
        <f t="shared" si="49"/>
        <v>5.7897999999999996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0"/>
        <v>1801-26</v>
      </c>
      <c r="AE161" s="85" t="str">
        <f t="shared" si="51"/>
        <v>aws s3 cp s3://rtdc.mdm.uploadarchive.raw/RTDC4007/ "%USERPROFILE%\AppData\Local\Temp\OnboardLogs"\RTDC4007\2017-02-26 --exclude "*" --recursive --include "*20170226*" &amp; "%USERPROFILE%\Documents\GitHub\mrs-test-scripts\Headless Mode &amp; Sideloading\WalkAndUnGZ.bat" "%USERPROFILE%\AppData\Local\Temp\OnboardLogs"\RTDC4007\2017-02-26 &amp; aws s3 cp s3://rtdc.mdm.uploadarchive.raw/RTDC4007/ "%USERPROFILE%\AppData\Local\Temp\OnboardLogs"\RTDC4007\2017-02-27 --exclude "*" --recursive --include "*20170227*" &amp; "%USERPROFILE%\Documents\GitHub\mrs-test-scripts\Headless Mode &amp; Sideloading\WalkAndUnGZ.bat" "%USERPROFILE%\AppData\Local\Temp\OnboardLogs"\RTDC4007\2017-02-27</v>
      </c>
      <c r="AF161" s="82" t="str">
        <f t="shared" si="52"/>
        <v>"C:\Program Files (x86)\AstroGrep\AstroGrep.exe" /spath="%USERPROFILE%\AppData\Local\Temp\OnboardLogs" /stypes="app*4007*20170226*" /stext=" 13:.+((SYSTEM_STATE.+slice.+state.+changed )|(ment ac)|(multiple cpu faults)|(system.+state.+changed )|(\[timeout)|(PRM\|1\|D)|(kpr)|(kdp)|(\|lc)|(penalty))" /e /r /s</v>
      </c>
      <c r="AG161" s="1" t="str">
        <f t="shared" si="53"/>
        <v>NW</v>
      </c>
      <c r="AH161" s="86" t="str">
        <f t="shared" si="54"/>
        <v>"%USERPROFILE%\Documents\GitHub\eaglep3\Utilities\RefineRTDCRunTimes.py" --tripid 1801-26 --locoid 4007 --swversion DE.1.0.9.0 --startMP 204:1035 --initTime 2017-02-26T05:57:21 --startdatetime 2017-02-26T06:21:24 --delay 1 --endMP 300:58933 --enddatetime 2017-02-26T06:33:29 --enforcementcount 1 &gt;&gt;C:\Users\stu\Documents\GitHub\eaglep3-reporting\EC\2017-02-26-refined-times.txt</v>
      </c>
      <c r="AI161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{"issue":{"subject":"","project_id":79,"tracker_id":40,"status_id":1,"priority_id":2,"assigned_to_id":23,"start_date":"2017-02-26","description":"","custom_fields":[{"id":1,"name":"Subdivision","value":"NW"},{"id":4,"name":"Milepost","value":"5.8933"},{"id":17,"name":"Train ID","value":"1801-26"},{"id":16,"name":"Locomotive ID","value":"4007"},{"id":130,"name":"Impact","value":""},{"id":150,"name":"Time of Event (Mountain Time)","value":"06:33:29"},{"id":151,"name":"Denver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56"/>
        <v>start /low /b %USERPROFILE%\Documents\GitHub\eaglep3\Utilities\DownloadLogsFromS3.py --loco 4007 --day 2017-02-26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"%USERPROFILE%\AppData\Local\Temp\OnboardLogs"\RTDC4007\*4007*20170226* | grep -SE "(Enforcement Action)|(\[TIMEOUT)|(CHR.+\|PRM\|1\|D.+(SWITCH|SIGNAL).+UNKNOWN)" - &gt;&gt; 2017-02-26-UncaughtWiMAX.txt</v>
      </c>
    </row>
    <row r="162" spans="1:91" s="20" customFormat="1" x14ac:dyDescent="0.25">
      <c r="A162" s="33" t="s">
        <v>618</v>
      </c>
      <c r="B162" s="7">
        <v>4008</v>
      </c>
      <c r="C162" s="21" t="s">
        <v>285</v>
      </c>
      <c r="D162" s="21" t="s">
        <v>328</v>
      </c>
      <c r="E162" s="13">
        <v>42792.274351851855</v>
      </c>
      <c r="F162" s="13">
        <v>42792.278020833335</v>
      </c>
      <c r="G162" s="7">
        <v>0</v>
      </c>
      <c r="H162" s="21" t="s">
        <v>845</v>
      </c>
      <c r="I162" s="13">
        <v>42792.287476851852</v>
      </c>
      <c r="J162" s="7">
        <v>1</v>
      </c>
      <c r="K162" s="98" t="str">
        <f t="shared" si="39"/>
        <v>4007/4008</v>
      </c>
      <c r="L162" s="21" t="str">
        <f>VLOOKUP(A162,'Trips&amp;Operators'!$C$1:$G$99999,5,FALSE)</f>
        <v>YORK EDGAR</v>
      </c>
      <c r="M162" s="6">
        <f t="shared" si="40"/>
        <v>9.4560185170848854E-3</v>
      </c>
      <c r="N162" s="7">
        <f t="shared" si="41"/>
        <v>13.616666664602235</v>
      </c>
      <c r="O162" s="7"/>
      <c r="P162" s="7"/>
      <c r="Q162" s="22"/>
      <c r="R162" s="22"/>
      <c r="S162" s="31">
        <f t="shared" si="42"/>
        <v>1</v>
      </c>
      <c r="T162" s="46" t="str">
        <f t="shared" si="43"/>
        <v>Southbound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44"/>
        <v>https://d0f6bd738d7f1b3e5a7ca70fe4ff75f0.us-east-1.aws.found.io/app/kibana#/discover/Steve-Slow-Train-Analysis-(2080s-and-2083s)?_g=(refreshInterval:(display:Off,pause:!f,section:0,value:0),time:(from:'2017-02-26T05:35:04-0700',mode:absolute,to:'2017-02-26T07:53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2" s="187" t="str">
        <f t="shared" si="45"/>
        <v>N</v>
      </c>
      <c r="X162" s="187">
        <f t="shared" si="46"/>
        <v>1</v>
      </c>
      <c r="Y162" s="62">
        <f t="shared" si="47"/>
        <v>5.8616999999999999</v>
      </c>
      <c r="Z162" s="62">
        <f t="shared" si="48"/>
        <v>7.6100000000000001E-2</v>
      </c>
      <c r="AA162" s="62">
        <f t="shared" si="49"/>
        <v>5.7855999999999996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0"/>
        <v>1802-26</v>
      </c>
      <c r="AE162" s="85" t="str">
        <f t="shared" si="51"/>
        <v>aws s3 cp s3://rtdc.mdm.uploadarchive.raw/RTDC4008/ "%USERPROFILE%\AppData\Local\Temp\OnboardLogs"\RTDC4008\2017-02-26 --exclude "*" --recursive --include "*20170226*" &amp; "%USERPROFILE%\Documents\GitHub\mrs-test-scripts\Headless Mode &amp; Sideloading\WalkAndUnGZ.bat" "%USERPROFILE%\AppData\Local\Temp\OnboardLogs"\RTDC4008\2017-02-26 &amp; aws s3 cp s3://rtdc.mdm.uploadarchive.raw/RTDC4008/ "%USERPROFILE%\AppData\Local\Temp\OnboardLogs"\RTDC4008\2017-02-27 --exclude "*" --recursive --include "*20170227*" &amp; "%USERPROFILE%\Documents\GitHub\mrs-test-scripts\Headless Mode &amp; Sideloading\WalkAndUnGZ.bat" "%USERPROFILE%\AppData\Local\Temp\OnboardLogs"\RTDC4008\2017-02-27</v>
      </c>
      <c r="AF162" s="82" t="str">
        <f t="shared" si="52"/>
        <v>"C:\Program Files (x86)\AstroGrep\AstroGrep.exe" /spath="%USERPROFILE%\AppData\Local\Temp\OnboardLogs" /stypes="app*4008*20170226*" /stext=" 13:.+((SYSTEM_STATE.+slice.+state.+changed )|(ment ac)|(multiple cpu faults)|(system.+state.+changed )|(\[timeout)|(PRM\|1\|D)|(kpr)|(kdp)|(\|lc)|(penalty))" /e /r /s</v>
      </c>
      <c r="AG162" s="1" t="str">
        <f t="shared" si="53"/>
        <v>NW</v>
      </c>
      <c r="AH162" s="86" t="str">
        <f t="shared" si="54"/>
        <v>"%USERPROFILE%\Documents\GitHub\eaglep3\Utilities\RefineRTDCRunTimes.py" --tripid 1802-26 --locoid 4008 --swversion DE.1.0.9.0 --startMP 300:58617 --initTime 2017-02-26T06:35:04 --startdatetime 2017-02-26T06:40:21 --delay 0 --endMP 204:761 --enddatetime 2017-02-26T06:53:58 --enforcementcount 1 &gt;&gt;C:\Users\stu\Documents\GitHub\eaglep3-reporting\EC\2017-02-26-refined-times.txt</v>
      </c>
      <c r="AI162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{"issue":{"subject":"","project_id":79,"tracker_id":40,"status_id":1,"priority_id":2,"assigned_to_id":23,"start_date":"2017-02-26","description":"","custom_fields":[{"id":1,"name":"Subdivision","value":"NW"},{"id":4,"name":"Milepost","value":"0.0761"},{"id":17,"name":"Train ID","value":"1802-26"},{"id":16,"name":"Locomotive ID","value":"4008"},{"id":130,"name":"Impact","value":""},{"id":150,"name":"Time of Event (Mountain Time)","value":"06:53:58"},{"id":151,"name":"Denver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56"/>
        <v>start /low /b %USERPROFILE%\Documents\GitHub\eaglep3\Utilities\DownloadLogsFromS3.py --loco 4008 --day 2017-02-26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"%USERPROFILE%\AppData\Local\Temp\OnboardLogs"\RTDC4008\*4008*20170226* | grep -SE "(Enforcement Action)|(\[TIMEOUT)|(CHR.+\|PRM\|1\|D.+(SWITCH|SIGNAL).+UNKNOWN)" - &gt;&gt; 2017-02-26-UncaughtWiMAX.txt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3" t="s">
        <v>623</v>
      </c>
      <c r="B163" s="7">
        <v>4007</v>
      </c>
      <c r="C163" s="21" t="s">
        <v>285</v>
      </c>
      <c r="D163" s="21" t="s">
        <v>846</v>
      </c>
      <c r="E163" s="13">
        <v>42792.288715277777</v>
      </c>
      <c r="F163" s="13">
        <v>42792.306435185186</v>
      </c>
      <c r="G163" s="7">
        <v>0</v>
      </c>
      <c r="H163" s="21" t="s">
        <v>847</v>
      </c>
      <c r="I163" s="13">
        <v>42792.315254629626</v>
      </c>
      <c r="J163" s="7">
        <v>1</v>
      </c>
      <c r="K163" s="98" t="str">
        <f t="shared" si="39"/>
        <v>4007/4008</v>
      </c>
      <c r="L163" s="21" t="str">
        <f>VLOOKUP(A163,'Trips&amp;Operators'!$C$1:$G$99999,5,FALSE)</f>
        <v>YORK EDGAR</v>
      </c>
      <c r="M163" s="6">
        <f t="shared" si="40"/>
        <v>8.8194444397231564E-3</v>
      </c>
      <c r="N163" s="7">
        <f t="shared" si="41"/>
        <v>12.699999993201345</v>
      </c>
      <c r="O163" s="7"/>
      <c r="P163" s="7"/>
      <c r="Q163" s="22"/>
      <c r="R163" s="22"/>
      <c r="S163" s="31">
        <f t="shared" si="42"/>
        <v>1</v>
      </c>
      <c r="T163" s="46" t="str">
        <f t="shared" si="43"/>
        <v>NorthBound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44"/>
        <v>https://d0f6bd738d7f1b3e5a7ca70fe4ff75f0.us-east-1.aws.found.io/app/kibana#/discover/Steve-Slow-Train-Analysis-(2080s-and-2083s)?_g=(refreshInterval:(display:Off,pause:!f,section:0,value:0),time:(from:'2017-02-26T05:55:45-0700',mode:absolute,to:'2017-02-26T08:33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3" s="187" t="str">
        <f t="shared" si="45"/>
        <v>N</v>
      </c>
      <c r="X163" s="187">
        <f t="shared" si="46"/>
        <v>1</v>
      </c>
      <c r="Y163" s="62">
        <f t="shared" si="47"/>
        <v>0.10580000000000001</v>
      </c>
      <c r="Z163" s="62">
        <f t="shared" si="48"/>
        <v>5.8928000000000003</v>
      </c>
      <c r="AA163" s="62">
        <f t="shared" si="49"/>
        <v>5.7869999999999999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0"/>
        <v>1803-26</v>
      </c>
      <c r="AE163" s="85" t="str">
        <f t="shared" si="51"/>
        <v>aws s3 cp s3://rtdc.mdm.uploadarchive.raw/RTDC4007/ "%USERPROFILE%\AppData\Local\Temp\OnboardLogs"\RTDC4007\2017-02-26 --exclude "*" --recursive --include "*20170226*" &amp; "%USERPROFILE%\Documents\GitHub\mrs-test-scripts\Headless Mode &amp; Sideloading\WalkAndUnGZ.bat" "%USERPROFILE%\AppData\Local\Temp\OnboardLogs"\RTDC4007\2017-02-26 &amp; aws s3 cp s3://rtdc.mdm.uploadarchive.raw/RTDC4007/ "%USERPROFILE%\AppData\Local\Temp\OnboardLogs"\RTDC4007\2017-02-27 --exclude "*" --recursive --include "*20170227*" &amp; "%USERPROFILE%\Documents\GitHub\mrs-test-scripts\Headless Mode &amp; Sideloading\WalkAndUnGZ.bat" "%USERPROFILE%\AppData\Local\Temp\OnboardLogs"\RTDC4007\2017-02-27</v>
      </c>
      <c r="AF163" s="82" t="str">
        <f t="shared" si="52"/>
        <v>"C:\Program Files (x86)\AstroGrep\AstroGrep.exe" /spath="%USERPROFILE%\AppData\Local\Temp\OnboardLogs" /stypes="app*4007*20170226*" /stext=" 14:.+((SYSTEM_STATE.+slice.+state.+changed )|(ment ac)|(multiple cpu faults)|(system.+state.+changed )|(\[timeout)|(PRM\|1\|D)|(kpr)|(kdp)|(\|lc)|(penalty))" /e /r /s</v>
      </c>
      <c r="AG163" s="1" t="str">
        <f t="shared" si="53"/>
        <v>NW</v>
      </c>
      <c r="AH163" s="86" t="str">
        <f t="shared" si="54"/>
        <v>"%USERPROFILE%\Documents\GitHub\eaglep3\Utilities\RefineRTDCRunTimes.py" --tripid 1803-26 --locoid 4007 --swversion DE.1.0.9.0 --startMP 204:1058 --initTime 2017-02-26T06:55:45 --startdatetime 2017-02-26T07:21:16 --delay 0 --endMP 300:58928 --enddatetime 2017-02-26T07:33:58 --enforcementcount 1 &gt;&gt;C:\Users\stu\Documents\GitHub\eaglep3-reporting\EC\2017-02-26-refined-times.txt</v>
      </c>
      <c r="AI163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{"issue":{"subject":"","project_id":79,"tracker_id":40,"status_id":1,"priority_id":2,"assigned_to_id":23,"start_date":"2017-02-26","description":"","custom_fields":[{"id":1,"name":"Subdivision","value":"NW"},{"id":4,"name":"Milepost","value":"5.8928"},{"id":17,"name":"Train ID","value":"1803-26"},{"id":16,"name":"Locomotive ID","value":"4007"},{"id":130,"name":"Impact","value":""},{"id":150,"name":"Time of Event (Mountain Time)","value":"07:33:58"},{"id":151,"name":"Denver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56"/>
        <v>start /low /b %USERPROFILE%\Documents\GitHub\eaglep3\Utilities\DownloadLogsFromS3.py --loco 4007 --day 2017-02-26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"%USERPROFILE%\AppData\Local\Temp\OnboardLogs"\RTDC4007\*4007*20170226* | grep -SE "(Enforcement Action)|(\[TIMEOUT)|(CHR.+\|PRM\|1\|D.+(SWITCH|SIGNAL).+UNKNOWN)" - &gt;&gt; 2017-02-26-UncaughtWiMAX.txt</v>
      </c>
    </row>
    <row r="164" spans="1:91" s="20" customFormat="1" x14ac:dyDescent="0.25">
      <c r="A164" s="33" t="s">
        <v>631</v>
      </c>
      <c r="B164" s="7">
        <v>4008</v>
      </c>
      <c r="C164" s="21" t="s">
        <v>285</v>
      </c>
      <c r="D164" s="21" t="s">
        <v>848</v>
      </c>
      <c r="E164" s="13">
        <v>42792.316759259258</v>
      </c>
      <c r="F164" s="13">
        <v>42792.31832175926</v>
      </c>
      <c r="G164" s="7">
        <v>1</v>
      </c>
      <c r="H164" s="21" t="s">
        <v>849</v>
      </c>
      <c r="I164" s="13">
        <v>42792.329282407409</v>
      </c>
      <c r="J164" s="7">
        <v>1</v>
      </c>
      <c r="K164" s="98" t="str">
        <f t="shared" si="39"/>
        <v>4007/4008</v>
      </c>
      <c r="L164" s="21" t="str">
        <f>VLOOKUP(A164,'Trips&amp;Operators'!$C$1:$G$99999,5,FALSE)</f>
        <v>YORK EDGAR</v>
      </c>
      <c r="M164" s="6">
        <f t="shared" si="40"/>
        <v>1.096064814919373E-2</v>
      </c>
      <c r="N164" s="7">
        <f t="shared" si="41"/>
        <v>15.783333334838971</v>
      </c>
      <c r="O164" s="7"/>
      <c r="P164" s="7"/>
      <c r="Q164" s="22"/>
      <c r="R164" s="22"/>
      <c r="S164" s="31">
        <f t="shared" si="42"/>
        <v>1</v>
      </c>
      <c r="T164" s="46" t="str">
        <f t="shared" si="43"/>
        <v>Southbound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44"/>
        <v>https://d0f6bd738d7f1b3e5a7ca70fe4ff75f0.us-east-1.aws.found.io/app/kibana#/discover/Steve-Slow-Train-Analysis-(2080s-and-2083s)?_g=(refreshInterval:(display:Off,pause:!f,section:0,value:0),time:(from:'2017-02-26T06:36:08-0700',mode:absolute,to:'2017-02-26T08:54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4" s="187" t="str">
        <f t="shared" si="45"/>
        <v>N</v>
      </c>
      <c r="X164" s="187">
        <f t="shared" si="46"/>
        <v>1</v>
      </c>
      <c r="Y164" s="62">
        <f t="shared" si="47"/>
        <v>5.8615000000000004</v>
      </c>
      <c r="Z164" s="62">
        <f t="shared" si="48"/>
        <v>7.5200000000000003E-2</v>
      </c>
      <c r="AA164" s="62">
        <f t="shared" si="49"/>
        <v>5.7863000000000007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0"/>
        <v>1804-26</v>
      </c>
      <c r="AE164" s="85" t="str">
        <f t="shared" si="51"/>
        <v>aws s3 cp s3://rtdc.mdm.uploadarchive.raw/RTDC4008/ "%USERPROFILE%\AppData\Local\Temp\OnboardLogs"\RTDC4008\2017-02-26 --exclude "*" --recursive --include "*20170226*" &amp; "%USERPROFILE%\Documents\GitHub\mrs-test-scripts\Headless Mode &amp; Sideloading\WalkAndUnGZ.bat" "%USERPROFILE%\AppData\Local\Temp\OnboardLogs"\RTDC4008\2017-02-26 &amp; aws s3 cp s3://rtdc.mdm.uploadarchive.raw/RTDC4008/ "%USERPROFILE%\AppData\Local\Temp\OnboardLogs"\RTDC4008\2017-02-27 --exclude "*" --recursive --include "*20170227*" &amp; "%USERPROFILE%\Documents\GitHub\mrs-test-scripts\Headless Mode &amp; Sideloading\WalkAndUnGZ.bat" "%USERPROFILE%\AppData\Local\Temp\OnboardLogs"\RTDC4008\2017-02-27</v>
      </c>
      <c r="AF164" s="82" t="str">
        <f t="shared" si="52"/>
        <v>"C:\Program Files (x86)\AstroGrep\AstroGrep.exe" /spath="%USERPROFILE%\AppData\Local\Temp\OnboardLogs" /stypes="app*4008*20170226*" /stext=" 14:.+((SYSTEM_STATE.+slice.+state.+changed )|(ment ac)|(multiple cpu faults)|(system.+state.+changed )|(\[timeout)|(PRM\|1\|D)|(kpr)|(kdp)|(\|lc)|(penalty))" /e /r /s</v>
      </c>
      <c r="AG164" s="1" t="str">
        <f t="shared" si="53"/>
        <v>NW</v>
      </c>
      <c r="AH164" s="86" t="str">
        <f t="shared" si="54"/>
        <v>"%USERPROFILE%\Documents\GitHub\eaglep3\Utilities\RefineRTDCRunTimes.py" --tripid 1804-26 --locoid 4008 --swversion DE.1.0.9.0 --startMP 300:58615 --initTime 2017-02-26T07:36:08 --startdatetime 2017-02-26T07:38:23 --delay 1 --endMP 204:752 --enddatetime 2017-02-26T07:54:10 --enforcementcount 1 &gt;&gt;C:\Users\stu\Documents\GitHub\eaglep3-reporting\EC\2017-02-26-refined-times.txt</v>
      </c>
      <c r="AI164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{"issue":{"subject":"","project_id":79,"tracker_id":40,"status_id":1,"priority_id":2,"assigned_to_id":23,"start_date":"2017-02-26","description":"","custom_fields":[{"id":1,"name":"Subdivision","value":"NW"},{"id":4,"name":"Milepost","value":"0.0752"},{"id":17,"name":"Train ID","value":"1804-26"},{"id":16,"name":"Locomotive ID","value":"4008"},{"id":130,"name":"Impact","value":""},{"id":150,"name":"Time of Event (Mountain Time)","value":"07:54:10"},{"id":151,"name":"Denver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56"/>
        <v>start /low /b %USERPROFILE%\Documents\GitHub\eaglep3\Utilities\DownloadLogsFromS3.py --loco 4008 --day 2017-02-26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"%USERPROFILE%\AppData\Local\Temp\OnboardLogs"\RTDC4008\*4008*20170226* | grep -SE "(Enforcement Action)|(\[TIMEOUT)|(CHR.+\|PRM\|1\|D.+(SWITCH|SIGNAL).+UNKNOWN)" - &gt;&gt; 2017-02-26-UncaughtWiMAX.txt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3" t="s">
        <v>634</v>
      </c>
      <c r="B165" s="7">
        <v>4007</v>
      </c>
      <c r="C165" s="21" t="s">
        <v>285</v>
      </c>
      <c r="D165" s="21" t="s">
        <v>850</v>
      </c>
      <c r="E165" s="13">
        <v>42792.330590277779</v>
      </c>
      <c r="F165" s="13">
        <v>42792.348067129627</v>
      </c>
      <c r="G165" s="7">
        <v>1</v>
      </c>
      <c r="H165" s="21" t="s">
        <v>851</v>
      </c>
      <c r="I165" s="13">
        <v>42792.357037037036</v>
      </c>
      <c r="J165" s="7">
        <v>1</v>
      </c>
      <c r="K165" s="98" t="str">
        <f t="shared" si="39"/>
        <v>4007/4008</v>
      </c>
      <c r="L165" s="21" t="str">
        <f>VLOOKUP(A165,'Trips&amp;Operators'!$C$1:$G$99999,5,FALSE)</f>
        <v>YORK EDGAR</v>
      </c>
      <c r="M165" s="6">
        <f t="shared" si="40"/>
        <v>8.969907408754807E-3</v>
      </c>
      <c r="N165" s="7">
        <f t="shared" si="41"/>
        <v>12.916666668606922</v>
      </c>
      <c r="O165" s="7"/>
      <c r="P165" s="7"/>
      <c r="Q165" s="22"/>
      <c r="R165" s="22"/>
      <c r="S165" s="31">
        <f t="shared" si="42"/>
        <v>1</v>
      </c>
      <c r="T165" s="46" t="str">
        <f t="shared" si="43"/>
        <v>NorthBound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44"/>
        <v>https://d0f6bd738d7f1b3e5a7ca70fe4ff75f0.us-east-1.aws.found.io/app/kibana#/discover/Steve-Slow-Train-Analysis-(2080s-and-2083s)?_g=(refreshInterval:(display:Off,pause:!f,section:0,value:0),time:(from:'2017-02-26T06:56:03-0700',mode:absolute,to:'2017-02-26T09:34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5" s="187" t="str">
        <f t="shared" si="45"/>
        <v>N</v>
      </c>
      <c r="X165" s="187">
        <f t="shared" si="46"/>
        <v>1</v>
      </c>
      <c r="Y165" s="62">
        <f t="shared" si="47"/>
        <v>0.1046</v>
      </c>
      <c r="Z165" s="62">
        <f t="shared" si="48"/>
        <v>5.8920000000000003</v>
      </c>
      <c r="AA165" s="62">
        <f t="shared" si="49"/>
        <v>5.7874000000000008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0"/>
        <v>1805-26</v>
      </c>
      <c r="AE165" s="85" t="str">
        <f t="shared" si="51"/>
        <v>aws s3 cp s3://rtdc.mdm.uploadarchive.raw/RTDC4007/ "%USERPROFILE%\AppData\Local\Temp\OnboardLogs"\RTDC4007\2017-02-26 --exclude "*" --recursive --include "*20170226*" &amp; "%USERPROFILE%\Documents\GitHub\mrs-test-scripts\Headless Mode &amp; Sideloading\WalkAndUnGZ.bat" "%USERPROFILE%\AppData\Local\Temp\OnboardLogs"\RTDC4007\2017-02-26 &amp; aws s3 cp s3://rtdc.mdm.uploadarchive.raw/RTDC4007/ "%USERPROFILE%\AppData\Local\Temp\OnboardLogs"\RTDC4007\2017-02-27 --exclude "*" --recursive --include "*20170227*" &amp; "%USERPROFILE%\Documents\GitHub\mrs-test-scripts\Headless Mode &amp; Sideloading\WalkAndUnGZ.bat" "%USERPROFILE%\AppData\Local\Temp\OnboardLogs"\RTDC4007\2017-02-27</v>
      </c>
      <c r="AF165" s="82" t="str">
        <f t="shared" si="52"/>
        <v>"C:\Program Files (x86)\AstroGrep\AstroGrep.exe" /spath="%USERPROFILE%\AppData\Local\Temp\OnboardLogs" /stypes="app*4007*20170226*" /stext=" 15:.+((SYSTEM_STATE.+slice.+state.+changed )|(ment ac)|(multiple cpu faults)|(system.+state.+changed )|(\[timeout)|(PRM\|1\|D)|(kpr)|(kdp)|(\|lc)|(penalty))" /e /r /s</v>
      </c>
      <c r="AG165" s="1" t="str">
        <f t="shared" si="53"/>
        <v>NW</v>
      </c>
      <c r="AH165" s="86" t="str">
        <f t="shared" si="54"/>
        <v>"%USERPROFILE%\Documents\GitHub\eaglep3\Utilities\RefineRTDCRunTimes.py" --tripid 1805-26 --locoid 4007 --swversion DE.1.0.9.0 --startMP 204:1046 --initTime 2017-02-26T07:56:03 --startdatetime 2017-02-26T08:21:13 --delay 1 --endMP 300:58920 --enddatetime 2017-02-26T08:34:08 --enforcementcount 1 &gt;&gt;C:\Users\stu\Documents\GitHub\eaglep3-reporting\EC\2017-02-26-refined-times.txt</v>
      </c>
      <c r="AI165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{"issue":{"subject":"","project_id":79,"tracker_id":40,"status_id":1,"priority_id":2,"assigned_to_id":23,"start_date":"2017-02-26","description":"","custom_fields":[{"id":1,"name":"Subdivision","value":"NW"},{"id":4,"name":"Milepost","value":"5.892"},{"id":17,"name":"Train ID","value":"1805-26"},{"id":16,"name":"Locomotive ID","value":"4007"},{"id":130,"name":"Impact","value":""},{"id":150,"name":"Time of Event (Mountain Time)","value":"08:34:08"},{"id":151,"name":"Denver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56"/>
        <v>start /low /b %USERPROFILE%\Documents\GitHub\eaglep3\Utilities\DownloadLogsFromS3.py --loco 4007 --day 2017-02-26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"%USERPROFILE%\AppData\Local\Temp\OnboardLogs"\RTDC4007\*4007*20170226* | grep -SE "(Enforcement Action)|(\[TIMEOUT)|(CHR.+\|PRM\|1\|D.+(SWITCH|SIGNAL).+UNKNOWN)" - &gt;&gt; 2017-02-26-UncaughtWiMAX.txt</v>
      </c>
    </row>
    <row r="166" spans="1:91" s="20" customFormat="1" x14ac:dyDescent="0.25">
      <c r="A166" s="33" t="s">
        <v>639</v>
      </c>
      <c r="B166" s="7">
        <v>4008</v>
      </c>
      <c r="C166" s="21" t="s">
        <v>285</v>
      </c>
      <c r="D166" s="21" t="s">
        <v>852</v>
      </c>
      <c r="E166" s="13">
        <v>42792.358067129629</v>
      </c>
      <c r="F166" s="13">
        <v>42792.359606481485</v>
      </c>
      <c r="G166" s="7">
        <v>0</v>
      </c>
      <c r="H166" s="21" t="s">
        <v>853</v>
      </c>
      <c r="I166" s="13">
        <v>42792.37096064815</v>
      </c>
      <c r="J166" s="7">
        <v>1</v>
      </c>
      <c r="K166" s="98" t="str">
        <f t="shared" si="39"/>
        <v>4007/4008</v>
      </c>
      <c r="L166" s="21" t="str">
        <f>VLOOKUP(A166,'Trips&amp;Operators'!$C$1:$G$99999,5,FALSE)</f>
        <v>YORK EDGAR</v>
      </c>
      <c r="M166" s="6">
        <f t="shared" si="40"/>
        <v>1.1354166665114462E-2</v>
      </c>
      <c r="N166" s="7">
        <f t="shared" si="41"/>
        <v>16.349999997764826</v>
      </c>
      <c r="O166" s="7"/>
      <c r="P166" s="7"/>
      <c r="Q166" s="22"/>
      <c r="R166" s="22"/>
      <c r="S166" s="31">
        <f t="shared" si="42"/>
        <v>1</v>
      </c>
      <c r="T166" s="46" t="str">
        <f t="shared" si="43"/>
        <v>Southbound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44"/>
        <v>https://d0f6bd738d7f1b3e5a7ca70fe4ff75f0.us-east-1.aws.found.io/app/kibana#/discover/Steve-Slow-Train-Analysis-(2080s-and-2083s)?_g=(refreshInterval:(display:Off,pause:!f,section:0,value:0),time:(from:'2017-02-26T07:35:37-0700',mode:absolute,to:'2017-02-26T09:54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6" s="187" t="str">
        <f t="shared" si="45"/>
        <v>N</v>
      </c>
      <c r="X166" s="187">
        <f t="shared" si="46"/>
        <v>1</v>
      </c>
      <c r="Y166" s="62">
        <f t="shared" si="47"/>
        <v>5.8609</v>
      </c>
      <c r="Z166" s="62">
        <f t="shared" si="48"/>
        <v>7.5499999999999998E-2</v>
      </c>
      <c r="AA166" s="62">
        <f t="shared" si="49"/>
        <v>5.7854000000000001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0"/>
        <v>1806-26</v>
      </c>
      <c r="AE166" s="85" t="str">
        <f t="shared" si="51"/>
        <v>aws s3 cp s3://rtdc.mdm.uploadarchive.raw/RTDC4008/ "%USERPROFILE%\AppData\Local\Temp\OnboardLogs"\RTDC4008\2017-02-26 --exclude "*" --recursive --include "*20170226*" &amp; "%USERPROFILE%\Documents\GitHub\mrs-test-scripts\Headless Mode &amp; Sideloading\WalkAndUnGZ.bat" "%USERPROFILE%\AppData\Local\Temp\OnboardLogs"\RTDC4008\2017-02-26 &amp; aws s3 cp s3://rtdc.mdm.uploadarchive.raw/RTDC4008/ "%USERPROFILE%\AppData\Local\Temp\OnboardLogs"\RTDC4008\2017-02-27 --exclude "*" --recursive --include "*20170227*" &amp; "%USERPROFILE%\Documents\GitHub\mrs-test-scripts\Headless Mode &amp; Sideloading\WalkAndUnGZ.bat" "%USERPROFILE%\AppData\Local\Temp\OnboardLogs"\RTDC4008\2017-02-27</v>
      </c>
      <c r="AF166" s="82" t="str">
        <f t="shared" si="52"/>
        <v>"C:\Program Files (x86)\AstroGrep\AstroGrep.exe" /spath="%USERPROFILE%\AppData\Local\Temp\OnboardLogs" /stypes="app*4008*20170226*" /stext=" 15:.+((SYSTEM_STATE.+slice.+state.+changed )|(ment ac)|(multiple cpu faults)|(system.+state.+changed )|(\[timeout)|(PRM\|1\|D)|(kpr)|(kdp)|(\|lc)|(penalty))" /e /r /s</v>
      </c>
      <c r="AG166" s="1" t="str">
        <f t="shared" si="53"/>
        <v>NW</v>
      </c>
      <c r="AH166" s="86" t="str">
        <f t="shared" si="54"/>
        <v>"%USERPROFILE%\Documents\GitHub\eaglep3\Utilities\RefineRTDCRunTimes.py" --tripid 1806-26 --locoid 4008 --swversion DE.1.0.9.0 --startMP 300:58609 --initTime 2017-02-26T08:35:37 --startdatetime 2017-02-26T08:37:50 --delay 0 --endMP 204:755 --enddatetime 2017-02-26T08:54:11 --enforcementcount 1 &gt;&gt;C:\Users\stu\Documents\GitHub\eaglep3-reporting\EC\2017-02-26-refined-times.txt</v>
      </c>
      <c r="AI166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{"issue":{"subject":"","project_id":79,"tracker_id":40,"status_id":1,"priority_id":2,"assigned_to_id":23,"start_date":"2017-02-26","description":"","custom_fields":[{"id":1,"name":"Subdivision","value":"NW"},{"id":4,"name":"Milepost","value":"0.0755"},{"id":17,"name":"Train ID","value":"1806-26"},{"id":16,"name":"Locomotive ID","value":"4008"},{"id":130,"name":"Impact","value":""},{"id":150,"name":"Time of Event (Mountain Time)","value":"08:54:11"},{"id":151,"name":"Denver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56"/>
        <v>start /low /b %USERPROFILE%\Documents\GitHub\eaglep3\Utilities\DownloadLogsFromS3.py --loco 4008 --day 2017-02-26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"%USERPROFILE%\AppData\Local\Temp\OnboardLogs"\RTDC4008\*4008*20170226* | grep -SE "(Enforcement Action)|(\[TIMEOUT)|(CHR.+\|PRM\|1\|D.+(SWITCH|SIGNAL).+UNKNOWN)" - &gt;&gt; 2017-02-26-UncaughtWiMAX.txt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3" t="s">
        <v>642</v>
      </c>
      <c r="B167" s="7">
        <v>4007</v>
      </c>
      <c r="C167" s="21" t="s">
        <v>285</v>
      </c>
      <c r="D167" s="21" t="s">
        <v>854</v>
      </c>
      <c r="E167" s="13">
        <v>42792.37195601852</v>
      </c>
      <c r="F167" s="13">
        <v>42792.389803240738</v>
      </c>
      <c r="G167" s="7">
        <v>1</v>
      </c>
      <c r="H167" s="21" t="s">
        <v>299</v>
      </c>
      <c r="I167" s="13">
        <v>42792.3984375</v>
      </c>
      <c r="J167" s="7">
        <v>1</v>
      </c>
      <c r="K167" s="98" t="str">
        <f t="shared" si="39"/>
        <v>4007/4008</v>
      </c>
      <c r="L167" s="21" t="str">
        <f>VLOOKUP(A167,'Trips&amp;Operators'!$C$1:$G$99999,5,FALSE)</f>
        <v>YORK EDGAR</v>
      </c>
      <c r="M167" s="6">
        <f t="shared" si="40"/>
        <v>8.6342592621804215E-3</v>
      </c>
      <c r="N167" s="7">
        <f t="shared" si="41"/>
        <v>12.433333337539807</v>
      </c>
      <c r="O167" s="7"/>
      <c r="P167" s="7"/>
      <c r="Q167" s="22"/>
      <c r="R167" s="22"/>
      <c r="S167" s="31">
        <f t="shared" si="42"/>
        <v>1</v>
      </c>
      <c r="T167" s="46" t="str">
        <f t="shared" si="43"/>
        <v>NorthBound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44"/>
        <v>https://d0f6bd738d7f1b3e5a7ca70fe4ff75f0.us-east-1.aws.found.io/app/kibana#/discover/Steve-Slow-Train-Analysis-(2080s-and-2083s)?_g=(refreshInterval:(display:Off,pause:!f,section:0,value:0),time:(from:'2017-02-26T07:55:37-0700',mode:absolute,to:'2017-02-26T10:33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7" s="187" t="str">
        <f t="shared" si="45"/>
        <v>N</v>
      </c>
      <c r="X167" s="187">
        <f t="shared" si="46"/>
        <v>1</v>
      </c>
      <c r="Y167" s="62">
        <f t="shared" si="47"/>
        <v>0.1041</v>
      </c>
      <c r="Z167" s="62">
        <f t="shared" si="48"/>
        <v>5.8930999999999996</v>
      </c>
      <c r="AA167" s="62">
        <f t="shared" si="49"/>
        <v>5.7889999999999997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0"/>
        <v>1807-26</v>
      </c>
      <c r="AE167" s="85" t="str">
        <f t="shared" si="51"/>
        <v>aws s3 cp s3://rtdc.mdm.uploadarchive.raw/RTDC4007/ "%USERPROFILE%\AppData\Local\Temp\OnboardLogs"\RTDC4007\2017-02-26 --exclude "*" --recursive --include "*20170226*" &amp; "%USERPROFILE%\Documents\GitHub\mrs-test-scripts\Headless Mode &amp; Sideloading\WalkAndUnGZ.bat" "%USERPROFILE%\AppData\Local\Temp\OnboardLogs"\RTDC4007\2017-02-26 &amp; aws s3 cp s3://rtdc.mdm.uploadarchive.raw/RTDC4007/ "%USERPROFILE%\AppData\Local\Temp\OnboardLogs"\RTDC4007\2017-02-27 --exclude "*" --recursive --include "*20170227*" &amp; "%USERPROFILE%\Documents\GitHub\mrs-test-scripts\Headless Mode &amp; Sideloading\WalkAndUnGZ.bat" "%USERPROFILE%\AppData\Local\Temp\OnboardLogs"\RTDC4007\2017-02-27</v>
      </c>
      <c r="AF167" s="82" t="str">
        <f t="shared" si="52"/>
        <v>"C:\Program Files (x86)\AstroGrep\AstroGrep.exe" /spath="%USERPROFILE%\AppData\Local\Temp\OnboardLogs" /stypes="app*4007*20170226*" /stext=" 16:.+((SYSTEM_STATE.+slice.+state.+changed )|(ment ac)|(multiple cpu faults)|(system.+state.+changed )|(\[timeout)|(PRM\|1\|D)|(kpr)|(kdp)|(\|lc)|(penalty))" /e /r /s</v>
      </c>
      <c r="AG167" s="1" t="str">
        <f t="shared" si="53"/>
        <v>NW</v>
      </c>
      <c r="AH167" s="86" t="str">
        <f t="shared" si="54"/>
        <v>"%USERPROFILE%\Documents\GitHub\eaglep3\Utilities\RefineRTDCRunTimes.py" --tripid 1807-26 --locoid 4007 --swversion DE.1.0.9.0 --startMP 204:1041 --initTime 2017-02-26T08:55:37 --startdatetime 2017-02-26T09:21:19 --delay 1 --endMP 300:58931 --enddatetime 2017-02-26T09:33:45 --enforcementcount 1 &gt;&gt;C:\Users\stu\Documents\GitHub\eaglep3-reporting\EC\2017-02-26-refined-times.txt</v>
      </c>
      <c r="AI167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{"issue":{"subject":"","project_id":79,"tracker_id":40,"status_id":1,"priority_id":2,"assigned_to_id":23,"start_date":"2017-02-26","description":"","custom_fields":[{"id":1,"name":"Subdivision","value":"NW"},{"id":4,"name":"Milepost","value":"5.8931"},{"id":17,"name":"Train ID","value":"1807-26"},{"id":16,"name":"Locomotive ID","value":"4007"},{"id":130,"name":"Impact","value":""},{"id":150,"name":"Time of Event (Mountain Time)","value":"09:33:45"},{"id":151,"name":"Denver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56"/>
        <v>start /low /b %USERPROFILE%\Documents\GitHub\eaglep3\Utilities\DownloadLogsFromS3.py --loco 4007 --day 2017-02-26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"%USERPROFILE%\AppData\Local\Temp\OnboardLogs"\RTDC4007\*4007*20170226* | grep -SE "(Enforcement Action)|(\[TIMEOUT)|(CHR.+\|PRM\|1\|D.+(SWITCH|SIGNAL).+UNKNOWN)" - &gt;&gt; 2017-02-26-UncaughtWiMAX.txt</v>
      </c>
    </row>
    <row r="168" spans="1:91" s="20" customFormat="1" x14ac:dyDescent="0.25">
      <c r="A168" s="33" t="s">
        <v>648</v>
      </c>
      <c r="B168" s="7">
        <v>4008</v>
      </c>
      <c r="C168" s="21" t="s">
        <v>285</v>
      </c>
      <c r="D168" s="21" t="s">
        <v>855</v>
      </c>
      <c r="E168" s="13">
        <v>42792.402314814812</v>
      </c>
      <c r="F168" s="13">
        <v>42792.403356481482</v>
      </c>
      <c r="G168" s="7">
        <v>0</v>
      </c>
      <c r="H168" s="21" t="s">
        <v>856</v>
      </c>
      <c r="I168" s="13">
        <v>42792.412476851852</v>
      </c>
      <c r="J168" s="7">
        <v>1</v>
      </c>
      <c r="K168" s="98" t="str">
        <f t="shared" si="39"/>
        <v>4007/4008</v>
      </c>
      <c r="L168" s="21" t="str">
        <f>VLOOKUP(A168,'Trips&amp;Operators'!$C$1:$G$99999,5,FALSE)</f>
        <v>YORK EDGAR</v>
      </c>
      <c r="M168" s="6">
        <f t="shared" si="40"/>
        <v>9.1203703705104999E-3</v>
      </c>
      <c r="N168" s="7">
        <f t="shared" si="41"/>
        <v>13.13333333353512</v>
      </c>
      <c r="O168" s="7"/>
      <c r="P168" s="7"/>
      <c r="Q168" s="22"/>
      <c r="R168" s="22"/>
      <c r="S168" s="31">
        <f t="shared" si="42"/>
        <v>1</v>
      </c>
      <c r="T168" s="46" t="str">
        <f t="shared" si="43"/>
        <v>Southbound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44"/>
        <v>https://d0f6bd738d7f1b3e5a7ca70fe4ff75f0.us-east-1.aws.found.io/app/kibana#/discover/Steve-Slow-Train-Analysis-(2080s-and-2083s)?_g=(refreshInterval:(display:Off,pause:!f,section:0,value:0),time:(from:'2017-02-26T08:39:20-0700',mode:absolute,to:'2017-02-26T10:53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8" s="187" t="str">
        <f t="shared" si="45"/>
        <v>N</v>
      </c>
      <c r="X168" s="187">
        <f t="shared" si="46"/>
        <v>1</v>
      </c>
      <c r="Y168" s="62">
        <f t="shared" si="47"/>
        <v>5.8624000000000001</v>
      </c>
      <c r="Z168" s="62">
        <f t="shared" si="48"/>
        <v>7.7299999999999994E-2</v>
      </c>
      <c r="AA168" s="62">
        <f t="shared" si="49"/>
        <v>5.7850999999999999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0"/>
        <v>1808-26</v>
      </c>
      <c r="AE168" s="85" t="str">
        <f t="shared" si="51"/>
        <v>aws s3 cp s3://rtdc.mdm.uploadarchive.raw/RTDC4008/ "%USERPROFILE%\AppData\Local\Temp\OnboardLogs"\RTDC4008\2017-02-26 --exclude "*" --recursive --include "*20170226*" &amp; "%USERPROFILE%\Documents\GitHub\mrs-test-scripts\Headless Mode &amp; Sideloading\WalkAndUnGZ.bat" "%USERPROFILE%\AppData\Local\Temp\OnboardLogs"\RTDC4008\2017-02-26 &amp; aws s3 cp s3://rtdc.mdm.uploadarchive.raw/RTDC4008/ "%USERPROFILE%\AppData\Local\Temp\OnboardLogs"\RTDC4008\2017-02-27 --exclude "*" --recursive --include "*20170227*" &amp; "%USERPROFILE%\Documents\GitHub\mrs-test-scripts\Headless Mode &amp; Sideloading\WalkAndUnGZ.bat" "%USERPROFILE%\AppData\Local\Temp\OnboardLogs"\RTDC4008\2017-02-27</v>
      </c>
      <c r="AF168" s="82" t="str">
        <f t="shared" si="52"/>
        <v>"C:\Program Files (x86)\AstroGrep\AstroGrep.exe" /spath="%USERPROFILE%\AppData\Local\Temp\OnboardLogs" /stypes="app*4008*20170226*" /stext=" 16:.+((SYSTEM_STATE.+slice.+state.+changed )|(ment ac)|(multiple cpu faults)|(system.+state.+changed )|(\[timeout)|(PRM\|1\|D)|(kpr)|(kdp)|(\|lc)|(penalty))" /e /r /s</v>
      </c>
      <c r="AG168" s="1" t="str">
        <f t="shared" si="53"/>
        <v>NW</v>
      </c>
      <c r="AH168" s="86" t="str">
        <f t="shared" si="54"/>
        <v>"%USERPROFILE%\Documents\GitHub\eaglep3\Utilities\RefineRTDCRunTimes.py" --tripid 1808-26 --locoid 4008 --swversion DE.1.0.9.0 --startMP 300:58624 --initTime 2017-02-26T09:39:20 --startdatetime 2017-02-26T09:40:50 --delay 0 --endMP 204:773 --enddatetime 2017-02-26T09:53:58 --enforcementcount 1 &gt;&gt;C:\Users\stu\Documents\GitHub\eaglep3-reporting\EC\2017-02-26-refined-times.txt</v>
      </c>
      <c r="AI168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{"issue":{"subject":"","project_id":79,"tracker_id":40,"status_id":1,"priority_id":2,"assigned_to_id":23,"start_date":"2017-02-26","description":"","custom_fields":[{"id":1,"name":"Subdivision","value":"NW"},{"id":4,"name":"Milepost","value":"0.0773"},{"id":17,"name":"Train ID","value":"1808-26"},{"id":16,"name":"Locomotive ID","value":"4008"},{"id":130,"name":"Impact","value":""},{"id":150,"name":"Time of Event (Mountain Time)","value":"09:53:58"},{"id":151,"name":"Denver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56"/>
        <v>start /low /b %USERPROFILE%\Documents\GitHub\eaglep3\Utilities\DownloadLogsFromS3.py --loco 4008 --day 2017-02-26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"%USERPROFILE%\AppData\Local\Temp\OnboardLogs"\RTDC4008\*4008*20170226* | grep -SE "(Enforcement Action)|(\[TIMEOUT)|(CHR.+\|PRM\|1\|D.+(SWITCH|SIGNAL).+UNKNOWN)" - &gt;&gt; 2017-02-26-UncaughtWiMAX.txt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651</v>
      </c>
      <c r="B169" s="7">
        <v>4007</v>
      </c>
      <c r="C169" s="21" t="s">
        <v>285</v>
      </c>
      <c r="D169" s="21" t="s">
        <v>857</v>
      </c>
      <c r="E169" s="13">
        <v>42792.414212962962</v>
      </c>
      <c r="F169" s="13">
        <v>42792.431655092594</v>
      </c>
      <c r="G169" s="7">
        <v>1</v>
      </c>
      <c r="H169" s="21" t="s">
        <v>858</v>
      </c>
      <c r="I169" s="13">
        <v>42792.439988425926</v>
      </c>
      <c r="J169" s="7">
        <v>1</v>
      </c>
      <c r="K169" s="98" t="str">
        <f t="shared" si="39"/>
        <v>4007/4008</v>
      </c>
      <c r="L169" s="21" t="str">
        <f>VLOOKUP(A169,'Trips&amp;Operators'!$C$1:$G$99999,5,FALSE)</f>
        <v>YORK EDGAR</v>
      </c>
      <c r="M169" s="6">
        <f t="shared" si="40"/>
        <v>8.333333331393078E-3</v>
      </c>
      <c r="N169" s="7">
        <f t="shared" si="41"/>
        <v>11.999999997206032</v>
      </c>
      <c r="O169" s="7"/>
      <c r="P169" s="7"/>
      <c r="Q169" s="22"/>
      <c r="R169" s="22"/>
      <c r="S169" s="31">
        <f t="shared" si="42"/>
        <v>1</v>
      </c>
      <c r="T169" s="46" t="str">
        <f t="shared" si="43"/>
        <v>NorthBound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44"/>
        <v>https://d0f6bd738d7f1b3e5a7ca70fe4ff75f0.us-east-1.aws.found.io/app/kibana#/discover/Steve-Slow-Train-Analysis-(2080s-and-2083s)?_g=(refreshInterval:(display:Off,pause:!f,section:0,value:0),time:(from:'2017-02-26T08:56:28-0700',mode:absolute,to:'2017-02-26T11:33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9" s="187" t="str">
        <f t="shared" si="45"/>
        <v>N</v>
      </c>
      <c r="X169" s="187">
        <f t="shared" si="46"/>
        <v>1</v>
      </c>
      <c r="Y169" s="62">
        <f t="shared" si="47"/>
        <v>0.1074</v>
      </c>
      <c r="Z169" s="62">
        <f t="shared" si="48"/>
        <v>5.8936999999999999</v>
      </c>
      <c r="AA169" s="62">
        <f t="shared" si="49"/>
        <v>5.7862999999999998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0"/>
        <v>1809-26</v>
      </c>
      <c r="AE169" s="85" t="str">
        <f t="shared" si="51"/>
        <v>aws s3 cp s3://rtdc.mdm.uploadarchive.raw/RTDC4007/ "%USERPROFILE%\AppData\Local\Temp\OnboardLogs"\RTDC4007\2017-02-26 --exclude "*" --recursive --include "*20170226*" &amp; "%USERPROFILE%\Documents\GitHub\mrs-test-scripts\Headless Mode &amp; Sideloading\WalkAndUnGZ.bat" "%USERPROFILE%\AppData\Local\Temp\OnboardLogs"\RTDC4007\2017-02-26 &amp; aws s3 cp s3://rtdc.mdm.uploadarchive.raw/RTDC4007/ "%USERPROFILE%\AppData\Local\Temp\OnboardLogs"\RTDC4007\2017-02-27 --exclude "*" --recursive --include "*20170227*" &amp; "%USERPROFILE%\Documents\GitHub\mrs-test-scripts\Headless Mode &amp; Sideloading\WalkAndUnGZ.bat" "%USERPROFILE%\AppData\Local\Temp\OnboardLogs"\RTDC4007\2017-02-27</v>
      </c>
      <c r="AF169" s="82" t="str">
        <f t="shared" si="52"/>
        <v>"C:\Program Files (x86)\AstroGrep\AstroGrep.exe" /spath="%USERPROFILE%\AppData\Local\Temp\OnboardLogs" /stypes="app*4007*20170226*" /stext=" 17:.+((SYSTEM_STATE.+slice.+state.+changed )|(ment ac)|(multiple cpu faults)|(system.+state.+changed )|(\[timeout)|(PRM\|1\|D)|(kpr)|(kdp)|(\|lc)|(penalty))" /e /r /s</v>
      </c>
      <c r="AG169" s="1" t="str">
        <f t="shared" si="53"/>
        <v>NW</v>
      </c>
      <c r="AH169" s="86" t="str">
        <f t="shared" si="54"/>
        <v>"%USERPROFILE%\Documents\GitHub\eaglep3\Utilities\RefineRTDCRunTimes.py" --tripid 1809-26 --locoid 4007 --swversion DE.1.0.9.0 --startMP 204:1074 --initTime 2017-02-26T09:56:28 --startdatetime 2017-02-26T10:21:35 --delay 1 --endMP 300:58937 --enddatetime 2017-02-26T10:33:35 --enforcementcount 1 &gt;&gt;C:\Users\stu\Documents\GitHub\eaglep3-reporting\EC\2017-02-26-refined-times.txt</v>
      </c>
      <c r="AI169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{"issue":{"subject":"","project_id":79,"tracker_id":40,"status_id":1,"priority_id":2,"assigned_to_id":23,"start_date":"2017-02-26","description":"","custom_fields":[{"id":1,"name":"Subdivision","value":"NW"},{"id":4,"name":"Milepost","value":"5.8937"},{"id":17,"name":"Train ID","value":"1809-26"},{"id":16,"name":"Locomotive ID","value":"4007"},{"id":130,"name":"Impact","value":""},{"id":150,"name":"Time of Event (Mountain Time)","value":"10:33:35"},{"id":151,"name":"Denver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56"/>
        <v>start /low /b %USERPROFILE%\Documents\GitHub\eaglep3\Utilities\DownloadLogsFromS3.py --loco 4007 --day 2017-02-26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"%USERPROFILE%\AppData\Local\Temp\OnboardLogs"\RTDC4007\*4007*20170226* | grep -SE "(Enforcement Action)|(\[TIMEOUT)|(CHR.+\|PRM\|1\|D.+(SWITCH|SIGNAL).+UNKNOWN)" - &gt;&gt; 2017-02-26-UncaughtWiMAX.txt</v>
      </c>
    </row>
    <row r="170" spans="1:91" x14ac:dyDescent="0.25">
      <c r="A170" s="33" t="s">
        <v>657</v>
      </c>
      <c r="B170" s="7">
        <v>4008</v>
      </c>
      <c r="C170" s="21" t="s">
        <v>285</v>
      </c>
      <c r="D170" s="21" t="s">
        <v>841</v>
      </c>
      <c r="E170" s="13">
        <v>42792.441238425927</v>
      </c>
      <c r="F170" s="13">
        <v>42792.445486111108</v>
      </c>
      <c r="G170" s="7">
        <v>1</v>
      </c>
      <c r="H170" s="21" t="s">
        <v>312</v>
      </c>
      <c r="I170" s="13">
        <v>42792.454236111109</v>
      </c>
      <c r="J170" s="7">
        <v>1</v>
      </c>
      <c r="K170" s="98" t="str">
        <f t="shared" si="39"/>
        <v>4007/4008</v>
      </c>
      <c r="L170" s="21" t="str">
        <f>VLOOKUP(A170,'Trips&amp;Operators'!$C$1:$G$99999,5,FALSE)</f>
        <v>YORK EDGAR</v>
      </c>
      <c r="M170" s="6">
        <f t="shared" si="40"/>
        <v>8.7500000008731149E-3</v>
      </c>
      <c r="N170" s="7">
        <f t="shared" si="41"/>
        <v>12.600000001257285</v>
      </c>
      <c r="O170" s="7"/>
      <c r="P170" s="7"/>
      <c r="Q170" s="22"/>
      <c r="R170" s="22"/>
      <c r="S170" s="31">
        <f t="shared" si="42"/>
        <v>1</v>
      </c>
      <c r="T170" s="46" t="str">
        <f t="shared" si="43"/>
        <v>Southbound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44"/>
        <v>https://d0f6bd738d7f1b3e5a7ca70fe4ff75f0.us-east-1.aws.found.io/app/kibana#/discover/Steve-Slow-Train-Analysis-(2080s-and-2083s)?_g=(refreshInterval:(display:Off,pause:!f,section:0,value:0),time:(from:'2017-02-26T09:35:23-0700',mode:absolute,to:'2017-02-26T11:54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0" s="187" t="str">
        <f t="shared" si="45"/>
        <v>N</v>
      </c>
      <c r="X170" s="187">
        <f t="shared" si="46"/>
        <v>1</v>
      </c>
      <c r="Y170" s="62">
        <f t="shared" si="47"/>
        <v>5.8620999999999999</v>
      </c>
      <c r="Z170" s="62">
        <f t="shared" si="48"/>
        <v>7.5700000000000003E-2</v>
      </c>
      <c r="AA170" s="62">
        <f t="shared" si="49"/>
        <v>5.7863999999999995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0"/>
        <v>1810-26</v>
      </c>
      <c r="AE170" s="85" t="str">
        <f t="shared" si="51"/>
        <v>aws s3 cp s3://rtdc.mdm.uploadarchive.raw/RTDC4008/ "%USERPROFILE%\AppData\Local\Temp\OnboardLogs"\RTDC4008\2017-02-26 --exclude "*" --recursive --include "*20170226*" &amp; "%USERPROFILE%\Documents\GitHub\mrs-test-scripts\Headless Mode &amp; Sideloading\WalkAndUnGZ.bat" "%USERPROFILE%\AppData\Local\Temp\OnboardLogs"\RTDC4008\2017-02-26 &amp; aws s3 cp s3://rtdc.mdm.uploadarchive.raw/RTDC4008/ "%USERPROFILE%\AppData\Local\Temp\OnboardLogs"\RTDC4008\2017-02-27 --exclude "*" --recursive --include "*20170227*" &amp; "%USERPROFILE%\Documents\GitHub\mrs-test-scripts\Headless Mode &amp; Sideloading\WalkAndUnGZ.bat" "%USERPROFILE%\AppData\Local\Temp\OnboardLogs"\RTDC4008\2017-02-27</v>
      </c>
      <c r="AF170" s="82" t="str">
        <f t="shared" si="52"/>
        <v>"C:\Program Files (x86)\AstroGrep\AstroGrep.exe" /spath="%USERPROFILE%\AppData\Local\Temp\OnboardLogs" /stypes="app*4008*20170226*" /stext=" 17:.+((SYSTEM_STATE.+slice.+state.+changed )|(ment ac)|(multiple cpu faults)|(system.+state.+changed )|(\[timeout)|(PRM\|1\|D)|(kpr)|(kdp)|(\|lc)|(penalty))" /e /r /s</v>
      </c>
      <c r="AG170" s="1" t="str">
        <f t="shared" si="53"/>
        <v>NW</v>
      </c>
      <c r="AH170" s="86" t="str">
        <f t="shared" si="54"/>
        <v>"%USERPROFILE%\Documents\GitHub\eaglep3\Utilities\RefineRTDCRunTimes.py" --tripid 1810-26 --locoid 4008 --swversion DE.1.0.9.0 --startMP 300:58621 --initTime 2017-02-26T10:35:23 --startdatetime 2017-02-26T10:41:30 --delay 1 --endMP 204:757 --enddatetime 2017-02-26T10:54:06 --enforcementcount 1 &gt;&gt;C:\Users\stu\Documents\GitHub\eaglep3-reporting\EC\2017-02-26-refined-times.txt</v>
      </c>
      <c r="AI170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{"issue":{"subject":"","project_id":79,"tracker_id":40,"status_id":1,"priority_id":2,"assigned_to_id":23,"start_date":"2017-02-26","description":"","custom_fields":[{"id":1,"name":"Subdivision","value":"NW"},{"id":4,"name":"Milepost","value":"0.0757"},{"id":17,"name":"Train ID","value":"1810-26"},{"id":16,"name":"Locomotive ID","value":"4008"},{"id":130,"name":"Impact","value":""},{"id":150,"name":"Time of Event (Mountain Time)","value":"10:54:06"},{"id":151,"name":"Denver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56"/>
        <v>start /low /b %USERPROFILE%\Documents\GitHub\eaglep3\Utilities\DownloadLogsFromS3.py --loco 4008 --day 2017-02-26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"%USERPROFILE%\AppData\Local\Temp\OnboardLogs"\RTDC4008\*4008*20170226* | grep -SE "(Enforcement Action)|(\[TIMEOUT)|(CHR.+\|PRM\|1\|D.+(SWITCH|SIGNAL).+UNKNOWN)" - &gt;&gt; 2017-02-26-UncaughtWiMAX.txt</v>
      </c>
    </row>
    <row r="171" spans="1:91" x14ac:dyDescent="0.25">
      <c r="A171" s="33" t="s">
        <v>661</v>
      </c>
      <c r="B171" s="7">
        <v>4007</v>
      </c>
      <c r="C171" s="21" t="s">
        <v>285</v>
      </c>
      <c r="D171" s="21" t="s">
        <v>859</v>
      </c>
      <c r="E171" s="13">
        <v>42792.455358796295</v>
      </c>
      <c r="F171" s="13">
        <v>42792.473078703704</v>
      </c>
      <c r="G171" s="7">
        <v>0</v>
      </c>
      <c r="H171" s="21" t="s">
        <v>860</v>
      </c>
      <c r="I171" s="13">
        <v>42792.48164351852</v>
      </c>
      <c r="J171" s="7">
        <v>1</v>
      </c>
      <c r="K171" s="98" t="str">
        <f t="shared" si="39"/>
        <v>4007/4008</v>
      </c>
      <c r="L171" s="21" t="str">
        <f>VLOOKUP(A171,'Trips&amp;Operators'!$C$1:$G$99999,5,FALSE)</f>
        <v>YORK EDGAR</v>
      </c>
      <c r="M171" s="6">
        <f t="shared" si="40"/>
        <v>8.5648148160544224E-3</v>
      </c>
      <c r="N171" s="7">
        <f t="shared" si="41"/>
        <v>12.333333335118368</v>
      </c>
      <c r="O171" s="7"/>
      <c r="P171" s="7"/>
      <c r="Q171" s="22"/>
      <c r="R171" s="22"/>
      <c r="S171" s="31">
        <f t="shared" si="42"/>
        <v>1</v>
      </c>
      <c r="T171" s="46" t="str">
        <f t="shared" si="43"/>
        <v>NorthBound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44"/>
        <v>https://d0f6bd738d7f1b3e5a7ca70fe4ff75f0.us-east-1.aws.found.io/app/kibana#/discover/Steve-Slow-Train-Analysis-(2080s-and-2083s)?_g=(refreshInterval:(display:Off,pause:!f,section:0,value:0),time:(from:'2017-02-26T09:55:43-0700',mode:absolute,to:'2017-02-26T12:33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1" s="187" t="str">
        <f t="shared" si="45"/>
        <v>N</v>
      </c>
      <c r="X171" s="187">
        <f t="shared" si="46"/>
        <v>1</v>
      </c>
      <c r="Y171" s="62">
        <f t="shared" si="47"/>
        <v>0.10440000000000001</v>
      </c>
      <c r="Z171" s="62">
        <f t="shared" si="48"/>
        <v>5.8945999999999996</v>
      </c>
      <c r="AA171" s="62">
        <f t="shared" si="49"/>
        <v>5.7901999999999996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0"/>
        <v>1811-26</v>
      </c>
      <c r="AE171" s="85" t="str">
        <f t="shared" si="51"/>
        <v>aws s3 cp s3://rtdc.mdm.uploadarchive.raw/RTDC4007/ "%USERPROFILE%\AppData\Local\Temp\OnboardLogs"\RTDC4007\2017-02-26 --exclude "*" --recursive --include "*20170226*" &amp; "%USERPROFILE%\Documents\GitHub\mrs-test-scripts\Headless Mode &amp; Sideloading\WalkAndUnGZ.bat" "%USERPROFILE%\AppData\Local\Temp\OnboardLogs"\RTDC4007\2017-02-26 &amp; aws s3 cp s3://rtdc.mdm.uploadarchive.raw/RTDC4007/ "%USERPROFILE%\AppData\Local\Temp\OnboardLogs"\RTDC4007\2017-02-27 --exclude "*" --recursive --include "*20170227*" &amp; "%USERPROFILE%\Documents\GitHub\mrs-test-scripts\Headless Mode &amp; Sideloading\WalkAndUnGZ.bat" "%USERPROFILE%\AppData\Local\Temp\OnboardLogs"\RTDC4007\2017-02-27</v>
      </c>
      <c r="AF171" s="82" t="str">
        <f t="shared" si="52"/>
        <v>"C:\Program Files (x86)\AstroGrep\AstroGrep.exe" /spath="%USERPROFILE%\AppData\Local\Temp\OnboardLogs" /stypes="app*4007*20170226*" /stext=" 18:.+((SYSTEM_STATE.+slice.+state.+changed )|(ment ac)|(multiple cpu faults)|(system.+state.+changed )|(\[timeout)|(PRM\|1\|D)|(kpr)|(kdp)|(\|lc)|(penalty))" /e /r /s</v>
      </c>
      <c r="AG171" s="1" t="str">
        <f t="shared" si="53"/>
        <v>NW</v>
      </c>
      <c r="AH171" s="86" t="str">
        <f t="shared" si="54"/>
        <v>"%USERPROFILE%\Documents\GitHub\eaglep3\Utilities\RefineRTDCRunTimes.py" --tripid 1811-26 --locoid 4007 --swversion DE.1.0.9.0 --startMP 204:1044 --initTime 2017-02-26T10:55:43 --startdatetime 2017-02-26T11:21:14 --delay 0 --endMP 300:58946 --enddatetime 2017-02-26T11:33:34 --enforcementcount 1 &gt;&gt;C:\Users\stu\Documents\GitHub\eaglep3-reporting\EC\2017-02-26-refined-times.txt</v>
      </c>
      <c r="AI171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{"issue":{"subject":"","project_id":79,"tracker_id":40,"status_id":1,"priority_id":2,"assigned_to_id":23,"start_date":"2017-02-26","description":"","custom_fields":[{"id":1,"name":"Subdivision","value":"NW"},{"id":4,"name":"Milepost","value":"5.8946"},{"id":17,"name":"Train ID","value":"1811-26"},{"id":16,"name":"Locomotive ID","value":"4007"},{"id":130,"name":"Impact","value":""},{"id":150,"name":"Time of Event (Mountain Time)","value":"11:33:34"},{"id":151,"name":"Denver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56"/>
        <v>start /low /b %USERPROFILE%\Documents\GitHub\eaglep3\Utilities\DownloadLogsFromS3.py --loco 4007 --day 2017-02-26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"%USERPROFILE%\AppData\Local\Temp\OnboardLogs"\RTDC4007\*4007*20170226* | grep -SE "(Enforcement Action)|(\[TIMEOUT)|(CHR.+\|PRM\|1\|D.+(SWITCH|SIGNAL).+UNKNOWN)" - &gt;&gt; 2017-02-26-UncaughtWiMAX.txt</v>
      </c>
    </row>
    <row r="172" spans="1:91" s="20" customFormat="1" x14ac:dyDescent="0.25">
      <c r="A172" s="33" t="s">
        <v>673</v>
      </c>
      <c r="B172" s="7">
        <v>4008</v>
      </c>
      <c r="C172" s="21" t="s">
        <v>285</v>
      </c>
      <c r="D172" s="21" t="s">
        <v>861</v>
      </c>
      <c r="E172" s="13">
        <v>42792.483472222222</v>
      </c>
      <c r="F172" s="13">
        <v>42792.485277777778</v>
      </c>
      <c r="G172" s="7">
        <v>0</v>
      </c>
      <c r="H172" s="21" t="s">
        <v>853</v>
      </c>
      <c r="I172" s="13">
        <v>42792.495821759258</v>
      </c>
      <c r="J172" s="7">
        <v>1</v>
      </c>
      <c r="K172" s="98" t="str">
        <f t="shared" si="39"/>
        <v>4007/4008</v>
      </c>
      <c r="L172" s="21" t="str">
        <f>VLOOKUP(A172,'Trips&amp;Operators'!$C$1:$G$99999,5,FALSE)</f>
        <v>YORK EDGAR</v>
      </c>
      <c r="M172" s="6">
        <f t="shared" si="40"/>
        <v>1.0543981479713693E-2</v>
      </c>
      <c r="N172" s="7">
        <f t="shared" si="41"/>
        <v>15.183333330787718</v>
      </c>
      <c r="O172" s="7"/>
      <c r="P172" s="7"/>
      <c r="Q172" s="22"/>
      <c r="R172" s="22"/>
      <c r="S172" s="31">
        <f t="shared" si="42"/>
        <v>1</v>
      </c>
      <c r="T172" s="46" t="str">
        <f t="shared" si="43"/>
        <v>Southbound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44"/>
        <v>https://d0f6bd738d7f1b3e5a7ca70fe4ff75f0.us-east-1.aws.found.io/app/kibana#/discover/Steve-Slow-Train-Analysis-(2080s-and-2083s)?_g=(refreshInterval:(display:Off,pause:!f,section:0,value:0),time:(from:'2017-02-26T10:36:12-0700',mode:absolute,to:'2017-02-26T12:53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2" s="187" t="str">
        <f t="shared" si="45"/>
        <v>N</v>
      </c>
      <c r="X172" s="187">
        <f t="shared" si="46"/>
        <v>1</v>
      </c>
      <c r="Y172" s="62">
        <f t="shared" si="47"/>
        <v>5.8623000000000003</v>
      </c>
      <c r="Z172" s="62">
        <f t="shared" si="48"/>
        <v>7.5499999999999998E-2</v>
      </c>
      <c r="AA172" s="62">
        <f t="shared" si="49"/>
        <v>5.7868000000000004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0"/>
        <v>1812-26</v>
      </c>
      <c r="AE172" s="85" t="str">
        <f t="shared" si="51"/>
        <v>aws s3 cp s3://rtdc.mdm.uploadarchive.raw/RTDC4008/ "%USERPROFILE%\AppData\Local\Temp\OnboardLogs"\RTDC4008\2017-02-26 --exclude "*" --recursive --include "*20170226*" &amp; "%USERPROFILE%\Documents\GitHub\mrs-test-scripts\Headless Mode &amp; Sideloading\WalkAndUnGZ.bat" "%USERPROFILE%\AppData\Local\Temp\OnboardLogs"\RTDC4008\2017-02-26 &amp; aws s3 cp s3://rtdc.mdm.uploadarchive.raw/RTDC4008/ "%USERPROFILE%\AppData\Local\Temp\OnboardLogs"\RTDC4008\2017-02-27 --exclude "*" --recursive --include "*20170227*" &amp; "%USERPROFILE%\Documents\GitHub\mrs-test-scripts\Headless Mode &amp; Sideloading\WalkAndUnGZ.bat" "%USERPROFILE%\AppData\Local\Temp\OnboardLogs"\RTDC4008\2017-02-27</v>
      </c>
      <c r="AF172" s="82" t="str">
        <f t="shared" si="52"/>
        <v>"C:\Program Files (x86)\AstroGrep\AstroGrep.exe" /spath="%USERPROFILE%\AppData\Local\Temp\OnboardLogs" /stypes="app*4008*20170226*" /stext=" 18:.+((SYSTEM_STATE.+slice.+state.+changed )|(ment ac)|(multiple cpu faults)|(system.+state.+changed )|(\[timeout)|(PRM\|1\|D)|(kpr)|(kdp)|(\|lc)|(penalty))" /e /r /s</v>
      </c>
      <c r="AG172" s="1" t="str">
        <f t="shared" si="53"/>
        <v>NW</v>
      </c>
      <c r="AH172" s="86" t="str">
        <f t="shared" si="54"/>
        <v>"%USERPROFILE%\Documents\GitHub\eaglep3\Utilities\RefineRTDCRunTimes.py" --tripid 1812-26 --locoid 4008 --swversion DE.1.0.9.0 --startMP 300:58623 --initTime 2017-02-26T11:36:12 --startdatetime 2017-02-26T11:38:48 --delay 0 --endMP 204:755 --enddatetime 2017-02-26T11:53:59 --enforcementcount 1 &gt;&gt;C:\Users\stu\Documents\GitHub\eaglep3-reporting\EC\2017-02-26-refined-times.txt</v>
      </c>
      <c r="AI172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{"issue":{"subject":"","project_id":79,"tracker_id":40,"status_id":1,"priority_id":2,"assigned_to_id":23,"start_date":"2017-02-26","description":"","custom_fields":[{"id":1,"name":"Subdivision","value":"NW"},{"id":4,"name":"Milepost","value":"0.0755"},{"id":17,"name":"Train ID","value":"1812-26"},{"id":16,"name":"Locomotive ID","value":"4008"},{"id":130,"name":"Impact","value":""},{"id":150,"name":"Time of Event (Mountain Time)","value":"11:53:59"},{"id":151,"name":"Denver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56"/>
        <v>start /low /b %USERPROFILE%\Documents\GitHub\eaglep3\Utilities\DownloadLogsFromS3.py --loco 4008 --day 2017-02-26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"%USERPROFILE%\AppData\Local\Temp\OnboardLogs"\RTDC4008\*4008*20170226* | grep -SE "(Enforcement Action)|(\[TIMEOUT)|(CHR.+\|PRM\|1\|D.+(SWITCH|SIGNAL).+UNKNOWN)" - &gt;&gt; 2017-02-26-UncaughtWiMAX.txt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3" t="s">
        <v>677</v>
      </c>
      <c r="B173" s="7">
        <v>4007</v>
      </c>
      <c r="C173" s="21" t="s">
        <v>285</v>
      </c>
      <c r="D173" s="21" t="s">
        <v>862</v>
      </c>
      <c r="E173" s="13">
        <v>42792.496898148151</v>
      </c>
      <c r="F173" s="13">
        <v>42792.514745370368</v>
      </c>
      <c r="G173" s="7">
        <v>1</v>
      </c>
      <c r="H173" s="21" t="s">
        <v>844</v>
      </c>
      <c r="I173" s="13">
        <v>42792.523229166669</v>
      </c>
      <c r="J173" s="7">
        <v>1</v>
      </c>
      <c r="K173" s="98" t="str">
        <f t="shared" si="39"/>
        <v>4007/4008</v>
      </c>
      <c r="L173" s="21" t="str">
        <f>VLOOKUP(A173,'Trips&amp;Operators'!$C$1:$G$99999,5,FALSE)</f>
        <v>YORK EDGAR</v>
      </c>
      <c r="M173" s="6">
        <f t="shared" si="40"/>
        <v>8.4837963004247285E-3</v>
      </c>
      <c r="N173" s="7">
        <f t="shared" si="41"/>
        <v>12.216666672611609</v>
      </c>
      <c r="O173" s="7"/>
      <c r="P173" s="7"/>
      <c r="Q173" s="22"/>
      <c r="R173" s="22"/>
      <c r="S173" s="31">
        <f t="shared" si="42"/>
        <v>1</v>
      </c>
      <c r="T173" s="46" t="str">
        <f t="shared" si="43"/>
        <v>NorthBound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44"/>
        <v>https://d0f6bd738d7f1b3e5a7ca70fe4ff75f0.us-east-1.aws.found.io/app/kibana#/discover/Steve-Slow-Train-Analysis-(2080s-and-2083s)?_g=(refreshInterval:(display:Off,pause:!f,section:0,value:0),time:(from:'2017-02-26T10:55:32-0700',mode:absolute,to:'2017-02-26T13:33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3" s="187" t="str">
        <f t="shared" si="45"/>
        <v>N</v>
      </c>
      <c r="X173" s="187">
        <f t="shared" si="46"/>
        <v>1</v>
      </c>
      <c r="Y173" s="62">
        <f t="shared" si="47"/>
        <v>0.10390000000000001</v>
      </c>
      <c r="Z173" s="62">
        <f t="shared" si="48"/>
        <v>5.8933</v>
      </c>
      <c r="AA173" s="62">
        <f t="shared" si="49"/>
        <v>5.7893999999999997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0"/>
        <v>1813-26</v>
      </c>
      <c r="AE173" s="85" t="str">
        <f t="shared" si="51"/>
        <v>aws s3 cp s3://rtdc.mdm.uploadarchive.raw/RTDC4007/ "%USERPROFILE%\AppData\Local\Temp\OnboardLogs"\RTDC4007\2017-02-26 --exclude "*" --recursive --include "*20170226*" &amp; "%USERPROFILE%\Documents\GitHub\mrs-test-scripts\Headless Mode &amp; Sideloading\WalkAndUnGZ.bat" "%USERPROFILE%\AppData\Local\Temp\OnboardLogs"\RTDC4007\2017-02-26 &amp; aws s3 cp s3://rtdc.mdm.uploadarchive.raw/RTDC4007/ "%USERPROFILE%\AppData\Local\Temp\OnboardLogs"\RTDC4007\2017-02-27 --exclude "*" --recursive --include "*20170227*" &amp; "%USERPROFILE%\Documents\GitHub\mrs-test-scripts\Headless Mode &amp; Sideloading\WalkAndUnGZ.bat" "%USERPROFILE%\AppData\Local\Temp\OnboardLogs"\RTDC4007\2017-02-27</v>
      </c>
      <c r="AF173" s="82" t="str">
        <f t="shared" si="52"/>
        <v>"C:\Program Files (x86)\AstroGrep\AstroGrep.exe" /spath="%USERPROFILE%\AppData\Local\Temp\OnboardLogs" /stypes="app*4007*20170226*" /stext=" 19:.+((SYSTEM_STATE.+slice.+state.+changed )|(ment ac)|(multiple cpu faults)|(system.+state.+changed )|(\[timeout)|(PRM\|1\|D)|(kpr)|(kdp)|(\|lc)|(penalty))" /e /r /s</v>
      </c>
      <c r="AG173" s="1" t="str">
        <f t="shared" si="53"/>
        <v>NW</v>
      </c>
      <c r="AH173" s="86" t="str">
        <f t="shared" si="54"/>
        <v>"%USERPROFILE%\Documents\GitHub\eaglep3\Utilities\RefineRTDCRunTimes.py" --tripid 1813-26 --locoid 4007 --swversion DE.1.0.9.0 --startMP 204:1039 --initTime 2017-02-26T11:55:32 --startdatetime 2017-02-26T12:21:14 --delay 1 --endMP 300:58933 --enddatetime 2017-02-26T12:33:27 --enforcementcount 1 &gt;&gt;C:\Users\stu\Documents\GitHub\eaglep3-reporting\EC\2017-02-26-refined-times.txt</v>
      </c>
      <c r="AI173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{"issue":{"subject":"","project_id":79,"tracker_id":40,"status_id":1,"priority_id":2,"assigned_to_id":23,"start_date":"2017-02-26","description":"","custom_fields":[{"id":1,"name":"Subdivision","value":"NW"},{"id":4,"name":"Milepost","value":"5.8933"},{"id":17,"name":"Train ID","value":"1813-26"},{"id":16,"name":"Locomotive ID","value":"4007"},{"id":130,"name":"Impact","value":""},{"id":150,"name":"Time of Event (Mountain Time)","value":"12:33:27"},{"id":151,"name":"Denver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56"/>
        <v>start /low /b %USERPROFILE%\Documents\GitHub\eaglep3\Utilities\DownloadLogsFromS3.py --loco 4007 --day 2017-02-26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"%USERPROFILE%\AppData\Local\Temp\OnboardLogs"\RTDC4007\*4007*20170226* | grep -SE "(Enforcement Action)|(\[TIMEOUT)|(CHR.+\|PRM\|1\|D.+(SWITCH|SIGNAL).+UNKNOWN)" - &gt;&gt; 2017-02-26-UncaughtWiMAX.txt</v>
      </c>
    </row>
    <row r="174" spans="1:91" s="20" customFormat="1" x14ac:dyDescent="0.25">
      <c r="A174" s="33" t="s">
        <v>684</v>
      </c>
      <c r="B174" s="7">
        <v>4008</v>
      </c>
      <c r="C174" s="21" t="s">
        <v>285</v>
      </c>
      <c r="D174" s="21" t="s">
        <v>397</v>
      </c>
      <c r="E174" s="13">
        <v>42792.524606481478</v>
      </c>
      <c r="F174" s="13">
        <v>42792.527743055558</v>
      </c>
      <c r="G174" s="7">
        <v>1</v>
      </c>
      <c r="H174" s="21" t="s">
        <v>863</v>
      </c>
      <c r="I174" s="13">
        <v>42792.537465277775</v>
      </c>
      <c r="J174" s="7">
        <v>1</v>
      </c>
      <c r="K174" s="98" t="str">
        <f t="shared" si="39"/>
        <v>4007/4008</v>
      </c>
      <c r="L174" s="21" t="str">
        <f>VLOOKUP(A174,'Trips&amp;Operators'!$C$1:$G$99999,5,FALSE)</f>
        <v>YORK EDGAR</v>
      </c>
      <c r="M174" s="6">
        <f t="shared" si="40"/>
        <v>9.7222222175332718E-3</v>
      </c>
      <c r="N174" s="7">
        <f t="shared" si="41"/>
        <v>13.999999993247911</v>
      </c>
      <c r="O174" s="7"/>
      <c r="P174" s="7"/>
      <c r="Q174" s="22"/>
      <c r="R174" s="22"/>
      <c r="S174" s="31">
        <f t="shared" si="42"/>
        <v>1</v>
      </c>
      <c r="T174" s="46" t="str">
        <f t="shared" si="43"/>
        <v>Southbound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44"/>
        <v>https://d0f6bd738d7f1b3e5a7ca70fe4ff75f0.us-east-1.aws.found.io/app/kibana#/discover/Steve-Slow-Train-Analysis-(2080s-and-2083s)?_g=(refreshInterval:(display:Off,pause:!f,section:0,value:0),time:(from:'2017-02-26T11:35:26-0700',mode:absolute,to:'2017-02-26T13:53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4" s="187" t="str">
        <f t="shared" si="45"/>
        <v>N</v>
      </c>
      <c r="X174" s="187">
        <f t="shared" si="46"/>
        <v>1</v>
      </c>
      <c r="Y174" s="62">
        <f t="shared" si="47"/>
        <v>5.8619000000000003</v>
      </c>
      <c r="Z174" s="62">
        <f t="shared" si="48"/>
        <v>7.7499999999999999E-2</v>
      </c>
      <c r="AA174" s="62">
        <f t="shared" si="49"/>
        <v>5.7844000000000007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0"/>
        <v>1814-26</v>
      </c>
      <c r="AE174" s="85" t="str">
        <f t="shared" si="51"/>
        <v>aws s3 cp s3://rtdc.mdm.uploadarchive.raw/RTDC4008/ "%USERPROFILE%\AppData\Local\Temp\OnboardLogs"\RTDC4008\2017-02-26 --exclude "*" --recursive --include "*20170226*" &amp; "%USERPROFILE%\Documents\GitHub\mrs-test-scripts\Headless Mode &amp; Sideloading\WalkAndUnGZ.bat" "%USERPROFILE%\AppData\Local\Temp\OnboardLogs"\RTDC4008\2017-02-26 &amp; aws s3 cp s3://rtdc.mdm.uploadarchive.raw/RTDC4008/ "%USERPROFILE%\AppData\Local\Temp\OnboardLogs"\RTDC4008\2017-02-27 --exclude "*" --recursive --include "*20170227*" &amp; "%USERPROFILE%\Documents\GitHub\mrs-test-scripts\Headless Mode &amp; Sideloading\WalkAndUnGZ.bat" "%USERPROFILE%\AppData\Local\Temp\OnboardLogs"\RTDC4008\2017-02-27</v>
      </c>
      <c r="AF174" s="82" t="str">
        <f t="shared" si="52"/>
        <v>"C:\Program Files (x86)\AstroGrep\AstroGrep.exe" /spath="%USERPROFILE%\AppData\Local\Temp\OnboardLogs" /stypes="app*4008*20170226*" /stext=" 19:.+((SYSTEM_STATE.+slice.+state.+changed )|(ment ac)|(multiple cpu faults)|(system.+state.+changed )|(\[timeout)|(PRM\|1\|D)|(kpr)|(kdp)|(\|lc)|(penalty))" /e /r /s</v>
      </c>
      <c r="AG174" s="1" t="str">
        <f t="shared" si="53"/>
        <v>NW</v>
      </c>
      <c r="AH174" s="86" t="str">
        <f t="shared" si="54"/>
        <v>"%USERPROFILE%\Documents\GitHub\eaglep3\Utilities\RefineRTDCRunTimes.py" --tripid 1814-26 --locoid 4008 --swversion DE.1.0.9.0 --startMP 300:58619 --initTime 2017-02-26T12:35:26 --startdatetime 2017-02-26T12:39:57 --delay 1 --endMP 204:775 --enddatetime 2017-02-26T12:53:57 --enforcementcount 1 &gt;&gt;C:\Users\stu\Documents\GitHub\eaglep3-reporting\EC\2017-02-26-refined-times.txt</v>
      </c>
      <c r="AI174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{"issue":{"subject":"","project_id":79,"tracker_id":40,"status_id":1,"priority_id":2,"assigned_to_id":23,"start_date":"2017-02-26","description":"","custom_fields":[{"id":1,"name":"Subdivision","value":"NW"},{"id":4,"name":"Milepost","value":"0.0775"},{"id":17,"name":"Train ID","value":"1814-26"},{"id":16,"name":"Locomotive ID","value":"4008"},{"id":130,"name":"Impact","value":""},{"id":150,"name":"Time of Event (Mountain Time)","value":"12:53:57"},{"id":151,"name":"Denver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56"/>
        <v>start /low /b %USERPROFILE%\Documents\GitHub\eaglep3\Utilities\DownloadLogsFromS3.py --loco 4008 --day 2017-02-26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"%USERPROFILE%\AppData\Local\Temp\OnboardLogs"\RTDC4008\*4008*20170226* | grep -SE "(Enforcement Action)|(\[TIMEOUT)|(CHR.+\|PRM\|1\|D.+(SWITCH|SIGNAL).+UNKNOWN)" - &gt;&gt; 2017-02-26-UncaughtWiMAX.txt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687</v>
      </c>
      <c r="B175" s="7">
        <v>4007</v>
      </c>
      <c r="C175" s="21" t="s">
        <v>285</v>
      </c>
      <c r="D175" s="21" t="s">
        <v>864</v>
      </c>
      <c r="E175" s="13">
        <v>42792.539074074077</v>
      </c>
      <c r="F175" s="13">
        <v>42792.556423611109</v>
      </c>
      <c r="G175" s="7">
        <v>1</v>
      </c>
      <c r="H175" s="21" t="s">
        <v>398</v>
      </c>
      <c r="I175" s="13">
        <v>42792.565127314818</v>
      </c>
      <c r="J175" s="7">
        <v>1</v>
      </c>
      <c r="K175" s="98" t="str">
        <f t="shared" si="39"/>
        <v>4007/4008</v>
      </c>
      <c r="L175" s="21" t="str">
        <f>VLOOKUP(A175,'Trips&amp;Operators'!$C$1:$G$99999,5,FALSE)</f>
        <v>YORK EDGAR</v>
      </c>
      <c r="M175" s="6">
        <f t="shared" si="40"/>
        <v>8.7037037083064206E-3</v>
      </c>
      <c r="N175" s="7">
        <f t="shared" si="41"/>
        <v>12.533333339961246</v>
      </c>
      <c r="O175" s="7"/>
      <c r="P175" s="7"/>
      <c r="Q175" s="22"/>
      <c r="R175" s="22"/>
      <c r="S175" s="31">
        <f t="shared" si="42"/>
        <v>1</v>
      </c>
      <c r="T175" s="46" t="str">
        <f t="shared" si="43"/>
        <v>NorthBound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44"/>
        <v>https://d0f6bd738d7f1b3e5a7ca70fe4ff75f0.us-east-1.aws.found.io/app/kibana#/discover/Steve-Slow-Train-Analysis-(2080s-and-2083s)?_g=(refreshInterval:(display:Off,pause:!f,section:0,value:0),time:(from:'2017-02-26T11:56:16-0700',mode:absolute,to:'2017-02-26T14:33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5" s="187" t="str">
        <f t="shared" si="45"/>
        <v>N</v>
      </c>
      <c r="X175" s="187">
        <f t="shared" si="46"/>
        <v>1</v>
      </c>
      <c r="Y175" s="62">
        <f t="shared" si="47"/>
        <v>0.1055</v>
      </c>
      <c r="Z175" s="62">
        <f t="shared" si="48"/>
        <v>5.8935000000000004</v>
      </c>
      <c r="AA175" s="62">
        <f t="shared" si="49"/>
        <v>5.7880000000000003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0"/>
        <v>1815-26</v>
      </c>
      <c r="AE175" s="85" t="str">
        <f t="shared" si="51"/>
        <v>aws s3 cp s3://rtdc.mdm.uploadarchive.raw/RTDC4007/ "%USERPROFILE%\AppData\Local\Temp\OnboardLogs"\RTDC4007\2017-02-26 --exclude "*" --recursive --include "*20170226*" &amp; "%USERPROFILE%\Documents\GitHub\mrs-test-scripts\Headless Mode &amp; Sideloading\WalkAndUnGZ.bat" "%USERPROFILE%\AppData\Local\Temp\OnboardLogs"\RTDC4007\2017-02-26 &amp; aws s3 cp s3://rtdc.mdm.uploadarchive.raw/RTDC4007/ "%USERPROFILE%\AppData\Local\Temp\OnboardLogs"\RTDC4007\2017-02-27 --exclude "*" --recursive --include "*20170227*" &amp; "%USERPROFILE%\Documents\GitHub\mrs-test-scripts\Headless Mode &amp; Sideloading\WalkAndUnGZ.bat" "%USERPROFILE%\AppData\Local\Temp\OnboardLogs"\RTDC4007\2017-02-27</v>
      </c>
      <c r="AF175" s="82" t="str">
        <f t="shared" si="52"/>
        <v>"C:\Program Files (x86)\AstroGrep\AstroGrep.exe" /spath="%USERPROFILE%\AppData\Local\Temp\OnboardLogs" /stypes="app*4007*20170226*" /stext=" 20:.+((SYSTEM_STATE.+slice.+state.+changed )|(ment ac)|(multiple cpu faults)|(system.+state.+changed )|(\[timeout)|(PRM\|1\|D)|(kpr)|(kdp)|(\|lc)|(penalty))" /e /r /s</v>
      </c>
      <c r="AG175" s="1" t="str">
        <f t="shared" si="53"/>
        <v>NW</v>
      </c>
      <c r="AH175" s="86" t="str">
        <f t="shared" si="54"/>
        <v>"%USERPROFILE%\Documents\GitHub\eaglep3\Utilities\RefineRTDCRunTimes.py" --tripid 1815-26 --locoid 4007 --swversion DE.1.0.9.0 --startMP 204:1055 --initTime 2017-02-26T12:56:16 --startdatetime 2017-02-26T13:21:15 --delay 1 --endMP 300:58935 --enddatetime 2017-02-26T13:33:47 --enforcementcount 1 &gt;&gt;C:\Users\stu\Documents\GitHub\eaglep3-reporting\EC\2017-02-26-refined-times.txt</v>
      </c>
      <c r="AI175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{"issue":{"subject":"","project_id":79,"tracker_id":40,"status_id":1,"priority_id":2,"assigned_to_id":23,"start_date":"2017-02-26","description":"","custom_fields":[{"id":1,"name":"Subdivision","value":"NW"},{"id":4,"name":"Milepost","value":"5.8935"},{"id":17,"name":"Train ID","value":"1815-26"},{"id":16,"name":"Locomotive ID","value":"4007"},{"id":130,"name":"Impact","value":""},{"id":150,"name":"Time of Event (Mountain Time)","value":"13:33:47"},{"id":151,"name":"Denver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56"/>
        <v>start /low /b %USERPROFILE%\Documents\GitHub\eaglep3\Utilities\DownloadLogsFromS3.py --loco 4007 --day 2017-02-26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"%USERPROFILE%\AppData\Local\Temp\OnboardLogs"\RTDC4007\*4007*20170226* | grep -SE "(Enforcement Action)|(\[TIMEOUT)|(CHR.+\|PRM\|1\|D.+(SWITCH|SIGNAL).+UNKNOWN)" - &gt;&gt; 2017-02-26-UncaughtWiMAX.txt</v>
      </c>
    </row>
    <row r="176" spans="1:91" x14ac:dyDescent="0.25">
      <c r="A176" s="33" t="s">
        <v>692</v>
      </c>
      <c r="B176" s="7">
        <v>4008</v>
      </c>
      <c r="C176" s="21" t="s">
        <v>285</v>
      </c>
      <c r="D176" s="21" t="s">
        <v>841</v>
      </c>
      <c r="E176" s="13">
        <v>42792.56590277778</v>
      </c>
      <c r="F176" s="13">
        <v>42792.569953703707</v>
      </c>
      <c r="G176" s="7">
        <v>1</v>
      </c>
      <c r="H176" s="21" t="s">
        <v>865</v>
      </c>
      <c r="I176" s="13">
        <v>42792.579247685186</v>
      </c>
      <c r="J176" s="7">
        <v>1</v>
      </c>
      <c r="K176" s="98" t="str">
        <f t="shared" si="39"/>
        <v>4007/4008</v>
      </c>
      <c r="L176" s="21" t="str">
        <f>VLOOKUP(A176,'Trips&amp;Operators'!$C$1:$G$99999,5,FALSE)</f>
        <v>YORK EDGAR</v>
      </c>
      <c r="M176" s="6">
        <f t="shared" si="40"/>
        <v>9.29398147854954E-3</v>
      </c>
      <c r="N176" s="7">
        <f t="shared" si="41"/>
        <v>13.383333329111338</v>
      </c>
      <c r="O176" s="7"/>
      <c r="P176" s="7"/>
      <c r="Q176" s="22"/>
      <c r="R176" s="22"/>
      <c r="S176" s="31">
        <f t="shared" si="42"/>
        <v>1</v>
      </c>
      <c r="T176" s="46" t="str">
        <f t="shared" si="43"/>
        <v>Southbound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44"/>
        <v>https://d0f6bd738d7f1b3e5a7ca70fe4ff75f0.us-east-1.aws.found.io/app/kibana#/discover/Steve-Slow-Train-Analysis-(2080s-and-2083s)?_g=(refreshInterval:(display:Off,pause:!f,section:0,value:0),time:(from:'2017-02-26T12:34:54-0700',mode:absolute,to:'2017-02-26T14:54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6" s="187" t="str">
        <f t="shared" si="45"/>
        <v>N</v>
      </c>
      <c r="X176" s="187">
        <f t="shared" si="46"/>
        <v>1</v>
      </c>
      <c r="Y176" s="62">
        <f t="shared" si="47"/>
        <v>5.8620999999999999</v>
      </c>
      <c r="Z176" s="62">
        <f t="shared" si="48"/>
        <v>7.4999999999999997E-2</v>
      </c>
      <c r="AA176" s="62">
        <f t="shared" si="49"/>
        <v>5.7870999999999997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0"/>
        <v>1816-26</v>
      </c>
      <c r="AE176" s="85" t="str">
        <f t="shared" si="51"/>
        <v>aws s3 cp s3://rtdc.mdm.uploadarchive.raw/RTDC4008/ "%USERPROFILE%\AppData\Local\Temp\OnboardLogs"\RTDC4008\2017-02-26 --exclude "*" --recursive --include "*20170226*" &amp; "%USERPROFILE%\Documents\GitHub\mrs-test-scripts\Headless Mode &amp; Sideloading\WalkAndUnGZ.bat" "%USERPROFILE%\AppData\Local\Temp\OnboardLogs"\RTDC4008\2017-02-26 &amp; aws s3 cp s3://rtdc.mdm.uploadarchive.raw/RTDC4008/ "%USERPROFILE%\AppData\Local\Temp\OnboardLogs"\RTDC4008\2017-02-27 --exclude "*" --recursive --include "*20170227*" &amp; "%USERPROFILE%\Documents\GitHub\mrs-test-scripts\Headless Mode &amp; Sideloading\WalkAndUnGZ.bat" "%USERPROFILE%\AppData\Local\Temp\OnboardLogs"\RTDC4008\2017-02-27</v>
      </c>
      <c r="AF176" s="82" t="str">
        <f t="shared" si="52"/>
        <v>"C:\Program Files (x86)\AstroGrep\AstroGrep.exe" /spath="%USERPROFILE%\AppData\Local\Temp\OnboardLogs" /stypes="app*4008*20170226*" /stext=" 20:.+((SYSTEM_STATE.+slice.+state.+changed )|(ment ac)|(multiple cpu faults)|(system.+state.+changed )|(\[timeout)|(PRM\|1\|D)|(kpr)|(kdp)|(\|lc)|(penalty))" /e /r /s</v>
      </c>
      <c r="AG176" s="1" t="str">
        <f t="shared" si="53"/>
        <v>NW</v>
      </c>
      <c r="AH176" s="86" t="str">
        <f t="shared" si="54"/>
        <v>"%USERPROFILE%\Documents\GitHub\eaglep3\Utilities\RefineRTDCRunTimes.py" --tripid 1816-26 --locoid 4008 --swversion DE.1.0.9.0 --startMP 300:58621 --initTime 2017-02-26T13:34:54 --startdatetime 2017-02-26T13:40:44 --delay 1 --endMP 204:750 --enddatetime 2017-02-26T13:54:07 --enforcementcount 1 &gt;&gt;C:\Users\stu\Documents\GitHub\eaglep3-reporting\EC\2017-02-26-refined-times.txt</v>
      </c>
      <c r="AI176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{"issue":{"subject":"","project_id":79,"tracker_id":40,"status_id":1,"priority_id":2,"assigned_to_id":23,"start_date":"2017-02-26","description":"","custom_fields":[{"id":1,"name":"Subdivision","value":"NW"},{"id":4,"name":"Milepost","value":"0.075"},{"id":17,"name":"Train ID","value":"1816-26"},{"id":16,"name":"Locomotive ID","value":"4008"},{"id":130,"name":"Impact","value":""},{"id":150,"name":"Time of Event (Mountain Time)","value":"13:54:07"},{"id":151,"name":"Denver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56"/>
        <v>start /low /b %USERPROFILE%\Documents\GitHub\eaglep3\Utilities\DownloadLogsFromS3.py --loco 4008 --day 2017-02-26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"%USERPROFILE%\AppData\Local\Temp\OnboardLogs"\RTDC4008\*4008*20170226* | grep -SE "(Enforcement Action)|(\[TIMEOUT)|(CHR.+\|PRM\|1\|D.+(SWITCH|SIGNAL).+UNKNOWN)" - &gt;&gt; 2017-02-26-UncaughtWiMAX.txt</v>
      </c>
    </row>
    <row r="177" spans="1:40" x14ac:dyDescent="0.25">
      <c r="A177" s="33" t="s">
        <v>697</v>
      </c>
      <c r="B177" s="7">
        <v>4007</v>
      </c>
      <c r="C177" s="21" t="s">
        <v>285</v>
      </c>
      <c r="D177" s="21" t="s">
        <v>866</v>
      </c>
      <c r="E177" s="13">
        <v>42792.594814814816</v>
      </c>
      <c r="F177" s="13">
        <v>42792.598252314812</v>
      </c>
      <c r="G177" s="7">
        <v>1</v>
      </c>
      <c r="H177" s="21" t="s">
        <v>311</v>
      </c>
      <c r="I177" s="13">
        <v>42792.607094907406</v>
      </c>
      <c r="J177" s="7">
        <v>1</v>
      </c>
      <c r="K177" s="98" t="str">
        <f t="shared" si="39"/>
        <v>4007/4008</v>
      </c>
      <c r="L177" s="21" t="str">
        <f>VLOOKUP(A177,'Trips&amp;Operators'!$C$1:$G$99999,5,FALSE)</f>
        <v>HELVIE ADAM</v>
      </c>
      <c r="M177" s="6">
        <f t="shared" si="40"/>
        <v>8.8425925932824612E-3</v>
      </c>
      <c r="N177" s="7">
        <f t="shared" si="41"/>
        <v>12.733333334326744</v>
      </c>
      <c r="O177" s="7"/>
      <c r="P177" s="7"/>
      <c r="Q177" s="22"/>
      <c r="R177" s="22"/>
      <c r="S177" s="31">
        <f t="shared" si="42"/>
        <v>1</v>
      </c>
      <c r="T177" s="46" t="str">
        <f t="shared" si="43"/>
        <v>NorthBound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44"/>
        <v>https://d0f6bd738d7f1b3e5a7ca70fe4ff75f0.us-east-1.aws.found.io/app/kibana#/discover/Steve-Slow-Train-Analysis-(2080s-and-2083s)?_g=(refreshInterval:(display:Off,pause:!f,section:0,value:0),time:(from:'2017-02-26T13:16:32-0700',mode:absolute,to:'2017-02-26T15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7" s="187" t="str">
        <f t="shared" si="45"/>
        <v>N</v>
      </c>
      <c r="X177" s="187">
        <f t="shared" si="46"/>
        <v>1</v>
      </c>
      <c r="Y177" s="62">
        <f t="shared" si="47"/>
        <v>0.1032</v>
      </c>
      <c r="Z177" s="62">
        <f t="shared" si="48"/>
        <v>5.8944000000000001</v>
      </c>
      <c r="AA177" s="62">
        <f t="shared" si="49"/>
        <v>5.7911999999999999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0"/>
        <v>1817-26</v>
      </c>
      <c r="AE177" s="85" t="str">
        <f t="shared" si="51"/>
        <v>aws s3 cp s3://rtdc.mdm.uploadarchive.raw/RTDC4007/ "%USERPROFILE%\AppData\Local\Temp\OnboardLogs"\RTDC4007\2017-02-26 --exclude "*" --recursive --include "*20170226*" &amp; "%USERPROFILE%\Documents\GitHub\mrs-test-scripts\Headless Mode &amp; Sideloading\WalkAndUnGZ.bat" "%USERPROFILE%\AppData\Local\Temp\OnboardLogs"\RTDC4007\2017-02-26 &amp; aws s3 cp s3://rtdc.mdm.uploadarchive.raw/RTDC4007/ "%USERPROFILE%\AppData\Local\Temp\OnboardLogs"\RTDC4007\2017-02-27 --exclude "*" --recursive --include "*20170227*" &amp; "%USERPROFILE%\Documents\GitHub\mrs-test-scripts\Headless Mode &amp; Sideloading\WalkAndUnGZ.bat" "%USERPROFILE%\AppData\Local\Temp\OnboardLogs"\RTDC4007\2017-02-27</v>
      </c>
      <c r="AF177" s="82" t="str">
        <f t="shared" si="52"/>
        <v>"C:\Program Files (x86)\AstroGrep\AstroGrep.exe" /spath="%USERPROFILE%\AppData\Local\Temp\OnboardLogs" /stypes="app*4007*20170226*" /stext=" 21:.+((SYSTEM_STATE.+slice.+state.+changed )|(ment ac)|(multiple cpu faults)|(system.+state.+changed )|(\[timeout)|(PRM\|1\|D)|(kpr)|(kdp)|(\|lc)|(penalty))" /e /r /s</v>
      </c>
      <c r="AG177" s="1" t="str">
        <f t="shared" si="53"/>
        <v>NW</v>
      </c>
      <c r="AH177" s="86" t="str">
        <f t="shared" si="54"/>
        <v>"%USERPROFILE%\Documents\GitHub\eaglep3\Utilities\RefineRTDCRunTimes.py" --tripid 1817-26 --locoid 4007 --swversion DE.1.0.9.0 --startMP 204:1032 --initTime 2017-02-26T14:16:32 --startdatetime 2017-02-26T14:21:29 --delay 1 --endMP 300:58944 --enddatetime 2017-02-26T14:34:13 --enforcementcount 1 &gt;&gt;C:\Users\stu\Documents\GitHub\eaglep3-reporting\EC\2017-02-26-refined-times.txt</v>
      </c>
      <c r="AI177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{"issue":{"subject":"","project_id":79,"tracker_id":40,"status_id":1,"priority_id":2,"assigned_to_id":23,"start_date":"2017-02-26","description":"","custom_fields":[{"id":1,"name":"Subdivision","value":"NW"},{"id":4,"name":"Milepost","value":"5.8944"},{"id":17,"name":"Train ID","value":"1817-26"},{"id":16,"name":"Locomotive ID","value":"4007"},{"id":130,"name":"Impact","value":""},{"id":150,"name":"Time of Event (Mountain Time)","value":"14:34:13"},{"id":151,"name":"Denver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56"/>
        <v>start /low /b %USERPROFILE%\Documents\GitHub\eaglep3\Utilities\DownloadLogsFromS3.py --loco 4007 --day 2017-02-26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"%USERPROFILE%\AppData\Local\Temp\OnboardLogs"\RTDC4007\*4007*20170226* | grep -SE "(Enforcement Action)|(\[TIMEOUT)|(CHR.+\|PRM\|1\|D.+(SWITCH|SIGNAL).+UNKNOWN)" - &gt;&gt; 2017-02-26-UncaughtWiMAX.txt</v>
      </c>
    </row>
    <row r="178" spans="1:40" x14ac:dyDescent="0.25">
      <c r="A178" s="33" t="s">
        <v>700</v>
      </c>
      <c r="B178" s="7">
        <v>4008</v>
      </c>
      <c r="C178" s="21" t="s">
        <v>285</v>
      </c>
      <c r="D178" s="21" t="s">
        <v>288</v>
      </c>
      <c r="E178" s="13">
        <v>42792.608530092592</v>
      </c>
      <c r="F178" s="13">
        <v>42792.611296296294</v>
      </c>
      <c r="G178" s="7">
        <v>1</v>
      </c>
      <c r="H178" s="21" t="s">
        <v>867</v>
      </c>
      <c r="I178" s="13">
        <v>42792.621076388888</v>
      </c>
      <c r="J178" s="7">
        <v>1</v>
      </c>
      <c r="K178" s="98" t="str">
        <f t="shared" si="39"/>
        <v>4007/4008</v>
      </c>
      <c r="L178" s="21" t="str">
        <f>VLOOKUP(A178,'Trips&amp;Operators'!$C$1:$G$99999,5,FALSE)</f>
        <v>HELVIE ADAM</v>
      </c>
      <c r="M178" s="6">
        <f t="shared" si="40"/>
        <v>9.7800925941555761E-3</v>
      </c>
      <c r="N178" s="7">
        <f t="shared" si="41"/>
        <v>14.08333333558403</v>
      </c>
      <c r="O178" s="7"/>
      <c r="P178" s="7"/>
      <c r="Q178" s="22"/>
      <c r="R178" s="22"/>
      <c r="S178" s="31">
        <f t="shared" si="42"/>
        <v>1</v>
      </c>
      <c r="T178" s="46" t="str">
        <f t="shared" si="43"/>
        <v>Southbound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44"/>
        <v>https://d0f6bd738d7f1b3e5a7ca70fe4ff75f0.us-east-1.aws.found.io/app/kibana#/discover/Steve-Slow-Train-Analysis-(2080s-and-2083s)?_g=(refreshInterval:(display:Off,pause:!f,section:0,value:0),time:(from:'2017-02-26T13:36:17-0700',mode:absolute,to:'2017-02-26T15:54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8" s="187" t="str">
        <f t="shared" si="45"/>
        <v>N</v>
      </c>
      <c r="X178" s="187">
        <f t="shared" si="46"/>
        <v>1</v>
      </c>
      <c r="Y178" s="62">
        <f t="shared" si="47"/>
        <v>5.8630000000000004</v>
      </c>
      <c r="Z178" s="62">
        <f t="shared" si="48"/>
        <v>7.4800000000000005E-2</v>
      </c>
      <c r="AA178" s="62">
        <f t="shared" si="49"/>
        <v>5.7882000000000007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0"/>
        <v>1818-26</v>
      </c>
      <c r="AE178" s="85" t="str">
        <f t="shared" si="51"/>
        <v>aws s3 cp s3://rtdc.mdm.uploadarchive.raw/RTDC4008/ "%USERPROFILE%\AppData\Local\Temp\OnboardLogs"\RTDC4008\2017-02-26 --exclude "*" --recursive --include "*20170226*" &amp; "%USERPROFILE%\Documents\GitHub\mrs-test-scripts\Headless Mode &amp; Sideloading\WalkAndUnGZ.bat" "%USERPROFILE%\AppData\Local\Temp\OnboardLogs"\RTDC4008\2017-02-26 &amp; aws s3 cp s3://rtdc.mdm.uploadarchive.raw/RTDC4008/ "%USERPROFILE%\AppData\Local\Temp\OnboardLogs"\RTDC4008\2017-02-27 --exclude "*" --recursive --include "*20170227*" &amp; "%USERPROFILE%\Documents\GitHub\mrs-test-scripts\Headless Mode &amp; Sideloading\WalkAndUnGZ.bat" "%USERPROFILE%\AppData\Local\Temp\OnboardLogs"\RTDC4008\2017-02-27</v>
      </c>
      <c r="AF178" s="82" t="str">
        <f t="shared" si="52"/>
        <v>"C:\Program Files (x86)\AstroGrep\AstroGrep.exe" /spath="%USERPROFILE%\AppData\Local\Temp\OnboardLogs" /stypes="app*4008*20170226*" /stext=" 21:.+((SYSTEM_STATE.+slice.+state.+changed )|(ment ac)|(multiple cpu faults)|(system.+state.+changed )|(\[timeout)|(PRM\|1\|D)|(kpr)|(kdp)|(\|lc)|(penalty))" /e /r /s</v>
      </c>
      <c r="AG178" s="1" t="str">
        <f t="shared" si="53"/>
        <v>NW</v>
      </c>
      <c r="AH178" s="86" t="str">
        <f t="shared" si="54"/>
        <v>"%USERPROFILE%\Documents\GitHub\eaglep3\Utilities\RefineRTDCRunTimes.py" --tripid 1818-26 --locoid 4008 --swversion DE.1.0.9.0 --startMP 300:58630 --initTime 2017-02-26T14:36:17 --startdatetime 2017-02-26T14:40:16 --delay 1 --endMP 204:748 --enddatetime 2017-02-26T14:54:21 --enforcementcount 1 &gt;&gt;C:\Users\stu\Documents\GitHub\eaglep3-reporting\EC\2017-02-26-refined-times.txt</v>
      </c>
      <c r="AI178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{"issue":{"subject":"","project_id":79,"tracker_id":40,"status_id":1,"priority_id":2,"assigned_to_id":23,"start_date":"2017-02-26","description":"","custom_fields":[{"id":1,"name":"Subdivision","value":"NW"},{"id":4,"name":"Milepost","value":"0.0748"},{"id":17,"name":"Train ID","value":"1818-26"},{"id":16,"name":"Locomotive ID","value":"4008"},{"id":130,"name":"Impact","value":""},{"id":150,"name":"Time of Event (Mountain Time)","value":"14:54:21"},{"id":151,"name":"Denver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56"/>
        <v>start /low /b %USERPROFILE%\Documents\GitHub\eaglep3\Utilities\DownloadLogsFromS3.py --loco 4008 --day 2017-02-26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"%USERPROFILE%\AppData\Local\Temp\OnboardLogs"\RTDC4008\*4008*20170226* | grep -SE "(Enforcement Action)|(\[TIMEOUT)|(CHR.+\|PRM\|1\|D.+(SWITCH|SIGNAL).+UNKNOWN)" - &gt;&gt; 2017-02-26-UncaughtWiMAX.txt</v>
      </c>
    </row>
    <row r="179" spans="1:40" x14ac:dyDescent="0.25">
      <c r="A179" s="33" t="s">
        <v>706</v>
      </c>
      <c r="B179" s="7">
        <v>4007</v>
      </c>
      <c r="C179" s="21" t="s">
        <v>285</v>
      </c>
      <c r="D179" s="21" t="s">
        <v>843</v>
      </c>
      <c r="E179" s="13">
        <v>42792.637916666667</v>
      </c>
      <c r="F179" s="13">
        <v>42792.639768518522</v>
      </c>
      <c r="G179" s="7">
        <v>1</v>
      </c>
      <c r="H179" s="21" t="s">
        <v>398</v>
      </c>
      <c r="I179" s="13">
        <v>42792.648888888885</v>
      </c>
      <c r="J179" s="7">
        <v>1</v>
      </c>
      <c r="K179" s="98" t="str">
        <f t="shared" si="39"/>
        <v>4007/4008</v>
      </c>
      <c r="L179" s="21" t="str">
        <f>VLOOKUP(A179,'Trips&amp;Operators'!$C$1:$G$99999,5,FALSE)</f>
        <v>HELVIE ADAM</v>
      </c>
      <c r="M179" s="6">
        <f t="shared" si="40"/>
        <v>9.1203703632345423E-3</v>
      </c>
      <c r="N179" s="7">
        <f t="shared" si="41"/>
        <v>13.133333323057741</v>
      </c>
      <c r="O179" s="7"/>
      <c r="P179" s="7"/>
      <c r="Q179" s="22"/>
      <c r="R179" s="22"/>
      <c r="S179" s="31">
        <f t="shared" si="42"/>
        <v>1</v>
      </c>
      <c r="T179" s="46" t="str">
        <f t="shared" si="43"/>
        <v>NorthBound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44"/>
        <v>https://d0f6bd738d7f1b3e5a7ca70fe4ff75f0.us-east-1.aws.found.io/app/kibana#/discover/Steve-Slow-Train-Analysis-(2080s-and-2083s)?_g=(refreshInterval:(display:Off,pause:!f,section:0,value:0),time:(from:'2017-02-26T14:18:36-0700',mode:absolute,to:'2017-02-26T16:34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9" s="187" t="str">
        <f t="shared" si="45"/>
        <v>N</v>
      </c>
      <c r="X179" s="187">
        <f t="shared" si="46"/>
        <v>1</v>
      </c>
      <c r="Y179" s="62">
        <f t="shared" si="47"/>
        <v>0.10349999999999999</v>
      </c>
      <c r="Z179" s="62">
        <f t="shared" si="48"/>
        <v>5.8935000000000004</v>
      </c>
      <c r="AA179" s="62">
        <f t="shared" si="49"/>
        <v>5.79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0"/>
        <v>1819-26</v>
      </c>
      <c r="AE179" s="85" t="str">
        <f t="shared" si="51"/>
        <v>aws s3 cp s3://rtdc.mdm.uploadarchive.raw/RTDC4007/ "%USERPROFILE%\AppData\Local\Temp\OnboardLogs"\RTDC4007\2017-02-26 --exclude "*" --recursive --include "*20170226*" &amp; "%USERPROFILE%\Documents\GitHub\mrs-test-scripts\Headless Mode &amp; Sideloading\WalkAndUnGZ.bat" "%USERPROFILE%\AppData\Local\Temp\OnboardLogs"\RTDC4007\2017-02-26 &amp; aws s3 cp s3://rtdc.mdm.uploadarchive.raw/RTDC4007/ "%USERPROFILE%\AppData\Local\Temp\OnboardLogs"\RTDC4007\2017-02-27 --exclude "*" --recursive --include "*20170227*" &amp; "%USERPROFILE%\Documents\GitHub\mrs-test-scripts\Headless Mode &amp; Sideloading\WalkAndUnGZ.bat" "%USERPROFILE%\AppData\Local\Temp\OnboardLogs"\RTDC4007\2017-02-27</v>
      </c>
      <c r="AF179" s="82" t="str">
        <f t="shared" si="52"/>
        <v>"C:\Program Files (x86)\AstroGrep\AstroGrep.exe" /spath="%USERPROFILE%\AppData\Local\Temp\OnboardLogs" /stypes="app*4007*20170226*" /stext=" 22:.+((SYSTEM_STATE.+slice.+state.+changed )|(ment ac)|(multiple cpu faults)|(system.+state.+changed )|(\[timeout)|(PRM\|1\|D)|(kpr)|(kdp)|(\|lc)|(penalty))" /e /r /s</v>
      </c>
      <c r="AG179" s="1" t="str">
        <f t="shared" si="53"/>
        <v>NW</v>
      </c>
      <c r="AH179" s="86" t="str">
        <f t="shared" si="54"/>
        <v>"%USERPROFILE%\Documents\GitHub\eaglep3\Utilities\RefineRTDCRunTimes.py" --tripid 1819-26 --locoid 4007 --swversion DE.1.0.9.0 --startMP 204:1035 --initTime 2017-02-26T15:18:36 --startdatetime 2017-02-26T15:21:16 --delay 1 --endMP 300:58935 --enddatetime 2017-02-26T15:34:24 --enforcementcount 1 &gt;&gt;C:\Users\stu\Documents\GitHub\eaglep3-reporting\EC\2017-02-26-refined-times.txt</v>
      </c>
      <c r="AI179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{"issue":{"subject":"","project_id":79,"tracker_id":40,"status_id":1,"priority_id":2,"assigned_to_id":23,"start_date":"2017-02-26","description":"","custom_fields":[{"id":1,"name":"Subdivision","value":"NW"},{"id":4,"name":"Milepost","value":"5.8935"},{"id":17,"name":"Train ID","value":"1819-26"},{"id":16,"name":"Locomotive ID","value":"4007"},{"id":130,"name":"Impact","value":""},{"id":150,"name":"Time of Event (Mountain Time)","value":"15:34:24"},{"id":151,"name":"Denver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56"/>
        <v>start /low /b %USERPROFILE%\Documents\GitHub\eaglep3\Utilities\DownloadLogsFromS3.py --loco 4007 --day 2017-02-26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"%USERPROFILE%\AppData\Local\Temp\OnboardLogs"\RTDC4007\*4007*20170226* | grep -SE "(Enforcement Action)|(\[TIMEOUT)|(CHR.+\|PRM\|1\|D.+(SWITCH|SIGNAL).+UNKNOWN)" - &gt;&gt; 2017-02-26-UncaughtWiMAX.txt</v>
      </c>
    </row>
    <row r="180" spans="1:40" x14ac:dyDescent="0.25">
      <c r="A180" s="33" t="s">
        <v>565</v>
      </c>
      <c r="B180" s="7">
        <v>4008</v>
      </c>
      <c r="C180" s="21" t="s">
        <v>285</v>
      </c>
      <c r="D180" s="21" t="s">
        <v>841</v>
      </c>
      <c r="E180" s="13">
        <v>42792.649629629632</v>
      </c>
      <c r="F180" s="13">
        <v>42792.651435185187</v>
      </c>
      <c r="G180" s="7">
        <v>1</v>
      </c>
      <c r="H180" s="21" t="s">
        <v>868</v>
      </c>
      <c r="I180" s="13">
        <v>42792.663854166669</v>
      </c>
      <c r="J180" s="7">
        <v>1</v>
      </c>
      <c r="K180" s="98" t="str">
        <f t="shared" si="39"/>
        <v>4007/4008</v>
      </c>
      <c r="L180" s="21" t="str">
        <f>VLOOKUP(A180,'Trips&amp;Operators'!$C$1:$G$99999,5,FALSE)</f>
        <v>HOLCOMB KAMDEN</v>
      </c>
      <c r="M180" s="6">
        <f t="shared" si="40"/>
        <v>1.2418981481459923E-2</v>
      </c>
      <c r="N180" s="7">
        <f t="shared" si="41"/>
        <v>17.883333333302289</v>
      </c>
      <c r="O180" s="7"/>
      <c r="P180" s="7"/>
      <c r="Q180" s="22"/>
      <c r="R180" s="22"/>
      <c r="S180" s="31">
        <f t="shared" si="42"/>
        <v>1</v>
      </c>
      <c r="T180" s="46" t="str">
        <f t="shared" si="43"/>
        <v>Southbound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44"/>
        <v>https://d0f6bd738d7f1b3e5a7ca70fe4ff75f0.us-east-1.aws.found.io/app/kibana#/discover/Steve-Slow-Train-Analysis-(2080s-and-2083s)?_g=(refreshInterval:(display:Off,pause:!f,section:0,value:0),time:(from:'2017-02-26T14:35:28-0700',mode:absolute,to:'2017-02-26T16:55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0" s="187" t="str">
        <f t="shared" si="45"/>
        <v>N</v>
      </c>
      <c r="X180" s="187">
        <f t="shared" si="46"/>
        <v>1</v>
      </c>
      <c r="Y180" s="62">
        <f t="shared" si="47"/>
        <v>5.8620999999999999</v>
      </c>
      <c r="Z180" s="62">
        <f t="shared" si="48"/>
        <v>7.1900000000000006E-2</v>
      </c>
      <c r="AA180" s="62">
        <f t="shared" si="49"/>
        <v>5.7901999999999996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0"/>
        <v>1820-26</v>
      </c>
      <c r="AE180" s="85" t="str">
        <f t="shared" si="51"/>
        <v>aws s3 cp s3://rtdc.mdm.uploadarchive.raw/RTDC4008/ "%USERPROFILE%\AppData\Local\Temp\OnboardLogs"\RTDC4008\2017-02-26 --exclude "*" --recursive --include "*20170226*" &amp; "%USERPROFILE%\Documents\GitHub\mrs-test-scripts\Headless Mode &amp; Sideloading\WalkAndUnGZ.bat" "%USERPROFILE%\AppData\Local\Temp\OnboardLogs"\RTDC4008\2017-02-26 &amp; aws s3 cp s3://rtdc.mdm.uploadarchive.raw/RTDC4008/ "%USERPROFILE%\AppData\Local\Temp\OnboardLogs"\RTDC4008\2017-02-27 --exclude "*" --recursive --include "*20170227*" &amp; "%USERPROFILE%\Documents\GitHub\mrs-test-scripts\Headless Mode &amp; Sideloading\WalkAndUnGZ.bat" "%USERPROFILE%\AppData\Local\Temp\OnboardLogs"\RTDC4008\2017-02-27</v>
      </c>
      <c r="AF180" s="82" t="str">
        <f t="shared" si="52"/>
        <v>"C:\Program Files (x86)\AstroGrep\AstroGrep.exe" /spath="%USERPROFILE%\AppData\Local\Temp\OnboardLogs" /stypes="app*4008*20170226*" /stext=" 22:.+((SYSTEM_STATE.+slice.+state.+changed )|(ment ac)|(multiple cpu faults)|(system.+state.+changed )|(\[timeout)|(PRM\|1\|D)|(kpr)|(kdp)|(\|lc)|(penalty))" /e /r /s</v>
      </c>
      <c r="AG180" s="1" t="str">
        <f t="shared" si="53"/>
        <v>NW</v>
      </c>
      <c r="AH180" s="86" t="str">
        <f t="shared" si="54"/>
        <v>"%USERPROFILE%\Documents\GitHub\eaglep3\Utilities\RefineRTDCRunTimes.py" --tripid 1820-26 --locoid 4008 --swversion DE.1.0.9.0 --startMP 300:58621 --initTime 2017-02-26T15:35:28 --startdatetime 2017-02-26T15:38:04 --delay 1 --endMP 204:719 --enddatetime 2017-02-26T15:55:57 --enforcementcount 1 &gt;&gt;C:\Users\stu\Documents\GitHub\eaglep3-reporting\EC\2017-02-26-refined-times.txt</v>
      </c>
      <c r="AI180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{"issue":{"subject":"","project_id":79,"tracker_id":40,"status_id":1,"priority_id":2,"assigned_to_id":23,"start_date":"2017-02-26","description":"","custom_fields":[{"id":1,"name":"Subdivision","value":"NW"},{"id":4,"name":"Milepost","value":"0.0719"},{"id":17,"name":"Train ID","value":"1820-26"},{"id":16,"name":"Locomotive ID","value":"4008"},{"id":130,"name":"Impact","value":""},{"id":150,"name":"Time of Event (Mountain Time)","value":"15:55:57"},{"id":151,"name":"Denver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56"/>
        <v>start /low /b %USERPROFILE%\Documents\GitHub\eaglep3\Utilities\DownloadLogsFromS3.py --loco 4008 --day 2017-02-26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"%USERPROFILE%\AppData\Local\Temp\OnboardLogs"\RTDC4008\*4008*20170226* | grep -SE "(Enforcement Action)|(\[TIMEOUT)|(CHR.+\|PRM\|1\|D.+(SWITCH|SIGNAL).+UNKNOWN)" - &gt;&gt; 2017-02-26-UncaughtWiMAX.txt</v>
      </c>
    </row>
    <row r="181" spans="1:40" x14ac:dyDescent="0.25">
      <c r="A181" s="33" t="s">
        <v>715</v>
      </c>
      <c r="B181" s="7">
        <v>4007</v>
      </c>
      <c r="C181" s="21" t="s">
        <v>285</v>
      </c>
      <c r="D181" s="21" t="s">
        <v>869</v>
      </c>
      <c r="E181" s="13">
        <v>42792.6799537037</v>
      </c>
      <c r="F181" s="13">
        <v>42792.681481481479</v>
      </c>
      <c r="G181" s="7">
        <v>1</v>
      </c>
      <c r="H181" s="21" t="s">
        <v>329</v>
      </c>
      <c r="I181" s="13">
        <v>42792.690370370372</v>
      </c>
      <c r="J181" s="7">
        <v>1</v>
      </c>
      <c r="K181" s="98" t="str">
        <f t="shared" si="39"/>
        <v>4007/4008</v>
      </c>
      <c r="L181" s="21" t="str">
        <f>VLOOKUP(A181,'Trips&amp;Operators'!$C$1:$G$99999,5,FALSE)</f>
        <v>HELVIE ADAM</v>
      </c>
      <c r="M181" s="6">
        <f t="shared" si="40"/>
        <v>8.8888888931251131E-3</v>
      </c>
      <c r="N181" s="7">
        <f t="shared" si="41"/>
        <v>12.800000006100163</v>
      </c>
      <c r="O181" s="7"/>
      <c r="P181" s="7"/>
      <c r="Q181" s="22"/>
      <c r="R181" s="22"/>
      <c r="S181" s="31">
        <f t="shared" si="42"/>
        <v>1</v>
      </c>
      <c r="T181" s="46" t="str">
        <f t="shared" si="43"/>
        <v>NorthBound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44"/>
        <v>https://d0f6bd738d7f1b3e5a7ca70fe4ff75f0.us-east-1.aws.found.io/app/kibana#/discover/Steve-Slow-Train-Analysis-(2080s-and-2083s)?_g=(refreshInterval:(display:Off,pause:!f,section:0,value:0),time:(from:'2017-02-26T15:19:08-0700',mode:absolute,to:'2017-02-26T17:34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1" s="187" t="str">
        <f t="shared" si="45"/>
        <v>N</v>
      </c>
      <c r="X181" s="187">
        <f t="shared" si="46"/>
        <v>1</v>
      </c>
      <c r="Y181" s="62">
        <f t="shared" si="47"/>
        <v>0.1009</v>
      </c>
      <c r="Z181" s="62">
        <f t="shared" si="48"/>
        <v>5.8939000000000004</v>
      </c>
      <c r="AA181" s="62">
        <f t="shared" si="49"/>
        <v>5.7930000000000001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0"/>
        <v>1821-26</v>
      </c>
      <c r="AE181" s="85" t="str">
        <f t="shared" si="51"/>
        <v>aws s3 cp s3://rtdc.mdm.uploadarchive.raw/RTDC4007/ "%USERPROFILE%\AppData\Local\Temp\OnboardLogs"\RTDC4007\2017-02-26 --exclude "*" --recursive --include "*20170226*" &amp; "%USERPROFILE%\Documents\GitHub\mrs-test-scripts\Headless Mode &amp; Sideloading\WalkAndUnGZ.bat" "%USERPROFILE%\AppData\Local\Temp\OnboardLogs"\RTDC4007\2017-02-26 &amp; aws s3 cp s3://rtdc.mdm.uploadarchive.raw/RTDC4007/ "%USERPROFILE%\AppData\Local\Temp\OnboardLogs"\RTDC4007\2017-02-27 --exclude "*" --recursive --include "*20170227*" &amp; "%USERPROFILE%\Documents\GitHub\mrs-test-scripts\Headless Mode &amp; Sideloading\WalkAndUnGZ.bat" "%USERPROFILE%\AppData\Local\Temp\OnboardLogs"\RTDC4007\2017-02-27</v>
      </c>
      <c r="AF181" s="82" t="str">
        <f t="shared" si="52"/>
        <v>"C:\Program Files (x86)\AstroGrep\AstroGrep.exe" /spath="%USERPROFILE%\AppData\Local\Temp\OnboardLogs" /stypes="app*4007*20170226*" /stext=" 23:.+((SYSTEM_STATE.+slice.+state.+changed )|(ment ac)|(multiple cpu faults)|(system.+state.+changed )|(\[timeout)|(PRM\|1\|D)|(kpr)|(kdp)|(\|lc)|(penalty))" /e /r /s</v>
      </c>
      <c r="AG181" s="1" t="str">
        <f t="shared" si="53"/>
        <v>NW</v>
      </c>
      <c r="AH181" s="86" t="str">
        <f t="shared" si="54"/>
        <v>"%USERPROFILE%\Documents\GitHub\eaglep3\Utilities\RefineRTDCRunTimes.py" --tripid 1821-26 --locoid 4007 --swversion DE.1.0.9.0 --startMP 204:1009 --initTime 2017-02-26T16:19:08 --startdatetime 2017-02-26T16:21:20 --delay 1 --endMP 300:58939 --enddatetime 2017-02-26T16:34:08 --enforcementcount 1 &gt;&gt;C:\Users\stu\Documents\GitHub\eaglep3-reporting\EC\2017-02-26-refined-times.txt</v>
      </c>
      <c r="AI181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{"issue":{"subject":"","project_id":79,"tracker_id":40,"status_id":1,"priority_id":2,"assigned_to_id":23,"start_date":"2017-02-26","description":"","custom_fields":[{"id":1,"name":"Subdivision","value":"NW"},{"id":4,"name":"Milepost","value":"5.8939"},{"id":17,"name":"Train ID","value":"1821-26"},{"id":16,"name":"Locomotive ID","value":"4007"},{"id":130,"name":"Impact","value":""},{"id":150,"name":"Time of Event (Mountain Time)","value":"16:34:08"},{"id":151,"name":"Denver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56"/>
        <v>start /low /b %USERPROFILE%\Documents\GitHub\eaglep3\Utilities\DownloadLogsFromS3.py --loco 4007 --day 2017-02-26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"%USERPROFILE%\AppData\Local\Temp\OnboardLogs"\RTDC4007\*4007*20170226* | grep -SE "(Enforcement Action)|(\[TIMEOUT)|(CHR.+\|PRM\|1\|D.+(SWITCH|SIGNAL).+UNKNOWN)" - &gt;&gt; 2017-02-26-UncaughtWiMAX.txt</v>
      </c>
    </row>
    <row r="182" spans="1:40" x14ac:dyDescent="0.25">
      <c r="A182" s="33" t="s">
        <v>718</v>
      </c>
      <c r="B182" s="7">
        <v>4008</v>
      </c>
      <c r="C182" s="21" t="s">
        <v>285</v>
      </c>
      <c r="D182" s="21" t="s">
        <v>861</v>
      </c>
      <c r="E182" s="13">
        <v>42792.691805555558</v>
      </c>
      <c r="F182" s="13">
        <v>42792.694641203707</v>
      </c>
      <c r="G182" s="7">
        <v>1</v>
      </c>
      <c r="H182" s="21" t="s">
        <v>330</v>
      </c>
      <c r="I182" s="13">
        <v>42792.704328703701</v>
      </c>
      <c r="J182" s="7">
        <v>1</v>
      </c>
      <c r="K182" s="98" t="str">
        <f t="shared" si="39"/>
        <v>4007/4008</v>
      </c>
      <c r="L182" s="21" t="str">
        <f>VLOOKUP(A182,'Trips&amp;Operators'!$C$1:$G$99999,5,FALSE)</f>
        <v>HELVIE ADAM</v>
      </c>
      <c r="M182" s="6">
        <f t="shared" si="40"/>
        <v>9.6874999944702722E-3</v>
      </c>
      <c r="N182" s="7">
        <f t="shared" si="41"/>
        <v>13.949999992037192</v>
      </c>
      <c r="O182" s="7"/>
      <c r="P182" s="7"/>
      <c r="Q182" s="22"/>
      <c r="R182" s="22"/>
      <c r="S182" s="31">
        <f t="shared" si="42"/>
        <v>1</v>
      </c>
      <c r="T182" s="46" t="str">
        <f t="shared" si="43"/>
        <v>Southbound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44"/>
        <v>https://d0f6bd738d7f1b3e5a7ca70fe4ff75f0.us-east-1.aws.found.io/app/kibana#/discover/Steve-Slow-Train-Analysis-(2080s-and-2083s)?_g=(refreshInterval:(display:Off,pause:!f,section:0,value:0),time:(from:'2017-02-26T15:36:12-0700',mode:absolute,to:'2017-02-26T17:54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2" s="187" t="str">
        <f t="shared" si="45"/>
        <v>N</v>
      </c>
      <c r="X182" s="187">
        <f t="shared" si="46"/>
        <v>1</v>
      </c>
      <c r="Y182" s="62">
        <f t="shared" si="47"/>
        <v>5.8623000000000003</v>
      </c>
      <c r="Z182" s="62">
        <f t="shared" si="48"/>
        <v>7.0099999999999996E-2</v>
      </c>
      <c r="AA182" s="62">
        <f t="shared" si="49"/>
        <v>5.7922000000000002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0"/>
        <v>1822-26</v>
      </c>
      <c r="AE182" s="85" t="str">
        <f t="shared" si="51"/>
        <v>aws s3 cp s3://rtdc.mdm.uploadarchive.raw/RTDC4008/ "%USERPROFILE%\AppData\Local\Temp\OnboardLogs"\RTDC4008\2017-02-26 --exclude "*" --recursive --include "*20170226*" &amp; "%USERPROFILE%\Documents\GitHub\mrs-test-scripts\Headless Mode &amp; Sideloading\WalkAndUnGZ.bat" "%USERPROFILE%\AppData\Local\Temp\OnboardLogs"\RTDC4008\2017-02-26 &amp; aws s3 cp s3://rtdc.mdm.uploadarchive.raw/RTDC4008/ "%USERPROFILE%\AppData\Local\Temp\OnboardLogs"\RTDC4008\2017-02-27 --exclude "*" --recursive --include "*20170227*" &amp; "%USERPROFILE%\Documents\GitHub\mrs-test-scripts\Headless Mode &amp; Sideloading\WalkAndUnGZ.bat" "%USERPROFILE%\AppData\Local\Temp\OnboardLogs"\RTDC4008\2017-02-27</v>
      </c>
      <c r="AF182" s="82" t="str">
        <f t="shared" si="52"/>
        <v>"C:\Program Files (x86)\AstroGrep\AstroGrep.exe" /spath="%USERPROFILE%\AppData\Local\Temp\OnboardLogs" /stypes="app*4008*20170226*" /stext=" 23:.+((SYSTEM_STATE.+slice.+state.+changed )|(ment ac)|(multiple cpu faults)|(system.+state.+changed )|(\[timeout)|(PRM\|1\|D)|(kpr)|(kdp)|(\|lc)|(penalty))" /e /r /s</v>
      </c>
      <c r="AG182" s="1" t="str">
        <f t="shared" si="53"/>
        <v>NW</v>
      </c>
      <c r="AH182" s="86" t="str">
        <f t="shared" si="54"/>
        <v>"%USERPROFILE%\Documents\GitHub\eaglep3\Utilities\RefineRTDCRunTimes.py" --tripid 1822-26 --locoid 4008 --swversion DE.1.0.9.0 --startMP 300:58623 --initTime 2017-02-26T16:36:12 --startdatetime 2017-02-26T16:40:17 --delay 1 --endMP 204:701 --enddatetime 2017-02-26T16:54:14 --enforcementcount 1 &gt;&gt;C:\Users\stu\Documents\GitHub\eaglep3-reporting\EC\2017-02-26-refined-times.txt</v>
      </c>
      <c r="AI182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{"issue":{"subject":"","project_id":79,"tracker_id":40,"status_id":1,"priority_id":2,"assigned_to_id":23,"start_date":"2017-02-26","description":"","custom_fields":[{"id":1,"name":"Subdivision","value":"NW"},{"id":4,"name":"Milepost","value":"0.0701"},{"id":17,"name":"Train ID","value":"1822-26"},{"id":16,"name":"Locomotive ID","value":"4008"},{"id":130,"name":"Impact","value":""},{"id":150,"name":"Time of Event (Mountain Time)","value":"16:54:14"},{"id":151,"name":"Denver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56"/>
        <v>start /low /b %USERPROFILE%\Documents\GitHub\eaglep3\Utilities\DownloadLogsFromS3.py --loco 4008 --day 2017-02-26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"%USERPROFILE%\AppData\Local\Temp\OnboardLogs"\RTDC4008\*4008*20170226* | grep -SE "(Enforcement Action)|(\[TIMEOUT)|(CHR.+\|PRM\|1\|D.+(SWITCH|SIGNAL).+UNKNOWN)" - &gt;&gt; 2017-02-26-UncaughtWiMAX.txt</v>
      </c>
    </row>
    <row r="183" spans="1:40" x14ac:dyDescent="0.25">
      <c r="A183" s="33" t="s">
        <v>725</v>
      </c>
      <c r="B183" s="7">
        <v>4007</v>
      </c>
      <c r="C183" s="21" t="s">
        <v>285</v>
      </c>
      <c r="D183" s="21" t="s">
        <v>870</v>
      </c>
      <c r="E183" s="13">
        <v>42792.721516203703</v>
      </c>
      <c r="F183" s="13">
        <v>42792.72314814815</v>
      </c>
      <c r="G183" s="7">
        <v>1</v>
      </c>
      <c r="H183" s="21" t="s">
        <v>329</v>
      </c>
      <c r="I183" s="13">
        <v>42792.732395833336</v>
      </c>
      <c r="J183" s="7">
        <v>1</v>
      </c>
      <c r="K183" s="98" t="str">
        <f t="shared" si="39"/>
        <v>4007/4008</v>
      </c>
      <c r="L183" s="21" t="str">
        <f>VLOOKUP(A183,'Trips&amp;Operators'!$C$1:$G$99999,5,FALSE)</f>
        <v>HELVIE ADAM</v>
      </c>
      <c r="M183" s="6">
        <f t="shared" si="40"/>
        <v>9.2476851859828457E-3</v>
      </c>
      <c r="N183" s="7">
        <f t="shared" si="41"/>
        <v>13.316666667815298</v>
      </c>
      <c r="O183" s="7"/>
      <c r="P183" s="7"/>
      <c r="Q183" s="22"/>
      <c r="R183" s="22"/>
      <c r="S183" s="31">
        <f t="shared" si="42"/>
        <v>1</v>
      </c>
      <c r="T183" s="46" t="str">
        <f t="shared" si="43"/>
        <v>NorthBound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44"/>
        <v>https://d0f6bd738d7f1b3e5a7ca70fe4ff75f0.us-east-1.aws.found.io/app/kibana#/discover/Steve-Slow-Train-Analysis-(2080s-and-2083s)?_g=(refreshInterval:(display:Off,pause:!f,section:0,value:0),time:(from:'2017-02-26T16:18:59-0700',mode:absolute,to:'2017-02-26T18:34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3" s="187" t="str">
        <f t="shared" si="45"/>
        <v>N</v>
      </c>
      <c r="X183" s="187">
        <f t="shared" si="46"/>
        <v>1</v>
      </c>
      <c r="Y183" s="62">
        <f t="shared" si="47"/>
        <v>9.7900000000000001E-2</v>
      </c>
      <c r="Z183" s="62">
        <f t="shared" si="48"/>
        <v>5.8939000000000004</v>
      </c>
      <c r="AA183" s="62">
        <f t="shared" si="49"/>
        <v>5.7960000000000003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0"/>
        <v>1823-26</v>
      </c>
      <c r="AE183" s="85" t="str">
        <f t="shared" si="51"/>
        <v>aws s3 cp s3://rtdc.mdm.uploadarchive.raw/RTDC4007/ "%USERPROFILE%\AppData\Local\Temp\OnboardLogs"\RTDC4007\2017-02-26 --exclude "*" --recursive --include "*20170226*" &amp; "%USERPROFILE%\Documents\GitHub\mrs-test-scripts\Headless Mode &amp; Sideloading\WalkAndUnGZ.bat" "%USERPROFILE%\AppData\Local\Temp\OnboardLogs"\RTDC4007\2017-02-26 &amp; aws s3 cp s3://rtdc.mdm.uploadarchive.raw/RTDC4007/ "%USERPROFILE%\AppData\Local\Temp\OnboardLogs"\RTDC4007\2017-02-27 --exclude "*" --recursive --include "*20170227*" &amp; "%USERPROFILE%\Documents\GitHub\mrs-test-scripts\Headless Mode &amp; Sideloading\WalkAndUnGZ.bat" "%USERPROFILE%\AppData\Local\Temp\OnboardLogs"\RTDC4007\2017-02-27</v>
      </c>
      <c r="AF183" s="82" t="str">
        <f t="shared" si="52"/>
        <v>"C:\Program Files (x86)\AstroGrep\AstroGrep.exe" /spath="%USERPROFILE%\AppData\Local\Temp\OnboardLogs" /stypes="app*4007*20170227*" /stext=" 00:.+((SYSTEM_STATE.+slice.+state.+changed )|(ment ac)|(multiple cpu faults)|(system.+state.+changed )|(\[timeout)|(PRM\|1\|D)|(kpr)|(kdp)|(\|lc)|(penalty))" /e /r /s</v>
      </c>
      <c r="AG183" s="1" t="str">
        <f t="shared" si="53"/>
        <v>NW</v>
      </c>
      <c r="AH183" s="86" t="str">
        <f t="shared" si="54"/>
        <v>"%USERPROFILE%\Documents\GitHub\eaglep3\Utilities\RefineRTDCRunTimes.py" --tripid 1823-26 --locoid 4007 --swversion DE.1.0.9.0 --startMP 204:979 --initTime 2017-02-26T17:18:59 --startdatetime 2017-02-26T17:21:20 --delay 1 --endMP 300:58939 --enddatetime 2017-02-26T17:34:39 --enforcementcount 1 &gt;&gt;C:\Users\stu\Documents\GitHub\eaglep3-reporting\EC\2017-02-26-refined-times.txt</v>
      </c>
      <c r="AI183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{"issue":{"subject":"","project_id":79,"tracker_id":40,"status_id":1,"priority_id":2,"assigned_to_id":23,"start_date":"2017-02-26","description":"","custom_fields":[{"id":1,"name":"Subdivision","value":"NW"},{"id":4,"name":"Milepost","value":"5.8939"},{"id":17,"name":"Train ID","value":"1823-26"},{"id":16,"name":"Locomotive ID","value":"4007"},{"id":130,"name":"Impact","value":""},{"id":150,"name":"Time of Event (Mountain Time)","value":"17:34:39"},{"id":151,"name":"Denver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56"/>
        <v>start /low /b %USERPROFILE%\Documents\GitHub\eaglep3\Utilities\DownloadLogsFromS3.py --loco 4007 --day 2017-02-26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"%USERPROFILE%\AppData\Local\Temp\OnboardLogs"\RTDC4007\*4007*20170227* | grep -SE "(Enforcement Action)|(\[TIMEOUT)|(CHR.+\|PRM\|1\|D.+(SWITCH|SIGNAL).+UNKNOWN)" - &gt;&gt; 2017-02-26-UncaughtWiMAX.txt</v>
      </c>
    </row>
    <row r="184" spans="1:40" x14ac:dyDescent="0.25">
      <c r="A184" s="33" t="s">
        <v>732</v>
      </c>
      <c r="B184" s="7">
        <v>4008</v>
      </c>
      <c r="C184" s="21" t="s">
        <v>285</v>
      </c>
      <c r="D184" s="21" t="s">
        <v>328</v>
      </c>
      <c r="E184" s="13">
        <v>42792.735219907408</v>
      </c>
      <c r="F184" s="13">
        <v>42792.73646990741</v>
      </c>
      <c r="G184" s="7">
        <v>1</v>
      </c>
      <c r="H184" s="21" t="s">
        <v>865</v>
      </c>
      <c r="I184" s="13">
        <v>42792.746122685188</v>
      </c>
      <c r="J184" s="7">
        <v>1</v>
      </c>
      <c r="K184" s="98" t="str">
        <f t="shared" si="39"/>
        <v>4007/4008</v>
      </c>
      <c r="L184" s="21" t="str">
        <f>VLOOKUP(A184,'Trips&amp;Operators'!$C$1:$G$99999,5,FALSE)</f>
        <v>HELVIE ADAM</v>
      </c>
      <c r="M184" s="6">
        <f t="shared" si="40"/>
        <v>9.6527777786832303E-3</v>
      </c>
      <c r="N184" s="7">
        <f t="shared" si="41"/>
        <v>13.900000001303852</v>
      </c>
      <c r="O184" s="7"/>
      <c r="P184" s="7"/>
      <c r="Q184" s="22"/>
      <c r="R184" s="22"/>
      <c r="S184" s="31">
        <f t="shared" si="42"/>
        <v>1</v>
      </c>
      <c r="T184" s="46" t="str">
        <f t="shared" si="43"/>
        <v>Southbound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44"/>
        <v>https://d0f6bd738d7f1b3e5a7ca70fe4ff75f0.us-east-1.aws.found.io/app/kibana#/discover/Steve-Slow-Train-Analysis-(2080s-and-2083s)?_g=(refreshInterval:(display:Off,pause:!f,section:0,value:0),time:(from:'2017-02-26T16:38:43-0700',mode:absolute,to:'2017-02-26T18:54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4" s="187" t="str">
        <f t="shared" si="45"/>
        <v>N</v>
      </c>
      <c r="X184" s="187">
        <f t="shared" si="46"/>
        <v>1</v>
      </c>
      <c r="Y184" s="62">
        <f t="shared" si="47"/>
        <v>5.8616999999999999</v>
      </c>
      <c r="Z184" s="62">
        <f t="shared" si="48"/>
        <v>7.4999999999999997E-2</v>
      </c>
      <c r="AA184" s="62">
        <f t="shared" si="49"/>
        <v>5.7866999999999997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0"/>
        <v>1824-26</v>
      </c>
      <c r="AE184" s="85" t="str">
        <f t="shared" si="51"/>
        <v>aws s3 cp s3://rtdc.mdm.uploadarchive.raw/RTDC4008/ "%USERPROFILE%\AppData\Local\Temp\OnboardLogs"\RTDC4008\2017-02-26 --exclude "*" --recursive --include "*20170226*" &amp; "%USERPROFILE%\Documents\GitHub\mrs-test-scripts\Headless Mode &amp; Sideloading\WalkAndUnGZ.bat" "%USERPROFILE%\AppData\Local\Temp\OnboardLogs"\RTDC4008\2017-02-26 &amp; aws s3 cp s3://rtdc.mdm.uploadarchive.raw/RTDC4008/ "%USERPROFILE%\AppData\Local\Temp\OnboardLogs"\RTDC4008\2017-02-27 --exclude "*" --recursive --include "*20170227*" &amp; "%USERPROFILE%\Documents\GitHub\mrs-test-scripts\Headless Mode &amp; Sideloading\WalkAndUnGZ.bat" "%USERPROFILE%\AppData\Local\Temp\OnboardLogs"\RTDC4008\2017-02-27</v>
      </c>
      <c r="AF184" s="82" t="str">
        <f t="shared" si="52"/>
        <v>"C:\Program Files (x86)\AstroGrep\AstroGrep.exe" /spath="%USERPROFILE%\AppData\Local\Temp\OnboardLogs" /stypes="app*4008*20170227*" /stext=" 00:.+((SYSTEM_STATE.+slice.+state.+changed )|(ment ac)|(multiple cpu faults)|(system.+state.+changed )|(\[timeout)|(PRM\|1\|D)|(kpr)|(kdp)|(\|lc)|(penalty))" /e /r /s</v>
      </c>
      <c r="AG184" s="1" t="str">
        <f t="shared" si="53"/>
        <v>NW</v>
      </c>
      <c r="AH184" s="86" t="str">
        <f t="shared" si="54"/>
        <v>"%USERPROFILE%\Documents\GitHub\eaglep3\Utilities\RefineRTDCRunTimes.py" --tripid 1824-26 --locoid 4008 --swversion DE.1.0.9.0 --startMP 300:58617 --initTime 2017-02-26T17:38:43 --startdatetime 2017-02-26T17:40:31 --delay 1 --endMP 204:750 --enddatetime 2017-02-26T17:54:25 --enforcementcount 1 &gt;&gt;C:\Users\stu\Documents\GitHub\eaglep3-reporting\EC\2017-02-26-refined-times.txt</v>
      </c>
      <c r="AI184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{"issue":{"subject":"","project_id":79,"tracker_id":40,"status_id":1,"priority_id":2,"assigned_to_id":23,"start_date":"2017-02-26","description":"","custom_fields":[{"id":1,"name":"Subdivision","value":"NW"},{"id":4,"name":"Milepost","value":"0.075"},{"id":17,"name":"Train ID","value":"1824-26"},{"id":16,"name":"Locomotive ID","value":"4008"},{"id":130,"name":"Impact","value":""},{"id":150,"name":"Time of Event (Mountain Time)","value":"17:54:25"},{"id":151,"name":"Denver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56"/>
        <v>start /low /b %USERPROFILE%\Documents\GitHub\eaglep3\Utilities\DownloadLogsFromS3.py --loco 4008 --day 2017-02-26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"%USERPROFILE%\AppData\Local\Temp\OnboardLogs"\RTDC4008\*4008*20170227* | grep -SE "(Enforcement Action)|(\[TIMEOUT)|(CHR.+\|PRM\|1\|D.+(SWITCH|SIGNAL).+UNKNOWN)" - &gt;&gt; 2017-02-26-UncaughtWiMAX.txt</v>
      </c>
    </row>
    <row r="185" spans="1:40" x14ac:dyDescent="0.25">
      <c r="A185" s="33" t="s">
        <v>738</v>
      </c>
      <c r="B185" s="7">
        <v>4007</v>
      </c>
      <c r="C185" s="21" t="s">
        <v>285</v>
      </c>
      <c r="D185" s="21" t="s">
        <v>871</v>
      </c>
      <c r="E185" s="13">
        <v>42792.761678240742</v>
      </c>
      <c r="F185" s="13">
        <v>42792.765057870369</v>
      </c>
      <c r="G185" s="7">
        <v>0</v>
      </c>
      <c r="H185" s="21" t="s">
        <v>858</v>
      </c>
      <c r="I185" s="13">
        <v>42792.774363425924</v>
      </c>
      <c r="J185" s="7">
        <v>1</v>
      </c>
      <c r="K185" s="98" t="str">
        <f t="shared" si="39"/>
        <v>4007/4008</v>
      </c>
      <c r="L185" s="21" t="str">
        <f>VLOOKUP(A185,'Trips&amp;Operators'!$C$1:$G$99999,5,FALSE)</f>
        <v>HELVIE ADAM</v>
      </c>
      <c r="M185" s="6">
        <f t="shared" si="40"/>
        <v>9.3055555553291924E-3</v>
      </c>
      <c r="N185" s="7">
        <f t="shared" si="41"/>
        <v>13.399999999674037</v>
      </c>
      <c r="O185" s="7"/>
      <c r="P185" s="7"/>
      <c r="Q185" s="22"/>
      <c r="R185" s="22"/>
      <c r="S185" s="31">
        <f t="shared" si="42"/>
        <v>1</v>
      </c>
      <c r="T185" s="46" t="str">
        <f t="shared" si="43"/>
        <v>NorthBound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44"/>
        <v>https://d0f6bd738d7f1b3e5a7ca70fe4ff75f0.us-east-1.aws.found.io/app/kibana#/discover/Steve-Slow-Train-Analysis-(2080s-and-2083s)?_g=(refreshInterval:(display:Off,pause:!f,section:0,value:0),time:(from:'2017-02-26T17:16:49-0700',mode:absolute,to:'2017-02-26T19:35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5" s="187" t="str">
        <f t="shared" si="45"/>
        <v>N</v>
      </c>
      <c r="X185" s="187">
        <f t="shared" si="46"/>
        <v>1</v>
      </c>
      <c r="Y185" s="62">
        <f t="shared" si="47"/>
        <v>0.1037</v>
      </c>
      <c r="Z185" s="62">
        <f t="shared" si="48"/>
        <v>5.8936999999999999</v>
      </c>
      <c r="AA185" s="62">
        <f t="shared" si="49"/>
        <v>5.79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0"/>
        <v>1825-26</v>
      </c>
      <c r="AE185" s="85" t="str">
        <f t="shared" si="51"/>
        <v>aws s3 cp s3://rtdc.mdm.uploadarchive.raw/RTDC4007/ "%USERPROFILE%\AppData\Local\Temp\OnboardLogs"\RTDC4007\2017-02-26 --exclude "*" --recursive --include "*20170226*" &amp; "%USERPROFILE%\Documents\GitHub\mrs-test-scripts\Headless Mode &amp; Sideloading\WalkAndUnGZ.bat" "%USERPROFILE%\AppData\Local\Temp\OnboardLogs"\RTDC4007\2017-02-26 &amp; aws s3 cp s3://rtdc.mdm.uploadarchive.raw/RTDC4007/ "%USERPROFILE%\AppData\Local\Temp\OnboardLogs"\RTDC4007\2017-02-27 --exclude "*" --recursive --include "*20170227*" &amp; "%USERPROFILE%\Documents\GitHub\mrs-test-scripts\Headless Mode &amp; Sideloading\WalkAndUnGZ.bat" "%USERPROFILE%\AppData\Local\Temp\OnboardLogs"\RTDC4007\2017-02-27</v>
      </c>
      <c r="AF185" s="82" t="str">
        <f t="shared" si="52"/>
        <v>"C:\Program Files (x86)\AstroGrep\AstroGrep.exe" /spath="%USERPROFILE%\AppData\Local\Temp\OnboardLogs" /stypes="app*4007*20170227*" /stext=" 01:.+((SYSTEM_STATE.+slice.+state.+changed )|(ment ac)|(multiple cpu faults)|(system.+state.+changed )|(\[timeout)|(PRM\|1\|D)|(kpr)|(kdp)|(\|lc)|(penalty))" /e /r /s</v>
      </c>
      <c r="AG185" s="1" t="str">
        <f t="shared" si="53"/>
        <v>NW</v>
      </c>
      <c r="AH185" s="86" t="str">
        <f t="shared" si="54"/>
        <v>"%USERPROFILE%\Documents\GitHub\eaglep3\Utilities\RefineRTDCRunTimes.py" --tripid 1825-26 --locoid 4007 --swversion DE.1.0.9.0 --startMP 204:1037 --initTime 2017-02-26T18:16:49 --startdatetime 2017-02-26T18:21:41 --delay 0 --endMP 300:58937 --enddatetime 2017-02-26T18:35:05 --enforcementcount 1 &gt;&gt;C:\Users\stu\Documents\GitHub\eaglep3-reporting\EC\2017-02-26-refined-times.txt</v>
      </c>
      <c r="AI185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{"issue":{"subject":"","project_id":79,"tracker_id":40,"status_id":1,"priority_id":2,"assigned_to_id":23,"start_date":"2017-02-26","description":"","custom_fields":[{"id":1,"name":"Subdivision","value":"NW"},{"id":4,"name":"Milepost","value":"5.8937"},{"id":17,"name":"Train ID","value":"1825-26"},{"id":16,"name":"Locomotive ID","value":"4007"},{"id":130,"name":"Impact","value":""},{"id":150,"name":"Time of Event (Mountain Time)","value":"18:35:05"},{"id":151,"name":"Denver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56"/>
        <v>start /low /b %USERPROFILE%\Documents\GitHub\eaglep3\Utilities\DownloadLogsFromS3.py --loco 4007 --day 2017-02-26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"%USERPROFILE%\AppData\Local\Temp\OnboardLogs"\RTDC4007\*4007*20170227* | grep -SE "(Enforcement Action)|(\[TIMEOUT)|(CHR.+\|PRM\|1\|D.+(SWITCH|SIGNAL).+UNKNOWN)" - &gt;&gt; 2017-02-26-UncaughtWiMAX.txt</v>
      </c>
    </row>
    <row r="186" spans="1:40" x14ac:dyDescent="0.25">
      <c r="A186" s="33" t="s">
        <v>741</v>
      </c>
      <c r="B186" s="7">
        <v>4008</v>
      </c>
      <c r="C186" s="21" t="s">
        <v>285</v>
      </c>
      <c r="D186" s="21" t="s">
        <v>397</v>
      </c>
      <c r="E186" s="13">
        <v>42792.776030092595</v>
      </c>
      <c r="F186" s="13">
        <v>42792.778425925928</v>
      </c>
      <c r="G186" s="7">
        <v>1</v>
      </c>
      <c r="H186" s="21" t="s">
        <v>853</v>
      </c>
      <c r="I186" s="13">
        <v>42792.790092592593</v>
      </c>
      <c r="J186" s="7">
        <v>1</v>
      </c>
      <c r="K186" s="98" t="str">
        <f t="shared" si="39"/>
        <v>4007/4008</v>
      </c>
      <c r="L186" s="21" t="str">
        <f>VLOOKUP(A186,'Trips&amp;Operators'!$C$1:$G$99999,5,FALSE)</f>
        <v>HELVIE ADAM</v>
      </c>
      <c r="M186" s="6">
        <f t="shared" si="40"/>
        <v>1.1666666665405501E-2</v>
      </c>
      <c r="N186" s="7">
        <f t="shared" si="41"/>
        <v>16.799999998183921</v>
      </c>
      <c r="O186" s="7"/>
      <c r="P186" s="7"/>
      <c r="Q186" s="22"/>
      <c r="R186" s="22"/>
      <c r="S186" s="31">
        <f t="shared" si="42"/>
        <v>1</v>
      </c>
      <c r="T186" s="46" t="str">
        <f t="shared" si="43"/>
        <v>Southbound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44"/>
        <v>https://d0f6bd738d7f1b3e5a7ca70fe4ff75f0.us-east-1.aws.found.io/app/kibana#/discover/Steve-Slow-Train-Analysis-(2080s-and-2083s)?_g=(refreshInterval:(display:Off,pause:!f,section:0,value:0),time:(from:'2017-02-26T17:37:29-0700',mode:absolute,to:'2017-02-26T19:57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6" s="187" t="str">
        <f t="shared" si="45"/>
        <v>N</v>
      </c>
      <c r="X186" s="187">
        <f t="shared" si="46"/>
        <v>1</v>
      </c>
      <c r="Y186" s="62">
        <f t="shared" si="47"/>
        <v>5.8619000000000003</v>
      </c>
      <c r="Z186" s="62">
        <f t="shared" si="48"/>
        <v>7.5499999999999998E-2</v>
      </c>
      <c r="AA186" s="62">
        <f t="shared" si="49"/>
        <v>5.7864000000000004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0"/>
        <v>1826-26</v>
      </c>
      <c r="AE186" s="85" t="str">
        <f t="shared" si="51"/>
        <v>aws s3 cp s3://rtdc.mdm.uploadarchive.raw/RTDC4008/ "%USERPROFILE%\AppData\Local\Temp\OnboardLogs"\RTDC4008\2017-02-26 --exclude "*" --recursive --include "*20170226*" &amp; "%USERPROFILE%\Documents\GitHub\mrs-test-scripts\Headless Mode &amp; Sideloading\WalkAndUnGZ.bat" "%USERPROFILE%\AppData\Local\Temp\OnboardLogs"\RTDC4008\2017-02-26 &amp; aws s3 cp s3://rtdc.mdm.uploadarchive.raw/RTDC4008/ "%USERPROFILE%\AppData\Local\Temp\OnboardLogs"\RTDC4008\2017-02-27 --exclude "*" --recursive --include "*20170227*" &amp; "%USERPROFILE%\Documents\GitHub\mrs-test-scripts\Headless Mode &amp; Sideloading\WalkAndUnGZ.bat" "%USERPROFILE%\AppData\Local\Temp\OnboardLogs"\RTDC4008\2017-02-27</v>
      </c>
      <c r="AF186" s="82" t="str">
        <f t="shared" si="52"/>
        <v>"C:\Program Files (x86)\AstroGrep\AstroGrep.exe" /spath="%USERPROFILE%\AppData\Local\Temp\OnboardLogs" /stypes="app*4008*20170227*" /stext=" 01:.+((SYSTEM_STATE.+slice.+state.+changed )|(ment ac)|(multiple cpu faults)|(system.+state.+changed )|(\[timeout)|(PRM\|1\|D)|(kpr)|(kdp)|(\|lc)|(penalty))" /e /r /s</v>
      </c>
      <c r="AG186" s="1" t="str">
        <f t="shared" si="53"/>
        <v>NW</v>
      </c>
      <c r="AH186" s="86" t="str">
        <f t="shared" si="54"/>
        <v>"%USERPROFILE%\Documents\GitHub\eaglep3\Utilities\RefineRTDCRunTimes.py" --tripid 1826-26 --locoid 4008 --swversion DE.1.0.9.0 --startMP 300:58619 --initTime 2017-02-26T18:37:29 --startdatetime 2017-02-26T18:40:56 --delay 1 --endMP 204:755 --enddatetime 2017-02-26T18:57:44 --enforcementcount 1 &gt;&gt;C:\Users\stu\Documents\GitHub\eaglep3-reporting\EC\2017-02-26-refined-times.txt</v>
      </c>
      <c r="AI186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{"issue":{"subject":"","project_id":79,"tracker_id":40,"status_id":1,"priority_id":2,"assigned_to_id":23,"start_date":"2017-02-26","description":"","custom_fields":[{"id":1,"name":"Subdivision","value":"NW"},{"id":4,"name":"Milepost","value":"0.0755"},{"id":17,"name":"Train ID","value":"1826-26"},{"id":16,"name":"Locomotive ID","value":"4008"},{"id":130,"name":"Impact","value":""},{"id":150,"name":"Time of Event (Mountain Time)","value":"18:57:44"},{"id":151,"name":"Denver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56"/>
        <v>start /low /b %USERPROFILE%\Documents\GitHub\eaglep3\Utilities\DownloadLogsFromS3.py --loco 4008 --day 2017-02-26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"%USERPROFILE%\AppData\Local\Temp\OnboardLogs"\RTDC4008\*4008*20170227* | grep -SE "(Enforcement Action)|(\[TIMEOUT)|(CHR.+\|PRM\|1\|D.+(SWITCH|SIGNAL).+UNKNOWN)" - &gt;&gt; 2017-02-26-UncaughtWiMAX.txt</v>
      </c>
    </row>
    <row r="187" spans="1:40" x14ac:dyDescent="0.25">
      <c r="A187" s="33" t="s">
        <v>746</v>
      </c>
      <c r="B187" s="7">
        <v>4007</v>
      </c>
      <c r="C187" s="21" t="s">
        <v>285</v>
      </c>
      <c r="D187" s="21" t="s">
        <v>872</v>
      </c>
      <c r="E187" s="13">
        <v>42792.802743055552</v>
      </c>
      <c r="F187" s="13">
        <v>42792.806458333333</v>
      </c>
      <c r="G187" s="7">
        <v>1</v>
      </c>
      <c r="H187" s="21" t="s">
        <v>873</v>
      </c>
      <c r="I187" s="13">
        <v>42792.815868055557</v>
      </c>
      <c r="J187" s="7">
        <v>1</v>
      </c>
      <c r="K187" s="98" t="str">
        <f t="shared" si="39"/>
        <v>4007/4008</v>
      </c>
      <c r="L187" s="21" t="str">
        <f>VLOOKUP(A187,'Trips&amp;Operators'!$C$1:$G$99999,5,FALSE)</f>
        <v>MAGEE KENYA</v>
      </c>
      <c r="M187" s="6">
        <f t="shared" si="40"/>
        <v>9.4097222245181911E-3</v>
      </c>
      <c r="N187" s="7">
        <f t="shared" si="41"/>
        <v>13.550000003306195</v>
      </c>
      <c r="O187" s="7"/>
      <c r="P187" s="7"/>
      <c r="Q187" s="22"/>
      <c r="R187" s="22"/>
      <c r="S187" s="31">
        <f t="shared" si="42"/>
        <v>1</v>
      </c>
      <c r="T187" s="46" t="str">
        <f t="shared" si="43"/>
        <v>NorthBound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44"/>
        <v>https://d0f6bd738d7f1b3e5a7ca70fe4ff75f0.us-east-1.aws.found.io/app/kibana#/discover/Steve-Slow-Train-Analysis-(2080s-and-2083s)?_g=(refreshInterval:(display:Off,pause:!f,section:0,value:0),time:(from:'2017-02-26T18:15:57-0700',mode:absolute,to:'2017-02-26T20:34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7" s="187" t="str">
        <f t="shared" si="45"/>
        <v>N</v>
      </c>
      <c r="X187" s="187">
        <f t="shared" si="46"/>
        <v>1</v>
      </c>
      <c r="Y187" s="62">
        <f t="shared" si="47"/>
        <v>0.1069</v>
      </c>
      <c r="Z187" s="62">
        <f t="shared" si="48"/>
        <v>5.8958000000000004</v>
      </c>
      <c r="AA187" s="62">
        <f t="shared" si="49"/>
        <v>5.7888999999999999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0"/>
        <v>1827-26</v>
      </c>
      <c r="AE187" s="85" t="str">
        <f t="shared" si="51"/>
        <v>aws s3 cp s3://rtdc.mdm.uploadarchive.raw/RTDC4007/ "%USERPROFILE%\AppData\Local\Temp\OnboardLogs"\RTDC4007\2017-02-26 --exclude "*" --recursive --include "*20170226*" &amp; "%USERPROFILE%\Documents\GitHub\mrs-test-scripts\Headless Mode &amp; Sideloading\WalkAndUnGZ.bat" "%USERPROFILE%\AppData\Local\Temp\OnboardLogs"\RTDC4007\2017-02-26 &amp; aws s3 cp s3://rtdc.mdm.uploadarchive.raw/RTDC4007/ "%USERPROFILE%\AppData\Local\Temp\OnboardLogs"\RTDC4007\2017-02-27 --exclude "*" --recursive --include "*20170227*" &amp; "%USERPROFILE%\Documents\GitHub\mrs-test-scripts\Headless Mode &amp; Sideloading\WalkAndUnGZ.bat" "%USERPROFILE%\AppData\Local\Temp\OnboardLogs"\RTDC4007\2017-02-27</v>
      </c>
      <c r="AF187" s="82" t="str">
        <f t="shared" si="52"/>
        <v>"C:\Program Files (x86)\AstroGrep\AstroGrep.exe" /spath="%USERPROFILE%\AppData\Local\Temp\OnboardLogs" /stypes="app*4007*20170227*" /stext=" 02:.+((SYSTEM_STATE.+slice.+state.+changed )|(ment ac)|(multiple cpu faults)|(system.+state.+changed )|(\[timeout)|(PRM\|1\|D)|(kpr)|(kdp)|(\|lc)|(penalty))" /e /r /s</v>
      </c>
      <c r="AG187" s="1" t="str">
        <f t="shared" si="53"/>
        <v>NW</v>
      </c>
      <c r="AH187" s="86" t="str">
        <f t="shared" si="54"/>
        <v>"%USERPROFILE%\Documents\GitHub\eaglep3\Utilities\RefineRTDCRunTimes.py" --tripid 1827-26 --locoid 4007 --swversion DE.1.0.9.0 --startMP 204:1069 --initTime 2017-02-26T19:15:57 --startdatetime 2017-02-26T19:21:18 --delay 1 --endMP 300:58958 --enddatetime 2017-02-26T19:34:51 --enforcementcount 1 &gt;&gt;C:\Users\stu\Documents\GitHub\eaglep3-reporting\EC\2017-02-26-refined-times.txt</v>
      </c>
      <c r="AI187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{"issue":{"subject":"","project_id":79,"tracker_id":40,"status_id":1,"priority_id":2,"assigned_to_id":23,"start_date":"2017-02-26","description":"","custom_fields":[{"id":1,"name":"Subdivision","value":"NW"},{"id":4,"name":"Milepost","value":"5.8958"},{"id":17,"name":"Train ID","value":"1827-26"},{"id":16,"name":"Locomotive ID","value":"4007"},{"id":130,"name":"Impact","value":""},{"id":150,"name":"Time of Event (Mountain Time)","value":"19:34:51"},{"id":151,"name":"Denver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56"/>
        <v>start /low /b %USERPROFILE%\Documents\GitHub\eaglep3\Utilities\DownloadLogsFromS3.py --loco 4007 --day 2017-02-26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"%USERPROFILE%\AppData\Local\Temp\OnboardLogs"\RTDC4007\*4007*20170227* | grep -SE "(Enforcement Action)|(\[TIMEOUT)|(CHR.+\|PRM\|1\|D.+(SWITCH|SIGNAL).+UNKNOWN)" - &gt;&gt; 2017-02-26-UncaughtWiMAX.txt</v>
      </c>
    </row>
    <row r="188" spans="1:40" x14ac:dyDescent="0.25">
      <c r="A188" s="33" t="s">
        <v>750</v>
      </c>
      <c r="B188" s="7">
        <v>4008</v>
      </c>
      <c r="C188" s="21" t="s">
        <v>285</v>
      </c>
      <c r="D188" s="21" t="s">
        <v>874</v>
      </c>
      <c r="E188" s="13">
        <v>42792.81690972222</v>
      </c>
      <c r="F188" s="13">
        <v>42792.818773148145</v>
      </c>
      <c r="G188" s="7">
        <v>1</v>
      </c>
      <c r="H188" s="21" t="s">
        <v>399</v>
      </c>
      <c r="I188" s="13">
        <v>42792.830451388887</v>
      </c>
      <c r="J188" s="7">
        <v>1</v>
      </c>
      <c r="K188" s="98" t="str">
        <f t="shared" si="39"/>
        <v>4007/4008</v>
      </c>
      <c r="L188" s="21" t="str">
        <f>VLOOKUP(A188,'Trips&amp;Operators'!$C$1:$G$99999,5,FALSE)</f>
        <v>MAGEE KENYA</v>
      </c>
      <c r="M188" s="6">
        <f t="shared" si="40"/>
        <v>1.1678240742185153E-2</v>
      </c>
      <c r="N188" s="7">
        <f t="shared" si="41"/>
        <v>16.81666666874662</v>
      </c>
      <c r="O188" s="7"/>
      <c r="P188" s="7"/>
      <c r="Q188" s="22"/>
      <c r="R188" s="22"/>
      <c r="S188" s="31">
        <f t="shared" si="42"/>
        <v>1</v>
      </c>
      <c r="T188" s="46" t="str">
        <f t="shared" si="43"/>
        <v>Southbound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44"/>
        <v>https://d0f6bd738d7f1b3e5a7ca70fe4ff75f0.us-east-1.aws.found.io/app/kibana#/discover/Steve-Slow-Train-Analysis-(2080s-and-2083s)?_g=(refreshInterval:(display:Off,pause:!f,section:0,value:0),time:(from:'2017-02-26T18:36:21-0700',mode:absolute,to:'2017-02-26T20:55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8" s="187" t="str">
        <f t="shared" si="45"/>
        <v>N</v>
      </c>
      <c r="X188" s="187">
        <f t="shared" si="46"/>
        <v>1</v>
      </c>
      <c r="Y188" s="62">
        <f t="shared" si="47"/>
        <v>5.8651</v>
      </c>
      <c r="Z188" s="62">
        <f t="shared" si="48"/>
        <v>7.0499999999999993E-2</v>
      </c>
      <c r="AA188" s="62">
        <f t="shared" si="49"/>
        <v>5.7946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0"/>
        <v>1828-26</v>
      </c>
      <c r="AE188" s="85" t="str">
        <f t="shared" si="51"/>
        <v>aws s3 cp s3://rtdc.mdm.uploadarchive.raw/RTDC4008/ "%USERPROFILE%\AppData\Local\Temp\OnboardLogs"\RTDC4008\2017-02-26 --exclude "*" --recursive --include "*20170226*" &amp; "%USERPROFILE%\Documents\GitHub\mrs-test-scripts\Headless Mode &amp; Sideloading\WalkAndUnGZ.bat" "%USERPROFILE%\AppData\Local\Temp\OnboardLogs"\RTDC4008\2017-02-26 &amp; aws s3 cp s3://rtdc.mdm.uploadarchive.raw/RTDC4008/ "%USERPROFILE%\AppData\Local\Temp\OnboardLogs"\RTDC4008\2017-02-27 --exclude "*" --recursive --include "*20170227*" &amp; "%USERPROFILE%\Documents\GitHub\mrs-test-scripts\Headless Mode &amp; Sideloading\WalkAndUnGZ.bat" "%USERPROFILE%\AppData\Local\Temp\OnboardLogs"\RTDC4008\2017-02-27</v>
      </c>
      <c r="AF188" s="82" t="str">
        <f t="shared" si="52"/>
        <v>"C:\Program Files (x86)\AstroGrep\AstroGrep.exe" /spath="%USERPROFILE%\AppData\Local\Temp\OnboardLogs" /stypes="app*4008*20170227*" /stext=" 02:.+((SYSTEM_STATE.+slice.+state.+changed )|(ment ac)|(multiple cpu faults)|(system.+state.+changed )|(\[timeout)|(PRM\|1\|D)|(kpr)|(kdp)|(\|lc)|(penalty))" /e /r /s</v>
      </c>
      <c r="AG188" s="1" t="str">
        <f t="shared" si="53"/>
        <v>NW</v>
      </c>
      <c r="AH188" s="86" t="str">
        <f t="shared" si="54"/>
        <v>"%USERPROFILE%\Documents\GitHub\eaglep3\Utilities\RefineRTDCRunTimes.py" --tripid 1828-26 --locoid 4008 --swversion DE.1.0.9.0 --startMP 300:58651 --initTime 2017-02-26T19:36:21 --startdatetime 2017-02-26T19:39:02 --delay 1 --endMP 204:705 --enddatetime 2017-02-26T19:55:51 --enforcementcount 1 &gt;&gt;C:\Users\stu\Documents\GitHub\eaglep3-reporting\EC\2017-02-26-refined-times.txt</v>
      </c>
      <c r="AI188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{"issue":{"subject":"","project_id":79,"tracker_id":40,"status_id":1,"priority_id":2,"assigned_to_id":23,"start_date":"2017-02-26","description":"","custom_fields":[{"id":1,"name":"Subdivision","value":"NW"},{"id":4,"name":"Milepost","value":"0.0705"},{"id":17,"name":"Train ID","value":"1828-26"},{"id":16,"name":"Locomotive ID","value":"4008"},{"id":130,"name":"Impact","value":""},{"id":150,"name":"Time of Event (Mountain Time)","value":"19:55:51"},{"id":151,"name":"Denver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56"/>
        <v>start /low /b %USERPROFILE%\Documents\GitHub\eaglep3\Utilities\DownloadLogsFromS3.py --loco 4008 --day 2017-02-26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"%USERPROFILE%\AppData\Local\Temp\OnboardLogs"\RTDC4008\*4008*20170227* | grep -SE "(Enforcement Action)|(\[TIMEOUT)|(CHR.+\|PRM\|1\|D.+(SWITCH|SIGNAL).+UNKNOWN)" - &gt;&gt; 2017-02-26-UncaughtWiMAX.txt</v>
      </c>
    </row>
    <row r="189" spans="1:40" x14ac:dyDescent="0.25">
      <c r="A189" s="33" t="s">
        <v>756</v>
      </c>
      <c r="B189" s="7">
        <v>4007</v>
      </c>
      <c r="C189" s="21" t="s">
        <v>285</v>
      </c>
      <c r="D189" s="21" t="s">
        <v>313</v>
      </c>
      <c r="E189" s="13">
        <v>42792.844652777778</v>
      </c>
      <c r="F189" s="13">
        <v>42792.848136574074</v>
      </c>
      <c r="G189" s="7">
        <v>1</v>
      </c>
      <c r="H189" s="21" t="s">
        <v>860</v>
      </c>
      <c r="I189" s="13">
        <v>42792.857743055552</v>
      </c>
      <c r="J189" s="7">
        <v>1</v>
      </c>
      <c r="K189" s="98" t="str">
        <f t="shared" si="39"/>
        <v>4007/4008</v>
      </c>
      <c r="L189" s="21" t="str">
        <f>VLOOKUP(A189,'Trips&amp;Operators'!$C$1:$G$99999,5,FALSE)</f>
        <v>HELVIE ADAM</v>
      </c>
      <c r="M189" s="6">
        <f t="shared" si="40"/>
        <v>9.6064814788405783E-3</v>
      </c>
      <c r="N189" s="7">
        <f t="shared" si="41"/>
        <v>13.833333329530433</v>
      </c>
      <c r="O189" s="7"/>
      <c r="P189" s="7"/>
      <c r="Q189" s="22"/>
      <c r="R189" s="22"/>
      <c r="S189" s="31">
        <f t="shared" si="42"/>
        <v>1</v>
      </c>
      <c r="T189" s="46" t="str">
        <f t="shared" si="43"/>
        <v>NorthBound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44"/>
        <v>https://d0f6bd738d7f1b3e5a7ca70fe4ff75f0.us-east-1.aws.found.io/app/kibana#/discover/Steve-Slow-Train-Analysis-(2080s-and-2083s)?_g=(refreshInterval:(display:Off,pause:!f,section:0,value:0),time:(from:'2017-02-26T19:16:18-0700',mode:absolute,to:'2017-02-26T21:35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9" s="187" t="str">
        <f t="shared" si="45"/>
        <v>N</v>
      </c>
      <c r="X189" s="187">
        <f t="shared" si="46"/>
        <v>1</v>
      </c>
      <c r="Y189" s="62">
        <f t="shared" si="47"/>
        <v>9.8299999999999998E-2</v>
      </c>
      <c r="Z189" s="62">
        <f t="shared" si="48"/>
        <v>5.8945999999999996</v>
      </c>
      <c r="AA189" s="62">
        <f t="shared" si="49"/>
        <v>5.7962999999999996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0"/>
        <v>1829-26</v>
      </c>
      <c r="AE189" s="85" t="str">
        <f t="shared" si="51"/>
        <v>aws s3 cp s3://rtdc.mdm.uploadarchive.raw/RTDC4007/ "%USERPROFILE%\AppData\Local\Temp\OnboardLogs"\RTDC4007\2017-02-26 --exclude "*" --recursive --include "*20170226*" &amp; "%USERPROFILE%\Documents\GitHub\mrs-test-scripts\Headless Mode &amp; Sideloading\WalkAndUnGZ.bat" "%USERPROFILE%\AppData\Local\Temp\OnboardLogs"\RTDC4007\2017-02-26 &amp; aws s3 cp s3://rtdc.mdm.uploadarchive.raw/RTDC4007/ "%USERPROFILE%\AppData\Local\Temp\OnboardLogs"\RTDC4007\2017-02-27 --exclude "*" --recursive --include "*20170227*" &amp; "%USERPROFILE%\Documents\GitHub\mrs-test-scripts\Headless Mode &amp; Sideloading\WalkAndUnGZ.bat" "%USERPROFILE%\AppData\Local\Temp\OnboardLogs"\RTDC4007\2017-02-27</v>
      </c>
      <c r="AF189" s="82" t="str">
        <f t="shared" si="52"/>
        <v>"C:\Program Files (x86)\AstroGrep\AstroGrep.exe" /spath="%USERPROFILE%\AppData\Local\Temp\OnboardLogs" /stypes="app*4007*20170227*" /stext=" 03:.+((SYSTEM_STATE.+slice.+state.+changed )|(ment ac)|(multiple cpu faults)|(system.+state.+changed )|(\[timeout)|(PRM\|1\|D)|(kpr)|(kdp)|(\|lc)|(penalty))" /e /r /s</v>
      </c>
      <c r="AG189" s="1" t="str">
        <f t="shared" si="53"/>
        <v>NW</v>
      </c>
      <c r="AH189" s="86" t="str">
        <f t="shared" si="54"/>
        <v>"%USERPROFILE%\Documents\GitHub\eaglep3\Utilities\RefineRTDCRunTimes.py" --tripid 1829-26 --locoid 4007 --swversion DE.1.0.9.0 --startMP 204:983 --initTime 2017-02-26T20:16:18 --startdatetime 2017-02-26T20:21:19 --delay 1 --endMP 300:58946 --enddatetime 2017-02-26T20:35:09 --enforcementcount 1 &gt;&gt;C:\Users\stu\Documents\GitHub\eaglep3-reporting\EC\2017-02-26-refined-times.txt</v>
      </c>
      <c r="AI189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{"issue":{"subject":"","project_id":79,"tracker_id":40,"status_id":1,"priority_id":2,"assigned_to_id":23,"start_date":"2017-02-26","description":"","custom_fields":[{"id":1,"name":"Subdivision","value":"NW"},{"id":4,"name":"Milepost","value":"5.8946"},{"id":17,"name":"Train ID","value":"1829-26"},{"id":16,"name":"Locomotive ID","value":"4007"},{"id":130,"name":"Impact","value":""},{"id":150,"name":"Time of Event (Mountain Time)","value":"20:35:09"},{"id":151,"name":"Denver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56"/>
        <v>start /low /b %USERPROFILE%\Documents\GitHub\eaglep3\Utilities\DownloadLogsFromS3.py --loco 4007 --day 2017-02-26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"%USERPROFILE%\AppData\Local\Temp\OnboardLogs"\RTDC4007\*4007*20170227* | grep -SE "(Enforcement Action)|(\[TIMEOUT)|(CHR.+\|PRM\|1\|D.+(SWITCH|SIGNAL).+UNKNOWN)" - &gt;&gt; 2017-02-26-UncaughtWiMAX.txt</v>
      </c>
    </row>
    <row r="190" spans="1:40" x14ac:dyDescent="0.25">
      <c r="A190" s="33" t="s">
        <v>757</v>
      </c>
      <c r="B190" s="7">
        <v>4008</v>
      </c>
      <c r="C190" s="21" t="s">
        <v>285</v>
      </c>
      <c r="D190" s="21" t="s">
        <v>855</v>
      </c>
      <c r="E190" s="13">
        <v>42792.862314814818</v>
      </c>
      <c r="F190" s="13">
        <v>42792.864224537036</v>
      </c>
      <c r="G190" s="7">
        <v>1</v>
      </c>
      <c r="H190" s="21" t="s">
        <v>273</v>
      </c>
      <c r="I190" s="13">
        <v>42792.872858796298</v>
      </c>
      <c r="J190" s="7">
        <v>1</v>
      </c>
      <c r="K190" s="98" t="str">
        <f t="shared" si="39"/>
        <v>4007/4008</v>
      </c>
      <c r="L190" s="21" t="str">
        <f>VLOOKUP(A190,'Trips&amp;Operators'!$C$1:$G$99999,5,FALSE)</f>
        <v>HELVIE ADAM</v>
      </c>
      <c r="M190" s="6">
        <f t="shared" si="40"/>
        <v>8.6342592621804215E-3</v>
      </c>
      <c r="N190" s="7">
        <f t="shared" si="41"/>
        <v>12.433333337539807</v>
      </c>
      <c r="O190" s="7"/>
      <c r="P190" s="7"/>
      <c r="Q190" s="22"/>
      <c r="R190" s="22"/>
      <c r="S190" s="31">
        <f t="shared" si="42"/>
        <v>1</v>
      </c>
      <c r="T190" s="46" t="str">
        <f t="shared" si="43"/>
        <v>Southbound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44"/>
        <v>https://d0f6bd738d7f1b3e5a7ca70fe4ff75f0.us-east-1.aws.found.io/app/kibana#/discover/Steve-Slow-Train-Analysis-(2080s-and-2083s)?_g=(refreshInterval:(display:Off,pause:!f,section:0,value:0),time:(from:'2017-02-26T19:41:44-0700',mode:absolute,to:'2017-02-26T21:56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0" s="187" t="str">
        <f t="shared" si="45"/>
        <v>N</v>
      </c>
      <c r="X190" s="187">
        <f t="shared" si="46"/>
        <v>1</v>
      </c>
      <c r="Y190" s="62">
        <f t="shared" si="47"/>
        <v>5.8624000000000001</v>
      </c>
      <c r="Z190" s="62">
        <f t="shared" si="48"/>
        <v>7.5399999999999995E-2</v>
      </c>
      <c r="AA190" s="62">
        <f t="shared" si="49"/>
        <v>5.7869999999999999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0"/>
        <v>1830-26</v>
      </c>
      <c r="AE190" s="85" t="str">
        <f t="shared" si="51"/>
        <v>aws s3 cp s3://rtdc.mdm.uploadarchive.raw/RTDC4008/ "%USERPROFILE%\AppData\Local\Temp\OnboardLogs"\RTDC4008\2017-02-26 --exclude "*" --recursive --include "*20170226*" &amp; "%USERPROFILE%\Documents\GitHub\mrs-test-scripts\Headless Mode &amp; Sideloading\WalkAndUnGZ.bat" "%USERPROFILE%\AppData\Local\Temp\OnboardLogs"\RTDC4008\2017-02-26 &amp; aws s3 cp s3://rtdc.mdm.uploadarchive.raw/RTDC4008/ "%USERPROFILE%\AppData\Local\Temp\OnboardLogs"\RTDC4008\2017-02-27 --exclude "*" --recursive --include "*20170227*" &amp; "%USERPROFILE%\Documents\GitHub\mrs-test-scripts\Headless Mode &amp; Sideloading\WalkAndUnGZ.bat" "%USERPROFILE%\AppData\Local\Temp\OnboardLogs"\RTDC4008\2017-02-27</v>
      </c>
      <c r="AF190" s="82" t="str">
        <f t="shared" si="52"/>
        <v>"C:\Program Files (x86)\AstroGrep\AstroGrep.exe" /spath="%USERPROFILE%\AppData\Local\Temp\OnboardLogs" /stypes="app*4008*20170227*" /stext=" 03:.+((SYSTEM_STATE.+slice.+state.+changed )|(ment ac)|(multiple cpu faults)|(system.+state.+changed )|(\[timeout)|(PRM\|1\|D)|(kpr)|(kdp)|(\|lc)|(penalty))" /e /r /s</v>
      </c>
      <c r="AG190" s="1" t="str">
        <f t="shared" si="53"/>
        <v>NW</v>
      </c>
      <c r="AH190" s="86" t="str">
        <f t="shared" si="54"/>
        <v>"%USERPROFILE%\Documents\GitHub\eaglep3\Utilities\RefineRTDCRunTimes.py" --tripid 1830-26 --locoid 4008 --swversion DE.1.0.9.0 --startMP 300:58624 --initTime 2017-02-26T20:41:44 --startdatetime 2017-02-26T20:44:29 --delay 1 --endMP 204:754 --enddatetime 2017-02-26T20:56:55 --enforcementcount 1 &gt;&gt;C:\Users\stu\Documents\GitHub\eaglep3-reporting\EC\2017-02-26-refined-times.txt</v>
      </c>
      <c r="AI190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{"issue":{"subject":"","project_id":79,"tracker_id":40,"status_id":1,"priority_id":2,"assigned_to_id":23,"start_date":"2017-02-26","description":"","custom_fields":[{"id":1,"name":"Subdivision","value":"NW"},{"id":4,"name":"Milepost","value":"0.0754"},{"id":17,"name":"Train ID","value":"1830-26"},{"id":16,"name":"Locomotive ID","value":"4008"},{"id":130,"name":"Impact","value":""},{"id":150,"name":"Time of Event (Mountain Time)","value":"20:56:55"},{"id":151,"name":"Denver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56"/>
        <v>start /low /b %USERPROFILE%\Documents\GitHub\eaglep3\Utilities\DownloadLogsFromS3.py --loco 4008 --day 2017-02-26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"%USERPROFILE%\AppData\Local\Temp\OnboardLogs"\RTDC4008\*4008*20170227* | grep -SE "(Enforcement Action)|(\[TIMEOUT)|(CHR.+\|PRM\|1\|D.+(SWITCH|SIGNAL).+UNKNOWN)" - &gt;&gt; 2017-02-26-UncaughtWiMAX.txt</v>
      </c>
    </row>
    <row r="191" spans="1:40" x14ac:dyDescent="0.25">
      <c r="A191" s="33" t="s">
        <v>760</v>
      </c>
      <c r="B191" s="7">
        <v>4007</v>
      </c>
      <c r="C191" s="21" t="s">
        <v>285</v>
      </c>
      <c r="D191" s="21" t="s">
        <v>879</v>
      </c>
      <c r="E191" s="13">
        <v>42792.879791666666</v>
      </c>
      <c r="F191" s="13">
        <v>42792.890150462961</v>
      </c>
      <c r="G191" s="7">
        <v>1</v>
      </c>
      <c r="H191" s="21" t="s">
        <v>329</v>
      </c>
      <c r="I191" s="13">
        <v>42792.899189814816</v>
      </c>
      <c r="J191" s="7">
        <v>1</v>
      </c>
      <c r="K191" s="98" t="str">
        <f t="shared" si="39"/>
        <v>4007/4008</v>
      </c>
      <c r="L191" s="21" t="str">
        <f>VLOOKUP(A191,'Trips&amp;Operators'!$C$1:$G$99999,5,FALSE)</f>
        <v>HELVIE ADAM</v>
      </c>
      <c r="M191" s="6">
        <f t="shared" si="40"/>
        <v>9.0393518548808061E-3</v>
      </c>
      <c r="N191" s="7">
        <f t="shared" si="41"/>
        <v>13.016666671028361</v>
      </c>
      <c r="O191" s="7"/>
      <c r="P191" s="7"/>
      <c r="Q191" s="22"/>
      <c r="R191" s="22"/>
      <c r="S191" s="31">
        <f t="shared" si="42"/>
        <v>1</v>
      </c>
      <c r="T191" s="46" t="str">
        <f t="shared" si="43"/>
        <v>NorthBound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44"/>
        <v>https://d0f6bd738d7f1b3e5a7ca70fe4ff75f0.us-east-1.aws.found.io/app/kibana#/discover/Steve-Slow-Train-Analysis-(2080s-and-2083s)?_g=(refreshInterval:(display:Off,pause:!f,section:0,value:0),time:(from:'2017-02-26T20:06:54-0700',mode:absolute,to:'2017-02-26T22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1" s="187" t="str">
        <f t="shared" si="45"/>
        <v>N</v>
      </c>
      <c r="X191" s="187">
        <f t="shared" si="46"/>
        <v>1</v>
      </c>
      <c r="Y191" s="62">
        <f t="shared" si="47"/>
        <v>0.10340000000000001</v>
      </c>
      <c r="Z191" s="62">
        <f t="shared" si="48"/>
        <v>5.8939000000000004</v>
      </c>
      <c r="AA191" s="62">
        <f t="shared" si="49"/>
        <v>5.7905000000000006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0"/>
        <v>1831-26</v>
      </c>
      <c r="AE191" s="85" t="str">
        <f t="shared" si="51"/>
        <v>aws s3 cp s3://rtdc.mdm.uploadarchive.raw/RTDC4007/ "%USERPROFILE%\AppData\Local\Temp\OnboardLogs"\RTDC4007\2017-02-26 --exclude "*" --recursive --include "*20170226*" &amp; "%USERPROFILE%\Documents\GitHub\mrs-test-scripts\Headless Mode &amp; Sideloading\WalkAndUnGZ.bat" "%USERPROFILE%\AppData\Local\Temp\OnboardLogs"\RTDC4007\2017-02-26 &amp; aws s3 cp s3://rtdc.mdm.uploadarchive.raw/RTDC4007/ "%USERPROFILE%\AppData\Local\Temp\OnboardLogs"\RTDC4007\2017-02-27 --exclude "*" --recursive --include "*20170227*" &amp; "%USERPROFILE%\Documents\GitHub\mrs-test-scripts\Headless Mode &amp; Sideloading\WalkAndUnGZ.bat" "%USERPROFILE%\AppData\Local\Temp\OnboardLogs"\RTDC4007\2017-02-27</v>
      </c>
      <c r="AF191" s="82" t="str">
        <f t="shared" si="52"/>
        <v>"C:\Program Files (x86)\AstroGrep\AstroGrep.exe" /spath="%USERPROFILE%\AppData\Local\Temp\OnboardLogs" /stypes="app*4007*20170227*" /stext=" 04:.+((SYSTEM_STATE.+slice.+state.+changed )|(ment ac)|(multiple cpu faults)|(system.+state.+changed )|(\[timeout)|(PRM\|1\|D)|(kpr)|(kdp)|(\|lc)|(penalty))" /e /r /s</v>
      </c>
      <c r="AG191" s="1" t="str">
        <f t="shared" si="53"/>
        <v>NW</v>
      </c>
      <c r="AH191" s="86" t="str">
        <f t="shared" si="54"/>
        <v>"%USERPROFILE%\Documents\GitHub\eaglep3\Utilities\RefineRTDCRunTimes.py" --tripid 1831-26 --locoid 4007 --swversion DE.1.0.9.0 --startMP 204:1034 --initTime 2017-02-26T21:06:54 --startdatetime 2017-02-26T21:21:49 --delay 1 --endMP 300:58939 --enddatetime 2017-02-26T21:34:50 --enforcementcount 1 &gt;&gt;C:\Users\stu\Documents\GitHub\eaglep3-reporting\EC\2017-02-26-refined-times.txt</v>
      </c>
      <c r="AI191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{"issue":{"subject":"","project_id":79,"tracker_id":40,"status_id":1,"priority_id":2,"assigned_to_id":23,"start_date":"2017-02-26","description":"","custom_fields":[{"id":1,"name":"Subdivision","value":"NW"},{"id":4,"name":"Milepost","value":"5.8939"},{"id":17,"name":"Train ID","value":"1831-26"},{"id":16,"name":"Locomotive ID","value":"4007"},{"id":130,"name":"Impact","value":""},{"id":150,"name":"Time of Event (Mountain Time)","value":"21:34:50"},{"id":151,"name":"Denver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56"/>
        <v>start /low /b %USERPROFILE%\Documents\GitHub\eaglep3\Utilities\DownloadLogsFromS3.py --loco 4007 --day 2017-02-26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"%USERPROFILE%\AppData\Local\Temp\OnboardLogs"\RTDC4007\*4007*20170227* | grep -SE "(Enforcement Action)|(\[TIMEOUT)|(CHR.+\|PRM\|1\|D.+(SWITCH|SIGNAL).+UNKNOWN)" - &gt;&gt; 2017-02-26-UncaughtWiMAX.txt</v>
      </c>
    </row>
    <row r="192" spans="1:40" x14ac:dyDescent="0.25">
      <c r="A192" s="33" t="s">
        <v>763</v>
      </c>
      <c r="B192" s="7">
        <v>4008</v>
      </c>
      <c r="C192" s="21" t="s">
        <v>285</v>
      </c>
      <c r="D192" s="21" t="s">
        <v>861</v>
      </c>
      <c r="E192" s="13">
        <v>42792.901446759257</v>
      </c>
      <c r="F192" s="13">
        <v>42792.903020833335</v>
      </c>
      <c r="G192" s="7">
        <v>1</v>
      </c>
      <c r="H192" s="21" t="s">
        <v>273</v>
      </c>
      <c r="I192" s="13">
        <v>42792.912835648145</v>
      </c>
      <c r="J192" s="7">
        <v>1</v>
      </c>
      <c r="K192" s="98" t="str">
        <f t="shared" si="39"/>
        <v>4007/4008</v>
      </c>
      <c r="L192" s="21" t="str">
        <f>VLOOKUP(A192,'Trips&amp;Operators'!$C$1:$G$99999,5,FALSE)</f>
        <v>HELVIE ADAM</v>
      </c>
      <c r="M192" s="6">
        <f t="shared" si="40"/>
        <v>9.814814809942618E-3</v>
      </c>
      <c r="N192" s="7">
        <f t="shared" si="41"/>
        <v>14.13333332631737</v>
      </c>
      <c r="O192" s="7"/>
      <c r="P192" s="7"/>
      <c r="Q192" s="22"/>
      <c r="R192" s="22"/>
      <c r="S192" s="31">
        <f t="shared" si="42"/>
        <v>1</v>
      </c>
      <c r="T192" s="46" t="str">
        <f t="shared" si="43"/>
        <v>Southbound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44"/>
        <v>https://d0f6bd738d7f1b3e5a7ca70fe4ff75f0.us-east-1.aws.found.io/app/kibana#/discover/Steve-Slow-Train-Analysis-(2080s-and-2083s)?_g=(refreshInterval:(display:Off,pause:!f,section:0,value:0),time:(from:'2017-02-26T20:38:05-0700',mode:absolute,to:'2017-02-26T22:54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2" s="187" t="str">
        <f t="shared" si="45"/>
        <v>N</v>
      </c>
      <c r="X192" s="187">
        <f t="shared" si="46"/>
        <v>1</v>
      </c>
      <c r="Y192" s="62">
        <f t="shared" si="47"/>
        <v>5.8623000000000003</v>
      </c>
      <c r="Z192" s="62">
        <f t="shared" si="48"/>
        <v>7.5399999999999995E-2</v>
      </c>
      <c r="AA192" s="62">
        <f t="shared" si="49"/>
        <v>5.7869000000000002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0"/>
        <v>1832-26</v>
      </c>
      <c r="AE192" s="85" t="str">
        <f t="shared" si="51"/>
        <v>aws s3 cp s3://rtdc.mdm.uploadarchive.raw/RTDC4008/ "%USERPROFILE%\AppData\Local\Temp\OnboardLogs"\RTDC4008\2017-02-26 --exclude "*" --recursive --include "*20170226*" &amp; "%USERPROFILE%\Documents\GitHub\mrs-test-scripts\Headless Mode &amp; Sideloading\WalkAndUnGZ.bat" "%USERPROFILE%\AppData\Local\Temp\OnboardLogs"\RTDC4008\2017-02-26 &amp; aws s3 cp s3://rtdc.mdm.uploadarchive.raw/RTDC4008/ "%USERPROFILE%\AppData\Local\Temp\OnboardLogs"\RTDC4008\2017-02-27 --exclude "*" --recursive --include "*20170227*" &amp; "%USERPROFILE%\Documents\GitHub\mrs-test-scripts\Headless Mode &amp; Sideloading\WalkAndUnGZ.bat" "%USERPROFILE%\AppData\Local\Temp\OnboardLogs"\RTDC4008\2017-02-27</v>
      </c>
      <c r="AF192" s="82" t="str">
        <f t="shared" si="52"/>
        <v>"C:\Program Files (x86)\AstroGrep\AstroGrep.exe" /spath="%USERPROFILE%\AppData\Local\Temp\OnboardLogs" /stypes="app*4008*20170227*" /stext=" 04:.+((SYSTEM_STATE.+slice.+state.+changed )|(ment ac)|(multiple cpu faults)|(system.+state.+changed )|(\[timeout)|(PRM\|1\|D)|(kpr)|(kdp)|(\|lc)|(penalty))" /e /r /s</v>
      </c>
      <c r="AG192" s="1" t="str">
        <f t="shared" si="53"/>
        <v>NW</v>
      </c>
      <c r="AH192" s="86" t="str">
        <f t="shared" si="54"/>
        <v>"%USERPROFILE%\Documents\GitHub\eaglep3\Utilities\RefineRTDCRunTimes.py" --tripid 1832-26 --locoid 4008 --swversion DE.1.0.9.0 --startMP 300:58623 --initTime 2017-02-26T21:38:05 --startdatetime 2017-02-26T21:40:21 --delay 1 --endMP 204:754 --enddatetime 2017-02-26T21:54:29 --enforcementcount 1 &gt;&gt;C:\Users\stu\Documents\GitHub\eaglep3-reporting\EC\2017-02-26-refined-times.txt</v>
      </c>
      <c r="AI192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{"issue":{"subject":"","project_id":79,"tracker_id":40,"status_id":1,"priority_id":2,"assigned_to_id":23,"start_date":"2017-02-26","description":"","custom_fields":[{"id":1,"name":"Subdivision","value":"NW"},{"id":4,"name":"Milepost","value":"0.0754"},{"id":17,"name":"Train ID","value":"1832-26"},{"id":16,"name":"Locomotive ID","value":"4008"},{"id":130,"name":"Impact","value":""},{"id":150,"name":"Time of Event (Mountain Time)","value":"21:54:29"},{"id":151,"name":"Denver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56"/>
        <v>start /low /b %USERPROFILE%\Documents\GitHub\eaglep3\Utilities\DownloadLogsFromS3.py --loco 4008 --day 2017-02-26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"%USERPROFILE%\AppData\Local\Temp\OnboardLogs"\RTDC4008\*4008*20170227* | grep -SE "(Enforcement Action)|(\[TIMEOUT)|(CHR.+\|PRM\|1\|D.+(SWITCH|SIGNAL).+UNKNOWN)" - &gt;&gt; 2017-02-26-UncaughtWiMAX.txt</v>
      </c>
    </row>
    <row r="193" spans="1:40" x14ac:dyDescent="0.25">
      <c r="A193" s="33" t="s">
        <v>767</v>
      </c>
      <c r="B193" s="7">
        <v>4007</v>
      </c>
      <c r="C193" s="21" t="s">
        <v>285</v>
      </c>
      <c r="D193" s="21" t="s">
        <v>854</v>
      </c>
      <c r="E193" s="13">
        <v>42792.92800925926</v>
      </c>
      <c r="F193" s="13">
        <v>42792.931493055556</v>
      </c>
      <c r="G193" s="7">
        <v>1</v>
      </c>
      <c r="H193" s="21" t="s">
        <v>880</v>
      </c>
      <c r="I193" s="13">
        <v>42792.940428240741</v>
      </c>
      <c r="J193" s="7">
        <v>1</v>
      </c>
      <c r="K193" s="98" t="str">
        <f t="shared" si="39"/>
        <v>4007/4008</v>
      </c>
      <c r="L193" s="21" t="str">
        <f>VLOOKUP(A193,'Trips&amp;Operators'!$C$1:$G$99999,5,FALSE)</f>
        <v>HELVIE ADAM</v>
      </c>
      <c r="M193" s="6">
        <f t="shared" si="40"/>
        <v>8.9351851856918074E-3</v>
      </c>
      <c r="N193" s="7">
        <f t="shared" si="41"/>
        <v>12.866666667396203</v>
      </c>
      <c r="O193" s="7"/>
      <c r="P193" s="7"/>
      <c r="Q193" s="22"/>
      <c r="R193" s="22"/>
      <c r="S193" s="31">
        <f t="shared" si="42"/>
        <v>1</v>
      </c>
      <c r="T193" s="46" t="str">
        <f t="shared" si="43"/>
        <v>NorthBound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44"/>
        <v>https://d0f6bd738d7f1b3e5a7ca70fe4ff75f0.us-east-1.aws.found.io/app/kibana#/discover/Steve-Slow-Train-Analysis-(2080s-and-2083s)?_g=(refreshInterval:(display:Off,pause:!f,section:0,value:0),time:(from:'2017-02-26T21:16:20-0700',mode:absolute,to:'2017-02-26T23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3" s="187" t="str">
        <f t="shared" si="45"/>
        <v>N</v>
      </c>
      <c r="X193" s="187">
        <f t="shared" si="46"/>
        <v>1</v>
      </c>
      <c r="Y193" s="62">
        <f t="shared" si="47"/>
        <v>0.1041</v>
      </c>
      <c r="Z193" s="62">
        <f t="shared" si="48"/>
        <v>5.8940999999999999</v>
      </c>
      <c r="AA193" s="62">
        <f t="shared" si="49"/>
        <v>5.79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0"/>
        <v>1833-26</v>
      </c>
      <c r="AE193" s="85" t="str">
        <f t="shared" si="51"/>
        <v>aws s3 cp s3://rtdc.mdm.uploadarchive.raw/RTDC4007/ "%USERPROFILE%\AppData\Local\Temp\OnboardLogs"\RTDC4007\2017-02-26 --exclude "*" --recursive --include "*20170226*" &amp; "%USERPROFILE%\Documents\GitHub\mrs-test-scripts\Headless Mode &amp; Sideloading\WalkAndUnGZ.bat" "%USERPROFILE%\AppData\Local\Temp\OnboardLogs"\RTDC4007\2017-02-26 &amp; aws s3 cp s3://rtdc.mdm.uploadarchive.raw/RTDC4007/ "%USERPROFILE%\AppData\Local\Temp\OnboardLogs"\RTDC4007\2017-02-27 --exclude "*" --recursive --include "*20170227*" &amp; "%USERPROFILE%\Documents\GitHub\mrs-test-scripts\Headless Mode &amp; Sideloading\WalkAndUnGZ.bat" "%USERPROFILE%\AppData\Local\Temp\OnboardLogs"\RTDC4007\2017-02-27</v>
      </c>
      <c r="AF193" s="82" t="str">
        <f t="shared" si="52"/>
        <v>"C:\Program Files (x86)\AstroGrep\AstroGrep.exe" /spath="%USERPROFILE%\AppData\Local\Temp\OnboardLogs" /stypes="app*4007*20170227*" /stext=" 05:.+((SYSTEM_STATE.+slice.+state.+changed )|(ment ac)|(multiple cpu faults)|(system.+state.+changed )|(\[timeout)|(PRM\|1\|D)|(kpr)|(kdp)|(\|lc)|(penalty))" /e /r /s</v>
      </c>
      <c r="AG193" s="1" t="str">
        <f t="shared" si="53"/>
        <v>NW</v>
      </c>
      <c r="AH193" s="86" t="str">
        <f t="shared" si="54"/>
        <v>"%USERPROFILE%\Documents\GitHub\eaglep3\Utilities\RefineRTDCRunTimes.py" --tripid 1833-26 --locoid 4007 --swversion DE.1.0.9.0 --startMP 204:1041 --initTime 2017-02-26T22:16:20 --startdatetime 2017-02-26T22:21:21 --delay 1 --endMP 300:58941 --enddatetime 2017-02-26T22:34:13 --enforcementcount 1 &gt;&gt;C:\Users\stu\Documents\GitHub\eaglep3-reporting\EC\2017-02-26-refined-times.txt</v>
      </c>
      <c r="AI193" s="108" t="str">
        <f t="shared" si="55"/>
        <v>echo {"issue":{"subject":"","project_id":79,"tracker_id":40,"status_id":1,"priority_id":2,"assigned_to_id":23,"start_date":"2017-02-26","description":"","custom_fields":[{"id":1,"name":"Subdivision","value":"NW"},{"id":4,"name":"Milepost","value":"5.8941"},{"id":17,"name":"Train ID","value":"1833-26"},{"id":16,"name":"Locomotive ID","value":"4007"},{"id":130,"name":"Impact","value":""},{"id":150,"name":"Time of Event (Mountain Time)","value":"22:34:13"},{"id":151,"name":"Denver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56"/>
        <v>start /low /b %USERPROFILE%\Documents\GitHub\eaglep3\Utilities\DownloadLogsFromS3.py --loco 4007 --day 2017-02-26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"%USERPROFILE%\AppData\Local\Temp\OnboardLogs"\RTDC4007\*4007*20170227* | grep -SE "(Enforcement Action)|(\[TIMEOUT)|(CHR.+\|PRM\|1\|D.+(SWITCH|SIGNAL).+UNKNOWN)" - &gt;&gt; 2017-02-26-UncaughtWiMAX.txt</v>
      </c>
    </row>
    <row r="194" spans="1:40" x14ac:dyDescent="0.25">
      <c r="A194" s="33" t="s">
        <v>587</v>
      </c>
      <c r="B194" s="7">
        <v>4012</v>
      </c>
      <c r="C194" s="21" t="s">
        <v>285</v>
      </c>
      <c r="D194" s="21" t="s">
        <v>908</v>
      </c>
      <c r="E194" s="13">
        <v>42792.116562499999</v>
      </c>
      <c r="F194" s="13">
        <v>42792.126886574071</v>
      </c>
      <c r="G194" s="7">
        <v>14</v>
      </c>
      <c r="H194" s="21" t="s">
        <v>392</v>
      </c>
      <c r="I194" s="13">
        <v>42792.131157407406</v>
      </c>
      <c r="J194" s="7">
        <v>1</v>
      </c>
      <c r="K194" s="98" t="str">
        <f t="shared" si="39"/>
        <v>4011/4012</v>
      </c>
      <c r="L194" s="21" t="str">
        <f>VLOOKUP(A194,'Trips&amp;Operators'!$C$1:$G$99999,5,FALSE)</f>
        <v>SANTIZO D. EDY</v>
      </c>
      <c r="M194" s="6">
        <f t="shared" si="40"/>
        <v>4.2708333348855376E-3</v>
      </c>
      <c r="N194" s="7">
        <f t="shared" si="41"/>
        <v>6.1500000022351742</v>
      </c>
      <c r="O194" s="7"/>
      <c r="P194" s="7"/>
      <c r="Q194" s="22"/>
      <c r="R194" s="22"/>
      <c r="S194" s="31">
        <f t="shared" si="42"/>
        <v>1</v>
      </c>
      <c r="T194" s="46" t="str">
        <f t="shared" si="43"/>
        <v>Southbound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44"/>
        <v>https://d0f6bd738d7f1b3e5a7ca70fe4ff75f0.us-east-1.aws.found.io/app/kibana#/discover/Steve-Slow-Train-Analysis-(2080s-and-2083s)?_g=(refreshInterval:(display:Off,pause:!f,section:0,value:0),time:(from:'2017-02-26T01:47:51-0700',mode:absolute,to:'2017-02-26T04:08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4" s="187" t="str">
        <f t="shared" si="45"/>
        <v>Y</v>
      </c>
      <c r="X194" s="187">
        <f t="shared" si="46"/>
        <v>-1531</v>
      </c>
      <c r="Y194" s="62">
        <f t="shared" si="47"/>
        <v>1.9774</v>
      </c>
      <c r="Z194" s="62">
        <f t="shared" si="48"/>
        <v>1.2999999999999999E-2</v>
      </c>
      <c r="AA194" s="62">
        <f t="shared" si="49"/>
        <v>1.9644000000000001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0"/>
        <v>0302-26</v>
      </c>
      <c r="AE194" s="85" t="str">
        <f t="shared" si="51"/>
        <v>aws s3 cp s3://rtdc.mdm.uploadarchive.raw/RTDC4012/ "%USERPROFILE%\AppData\Local\Temp\OnboardLogs"\RTDC4012\2017-02-26 --exclude "*" --recursive --include "*20170226*" &amp; "%USERPROFILE%\Documents\GitHub\mrs-test-scripts\Headless Mode &amp; Sideloading\WalkAndUnGZ.bat" "%USERPROFILE%\AppData\Local\Temp\OnboardLogs"\RTDC4012\2017-02-26 &amp; 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</v>
      </c>
      <c r="AF194" s="82" t="str">
        <f t="shared" si="52"/>
        <v>"C:\Program Files (x86)\AstroGrep\AstroGrep.exe" /spath="%USERPROFILE%\AppData\Local\Temp\OnboardLogs" /stypes="app*4012*20170226*" /stext=" 10:.+((SYSTEM_STATE.+slice.+state.+changed )|(ment ac)|(multiple cpu faults)|(system.+state.+changed )|(\[timeout)|(PRM\|1\|D)|(kpr)|(kdp)|(\|lc)|(penalty))" /e /r /s</v>
      </c>
      <c r="AG194" s="1" t="str">
        <f t="shared" si="53"/>
        <v>Other</v>
      </c>
      <c r="AH194" s="86" t="str">
        <f t="shared" si="54"/>
        <v>"%USERPROFILE%\Documents\GitHub\eaglep3\Utilities\RefineRTDCRunTimes.py" --tripid 302-26 --locoid 4012 --swversion DE.1.0.9.0 --startMP 300:19774 --initTime 2017-02-26T02:47:51 --startdatetime 2017-02-26T03:02:43 --delay 14 --endMP 204:130 --enddatetime 2017-02-26T03:08:52 --enforcementcount 1 &gt;&gt;C:\Users\stu\Documents\GitHub\eaglep3-reporting\EC\2017-02-26-refined-times.txt</v>
      </c>
      <c r="AI194" s="108" t="str">
        <f t="shared" si="55"/>
        <v>echo {"issue":{"subject":"","project_id":79,"tracker_id":40,"status_id":1,"priority_id":2,"assigned_to_id":23,"start_date":"2017-02-26","description":"","custom_fields":[{"id":1,"name":"Subdivision","value":"Other"},{"id":4,"name":"Milepost","value":"0.013"},{"id":17,"name":"Train ID","value":"302-26"},{"id":16,"name":"Locomotive ID","value":"4012"},{"id":130,"name":"Impact","value":""},{"id":150,"name":"Time of Event (Mountain Time)","value":"03:08:52"},{"id":151,"name":"Denver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56"/>
        <v>start /low /b %USERPROFILE%\Documents\GitHub\eaglep3\Utilities\DownloadLogsFromS3.py --loco 4012 --day 2017-02-26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"%USERPROFILE%\AppData\Local\Temp\OnboardLogs"\RTDC4012\*4012*20170226* | grep -SE "(Enforcement Action)|(\[TIMEOUT)|(CHR.+\|PRM\|1\|D.+(SWITCH|SIGNAL).+UNKNOWN)" - &gt;&gt; 2017-02-26-UncaughtWiMAX.txt</v>
      </c>
    </row>
    <row r="195" spans="1:40" x14ac:dyDescent="0.25">
      <c r="A195" s="33" t="s">
        <v>742</v>
      </c>
      <c r="B195" s="7">
        <v>4003</v>
      </c>
      <c r="C195" s="21" t="s">
        <v>285</v>
      </c>
      <c r="D195" s="21" t="s">
        <v>229</v>
      </c>
      <c r="E195" s="13">
        <v>42792.776469907411</v>
      </c>
      <c r="F195" s="13">
        <v>25568.708333333332</v>
      </c>
      <c r="G195" s="7">
        <v>2</v>
      </c>
      <c r="H195" s="21" t="s">
        <v>909</v>
      </c>
      <c r="I195" s="13">
        <v>25568.708333333332</v>
      </c>
      <c r="J195" s="7">
        <v>1</v>
      </c>
      <c r="K195" s="98" t="str">
        <f t="shared" si="39"/>
        <v>4003/4004</v>
      </c>
      <c r="L195" s="21" t="str">
        <f>VLOOKUP(A195,'Trips&amp;Operators'!$C$1:$G$99999,5,FALSE)</f>
        <v>BRUDER RICHARD</v>
      </c>
      <c r="M195" s="6">
        <f t="shared" si="40"/>
        <v>0</v>
      </c>
      <c r="N195" s="7">
        <f t="shared" si="41"/>
        <v>0</v>
      </c>
      <c r="O195" s="7"/>
      <c r="P195" s="7"/>
      <c r="Q195" s="22"/>
      <c r="R195" s="22"/>
      <c r="S195" s="31">
        <f t="shared" si="42"/>
        <v>1</v>
      </c>
      <c r="T195" s="46" t="str">
        <f t="shared" si="43"/>
        <v>NorthBound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44"/>
        <v>https://d0f6bd738d7f1b3e5a7ca70fe4ff75f0.us-east-1.aws.found.io/app/kibana#/discover/Steve-Slow-Train-Analysis-(2080s-and-2083s)?_g=(refreshInterval:(display:Off,pause:!f,section:0,value:0),time:(from:'2017-02-26T17:38:07-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5" s="187" t="str">
        <f t="shared" si="45"/>
        <v>Y</v>
      </c>
      <c r="X195" s="187">
        <f t="shared" si="46"/>
        <v>1</v>
      </c>
      <c r="Y195" s="62">
        <f t="shared" si="47"/>
        <v>4.5999999999999999E-2</v>
      </c>
      <c r="Z195" s="62">
        <f t="shared" si="48"/>
        <v>2.3298999999999999</v>
      </c>
      <c r="AA195" s="62">
        <f t="shared" si="49"/>
        <v>2.2839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0"/>
        <v>0303-26</v>
      </c>
      <c r="AE195" s="85" t="str">
        <f t="shared" si="51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195" s="82" t="str">
        <f t="shared" si="52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195" s="1" t="str">
        <f t="shared" si="53"/>
        <v>Other</v>
      </c>
      <c r="AH195" s="86" t="str">
        <f t="shared" si="54"/>
        <v>"%USERPROFILE%\Documents\GitHub\eaglep3\Utilities\RefineRTDCRunTimes.py" --tripid 303-26 --locoid 4003 --swversion DE.1.0.9.0 --startMP 204:460 --initTime 2017-02-26T18:38:07 --startdatetime 1969-12-31T17:00:00 --delay 2 --endMP 300:23299 --enddatetime 1969-12-31T17:00:00 --enforcementcount 1 &gt;&gt;C:\Users\stu\Documents\GitHub\eaglep3-reporting\EC\2017-02-26-refined-times.txt</v>
      </c>
      <c r="AI195" s="108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ID","value":"303-26"},{"id":16,"name":"Locomotive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56"/>
        <v>start /low /b %USERPROFILE%\Documents\GitHub\eaglep3\Utilities\DownloadLogsFromS3.py --loco 4003 --day 1969-12-31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"%USERPROFILE%\AppData\Local\Temp\OnboardLogs"\RTDC4003\*4003*19700101* | grep -SE "(Enforcement Action)|(\[TIMEOUT)|(CHR.+\|PRM\|1\|D.+(SWITCH|SIGNAL).+UNKNOWN)" - &gt;&gt; 2017-02-26-UncaughtWiMAX.txt</v>
      </c>
    </row>
    <row r="196" spans="1:40" x14ac:dyDescent="0.25">
      <c r="A196" s="33" t="s">
        <v>547</v>
      </c>
      <c r="B196" s="7">
        <v>4017</v>
      </c>
      <c r="C196" s="21" t="s">
        <v>285</v>
      </c>
      <c r="D196" s="21" t="s">
        <v>910</v>
      </c>
      <c r="E196" s="13">
        <v>42792.139305555553</v>
      </c>
      <c r="F196" s="13">
        <v>42792.141886574071</v>
      </c>
      <c r="G196" s="7">
        <v>3</v>
      </c>
      <c r="H196" s="21" t="s">
        <v>911</v>
      </c>
      <c r="I196" s="13">
        <v>42792.144780092596</v>
      </c>
      <c r="J196" s="7">
        <v>1</v>
      </c>
      <c r="K196" s="98" t="str">
        <f t="shared" si="39"/>
        <v>4017/4018</v>
      </c>
      <c r="L196" s="21" t="str">
        <f>VLOOKUP(A196,'Trips&amp;Operators'!$C$1:$G$99999,5,FALSE)</f>
        <v>MAELZER KURT</v>
      </c>
      <c r="M196" s="6">
        <f t="shared" si="40"/>
        <v>2.8935185255249962E-3</v>
      </c>
      <c r="N196" s="7">
        <f t="shared" si="41"/>
        <v>4.1666666767559946</v>
      </c>
      <c r="O196" s="7"/>
      <c r="P196" s="7"/>
      <c r="Q196" s="22"/>
      <c r="R196" s="22"/>
      <c r="S196" s="31">
        <f t="shared" si="42"/>
        <v>0</v>
      </c>
      <c r="T196" s="46" t="str">
        <f t="shared" si="43"/>
        <v>Southbound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0</v>
      </c>
      <c r="V196" s="186" t="str">
        <f t="shared" si="44"/>
        <v>https://d0f6bd738d7f1b3e5a7ca70fe4ff75f0.us-east-1.aws.found.io/app/kibana#/discover/Steve-Slow-Train-Analysis-(2080s-and-2083s)?_g=(refreshInterval:(display:Off,pause:!f,section:0,value:0),time:(from:'2017-02-26T02:20:36-0700',mode:absolute,to:'2017-02-26T04:28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6" s="187" t="str">
        <f t="shared" si="45"/>
        <v>Y</v>
      </c>
      <c r="X196" s="187">
        <f t="shared" si="46"/>
        <v>1</v>
      </c>
      <c r="Y196" s="62">
        <f t="shared" si="47"/>
        <v>1.9341999999999999</v>
      </c>
      <c r="Z196" s="62">
        <f t="shared" si="48"/>
        <v>1.24</v>
      </c>
      <c r="AA196" s="62">
        <f t="shared" si="49"/>
        <v>0.69419999999999993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0"/>
        <v>0304-26</v>
      </c>
      <c r="AE196" s="85" t="str">
        <f t="shared" si="51"/>
        <v>aws s3 cp s3://rtdc.mdm.uploadarchive.raw/RTDC4017/ "%USERPROFILE%\AppData\Local\Temp\OnboardLogs"\RTDC4017\2017-02-26 --exclude "*" --recursive --include "*20170226*" &amp; "%USERPROFILE%\Documents\GitHub\mrs-test-scripts\Headless Mode &amp; Sideloading\WalkAndUnGZ.bat" "%USERPROFILE%\AppData\Local\Temp\OnboardLogs"\RTDC4017\2017-02-26 &amp; aws s3 cp s3://rtdc.mdm.uploadarchive.raw/RTDC4017/ "%USERPROFILE%\AppData\Local\Temp\OnboardLogs"\RTDC4017\2017-02-27 --exclude "*" --recursive --include "*20170227*" &amp; "%USERPROFILE%\Documents\GitHub\mrs-test-scripts\Headless Mode &amp; Sideloading\WalkAndUnGZ.bat" "%USERPROFILE%\AppData\Local\Temp\OnboardLogs"\RTDC4017\2017-02-27</v>
      </c>
      <c r="AF196" s="82" t="str">
        <f t="shared" si="52"/>
        <v>"C:\Program Files (x86)\AstroGrep\AstroGrep.exe" /spath="%USERPROFILE%\AppData\Local\Temp\OnboardLogs" /stypes="app*4017*20170226*" /stext=" 10:.+((SYSTEM_STATE.+slice.+state.+changed )|(ment ac)|(multiple cpu faults)|(system.+state.+changed )|(\[timeout)|(PRM\|1\|D)|(kpr)|(kdp)|(\|lc)|(penalty))" /e /r /s</v>
      </c>
      <c r="AG196" s="1" t="str">
        <f t="shared" si="53"/>
        <v>Other</v>
      </c>
      <c r="AH196" s="86" t="str">
        <f t="shared" si="54"/>
        <v>"%USERPROFILE%\Documents\GitHub\eaglep3\Utilities\RefineRTDCRunTimes.py" --tripid 304-26 --locoid 4017 --swversion DE.1.0.9.0 --startMP 300:19342 --initTime 2017-02-26T03:20:36 --startdatetime 2017-02-26T03:24:19 --delay 3 --endMP 300:12400 --enddatetime 2017-02-26T03:28:29 --enforcementcount 1 &gt;&gt;C:\Users\stu\Documents\GitHub\eaglep3-reporting\EC\2017-02-26-refined-times.txt</v>
      </c>
      <c r="AI196" s="108" t="str">
        <f t="shared" si="55"/>
        <v>echo {"issue":{"subject":"","project_id":79,"tracker_id":40,"status_id":1,"priority_id":2,"assigned_to_id":23,"start_date":"2017-02-26","description":"","custom_fields":[{"id":1,"name":"Subdivision","value":"Other"},{"id":4,"name":"Milepost","value":"1.24"},{"id":17,"name":"Train ID","value":"304-26"},{"id":16,"name":"Locomotive ID","value":"4017"},{"id":130,"name":"Impact","value":""},{"id":150,"name":"Time of Event (Mountain Time)","value":"03:28:29"},{"id":151,"name":"Denver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56"/>
        <v>start /low /b %USERPROFILE%\Documents\GitHub\eaglep3\Utilities\DownloadLogsFromS3.py --loco 4017 --day 2017-02-26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"%USERPROFILE%\AppData\Local\Temp\OnboardLogs"\RTDC4017\*4017*20170226* | grep -SE "(Enforcement Action)|(\[TIMEOUT)|(CHR.+\|PRM\|1\|D.+(SWITCH|SIGNAL).+UNKNOWN)" - &gt;&gt; 2017-02-26-UncaughtWiMAX.txt</v>
      </c>
    </row>
    <row r="197" spans="1:40" x14ac:dyDescent="0.25">
      <c r="A197" s="33" t="s">
        <v>593</v>
      </c>
      <c r="B197" s="7">
        <v>4030</v>
      </c>
      <c r="C197" s="21" t="s">
        <v>285</v>
      </c>
      <c r="D197" s="21" t="s">
        <v>912</v>
      </c>
      <c r="E197" s="13">
        <v>42792.173935185187</v>
      </c>
      <c r="F197" s="13">
        <v>42792.174884259257</v>
      </c>
      <c r="G197" s="7">
        <v>1</v>
      </c>
      <c r="H197" s="21" t="s">
        <v>264</v>
      </c>
      <c r="I197" s="13">
        <v>42792.180034722223</v>
      </c>
      <c r="J197" s="7">
        <v>1</v>
      </c>
      <c r="K197" s="98" t="str">
        <f t="shared" si="39"/>
        <v>4029/4030</v>
      </c>
      <c r="L197" s="21" t="str">
        <f>VLOOKUP(A197,'Trips&amp;Operators'!$C$1:$G$99999,5,FALSE)</f>
        <v>BRANDNER MELINDA</v>
      </c>
      <c r="M197" s="6">
        <f t="shared" si="40"/>
        <v>5.1504629664123058E-3</v>
      </c>
      <c r="N197" s="7">
        <f t="shared" si="41"/>
        <v>7.4166666716337204</v>
      </c>
      <c r="O197" s="7"/>
      <c r="P197" s="7"/>
      <c r="Q197" s="22"/>
      <c r="R197" s="22"/>
      <c r="S197" s="31">
        <f t="shared" si="42"/>
        <v>1</v>
      </c>
      <c r="T197" s="46" t="str">
        <f t="shared" si="43"/>
        <v>Southbound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44"/>
        <v>https://d0f6bd738d7f1b3e5a7ca70fe4ff75f0.us-east-1.aws.found.io/app/kibana#/discover/Steve-Slow-Train-Analysis-(2080s-and-2083s)?_g=(refreshInterval:(display:Off,pause:!f,section:0,value:0),time:(from:'2017-02-26T03:10:28-0700',mode:absolute,to:'2017-02-26T05:19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7" s="187" t="str">
        <f t="shared" si="45"/>
        <v>Y</v>
      </c>
      <c r="X197" s="187">
        <f t="shared" si="46"/>
        <v>4</v>
      </c>
      <c r="Y197" s="62">
        <f t="shared" si="47"/>
        <v>2.1939000000000002</v>
      </c>
      <c r="Z197" s="62">
        <f t="shared" si="48"/>
        <v>1.5599999999999999E-2</v>
      </c>
      <c r="AA197" s="62">
        <f t="shared" si="49"/>
        <v>2.1783000000000001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0"/>
        <v>0308-26</v>
      </c>
      <c r="AE197" s="85" t="str">
        <f t="shared" si="51"/>
        <v>aws s3 cp s3://rtdc.mdm.uploadarchive.raw/RTDC4030/ "%USERPROFILE%\AppData\Local\Temp\OnboardLogs"\RTDC4030\2017-02-26 --exclude "*" --recursive --include "*20170226*" &amp; "%USERPROFILE%\Documents\GitHub\mrs-test-scripts\Headless Mode &amp; Sideloading\WalkAndUnGZ.bat" "%USERPROFILE%\AppData\Local\Temp\OnboardLogs"\RTDC4030\2017-02-26 &amp; aws s3 cp s3://rtdc.mdm.uploadarchive.raw/RTDC4030/ "%USERPROFILE%\AppData\Local\Temp\OnboardLogs"\RTDC4030\2017-02-27 --exclude "*" --recursive --include "*20170227*" &amp; "%USERPROFILE%\Documents\GitHub\mrs-test-scripts\Headless Mode &amp; Sideloading\WalkAndUnGZ.bat" "%USERPROFILE%\AppData\Local\Temp\OnboardLogs"\RTDC4030\2017-02-27</v>
      </c>
      <c r="AF197" s="82" t="str">
        <f t="shared" si="52"/>
        <v>"C:\Program Files (x86)\AstroGrep\AstroGrep.exe" /spath="%USERPROFILE%\AppData\Local\Temp\OnboardLogs" /stypes="app*4030*20170226*" /stext=" 11:.+((SYSTEM_STATE.+slice.+state.+changed )|(ment ac)|(multiple cpu faults)|(system.+state.+changed )|(\[timeout)|(PRM\|1\|D)|(kpr)|(kdp)|(\|lc)|(penalty))" /e /r /s</v>
      </c>
      <c r="AG197" s="1" t="str">
        <f t="shared" si="53"/>
        <v>Other</v>
      </c>
      <c r="AH197" s="86" t="str">
        <f t="shared" si="54"/>
        <v>"%USERPROFILE%\Documents\GitHub\eaglep3\Utilities\RefineRTDCRunTimes.py" --tripid 308-26 --locoid 4030 --swversion DE.1.0.9.0 --startMP 300:21939 --initTime 2017-02-26T04:10:28 --startdatetime 2017-02-26T04:11:50 --delay 1 --endMP 204:156 --enddatetime 2017-02-26T04:19:15 --enforcementcount 1 &gt;&gt;C:\Users\stu\Documents\GitHub\eaglep3-reporting\EC\2017-02-26-refined-times.txt</v>
      </c>
      <c r="AI197" s="108" t="str">
        <f t="shared" si="55"/>
        <v>echo {"issue":{"subject":"","project_id":79,"tracker_id":40,"status_id":1,"priority_id":2,"assigned_to_id":23,"start_date":"2017-02-26","description":"","custom_fields":[{"id":1,"name":"Subdivision","value":"Other"},{"id":4,"name":"Milepost","value":"0.0156"},{"id":17,"name":"Train ID","value":"308-26"},{"id":16,"name":"Locomotive ID","value":"4030"},{"id":130,"name":"Impact","value":""},{"id":150,"name":"Time of Event (Mountain Time)","value":"04:19:15"},{"id":151,"name":"Denver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56"/>
        <v>start /low /b %USERPROFILE%\Documents\GitHub\eaglep3\Utilities\DownloadLogsFromS3.py --loco 4030 --day 2017-02-26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"%USERPROFILE%\AppData\Local\Temp\OnboardLogs"\RTDC4030\*4030*20170226* | grep -SE "(Enforcement Action)|(\[TIMEOUT)|(CHR.+\|PRM\|1\|D.+(SWITCH|SIGNAL).+UNKNOWN)" - &gt;&gt; 2017-02-26-UncaughtWiMAX.txt</v>
      </c>
    </row>
    <row r="198" spans="1:40" x14ac:dyDescent="0.25">
      <c r="A198" s="33" t="s">
        <v>779</v>
      </c>
      <c r="B198" s="7">
        <v>4027</v>
      </c>
      <c r="C198" s="21" t="s">
        <v>285</v>
      </c>
      <c r="D198" s="21" t="s">
        <v>269</v>
      </c>
      <c r="E198" s="13">
        <v>42793.049409722225</v>
      </c>
      <c r="F198" s="13">
        <v>42793.051134259258</v>
      </c>
      <c r="G198" s="7">
        <v>1</v>
      </c>
      <c r="H198" s="21" t="s">
        <v>913</v>
      </c>
      <c r="I198" s="13">
        <v>42793.054328703707</v>
      </c>
      <c r="J198" s="7">
        <v>1</v>
      </c>
      <c r="K198" s="98" t="str">
        <f t="shared" si="39"/>
        <v>4027/4028</v>
      </c>
      <c r="L198" s="21" t="str">
        <f>VLOOKUP(A198,'Trips&amp;Operators'!$C$1:$G$99999,5,FALSE)</f>
        <v>NEWELL JAMES</v>
      </c>
      <c r="M198" s="6">
        <f t="shared" si="40"/>
        <v>3.1944444490363821E-3</v>
      </c>
      <c r="N198" s="7">
        <f t="shared" si="41"/>
        <v>4.6000000066123903</v>
      </c>
      <c r="O198" s="7"/>
      <c r="P198" s="7"/>
      <c r="Q198" s="22"/>
      <c r="R198" s="22"/>
      <c r="S198" s="31">
        <f t="shared" si="42"/>
        <v>1</v>
      </c>
      <c r="T198" s="46" t="str">
        <f t="shared" si="43"/>
        <v>NorthBound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44"/>
        <v>https://d0f6bd738d7f1b3e5a7ca70fe4ff75f0.us-east-1.aws.found.io/app/kibana#/discover/Steve-Slow-Train-Analysis-(2080s-and-2083s)?_g=(refreshInterval:(display:Off,pause:!f,section:0,value:0),time:(from:'2017-02-27T00:11:09-0700',mode:absolute,to:'2017-02-27T02:18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8" s="187" t="str">
        <f t="shared" si="45"/>
        <v>Y</v>
      </c>
      <c r="X198" s="187">
        <f t="shared" si="46"/>
        <v>1</v>
      </c>
      <c r="Y198" s="62">
        <f t="shared" si="47"/>
        <v>4.7699999999999999E-2</v>
      </c>
      <c r="Z198" s="62">
        <f t="shared" si="48"/>
        <v>1.3384</v>
      </c>
      <c r="AA198" s="62">
        <f t="shared" si="49"/>
        <v>1.2907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0"/>
        <v>0309-26</v>
      </c>
      <c r="AE198" s="85" t="str">
        <f t="shared" si="51"/>
        <v>aws s3 cp s3://rtdc.mdm.uploadarchive.raw/RTDC4027/ "%USERPROFILE%\AppData\Local\Temp\OnboardLogs"\RTDC4027\2017-02-27 --exclude "*" --recursive --include "*20170227*" &amp; "%USERPROFILE%\Documents\GitHub\mrs-test-scripts\Headless Mode &amp; Sideloading\WalkAndUnGZ.bat" "%USERPROFILE%\AppData\Local\Temp\OnboardLogs"\RTDC4027\2017-02-27 &amp; aws s3 cp s3://rtdc.mdm.uploadarchive.raw/RTDC4027/ "%USERPROFILE%\AppData\Local\Temp\OnboardLogs"\RTDC4027\2017-02-28 --exclude "*" --recursive --include "*20170228*" &amp; "%USERPROFILE%\Documents\GitHub\mrs-test-scripts\Headless Mode &amp; Sideloading\WalkAndUnGZ.bat" "%USERPROFILE%\AppData\Local\Temp\OnboardLogs"\RTDC4027\2017-02-28</v>
      </c>
      <c r="AF198" s="82" t="str">
        <f t="shared" si="52"/>
        <v>"C:\Program Files (x86)\AstroGrep\AstroGrep.exe" /spath="%USERPROFILE%\AppData\Local\Temp\OnboardLogs" /stypes="app*4027*20170227*" /stext=" 08:.+((SYSTEM_STATE.+slice.+state.+changed )|(ment ac)|(multiple cpu faults)|(system.+state.+changed )|(\[timeout)|(PRM\|1\|D)|(kpr)|(kdp)|(\|lc)|(penalty))" /e /r /s</v>
      </c>
      <c r="AG198" s="1" t="str">
        <f t="shared" si="53"/>
        <v>Other</v>
      </c>
      <c r="AH198" s="86" t="str">
        <f t="shared" si="54"/>
        <v>"%USERPROFILE%\Documents\GitHub\eaglep3\Utilities\RefineRTDCRunTimes.py" --tripid 309-26 --locoid 4027 --swversion DE.1.0.9.0 --startMP 204:477 --initTime 2017-02-27T01:11:09 --startdatetime 2017-02-27T01:13:38 --delay 1 --endMP 300:13384 --enddatetime 2017-02-27T01:18:14 --enforcementcount 1 &gt;&gt;C:\Users\stu\Documents\GitHub\eaglep3-reporting\EC\2017-02-26-refined-times.txt</v>
      </c>
      <c r="AI198" s="108" t="str">
        <f t="shared" si="55"/>
        <v>echo {"issue":{"subject":"","project_id":79,"tracker_id":40,"status_id":1,"priority_id":2,"assigned_to_id":23,"start_date":"2017-02-27","description":"","custom_fields":[{"id":1,"name":"Subdivision","value":"Other"},{"id":4,"name":"Milepost","value":"1.3384"},{"id":17,"name":"Train ID","value":"309-26"},{"id":16,"name":"Locomotive ID","value":"4027"},{"id":130,"name":"Impact","value":""},{"id":150,"name":"Time of Event (Mountain Time)","value":"01:18:14"},{"id":151,"name":"Denver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56"/>
        <v>start /low /b %USERPROFILE%\Documents\GitHub\eaglep3\Utilities\DownloadLogsFromS3.py --loco 4027 --day 2017-02-27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"%USERPROFILE%\AppData\Local\Temp\OnboardLogs"\RTDC4027\*4027*20170227* | grep -SE "(Enforcement Action)|(\[TIMEOUT)|(CHR.+\|PRM\|1\|D.+(SWITCH|SIGNAL).+UNKNOWN)" - &gt;&gt; 2017-02-26-UncaughtWiMAX.txt</v>
      </c>
    </row>
    <row r="199" spans="1:40" x14ac:dyDescent="0.25">
      <c r="A199" s="33" t="s">
        <v>600</v>
      </c>
      <c r="B199" s="7">
        <v>4004</v>
      </c>
      <c r="C199" s="21" t="s">
        <v>285</v>
      </c>
      <c r="D199" s="21" t="s">
        <v>914</v>
      </c>
      <c r="E199" s="13">
        <v>42792.176030092596</v>
      </c>
      <c r="F199" s="13">
        <v>42792.179155092592</v>
      </c>
      <c r="G199" s="7">
        <v>4</v>
      </c>
      <c r="H199" s="21" t="s">
        <v>196</v>
      </c>
      <c r="I199" s="13">
        <v>42792.184687499997</v>
      </c>
      <c r="J199" s="7">
        <v>1</v>
      </c>
      <c r="K199" s="98" t="str">
        <f t="shared" si="39"/>
        <v>4003/4004</v>
      </c>
      <c r="L199" s="21" t="str">
        <f>VLOOKUP(A199,'Trips&amp;Operators'!$C$1:$G$99999,5,FALSE)</f>
        <v>ROBINSON KADDIBA</v>
      </c>
      <c r="M199" s="6">
        <f t="shared" si="40"/>
        <v>5.5324074055533856E-3</v>
      </c>
      <c r="N199" s="7">
        <f t="shared" si="41"/>
        <v>7.9666666639968753</v>
      </c>
      <c r="O199" s="7"/>
      <c r="P199" s="7"/>
      <c r="Q199" s="22"/>
      <c r="R199" s="22"/>
      <c r="S199" s="31">
        <f t="shared" si="42"/>
        <v>1</v>
      </c>
      <c r="T199" s="46" t="str">
        <f t="shared" si="43"/>
        <v>Southbound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44"/>
        <v>https://d0f6bd738d7f1b3e5a7ca70fe4ff75f0.us-east-1.aws.found.io/app/kibana#/discover/Steve-Slow-Train-Analysis-(2080s-and-2083s)?_g=(refreshInterval:(display:Off,pause:!f,section:0,value:0),time:(from:'2017-02-26T03:13:29-0700',mode:absolute,to:'2017-02-26T05:25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9" s="187" t="str">
        <f t="shared" si="45"/>
        <v>Y</v>
      </c>
      <c r="X199" s="187">
        <f t="shared" si="46"/>
        <v>1</v>
      </c>
      <c r="Y199" s="62">
        <f t="shared" si="47"/>
        <v>2.2046999999999999</v>
      </c>
      <c r="Z199" s="62">
        <f t="shared" si="48"/>
        <v>1.4500000000000001E-2</v>
      </c>
      <c r="AA199" s="62">
        <f t="shared" si="49"/>
        <v>2.1901999999999999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0"/>
        <v>0310-26</v>
      </c>
      <c r="AE199" s="85" t="str">
        <f t="shared" si="51"/>
        <v>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 &amp; aws s3 cp s3://rtdc.mdm.uploadarchive.raw/RTDC4004/ "%USERPROFILE%\AppData\Local\Temp\OnboardLogs"\RTDC4004\2017-02-27 --exclude "*" --recursive --include "*20170227*" &amp; "%USERPROFILE%\Documents\GitHub\mrs-test-scripts\Headless Mode &amp; Sideloading\WalkAndUnGZ.bat" "%USERPROFILE%\AppData\Local\Temp\OnboardLogs"\RTDC4004\2017-02-27</v>
      </c>
      <c r="AF199" s="82" t="str">
        <f t="shared" si="52"/>
        <v>"C:\Program Files (x86)\AstroGrep\AstroGrep.exe" /spath="%USERPROFILE%\AppData\Local\Temp\OnboardLogs" /stypes="app*4004*20170226*" /stext=" 11:.+((SYSTEM_STATE.+slice.+state.+changed )|(ment ac)|(multiple cpu faults)|(system.+state.+changed )|(\[timeout)|(PRM\|1\|D)|(kpr)|(kdp)|(\|lc)|(penalty))" /e /r /s</v>
      </c>
      <c r="AG199" s="1" t="str">
        <f t="shared" si="53"/>
        <v>Other</v>
      </c>
      <c r="AH199" s="86" t="str">
        <f t="shared" si="54"/>
        <v>"%USERPROFILE%\Documents\GitHub\eaglep3\Utilities\RefineRTDCRunTimes.py" --tripid 310-26 --locoid 4004 --swversion DE.1.0.9.0 --startMP 300:22047 --initTime 2017-02-26T04:13:29 --startdatetime 2017-02-26T04:17:59 --delay 4 --endMP 204:145 --enddatetime 2017-02-26T04:25:57 --enforcementcount 1 &gt;&gt;C:\Users\stu\Documents\GitHub\eaglep3-reporting\EC\2017-02-26-refined-times.txt</v>
      </c>
      <c r="AI199" s="108" t="str">
        <f t="shared" si="55"/>
        <v>echo {"issue":{"subject":"","project_id":79,"tracker_id":40,"status_id":1,"priority_id":2,"assigned_to_id":23,"start_date":"2017-02-26","description":"","custom_fields":[{"id":1,"name":"Subdivision","value":"Other"},{"id":4,"name":"Milepost","value":"0.0145"},{"id":17,"name":"Train ID","value":"310-26"},{"id":16,"name":"Locomotive ID","value":"4004"},{"id":130,"name":"Impact","value":""},{"id":150,"name":"Time of Event (Mountain Time)","value":"04:25:57"},{"id":151,"name":"Denver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56"/>
        <v>start /low /b %USERPROFILE%\Documents\GitHub\eaglep3\Utilities\DownloadLogsFromS3.py --loco 4004 --day 2017-02-26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"%USERPROFILE%\AppData\Local\Temp\OnboardLogs"\RTDC4004\*4004*20170226* | grep -SE "(Enforcement Action)|(\[TIMEOUT)|(CHR.+\|PRM\|1\|D.+(SWITCH|SIGNAL).+UNKNOWN)" - &gt;&gt; 2017-02-26-UncaughtWiMAX.txt</v>
      </c>
    </row>
    <row r="200" spans="1:40" x14ac:dyDescent="0.25">
      <c r="A200" s="33" t="s">
        <v>781</v>
      </c>
      <c r="B200" s="7">
        <v>4053</v>
      </c>
      <c r="C200" s="21" t="s">
        <v>285</v>
      </c>
      <c r="D200" s="21" t="s">
        <v>379</v>
      </c>
      <c r="E200" s="13">
        <v>42793.068043981482</v>
      </c>
      <c r="F200" s="13">
        <v>42793.071238425924</v>
      </c>
      <c r="G200" s="7">
        <v>1</v>
      </c>
      <c r="H200" s="21" t="s">
        <v>915</v>
      </c>
      <c r="I200" s="13">
        <v>42793.073877314811</v>
      </c>
      <c r="J200" s="7">
        <v>1</v>
      </c>
      <c r="K200" s="98" t="str">
        <f t="shared" si="39"/>
        <v>4053/4054</v>
      </c>
      <c r="L200" s="21" t="str">
        <f>VLOOKUP(A200,'Trips&amp;Operators'!$C$1:$G$99999,5,FALSE)</f>
        <v>SMITH MICHAEL</v>
      </c>
      <c r="M200" s="6">
        <f t="shared" si="40"/>
        <v>2.638888887304347E-3</v>
      </c>
      <c r="N200" s="7">
        <f t="shared" si="41"/>
        <v>3.7999999977182597</v>
      </c>
      <c r="O200" s="7"/>
      <c r="P200" s="7"/>
      <c r="Q200" s="22"/>
      <c r="R200" s="22"/>
      <c r="S200" s="31">
        <f t="shared" si="42"/>
        <v>1</v>
      </c>
      <c r="T200" s="46" t="str">
        <f t="shared" si="43"/>
        <v>NorthBound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44"/>
        <v>https://d0f6bd738d7f1b3e5a7ca70fe4ff75f0.us-east-1.aws.found.io/app/kibana#/discover/Steve-Slow-Train-Analysis-(2080s-and-2083s)?_g=(refreshInterval:(display:Off,pause:!f,section:0,value:0),time:(from:'2017-02-27T00:37:59-0700',mode:absolute,to:'2017-02-27T02:46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0" s="187" t="str">
        <f t="shared" si="45"/>
        <v>Y</v>
      </c>
      <c r="X200" s="187">
        <f t="shared" si="46"/>
        <v>1</v>
      </c>
      <c r="Y200" s="62">
        <f t="shared" si="47"/>
        <v>5.0200000000000002E-2</v>
      </c>
      <c r="Z200" s="62">
        <f t="shared" si="48"/>
        <v>1.1625000000000001</v>
      </c>
      <c r="AA200" s="62">
        <f t="shared" si="49"/>
        <v>1.1123000000000001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0"/>
        <v>0311-26</v>
      </c>
      <c r="AE200" s="85" t="str">
        <f t="shared" si="51"/>
        <v>aws s3 cp s3://rtdc.mdm.uploadarchive.raw/RTDC4053/ "%USERPROFILE%\AppData\Local\Temp\OnboardLogs"\RTDC4053\2017-02-27 --exclude "*" --recursive --include "*20170227*" &amp; "%USERPROFILE%\Documents\GitHub\mrs-test-scripts\Headless Mode &amp; Sideloading\WalkAndUnGZ.bat" "%USERPROFILE%\AppData\Local\Temp\OnboardLogs"\RTDC4053\2017-02-27 &amp; aws s3 cp s3://rtdc.mdm.uploadarchive.raw/RTDC4053/ "%USERPROFILE%\AppData\Local\Temp\OnboardLogs"\RTDC4053\2017-02-28 --exclude "*" --recursive --include "*20170228*" &amp; "%USERPROFILE%\Documents\GitHub\mrs-test-scripts\Headless Mode &amp; Sideloading\WalkAndUnGZ.bat" "%USERPROFILE%\AppData\Local\Temp\OnboardLogs"\RTDC4053\2017-02-28</v>
      </c>
      <c r="AF200" s="82" t="str">
        <f t="shared" si="52"/>
        <v>"C:\Program Files (x86)\AstroGrep\AstroGrep.exe" /spath="%USERPROFILE%\AppData\Local\Temp\OnboardLogs" /stypes="app*4053*20170227*" /stext=" 08:.+((SYSTEM_STATE.+slice.+state.+changed )|(ment ac)|(multiple cpu faults)|(system.+state.+changed )|(\[timeout)|(PRM\|1\|D)|(kpr)|(kdp)|(\|lc)|(penalty))" /e /r /s</v>
      </c>
      <c r="AG200" s="1" t="str">
        <f t="shared" si="53"/>
        <v>Other</v>
      </c>
      <c r="AH200" s="86" t="str">
        <f t="shared" si="54"/>
        <v>"%USERPROFILE%\Documents\GitHub\eaglep3\Utilities\RefineRTDCRunTimes.py" --tripid 311-26 --locoid 4053 --swversion DE.1.0.9.0 --startMP 204:502 --initTime 2017-02-27T01:37:59 --startdatetime 2017-02-27T01:42:35 --delay 1 --endMP 300:11625 --enddatetime 2017-02-27T01:46:23 --enforcementcount 1 &gt;&gt;C:\Users\stu\Documents\GitHub\eaglep3-reporting\EC\2017-02-26-refined-times.txt</v>
      </c>
      <c r="AI200" s="108" t="str">
        <f t="shared" si="55"/>
        <v>echo {"issue":{"subject":"","project_id":79,"tracker_id":40,"status_id":1,"priority_id":2,"assigned_to_id":23,"start_date":"2017-02-27","description":"","custom_fields":[{"id":1,"name":"Subdivision","value":"Other"},{"id":4,"name":"Milepost","value":"1.1625"},{"id":17,"name":"Train ID","value":"311-26"},{"id":16,"name":"Locomotive ID","value":"4053"},{"id":130,"name":"Impact","value":""},{"id":150,"name":"Time of Event (Mountain Time)","value":"01:46:23"},{"id":151,"name":"Denver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56"/>
        <v>start /low /b %USERPROFILE%\Documents\GitHub\eaglep3\Utilities\DownloadLogsFromS3.py --loco 4053 --day 2017-02-27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"%USERPROFILE%\AppData\Local\Temp\OnboardLogs"\RTDC4053\*4053*20170227* | grep -SE "(Enforcement Action)|(\[TIMEOUT)|(CHR.+\|PRM\|1\|D.+(SWITCH|SIGNAL).+UNKNOWN)" - &gt;&gt; 2017-02-26-UncaughtWiMAX.txt</v>
      </c>
    </row>
    <row r="201" spans="1:40" x14ac:dyDescent="0.25">
      <c r="A201" s="33" t="s">
        <v>586</v>
      </c>
      <c r="B201" s="7">
        <v>4044</v>
      </c>
      <c r="C201" s="21" t="s">
        <v>285</v>
      </c>
      <c r="D201" s="21" t="s">
        <v>238</v>
      </c>
      <c r="E201" s="13">
        <v>42792.090115740742</v>
      </c>
      <c r="F201" s="13">
        <v>25568.708333333332</v>
      </c>
      <c r="G201" s="7">
        <v>2</v>
      </c>
      <c r="H201" s="21" t="s">
        <v>909</v>
      </c>
      <c r="I201" s="13">
        <v>25568.708333333332</v>
      </c>
      <c r="J201" s="7">
        <v>1</v>
      </c>
      <c r="K201" s="98" t="str">
        <f t="shared" si="39"/>
        <v>4043/4044</v>
      </c>
      <c r="L201" s="21" t="str">
        <f>VLOOKUP(A201,'Trips&amp;Operators'!$C$1:$G$99999,5,FALSE)</f>
        <v>SAFIEF AEIMEN</v>
      </c>
      <c r="M201" s="6">
        <f t="shared" si="40"/>
        <v>0</v>
      </c>
      <c r="N201" s="7">
        <f t="shared" si="41"/>
        <v>0</v>
      </c>
      <c r="O201" s="7"/>
      <c r="P201" s="7"/>
      <c r="Q201" s="22"/>
      <c r="R201" s="22"/>
      <c r="S201" s="31">
        <f t="shared" si="42"/>
        <v>1</v>
      </c>
      <c r="T201" s="46" t="str">
        <f t="shared" si="43"/>
        <v>NorthBound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44"/>
        <v>https://d0f6bd738d7f1b3e5a7ca70fe4ff75f0.us-east-1.aws.found.io/app/kibana#/discover/Steve-Slow-Train-Analysis-(2080s-and-2083s)?_g=(refreshInterval:(display:Off,pause:!f,section:0,value:0),time:(from:'2017-02-26T01:09:46-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1" s="187" t="str">
        <f t="shared" si="45"/>
        <v>Y</v>
      </c>
      <c r="X201" s="187">
        <f t="shared" si="46"/>
        <v>2</v>
      </c>
      <c r="Y201" s="62">
        <f t="shared" si="47"/>
        <v>4.53E-2</v>
      </c>
      <c r="Z201" s="62">
        <f t="shared" si="48"/>
        <v>2.3298999999999999</v>
      </c>
      <c r="AA201" s="62">
        <f t="shared" si="49"/>
        <v>2.2845999999999997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0"/>
        <v>0313-25</v>
      </c>
      <c r="AE201" s="85" t="str">
        <f t="shared" si="51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01" s="82" t="str">
        <f t="shared" si="52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01" s="1" t="str">
        <f t="shared" si="53"/>
        <v>Other</v>
      </c>
      <c r="AH201" s="86" t="str">
        <f t="shared" si="54"/>
        <v>"%USERPROFILE%\Documents\GitHub\eaglep3\Utilities\RefineRTDCRunTimes.py" --tripid 313-25 --locoid 4044 --swversion DE.1.0.9.0 --startMP 204:453 --initTime 2017-02-26T02:09:46 --startdatetime 1969-12-31T17:00:00 --delay 2 --endMP 300:23299 --enddatetime 1969-12-31T17:00:00 --enforcementcount 1 &gt;&gt;C:\Users\stu\Documents\GitHub\eaglep3-reporting\EC\2017-02-26-refined-times.txt</v>
      </c>
      <c r="AI201" s="108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ID","value":"313-25"},{"id":16,"name":"Locomotive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56"/>
        <v>start /low /b %USERPROFILE%\Documents\GitHub\eaglep3\Utilities\DownloadLogsFromS3.py --loco 4044 --day 1969-12-31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"%USERPROFILE%\AppData\Local\Temp\OnboardLogs"\RTDC4044\*4044*19700101* | grep -SE "(Enforcement Action)|(\[TIMEOUT)|(CHR.+\|PRM\|1\|D.+(SWITCH|SIGNAL).+UNKNOWN)" - &gt;&gt; 2017-02-26-UncaughtWiMAX.txt</v>
      </c>
    </row>
    <row r="202" spans="1:40" x14ac:dyDescent="0.25">
      <c r="A202" s="33" t="s">
        <v>546</v>
      </c>
      <c r="B202" s="7">
        <v>4046</v>
      </c>
      <c r="C202" s="21" t="s">
        <v>285</v>
      </c>
      <c r="D202" s="21" t="s">
        <v>916</v>
      </c>
      <c r="E202" s="13">
        <v>42792.115636574075</v>
      </c>
      <c r="F202" s="13">
        <v>42792.117789351854</v>
      </c>
      <c r="G202" s="7">
        <v>1</v>
      </c>
      <c r="H202" s="21" t="s">
        <v>917</v>
      </c>
      <c r="I202" s="13">
        <v>42792.11818287037</v>
      </c>
      <c r="J202" s="7">
        <v>1</v>
      </c>
      <c r="K202" s="98" t="str">
        <f t="shared" si="39"/>
        <v>4045/4046</v>
      </c>
      <c r="L202" s="21" t="str">
        <f>VLOOKUP(A202,'Trips&amp;Operators'!$C$1:$G$99999,5,FALSE)</f>
        <v>BROWN JACOB</v>
      </c>
      <c r="M202" s="6">
        <f t="shared" si="40"/>
        <v>3.9351851592073217E-4</v>
      </c>
      <c r="N202" s="7">
        <f t="shared" si="41"/>
        <v>0.56666666292585433</v>
      </c>
      <c r="O202" s="7"/>
      <c r="P202" s="7"/>
      <c r="Q202" s="22"/>
      <c r="R202" s="22"/>
      <c r="S202" s="31">
        <f t="shared" si="42"/>
        <v>0</v>
      </c>
      <c r="T202" s="46" t="str">
        <f t="shared" si="43"/>
        <v>NorthBound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86" t="str">
        <f t="shared" si="44"/>
        <v>https://d0f6bd738d7f1b3e5a7ca70fe4ff75f0.us-east-1.aws.found.io/app/kibana#/discover/Steve-Slow-Train-Analysis-(2080s-and-2083s)?_g=(refreshInterval:(display:Off,pause:!f,section:0,value:0),time:(from:'2017-02-26T01:46:31-0700',mode:absolute,to:'2017-02-26T03:50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2" s="187" t="str">
        <f t="shared" si="45"/>
        <v>Y</v>
      </c>
      <c r="X202" s="187">
        <f t="shared" si="46"/>
        <v>2</v>
      </c>
      <c r="Y202" s="62">
        <f t="shared" si="47"/>
        <v>5.4800000000000001E-2</v>
      </c>
      <c r="Z202" s="62">
        <f t="shared" si="48"/>
        <v>0.1439</v>
      </c>
      <c r="AA202" s="62">
        <f t="shared" si="49"/>
        <v>8.9099999999999999E-2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0"/>
        <v>0315-25</v>
      </c>
      <c r="AE202" s="85" t="str">
        <f t="shared" si="51"/>
        <v>aws s3 cp s3://rtdc.mdm.uploadarchive.raw/RTDC4046/ "%USERPROFILE%\AppData\Local\Temp\OnboardLogs"\RTDC4046\2017-02-26 --exclude "*" --recursive --include "*20170226*" &amp; "%USERPROFILE%\Documents\GitHub\mrs-test-scripts\Headless Mode &amp; Sideloading\WalkAndUnGZ.bat" "%USERPROFILE%\AppData\Local\Temp\OnboardLogs"\RTDC4046\2017-02-26 &amp; aws s3 cp s3://rtdc.mdm.uploadarchive.raw/RTDC4046/ "%USERPROFILE%\AppData\Local\Temp\OnboardLogs"\RTDC4046\2017-02-27 --exclude "*" --recursive --include "*20170227*" &amp; "%USERPROFILE%\Documents\GitHub\mrs-test-scripts\Headless Mode &amp; Sideloading\WalkAndUnGZ.bat" "%USERPROFILE%\AppData\Local\Temp\OnboardLogs"\RTDC4046\2017-02-27</v>
      </c>
      <c r="AF202" s="82" t="str">
        <f t="shared" si="52"/>
        <v>"C:\Program Files (x86)\AstroGrep\AstroGrep.exe" /spath="%USERPROFILE%\AppData\Local\Temp\OnboardLogs" /stypes="app*4046*20170226*" /stext=" 09:.+((SYSTEM_STATE.+slice.+state.+changed )|(ment ac)|(multiple cpu faults)|(system.+state.+changed )|(\[timeout)|(PRM\|1\|D)|(kpr)|(kdp)|(\|lc)|(penalty))" /e /r /s</v>
      </c>
      <c r="AG202" s="1" t="str">
        <f t="shared" si="53"/>
        <v>Other</v>
      </c>
      <c r="AH202" s="86" t="str">
        <f t="shared" si="54"/>
        <v>"%USERPROFILE%\Documents\GitHub\eaglep3\Utilities\RefineRTDCRunTimes.py" --tripid 315-25 --locoid 4046 --swversion DE.1.0.9.0 --startMP 204:548 --initTime 2017-02-26T02:46:31 --startdatetime 2017-02-26T02:49:37 --delay 1 --endMP 204:1439 --enddatetime 2017-02-26T02:50:11 --enforcementcount 1 &gt;&gt;C:\Users\stu\Documents\GitHub\eaglep3-reporting\EC\2017-02-26-refined-times.txt</v>
      </c>
      <c r="AI202" s="108" t="str">
        <f t="shared" si="55"/>
        <v>echo {"issue":{"subject":"","project_id":79,"tracker_id":40,"status_id":1,"priority_id":2,"assigned_to_id":23,"start_date":"2017-02-26","description":"","custom_fields":[{"id":1,"name":"Subdivision","value":"Other"},{"id":4,"name":"Milepost","value":"0.1439"},{"id":17,"name":"Train ID","value":"315-25"},{"id":16,"name":"Locomotive ID","value":"4046"},{"id":130,"name":"Impact","value":""},{"id":150,"name":"Time of Event (Mountain Time)","value":"02:50:11"},{"id":151,"name":"Denver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56"/>
        <v>start /low /b %USERPROFILE%\Documents\GitHub\eaglep3\Utilities\DownloadLogsFromS3.py --loco 4046 --day 2017-02-26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"%USERPROFILE%\AppData\Local\Temp\OnboardLogs"\RTDC4046\*4046*20170226* | grep -SE "(Enforcement Action)|(\[TIMEOUT)|(CHR.+\|PRM\|1\|D.+(SWITCH|SIGNAL).+UNKNOWN)" - &gt;&gt; 2017-02-26-UncaughtWiMAX.txt</v>
      </c>
    </row>
    <row r="203" spans="1:40" x14ac:dyDescent="0.25">
      <c r="A203" s="33" t="s">
        <v>778</v>
      </c>
      <c r="B203" s="7">
        <v>4009</v>
      </c>
      <c r="C203" s="21" t="s">
        <v>285</v>
      </c>
      <c r="D203" s="21" t="s">
        <v>271</v>
      </c>
      <c r="E203" s="13">
        <v>42793.027372685188</v>
      </c>
      <c r="F203" s="13">
        <v>25568.708333333332</v>
      </c>
      <c r="G203" s="7">
        <v>1</v>
      </c>
      <c r="H203" s="21" t="s">
        <v>918</v>
      </c>
      <c r="I203" s="13">
        <v>25568.708333333332</v>
      </c>
      <c r="J203" s="7">
        <v>1</v>
      </c>
      <c r="K203" s="98" t="str">
        <f t="shared" ref="K203:K222" si="57">IF(ISEVEN(B203),(B203-1)&amp;"/"&amp;B203,B203&amp;"/"&amp;(B203+1))</f>
        <v>4009/4010</v>
      </c>
      <c r="L203" s="21" t="str">
        <f>VLOOKUP(A203,'Trips&amp;Operators'!$C$1:$G$99999,5,FALSE)</f>
        <v>CHANDLER KELVIN</v>
      </c>
      <c r="M203" s="6">
        <f t="shared" ref="M203:M222" si="58">I203-F203</f>
        <v>0</v>
      </c>
      <c r="N203" s="7">
        <f t="shared" ref="N203:N222" si="59">24*60*SUM($M203:$M203)</f>
        <v>0</v>
      </c>
      <c r="O203" s="7"/>
      <c r="P203" s="7"/>
      <c r="Q203" s="22"/>
      <c r="R203" s="22"/>
      <c r="S203" s="31">
        <f t="shared" ref="S203:S222" si="60">SUM(U203:U203)/IF(AG203="EC",12,1)</f>
        <v>1</v>
      </c>
      <c r="T203" s="46" t="str">
        <f t="shared" ref="T203:T222" si="61">IF(ISEVEN(LEFT(AD203,4)),"Southbound","NorthBound")</f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ref="V203:V222" si="62"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-02-26T23:39:25-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3" s="187" t="str">
        <f t="shared" ref="W203:W222" si="63">IF(AA203&lt;IF(AG203="EC",23,5.65),"Y","N")</f>
        <v>Y</v>
      </c>
      <c r="X203" s="187">
        <f t="shared" ref="X203:X222" si="64">VALUE(LEFT(AD203,4))-VALUE(LEFT(AD202,4))</f>
        <v>0</v>
      </c>
      <c r="Y203" s="62">
        <f t="shared" ref="Y203:Y222" si="65">RIGHT(D203,LEN(D203)-4)/10000</f>
        <v>4.7100000000000003E-2</v>
      </c>
      <c r="Z203" s="62">
        <f t="shared" ref="Z203:Z222" si="66">RIGHT(H203,LEN(H203)-4)/10000</f>
        <v>2.3308</v>
      </c>
      <c r="AA203" s="62">
        <f t="shared" ref="AA203:AA222" si="67">ABS(Z203-Y203)</f>
        <v>2.2837000000000001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ref="AD203:AD222" si="68">IF(LEN(A203)=6,"0"&amp;A203,A203)</f>
        <v>0315-26</v>
      </c>
      <c r="AE203" s="85" t="str">
        <f t="shared" ref="AE203:AE222" si="69"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03" s="82" t="str">
        <f t="shared" ref="AF203:AF222" si="70"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03" s="1" t="str">
        <f t="shared" ref="AG203:AG222" si="71">IFERROR(IF(VALUE(LEFT(AD203,2))&lt;=2,"EC",IF(OR(VALUE(LEFT(AD203,2))=8,VALUE(LEFT(AD203,2))=18),"NW","Other")),"Other")</f>
        <v>Other</v>
      </c>
      <c r="AH203" s="86" t="str">
        <f t="shared" si="54"/>
        <v>"%USERPROFILE%\Documents\GitHub\eaglep3\Utilities\RefineRTDCRunTimes.py" --tripid 315-26 --locoid 4009 --swversion DE.1.0.9.0 --startMP 204:471 --initTime 2017-02-27T00:39:25 --startdatetime 1969-12-31T17:00:00 --delay 1 --endMP 300:23308 --enddatetime 1969-12-31T17:00:00 --enforcementcount 1 &gt;&gt;C:\Users\stu\Documents\GitHub\eaglep3-reporting\EC\2017-02-26-refined-times.txt</v>
      </c>
      <c r="AI203" s="108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ID","value":"315-26"},{"id":16,"name":"Locomotive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56"/>
        <v>start /low /b %USERPROFILE%\Documents\GitHub\eaglep3\Utilities\DownloadLogsFromS3.py --loco 4009 --day 1969-12-31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"%USERPROFILE%\AppData\Local\Temp\OnboardLogs"\RTDC4009\*4009*19700101* | grep -SE "(Enforcement Action)|(\[TIMEOUT)|(CHR.+\|PRM\|1\|D.+(SWITCH|SIGNAL).+UNKNOWN)" - &gt;&gt; 2017-02-26-UncaughtWiMAX.txt</v>
      </c>
    </row>
    <row r="204" spans="1:40" x14ac:dyDescent="0.25">
      <c r="A204" s="33" t="s">
        <v>608</v>
      </c>
      <c r="B204" s="7">
        <v>4007</v>
      </c>
      <c r="C204" s="21" t="s">
        <v>285</v>
      </c>
      <c r="D204" s="21" t="s">
        <v>885</v>
      </c>
      <c r="E204" s="13">
        <v>42792.218587962961</v>
      </c>
      <c r="F204" s="13">
        <v>42792.223043981481</v>
      </c>
      <c r="G204" s="7">
        <v>6</v>
      </c>
      <c r="H204" s="21" t="s">
        <v>886</v>
      </c>
      <c r="I204" s="13">
        <v>42792.228506944448</v>
      </c>
      <c r="J204" s="7">
        <v>1</v>
      </c>
      <c r="K204" s="98" t="str">
        <f t="shared" si="57"/>
        <v>4007/4008</v>
      </c>
      <c r="L204" s="21" t="str">
        <f>VLOOKUP(A204,'Trips&amp;Operators'!$C$1:$G$99999,5,FALSE)</f>
        <v>YORK EDGAR</v>
      </c>
      <c r="M204" s="6">
        <f t="shared" si="58"/>
        <v>5.4629629667033441E-3</v>
      </c>
      <c r="N204" s="7">
        <f t="shared" si="59"/>
        <v>7.8666666720528156</v>
      </c>
      <c r="O204" s="7"/>
      <c r="P204" s="7"/>
      <c r="Q204" s="22"/>
      <c r="R204" s="22"/>
      <c r="S204" s="31">
        <f t="shared" si="60"/>
        <v>0</v>
      </c>
      <c r="T204" s="46" t="str">
        <f t="shared" si="61"/>
        <v>NorthBound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86" t="str">
        <f t="shared" si="62"/>
        <v>https://d0f6bd738d7f1b3e5a7ca70fe4ff75f0.us-east-1.aws.found.io/app/kibana#/discover/Steve-Slow-Train-Analysis-(2080s-and-2083s)?_g=(refreshInterval:(display:Off,pause:!f,section:0,value:0),time:(from:'2017-02-26T04:14:46-0700',mode:absolute,to:'2017-02-26T06:29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4" s="187" t="str">
        <f t="shared" si="63"/>
        <v>Y</v>
      </c>
      <c r="X204" s="187">
        <f t="shared" si="64"/>
        <v>1586</v>
      </c>
      <c r="Y204" s="62">
        <f t="shared" si="65"/>
        <v>3.0091000000000001</v>
      </c>
      <c r="Z204" s="62">
        <f t="shared" si="66"/>
        <v>5.8943000000000003</v>
      </c>
      <c r="AA204" s="62">
        <f t="shared" si="67"/>
        <v>2.8852000000000002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68"/>
        <v>1901-26</v>
      </c>
      <c r="AE204" s="85" t="str">
        <f t="shared" si="69"/>
        <v>aws s3 cp s3://rtdc.mdm.uploadarchive.raw/RTDC4007/ "%USERPROFILE%\AppData\Local\Temp\OnboardLogs"\RTDC4007\2017-02-26 --exclude "*" --recursive --include "*20170226*" &amp; "%USERPROFILE%\Documents\GitHub\mrs-test-scripts\Headless Mode &amp; Sideloading\WalkAndUnGZ.bat" "%USERPROFILE%\AppData\Local\Temp\OnboardLogs"\RTDC4007\2017-02-26 &amp; aws s3 cp s3://rtdc.mdm.uploadarchive.raw/RTDC4007/ "%USERPROFILE%\AppData\Local\Temp\OnboardLogs"\RTDC4007\2017-02-27 --exclude "*" --recursive --include "*20170227*" &amp; "%USERPROFILE%\Documents\GitHub\mrs-test-scripts\Headless Mode &amp; Sideloading\WalkAndUnGZ.bat" "%USERPROFILE%\AppData\Local\Temp\OnboardLogs"\RTDC4007\2017-02-27</v>
      </c>
      <c r="AF204" s="82" t="str">
        <f t="shared" si="70"/>
        <v>"C:\Program Files (x86)\AstroGrep\AstroGrep.exe" /spath="%USERPROFILE%\AppData\Local\Temp\OnboardLogs" /stypes="app*4007*20170226*" /stext=" 12:.+((SYSTEM_STATE.+slice.+state.+changed )|(ment ac)|(multiple cpu faults)|(system.+state.+changed )|(\[timeout)|(PRM\|1\|D)|(kpr)|(kdp)|(\|lc)|(penalty))" /e /r /s</v>
      </c>
      <c r="AG204" s="1" t="str">
        <f t="shared" si="71"/>
        <v>Other</v>
      </c>
      <c r="AH204" s="86" t="str">
        <f t="shared" ref="AH204:AH222" si="72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1901-26 --locoid 4007 --swversion DE.1.0.9.0 --startMP 300:30091 --initTime 2017-02-26T05:14:46 --startdatetime 2017-02-26T05:21:11 --delay 6 --endMP 300:58943 --enddatetime 2017-02-26T05:29:03 --enforcementcount 1 &gt;&gt;C:\Users\stu\Documents\GitHub\eaglep3-reporting\EC\2017-02-26-refined-times.txt</v>
      </c>
      <c r="AI204" s="108" t="str">
        <f t="shared" ref="AI204:AI222" si="73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{"issue":{"subject":"","project_id":79,"tracker_id":40,"status_id":1,"priority_id":2,"assigned_to_id":23,"start_date":"2017-02-26","description":"","custom_fields":[{"id":1,"name":"Subdivision","value":"Other"},{"id":4,"name":"Milepost","value":"5.8943"},{"id":17,"name":"Train ID","value":"1901-26"},{"id":16,"name":"Locomotive ID","value":"4007"},{"id":130,"name":"Impact","value":""},{"id":150,"name":"Time of Event (Mountain Time)","value":"05:29:03"},{"id":151,"name":"Denver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ref="AM204:AM222" si="74">"start /low /b "&amp;dls3logs&amp;" --loco "&amp;B204&amp;" --day "&amp;TEXT(F204,"YYYY-MM-DD")</f>
        <v>start /low /b %USERPROFILE%\Documents\GitHub\eaglep3\Utilities\DownloadLogsFromS3.py --loco 4007 --day 2017-02-26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"%USERPROFILE%\AppData\Local\Temp\OnboardLogs"\RTDC4007\*4007*20170226* | grep -SE "(Enforcement Action)|(\[TIMEOUT)|(CHR.+\|PRM\|1\|D.+(SWITCH|SIGNAL).+UNKNOWN)" - &gt;&gt; 2017-02-26-UncaughtWiMAX.txt</v>
      </c>
    </row>
    <row r="205" spans="1:40" x14ac:dyDescent="0.25">
      <c r="A205" s="33" t="s">
        <v>769</v>
      </c>
      <c r="B205" s="7">
        <v>4008</v>
      </c>
      <c r="C205" s="21" t="s">
        <v>285</v>
      </c>
      <c r="D205" s="21" t="s">
        <v>300</v>
      </c>
      <c r="E205" s="13">
        <v>42792.941261574073</v>
      </c>
      <c r="F205" s="13">
        <v>42792.942407407405</v>
      </c>
      <c r="G205" s="7">
        <v>1</v>
      </c>
      <c r="H205" s="21" t="s">
        <v>887</v>
      </c>
      <c r="I205" s="13">
        <v>42792.946701388886</v>
      </c>
      <c r="J205" s="7">
        <v>1</v>
      </c>
      <c r="K205" s="98" t="str">
        <f t="shared" si="57"/>
        <v>4007/4008</v>
      </c>
      <c r="L205" s="21" t="str">
        <f>VLOOKUP(A205,'Trips&amp;Operators'!$C$1:$G$99999,5,FALSE)</f>
        <v>HELVIE ADAM</v>
      </c>
      <c r="M205" s="6">
        <f t="shared" si="58"/>
        <v>4.2939814811688848E-3</v>
      </c>
      <c r="N205" s="7">
        <f t="shared" si="59"/>
        <v>6.1833333328831941</v>
      </c>
      <c r="O205" s="7"/>
      <c r="P205" s="7"/>
      <c r="Q205" s="22"/>
      <c r="R205" s="22"/>
      <c r="S205" s="31">
        <f t="shared" si="60"/>
        <v>0</v>
      </c>
      <c r="T205" s="46" t="str">
        <f t="shared" si="61"/>
        <v>Southbound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86" t="str">
        <f t="shared" si="62"/>
        <v>https://d0f6bd738d7f1b3e5a7ca70fe4ff75f0.us-east-1.aws.found.io/app/kibana#/discover/Steve-Slow-Train-Analysis-(2080s-and-2083s)?_g=(refreshInterval:(display:Off,pause:!f,section:0,value:0),time:(from:'2017-02-26T21:35:25-0700',mode:absolute,to:'2017-02-26T23:43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5" s="187" t="str">
        <f t="shared" si="63"/>
        <v>Y</v>
      </c>
      <c r="X205" s="187">
        <f t="shared" si="64"/>
        <v>1</v>
      </c>
      <c r="Y205" s="62">
        <f t="shared" si="65"/>
        <v>5.8628</v>
      </c>
      <c r="Z205" s="62">
        <f t="shared" si="66"/>
        <v>2.1768999999999998</v>
      </c>
      <c r="AA205" s="62">
        <f t="shared" si="67"/>
        <v>3.6859000000000002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si="68"/>
        <v>1902-26</v>
      </c>
      <c r="AE205" s="85" t="str">
        <f t="shared" si="69"/>
        <v>aws s3 cp s3://rtdc.mdm.uploadarchive.raw/RTDC4008/ "%USERPROFILE%\AppData\Local\Temp\OnboardLogs"\RTDC4008\2017-02-26 --exclude "*" --recursive --include "*20170226*" &amp; "%USERPROFILE%\Documents\GitHub\mrs-test-scripts\Headless Mode &amp; Sideloading\WalkAndUnGZ.bat" "%USERPROFILE%\AppData\Local\Temp\OnboardLogs"\RTDC4008\2017-02-26 &amp; aws s3 cp s3://rtdc.mdm.uploadarchive.raw/RTDC4008/ "%USERPROFILE%\AppData\Local\Temp\OnboardLogs"\RTDC4008\2017-02-27 --exclude "*" --recursive --include "*20170227*" &amp; "%USERPROFILE%\Documents\GitHub\mrs-test-scripts\Headless Mode &amp; Sideloading\WalkAndUnGZ.bat" "%USERPROFILE%\AppData\Local\Temp\OnboardLogs"\RTDC4008\2017-02-27</v>
      </c>
      <c r="AF205" s="82" t="str">
        <f t="shared" si="70"/>
        <v>"C:\Program Files (x86)\AstroGrep\AstroGrep.exe" /spath="%USERPROFILE%\AppData\Local\Temp\OnboardLogs" /stypes="app*4008*20170227*" /stext=" 05:.+((SYSTEM_STATE.+slice.+state.+changed )|(ment ac)|(multiple cpu faults)|(system.+state.+changed )|(\[timeout)|(PRM\|1\|D)|(kpr)|(kdp)|(\|lc)|(penalty))" /e /r /s</v>
      </c>
      <c r="AG205" s="1" t="str">
        <f t="shared" si="71"/>
        <v>Other</v>
      </c>
      <c r="AH205" s="86" t="str">
        <f t="shared" si="72"/>
        <v>"%USERPROFILE%\Documents\GitHub\eaglep3\Utilities\RefineRTDCRunTimes.py" --tripid 1902-26 --locoid 4008 --swversion DE.1.0.9.0 --startMP 300:58628 --initTime 2017-02-26T22:35:25 --startdatetime 2017-02-26T22:37:04 --delay 1 --endMP 300:21769 --enddatetime 2017-02-26T22:43:15 --enforcementcount 1 &gt;&gt;C:\Users\stu\Documents\GitHub\eaglep3-reporting\EC\2017-02-26-refined-times.txt</v>
      </c>
      <c r="AI205" s="108" t="str">
        <f t="shared" si="73"/>
        <v>echo {"issue":{"subject":"","project_id":79,"tracker_id":40,"status_id":1,"priority_id":2,"assigned_to_id":23,"start_date":"2017-02-26","description":"","custom_fields":[{"id":1,"name":"Subdivision","value":"Other"},{"id":4,"name":"Milepost","value":"2.1769"},{"id":17,"name":"Train ID","value":"1902-26"},{"id":16,"name":"Locomotive ID","value":"4008"},{"id":130,"name":"Impact","value":""},{"id":150,"name":"Time of Event (Mountain Time)","value":"22:43:15"},{"id":151,"name":"Denver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74"/>
        <v>start /low /b %USERPROFILE%\Documents\GitHub\eaglep3\Utilities\DownloadLogsFromS3.py --loco 4008 --day 2017-02-26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"%USERPROFILE%\AppData\Local\Temp\OnboardLogs"\RTDC4008\*4008*20170227* | grep -SE "(Enforcement Action)|(\[TIMEOUT)|(CHR.+\|PRM\|1\|D.+(SWITCH|SIGNAL).+UNKNOWN)" - &gt;&gt; 2017-02-26-UncaughtWiMAX.txt</v>
      </c>
    </row>
    <row r="206" spans="1:40" x14ac:dyDescent="0.25">
      <c r="A206" s="33" t="s">
        <v>666</v>
      </c>
      <c r="B206" s="7">
        <v>4032</v>
      </c>
      <c r="C206" s="21" t="s">
        <v>285</v>
      </c>
      <c r="D206" s="21" t="s">
        <v>919</v>
      </c>
      <c r="E206" s="13">
        <v>42792.472777777781</v>
      </c>
      <c r="F206" s="13">
        <v>42792.477094907408</v>
      </c>
      <c r="G206" s="7">
        <v>5</v>
      </c>
      <c r="H206" s="21" t="s">
        <v>920</v>
      </c>
      <c r="I206" s="13">
        <v>42792.482141203705</v>
      </c>
      <c r="J206" s="7">
        <v>1</v>
      </c>
      <c r="K206" s="98" t="str">
        <f t="shared" si="57"/>
        <v>4031/4032</v>
      </c>
      <c r="L206" s="21" t="str">
        <f>VLOOKUP(A206,'Trips&amp;Operators'!$C$1:$G$99999,5,FALSE)</f>
        <v>CRAYTON QUNTRELL</v>
      </c>
      <c r="M206" s="6">
        <f t="shared" si="58"/>
        <v>5.0462962972233072E-3</v>
      </c>
      <c r="N206" s="7">
        <f t="shared" si="59"/>
        <v>7.2666666680015624</v>
      </c>
      <c r="O206" s="7"/>
      <c r="P206" s="7"/>
      <c r="Q206" s="22"/>
      <c r="R206" s="22"/>
      <c r="S206" s="31">
        <f t="shared" si="60"/>
        <v>0</v>
      </c>
      <c r="T206" s="46" t="e">
        <f t="shared" si="61"/>
        <v>#VALUE!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86" t="str">
        <f t="shared" si="62"/>
        <v>https://d0f6bd738d7f1b3e5a7ca70fe4ff75f0.us-east-1.aws.found.io/app/kibana#/discover/Steve-Slow-Train-Analysis-(2080s-and-2083s)?_g=(refreshInterval:(display:Off,pause:!f,section:0,value:0),time:(from:'2017-02-26T10:20:48-0700',mode:absolute,to:'2017-02-26T12:34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6" s="187" t="str">
        <f t="shared" si="63"/>
        <v>Y</v>
      </c>
      <c r="X206" s="187" t="e">
        <f t="shared" si="64"/>
        <v>#VALUE!</v>
      </c>
      <c r="Y206" s="62">
        <f t="shared" si="65"/>
        <v>2.1179999999999999</v>
      </c>
      <c r="Z206" s="62">
        <f t="shared" si="66"/>
        <v>8.3999999999999995E-3</v>
      </c>
      <c r="AA206" s="62">
        <f t="shared" si="67"/>
        <v>2.1095999999999999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68"/>
        <v>50-26</v>
      </c>
      <c r="AE206" s="85" t="str">
        <f t="shared" si="69"/>
        <v>aws s3 cp s3://rtdc.mdm.uploadarchive.raw/RTDC4032/ "%USERPROFILE%\AppData\Local\Temp\OnboardLogs"\RTDC4032\2017-02-26 --exclude "*" --recursive --include "*20170226*" &amp; "%USERPROFILE%\Documents\GitHub\mrs-test-scripts\Headless Mode &amp; Sideloading\WalkAndUnGZ.bat" "%USERPROFILE%\AppData\Local\Temp\OnboardLogs"\RTDC4032\2017-02-26 &amp; aws s3 cp s3://rtdc.mdm.uploadarchive.raw/RTDC4032/ "%USERPROFILE%\AppData\Local\Temp\OnboardLogs"\RTDC4032\2017-02-27 --exclude "*" --recursive --include "*20170227*" &amp; "%USERPROFILE%\Documents\GitHub\mrs-test-scripts\Headless Mode &amp; Sideloading\WalkAndUnGZ.bat" "%USERPROFILE%\AppData\Local\Temp\OnboardLogs"\RTDC4032\2017-02-27</v>
      </c>
      <c r="AF206" s="82" t="str">
        <f t="shared" si="70"/>
        <v>"C:\Program Files (x86)\AstroGrep\AstroGrep.exe" /spath="%USERPROFILE%\AppData\Local\Temp\OnboardLogs" /stypes="app*4032*20170226*" /stext=" 18:.+((SYSTEM_STATE.+slice.+state.+changed )|(ment ac)|(multiple cpu faults)|(system.+state.+changed )|(\[timeout)|(PRM\|1\|D)|(kpr)|(kdp)|(\|lc)|(penalty))" /e /r /s</v>
      </c>
      <c r="AG206" s="1" t="str">
        <f t="shared" si="71"/>
        <v>Other</v>
      </c>
      <c r="AH206" s="86" t="str">
        <f t="shared" si="72"/>
        <v>"%USERPROFILE%\Documents\GitHub\eaglep3\Utilities\RefineRTDCRunTimes.py" --tripid 50-26 --locoid 4032 --swversion DE.1.0.9.0 --startMP 300:21180 --initTime 2017-02-26T11:20:48 --startdatetime 2017-02-26T11:27:01 --delay 5 --endMP 204:84 --enddatetime 2017-02-26T11:34:17 --enforcementcount 1 &gt;&gt;C:\Users\stu\Documents\GitHub\eaglep3-reporting\EC\2017-02-26-refined-times.txt</v>
      </c>
      <c r="AI206" s="108" t="str">
        <f t="shared" si="73"/>
        <v>echo {"issue":{"subject":"","project_id":79,"tracker_id":40,"status_id":1,"priority_id":2,"assigned_to_id":23,"start_date":"2017-02-26","description":"","custom_fields":[{"id":1,"name":"Subdivision","value":"Other"},{"id":4,"name":"Milepost","value":"0.0084"},{"id":17,"name":"Train ID","value":"50-26"},{"id":16,"name":"Locomotive ID","value":"4032"},{"id":130,"name":"Impact","value":""},{"id":150,"name":"Time of Event (Mountain Time)","value":"11:34:17"},{"id":151,"name":"Denver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74"/>
        <v>start /low /b %USERPROFILE%\Documents\GitHub\eaglep3\Utilities\DownloadLogsFromS3.py --loco 4032 --day 2017-02-26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"%USERPROFILE%\AppData\Local\Temp\OnboardLogs"\RTDC4032\*4032*20170226* | grep -SE "(Enforcement Action)|(\[TIMEOUT)|(CHR.+\|PRM\|1\|D.+(SWITCH|SIGNAL).+UNKNOWN)" - &gt;&gt; 2017-02-26-UncaughtWiMAX.txt</v>
      </c>
    </row>
    <row r="207" spans="1:40" x14ac:dyDescent="0.25">
      <c r="A207" s="33" t="s">
        <v>678</v>
      </c>
      <c r="B207" s="7">
        <v>4031</v>
      </c>
      <c r="C207" s="21" t="s">
        <v>285</v>
      </c>
      <c r="D207" s="21" t="s">
        <v>921</v>
      </c>
      <c r="E207" s="13">
        <v>42792.497974537036</v>
      </c>
      <c r="F207" s="13">
        <v>42792.499652777777</v>
      </c>
      <c r="G207" s="7">
        <v>2</v>
      </c>
      <c r="H207" s="21" t="s">
        <v>922</v>
      </c>
      <c r="I207" s="13">
        <v>42792.504525462966</v>
      </c>
      <c r="J207" s="7">
        <v>1</v>
      </c>
      <c r="K207" s="98" t="str">
        <f t="shared" si="57"/>
        <v>4031/4032</v>
      </c>
      <c r="L207" s="21" t="str">
        <f>VLOOKUP(A207,'Trips&amp;Operators'!$C$1:$G$99999,5,FALSE)</f>
        <v>GEBRETEKLE DAGNEW</v>
      </c>
      <c r="M207" s="6">
        <f t="shared" si="58"/>
        <v>4.8726851891842671E-3</v>
      </c>
      <c r="N207" s="7">
        <f t="shared" si="59"/>
        <v>7.0166666724253446</v>
      </c>
      <c r="O207" s="7"/>
      <c r="P207" s="7"/>
      <c r="Q207" s="22"/>
      <c r="R207" s="22"/>
      <c r="S207" s="31">
        <f t="shared" si="60"/>
        <v>0</v>
      </c>
      <c r="T207" s="46" t="e">
        <f t="shared" si="61"/>
        <v>#VALUE!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86" t="str">
        <f t="shared" si="62"/>
        <v>https://d0f6bd738d7f1b3e5a7ca70fe4ff75f0.us-east-1.aws.found.io/app/kibana#/discover/Steve-Slow-Train-Analysis-(2080s-and-2083s)?_g=(refreshInterval:(display:Off,pause:!f,section:0,value:0),time:(from:'2017-02-26T10:57:05-0700',mode:absolute,to:'2017-02-26T13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7" s="187" t="str">
        <f t="shared" si="63"/>
        <v>Y</v>
      </c>
      <c r="X207" s="187" t="e">
        <f t="shared" si="64"/>
        <v>#VALUE!</v>
      </c>
      <c r="Y207" s="62">
        <f t="shared" si="65"/>
        <v>4.0399999999999998E-2</v>
      </c>
      <c r="Z207" s="62">
        <f t="shared" si="66"/>
        <v>2.4243999999999999</v>
      </c>
      <c r="AA207" s="62">
        <f t="shared" si="67"/>
        <v>2.3839999999999999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68"/>
        <v>51-26</v>
      </c>
      <c r="AE207" s="85" t="str">
        <f t="shared" si="69"/>
        <v>aws s3 cp s3://rtdc.mdm.uploadarchive.raw/RTDC4031/ "%USERPROFILE%\AppData\Local\Temp\OnboardLogs"\RTDC4031\2017-02-26 --exclude "*" --recursive --include "*20170226*" &amp; "%USERPROFILE%\Documents\GitHub\mrs-test-scripts\Headless Mode &amp; Sideloading\WalkAndUnGZ.bat" "%USERPROFILE%\AppData\Local\Temp\OnboardLogs"\RTDC4031\2017-02-26 &amp; aws s3 cp s3://rtdc.mdm.uploadarchive.raw/RTDC4031/ "%USERPROFILE%\AppData\Local\Temp\OnboardLogs"\RTDC4031\2017-02-27 --exclude "*" --recursive --include "*20170227*" &amp; "%USERPROFILE%\Documents\GitHub\mrs-test-scripts\Headless Mode &amp; Sideloading\WalkAndUnGZ.bat" "%USERPROFILE%\AppData\Local\Temp\OnboardLogs"\RTDC4031\2017-02-27</v>
      </c>
      <c r="AF207" s="82" t="str">
        <f t="shared" si="70"/>
        <v>"C:\Program Files (x86)\AstroGrep\AstroGrep.exe" /spath="%USERPROFILE%\AppData\Local\Temp\OnboardLogs" /stypes="app*4031*20170226*" /stext=" 19:.+((SYSTEM_STATE.+slice.+state.+changed )|(ment ac)|(multiple cpu faults)|(system.+state.+changed )|(\[timeout)|(PRM\|1\|D)|(kpr)|(kdp)|(\|lc)|(penalty))" /e /r /s</v>
      </c>
      <c r="AG207" s="1" t="str">
        <f t="shared" si="71"/>
        <v>Other</v>
      </c>
      <c r="AH207" s="86" t="str">
        <f t="shared" si="72"/>
        <v>"%USERPROFILE%\Documents\GitHub\eaglep3\Utilities\RefineRTDCRunTimes.py" --tripid 51-26 --locoid 4031 --swversion DE.1.0.9.0 --startMP 204:404 --initTime 2017-02-26T11:57:05 --startdatetime 2017-02-26T11:59:30 --delay 2 --endMP 300:24244 --enddatetime 2017-02-26T12:06:31 --enforcementcount 1 &gt;&gt;C:\Users\stu\Documents\GitHub\eaglep3-reporting\EC\2017-02-26-refined-times.txt</v>
      </c>
      <c r="AI207" s="108" t="str">
        <f t="shared" si="73"/>
        <v>echo {"issue":{"subject":"","project_id":79,"tracker_id":40,"status_id":1,"priority_id":2,"assigned_to_id":23,"start_date":"2017-02-26","description":"","custom_fields":[{"id":1,"name":"Subdivision","value":"Other"},{"id":4,"name":"Milepost","value":"2.4244"},{"id":17,"name":"Train ID","value":"51-26"},{"id":16,"name":"Locomotive ID","value":"4031"},{"id":130,"name":"Impact","value":""},{"id":150,"name":"Time of Event (Mountain Time)","value":"12:06:31"},{"id":151,"name":"Denver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74"/>
        <v>start /low /b %USERPROFILE%\Documents\GitHub\eaglep3\Utilities\DownloadLogsFromS3.py --loco 4031 --day 2017-02-26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"%USERPROFILE%\AppData\Local\Temp\OnboardLogs"\RTDC4031\*4031*20170226* | grep -SE "(Enforcement Action)|(\[TIMEOUT)|(CHR.+\|PRM\|1\|D.+(SWITCH|SIGNAL).+UNKNOWN)" - &gt;&gt; 2017-02-26-UncaughtWiMAX.txt</v>
      </c>
    </row>
    <row r="208" spans="1:40" x14ac:dyDescent="0.25">
      <c r="A208" s="33" t="s">
        <v>729</v>
      </c>
      <c r="B208" s="7">
        <v>4032</v>
      </c>
      <c r="C208" s="21" t="s">
        <v>285</v>
      </c>
      <c r="D208" s="21" t="s">
        <v>923</v>
      </c>
      <c r="E208" s="13">
        <v>42792.728090277778</v>
      </c>
      <c r="F208" s="13">
        <v>42792.731770833336</v>
      </c>
      <c r="G208" s="7">
        <v>5</v>
      </c>
      <c r="H208" s="21" t="s">
        <v>790</v>
      </c>
      <c r="I208" s="13">
        <v>42792.737337962964</v>
      </c>
      <c r="J208" s="7">
        <v>1</v>
      </c>
      <c r="K208" s="98" t="str">
        <f t="shared" si="57"/>
        <v>4031/4032</v>
      </c>
      <c r="L208" s="21" t="str">
        <f>VLOOKUP(A208,'Trips&amp;Operators'!$C$1:$G$99999,5,FALSE)</f>
        <v>SAFIEF AEIMEN</v>
      </c>
      <c r="M208" s="6">
        <f t="shared" si="58"/>
        <v>5.5671296286163852E-3</v>
      </c>
      <c r="N208" s="7">
        <f t="shared" si="59"/>
        <v>8.0166666652075946</v>
      </c>
      <c r="O208" s="7"/>
      <c r="P208" s="7"/>
      <c r="Q208" s="22"/>
      <c r="R208" s="22"/>
      <c r="S208" s="31">
        <f t="shared" si="60"/>
        <v>0</v>
      </c>
      <c r="T208" s="46" t="e">
        <f t="shared" si="61"/>
        <v>#VALUE!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86" t="str">
        <f t="shared" si="62"/>
        <v>https://d0f6bd738d7f1b3e5a7ca70fe4ff75f0.us-east-1.aws.found.io/app/kibana#/discover/Steve-Slow-Train-Analysis-(2080s-and-2083s)?_g=(refreshInterval:(display:Off,pause:!f,section:0,value:0),time:(from:'2017-02-26T16:28:27-0700',mode:absolute,to:'2017-02-26T18:41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8" s="187" t="str">
        <f t="shared" si="63"/>
        <v>Y</v>
      </c>
      <c r="X208" s="187" t="e">
        <f t="shared" si="64"/>
        <v>#VALUE!</v>
      </c>
      <c r="Y208" s="62">
        <f t="shared" si="65"/>
        <v>2.351</v>
      </c>
      <c r="Z208" s="62">
        <f t="shared" si="66"/>
        <v>1.29E-2</v>
      </c>
      <c r="AA208" s="62">
        <f t="shared" si="67"/>
        <v>2.3380999999999998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68"/>
        <v>52-26</v>
      </c>
      <c r="AE208" s="85" t="str">
        <f t="shared" si="69"/>
        <v>aws s3 cp s3://rtdc.mdm.uploadarchive.raw/RTDC4032/ "%USERPROFILE%\AppData\Local\Temp\OnboardLogs"\RTDC4032\2017-02-26 --exclude "*" --recursive --include "*20170226*" &amp; "%USERPROFILE%\Documents\GitHub\mrs-test-scripts\Headless Mode &amp; Sideloading\WalkAndUnGZ.bat" "%USERPROFILE%\AppData\Local\Temp\OnboardLogs"\RTDC4032\2017-02-26 &amp; aws s3 cp s3://rtdc.mdm.uploadarchive.raw/RTDC4032/ "%USERPROFILE%\AppData\Local\Temp\OnboardLogs"\RTDC4032\2017-02-27 --exclude "*" --recursive --include "*20170227*" &amp; "%USERPROFILE%\Documents\GitHub\mrs-test-scripts\Headless Mode &amp; Sideloading\WalkAndUnGZ.bat" "%USERPROFILE%\AppData\Local\Temp\OnboardLogs"\RTDC4032\2017-02-27</v>
      </c>
      <c r="AF208" s="82" t="str">
        <f t="shared" si="70"/>
        <v>"C:\Program Files (x86)\AstroGrep\AstroGrep.exe" /spath="%USERPROFILE%\AppData\Local\Temp\OnboardLogs" /stypes="app*4032*20170227*" /stext=" 00:.+((SYSTEM_STATE.+slice.+state.+changed )|(ment ac)|(multiple cpu faults)|(system.+state.+changed )|(\[timeout)|(PRM\|1\|D)|(kpr)|(kdp)|(\|lc)|(penalty))" /e /r /s</v>
      </c>
      <c r="AG208" s="1" t="str">
        <f t="shared" si="71"/>
        <v>Other</v>
      </c>
      <c r="AH208" s="86" t="str">
        <f t="shared" si="72"/>
        <v>"%USERPROFILE%\Documents\GitHub\eaglep3\Utilities\RefineRTDCRunTimes.py" --tripid 52-26 --locoid 4032 --swversion DE.1.0.9.0 --startMP 300:23510 --initTime 2017-02-26T17:28:27 --startdatetime 2017-02-26T17:33:45 --delay 5 --endMP 204:129 --enddatetime 2017-02-26T17:41:46 --enforcementcount 1 &gt;&gt;C:\Users\stu\Documents\GitHub\eaglep3-reporting\EC\2017-02-26-refined-times.txt</v>
      </c>
      <c r="AI208" s="108" t="str">
        <f t="shared" si="73"/>
        <v>echo {"issue":{"subject":"","project_id":79,"tracker_id":40,"status_id":1,"priority_id":2,"assigned_to_id":23,"start_date":"2017-02-26","description":"","custom_fields":[{"id":1,"name":"Subdivision","value":"Other"},{"id":4,"name":"Milepost","value":"0.0129"},{"id":17,"name":"Train ID","value":"52-26"},{"id":16,"name":"Locomotive ID","value":"4032"},{"id":130,"name":"Impact","value":""},{"id":150,"name":"Time of Event (Mountain Time)","value":"17:41:46"},{"id":151,"name":"Denver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74"/>
        <v>start /low /b %USERPROFILE%\Documents\GitHub\eaglep3\Utilities\DownloadLogsFromS3.py --loco 4032 --day 2017-02-26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"%USERPROFILE%\AppData\Local\Temp\OnboardLogs"\RTDC4032\*4032*20170227* | grep -SE "(Enforcement Action)|(\[TIMEOUT)|(CHR.+\|PRM\|1\|D.+(SWITCH|SIGNAL).+UNKNOWN)" - &gt;&gt; 2017-02-26-UncaughtWiMAX.txt</v>
      </c>
    </row>
    <row r="209" spans="1:40" x14ac:dyDescent="0.25">
      <c r="A209" s="33" t="s">
        <v>735</v>
      </c>
      <c r="B209" s="7">
        <v>4013</v>
      </c>
      <c r="C209" s="21" t="s">
        <v>285</v>
      </c>
      <c r="D209" s="21" t="s">
        <v>924</v>
      </c>
      <c r="E209" s="13">
        <v>42792.753819444442</v>
      </c>
      <c r="F209" s="13">
        <v>42792.755370370367</v>
      </c>
      <c r="G209" s="7">
        <v>1</v>
      </c>
      <c r="H209" s="21" t="s">
        <v>925</v>
      </c>
      <c r="I209" s="13">
        <v>42792.766631944447</v>
      </c>
      <c r="J209" s="7">
        <v>1</v>
      </c>
      <c r="K209" s="98" t="str">
        <f t="shared" si="57"/>
        <v>4013/4014</v>
      </c>
      <c r="L209" s="21" t="str">
        <f>VLOOKUP(A209,'Trips&amp;Operators'!$C$1:$G$99999,5,FALSE)</f>
        <v>COMELLA JUSTIN</v>
      </c>
      <c r="M209" s="6">
        <f t="shared" si="58"/>
        <v>1.1261574079981074E-2</v>
      </c>
      <c r="N209" s="7">
        <f t="shared" si="59"/>
        <v>16.216666675172746</v>
      </c>
      <c r="O209" s="7"/>
      <c r="P209" s="7"/>
      <c r="Q209" s="22"/>
      <c r="R209" s="22"/>
      <c r="S209" s="31">
        <f t="shared" si="60"/>
        <v>0</v>
      </c>
      <c r="T209" s="46" t="e">
        <f t="shared" si="61"/>
        <v>#VALUE!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86" t="str">
        <f t="shared" si="62"/>
        <v>https://d0f6bd738d7f1b3e5a7ca70fe4ff75f0.us-east-1.aws.found.io/app/kibana#/discover/Steve-Slow-Train-Analysis-(2080s-and-2083s)?_g=(refreshInterval:(display:Off,pause:!f,section:0,value:0),time:(from:'2017-02-26T17:05:30-0700',mode:absolute,to:'2017-02-26T19:23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9" s="187" t="str">
        <f t="shared" si="63"/>
        <v>Y</v>
      </c>
      <c r="X209" s="187" t="e">
        <f t="shared" si="64"/>
        <v>#VALUE!</v>
      </c>
      <c r="Y209" s="62">
        <f t="shared" si="65"/>
        <v>2.3201000000000001</v>
      </c>
      <c r="Z209" s="62">
        <f t="shared" si="66"/>
        <v>0.16109999999999999</v>
      </c>
      <c r="AA209" s="62">
        <f t="shared" si="67"/>
        <v>2.1590000000000003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68"/>
        <v>54-26</v>
      </c>
      <c r="AE209" s="85" t="str">
        <f t="shared" si="69"/>
        <v>aws s3 cp s3://rtdc.mdm.uploadarchive.raw/RTDC4013/ "%USERPROFILE%\AppData\Local\Temp\OnboardLogs"\RTDC4013\2017-02-26 --exclude "*" --recursive --include "*20170226*" &amp; "%USERPROFILE%\Documents\GitHub\mrs-test-scripts\Headless Mode &amp; Sideloading\WalkAndUnGZ.bat" "%USERPROFILE%\AppData\Local\Temp\OnboardLogs"\RTDC4013\2017-02-26 &amp; aws s3 cp s3://rtdc.mdm.uploadarchive.raw/RTDC4013/ "%USERPROFILE%\AppData\Local\Temp\OnboardLogs"\RTDC4013\2017-02-27 --exclude "*" --recursive --include "*20170227*" &amp; "%USERPROFILE%\Documents\GitHub\mrs-test-scripts\Headless Mode &amp; Sideloading\WalkAndUnGZ.bat" "%USERPROFILE%\AppData\Local\Temp\OnboardLogs"\RTDC4013\2017-02-27</v>
      </c>
      <c r="AF209" s="82" t="str">
        <f t="shared" si="70"/>
        <v>"C:\Program Files (x86)\AstroGrep\AstroGrep.exe" /spath="%USERPROFILE%\AppData\Local\Temp\OnboardLogs" /stypes="app*4013*20170227*" /stext=" 01:.+((SYSTEM_STATE.+slice.+state.+changed )|(ment ac)|(multiple cpu faults)|(system.+state.+changed )|(\[timeout)|(PRM\|1\|D)|(kpr)|(kdp)|(\|lc)|(penalty))" /e /r /s</v>
      </c>
      <c r="AG209" s="1" t="str">
        <f t="shared" si="71"/>
        <v>Other</v>
      </c>
      <c r="AH209" s="86" t="str">
        <f t="shared" si="72"/>
        <v>"%USERPROFILE%\Documents\GitHub\eaglep3\Utilities\RefineRTDCRunTimes.py" --tripid 54-26 --locoid 4013 --swversion DE.1.0.9.0 --startMP 300:23201 --initTime 2017-02-26T18:05:30 --startdatetime 2017-02-26T18:07:44 --delay 1 --endMP 204:1611 --enddatetime 2017-02-26T18:23:57 --enforcementcount 1 &gt;&gt;C:\Users\stu\Documents\GitHub\eaglep3-reporting\EC\2017-02-26-refined-times.txt</v>
      </c>
      <c r="AI209" s="108" t="str">
        <f t="shared" si="73"/>
        <v>echo {"issue":{"subject":"","project_id":79,"tracker_id":40,"status_id":1,"priority_id":2,"assigned_to_id":23,"start_date":"2017-02-26","description":"","custom_fields":[{"id":1,"name":"Subdivision","value":"Other"},{"id":4,"name":"Milepost","value":"0.1611"},{"id":17,"name":"Train ID","value":"54-26"},{"id":16,"name":"Locomotive ID","value":"4013"},{"id":130,"name":"Impact","value":""},{"id":150,"name":"Time of Event (Mountain Time)","value":"18:23:57"},{"id":151,"name":"Denver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74"/>
        <v>start /low /b %USERPROFILE%\Documents\GitHub\eaglep3\Utilities\DownloadLogsFromS3.py --loco 4013 --day 2017-02-26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"%USERPROFILE%\AppData\Local\Temp\OnboardLogs"\RTDC4013\*4013*20170227* | grep -SE "(Enforcement Action)|(\[TIMEOUT)|(CHR.+\|PRM\|1\|D.+(SWITCH|SIGNAL).+UNKNOWN)" - &gt;&gt; 2017-02-26-UncaughtWiMAX.txt</v>
      </c>
    </row>
    <row r="210" spans="1:40" x14ac:dyDescent="0.25">
      <c r="A210" s="33" t="s">
        <v>739</v>
      </c>
      <c r="B210" s="7">
        <v>4031</v>
      </c>
      <c r="C210" s="21" t="s">
        <v>285</v>
      </c>
      <c r="D210" s="21" t="s">
        <v>926</v>
      </c>
      <c r="E210" s="13">
        <v>42792.76221064815</v>
      </c>
      <c r="F210" s="13">
        <v>42792.766747685186</v>
      </c>
      <c r="G210" s="7">
        <v>1</v>
      </c>
      <c r="H210" s="21" t="s">
        <v>268</v>
      </c>
      <c r="I210" s="13">
        <v>42792.772233796299</v>
      </c>
      <c r="J210" s="7">
        <v>1</v>
      </c>
      <c r="K210" s="98" t="str">
        <f t="shared" si="57"/>
        <v>4031/4032</v>
      </c>
      <c r="L210" s="21" t="str">
        <f>VLOOKUP(A210,'Trips&amp;Operators'!$C$1:$G$99999,5,FALSE)</f>
        <v>DAVIS MICHAEL</v>
      </c>
      <c r="M210" s="6">
        <f t="shared" si="58"/>
        <v>5.4861111129866913E-3</v>
      </c>
      <c r="N210" s="7">
        <f t="shared" si="59"/>
        <v>7.9000000027008355</v>
      </c>
      <c r="O210" s="7"/>
      <c r="P210" s="7"/>
      <c r="Q210" s="22"/>
      <c r="R210" s="22"/>
      <c r="S210" s="31">
        <f t="shared" si="60"/>
        <v>0</v>
      </c>
      <c r="T210" s="46" t="e">
        <f t="shared" si="61"/>
        <v>#VALUE!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6" t="str">
        <f t="shared" si="62"/>
        <v>https://d0f6bd738d7f1b3e5a7ca70fe4ff75f0.us-east-1.aws.found.io/app/kibana#/discover/Steve-Slow-Train-Analysis-(2080s-and-2083s)?_g=(refreshInterval:(display:Off,pause:!f,section:0,value:0),time:(from:'2017-02-26T17:17:35-0700',mode:absolute,to:'2017-02-26T19:32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0" s="187" t="str">
        <f t="shared" si="63"/>
        <v>Y</v>
      </c>
      <c r="X210" s="187" t="e">
        <f t="shared" si="64"/>
        <v>#VALUE!</v>
      </c>
      <c r="Y210" s="62">
        <f t="shared" si="65"/>
        <v>4.2799999999999998E-2</v>
      </c>
      <c r="Z210" s="62">
        <f t="shared" si="66"/>
        <v>2.3346</v>
      </c>
      <c r="AA210" s="62">
        <f t="shared" si="67"/>
        <v>2.2917999999999998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68"/>
        <v>55-26</v>
      </c>
      <c r="AE210" s="85" t="str">
        <f t="shared" si="69"/>
        <v>aws s3 cp s3://rtdc.mdm.uploadarchive.raw/RTDC4031/ "%USERPROFILE%\AppData\Local\Temp\OnboardLogs"\RTDC4031\2017-02-26 --exclude "*" --recursive --include "*20170226*" &amp; "%USERPROFILE%\Documents\GitHub\mrs-test-scripts\Headless Mode &amp; Sideloading\WalkAndUnGZ.bat" "%USERPROFILE%\AppData\Local\Temp\OnboardLogs"\RTDC4031\2017-02-26 &amp; aws s3 cp s3://rtdc.mdm.uploadarchive.raw/RTDC4031/ "%USERPROFILE%\AppData\Local\Temp\OnboardLogs"\RTDC4031\2017-02-27 --exclude "*" --recursive --include "*20170227*" &amp; "%USERPROFILE%\Documents\GitHub\mrs-test-scripts\Headless Mode &amp; Sideloading\WalkAndUnGZ.bat" "%USERPROFILE%\AppData\Local\Temp\OnboardLogs"\RTDC4031\2017-02-27</v>
      </c>
      <c r="AF210" s="82" t="str">
        <f t="shared" si="70"/>
        <v>"C:\Program Files (x86)\AstroGrep\AstroGrep.exe" /spath="%USERPROFILE%\AppData\Local\Temp\OnboardLogs" /stypes="app*4031*20170227*" /stext=" 01:.+((SYSTEM_STATE.+slice.+state.+changed )|(ment ac)|(multiple cpu faults)|(system.+state.+changed )|(\[timeout)|(PRM\|1\|D)|(kpr)|(kdp)|(\|lc)|(penalty))" /e /r /s</v>
      </c>
      <c r="AG210" s="1" t="str">
        <f t="shared" si="71"/>
        <v>Other</v>
      </c>
      <c r="AH210" s="86" t="str">
        <f t="shared" si="72"/>
        <v>"%USERPROFILE%\Documents\GitHub\eaglep3\Utilities\RefineRTDCRunTimes.py" --tripid 55-26 --locoid 4031 --swversion DE.1.0.9.0 --startMP 204:428 --initTime 2017-02-26T18:17:35 --startdatetime 2017-02-26T18:24:07 --delay 1 --endMP 300:23346 --enddatetime 2017-02-26T18:32:01 --enforcementcount 1 &gt;&gt;C:\Users\stu\Documents\GitHub\eaglep3-reporting\EC\2017-02-26-refined-times.txt</v>
      </c>
      <c r="AI210" s="108" t="str">
        <f t="shared" si="73"/>
        <v>echo {"issue":{"subject":"","project_id":79,"tracker_id":40,"status_id":1,"priority_id":2,"assigned_to_id":23,"start_date":"2017-02-26","description":"","custom_fields":[{"id":1,"name":"Subdivision","value":"Other"},{"id":4,"name":"Milepost","value":"2.3346"},{"id":17,"name":"Train ID","value":"55-26"},{"id":16,"name":"Locomotive ID","value":"4031"},{"id":130,"name":"Impact","value":""},{"id":150,"name":"Time of Event (Mountain Time)","value":"18:32:01"},{"id":151,"name":"Denver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74"/>
        <v>start /low /b %USERPROFILE%\Documents\GitHub\eaglep3\Utilities\DownloadLogsFromS3.py --loco 4031 --day 2017-02-26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"%USERPROFILE%\AppData\Local\Temp\OnboardLogs"\RTDC4031\*4031*20170227* | grep -SE "(Enforcement Action)|(\[TIMEOUT)|(CHR.+\|PRM\|1\|D.+(SWITCH|SIGNAL).+UNKNOWN)" - &gt;&gt; 2017-02-26-UncaughtWiMAX.txt</v>
      </c>
    </row>
    <row r="211" spans="1:40" x14ac:dyDescent="0.25">
      <c r="A211" s="33" t="s">
        <v>572</v>
      </c>
      <c r="B211" s="7">
        <v>4050</v>
      </c>
      <c r="C211" s="21" t="s">
        <v>285</v>
      </c>
      <c r="D211" s="21" t="s">
        <v>927</v>
      </c>
      <c r="E211" s="13">
        <v>42793.033472222225</v>
      </c>
      <c r="F211" s="13">
        <v>42793.034907407404</v>
      </c>
      <c r="G211" s="7">
        <v>1</v>
      </c>
      <c r="H211" s="21" t="s">
        <v>928</v>
      </c>
      <c r="I211" s="13">
        <v>42793.071076388886</v>
      </c>
      <c r="J211" s="7">
        <v>1</v>
      </c>
      <c r="K211" s="98" t="str">
        <f t="shared" si="57"/>
        <v>4049/4050</v>
      </c>
      <c r="L211" s="21" t="str">
        <f>VLOOKUP(A211,'Trips&amp;Operators'!$C$1:$G$99999,5,FALSE)</f>
        <v>YANG JAN</v>
      </c>
      <c r="M211" s="6">
        <f t="shared" si="58"/>
        <v>3.6168981481750961E-2</v>
      </c>
      <c r="N211" s="7">
        <f t="shared" si="59"/>
        <v>52.083333333721384</v>
      </c>
      <c r="O211" s="7"/>
      <c r="P211" s="7"/>
      <c r="Q211" s="22"/>
      <c r="R211" s="22"/>
      <c r="S211" s="31">
        <f t="shared" si="60"/>
        <v>0</v>
      </c>
      <c r="T211" s="46" t="e">
        <f t="shared" si="61"/>
        <v>#VALUE!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86" t="str">
        <f t="shared" si="62"/>
        <v>https://d0f6bd738d7f1b3e5a7ca70fe4ff75f0.us-east-1.aws.found.io/app/kibana#/discover/Steve-Slow-Train-Analysis-(2080s-and-2083s)?_g=(refreshInterval:(display:Off,pause:!f,section:0,value:0),time:(from:'2017-02-26T23:48:12-0700',mode:absolute,to:'2017-02-27T02:42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1" s="187" t="str">
        <f t="shared" si="63"/>
        <v>N</v>
      </c>
      <c r="X211" s="187" t="e">
        <f t="shared" si="64"/>
        <v>#VALUE!</v>
      </c>
      <c r="Y211" s="62">
        <f t="shared" si="65"/>
        <v>23.296900000000001</v>
      </c>
      <c r="Z211" s="62">
        <f t="shared" si="66"/>
        <v>1.35E-2</v>
      </c>
      <c r="AA211" s="62">
        <f t="shared" si="67"/>
        <v>23.2834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68"/>
        <v>60-26</v>
      </c>
      <c r="AE211" s="85" t="str">
        <f t="shared" si="69"/>
        <v>aws s3 cp s3://rtdc.mdm.uploadarchive.raw/RTDC4050/ "%USERPROFILE%\AppData\Local\Temp\OnboardLogs"\RTDC4050\2017-02-27 --exclude "*" --recursive --include "*20170227*" &amp; "%USERPROFILE%\Documents\GitHub\mrs-test-scripts\Headless Mode &amp; Sideloading\WalkAndUnGZ.bat" "%USERPROFILE%\AppData\Local\Temp\OnboardLogs"\RTDC4050\2017-02-27 &amp; aws s3 cp s3://rtdc.mdm.uploadarchive.raw/RTDC4050/ "%USERPROFILE%\AppData\Local\Temp\OnboardLogs"\RTDC4050\2017-02-28 --exclude "*" --recursive --include "*20170228*" &amp; "%USERPROFILE%\Documents\GitHub\mrs-test-scripts\Headless Mode &amp; Sideloading\WalkAndUnGZ.bat" "%USERPROFILE%\AppData\Local\Temp\OnboardLogs"\RTDC4050\2017-02-28</v>
      </c>
      <c r="AF211" s="82" t="str">
        <f t="shared" si="70"/>
        <v>"C:\Program Files (x86)\AstroGrep\AstroGrep.exe" /spath="%USERPROFILE%\AppData\Local\Temp\OnboardLogs" /stypes="app*4050*20170227*" /stext=" 08:.+((SYSTEM_STATE.+slice.+state.+changed )|(ment ac)|(multiple cpu faults)|(system.+state.+changed )|(\[timeout)|(PRM\|1\|D)|(kpr)|(kdp)|(\|lc)|(penalty))" /e /r /s</v>
      </c>
      <c r="AG211" s="1" t="str">
        <f t="shared" si="71"/>
        <v>Other</v>
      </c>
      <c r="AH211" s="86" t="str">
        <f t="shared" si="72"/>
        <v>"%USERPROFILE%\Documents\GitHub\eaglep3\Utilities\RefineRTDCRunTimes.py" --tripid 60-26 --locoid 4050 --swversion DE.1.0.9.0 --startMP 204:232969 --initTime 2017-02-27T00:48:12 --startdatetime 2017-02-27T00:50:16 --delay 1 --endMP 204:135 --enddatetime 2017-02-27T01:42:21 --enforcementcount 1 &gt;&gt;C:\Users\stu\Documents\GitHub\eaglep3-reporting\EC\2017-02-26-refined-times.txt</v>
      </c>
      <c r="AI211" s="108" t="str">
        <f t="shared" si="73"/>
        <v>echo {"issue":{"subject":"","project_id":79,"tracker_id":40,"status_id":1,"priority_id":2,"assigned_to_id":23,"start_date":"2017-02-27","description":"","custom_fields":[{"id":1,"name":"Subdivision","value":"Other"},{"id":4,"name":"Milepost","value":"0.0135"},{"id":17,"name":"Train ID","value":"60-26"},{"id":16,"name":"Locomotive ID","value":"4050"},{"id":130,"name":"Impact","value":""},{"id":150,"name":"Time of Event (Mountain Time)","value":"01:42:21"},{"id":151,"name":"Denver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74"/>
        <v>start /low /b %USERPROFILE%\Documents\GitHub\eaglep3\Utilities\DownloadLogsFromS3.py --loco 4050 --day 2017-02-27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"%USERPROFILE%\AppData\Local\Temp\OnboardLogs"\RTDC4050\*4050*20170227* | grep -SE "(Enforcement Action)|(\[TIMEOUT)|(CHR.+\|PRM\|1\|D.+(SWITCH|SIGNAL).+UNKNOWN)" - &gt;&gt; 2017-02-26-UncaughtWiMAX.txt</v>
      </c>
    </row>
    <row r="212" spans="1:40" x14ac:dyDescent="0.25">
      <c r="A212" s="33" t="s">
        <v>572</v>
      </c>
      <c r="B212" s="7">
        <v>4050</v>
      </c>
      <c r="C212" s="21" t="s">
        <v>285</v>
      </c>
      <c r="D212" s="21" t="s">
        <v>373</v>
      </c>
      <c r="E212" s="13">
        <v>42792.961435185185</v>
      </c>
      <c r="F212" s="13">
        <v>42792.962789351855</v>
      </c>
      <c r="G212" s="7">
        <v>1</v>
      </c>
      <c r="H212" s="21" t="s">
        <v>929</v>
      </c>
      <c r="I212" s="13">
        <v>42792.991828703707</v>
      </c>
      <c r="J212" s="7">
        <v>1</v>
      </c>
      <c r="K212" s="98" t="str">
        <f t="shared" si="57"/>
        <v>4049/4050</v>
      </c>
      <c r="L212" s="21" t="str">
        <f>VLOOKUP(A212,'Trips&amp;Operators'!$C$1:$G$99999,5,FALSE)</f>
        <v>YANG JAN</v>
      </c>
      <c r="M212" s="6">
        <f t="shared" si="58"/>
        <v>2.9039351851679385E-2</v>
      </c>
      <c r="N212" s="7">
        <f t="shared" si="59"/>
        <v>41.816666666418314</v>
      </c>
      <c r="O212" s="7"/>
      <c r="P212" s="7"/>
      <c r="Q212" s="22"/>
      <c r="R212" s="22"/>
      <c r="S212" s="31">
        <f t="shared" si="60"/>
        <v>0</v>
      </c>
      <c r="T212" s="46" t="e">
        <f t="shared" si="61"/>
        <v>#VALUE!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86" t="str">
        <f t="shared" si="62"/>
        <v>https://d0f6bd738d7f1b3e5a7ca70fe4ff75f0.us-east-1.aws.found.io/app/kibana#/discover/Steve-Slow-Train-Analysis-(2080s-and-2083s)?_g=(refreshInterval:(display:Off,pause:!f,section:0,value:0),time:(from:'2017-02-26T22:04:28-0700',mode:absolute,to:'2017-02-27T00:48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2" s="187" t="str">
        <f t="shared" si="63"/>
        <v>N</v>
      </c>
      <c r="X212" s="187" t="e">
        <f t="shared" si="64"/>
        <v>#VALUE!</v>
      </c>
      <c r="Y212" s="62">
        <f t="shared" si="65"/>
        <v>23.297699999999999</v>
      </c>
      <c r="Z212" s="62">
        <f t="shared" si="66"/>
        <v>0.11650000000000001</v>
      </c>
      <c r="AA212" s="62">
        <f t="shared" si="67"/>
        <v>23.1812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68"/>
        <v>60-26</v>
      </c>
      <c r="AE212" s="85" t="str">
        <f t="shared" si="69"/>
        <v>aws s3 cp s3://rtdc.mdm.uploadarchive.raw/RTDC4050/ "%USERPROFILE%\AppData\Local\Temp\OnboardLogs"\RTDC4050\2017-02-26 --exclude "*" --recursive --include "*20170226*" &amp; "%USERPROFILE%\Documents\GitHub\mrs-test-scripts\Headless Mode &amp; Sideloading\WalkAndUnGZ.bat" "%USERPROFILE%\AppData\Local\Temp\OnboardLogs"\RTDC4050\2017-02-26 &amp; aws s3 cp s3://rtdc.mdm.uploadarchive.raw/RTDC4050/ "%USERPROFILE%\AppData\Local\Temp\OnboardLogs"\RTDC4050\2017-02-27 --exclude "*" --recursive --include "*20170227*" &amp; "%USERPROFILE%\Documents\GitHub\mrs-test-scripts\Headless Mode &amp; Sideloading\WalkAndUnGZ.bat" "%USERPROFILE%\AppData\Local\Temp\OnboardLogs"\RTDC4050\2017-02-27</v>
      </c>
      <c r="AF212" s="82" t="str">
        <f t="shared" si="70"/>
        <v>"C:\Program Files (x86)\AstroGrep\AstroGrep.exe" /spath="%USERPROFILE%\AppData\Local\Temp\OnboardLogs" /stypes="app*4050*20170227*" /stext=" 06:.+((SYSTEM_STATE.+slice.+state.+changed )|(ment ac)|(multiple cpu faults)|(system.+state.+changed )|(\[timeout)|(PRM\|1\|D)|(kpr)|(kdp)|(\|lc)|(penalty))" /e /r /s</v>
      </c>
      <c r="AG212" s="1" t="str">
        <f t="shared" si="71"/>
        <v>Other</v>
      </c>
      <c r="AH212" s="86" t="str">
        <f t="shared" si="72"/>
        <v>"%USERPROFILE%\Documents\GitHub\eaglep3\Utilities\RefineRTDCRunTimes.py" --tripid 60-26 --locoid 4050 --swversion DE.1.0.9.0 --startMP 204:232977 --initTime 2017-02-26T23:04:28 --startdatetime 2017-02-26T23:06:25 --delay 1 --endMP 204:1165 --enddatetime 2017-02-26T23:48:14 --enforcementcount 1 &gt;&gt;C:\Users\stu\Documents\GitHub\eaglep3-reporting\EC\2017-02-26-refined-times.txt</v>
      </c>
      <c r="AI212" s="108" t="str">
        <f t="shared" si="73"/>
        <v>echo {"issue":{"subject":"","project_id":79,"tracker_id":40,"status_id":1,"priority_id":2,"assigned_to_id":23,"start_date":"2017-02-26","description":"","custom_fields":[{"id":1,"name":"Subdivision","value":"Other"},{"id":4,"name":"Milepost","value":"0.1165"},{"id":17,"name":"Train ID","value":"60-26"},{"id":16,"name":"Locomotive ID","value":"4050"},{"id":130,"name":"Impact","value":""},{"id":150,"name":"Time of Event (Mountain Time)","value":"23:48:14"},{"id":151,"name":"Denver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74"/>
        <v>start /low /b %USERPROFILE%\Documents\GitHub\eaglep3\Utilities\DownloadLogsFromS3.py --loco 4050 --day 2017-02-26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"%USERPROFILE%\AppData\Local\Temp\OnboardLogs"\RTDC4050\*4050*20170227* | grep -SE "(Enforcement Action)|(\[TIMEOUT)|(CHR.+\|PRM\|1\|D.+(SWITCH|SIGNAL).+UNKNOWN)" - &gt;&gt; 2017-02-26-UncaughtWiMAX.txt</v>
      </c>
    </row>
    <row r="213" spans="1:40" x14ac:dyDescent="0.25">
      <c r="A213" s="33" t="s">
        <v>572</v>
      </c>
      <c r="B213" s="7">
        <v>4050</v>
      </c>
      <c r="C213" s="21" t="s">
        <v>285</v>
      </c>
      <c r="D213" s="21" t="s">
        <v>798</v>
      </c>
      <c r="E213" s="13">
        <v>42792.892870370371</v>
      </c>
      <c r="F213" s="13">
        <v>42792.896481481483</v>
      </c>
      <c r="G213" s="7">
        <v>2</v>
      </c>
      <c r="H213" s="21" t="s">
        <v>930</v>
      </c>
      <c r="I213" s="13">
        <v>42792.92527777778</v>
      </c>
      <c r="J213" s="7">
        <v>1</v>
      </c>
      <c r="K213" s="98" t="str">
        <f t="shared" si="57"/>
        <v>4049/4050</v>
      </c>
      <c r="L213" s="21" t="str">
        <f>VLOOKUP(A213,'Trips&amp;Operators'!$C$1:$G$99999,5,FALSE)</f>
        <v>YANG JAN</v>
      </c>
      <c r="M213" s="6">
        <f t="shared" si="58"/>
        <v>2.8796296297514345E-2</v>
      </c>
      <c r="N213" s="7">
        <f t="shared" si="59"/>
        <v>41.466666668420658</v>
      </c>
      <c r="O213" s="7"/>
      <c r="P213" s="7"/>
      <c r="Q213" s="22"/>
      <c r="R213" s="22"/>
      <c r="S213" s="31">
        <f t="shared" si="60"/>
        <v>0</v>
      </c>
      <c r="T213" s="46" t="e">
        <f t="shared" si="61"/>
        <v>#VALUE!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86" t="str">
        <f t="shared" si="62"/>
        <v>https://d0f6bd738d7f1b3e5a7ca70fe4ff75f0.us-east-1.aws.found.io/app/kibana#/discover/Steve-Slow-Train-Analysis-(2080s-and-2083s)?_g=(refreshInterval:(display:Off,pause:!f,section:0,value:0),time:(from:'2017-02-26T20:25:44-0700',mode:absolute,to:'2017-02-26T23:12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3" s="187" t="str">
        <f t="shared" si="63"/>
        <v>N</v>
      </c>
      <c r="X213" s="187" t="e">
        <f t="shared" si="64"/>
        <v>#VALUE!</v>
      </c>
      <c r="Y213" s="62">
        <f t="shared" si="65"/>
        <v>23.2986</v>
      </c>
      <c r="Z213" s="62">
        <f t="shared" si="66"/>
        <v>0.1173</v>
      </c>
      <c r="AA213" s="62">
        <f t="shared" si="67"/>
        <v>23.1813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68"/>
        <v>60-26</v>
      </c>
      <c r="AE213" s="85" t="str">
        <f t="shared" si="69"/>
        <v>aws s3 cp s3://rtdc.mdm.uploadarchive.raw/RTDC4050/ "%USERPROFILE%\AppData\Local\Temp\OnboardLogs"\RTDC4050\2017-02-26 --exclude "*" --recursive --include "*20170226*" &amp; "%USERPROFILE%\Documents\GitHub\mrs-test-scripts\Headless Mode &amp; Sideloading\WalkAndUnGZ.bat" "%USERPROFILE%\AppData\Local\Temp\OnboardLogs"\RTDC4050\2017-02-26 &amp; aws s3 cp s3://rtdc.mdm.uploadarchive.raw/RTDC4050/ "%USERPROFILE%\AppData\Local\Temp\OnboardLogs"\RTDC4050\2017-02-27 --exclude "*" --recursive --include "*20170227*" &amp; "%USERPROFILE%\Documents\GitHub\mrs-test-scripts\Headless Mode &amp; Sideloading\WalkAndUnGZ.bat" "%USERPROFILE%\AppData\Local\Temp\OnboardLogs"\RTDC4050\2017-02-27</v>
      </c>
      <c r="AF213" s="82" t="str">
        <f t="shared" si="70"/>
        <v>"C:\Program Files (x86)\AstroGrep\AstroGrep.exe" /spath="%USERPROFILE%\AppData\Local\Temp\OnboardLogs" /stypes="app*4050*20170227*" /stext=" 05:.+((SYSTEM_STATE.+slice.+state.+changed )|(ment ac)|(multiple cpu faults)|(system.+state.+changed )|(\[timeout)|(PRM\|1\|D)|(kpr)|(kdp)|(\|lc)|(penalty))" /e /r /s</v>
      </c>
      <c r="AG213" s="1" t="str">
        <f t="shared" si="71"/>
        <v>Other</v>
      </c>
      <c r="AH213" s="86" t="str">
        <f t="shared" si="72"/>
        <v>"%USERPROFILE%\Documents\GitHub\eaglep3\Utilities\RefineRTDCRunTimes.py" --tripid 60-26 --locoid 4050 --swversion DE.1.0.9.0 --startMP 204:232986 --initTime 2017-02-26T21:25:44 --startdatetime 2017-02-26T21:30:56 --delay 2 --endMP 204:1173 --enddatetime 2017-02-26T22:12:24 --enforcementcount 1 &gt;&gt;C:\Users\stu\Documents\GitHub\eaglep3-reporting\EC\2017-02-26-refined-times.txt</v>
      </c>
      <c r="AI213" s="108" t="str">
        <f t="shared" si="73"/>
        <v>echo {"issue":{"subject":"","project_id":79,"tracker_id":40,"status_id":1,"priority_id":2,"assigned_to_id":23,"start_date":"2017-02-26","description":"","custom_fields":[{"id":1,"name":"Subdivision","value":"Other"},{"id":4,"name":"Milepost","value":"0.1173"},{"id":17,"name":"Train ID","value":"60-26"},{"id":16,"name":"Locomotive ID","value":"4050"},{"id":130,"name":"Impact","value":""},{"id":150,"name":"Time of Event (Mountain Time)","value":"22:12:24"},{"id":151,"name":"Denver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74"/>
        <v>start /low /b %USERPROFILE%\Documents\GitHub\eaglep3\Utilities\DownloadLogsFromS3.py --loco 4050 --day 2017-02-26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"%USERPROFILE%\AppData\Local\Temp\OnboardLogs"\RTDC4050\*4050*20170227* | grep -SE "(Enforcement Action)|(\[TIMEOUT)|(CHR.+\|PRM\|1\|D.+(SWITCH|SIGNAL).+UNKNOWN)" - &gt;&gt; 2017-02-26-UncaughtWiMAX.txt</v>
      </c>
    </row>
    <row r="214" spans="1:40" x14ac:dyDescent="0.25">
      <c r="A214" s="33" t="s">
        <v>572</v>
      </c>
      <c r="B214" s="7">
        <v>4050</v>
      </c>
      <c r="C214" s="21" t="s">
        <v>285</v>
      </c>
      <c r="D214" s="21" t="s">
        <v>931</v>
      </c>
      <c r="E214" s="13">
        <v>42792.835740740738</v>
      </c>
      <c r="F214" s="13">
        <v>42792.837488425925</v>
      </c>
      <c r="G214" s="7">
        <v>1</v>
      </c>
      <c r="H214" s="21" t="s">
        <v>932</v>
      </c>
      <c r="I214" s="13">
        <v>42792.843055555553</v>
      </c>
      <c r="J214" s="7">
        <v>1</v>
      </c>
      <c r="K214" s="98" t="str">
        <f t="shared" si="57"/>
        <v>4049/4050</v>
      </c>
      <c r="L214" s="21" t="str">
        <f>VLOOKUP(A214,'Trips&amp;Operators'!$C$1:$G$99999,5,FALSE)</f>
        <v>YANG JAN</v>
      </c>
      <c r="M214" s="6">
        <f t="shared" si="58"/>
        <v>5.5671296286163852E-3</v>
      </c>
      <c r="N214" s="7">
        <f t="shared" si="59"/>
        <v>8.0166666652075946</v>
      </c>
      <c r="O214" s="7"/>
      <c r="P214" s="7"/>
      <c r="Q214" s="22"/>
      <c r="R214" s="22"/>
      <c r="S214" s="31">
        <f t="shared" si="60"/>
        <v>0</v>
      </c>
      <c r="T214" s="46" t="e">
        <f t="shared" si="61"/>
        <v>#VALUE!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86" t="str">
        <f t="shared" si="62"/>
        <v>https://d0f6bd738d7f1b3e5a7ca70fe4ff75f0.us-east-1.aws.found.io/app/kibana#/discover/Steve-Slow-Train-Analysis-(2080s-and-2083s)?_g=(refreshInterval:(display:Off,pause:!f,section:0,value:0),time:(from:'2017-02-26T19:03:28-0700',mode:absolute,to:'2017-02-26T21:14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4" s="187" t="str">
        <f t="shared" si="63"/>
        <v>Y</v>
      </c>
      <c r="X214" s="187" t="e">
        <f t="shared" si="64"/>
        <v>#VALUE!</v>
      </c>
      <c r="Y214" s="62">
        <f t="shared" si="65"/>
        <v>2.3149999999999999</v>
      </c>
      <c r="Z214" s="62">
        <f t="shared" si="66"/>
        <v>9.5200000000000007E-2</v>
      </c>
      <c r="AA214" s="62">
        <f t="shared" si="67"/>
        <v>2.2197999999999998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68"/>
        <v>60-26</v>
      </c>
      <c r="AE214" s="85" t="str">
        <f t="shared" si="69"/>
        <v>aws s3 cp s3://rtdc.mdm.uploadarchive.raw/RTDC4050/ "%USERPROFILE%\AppData\Local\Temp\OnboardLogs"\RTDC4050\2017-02-26 --exclude "*" --recursive --include "*20170226*" &amp; "%USERPROFILE%\Documents\GitHub\mrs-test-scripts\Headless Mode &amp; Sideloading\WalkAndUnGZ.bat" "%USERPROFILE%\AppData\Local\Temp\OnboardLogs"\RTDC4050\2017-02-26 &amp; aws s3 cp s3://rtdc.mdm.uploadarchive.raw/RTDC4050/ "%USERPROFILE%\AppData\Local\Temp\OnboardLogs"\RTDC4050\2017-02-27 --exclude "*" --recursive --include "*20170227*" &amp; "%USERPROFILE%\Documents\GitHub\mrs-test-scripts\Headless Mode &amp; Sideloading\WalkAndUnGZ.bat" "%USERPROFILE%\AppData\Local\Temp\OnboardLogs"\RTDC4050\2017-02-27</v>
      </c>
      <c r="AF214" s="82" t="str">
        <f t="shared" si="70"/>
        <v>"C:\Program Files (x86)\AstroGrep\AstroGrep.exe" /spath="%USERPROFILE%\AppData\Local\Temp\OnboardLogs" /stypes="app*4050*20170227*" /stext=" 03:.+((SYSTEM_STATE.+slice.+state.+changed )|(ment ac)|(multiple cpu faults)|(system.+state.+changed )|(\[timeout)|(PRM\|1\|D)|(kpr)|(kdp)|(\|lc)|(penalty))" /e /r /s</v>
      </c>
      <c r="AG214" s="1" t="str">
        <f t="shared" si="71"/>
        <v>Other</v>
      </c>
      <c r="AH214" s="86" t="str">
        <f t="shared" si="72"/>
        <v>"%USERPROFILE%\Documents\GitHub\eaglep3\Utilities\RefineRTDCRunTimes.py" --tripid 60-26 --locoid 4050 --swversion DE.1.0.9.0 --startMP 300:23150 --initTime 2017-02-26T20:03:28 --startdatetime 2017-02-26T20:05:59 --delay 1 --endMP 204:952 --enddatetime 2017-02-26T20:14:00 --enforcementcount 1 &gt;&gt;C:\Users\stu\Documents\GitHub\eaglep3-reporting\EC\2017-02-26-refined-times.txt</v>
      </c>
      <c r="AI214" s="108" t="str">
        <f t="shared" si="73"/>
        <v>echo {"issue":{"subject":"","project_id":79,"tracker_id":40,"status_id":1,"priority_id":2,"assigned_to_id":23,"start_date":"2017-02-26","description":"","custom_fields":[{"id":1,"name":"Subdivision","value":"Other"},{"id":4,"name":"Milepost","value":"0.0952"},{"id":17,"name":"Train ID","value":"60-26"},{"id":16,"name":"Locomotive ID","value":"4050"},{"id":130,"name":"Impact","value":""},{"id":150,"name":"Time of Event (Mountain Time)","value":"20:14:00"},{"id":151,"name":"Denver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74"/>
        <v>start /low /b %USERPROFILE%\Documents\GitHub\eaglep3\Utilities\DownloadLogsFromS3.py --loco 4050 --day 2017-02-26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"%USERPROFILE%\AppData\Local\Temp\OnboardLogs"\RTDC4050\*4050*20170227* | grep -SE "(Enforcement Action)|(\[TIMEOUT)|(CHR.+\|PRM\|1\|D.+(SWITCH|SIGNAL).+UNKNOWN)" - &gt;&gt; 2017-02-26-UncaughtWiMAX.txt</v>
      </c>
    </row>
    <row r="215" spans="1:40" x14ac:dyDescent="0.25">
      <c r="A215" s="33" t="s">
        <v>573</v>
      </c>
      <c r="B215" s="7">
        <v>4049</v>
      </c>
      <c r="C215" s="21" t="s">
        <v>285</v>
      </c>
      <c r="D215" s="21" t="s">
        <v>933</v>
      </c>
      <c r="E215" s="13">
        <v>42792.860694444447</v>
      </c>
      <c r="F215" s="13">
        <v>42792.863726851851</v>
      </c>
      <c r="G215" s="7">
        <v>2</v>
      </c>
      <c r="H215" s="21" t="s">
        <v>322</v>
      </c>
      <c r="I215" s="13">
        <v>42792.8909375</v>
      </c>
      <c r="J215" s="7">
        <v>1</v>
      </c>
      <c r="K215" s="98" t="str">
        <f t="shared" si="57"/>
        <v>4049/4050</v>
      </c>
      <c r="L215" s="21" t="str">
        <f>VLOOKUP(A215,'Trips&amp;Operators'!$C$1:$G$99999,5,FALSE)</f>
        <v>YANG JAN</v>
      </c>
      <c r="M215" s="6">
        <f t="shared" si="58"/>
        <v>2.7210648149775807E-2</v>
      </c>
      <c r="N215" s="7">
        <f t="shared" si="59"/>
        <v>39.183333335677162</v>
      </c>
      <c r="O215" s="7"/>
      <c r="P215" s="7"/>
      <c r="Q215" s="22"/>
      <c r="R215" s="22"/>
      <c r="S215" s="31">
        <f t="shared" si="60"/>
        <v>0</v>
      </c>
      <c r="T215" s="46" t="e">
        <f t="shared" si="61"/>
        <v>#VALUE!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6" t="str">
        <f t="shared" si="62"/>
        <v>https://d0f6bd738d7f1b3e5a7ca70fe4ff75f0.us-east-1.aws.found.io/app/kibana#/discover/Steve-Slow-Train-Analysis-(2080s-and-2083s)?_g=(refreshInterval:(display:Off,pause:!f,section:0,value:0),time:(from:'2017-02-26T19:39:24-0700',mode:absolute,to:'2017-02-26T22:22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5" s="187" t="str">
        <f t="shared" si="63"/>
        <v>N</v>
      </c>
      <c r="X215" s="187" t="e">
        <f t="shared" si="64"/>
        <v>#VALUE!</v>
      </c>
      <c r="Y215" s="62">
        <f t="shared" si="65"/>
        <v>0.12590000000000001</v>
      </c>
      <c r="Z215" s="62">
        <f t="shared" si="66"/>
        <v>23.329899999999999</v>
      </c>
      <c r="AA215" s="62">
        <f t="shared" si="67"/>
        <v>23.203999999999997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68"/>
        <v>61-26</v>
      </c>
      <c r="AE215" s="85" t="str">
        <f t="shared" si="69"/>
        <v>aws s3 cp s3://rtdc.mdm.uploadarchive.raw/RTDC4049/ "%USERPROFILE%\AppData\Local\Temp\OnboardLogs"\RTDC4049\2017-02-26 --exclude "*" --recursive --include "*20170226*" &amp; "%USERPROFILE%\Documents\GitHub\mrs-test-scripts\Headless Mode &amp; Sideloading\WalkAndUnGZ.bat" "%USERPROFILE%\AppData\Local\Temp\OnboardLogs"\RTDC4049\2017-02-26 &amp; aws s3 cp s3://rtdc.mdm.uploadarchive.raw/RTDC4049/ "%USERPROFILE%\AppData\Local\Temp\OnboardLogs"\RTDC4049\2017-02-27 --exclude "*" --recursive --include "*20170227*" &amp; "%USERPROFILE%\Documents\GitHub\mrs-test-scripts\Headless Mode &amp; Sideloading\WalkAndUnGZ.bat" "%USERPROFILE%\AppData\Local\Temp\OnboardLogs"\RTDC4049\2017-02-27</v>
      </c>
      <c r="AF215" s="82" t="str">
        <f t="shared" si="70"/>
        <v>"C:\Program Files (x86)\AstroGrep\AstroGrep.exe" /spath="%USERPROFILE%\AppData\Local\Temp\OnboardLogs" /stypes="app*4049*20170227*" /stext=" 04:.+((SYSTEM_STATE.+slice.+state.+changed )|(ment ac)|(multiple cpu faults)|(system.+state.+changed )|(\[timeout)|(PRM\|1\|D)|(kpr)|(kdp)|(\|lc)|(penalty))" /e /r /s</v>
      </c>
      <c r="AG215" s="1" t="str">
        <f t="shared" si="71"/>
        <v>Other</v>
      </c>
      <c r="AH215" s="86" t="str">
        <f t="shared" si="72"/>
        <v>"%USERPROFILE%\Documents\GitHub\eaglep3\Utilities\RefineRTDCRunTimes.py" --tripid 61-26 --locoid 4049 --swversion DE.1.0.9.0 --startMP 204:1259 --initTime 2017-02-26T20:39:24 --startdatetime 2017-02-26T20:43:46 --delay 2 --endMP 204:233299 --enddatetime 2017-02-26T21:22:57 --enforcementcount 1 &gt;&gt;C:\Users\stu\Documents\GitHub\eaglep3-reporting\EC\2017-02-26-refined-times.txt</v>
      </c>
      <c r="AI215" s="108" t="str">
        <f t="shared" si="73"/>
        <v>echo {"issue":{"subject":"","project_id":79,"tracker_id":40,"status_id":1,"priority_id":2,"assigned_to_id":23,"start_date":"2017-02-26","description":"","custom_fields":[{"id":1,"name":"Subdivision","value":"Other"},{"id":4,"name":"Milepost","value":"23.3299"},{"id":17,"name":"Train ID","value":"61-26"},{"id":16,"name":"Locomotive ID","value":"4049"},{"id":130,"name":"Impact","value":""},{"id":150,"name":"Time of Event (Mountain Time)","value":"21:22:57"},{"id":151,"name":"Denver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74"/>
        <v>start /low /b %USERPROFILE%\Documents\GitHub\eaglep3\Utilities\DownloadLogsFromS3.py --loco 4049 --day 2017-02-26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"%USERPROFILE%\AppData\Local\Temp\OnboardLogs"\RTDC4049\*4049*20170227* | grep -SE "(Enforcement Action)|(\[TIMEOUT)|(CHR.+\|PRM\|1\|D.+(SWITCH|SIGNAL).+UNKNOWN)" - &gt;&gt; 2017-02-26-UncaughtWiMAX.txt</v>
      </c>
    </row>
    <row r="216" spans="1:40" x14ac:dyDescent="0.25">
      <c r="A216" s="33" t="s">
        <v>573</v>
      </c>
      <c r="B216" s="7">
        <v>4049</v>
      </c>
      <c r="C216" s="21" t="s">
        <v>285</v>
      </c>
      <c r="D216" s="21" t="s">
        <v>395</v>
      </c>
      <c r="E216" s="13">
        <v>42792.92728009259</v>
      </c>
      <c r="F216" s="13">
        <v>42792.93372685185</v>
      </c>
      <c r="G216" s="7">
        <v>1</v>
      </c>
      <c r="H216" s="21" t="s">
        <v>934</v>
      </c>
      <c r="I216" s="13">
        <v>42792.95957175926</v>
      </c>
      <c r="J216" s="7">
        <v>1</v>
      </c>
      <c r="K216" s="98" t="str">
        <f t="shared" si="57"/>
        <v>4049/4050</v>
      </c>
      <c r="L216" s="21" t="str">
        <f>VLOOKUP(A216,'Trips&amp;Operators'!$C$1:$G$99999,5,FALSE)</f>
        <v>YANG JAN</v>
      </c>
      <c r="M216" s="6">
        <f t="shared" si="58"/>
        <v>2.584490740991896E-2</v>
      </c>
      <c r="N216" s="7">
        <f t="shared" si="59"/>
        <v>37.216666670283303</v>
      </c>
      <c r="O216" s="7"/>
      <c r="P216" s="7"/>
      <c r="Q216" s="22"/>
      <c r="R216" s="22"/>
      <c r="S216" s="31">
        <f t="shared" si="60"/>
        <v>0</v>
      </c>
      <c r="T216" s="46" t="e">
        <f t="shared" si="61"/>
        <v>#VALUE!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6" t="str">
        <f t="shared" si="62"/>
        <v>https://d0f6bd738d7f1b3e5a7ca70fe4ff75f0.us-east-1.aws.found.io/app/kibana#/discover/Steve-Slow-Train-Analysis-(2080s-and-2083s)?_g=(refreshInterval:(display:Off,pause:!f,section:0,value:0),time:(from:'2017-02-26T21:15:17-0700',mode:absolute,to:'2017-02-27T00:01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6" s="187" t="str">
        <f t="shared" si="63"/>
        <v>Y</v>
      </c>
      <c r="X216" s="187" t="e">
        <f t="shared" si="64"/>
        <v>#VALUE!</v>
      </c>
      <c r="Y216" s="62">
        <f t="shared" si="65"/>
        <v>0.1477</v>
      </c>
      <c r="Z216" s="62">
        <f t="shared" si="66"/>
        <v>0.19670000000000001</v>
      </c>
      <c r="AA216" s="62">
        <f t="shared" si="67"/>
        <v>4.9000000000000016E-2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68"/>
        <v>61-26</v>
      </c>
      <c r="AE216" s="85" t="str">
        <f t="shared" si="69"/>
        <v>aws s3 cp s3://rtdc.mdm.uploadarchive.raw/RTDC4049/ "%USERPROFILE%\AppData\Local\Temp\OnboardLogs"\RTDC4049\2017-02-26 --exclude "*" --recursive --include "*20170226*" &amp; "%USERPROFILE%\Documents\GitHub\mrs-test-scripts\Headless Mode &amp; Sideloading\WalkAndUnGZ.bat" "%USERPROFILE%\AppData\Local\Temp\OnboardLogs"\RTDC4049\2017-02-26 &amp; aws s3 cp s3://rtdc.mdm.uploadarchive.raw/RTDC4049/ "%USERPROFILE%\AppData\Local\Temp\OnboardLogs"\RTDC4049\2017-02-27 --exclude "*" --recursive --include "*20170227*" &amp; "%USERPROFILE%\Documents\GitHub\mrs-test-scripts\Headless Mode &amp; Sideloading\WalkAndUnGZ.bat" "%USERPROFILE%\AppData\Local\Temp\OnboardLogs"\RTDC4049\2017-02-27</v>
      </c>
      <c r="AF216" s="82" t="str">
        <f t="shared" si="70"/>
        <v>"C:\Program Files (x86)\AstroGrep\AstroGrep.exe" /spath="%USERPROFILE%\AppData\Local\Temp\OnboardLogs" /stypes="app*4049*20170227*" /stext=" 06:.+((SYSTEM_STATE.+slice.+state.+changed )|(ment ac)|(multiple cpu faults)|(system.+state.+changed )|(\[timeout)|(PRM\|1\|D)|(kpr)|(kdp)|(\|lc)|(penalty))" /e /r /s</v>
      </c>
      <c r="AG216" s="1" t="str">
        <f t="shared" si="71"/>
        <v>Other</v>
      </c>
      <c r="AH216" s="86" t="str">
        <f t="shared" si="72"/>
        <v>"%USERPROFILE%\Documents\GitHub\eaglep3\Utilities\RefineRTDCRunTimes.py" --tripid 61-26 --locoid 4049 --swversion DE.1.0.9.0 --startMP 204:1477 --initTime 2017-02-26T22:15:17 --startdatetime 2017-02-26T22:24:34 --delay 1 --endMP 204:1967 --enddatetime 2017-02-26T23:01:47 --enforcementcount 1 &gt;&gt;C:\Users\stu\Documents\GitHub\eaglep3-reporting\EC\2017-02-26-refined-times.txt</v>
      </c>
      <c r="AI216" s="108" t="str">
        <f t="shared" si="73"/>
        <v>echo {"issue":{"subject":"","project_id":79,"tracker_id":40,"status_id":1,"priority_id":2,"assigned_to_id":23,"start_date":"2017-02-26","description":"","custom_fields":[{"id":1,"name":"Subdivision","value":"Other"},{"id":4,"name":"Milepost","value":"0.1967"},{"id":17,"name":"Train ID","value":"61-26"},{"id":16,"name":"Locomotive ID","value":"4049"},{"id":130,"name":"Impact","value":""},{"id":150,"name":"Time of Event (Mountain Time)","value":"23:01:47"},{"id":151,"name":"Denver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74"/>
        <v>start /low /b %USERPROFILE%\Documents\GitHub\eaglep3\Utilities\DownloadLogsFromS3.py --loco 4049 --day 2017-02-26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"%USERPROFILE%\AppData\Local\Temp\OnboardLogs"\RTDC4049\*4049*20170227* | grep -SE "(Enforcement Action)|(\[TIMEOUT)|(CHR.+\|PRM\|1\|D.+(SWITCH|SIGNAL).+UNKNOWN)" - &gt;&gt; 2017-02-26-UncaughtWiMAX.txt</v>
      </c>
    </row>
    <row r="217" spans="1:40" x14ac:dyDescent="0.25">
      <c r="A217" s="33" t="s">
        <v>573</v>
      </c>
      <c r="B217" s="7">
        <v>4049</v>
      </c>
      <c r="C217" s="21" t="s">
        <v>285</v>
      </c>
      <c r="D217" s="21" t="s">
        <v>935</v>
      </c>
      <c r="E217" s="13">
        <v>42793.002245370371</v>
      </c>
      <c r="F217" s="13">
        <v>42793.004178240742</v>
      </c>
      <c r="G217" s="7">
        <v>1</v>
      </c>
      <c r="H217" s="21" t="s">
        <v>899</v>
      </c>
      <c r="I217" s="13">
        <v>42793.032071759262</v>
      </c>
      <c r="J217" s="7">
        <v>1</v>
      </c>
      <c r="K217" s="98" t="str">
        <f t="shared" si="57"/>
        <v>4049/4050</v>
      </c>
      <c r="L217" s="21" t="str">
        <f>VLOOKUP(A217,'Trips&amp;Operators'!$C$1:$G$99999,5,FALSE)</f>
        <v>YANG JAN</v>
      </c>
      <c r="M217" s="6">
        <f t="shared" si="58"/>
        <v>2.789351851970423E-2</v>
      </c>
      <c r="N217" s="7">
        <f t="shared" si="59"/>
        <v>40.166666668374091</v>
      </c>
      <c r="O217" s="7"/>
      <c r="P217" s="7"/>
      <c r="Q217" s="22"/>
      <c r="R217" s="22"/>
      <c r="S217" s="31">
        <f t="shared" si="60"/>
        <v>0</v>
      </c>
      <c r="T217" s="46" t="e">
        <f t="shared" si="61"/>
        <v>#VALUE!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86" t="str">
        <f t="shared" si="62"/>
        <v>https://d0f6bd738d7f1b3e5a7ca70fe4ff75f0.us-east-1.aws.found.io/app/kibana#/discover/Steve-Slow-Train-Analysis-(2080s-and-2083s)?_g=(refreshInterval:(display:Off,pause:!f,section:0,value:0),time:(from:'2017-02-26T23:03:14-0700',mode:absolute,to:'2017-02-27T01:46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7" s="187" t="str">
        <f t="shared" si="63"/>
        <v>N</v>
      </c>
      <c r="X217" s="187" t="e">
        <f t="shared" si="64"/>
        <v>#VALUE!</v>
      </c>
      <c r="Y217" s="62">
        <f t="shared" si="65"/>
        <v>0.14829999999999999</v>
      </c>
      <c r="Z217" s="62">
        <f t="shared" si="66"/>
        <v>23.328600000000002</v>
      </c>
      <c r="AA217" s="62">
        <f t="shared" si="67"/>
        <v>23.180300000000003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68"/>
        <v>61-26</v>
      </c>
      <c r="AE217" s="85" t="str">
        <f t="shared" si="69"/>
        <v>aws s3 cp s3://rtdc.mdm.uploadarchive.raw/RTDC4049/ "%USERPROFILE%\AppData\Local\Temp\OnboardLogs"\RTDC4049\2017-02-27 --exclude "*" --recursive --include "*20170227*" &amp; "%USERPROFILE%\Documents\GitHub\mrs-test-scripts\Headless Mode &amp; Sideloading\WalkAndUnGZ.bat" "%USERPROFILE%\AppData\Local\Temp\OnboardLogs"\RTDC4049\2017-02-27 &amp; aws s3 cp s3://rtdc.mdm.uploadarchive.raw/RTDC4049/ "%USERPROFILE%\AppData\Local\Temp\OnboardLogs"\RTDC4049\2017-02-28 --exclude "*" --recursive --include "*20170228*" &amp; "%USERPROFILE%\Documents\GitHub\mrs-test-scripts\Headless Mode &amp; Sideloading\WalkAndUnGZ.bat" "%USERPROFILE%\AppData\Local\Temp\OnboardLogs"\RTDC4049\2017-02-28</v>
      </c>
      <c r="AF217" s="82" t="str">
        <f t="shared" si="70"/>
        <v>"C:\Program Files (x86)\AstroGrep\AstroGrep.exe" /spath="%USERPROFILE%\AppData\Local\Temp\OnboardLogs" /stypes="app*4049*20170227*" /stext=" 07:.+((SYSTEM_STATE.+slice.+state.+changed )|(ment ac)|(multiple cpu faults)|(system.+state.+changed )|(\[timeout)|(PRM\|1\|D)|(kpr)|(kdp)|(\|lc)|(penalty))" /e /r /s</v>
      </c>
      <c r="AG217" s="1" t="str">
        <f t="shared" si="71"/>
        <v>Other</v>
      </c>
      <c r="AH217" s="86" t="str">
        <f t="shared" si="72"/>
        <v>"%USERPROFILE%\Documents\GitHub\eaglep3\Utilities\RefineRTDCRunTimes.py" --tripid 61-26 --locoid 4049 --swversion DE.1.0.9.0 --startMP 204:1483 --initTime 2017-02-27T00:03:14 --startdatetime 2017-02-27T00:06:01 --delay 1 --endMP 204:233286 --enddatetime 2017-02-27T00:46:11 --enforcementcount 1 &gt;&gt;C:\Users\stu\Documents\GitHub\eaglep3-reporting\EC\2017-02-26-refined-times.txt</v>
      </c>
      <c r="AI217" s="108" t="str">
        <f t="shared" si="73"/>
        <v>echo {"issue":{"subject":"","project_id":79,"tracker_id":40,"status_id":1,"priority_id":2,"assigned_to_id":23,"start_date":"2017-02-27","description":"","custom_fields":[{"id":1,"name":"Subdivision","value":"Other"},{"id":4,"name":"Milepost","value":"23.3286"},{"id":17,"name":"Train ID","value":"61-26"},{"id":16,"name":"Locomotive ID","value":"4049"},{"id":130,"name":"Impact","value":""},{"id":150,"name":"Time of Event (Mountain Time)","value":"00:46:11"},{"id":151,"name":"Denver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74"/>
        <v>start /low /b %USERPROFILE%\Documents\GitHub\eaglep3\Utilities\DownloadLogsFromS3.py --loco 4049 --day 2017-02-27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"%USERPROFILE%\AppData\Local\Temp\OnboardLogs"\RTDC4049\*4049*20170227* | grep -SE "(Enforcement Action)|(\[TIMEOUT)|(CHR.+\|PRM\|1\|D.+(SWITCH|SIGNAL).+UNKNOWN)" - &gt;&gt; 2017-02-26-UncaughtWiMAX.txt</v>
      </c>
    </row>
    <row r="218" spans="1:40" x14ac:dyDescent="0.25">
      <c r="A218" s="33" t="s">
        <v>573</v>
      </c>
      <c r="B218" s="7">
        <v>4049</v>
      </c>
      <c r="C218" s="21" t="s">
        <v>285</v>
      </c>
      <c r="D218" s="21" t="s">
        <v>936</v>
      </c>
      <c r="E218" s="13">
        <v>42792.932164351849</v>
      </c>
      <c r="F218" s="13">
        <v>42792.93372685185</v>
      </c>
      <c r="G218" s="7">
        <v>1</v>
      </c>
      <c r="H218" s="21" t="s">
        <v>322</v>
      </c>
      <c r="I218" s="13">
        <v>42792.95957175926</v>
      </c>
      <c r="J218" s="7">
        <v>1</v>
      </c>
      <c r="K218" s="98" t="str">
        <f t="shared" si="57"/>
        <v>4049/4050</v>
      </c>
      <c r="L218" s="21" t="str">
        <f>VLOOKUP(A218,'Trips&amp;Operators'!$C$1:$G$99999,5,FALSE)</f>
        <v>YANG JAN</v>
      </c>
      <c r="M218" s="6">
        <f t="shared" si="58"/>
        <v>2.584490740991896E-2</v>
      </c>
      <c r="N218" s="7">
        <f t="shared" si="59"/>
        <v>37.216666670283303</v>
      </c>
      <c r="O218" s="7"/>
      <c r="P218" s="7"/>
      <c r="Q218" s="22"/>
      <c r="R218" s="22"/>
      <c r="S218" s="31">
        <f t="shared" si="60"/>
        <v>0</v>
      </c>
      <c r="T218" s="46" t="e">
        <f t="shared" si="61"/>
        <v>#VALUE!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6" t="str">
        <f t="shared" si="62"/>
        <v>https://d0f6bd738d7f1b3e5a7ca70fe4ff75f0.us-east-1.aws.found.io/app/kibana#/discover/Steve-Slow-Train-Analysis-(2080s-and-2083s)?_g=(refreshInterval:(display:Off,pause:!f,section:0,value:0),time:(from:'2017-02-26T21:22:19-0700',mode:absolute,to:'2017-02-27T00:01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8" s="187" t="str">
        <f t="shared" si="63"/>
        <v>N</v>
      </c>
      <c r="X218" s="187" t="e">
        <f t="shared" si="64"/>
        <v>#VALUE!</v>
      </c>
      <c r="Y218" s="62">
        <f t="shared" si="65"/>
        <v>1.9129</v>
      </c>
      <c r="Z218" s="62">
        <f t="shared" si="66"/>
        <v>23.329899999999999</v>
      </c>
      <c r="AA218" s="62">
        <f t="shared" si="67"/>
        <v>21.416999999999998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68"/>
        <v>61-26</v>
      </c>
      <c r="AE218" s="85" t="str">
        <f t="shared" si="69"/>
        <v>aws s3 cp s3://rtdc.mdm.uploadarchive.raw/RTDC4049/ "%USERPROFILE%\AppData\Local\Temp\OnboardLogs"\RTDC4049\2017-02-26 --exclude "*" --recursive --include "*20170226*" &amp; "%USERPROFILE%\Documents\GitHub\mrs-test-scripts\Headless Mode &amp; Sideloading\WalkAndUnGZ.bat" "%USERPROFILE%\AppData\Local\Temp\OnboardLogs"\RTDC4049\2017-02-26 &amp; aws s3 cp s3://rtdc.mdm.uploadarchive.raw/RTDC4049/ "%USERPROFILE%\AppData\Local\Temp\OnboardLogs"\RTDC4049\2017-02-27 --exclude "*" --recursive --include "*20170227*" &amp; "%USERPROFILE%\Documents\GitHub\mrs-test-scripts\Headless Mode &amp; Sideloading\WalkAndUnGZ.bat" "%USERPROFILE%\AppData\Local\Temp\OnboardLogs"\RTDC4049\2017-02-27</v>
      </c>
      <c r="AF218" s="82" t="str">
        <f t="shared" si="70"/>
        <v>"C:\Program Files (x86)\AstroGrep\AstroGrep.exe" /spath="%USERPROFILE%\AppData\Local\Temp\OnboardLogs" /stypes="app*4049*20170227*" /stext=" 06:.+((SYSTEM_STATE.+slice.+state.+changed )|(ment ac)|(multiple cpu faults)|(system.+state.+changed )|(\[timeout)|(PRM\|1\|D)|(kpr)|(kdp)|(\|lc)|(penalty))" /e /r /s</v>
      </c>
      <c r="AG218" s="1" t="str">
        <f t="shared" si="71"/>
        <v>Other</v>
      </c>
      <c r="AH218" s="86" t="str">
        <f t="shared" si="72"/>
        <v>"%USERPROFILE%\Documents\GitHub\eaglep3\Utilities\RefineRTDCRunTimes.py" --tripid 61-26 --locoid 4049 --swversion DE.1.0.9.0 --startMP 204:19129 --initTime 2017-02-26T22:22:19 --startdatetime 2017-02-26T22:24:34 --delay 1 --endMP 204:233299 --enddatetime 2017-02-26T23:01:47 --enforcementcount 1 &gt;&gt;C:\Users\stu\Documents\GitHub\eaglep3-reporting\EC\2017-02-26-refined-times.txt</v>
      </c>
      <c r="AI218" s="108" t="str">
        <f t="shared" si="73"/>
        <v>echo {"issue":{"subject":"","project_id":79,"tracker_id":40,"status_id":1,"priority_id":2,"assigned_to_id":23,"start_date":"2017-02-26","description":"","custom_fields":[{"id":1,"name":"Subdivision","value":"Other"},{"id":4,"name":"Milepost","value":"23.3299"},{"id":17,"name":"Train ID","value":"61-26"},{"id":16,"name":"Locomotive ID","value":"4049"},{"id":130,"name":"Impact","value":""},{"id":150,"name":"Time of Event (Mountain Time)","value":"23:01:47"},{"id":151,"name":"Denver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74"/>
        <v>start /low /b %USERPROFILE%\Documents\GitHub\eaglep3\Utilities\DownloadLogsFromS3.py --loco 4049 --day 2017-02-26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"%USERPROFILE%\AppData\Local\Temp\OnboardLogs"\RTDC4049\*4049*20170227* | grep -SE "(Enforcement Action)|(\[TIMEOUT)|(CHR.+\|PRM\|1\|D.+(SWITCH|SIGNAL).+UNKNOWN)" - &gt;&gt; 2017-02-26-UncaughtWiMAX.txt</v>
      </c>
    </row>
    <row r="219" spans="1:40" x14ac:dyDescent="0.25">
      <c r="A219" s="33" t="s">
        <v>573</v>
      </c>
      <c r="B219" s="7">
        <v>4049</v>
      </c>
      <c r="C219" s="21" t="s">
        <v>285</v>
      </c>
      <c r="D219" s="21" t="s">
        <v>244</v>
      </c>
      <c r="E219" s="13">
        <v>42793.076585648145</v>
      </c>
      <c r="F219" s="13">
        <v>42793.078425925924</v>
      </c>
      <c r="G219" s="7">
        <v>1</v>
      </c>
      <c r="H219" s="21" t="s">
        <v>937</v>
      </c>
      <c r="I219" s="13">
        <v>42793.084618055553</v>
      </c>
      <c r="J219" s="7">
        <v>1</v>
      </c>
      <c r="K219" s="98" t="str">
        <f t="shared" si="57"/>
        <v>4049/4050</v>
      </c>
      <c r="L219" s="21" t="str">
        <f>VLOOKUP(A219,'Trips&amp;Operators'!$C$1:$G$99999,5,FALSE)</f>
        <v>YANG JAN</v>
      </c>
      <c r="M219" s="6">
        <f t="shared" si="58"/>
        <v>6.1921296291984618E-3</v>
      </c>
      <c r="N219" s="7">
        <f t="shared" si="59"/>
        <v>8.916666666045785</v>
      </c>
      <c r="O219" s="7"/>
      <c r="P219" s="7"/>
      <c r="Q219" s="22"/>
      <c r="R219" s="22"/>
      <c r="S219" s="31">
        <f t="shared" si="60"/>
        <v>0</v>
      </c>
      <c r="T219" s="46" t="e">
        <f t="shared" si="61"/>
        <v>#VALUE!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6" t="str">
        <f t="shared" si="62"/>
        <v>https://d0f6bd738d7f1b3e5a7ca70fe4ff75f0.us-east-1.aws.found.io/app/kibana#/discover/Steve-Slow-Train-Analysis-(2080s-and-2083s)?_g=(refreshInterval:(display:Off,pause:!f,section:0,value:0),time:(from:'2017-02-27T00:50:17-0700',mode:absolute,to:'2017-02-27T03:01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9" s="187" t="str">
        <f t="shared" si="63"/>
        <v>Y</v>
      </c>
      <c r="X219" s="187" t="e">
        <f t="shared" si="64"/>
        <v>#VALUE!</v>
      </c>
      <c r="Y219" s="62">
        <f t="shared" si="65"/>
        <v>4.5499999999999999E-2</v>
      </c>
      <c r="Z219" s="62">
        <f t="shared" si="66"/>
        <v>2.3292999999999999</v>
      </c>
      <c r="AA219" s="62">
        <f t="shared" si="67"/>
        <v>2.2837999999999998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68"/>
        <v>61-26</v>
      </c>
      <c r="AE219" s="85" t="str">
        <f t="shared" si="69"/>
        <v>aws s3 cp s3://rtdc.mdm.uploadarchive.raw/RTDC4049/ "%USERPROFILE%\AppData\Local\Temp\OnboardLogs"\RTDC4049\2017-02-27 --exclude "*" --recursive --include "*20170227*" &amp; "%USERPROFILE%\Documents\GitHub\mrs-test-scripts\Headless Mode &amp; Sideloading\WalkAndUnGZ.bat" "%USERPROFILE%\AppData\Local\Temp\OnboardLogs"\RTDC4049\2017-02-27 &amp; aws s3 cp s3://rtdc.mdm.uploadarchive.raw/RTDC4049/ "%USERPROFILE%\AppData\Local\Temp\OnboardLogs"\RTDC4049\2017-02-28 --exclude "*" --recursive --include "*20170228*" &amp; "%USERPROFILE%\Documents\GitHub\mrs-test-scripts\Headless Mode &amp; Sideloading\WalkAndUnGZ.bat" "%USERPROFILE%\AppData\Local\Temp\OnboardLogs"\RTDC4049\2017-02-28</v>
      </c>
      <c r="AF219" s="82" t="str">
        <f t="shared" si="70"/>
        <v>"C:\Program Files (x86)\AstroGrep\AstroGrep.exe" /spath="%USERPROFILE%\AppData\Local\Temp\OnboardLogs" /stypes="app*4049*20170227*" /stext=" 09:.+((SYSTEM_STATE.+slice.+state.+changed )|(ment ac)|(multiple cpu faults)|(system.+state.+changed )|(\[timeout)|(PRM\|1\|D)|(kpr)|(kdp)|(\|lc)|(penalty))" /e /r /s</v>
      </c>
      <c r="AG219" s="1" t="str">
        <f t="shared" si="71"/>
        <v>Other</v>
      </c>
      <c r="AH219" s="86" t="str">
        <f t="shared" si="72"/>
        <v>"%USERPROFILE%\Documents\GitHub\eaglep3\Utilities\RefineRTDCRunTimes.py" --tripid 61-26 --locoid 4049 --swversion DE.1.0.9.0 --startMP 204:455 --initTime 2017-02-27T01:50:17 --startdatetime 2017-02-27T01:52:56 --delay 1 --endMP 300:23293 --enddatetime 2017-02-27T02:01:51 --enforcementcount 1 &gt;&gt;C:\Users\stu\Documents\GitHub\eaglep3-reporting\EC\2017-02-26-refined-times.txt</v>
      </c>
      <c r="AI219" s="108" t="str">
        <f t="shared" si="73"/>
        <v>echo {"issue":{"subject":"","project_id":79,"tracker_id":40,"status_id":1,"priority_id":2,"assigned_to_id":23,"start_date":"2017-02-27","description":"","custom_fields":[{"id":1,"name":"Subdivision","value":"Other"},{"id":4,"name":"Milepost","value":"2.3293"},{"id":17,"name":"Train ID","value":"61-26"},{"id":16,"name":"Locomotive ID","value":"4049"},{"id":130,"name":"Impact","value":""},{"id":150,"name":"Time of Event (Mountain Time)","value":"02:01:51"},{"id":151,"name":"Denver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74"/>
        <v>start /low /b %USERPROFILE%\Documents\GitHub\eaglep3\Utilities\DownloadLogsFromS3.py --loco 4049 --day 2017-02-27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"%USERPROFILE%\AppData\Local\Temp\OnboardLogs"\RTDC4049\*4049*20170227* | grep -SE "(Enforcement Action)|(\[TIMEOUT)|(CHR.+\|PRM\|1\|D.+(SWITCH|SIGNAL).+UNKNOWN)" - &gt;&gt; 2017-02-26-UncaughtWiMAX.txt</v>
      </c>
    </row>
    <row r="220" spans="1:40" x14ac:dyDescent="0.25">
      <c r="A220" s="33" t="s">
        <v>724</v>
      </c>
      <c r="B220" s="7">
        <v>4025</v>
      </c>
      <c r="C220" s="21" t="s">
        <v>285</v>
      </c>
      <c r="D220" s="21" t="s">
        <v>938</v>
      </c>
      <c r="E220" s="13">
        <v>42792.720011574071</v>
      </c>
      <c r="F220" s="13">
        <v>25568.708333333332</v>
      </c>
      <c r="G220" s="7">
        <v>1</v>
      </c>
      <c r="H220" s="21" t="s">
        <v>393</v>
      </c>
      <c r="I220" s="13">
        <v>25568.708333333332</v>
      </c>
      <c r="J220" s="7">
        <v>1</v>
      </c>
      <c r="K220" s="98" t="str">
        <f t="shared" si="57"/>
        <v>4025/4026</v>
      </c>
      <c r="L220" s="21" t="str">
        <f>VLOOKUP(A220,'Trips&amp;Operators'!$C$1:$G$99999,5,FALSE)</f>
        <v>LOPES KIMBERLY</v>
      </c>
      <c r="M220" s="6">
        <f t="shared" si="58"/>
        <v>0</v>
      </c>
      <c r="N220" s="7">
        <f t="shared" si="59"/>
        <v>0</v>
      </c>
      <c r="O220" s="7"/>
      <c r="P220" s="7"/>
      <c r="Q220" s="22"/>
      <c r="R220" s="22"/>
      <c r="S220" s="31">
        <f t="shared" si="60"/>
        <v>0</v>
      </c>
      <c r="T220" s="46" t="e">
        <f t="shared" si="61"/>
        <v>#VALUE!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6" t="str">
        <f t="shared" si="62"/>
        <v>https://d0f6bd738d7f1b3e5a7ca70fe4ff75f0.us-east-1.aws.found.io/app/kibana#/discover/Steve-Slow-Train-Analysis-(2080s-and-2083s)?_g=(refreshInterval:(display:Off,pause:!f,section:0,value:0),time:(from:'2017-02-26T16:16:49-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0" s="187" t="str">
        <f t="shared" si="63"/>
        <v>Y</v>
      </c>
      <c r="X220" s="187" t="e">
        <f t="shared" si="64"/>
        <v>#VALUE!</v>
      </c>
      <c r="Y220" s="62">
        <f t="shared" si="65"/>
        <v>0.14710000000000001</v>
      </c>
      <c r="Z220" s="62">
        <f t="shared" si="66"/>
        <v>2.3304</v>
      </c>
      <c r="AA220" s="62">
        <f t="shared" si="67"/>
        <v>2.1833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68"/>
        <v>65-26</v>
      </c>
      <c r="AE220" s="85" t="str">
        <f t="shared" si="69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20" s="82" t="str">
        <f t="shared" si="70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20" s="1" t="str">
        <f t="shared" si="71"/>
        <v>Other</v>
      </c>
      <c r="AH220" s="86" t="str">
        <f t="shared" si="72"/>
        <v>"%USERPROFILE%\Documents\GitHub\eaglep3\Utilities\RefineRTDCRunTimes.py" --tripid 65-26 --locoid 4025 --swversion DE.1.0.9.0 --startMP 204:1471 --initTime 2017-02-26T17:16:49 --startdatetime 1969-12-31T17:00:00 --delay 1 --endMP 300:23304 --enddatetime 1969-12-31T17:00:00 --enforcementcount 1 &gt;&gt;C:\Users\stu\Documents\GitHub\eaglep3-reporting\EC\2017-02-26-refined-times.txt</v>
      </c>
      <c r="AI220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ID","value":"65-26"},{"id":16,"name":"Locomotive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74"/>
        <v>start /low /b %USERPROFILE%\Documents\GitHub\eaglep3\Utilities\DownloadLogsFromS3.py --loco 4025 --day 1969-12-31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"%USERPROFILE%\AppData\Local\Temp\OnboardLogs"\RTDC4025\*4025*19700101* | grep -SE "(Enforcement Action)|(\[TIMEOUT)|(CHR.+\|PRM\|1\|D.+(SWITCH|SIGNAL).+UNKNOWN)" - &gt;&gt; 2017-02-26-UncaughtWiMAX.txt</v>
      </c>
    </row>
    <row r="221" spans="1:40" x14ac:dyDescent="0.25">
      <c r="A221" s="33" t="s">
        <v>585</v>
      </c>
      <c r="B221" s="7">
        <v>4050</v>
      </c>
      <c r="C221" s="21" t="s">
        <v>285</v>
      </c>
      <c r="D221" s="21" t="s">
        <v>939</v>
      </c>
      <c r="E221" s="13">
        <v>42792.086030092592</v>
      </c>
      <c r="F221" s="13">
        <v>42792.087453703702</v>
      </c>
      <c r="G221" s="7">
        <v>0</v>
      </c>
      <c r="H221" s="21" t="s">
        <v>940</v>
      </c>
      <c r="I221" s="13">
        <v>42792.112141203703</v>
      </c>
      <c r="J221" s="7">
        <v>1</v>
      </c>
      <c r="K221" s="98" t="str">
        <f t="shared" si="57"/>
        <v>4049/4050</v>
      </c>
      <c r="L221" s="21" t="str">
        <f>VLOOKUP(A221,'Trips&amp;Operators'!$C$1:$G$99999,5,FALSE)</f>
        <v>COMELLA JUSTIN</v>
      </c>
      <c r="M221" s="6">
        <f t="shared" si="58"/>
        <v>2.4687500001164153E-2</v>
      </c>
      <c r="N221" s="7">
        <f t="shared" si="59"/>
        <v>35.550000001676381</v>
      </c>
      <c r="O221" s="7"/>
      <c r="P221" s="7"/>
      <c r="Q221" s="22"/>
      <c r="R221" s="22"/>
      <c r="S221" s="31">
        <f t="shared" si="60"/>
        <v>0</v>
      </c>
      <c r="T221" s="46" t="e">
        <f t="shared" si="61"/>
        <v>#VALUE!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6" t="str">
        <f t="shared" si="62"/>
        <v>https://d0f6bd738d7f1b3e5a7ca70fe4ff75f0.us-east-1.aws.found.io/app/kibana#/discover/Steve-Slow-Train-Analysis-(2080s-and-2083s)?_g=(refreshInterval:(display:Off,pause:!f,section:0,value:0),time:(from:'2017-02-26T01:03:53-0700',mode:absolute,to:'2017-02-26T03:41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1" s="187" t="str">
        <f t="shared" si="63"/>
        <v>N</v>
      </c>
      <c r="X221" s="187" t="e">
        <f t="shared" si="64"/>
        <v>#VALUE!</v>
      </c>
      <c r="Y221" s="62">
        <f t="shared" si="65"/>
        <v>23.261900000000001</v>
      </c>
      <c r="Z221" s="62">
        <f t="shared" si="66"/>
        <v>0.91039999999999999</v>
      </c>
      <c r="AA221" s="62">
        <f t="shared" si="67"/>
        <v>22.351500000000001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68"/>
        <v>80-25</v>
      </c>
      <c r="AE221" s="85" t="str">
        <f t="shared" si="69"/>
        <v>aws s3 cp s3://rtdc.mdm.uploadarchive.raw/RTDC4050/ "%USERPROFILE%\AppData\Local\Temp\OnboardLogs"\RTDC4050\2017-02-26 --exclude "*" --recursive --include "*20170226*" &amp; "%USERPROFILE%\Documents\GitHub\mrs-test-scripts\Headless Mode &amp; Sideloading\WalkAndUnGZ.bat" "%USERPROFILE%\AppData\Local\Temp\OnboardLogs"\RTDC4050\2017-02-26 &amp; aws s3 cp s3://rtdc.mdm.uploadarchive.raw/RTDC4050/ "%USERPROFILE%\AppData\Local\Temp\OnboardLogs"\RTDC4050\2017-02-27 --exclude "*" --recursive --include "*20170227*" &amp; "%USERPROFILE%\Documents\GitHub\mrs-test-scripts\Headless Mode &amp; Sideloading\WalkAndUnGZ.bat" "%USERPROFILE%\AppData\Local\Temp\OnboardLogs"\RTDC4050\2017-02-27</v>
      </c>
      <c r="AF221" s="82" t="str">
        <f t="shared" si="70"/>
        <v>"C:\Program Files (x86)\AstroGrep\AstroGrep.exe" /spath="%USERPROFILE%\AppData\Local\Temp\OnboardLogs" /stypes="app*4050*20170226*" /stext=" 09:.+((SYSTEM_STATE.+slice.+state.+changed )|(ment ac)|(multiple cpu faults)|(system.+state.+changed )|(\[timeout)|(PRM\|1\|D)|(kpr)|(kdp)|(\|lc)|(penalty))" /e /r /s</v>
      </c>
      <c r="AG221" s="1" t="str">
        <f t="shared" si="71"/>
        <v>Other</v>
      </c>
      <c r="AH221" s="86" t="str">
        <f t="shared" si="72"/>
        <v>"%USERPROFILE%\Documents\GitHub\eaglep3\Utilities\RefineRTDCRunTimes.py" --tripid 80-25 --locoid 4050 --swversion DE.1.0.9.0 --startMP 204:232619 --initTime 2017-02-26T02:03:53 --startdatetime 2017-02-26T02:05:56 --delay 0 --endMP 204:9104 --enddatetime 2017-02-26T02:41:29 --enforcementcount 1 &gt;&gt;C:\Users\stu\Documents\GitHub\eaglep3-reporting\EC\2017-02-26-refined-times.txt</v>
      </c>
      <c r="AI221" s="108" t="str">
        <f t="shared" si="73"/>
        <v>echo {"issue":{"subject":"","project_id":79,"tracker_id":40,"status_id":1,"priority_id":2,"assigned_to_id":23,"start_date":"2017-02-26","description":"","custom_fields":[{"id":1,"name":"Subdivision","value":"Other"},{"id":4,"name":"Milepost","value":"0.9104"},{"id":17,"name":"Train ID","value":"80-25"},{"id":16,"name":"Locomotive ID","value":"4050"},{"id":130,"name":"Impact","value":""},{"id":150,"name":"Time of Event (Mountain Time)","value":"02:41:29"},{"id":151,"name":"Denver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74"/>
        <v>start /low /b %USERPROFILE%\Documents\GitHub\eaglep3\Utilities\DownloadLogsFromS3.py --loco 4050 --day 2017-02-26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"%USERPROFILE%\AppData\Local\Temp\OnboardLogs"\RTDC4050\*4050*20170226* | grep -SE "(Enforcement Action)|(\[TIMEOUT)|(CHR.+\|PRM\|1\|D.+(SWITCH|SIGNAL).+UNKNOWN)" - &gt;&gt; 2017-02-26-UncaughtWiMAX.txt</v>
      </c>
    </row>
    <row r="222" spans="1:40" x14ac:dyDescent="0.25">
      <c r="A222" s="33" t="s">
        <v>581</v>
      </c>
      <c r="B222" s="7">
        <v>4049</v>
      </c>
      <c r="C222" s="21" t="s">
        <v>285</v>
      </c>
      <c r="D222" s="21" t="s">
        <v>884</v>
      </c>
      <c r="E222" s="13">
        <v>42792.117442129631</v>
      </c>
      <c r="F222" s="13">
        <v>25568.708333333332</v>
      </c>
      <c r="G222" s="7">
        <v>1</v>
      </c>
      <c r="H222" s="21" t="s">
        <v>327</v>
      </c>
      <c r="I222" s="13">
        <v>25568.708333333332</v>
      </c>
      <c r="J222" s="7">
        <v>1</v>
      </c>
      <c r="K222" s="98" t="str">
        <f t="shared" si="57"/>
        <v>4049/4050</v>
      </c>
      <c r="L222" s="21" t="str">
        <f>VLOOKUP(A222,'Trips&amp;Operators'!$C$1:$G$99999,5,FALSE)</f>
        <v>COMELLA JUSTIN</v>
      </c>
      <c r="M222" s="6">
        <f t="shared" si="58"/>
        <v>0</v>
      </c>
      <c r="N222" s="7">
        <f t="shared" si="59"/>
        <v>0</v>
      </c>
      <c r="O222" s="7"/>
      <c r="P222" s="7"/>
      <c r="Q222" s="22"/>
      <c r="R222" s="22"/>
      <c r="S222" s="31">
        <f t="shared" si="60"/>
        <v>0</v>
      </c>
      <c r="T222" s="46" t="e">
        <f t="shared" si="61"/>
        <v>#VALUE!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6" t="str">
        <f t="shared" si="62"/>
        <v>https://d0f6bd738d7f1b3e5a7ca70fe4ff75f0.us-east-1.aws.found.io/app/kibana#/discover/Steve-Slow-Train-Analysis-(2080s-and-2083s)?_g=(refreshInterval:(display:Off,pause:!f,section:0,value:0),time:(from:'2017-02-26T01:49:07-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2" s="187" t="str">
        <f t="shared" si="63"/>
        <v>Y</v>
      </c>
      <c r="X222" s="187" t="e">
        <f t="shared" si="64"/>
        <v>#VALUE!</v>
      </c>
      <c r="Y222" s="62">
        <f t="shared" si="65"/>
        <v>0.1164</v>
      </c>
      <c r="Z222" s="62">
        <f t="shared" si="66"/>
        <v>2.3306</v>
      </c>
      <c r="AA222" s="62">
        <f t="shared" si="67"/>
        <v>2.2141999999999999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68"/>
        <v>81-25</v>
      </c>
      <c r="AE222" s="85" t="str">
        <f t="shared" si="69"/>
        <v>aws s3 cp s3://rtdc.mdm.uploadarchive.raw/RTDC4049/ "%USERPROFILE%\AppData\Local\Temp\OnboardLogs"\RTDC4049\1969-12-31 --exclude "*" --recursive --include "*19691231*" &amp; "%USERPROFILE%\Documents\GitHub\mrs-test-scripts\Headless Mode &amp; Sideloading\WalkAndUnGZ.bat" "%USERPROFILE%\AppData\Local\Temp\OnboardLogs"\RTDC4049\1969-12-31 &amp; aws s3 cp s3://rtdc.mdm.uploadarchive.raw/RTDC4049/ "%USERPROFILE%\AppData\Local\Temp\OnboardLogs"\RTDC4049\1970-01-01 --exclude "*" --recursive --include "*19700101*" &amp; "%USERPROFILE%\Documents\GitHub\mrs-test-scripts\Headless Mode &amp; Sideloading\WalkAndUnGZ.bat" "%USERPROFILE%\AppData\Local\Temp\OnboardLogs"\RTDC4049\1970-01-01</v>
      </c>
      <c r="AF222" s="82" t="str">
        <f t="shared" si="70"/>
        <v>"C:\Program Files (x86)\AstroGrep\AstroGrep.exe" /spath="%USERPROFILE%\AppData\Local\Temp\OnboardLogs" /stypes="app*4049*19700101*" /stext=" 00:.+((SYSTEM_STATE.+slice.+state.+changed )|(ment ac)|(multiple cpu faults)|(system.+state.+changed )|(\[timeout)|(PRM\|1\|D)|(kpr)|(kdp)|(\|lc)|(penalty))" /e /r /s</v>
      </c>
      <c r="AG222" s="1" t="str">
        <f t="shared" si="71"/>
        <v>Other</v>
      </c>
      <c r="AH222" s="86" t="str">
        <f t="shared" si="72"/>
        <v>"%USERPROFILE%\Documents\GitHub\eaglep3\Utilities\RefineRTDCRunTimes.py" --tripid 81-25 --locoid 4049 --swversion DE.1.0.9.0 --startMP 204:1164 --initTime 2017-02-26T02:49:07 --startdatetime 1969-12-31T17:00:00 --delay 1 --endMP 300:23306 --enddatetime 1969-12-31T17:00:00 --enforcementcount 1 &gt;&gt;C:\Users\stu\Documents\GitHub\eaglep3-reporting\EC\2017-02-26-refined-times.txt</v>
      </c>
      <c r="AI222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ID","value":"81-25"},{"id":16,"name":"Locomotive ID","value":"4049"},{"id":130,"name":"Impact","value":""},{"id":150,"name":"Time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74"/>
        <v>start /low /b %USERPROFILE%\Documents\GitHub\eaglep3\Utilities\DownloadLogsFromS3.py --loco 4049 --day 1969-12-31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"%USERPROFILE%\AppData\Local\Temp\OnboardLogs"\RTDC4049\*4049*19700101* | grep -SE "(Enforcement Action)|(\[TIMEOUT)|(CHR.+\|PRM\|1\|D.+(SWITCH|SIGNAL).+UNKNOWN)" - &gt;&gt; 2017-02-26-UncaughtWiMAX.txt</v>
      </c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</sheetData>
  <autoFilter ref="A12:AG251">
    <sortState ref="A13:AG253">
      <sortCondition ref="AG13:AG224"/>
      <sortCondition ref="AD13:AD224"/>
    </sortState>
  </autoFilter>
  <sortState ref="A13:AH200">
    <sortCondition ref="AG13:AG200"/>
    <sortCondition ref="AD13:AD200"/>
  </sortState>
  <mergeCells count="1">
    <mergeCell ref="A11:P11"/>
  </mergeCells>
  <conditionalFormatting sqref="W11:W12 W270:X1048576 W13:X222">
    <cfRule type="cellIs" dxfId="10" priority="356" operator="equal">
      <formula>"Y"</formula>
    </cfRule>
  </conditionalFormatting>
  <conditionalFormatting sqref="X270:X1048576 X13:X222">
    <cfRule type="cellIs" dxfId="9" priority="339" operator="greaterThan">
      <formula>1</formula>
    </cfRule>
  </conditionalFormatting>
  <conditionalFormatting sqref="X270:X1048576 X12:X222">
    <cfRule type="cellIs" dxfId="8" priority="336" operator="equal">
      <formula>0</formula>
    </cfRule>
  </conditionalFormatting>
  <conditionalFormatting sqref="A13:S222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A13:S222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AK13:AK222</xm:sqref>
        </x14:dataValidation>
        <x14:dataValidation type="list" allowBlank="1" showInputMessage="1" showErrorMessage="1">
          <x14:formula1>
            <xm:f>'Redmine List Values'!$C$2:$C$15</xm:f>
          </x14:formula1>
          <xm:sqref>AL13:AL222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9"/>
  <sheetViews>
    <sheetView tabSelected="1" topLeftCell="A2" zoomScaleNormal="100" workbookViewId="0">
      <selection activeCell="P25" sqref="P25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COUNTIF($O$7:$O$315,"=Y")</f>
        <v>0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COUNTA($O$7:$O$315)-O2</f>
        <v>32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5" t="str">
        <f>"Eagle P3 Braking Events - "&amp;TEXT(Variables!$A$2,"YYYY-mm-dd")</f>
        <v>Eagle P3 Braking Events - 2017-02-26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195</v>
      </c>
      <c r="AE6" s="155" t="s">
        <v>209</v>
      </c>
    </row>
    <row r="7" spans="1:32" s="1" customFormat="1" x14ac:dyDescent="0.25">
      <c r="A7" s="32">
        <v>42792.24428240741</v>
      </c>
      <c r="B7" s="30" t="s">
        <v>257</v>
      </c>
      <c r="C7" s="30" t="s">
        <v>549</v>
      </c>
      <c r="D7" s="30" t="s">
        <v>49</v>
      </c>
      <c r="E7" s="30" t="s">
        <v>197</v>
      </c>
      <c r="F7" s="43">
        <v>0</v>
      </c>
      <c r="G7" s="43">
        <v>210</v>
      </c>
      <c r="H7" s="43">
        <v>27019</v>
      </c>
      <c r="I7" s="43">
        <v>27322</v>
      </c>
      <c r="J7" s="30" t="s">
        <v>198</v>
      </c>
      <c r="K7" s="43">
        <v>27053</v>
      </c>
      <c r="L7" s="143" t="s">
        <v>50</v>
      </c>
      <c r="M7" s="144">
        <f t="shared" ref="M7:M38" si="0">CONVERT((I7-K7)/10000,"mi","ft")*IF(L7="Increasing Mileposts (1)",-1,1)</f>
        <v>-142.03200000000001</v>
      </c>
      <c r="N7" s="145" t="str">
        <f>VLOOKUP(C7,'Trips&amp;Operators'!$C$1:$G$99999,5,FALSE)</f>
        <v>MAELZER KURT</v>
      </c>
      <c r="O7" s="194" t="s">
        <v>185</v>
      </c>
      <c r="P7" s="146" t="s">
        <v>962</v>
      </c>
      <c r="Q7" s="30"/>
      <c r="R7" s="89" t="str">
        <f>VLOOKUP(C7,'Train Runs'!$A$13:$AE$9939,31,0)</f>
        <v>aws s3 cp s3://rtdc.mdm.uploadarchive.raw/RTDC4018/ "%USERPROFILE%\AppData\Local\Temp\OnboardLogs"\RTDC4018\2017-02-26 --exclude "*" --recursive --include "*20170226*" &amp; "%USERPROFILE%\Documents\GitHub\mrs-test-scripts\Headless Mode &amp; Sideloading\WalkAndUnGZ.bat" "%USERPROFILE%\AppData\Local\Temp\OnboardLogs"\RTDC4018\2017-02-26 &amp; aws s3 cp s3://rtdc.mdm.uploadarchive.raw/RTDC4018/ "%USERPROFILE%\AppData\Local\Temp\OnboardLogs"\RTDC4018\2017-02-27 --exclude "*" --recursive --include "*20170227*" &amp; "%USERPROFILE%\Documents\GitHub\mrs-test-scripts\Headless Mode &amp; Sideloading\WalkAndUnGZ.bat" "%USERPROFILE%\AppData\Local\Temp\OnboardLogs"\RTDC4018\2017-02-27</v>
      </c>
      <c r="S7" s="92" t="str">
        <f>VLOOKUP(C7,'Train Runs'!$A$13:$AE$9939,22,0)</f>
        <v>https://d0f6bd738d7f1b3e5a7ca70fe4ff75f0.us-east-1.aws.found.io/app/kibana#/discover/Steve-Slow-Train-Analysis-(2080s-and-2083s)?_g=(refreshInterval:(display:Off,pause:!f,section:0,value:0),time:(from:'2017-02-26T04:29:51-0700',mode:absolute,to:'2017-02-26T07:22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7" s="94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/stypes="*4018*201702261*" /stext=" 12:.+((SYSTEM_STATE.+slice.+state.+changed )|(ment ac)|(multiple cpu faults)|(system.+state.+changed )|(\[timeout)|(PRM\|1\|D)|(kpr)|(kdp)|(\|lc)|(penalty))" /e /r /s</v>
      </c>
      <c r="U7" s="9" t="str">
        <f t="shared" ref="U7:U38" si="2">MID(B7,13,4)</f>
        <v>4018</v>
      </c>
      <c r="V7" s="32">
        <f t="shared" ref="V7:V38" si="3">A7-utc_offset/24</f>
        <v>42792.535949074074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8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arrival","project_id":79,"tracker_id":40,"status_id":1,"priority_id":2,"assigned_to_id":23,"start_date":"2017-02-26","description":"","custom_fields":[{"id":1,"name":"Subdivision","value":"EC"},{"id":4,"name":"Milepost","value":"2.7053"},{"id":17,"name":"Train ID","value":"117-26"},{"id":16,"name":"Locomotive ID","value":"4018"},{"id":130,"name":"Impact","value":""},{"id":150,"name":"Time of Event (Mountain Time)","value":"05:51:46"},{"id":151,"name":"Denver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8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"%USERPROFILE%\AppData\Local\Temp\OnboardLogs"\RTDC4018\*4018*201702261*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"%USERPROFILE%\AppData\Local\Temp\OnboardLogs"\RTDC4018\*4018*201702261* &gt;&gt; 2017-02-26-SliceDisagreementCheck.txt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4018 --day 2017-02-26</v>
      </c>
    </row>
    <row r="8" spans="1:32" s="1" customFormat="1" x14ac:dyDescent="0.25">
      <c r="A8" s="32">
        <v>42792.463101851848</v>
      </c>
      <c r="B8" s="30" t="s">
        <v>257</v>
      </c>
      <c r="C8" s="30" t="s">
        <v>557</v>
      </c>
      <c r="D8" s="30" t="s">
        <v>49</v>
      </c>
      <c r="E8" s="30" t="s">
        <v>197</v>
      </c>
      <c r="F8" s="43">
        <v>0</v>
      </c>
      <c r="G8" s="43">
        <v>192</v>
      </c>
      <c r="H8" s="43">
        <v>26997</v>
      </c>
      <c r="I8" s="43">
        <v>27316</v>
      </c>
      <c r="J8" s="30" t="s">
        <v>198</v>
      </c>
      <c r="K8" s="43">
        <v>27053</v>
      </c>
      <c r="L8" s="143" t="s">
        <v>50</v>
      </c>
      <c r="M8" s="144">
        <f t="shared" si="0"/>
        <v>-138.864</v>
      </c>
      <c r="N8" s="145" t="str">
        <f>VLOOKUP(C8,'Trips&amp;Operators'!$C$1:$G$99999,5,FALSE)</f>
        <v>STEWART MICHAEL</v>
      </c>
      <c r="O8" s="194" t="s">
        <v>185</v>
      </c>
      <c r="P8" s="146" t="s">
        <v>962</v>
      </c>
      <c r="Q8" s="30"/>
      <c r="R8" s="89" t="str">
        <f>VLOOKUP(C8,'Train Runs'!$A$13:$AE$9939,31,0)</f>
        <v>aws s3 cp s3://rtdc.mdm.uploadarchive.raw/RTDC4018/ "%USERPROFILE%\AppData\Local\Temp\OnboardLogs"\RTDC4018\2017-02-26 --exclude "*" --recursive --include "*20170226*" &amp; "%USERPROFILE%\Documents\GitHub\mrs-test-scripts\Headless Mode &amp; Sideloading\WalkAndUnGZ.bat" "%USERPROFILE%\AppData\Local\Temp\OnboardLogs"\RTDC4018\2017-02-26 &amp; aws s3 cp s3://rtdc.mdm.uploadarchive.raw/RTDC4018/ "%USERPROFILE%\AppData\Local\Temp\OnboardLogs"\RTDC4018\2017-02-27 --exclude "*" --recursive --include "*20170227*" &amp; "%USERPROFILE%\Documents\GitHub\mrs-test-scripts\Headless Mode &amp; Sideloading\WalkAndUnGZ.bat" "%USERPROFILE%\AppData\Local\Temp\OnboardLogs"\RTDC4018\2017-02-27</v>
      </c>
      <c r="S8" s="92" t="str">
        <f>VLOOKUP(C8,'Train Runs'!$A$13:$AE$9939,22,0)</f>
        <v>https://d0f6bd738d7f1b3e5a7ca70fe4ff75f0.us-east-1.aws.found.io/app/kibana#/discover/Steve-Slow-Train-Analysis-(2080s-and-2083s)?_g=(refreshInterval:(display:Off,pause:!f,section:0,value:0),time:(from:'2017-02-26T09:54:40-0700',mode:absolute,to:'2017-02-26T12:36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8" s="94" t="str">
        <f t="shared" si="1"/>
        <v>"C:\Program Files (x86)\AstroGrep\AstroGrep.exe" /spath="%USERPROFILE%\AppData\Local\Temp\OnboardLogs" /stypes="*4018*201702261*" /stext=" 18:.+((SYSTEM_STATE.+slice.+state.+changed )|(ment ac)|(multiple cpu faults)|(system.+state.+changed )|(\[timeout)|(PRM\|1\|D)|(kpr)|(kdp)|(\|lc)|(penalty))" /e /r /s</v>
      </c>
      <c r="U8" s="9" t="str">
        <f t="shared" si="2"/>
        <v>4018</v>
      </c>
      <c r="V8" s="32">
        <f t="shared" si="3"/>
        <v>42792.754768518513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arrival","project_id":79,"tracker_id":40,"status_id":1,"priority_id":2,"assigned_to_id":23,"start_date":"2017-02-26","description":"","custom_fields":[{"id":1,"name":"Subdivision","value":"EC"},{"id":4,"name":"Milepost","value":"2.7053"},{"id":17,"name":"Train ID","value":"159-26"},{"id":16,"name":"Locomotive ID","value":"4018"},{"id":130,"name":"Impact","value":""},{"id":150,"name":"Time of Event (Mountain Time)","value":"11:06:52"},{"id":151,"name":"Denver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"%USERPROFILE%\AppData\Local\Temp\OnboardLogs"\RTDC4018\*4018*201702261*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"%USERPROFILE%\AppData\Local\Temp\OnboardLogs"\RTDC4018\*4018*201702261* &gt;&gt; 2017-02-26-SliceDisagreementCheck.txt</v>
      </c>
      <c r="AE8" s="157" t="str">
        <f t="shared" ref="AE8:AE38" si="9">"start /low /b "&amp;dls3logs&amp;" --loco "&amp;U8&amp;" --day "&amp;TEXT(V8,"YYYY-MM-DD")</f>
        <v>start /low /b %USERPROFILE%\Documents\GitHub\eaglep3\Utilities\DownloadLogsFromS3.py --loco 4018 --day 2017-02-26</v>
      </c>
    </row>
    <row r="9" spans="1:32" s="1" customFormat="1" x14ac:dyDescent="0.25">
      <c r="A9" s="32">
        <v>42792.796284722222</v>
      </c>
      <c r="B9" s="30" t="s">
        <v>333</v>
      </c>
      <c r="C9" s="30" t="s">
        <v>569</v>
      </c>
      <c r="D9" s="30" t="s">
        <v>49</v>
      </c>
      <c r="E9" s="30" t="s">
        <v>197</v>
      </c>
      <c r="F9" s="43">
        <v>0</v>
      </c>
      <c r="G9" s="43">
        <v>242</v>
      </c>
      <c r="H9" s="43">
        <v>26882</v>
      </c>
      <c r="I9" s="43">
        <v>27282</v>
      </c>
      <c r="J9" s="30" t="s">
        <v>198</v>
      </c>
      <c r="K9" s="43">
        <v>27053</v>
      </c>
      <c r="L9" s="143" t="s">
        <v>50</v>
      </c>
      <c r="M9" s="144">
        <f t="shared" si="0"/>
        <v>-120.91200000000001</v>
      </c>
      <c r="N9" s="145" t="str">
        <f>VLOOKUP(C9,'Trips&amp;Operators'!$C$1:$G$99999,5,FALSE)</f>
        <v>CHANDLER KELVIN</v>
      </c>
      <c r="O9" s="194" t="s">
        <v>185</v>
      </c>
      <c r="P9" s="146" t="s">
        <v>962</v>
      </c>
      <c r="Q9" s="30"/>
      <c r="R9" s="89" t="str">
        <f>VLOOKUP(C9,'Train Runs'!$A$13:$AE$9939,31,0)</f>
        <v>aws s3 cp s3://rtdc.mdm.uploadarchive.raw/RTDC4009/ "%USERPROFILE%\AppData\Local\Temp\OnboardLogs"\RTDC4009\2017-02-26 --exclude "*" --recursive --include "*20170226*" &amp; "%USERPROFILE%\Documents\GitHub\mrs-test-scripts\Headless Mode &amp; Sideloading\WalkAndUnGZ.bat" "%USERPROFILE%\AppData\Local\Temp\OnboardLogs"\RTDC4009\2017-02-26 &amp; aws s3 cp s3://rtdc.mdm.uploadarchive.raw/RTDC4009/ "%USERPROFILE%\AppData\Local\Temp\OnboardLogs"\RTDC4009\2017-02-27 --exclude "*" --recursive --include "*20170227*" &amp; "%USERPROFILE%\Documents\GitHub\mrs-test-scripts\Headless Mode &amp; Sideloading\WalkAndUnGZ.bat" "%USERPROFILE%\AppData\Local\Temp\OnboardLogs"\RTDC4009\2017-02-27</v>
      </c>
      <c r="S9" s="92" t="str">
        <f>VLOOKUP(C9,'Train Runs'!$A$13:$AE$9939,22,0)</f>
        <v>https://d0f6bd738d7f1b3e5a7ca70fe4ff75f0.us-east-1.aws.found.io/app/kibana#/discover/Steve-Slow-Train-Analysis-(2080s-and-2083s)?_g=(refreshInterval:(display:Off,pause:!f,section:0,value:0),time:(from:'2017-02-26T17:56:22-0700',mode:absolute,to:'2017-02-26T20:37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9" s="94" t="str">
        <f t="shared" si="1"/>
        <v>"C:\Program Files (x86)\AstroGrep\AstroGrep.exe" /spath="%USERPROFILE%\AppData\Local\Temp\OnboardLogs" /stypes="*4009*201702270*" /stext=" 02:.+((SYSTEM_STATE.+slice.+state.+changed )|(ment ac)|(multiple cpu faults)|(system.+state.+changed )|(\[timeout)|(PRM\|1\|D)|(kpr)|(kdp)|(\|lc)|(penalty))" /e /r /s</v>
      </c>
      <c r="U9" s="9" t="str">
        <f t="shared" si="2"/>
        <v>4009</v>
      </c>
      <c r="V9" s="32">
        <f t="shared" si="3"/>
        <v>42793.087951388887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arrival","project_id":79,"tracker_id":40,"status_id":1,"priority_id":2,"assigned_to_id":23,"start_date":"2017-02-26","description":"","custom_fields":[{"id":1,"name":"Subdivision","value":"EC"},{"id":4,"name":"Milepost","value":"2.7053"},{"id":17,"name":"Train ID","value":"221-26"},{"id":16,"name":"Locomotive ID","value":"4009"},{"id":130,"name":"Impact","value":""},{"id":150,"name":"Time of Event (Mountain Time)","value":"19:06:39"},{"id":151,"name":"Denver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"%USERPROFILE%\AppData\Local\Temp\OnboardLogs"\RTDC4009\*4009*201702270*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"%USERPROFILE%\AppData\Local\Temp\OnboardLogs"\RTDC4009\*4009*201702270* &gt;&gt; 2017-02-26-SliceDisagreementCheck.txt</v>
      </c>
      <c r="AE9" s="157" t="str">
        <f t="shared" si="9"/>
        <v>start /low /b %USERPROFILE%\Documents\GitHub\eaglep3\Utilities\DownloadLogsFromS3.py --loco 4009 --day 2017-02-27</v>
      </c>
    </row>
    <row r="10" spans="1:32" s="1" customFormat="1" x14ac:dyDescent="0.25">
      <c r="A10" s="32">
        <v>42792.464872685188</v>
      </c>
      <c r="B10" s="30" t="s">
        <v>257</v>
      </c>
      <c r="C10" s="30" t="s">
        <v>557</v>
      </c>
      <c r="D10" s="30" t="s">
        <v>49</v>
      </c>
      <c r="E10" s="30" t="s">
        <v>197</v>
      </c>
      <c r="F10" s="43">
        <v>0</v>
      </c>
      <c r="G10" s="43">
        <v>346</v>
      </c>
      <c r="H10" s="43">
        <v>32827</v>
      </c>
      <c r="I10" s="43">
        <v>33711</v>
      </c>
      <c r="J10" s="30" t="s">
        <v>198</v>
      </c>
      <c r="K10" s="43">
        <v>33137</v>
      </c>
      <c r="L10" s="143" t="s">
        <v>50</v>
      </c>
      <c r="M10" s="144">
        <f t="shared" si="0"/>
        <v>-303.072</v>
      </c>
      <c r="N10" s="145" t="str">
        <f>VLOOKUP(C10,'Trips&amp;Operators'!$C$1:$G$99999,5,FALSE)</f>
        <v>STEWART MICHAEL</v>
      </c>
      <c r="O10" s="194" t="s">
        <v>185</v>
      </c>
      <c r="P10" s="146" t="s">
        <v>962</v>
      </c>
      <c r="Q10" s="30"/>
      <c r="R10" s="89" t="str">
        <f>VLOOKUP(C10,'Train Runs'!$A$13:$AE$9939,31,0)</f>
        <v>aws s3 cp s3://rtdc.mdm.uploadarchive.raw/RTDC4018/ "%USERPROFILE%\AppData\Local\Temp\OnboardLogs"\RTDC4018\2017-02-26 --exclude "*" --recursive --include "*20170226*" &amp; "%USERPROFILE%\Documents\GitHub\mrs-test-scripts\Headless Mode &amp; Sideloading\WalkAndUnGZ.bat" "%USERPROFILE%\AppData\Local\Temp\OnboardLogs"\RTDC4018\2017-02-26 &amp; aws s3 cp s3://rtdc.mdm.uploadarchive.raw/RTDC4018/ "%USERPROFILE%\AppData\Local\Temp\OnboardLogs"\RTDC4018\2017-02-27 --exclude "*" --recursive --include "*20170227*" &amp; "%USERPROFILE%\Documents\GitHub\mrs-test-scripts\Headless Mode &amp; Sideloading\WalkAndUnGZ.bat" "%USERPROFILE%\AppData\Local\Temp\OnboardLogs"\RTDC4018\2017-02-27</v>
      </c>
      <c r="S10" s="92" t="str">
        <f>VLOOKUP(C10,'Train Runs'!$A$13:$AE$9939,22,0)</f>
        <v>https://d0f6bd738d7f1b3e5a7ca70fe4ff75f0.us-east-1.aws.found.io/app/kibana#/discover/Steve-Slow-Train-Analysis-(2080s-and-2083s)?_g=(refreshInterval:(display:Off,pause:!f,section:0,value:0),time:(from:'2017-02-26T09:54:40-0700',mode:absolute,to:'2017-02-26T12:36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0" s="94" t="str">
        <f t="shared" si="1"/>
        <v>"C:\Program Files (x86)\AstroGrep\AstroGrep.exe" /spath="%USERPROFILE%\AppData\Local\Temp\OnboardLogs" /stypes="*4018*201702261*" /stext=" 18:.+((SYSTEM_STATE.+slice.+state.+changed )|(ment ac)|(multiple cpu faults)|(system.+state.+changed )|(\[timeout)|(PRM\|1\|D)|(kpr)|(kdp)|(\|lc)|(penalty))" /e /r /s</v>
      </c>
      <c r="U10" s="9" t="str">
        <f t="shared" si="2"/>
        <v>4018</v>
      </c>
      <c r="V10" s="32">
        <f t="shared" si="3"/>
        <v>42792.756539351853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arrival","project_id":79,"tracker_id":40,"status_id":1,"priority_id":2,"assigned_to_id":23,"start_date":"2017-02-26","description":"","custom_fields":[{"id":1,"name":"Subdivision","value":"EC"},{"id":4,"name":"Milepost","value":"3.3137"},{"id":17,"name":"Train ID","value":"159-26"},{"id":16,"name":"Locomotive ID","value":"4018"},{"id":130,"name":"Impact","value":""},{"id":150,"name":"Time of Event (Mountain Time)","value":"11:09:25"},{"id":151,"name":"Denver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"%USERPROFILE%\AppData\Local\Temp\OnboardLogs"\RTDC4018\*4018*201702261*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"%USERPROFILE%\AppData\Local\Temp\OnboardLogs"\RTDC4018\*4018*201702261* &gt;&gt; 2017-02-26-SliceDisagreementCheck.txt</v>
      </c>
      <c r="AE10" s="157" t="str">
        <f t="shared" si="9"/>
        <v>start /low /b %USERPROFILE%\Documents\GitHub\eaglep3\Utilities\DownloadLogsFromS3.py --loco 4018 --day 2017-02-26</v>
      </c>
    </row>
    <row r="11" spans="1:32" s="1" customFormat="1" x14ac:dyDescent="0.25">
      <c r="A11" s="32">
        <v>42792.568877314814</v>
      </c>
      <c r="B11" s="30" t="s">
        <v>239</v>
      </c>
      <c r="C11" s="30" t="s">
        <v>561</v>
      </c>
      <c r="D11" s="30" t="s">
        <v>98</v>
      </c>
      <c r="E11" s="30" t="s">
        <v>197</v>
      </c>
      <c r="F11" s="43">
        <v>360</v>
      </c>
      <c r="G11" s="43">
        <v>410</v>
      </c>
      <c r="H11" s="43">
        <v>33281</v>
      </c>
      <c r="I11" s="43">
        <v>34517</v>
      </c>
      <c r="J11" s="30" t="s">
        <v>198</v>
      </c>
      <c r="K11" s="43">
        <v>33137</v>
      </c>
      <c r="L11" s="143" t="s">
        <v>50</v>
      </c>
      <c r="M11" s="144">
        <f t="shared" si="0"/>
        <v>-728.64</v>
      </c>
      <c r="N11" s="145" t="str">
        <f>VLOOKUP(C11,'Trips&amp;Operators'!$C$1:$G$99999,5,FALSE)</f>
        <v>BRUDER RICHARD</v>
      </c>
      <c r="O11" s="194" t="s">
        <v>185</v>
      </c>
      <c r="P11" s="146" t="s">
        <v>962</v>
      </c>
      <c r="Q11" s="30"/>
      <c r="R11" s="89" t="str">
        <f>VLOOKUP(C11,'Train Runs'!$A$13:$AE$9939,31,0)</f>
        <v>aws s3 cp s3://rtdc.mdm.uploadarchive.raw/RTDC4003/ "%USERPROFILE%\AppData\Local\Temp\OnboardLogs"\RTDC4003\2017-02-26 --exclude "*" --recursive --include "*20170226*" &amp; "%USERPROFILE%\Documents\GitHub\mrs-test-scripts\Headless Mode &amp; Sideloading\WalkAndUnGZ.bat" "%USERPROFILE%\AppData\Local\Temp\OnboardLogs"\RTDC4003\2017-02-26 &amp; aws s3 cp s3://rtdc.mdm.uploadarchive.raw/RTDC4003/ "%USERPROFILE%\AppData\Local\Temp\OnboardLogs"\RTDC4003\2017-02-27 --exclude "*" --recursive --include "*20170227*" &amp; "%USERPROFILE%\Documents\GitHub\mrs-test-scripts\Headless Mode &amp; Sideloading\WalkAndUnGZ.bat" "%USERPROFILE%\AppData\Local\Temp\OnboardLogs"\RTDC4003\2017-02-27</v>
      </c>
      <c r="S11" s="92" t="str">
        <f>VLOOKUP(C11,'Train Runs'!$A$13:$AE$9939,22,0)</f>
        <v>https://d0f6bd738d7f1b3e5a7ca70fe4ff75f0.us-east-1.aws.found.io/app/kibana#/discover/Steve-Slow-Train-Analysis-(2080s-and-2083s)?_g=(refreshInterval:(display:Off,pause:!f,section:0,value:0),time:(from:'2017-02-26T12:25:42-0700',mode:absolute,to:'2017-02-26T15:06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1" s="94" t="str">
        <f t="shared" si="1"/>
        <v>"C:\Program Files (x86)\AstroGrep\AstroGrep.exe" /spath="%USERPROFILE%\AppData\Local\Temp\OnboardLogs" /stypes="*4003*201702262*" /stext=" 20:.+((SYSTEM_STATE.+slice.+state.+changed )|(ment ac)|(multiple cpu faults)|(system.+state.+changed )|(\[timeout)|(PRM\|1\|D)|(kpr)|(kdp)|(\|lc)|(penalty))" /e /r /s</v>
      </c>
      <c r="U11" s="9" t="str">
        <f t="shared" si="2"/>
        <v>4003</v>
      </c>
      <c r="V11" s="32">
        <f t="shared" si="3"/>
        <v>42792.860543981478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arrival","project_id":79,"tracker_id":40,"status_id":1,"priority_id":2,"assigned_to_id":23,"start_date":"2017-02-26","description":"","custom_fields":[{"id":1,"name":"Subdivision","value":"EC"},{"id":4,"name":"Milepost","value":"3.3137"},{"id":17,"name":"Train ID","value":"179-26"},{"id":16,"name":"Locomotive ID","value":"4003"},{"id":130,"name":"Impact","value":""},{"id":150,"name":"Time of Event (Mountain Time)","value":"13:39:11"},{"id":151,"name":"Denver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"%USERPROFILE%\AppData\Local\Temp\OnboardLogs"\RTDC4003\*4003*201702262*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"%USERPROFILE%\AppData\Local\Temp\OnboardLogs"\RTDC4003\*4003*201702262* &gt;&gt; 2017-02-26-SliceDisagreementCheck.txt</v>
      </c>
      <c r="AE11" s="157" t="str">
        <f t="shared" si="9"/>
        <v>start /low /b %USERPROFILE%\Documents\GitHub\eaglep3\Utilities\DownloadLogsFromS3.py --loco 4003 --day 2017-02-26</v>
      </c>
    </row>
    <row r="12" spans="1:32" s="1" customFormat="1" x14ac:dyDescent="0.25">
      <c r="A12" s="32">
        <v>42792.790034722224</v>
      </c>
      <c r="B12" s="30" t="s">
        <v>259</v>
      </c>
      <c r="C12" s="30" t="s">
        <v>568</v>
      </c>
      <c r="D12" s="30" t="s">
        <v>49</v>
      </c>
      <c r="E12" s="30" t="s">
        <v>197</v>
      </c>
      <c r="F12" s="43">
        <v>0</v>
      </c>
      <c r="G12" s="43">
        <v>187</v>
      </c>
      <c r="H12" s="43">
        <v>33345</v>
      </c>
      <c r="I12" s="43">
        <v>33138</v>
      </c>
      <c r="J12" s="30" t="s">
        <v>198</v>
      </c>
      <c r="K12" s="43">
        <v>33257</v>
      </c>
      <c r="L12" s="143" t="s">
        <v>51</v>
      </c>
      <c r="M12" s="144">
        <f t="shared" si="0"/>
        <v>-62.832000000000001</v>
      </c>
      <c r="N12" s="145" t="str">
        <f>VLOOKUP(C12,'Trips&amp;Operators'!$C$1:$G$99999,5,FALSE)</f>
        <v>PERKINS DARREN</v>
      </c>
      <c r="O12" s="194" t="s">
        <v>185</v>
      </c>
      <c r="P12" s="146" t="s">
        <v>962</v>
      </c>
      <c r="Q12" s="30"/>
      <c r="R12" s="89" t="str">
        <f>VLOOKUP(C12,'Train Runs'!$A$13:$AE$9939,31,0)</f>
        <v>aws s3 cp s3://rtdc.mdm.uploadarchive.raw/RTDC4012/ "%USERPROFILE%\AppData\Local\Temp\OnboardLogs"\RTDC4012\2017-02-26 --exclude "*" --recursive --include "*20170226*" &amp; "%USERPROFILE%\Documents\GitHub\mrs-test-scripts\Headless Mode &amp; Sideloading\WalkAndUnGZ.bat" "%USERPROFILE%\AppData\Local\Temp\OnboardLogs"\RTDC4012\2017-02-26 &amp; 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</v>
      </c>
      <c r="S12" s="92" t="str">
        <f>VLOOKUP(C12,'Train Runs'!$A$13:$AE$9939,22,0)</f>
        <v>https://d0f6bd738d7f1b3e5a7ca70fe4ff75f0.us-east-1.aws.found.io/app/kibana#/discover/Steve-Slow-Train-Analysis-(2080s-and-2083s)?_g=(refreshInterval:(display:Off,pause:!f,section:0,value:0),time:(from:'2017-02-26T17:12:04-0700',mode:absolute,to:'2017-02-26T20:08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2" s="94" t="str">
        <f t="shared" si="1"/>
        <v>"C:\Program Files (x86)\AstroGrep\AstroGrep.exe" /spath="%USERPROFILE%\AppData\Local\Temp\OnboardLogs" /stypes="*4012*201702270*" /stext=" 01:.+((SYSTEM_STATE.+slice.+state.+changed )|(ment ac)|(multiple cpu faults)|(system.+state.+changed )|(\[timeout)|(PRM\|1\|D)|(kpr)|(kdp)|(\|lc)|(penalty))" /e /r /s</v>
      </c>
      <c r="U12" s="9" t="str">
        <f t="shared" si="2"/>
        <v>4012</v>
      </c>
      <c r="V12" s="32">
        <f t="shared" si="3"/>
        <v>42793.081701388888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arrival","project_id":79,"tracker_id":40,"status_id":1,"priority_id":2,"assigned_to_id":23,"start_date":"2017-02-26","description":"","custom_fields":[{"id":1,"name":"Subdivision","value":"EC"},{"id":4,"name":"Milepost","value":"3.3257"},{"id":17,"name":"Train ID","value":"212-26"},{"id":16,"name":"Locomotive ID","value":"4012"},{"id":130,"name":"Impact","value":""},{"id":150,"name":"Time of Event (Mountain Time)","value":"18:57:39"},{"id":151,"name":"Denver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"%USERPROFILE%\AppData\Local\Temp\OnboardLogs"\RTDC4012\*4012*201702270*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"%USERPROFILE%\AppData\Local\Temp\OnboardLogs"\RTDC4012\*4012*201702270* &gt;&gt; 2017-02-26-SliceDisagreementCheck.txt</v>
      </c>
      <c r="AE12" s="157" t="str">
        <f t="shared" si="9"/>
        <v>start /low /b %USERPROFILE%\Documents\GitHub\eaglep3\Utilities\DownloadLogsFromS3.py --loco 4012 --day 2017-02-27</v>
      </c>
    </row>
    <row r="13" spans="1:32" s="1" customFormat="1" x14ac:dyDescent="0.25">
      <c r="A13" s="32">
        <v>42792.797222222223</v>
      </c>
      <c r="B13" s="30" t="s">
        <v>219</v>
      </c>
      <c r="C13" s="30" t="s">
        <v>570</v>
      </c>
      <c r="D13" s="30" t="s">
        <v>49</v>
      </c>
      <c r="E13" s="30" t="s">
        <v>197</v>
      </c>
      <c r="F13" s="43">
        <v>0</v>
      </c>
      <c r="G13" s="43">
        <v>407</v>
      </c>
      <c r="H13" s="43">
        <v>43582</v>
      </c>
      <c r="I13" s="43">
        <v>42621</v>
      </c>
      <c r="J13" s="30" t="s">
        <v>198</v>
      </c>
      <c r="K13" s="43">
        <v>42961</v>
      </c>
      <c r="L13" s="143" t="s">
        <v>51</v>
      </c>
      <c r="M13" s="144">
        <f t="shared" si="0"/>
        <v>-179.52</v>
      </c>
      <c r="N13" s="145" t="str">
        <f>VLOOKUP(C13,'Trips&amp;Operators'!$C$1:$G$99999,5,FALSE)</f>
        <v>NEWELL JAMES</v>
      </c>
      <c r="O13" s="194" t="s">
        <v>185</v>
      </c>
      <c r="P13" s="146" t="s">
        <v>962</v>
      </c>
      <c r="Q13" s="30"/>
      <c r="R13" s="89" t="str">
        <f>VLOOKUP(C13,'Train Runs'!$A$13:$AE$9939,31,0)</f>
        <v>aws s3 cp s3://rtdc.mdm.uploadarchive.raw/RTDC4028/ "%USERPROFILE%\AppData\Local\Temp\OnboardLogs"\RTDC4028\2017-02-26 --exclude "*" --recursive --include "*20170226*" &amp; "%USERPROFILE%\Documents\GitHub\mrs-test-scripts\Headless Mode &amp; Sideloading\WalkAndUnGZ.bat" "%USERPROFILE%\AppData\Local\Temp\OnboardLogs"\RTDC4028\2017-02-26 &amp; aws s3 cp s3://rtdc.mdm.uploadarchive.raw/RTDC4028/ "%USERPROFILE%\AppData\Local\Temp\OnboardLogs"\RTDC4028\2017-02-27 --exclude "*" --recursive --include "*20170227*" &amp; "%USERPROFILE%\Documents\GitHub\mrs-test-scripts\Headless Mode &amp; Sideloading\WalkAndUnGZ.bat" "%USERPROFILE%\AppData\Local\Temp\OnboardLogs"\RTDC4028\2017-02-27</v>
      </c>
      <c r="S13" s="92" t="str">
        <f>VLOOKUP(C13,'Train Runs'!$A$13:$AE$9939,22,0)</f>
        <v>https://d0f6bd738d7f1b3e5a7ca70fe4ff75f0.us-east-1.aws.found.io/app/kibana#/discover/Steve-Slow-Train-Analysis-(2080s-and-2083s)?_g=(refreshInterval:(display:Off,pause:!f,section:0,value:0),time:(from:'2017-02-26T17:30:01-0700',mode:absolute,to:'2017-02-26T20:20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3" s="94" t="str">
        <f t="shared" si="1"/>
        <v>"C:\Program Files (x86)\AstroGrep\AstroGrep.exe" /spath="%USERPROFILE%\AppData\Local\Temp\OnboardLogs" /stypes="*4028*201702270*" /stext=" 02:.+((SYSTEM_STATE.+slice.+state.+changed )|(ment ac)|(multiple cpu faults)|(system.+state.+changed )|(\[timeout)|(PRM\|1\|D)|(kpr)|(kdp)|(\|lc)|(penalty))" /e /r /s</v>
      </c>
      <c r="U13" s="9" t="str">
        <f t="shared" si="2"/>
        <v>4028</v>
      </c>
      <c r="V13" s="32">
        <f t="shared" si="3"/>
        <v>42793.088888888888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arrival","project_id":79,"tracker_id":40,"status_id":1,"priority_id":2,"assigned_to_id":23,"start_date":"2017-02-26","description":"","custom_fields":[{"id":1,"name":"Subdivision","value":"EC"},{"id":4,"name":"Milepost","value":"4.2961"},{"id":17,"name":"Train ID","value":"214-26"},{"id":16,"name":"Locomotive ID","value":"4028"},{"id":130,"name":"Impact","value":""},{"id":150,"name":"Time of Event (Mountain Time)","value":"19:08:00"},{"id":151,"name":"Denver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"%USERPROFILE%\AppData\Local\Temp\OnboardLogs"\RTDC4028\*4028*201702270*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"%USERPROFILE%\AppData\Local\Temp\OnboardLogs"\RTDC4028\*4028*201702270* &gt;&gt; 2017-02-26-SliceDisagreementCheck.txt</v>
      </c>
      <c r="AE13" s="157" t="str">
        <f t="shared" si="9"/>
        <v>start /low /b %USERPROFILE%\Documents\GitHub\eaglep3\Utilities\DownloadLogsFromS3.py --loco 4028 --day 2017-02-27</v>
      </c>
    </row>
    <row r="14" spans="1:32" x14ac:dyDescent="0.25">
      <c r="A14" s="32">
        <v>42792.446631944447</v>
      </c>
      <c r="B14" s="30" t="s">
        <v>192</v>
      </c>
      <c r="C14" s="30" t="s">
        <v>556</v>
      </c>
      <c r="D14" s="30" t="s">
        <v>49</v>
      </c>
      <c r="E14" s="30" t="s">
        <v>197</v>
      </c>
      <c r="F14" s="43">
        <v>310</v>
      </c>
      <c r="G14" s="43">
        <v>464</v>
      </c>
      <c r="H14" s="43">
        <v>61823</v>
      </c>
      <c r="I14" s="43">
        <v>63221</v>
      </c>
      <c r="J14" s="30" t="s">
        <v>198</v>
      </c>
      <c r="K14" s="43">
        <v>63069</v>
      </c>
      <c r="L14" s="143" t="s">
        <v>50</v>
      </c>
      <c r="M14" s="144">
        <f t="shared" si="0"/>
        <v>-80.256</v>
      </c>
      <c r="N14" s="145" t="str">
        <f>VLOOKUP(C14,'Trips&amp;Operators'!$C$1:$G$99999,5,FALSE)</f>
        <v>ROMERO CHAD</v>
      </c>
      <c r="O14" s="194" t="s">
        <v>185</v>
      </c>
      <c r="P14" s="146" t="s">
        <v>962</v>
      </c>
      <c r="Q14" s="30"/>
      <c r="R14" s="89" t="str">
        <f>VLOOKUP(C14,'Train Runs'!$A$13:$AE$9939,31,0)</f>
        <v>aws s3 cp s3://rtdc.mdm.uploadarchive.raw/RTDC4011/ "%USERPROFILE%\AppData\Local\Temp\OnboardLogs"\RTDC4011\2017-02-26 --exclude "*" --recursive --include "*20170226*" &amp; "%USERPROFILE%\Documents\GitHub\mrs-test-scripts\Headless Mode &amp; Sideloading\WalkAndUnGZ.bat" "%USERPROFILE%\AppData\Local\Temp\OnboardLogs"\RTDC4011\2017-02-26 &amp; aws s3 cp s3://rtdc.mdm.uploadarchive.raw/RTDC4011/ "%USERPROFILE%\AppData\Local\Temp\OnboardLogs"\RTDC4011\2017-02-27 --exclude "*" --recursive --include "*20170227*" &amp; "%USERPROFILE%\Documents\GitHub\mrs-test-scripts\Headless Mode &amp; Sideloading\WalkAndUnGZ.bat" "%USERPROFILE%\AppData\Local\Temp\OnboardLogs"\RTDC4011\2017-02-27</v>
      </c>
      <c r="S14" s="92" t="str">
        <f>VLOOKUP(C14,'Train Runs'!$A$13:$AE$9939,22,0)</f>
        <v>https://d0f6bd738d7f1b3e5a7ca70fe4ff75f0.us-east-1.aws.found.io/app/kibana#/discover/Steve-Slow-Train-Analysis-(2080s-and-2083s)?_g=(refreshInterval:(display:Off,pause:!f,section:0,value:0),time:(from:'2017-02-26T09:25:10-0700',mode:absolute,to:'2017-02-26T12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4" s="94" t="str">
        <f t="shared" si="1"/>
        <v>"C:\Program Files (x86)\AstroGrep\AstroGrep.exe" /spath="%USERPROFILE%\AppData\Local\Temp\OnboardLogs" /stypes="*4011*201702261*" /stext=" 17:.+((SYSTEM_STATE.+slice.+state.+changed )|(ment ac)|(multiple cpu faults)|(system.+state.+changed )|(\[timeout)|(PRM\|1\|D)|(kpr)|(kdp)|(\|lc)|(penalty))" /e /r /s</v>
      </c>
      <c r="U14" s="9" t="str">
        <f t="shared" si="2"/>
        <v>4011</v>
      </c>
      <c r="V14" s="32">
        <f t="shared" si="3"/>
        <v>42792.738298611112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arrival","project_id":79,"tracker_id":40,"status_id":1,"priority_id":2,"assigned_to_id":23,"start_date":"2017-02-26","description":"","custom_fields":[{"id":1,"name":"Subdivision","value":"EC"},{"id":4,"name":"Milepost","value":"6.3069"},{"id":17,"name":"Train ID","value":"155-26"},{"id":16,"name":"Locomotive ID","value":"4011"},{"id":130,"name":"Impact","value":""},{"id":150,"name":"Time of Event (Mountain Time)","value":"10:43:09"},{"id":151,"name":"Denver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"%USERPROFILE%\AppData\Local\Temp\OnboardLogs"\RTDC4011\*4011*201702261*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"%USERPROFILE%\AppData\Local\Temp\OnboardLogs"\RTDC4011\*4011*201702261* &gt;&gt; 2017-02-26-SliceDisagreementCheck.txt</v>
      </c>
      <c r="AE14" s="157" t="str">
        <f t="shared" si="9"/>
        <v>start /low /b %USERPROFILE%\Documents\GitHub\eaglep3\Utilities\DownloadLogsFromS3.py --loco 4011 --day 2017-02-26</v>
      </c>
      <c r="AF14" s="1"/>
    </row>
    <row r="15" spans="1:32" x14ac:dyDescent="0.25">
      <c r="A15" s="32">
        <v>42792.526493055557</v>
      </c>
      <c r="B15" s="30" t="s">
        <v>212</v>
      </c>
      <c r="C15" s="30" t="s">
        <v>559</v>
      </c>
      <c r="D15" s="30" t="s">
        <v>98</v>
      </c>
      <c r="E15" s="30" t="s">
        <v>197</v>
      </c>
      <c r="F15" s="43">
        <v>0</v>
      </c>
      <c r="G15" s="43">
        <v>85</v>
      </c>
      <c r="H15" s="43">
        <v>63267</v>
      </c>
      <c r="I15" s="43">
        <v>63241</v>
      </c>
      <c r="J15" s="30" t="s">
        <v>198</v>
      </c>
      <c r="K15" s="43">
        <v>63309</v>
      </c>
      <c r="L15" s="143" t="s">
        <v>51</v>
      </c>
      <c r="M15" s="144">
        <f t="shared" si="0"/>
        <v>-35.904000000000003</v>
      </c>
      <c r="N15" s="145" t="str">
        <f>VLOOKUP(C15,'Trips&amp;Operators'!$C$1:$G$99999,5,FALSE)</f>
        <v>DAVIS MICHAEL</v>
      </c>
      <c r="O15" s="194" t="s">
        <v>185</v>
      </c>
      <c r="P15" s="146" t="s">
        <v>962</v>
      </c>
      <c r="Q15" s="30"/>
      <c r="R15" s="89" t="str">
        <f>VLOOKUP(C15,'Train Runs'!$A$13:$AE$9939,31,0)</f>
        <v>aws s3 cp s3://rtdc.mdm.uploadarchive.raw/RTDC4026/ "%USERPROFILE%\AppData\Local\Temp\OnboardLogs"\RTDC4026\2017-02-26 --exclude "*" --recursive --include "*20170226*" &amp; "%USERPROFILE%\Documents\GitHub\mrs-test-scripts\Headless Mode &amp; Sideloading\WalkAndUnGZ.bat" "%USERPROFILE%\AppData\Local\Temp\OnboardLogs"\RTDC4026\2017-02-26 &amp; aws s3 cp s3://rtdc.mdm.uploadarchive.raw/RTDC4026/ "%USERPROFILE%\AppData\Local\Temp\OnboardLogs"\RTDC4026\2017-02-27 --exclude "*" --recursive --include "*20170227*" &amp; "%USERPROFILE%\Documents\GitHub\mrs-test-scripts\Headless Mode &amp; Sideloading\WalkAndUnGZ.bat" "%USERPROFILE%\AppData\Local\Temp\OnboardLogs"\RTDC4026\2017-02-27</v>
      </c>
      <c r="S15" s="92" t="str">
        <f>VLOOKUP(C15,'Train Runs'!$A$13:$AE$9939,22,0)</f>
        <v>https://d0f6bd738d7f1b3e5a7ca70fe4ff75f0.us-east-1.aws.found.io/app/kibana#/discover/Steve-Slow-Train-Analysis-(2080s-and-2083s)?_g=(refreshInterval:(display:Off,pause:!f,section:0,value:0),time:(from:'2017-02-26T11:07:42-0700',mode:absolute,to:'2017-02-26T13:57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5" s="94" t="str">
        <f t="shared" si="1"/>
        <v>"C:\Program Files (x86)\AstroGrep\AstroGrep.exe" /spath="%USERPROFILE%\AppData\Local\Temp\OnboardLogs" /stypes="*4026*201702261*" /stext=" 19:.+((SYSTEM_STATE.+slice.+state.+changed )|(ment ac)|(multiple cpu faults)|(system.+state.+changed )|(\[timeout)|(PRM\|1\|D)|(kpr)|(kdp)|(\|lc)|(penalty))" /e /r /s</v>
      </c>
      <c r="U15" s="9" t="str">
        <f t="shared" si="2"/>
        <v>4026</v>
      </c>
      <c r="V15" s="32">
        <f t="shared" si="3"/>
        <v>42792.818159722221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arrival","project_id":79,"tracker_id":40,"status_id":1,"priority_id":2,"assigned_to_id":23,"start_date":"2017-02-26","description":"","custom_fields":[{"id":1,"name":"Subdivision","value":"EC"},{"id":4,"name":"Milepost","value":"6.3309"},{"id":17,"name":"Train ID","value":"162-26"},{"id":16,"name":"Locomotive ID","value":"4026"},{"id":130,"name":"Impact","value":""},{"id":150,"name":"Time of Event (Mountain Time)","value":"12:38:09"},{"id":151,"name":"Denver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"%USERPROFILE%\AppData\Local\Temp\OnboardLogs"\RTDC4026\*4026*201702261*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"%USERPROFILE%\AppData\Local\Temp\OnboardLogs"\RTDC4026\*4026*201702261* &gt;&gt; 2017-02-26-SliceDisagreementCheck.txt</v>
      </c>
      <c r="AE15" s="157" t="str">
        <f t="shared" si="9"/>
        <v>start /low /b %USERPROFILE%\Documents\GitHub\eaglep3\Utilities\DownloadLogsFromS3.py --loco 4026 --day 2017-02-26</v>
      </c>
      <c r="AF15" s="1"/>
    </row>
    <row r="16" spans="1:32" x14ac:dyDescent="0.25">
      <c r="A16" s="32">
        <v>42792.783715277779</v>
      </c>
      <c r="B16" s="30" t="s">
        <v>259</v>
      </c>
      <c r="C16" s="30" t="s">
        <v>568</v>
      </c>
      <c r="D16" s="30" t="s">
        <v>49</v>
      </c>
      <c r="E16" s="30" t="s">
        <v>197</v>
      </c>
      <c r="F16" s="43">
        <v>0</v>
      </c>
      <c r="G16" s="43">
        <v>668</v>
      </c>
      <c r="H16" s="43">
        <v>79446</v>
      </c>
      <c r="I16" s="43">
        <v>77012</v>
      </c>
      <c r="J16" s="30" t="s">
        <v>198</v>
      </c>
      <c r="K16" s="43">
        <v>78469</v>
      </c>
      <c r="L16" s="143" t="s">
        <v>51</v>
      </c>
      <c r="M16" s="144">
        <f t="shared" si="0"/>
        <v>-769.29600000000005</v>
      </c>
      <c r="N16" s="145" t="str">
        <f>VLOOKUP(C16,'Trips&amp;Operators'!$C$1:$G$99999,5,FALSE)</f>
        <v>PERKINS DARREN</v>
      </c>
      <c r="O16" s="194" t="s">
        <v>185</v>
      </c>
      <c r="P16" s="146" t="s">
        <v>962</v>
      </c>
      <c r="Q16" s="30"/>
      <c r="R16" s="89" t="str">
        <f>VLOOKUP(C16,'Train Runs'!$A$13:$AE$9939,31,0)</f>
        <v>aws s3 cp s3://rtdc.mdm.uploadarchive.raw/RTDC4012/ "%USERPROFILE%\AppData\Local\Temp\OnboardLogs"\RTDC4012\2017-02-26 --exclude "*" --recursive --include "*20170226*" &amp; "%USERPROFILE%\Documents\GitHub\mrs-test-scripts\Headless Mode &amp; Sideloading\WalkAndUnGZ.bat" "%USERPROFILE%\AppData\Local\Temp\OnboardLogs"\RTDC4012\2017-02-26 &amp; 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</v>
      </c>
      <c r="S16" s="92" t="str">
        <f>VLOOKUP(C16,'Train Runs'!$A$13:$AE$9939,22,0)</f>
        <v>https://d0f6bd738d7f1b3e5a7ca70fe4ff75f0.us-east-1.aws.found.io/app/kibana#/discover/Steve-Slow-Train-Analysis-(2080s-and-2083s)?_g=(refreshInterval:(display:Off,pause:!f,section:0,value:0),time:(from:'2017-02-26T17:12:04-0700',mode:absolute,to:'2017-02-26T20:08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6" s="94" t="str">
        <f t="shared" si="1"/>
        <v>"C:\Program Files (x86)\AstroGrep\AstroGrep.exe" /spath="%USERPROFILE%\AppData\Local\Temp\OnboardLogs" /stypes="*4012*201702270*" /stext=" 01:.+((SYSTEM_STATE.+slice.+state.+changed )|(ment ac)|(multiple cpu faults)|(system.+state.+changed )|(\[timeout)|(PRM\|1\|D)|(kpr)|(kdp)|(\|lc)|(penalty))" /e /r /s</v>
      </c>
      <c r="U16" s="9" t="str">
        <f t="shared" si="2"/>
        <v>4012</v>
      </c>
      <c r="V16" s="32">
        <f t="shared" si="3"/>
        <v>42793.075381944444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arrival","project_id":79,"tracker_id":40,"status_id":1,"priority_id":2,"assigned_to_id":23,"start_date":"2017-02-26","description":"","custom_fields":[{"id":1,"name":"Subdivision","value":"EC"},{"id":4,"name":"Milepost","value":"7.8469"},{"id":17,"name":"Train ID","value":"212-26"},{"id":16,"name":"Locomotive ID","value":"4012"},{"id":130,"name":"Impact","value":""},{"id":150,"name":"Time of Event (Mountain Time)","value":"18:48:33"},{"id":151,"name":"Denver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"%USERPROFILE%\AppData\Local\Temp\OnboardLogs"\RTDC4012\*4012*201702270*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"%USERPROFILE%\AppData\Local\Temp\OnboardLogs"\RTDC4012\*4012*201702270* &gt;&gt; 2017-02-26-SliceDisagreementCheck.txt</v>
      </c>
      <c r="AE16" s="157" t="str">
        <f t="shared" si="9"/>
        <v>start /low /b %USERPROFILE%\Documents\GitHub\eaglep3\Utilities\DownloadLogsFromS3.py --loco 4012 --day 2017-02-27</v>
      </c>
      <c r="AF16" s="1"/>
    </row>
    <row r="17" spans="1:32" x14ac:dyDescent="0.25">
      <c r="A17" s="32">
        <v>42792.33761574074</v>
      </c>
      <c r="B17" s="30" t="s">
        <v>232</v>
      </c>
      <c r="C17" s="30" t="s">
        <v>552</v>
      </c>
      <c r="D17" s="30" t="s">
        <v>49</v>
      </c>
      <c r="E17" s="30" t="s">
        <v>197</v>
      </c>
      <c r="F17" s="43">
        <v>460</v>
      </c>
      <c r="G17" s="43">
        <v>581</v>
      </c>
      <c r="H17" s="43">
        <v>107610</v>
      </c>
      <c r="I17" s="43">
        <v>109761</v>
      </c>
      <c r="J17" s="30" t="s">
        <v>198</v>
      </c>
      <c r="K17" s="43">
        <v>108954</v>
      </c>
      <c r="L17" s="143" t="s">
        <v>50</v>
      </c>
      <c r="M17" s="144">
        <f t="shared" si="0"/>
        <v>-426.096</v>
      </c>
      <c r="N17" s="145" t="str">
        <f>VLOOKUP(C17,'Trips&amp;Operators'!$C$1:$G$99999,5,FALSE)</f>
        <v>ARVIDSON DANIEL</v>
      </c>
      <c r="O17" s="194" t="s">
        <v>185</v>
      </c>
      <c r="P17" s="146" t="s">
        <v>962</v>
      </c>
      <c r="Q17" s="30"/>
      <c r="R17" s="89" t="str">
        <f>VLOOKUP(C17,'Train Runs'!$A$13:$AE$9939,31,0)</f>
        <v>aws s3 cp s3://rtdc.mdm.uploadarchive.raw/RTDC4025/ "%USERPROFILE%\AppData\Local\Temp\OnboardLogs"\RTDC4025\2017-02-26 --exclude "*" --recursive --include "*20170226*" &amp; "%USERPROFILE%\Documents\GitHub\mrs-test-scripts\Headless Mode &amp; Sideloading\WalkAndUnGZ.bat" "%USERPROFILE%\AppData\Local\Temp\OnboardLogs"\RTDC4025\2017-02-26 &amp; aws s3 cp s3://rtdc.mdm.uploadarchive.raw/RTDC4025/ "%USERPROFILE%\AppData\Local\Temp\OnboardLogs"\RTDC4025\2017-02-27 --exclude "*" --recursive --include "*20170227*" &amp; "%USERPROFILE%\Documents\GitHub\mrs-test-scripts\Headless Mode &amp; Sideloading\WalkAndUnGZ.bat" "%USERPROFILE%\AppData\Local\Temp\OnboardLogs"\RTDC4025\2017-02-27</v>
      </c>
      <c r="S17" s="92" t="str">
        <f>VLOOKUP(C17,'Train Runs'!$A$13:$AE$9939,22,0)</f>
        <v>https://d0f6bd738d7f1b3e5a7ca70fe4ff75f0.us-east-1.aws.found.io/app/kibana#/discover/Steve-Slow-Train-Analysis-(2080s-and-2083s)?_g=(refreshInterval:(display:Off,pause:!f,section:0,value:0),time:(from:'2017-02-26T06:39:29-0700',mode:absolute,to:'2017-02-26T09:24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7" s="94" t="str">
        <f t="shared" si="1"/>
        <v>"C:\Program Files (x86)\AstroGrep\AstroGrep.exe" /spath="%USERPROFILE%\AppData\Local\Temp\OnboardLogs" /stypes="*4025*201702261*" /stext=" 15:.+((SYSTEM_STATE.+slice.+state.+changed )|(ment ac)|(multiple cpu faults)|(system.+state.+changed )|(\[timeout)|(PRM\|1\|D)|(kpr)|(kdp)|(\|lc)|(penalty))" /e /r /s</v>
      </c>
      <c r="U17" s="9" t="str">
        <f t="shared" si="2"/>
        <v>4025</v>
      </c>
      <c r="V17" s="32">
        <f t="shared" si="3"/>
        <v>42792.629282407404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arrival","project_id":79,"tracker_id":40,"status_id":1,"priority_id":2,"assigned_to_id":23,"start_date":"2017-02-26","description":"","custom_fields":[{"id":1,"name":"Subdivision","value":"EC"},{"id":4,"name":"Milepost","value":"10.8954"},{"id":17,"name":"Train ID","value":"133-26"},{"id":16,"name":"Locomotive ID","value":"4025"},{"id":130,"name":"Impact","value":""},{"id":150,"name":"Time of Event (Mountain Time)","value":"08:06:10"},{"id":151,"name":"Denver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"%USERPROFILE%\AppData\Local\Temp\OnboardLogs"\RTDC4025\*4025*201702261*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"%USERPROFILE%\AppData\Local\Temp\OnboardLogs"\RTDC4025\*4025*201702261* &gt;&gt; 2017-02-26-SliceDisagreementCheck.txt</v>
      </c>
      <c r="AE17" s="157" t="str">
        <f t="shared" si="9"/>
        <v>start /low /b %USERPROFILE%\Documents\GitHub\eaglep3\Utilities\DownloadLogsFromS3.py --loco 4025 --day 2017-02-26</v>
      </c>
      <c r="AF17" s="1"/>
    </row>
    <row r="18" spans="1:32" ht="15" customHeight="1" x14ac:dyDescent="0.25">
      <c r="A18" s="32">
        <v>42792.149537037039</v>
      </c>
      <c r="B18" s="30" t="s">
        <v>333</v>
      </c>
      <c r="C18" s="30" t="s">
        <v>548</v>
      </c>
      <c r="D18" s="30" t="s">
        <v>49</v>
      </c>
      <c r="E18" s="30" t="s">
        <v>197</v>
      </c>
      <c r="F18" s="43">
        <v>580</v>
      </c>
      <c r="G18" s="43">
        <v>653</v>
      </c>
      <c r="H18" s="43">
        <v>106723</v>
      </c>
      <c r="I18" s="43">
        <v>109608</v>
      </c>
      <c r="J18" s="30" t="s">
        <v>198</v>
      </c>
      <c r="K18" s="43">
        <v>108954</v>
      </c>
      <c r="L18" s="143" t="s">
        <v>50</v>
      </c>
      <c r="M18" s="144">
        <f t="shared" si="0"/>
        <v>-345.31200000000001</v>
      </c>
      <c r="N18" s="145" t="str">
        <f>VLOOKUP(C18,'Trips&amp;Operators'!$C$1:$G$99999,5,FALSE)</f>
        <v>SANTIZO D. EDY</v>
      </c>
      <c r="O18" s="194" t="s">
        <v>185</v>
      </c>
      <c r="P18" s="146" t="s">
        <v>962</v>
      </c>
      <c r="Q18" s="30"/>
      <c r="R18" s="89" t="str">
        <f>VLOOKUP(C18,'Train Runs'!$A$13:$AE$9939,31,0)</f>
        <v>aws s3 cp s3://rtdc.mdm.uploadarchive.raw/RTDC4009/ "%USERPROFILE%\AppData\Local\Temp\OnboardLogs"\RTDC4009\2017-02-26 --exclude "*" --recursive --include "*20170226*" &amp; "%USERPROFILE%\Documents\GitHub\mrs-test-scripts\Headless Mode &amp; Sideloading\WalkAndUnGZ.bat" "%USERPROFILE%\AppData\Local\Temp\OnboardLogs"\RTDC4009\2017-02-26 &amp; aws s3 cp s3://rtdc.mdm.uploadarchive.raw/RTDC4009/ "%USERPROFILE%\AppData\Local\Temp\OnboardLogs"\RTDC4009\2017-02-27 --exclude "*" --recursive --include "*20170227*" &amp; "%USERPROFILE%\Documents\GitHub\mrs-test-scripts\Headless Mode &amp; Sideloading\WalkAndUnGZ.bat" "%USERPROFILE%\AppData\Local\Temp\OnboardLogs"\RTDC4009\2017-02-27</v>
      </c>
      <c r="S18" s="92" t="str">
        <f>VLOOKUP(C18,'Train Runs'!$A$13:$AE$9939,22,0)</f>
        <v>https://d0f6bd738d7f1b3e5a7ca70fe4ff75f0.us-east-1.aws.found.io/app/kibana#/discover/Steve-Slow-Train-Analysis-(2080s-and-2083s)?_g=(refreshInterval:(display:Off,pause:!f,section:0,value:0),time:(from:'2017-02-26T02:11:07-0700',mode:absolute,to:'2017-02-26T04:52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8" s="94" t="str">
        <f t="shared" si="1"/>
        <v>"C:\Program Files (x86)\AstroGrep\AstroGrep.exe" /spath="%USERPROFILE%\AppData\Local\Temp\OnboardLogs" /stypes="*4009*201702261*" /stext=" 10:.+((SYSTEM_STATE.+slice.+state.+changed )|(ment ac)|(multiple cpu faults)|(system.+state.+changed )|(\[timeout)|(PRM\|1\|D)|(kpr)|(kdp)|(\|lc)|(penalty))" /e /r /s</v>
      </c>
      <c r="U18" s="9" t="str">
        <f t="shared" si="2"/>
        <v>4009</v>
      </c>
      <c r="V18" s="32">
        <f t="shared" si="3"/>
        <v>42792.441203703704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{"issue":{"subject":"Early arrival","project_id":79,"tracker_id":40,"status_id":1,"priority_id":2,"assigned_to_id":23,"start_date":"2017-02-26","description":"","custom_fields":[{"id":1,"name":"Subdivision","value":"EC"},{"id":4,"name":"Milepost","value":"10.8954"},{"id":17,"name":"Train ID","value":"101-26"},{"id":16,"name":"Locomotive ID","value":"4009"},{"id":130,"name":"Impact","value":""},{"id":150,"name":"Time of Event (Mountain Time)","value":"03:35:20"},{"id":151,"name":"Denver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"%USERPROFILE%\AppData\Local\Temp\OnboardLogs"\RTDC4009\*4009*201702261*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"%USERPROFILE%\AppData\Local\Temp\OnboardLogs"\RTDC4009\*4009*201702261* &gt;&gt; 2017-02-26-SliceDisagreementCheck.txt</v>
      </c>
      <c r="AE18" s="157" t="str">
        <f t="shared" si="9"/>
        <v>start /low /b %USERPROFILE%\Documents\GitHub\eaglep3\Utilities\DownloadLogsFromS3.py --loco 4009 --day 2017-02-26</v>
      </c>
      <c r="AF18" s="1"/>
    </row>
    <row r="19" spans="1:32" x14ac:dyDescent="0.25">
      <c r="A19" s="32">
        <v>42792.42827546296</v>
      </c>
      <c r="B19" s="30" t="s">
        <v>219</v>
      </c>
      <c r="C19" s="30" t="s">
        <v>554</v>
      </c>
      <c r="D19" s="30" t="s">
        <v>49</v>
      </c>
      <c r="E19" s="30" t="s">
        <v>197</v>
      </c>
      <c r="F19" s="43">
        <v>0</v>
      </c>
      <c r="G19" s="43">
        <v>415</v>
      </c>
      <c r="H19" s="43">
        <v>109363</v>
      </c>
      <c r="I19" s="43">
        <v>108241</v>
      </c>
      <c r="J19" s="30" t="s">
        <v>198</v>
      </c>
      <c r="K19" s="43">
        <v>109135</v>
      </c>
      <c r="L19" s="143" t="s">
        <v>51</v>
      </c>
      <c r="M19" s="144">
        <f t="shared" si="0"/>
        <v>-472.03199999999998</v>
      </c>
      <c r="N19" s="145" t="str">
        <f>VLOOKUP(C19,'Trips&amp;Operators'!$C$1:$G$99999,5,FALSE)</f>
        <v>SHOOK JOHN</v>
      </c>
      <c r="O19" s="194" t="s">
        <v>185</v>
      </c>
      <c r="P19" s="146" t="s">
        <v>962</v>
      </c>
      <c r="Q19" s="30"/>
      <c r="R19" s="89" t="str">
        <f>VLOOKUP(C19,'Train Runs'!$A$13:$AE$9939,31,0)</f>
        <v>aws s3 cp s3://rtdc.mdm.uploadarchive.raw/RTDC4028/ "%USERPROFILE%\AppData\Local\Temp\OnboardLogs"\RTDC4028\2017-02-26 --exclude "*" --recursive --include "*20170226*" &amp; "%USERPROFILE%\Documents\GitHub\mrs-test-scripts\Headless Mode &amp; Sideloading\WalkAndUnGZ.bat" "%USERPROFILE%\AppData\Local\Temp\OnboardLogs"\RTDC4028\2017-02-26 &amp; aws s3 cp s3://rtdc.mdm.uploadarchive.raw/RTDC4028/ "%USERPROFILE%\AppData\Local\Temp\OnboardLogs"\RTDC4028\2017-02-27 --exclude "*" --recursive --include "*20170227*" &amp; "%USERPROFILE%\Documents\GitHub\mrs-test-scripts\Headless Mode &amp; Sideloading\WalkAndUnGZ.bat" "%USERPROFILE%\AppData\Local\Temp\OnboardLogs"\RTDC4028\2017-02-27</v>
      </c>
      <c r="S19" s="92" t="str">
        <f>VLOOKUP(C19,'Train Runs'!$A$13:$AE$9939,22,0)</f>
        <v>https://d0f6bd738d7f1b3e5a7ca70fe4ff75f0.us-east-1.aws.found.io/app/kibana#/discover/Steve-Slow-Train-Analysis-(2080s-and-2083s)?_g=(refreshInterval:(display:Off,pause:!f,section:0,value:0),time:(from:'2017-02-26T08:42:57-0700',mode:absolute,to:'2017-02-26T11:40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9" s="94" t="str">
        <f t="shared" si="1"/>
        <v>"C:\Program Files (x86)\AstroGrep\AstroGrep.exe" /spath="%USERPROFILE%\AppData\Local\Temp\OnboardLogs" /stypes="*4028*201702261*" /stext=" 17:.+((SYSTEM_STATE.+slice.+state.+changed )|(ment ac)|(multiple cpu faults)|(system.+state.+changed )|(\[timeout)|(PRM\|1\|D)|(kpr)|(kdp)|(\|lc)|(penalty))" /e /r /s</v>
      </c>
      <c r="U19" s="9" t="str">
        <f t="shared" si="2"/>
        <v>4028</v>
      </c>
      <c r="V19" s="32">
        <f t="shared" si="3"/>
        <v>42792.719942129625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{"issue":{"subject":"Early arrival","project_id":79,"tracker_id":40,"status_id":1,"priority_id":2,"assigned_to_id":23,"start_date":"2017-02-26","description":"","custom_fields":[{"id":1,"name":"Subdivision","value":"EC"},{"id":4,"name":"Milepost","value":"10.9135"},{"id":17,"name":"Train ID","value":"144-26"},{"id":16,"name":"Locomotive ID","value":"4028"},{"id":130,"name":"Impact","value":""},{"id":150,"name":"Time of Event (Mountain Time)","value":"10:16:43"},{"id":151,"name":"Denver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"%USERPROFILE%\AppData\Local\Temp\OnboardLogs"\RTDC4028\*4028*201702261*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"%USERPROFILE%\AppData\Local\Temp\OnboardLogs"\RTDC4028\*4028*201702261* &gt;&gt; 2017-02-26-SliceDisagreementCheck.txt</v>
      </c>
      <c r="AE19" s="157" t="str">
        <f t="shared" si="9"/>
        <v>start /low /b %USERPROFILE%\Documents\GitHub\eaglep3\Utilities\DownloadLogsFromS3.py --loco 4028 --day 2017-02-26</v>
      </c>
      <c r="AF19" s="1"/>
    </row>
    <row r="20" spans="1:32" x14ac:dyDescent="0.25">
      <c r="A20" s="32">
        <v>42792.531041666669</v>
      </c>
      <c r="B20" s="30" t="s">
        <v>208</v>
      </c>
      <c r="C20" s="30" t="s">
        <v>560</v>
      </c>
      <c r="D20" s="30" t="s">
        <v>49</v>
      </c>
      <c r="E20" s="30" t="s">
        <v>197</v>
      </c>
      <c r="F20" s="43">
        <v>0</v>
      </c>
      <c r="G20" s="43">
        <v>387</v>
      </c>
      <c r="H20" s="43">
        <v>109253</v>
      </c>
      <c r="I20" s="43">
        <v>108325</v>
      </c>
      <c r="J20" s="30" t="s">
        <v>198</v>
      </c>
      <c r="K20" s="43">
        <v>109135</v>
      </c>
      <c r="L20" s="143" t="s">
        <v>51</v>
      </c>
      <c r="M20" s="144">
        <f t="shared" si="0"/>
        <v>-427.68</v>
      </c>
      <c r="N20" s="145" t="str">
        <f>VLOOKUP(C20,'Trips&amp;Operators'!$C$1:$G$99999,5,FALSE)</f>
        <v>HOLCOMB KAMDEN</v>
      </c>
      <c r="O20" s="194" t="s">
        <v>185</v>
      </c>
      <c r="P20" s="146" t="s">
        <v>962</v>
      </c>
      <c r="Q20" s="30"/>
      <c r="R20" s="89" t="str">
        <f>VLOOKUP(C20,'Train Runs'!$A$13:$AE$9939,31,0)</f>
        <v>aws s3 cp s3://rtdc.mdm.uploadarchive.raw/RTDC4030/ "%USERPROFILE%\AppData\Local\Temp\OnboardLogs"\RTDC4030\2017-02-26 --exclude "*" --recursive --include "*20170226*" &amp; "%USERPROFILE%\Documents\GitHub\mrs-test-scripts\Headless Mode &amp; Sideloading\WalkAndUnGZ.bat" "%USERPROFILE%\AppData\Local\Temp\OnboardLogs"\RTDC4030\2017-02-26 &amp; aws s3 cp s3://rtdc.mdm.uploadarchive.raw/RTDC4030/ "%USERPROFILE%\AppData\Local\Temp\OnboardLogs"\RTDC4030\2017-02-27 --exclude "*" --recursive --include "*20170227*" &amp; "%USERPROFILE%\Documents\GitHub\mrs-test-scripts\Headless Mode &amp; Sideloading\WalkAndUnGZ.bat" "%USERPROFILE%\AppData\Local\Temp\OnboardLogs"\RTDC4030\2017-02-27</v>
      </c>
      <c r="S20" s="92" t="str">
        <f>VLOOKUP(C20,'Train Runs'!$A$13:$AE$9939,22,0)</f>
        <v>https://d0f6bd738d7f1b3e5a7ca70fe4ff75f0.us-east-1.aws.found.io/app/kibana#/discover/Steve-Slow-Train-Analysis-(2080s-and-2083s)?_g=(refreshInterval:(display:Off,pause:!f,section:0,value:0),time:(from:'2017-02-26T11:20:06-0700',mode:absolute,to:'2017-02-26T14:09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0" s="94" t="str">
        <f t="shared" si="1"/>
        <v>"C:\Program Files (x86)\AstroGrep\AstroGrep.exe" /spath="%USERPROFILE%\AppData\Local\Temp\OnboardLogs" /stypes="*4030*201702261*" /stext=" 19:.+((SYSTEM_STATE.+slice.+state.+changed )|(ment ac)|(multiple cpu faults)|(system.+state.+changed )|(\[timeout)|(PRM\|1\|D)|(kpr)|(kdp)|(\|lc)|(penalty))" /e /r /s</v>
      </c>
      <c r="U20" s="9" t="str">
        <f t="shared" si="2"/>
        <v>4030</v>
      </c>
      <c r="V20" s="32">
        <f t="shared" si="3"/>
        <v>42792.822708333333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{"issue":{"subject":"Early arrival","project_id":79,"tracker_id":40,"status_id":1,"priority_id":2,"assigned_to_id":23,"start_date":"2017-02-26","description":"","custom_fields":[{"id":1,"name":"Subdivision","value":"EC"},{"id":4,"name":"Milepost","value":"10.9135"},{"id":17,"name":"Train ID","value":"164-26"},{"id":16,"name":"Locomotive ID","value":"4030"},{"id":130,"name":"Impact","value":""},{"id":150,"name":"Time of Event (Mountain Time)","value":"12:44:42"},{"id":151,"name":"Denver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"%USERPROFILE%\AppData\Local\Temp\OnboardLogs"\RTDC4030\*4030*201702261*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"%USERPROFILE%\AppData\Local\Temp\OnboardLogs"\RTDC4030\*4030*201702261* &gt;&gt; 2017-02-26-SliceDisagreementCheck.txt</v>
      </c>
      <c r="AE20" s="157" t="str">
        <f t="shared" si="9"/>
        <v>start /low /b %USERPROFILE%\Documents\GitHub\eaglep3\Utilities\DownloadLogsFromS3.py --loco 4030 --day 2017-02-26</v>
      </c>
      <c r="AF20" s="1"/>
    </row>
    <row r="21" spans="1:32" x14ac:dyDescent="0.25">
      <c r="A21" s="32">
        <v>42792.385162037041</v>
      </c>
      <c r="B21" s="30" t="s">
        <v>208</v>
      </c>
      <c r="C21" s="30" t="s">
        <v>553</v>
      </c>
      <c r="D21" s="30" t="s">
        <v>49</v>
      </c>
      <c r="E21" s="30" t="s">
        <v>197</v>
      </c>
      <c r="F21" s="43">
        <v>400</v>
      </c>
      <c r="G21" s="43">
        <v>454</v>
      </c>
      <c r="H21" s="43">
        <v>110249</v>
      </c>
      <c r="I21" s="43">
        <v>108825</v>
      </c>
      <c r="J21" s="30" t="s">
        <v>198</v>
      </c>
      <c r="K21" s="43">
        <v>109135</v>
      </c>
      <c r="L21" s="143" t="s">
        <v>51</v>
      </c>
      <c r="M21" s="144">
        <f t="shared" si="0"/>
        <v>-163.68</v>
      </c>
      <c r="N21" s="145" t="str">
        <f>VLOOKUP(C21,'Trips&amp;Operators'!$C$1:$G$99999,5,FALSE)</f>
        <v>BRANDNER MELINDA</v>
      </c>
      <c r="O21" s="194" t="s">
        <v>185</v>
      </c>
      <c r="P21" s="146" t="s">
        <v>962</v>
      </c>
      <c r="Q21" s="30"/>
      <c r="R21" s="89" t="str">
        <f>VLOOKUP(C21,'Train Runs'!$A$13:$AE$9939,31,0)</f>
        <v>aws s3 cp s3://rtdc.mdm.uploadarchive.raw/RTDC4030/ "%USERPROFILE%\AppData\Local\Temp\OnboardLogs"\RTDC4030\2017-02-26 --exclude "*" --recursive --include "*20170226*" &amp; "%USERPROFILE%\Documents\GitHub\mrs-test-scripts\Headless Mode &amp; Sideloading\WalkAndUnGZ.bat" "%USERPROFILE%\AppData\Local\Temp\OnboardLogs"\RTDC4030\2017-02-26 &amp; aws s3 cp s3://rtdc.mdm.uploadarchive.raw/RTDC4030/ "%USERPROFILE%\AppData\Local\Temp\OnboardLogs"\RTDC4030\2017-02-27 --exclude "*" --recursive --include "*20170227*" &amp; "%USERPROFILE%\Documents\GitHub\mrs-test-scripts\Headless Mode &amp; Sideloading\WalkAndUnGZ.bat" "%USERPROFILE%\AppData\Local\Temp\OnboardLogs"\RTDC4030\2017-02-27</v>
      </c>
      <c r="S21" s="92" t="str">
        <f>VLOOKUP(C21,'Train Runs'!$A$13:$AE$9939,22,0)</f>
        <v>https://d0f6bd738d7f1b3e5a7ca70fe4ff75f0.us-east-1.aws.found.io/app/kibana#/discover/Steve-Slow-Train-Analysis-(2080s-and-2083s)?_g=(refreshInterval:(display:Off,pause:!f,section:0,value:0),time:(from:'2017-02-26T07:49:00-0700',mode:absolute,to:'2017-02-26T10:38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1" s="94" t="str">
        <f t="shared" si="1"/>
        <v>"C:\Program Files (x86)\AstroGrep\AstroGrep.exe" /spath="%USERPROFILE%\AppData\Local\Temp\OnboardLogs" /stypes="*4030*201702261*" /stext=" 16:.+((SYSTEM_STATE.+slice.+state.+changed )|(ment ac)|(multiple cpu faults)|(system.+state.+changed )|(\[timeout)|(PRM\|1\|D)|(kpr)|(kdp)|(\|lc)|(penalty))" /e /r /s</v>
      </c>
      <c r="U21" s="9" t="str">
        <f t="shared" si="2"/>
        <v>4030</v>
      </c>
      <c r="V21" s="32">
        <f t="shared" si="3"/>
        <v>42792.676828703705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{"issue":{"subject":"Early arrival","project_id":79,"tracker_id":40,"status_id":1,"priority_id":2,"assigned_to_id":23,"start_date":"2017-02-26","description":"","custom_fields":[{"id":1,"name":"Subdivision","value":"EC"},{"id":4,"name":"Milepost","value":"10.9135"},{"id":17,"name":"Train ID","value":"136-26"},{"id":16,"name":"Locomotive ID","value":"4030"},{"id":130,"name":"Impact","value":""},{"id":150,"name":"Time of Event (Mountain Time)","value":"09:14:38"},{"id":151,"name":"Denver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"%USERPROFILE%\AppData\Local\Temp\OnboardLogs"\RTDC4030\*4030*201702261*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"%USERPROFILE%\AppData\Local\Temp\OnboardLogs"\RTDC4030\*4030*201702261* &gt;&gt; 2017-02-26-SliceDisagreementCheck.txt</v>
      </c>
      <c r="AE21" s="157" t="str">
        <f t="shared" si="9"/>
        <v>start /low /b %USERPROFILE%\Documents\GitHub\eaglep3\Utilities\DownloadLogsFromS3.py --loco 4030 --day 2017-02-26</v>
      </c>
      <c r="AF21" s="1"/>
    </row>
    <row r="22" spans="1:32" x14ac:dyDescent="0.25">
      <c r="A22" s="32">
        <v>42792.271539351852</v>
      </c>
      <c r="B22" s="30" t="s">
        <v>259</v>
      </c>
      <c r="C22" s="30" t="s">
        <v>550</v>
      </c>
      <c r="D22" s="30" t="s">
        <v>98</v>
      </c>
      <c r="E22" s="30" t="s">
        <v>197</v>
      </c>
      <c r="F22" s="43">
        <v>410</v>
      </c>
      <c r="G22" s="43">
        <v>463</v>
      </c>
      <c r="H22" s="43">
        <v>108925</v>
      </c>
      <c r="I22" s="43">
        <v>107144</v>
      </c>
      <c r="J22" s="30" t="s">
        <v>198</v>
      </c>
      <c r="K22" s="43">
        <v>109135</v>
      </c>
      <c r="L22" s="143" t="s">
        <v>51</v>
      </c>
      <c r="M22" s="144">
        <f t="shared" si="0"/>
        <v>-1051.248</v>
      </c>
      <c r="N22" s="145" t="str">
        <f>VLOOKUP(C22,'Trips&amp;Operators'!$C$1:$G$99999,5,FALSE)</f>
        <v>SANTIZO D. EDY</v>
      </c>
      <c r="O22" s="194" t="s">
        <v>185</v>
      </c>
      <c r="P22" s="146" t="s">
        <v>962</v>
      </c>
      <c r="Q22" s="30"/>
      <c r="R22" s="89" t="str">
        <f>VLOOKUP(C22,'Train Runs'!$A$13:$AE$9939,31,0)</f>
        <v>aws s3 cp s3://rtdc.mdm.uploadarchive.raw/RTDC4012/ "%USERPROFILE%\AppData\Local\Temp\OnboardLogs"\RTDC4012\2017-02-26 --exclude "*" --recursive --include "*20170226*" &amp; "%USERPROFILE%\Documents\GitHub\mrs-test-scripts\Headless Mode &amp; Sideloading\WalkAndUnGZ.bat" "%USERPROFILE%\AppData\Local\Temp\OnboardLogs"\RTDC4012\2017-02-26 &amp; 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</v>
      </c>
      <c r="S22" s="92" t="str">
        <f>VLOOKUP(C22,'Train Runs'!$A$13:$AE$9939,22,0)</f>
        <v>https://d0f6bd738d7f1b3e5a7ca70fe4ff75f0.us-east-1.aws.found.io/app/kibana#/discover/Steve-Slow-Train-Analysis-(2080s-and-2083s)?_g=(refreshInterval:(display:Off,pause:!f,section:0,value:0),time:(from:'2017-02-26T04:55:16-0700',mode:absolute,to:'2017-02-26T07:52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2" s="94" t="str">
        <f t="shared" si="1"/>
        <v>"C:\Program Files (x86)\AstroGrep\AstroGrep.exe" /spath="%USERPROFILE%\AppData\Local\Temp\OnboardLogs" /stypes="*4012*201702261*" /stext=" 13:.+((SYSTEM_STATE.+slice.+state.+changed )|(ment ac)|(multiple cpu faults)|(system.+state.+changed )|(\[timeout)|(PRM\|1\|D)|(kpr)|(kdp)|(\|lc)|(penalty))" /e /r /s</v>
      </c>
      <c r="U22" s="9" t="str">
        <f t="shared" si="2"/>
        <v>4012</v>
      </c>
      <c r="V22" s="32">
        <f t="shared" si="3"/>
        <v>42792.563206018516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{"issue":{"subject":"Early arrival","project_id":79,"tracker_id":40,"status_id":1,"priority_id":2,"assigned_to_id":23,"start_date":"2017-02-26","description":"","custom_fields":[{"id":1,"name":"Subdivision","value":"EC"},{"id":4,"name":"Milepost","value":"10.9135"},{"id":17,"name":"Train ID","value":"114-26"},{"id":16,"name":"Locomotive ID","value":"4012"},{"id":130,"name":"Impact","value":""},{"id":150,"name":"Time of Event (Mountain Time)","value":"06:31:01"},{"id":151,"name":"Denver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"%USERPROFILE%\AppData\Local\Temp\OnboardLogs"\RTDC4012\*4012*201702261*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"%USERPROFILE%\AppData\Local\Temp\OnboardLogs"\RTDC4012\*4012*201702261* &gt;&gt; 2017-02-26-SliceDisagreementCheck.txt</v>
      </c>
      <c r="AE22" s="157" t="str">
        <f t="shared" si="9"/>
        <v>start /low /b %USERPROFILE%\Documents\GitHub\eaglep3\Utilities\DownloadLogsFromS3.py --loco 4012 --day 2017-02-26</v>
      </c>
      <c r="AF22" s="1"/>
    </row>
    <row r="23" spans="1:32" x14ac:dyDescent="0.25">
      <c r="A23" s="32">
        <v>42792.815127314818</v>
      </c>
      <c r="B23" s="30" t="s">
        <v>208</v>
      </c>
      <c r="C23" s="30" t="s">
        <v>571</v>
      </c>
      <c r="D23" s="30" t="s">
        <v>98</v>
      </c>
      <c r="E23" s="30" t="s">
        <v>281</v>
      </c>
      <c r="F23" s="43">
        <v>700</v>
      </c>
      <c r="G23" s="43">
        <v>753</v>
      </c>
      <c r="H23" s="43">
        <v>179542</v>
      </c>
      <c r="I23" s="43">
        <v>175981</v>
      </c>
      <c r="J23" s="30" t="s">
        <v>282</v>
      </c>
      <c r="K23" s="43">
        <v>183829</v>
      </c>
      <c r="L23" s="143" t="s">
        <v>51</v>
      </c>
      <c r="M23" s="144">
        <f t="shared" si="0"/>
        <v>-4143.7439999999997</v>
      </c>
      <c r="N23" s="145" t="str">
        <f>VLOOKUP(C23,'Trips&amp;Operators'!$C$1:$G$99999,5,FALSE)</f>
        <v>STAMBAUGH JAMES</v>
      </c>
      <c r="O23" s="194" t="s">
        <v>185</v>
      </c>
      <c r="P23" s="146"/>
      <c r="Q23" s="30"/>
      <c r="R23" s="89" t="str">
        <f>VLOOKUP(C23,'Train Runs'!$A$13:$AE$9939,31,0)</f>
        <v>aws s3 cp s3://rtdc.mdm.uploadarchive.raw/RTDC4030/ "%USERPROFILE%\AppData\Local\Temp\OnboardLogs"\RTDC4030\2017-02-26 --exclude "*" --recursive --include "*20170226*" &amp; "%USERPROFILE%\Documents\GitHub\mrs-test-scripts\Headless Mode &amp; Sideloading\WalkAndUnGZ.bat" "%USERPROFILE%\AppData\Local\Temp\OnboardLogs"\RTDC4030\2017-02-26 &amp; aws s3 cp s3://rtdc.mdm.uploadarchive.raw/RTDC4030/ "%USERPROFILE%\AppData\Local\Temp\OnboardLogs"\RTDC4030\2017-02-27 --exclude "*" --recursive --include "*20170227*" &amp; "%USERPROFILE%\Documents\GitHub\mrs-test-scripts\Headless Mode &amp; Sideloading\WalkAndUnGZ.bat" "%USERPROFILE%\AppData\Local\Temp\OnboardLogs"\RTDC4030\2017-02-27</v>
      </c>
      <c r="S23" s="92" t="str">
        <f>VLOOKUP(C23,'Train Runs'!$A$13:$AE$9939,22,0)</f>
        <v>https://d0f6bd738d7f1b3e5a7ca70fe4ff75f0.us-east-1.aws.found.io/app/kibana#/discover/Steve-Slow-Train-Analysis-(2080s-and-2083s)?_g=(refreshInterval:(display:Off,pause:!f,section:0,value:0),time:(from:'2017-02-26T18:11:19-0700',mode:absolute,to:'2017-02-26T21:04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3" s="94" t="str">
        <f t="shared" si="1"/>
        <v>"C:\Program Files (x86)\AstroGrep\AstroGrep.exe" /spath="%USERPROFILE%\AppData\Local\Temp\OnboardLogs" /stypes="*4030*201702270*" /stext=" 02:.+((SYSTEM_STATE.+slice.+state.+changed )|(ment ac)|(multiple cpu faults)|(system.+state.+changed )|(\[timeout)|(PRM\|1\|D)|(kpr)|(kdp)|(\|lc)|(penalty))" /e /r /s</v>
      </c>
      <c r="U23" s="9" t="str">
        <f t="shared" si="2"/>
        <v>4030</v>
      </c>
      <c r="V23" s="32">
        <f t="shared" si="3"/>
        <v>42793.106793981482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{"issue":{"subject":"","project_id":79,"tracker_id":40,"status_id":1,"priority_id":2,"assigned_to_id":23,"start_date":"2017-02-26","description":"","custom_fields":[{"id":1,"name":"Subdivision","value":"EC"},{"id":4,"name":"Milepost","value":"18.3829"},{"id":17,"name":"Train ID","value":"220-26"},{"id":16,"name":"Locomotive ID","value":"4030"},{"id":130,"name":"Impact","value":""},{"id":150,"name":"Time of Event (Mountain Time)","value":"19:33:47"},{"id":151,"name":"Denver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"%USERPROFILE%\AppData\Local\Temp\OnboardLogs"\RTDC4030\*4030*201702270*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"%USERPROFILE%\AppData\Local\Temp\OnboardLogs"\RTDC4030\*4030*201702270* &gt;&gt; 2017-02-26-SliceDisagreementCheck.txt</v>
      </c>
      <c r="AE23" s="157" t="str">
        <f t="shared" si="9"/>
        <v>start /low /b %USERPROFILE%\Documents\GitHub\eaglep3\Utilities\DownloadLogsFromS3.py --loco 4030 --day 2017-02-27</v>
      </c>
      <c r="AF23" s="1"/>
    </row>
    <row r="24" spans="1:32" x14ac:dyDescent="0.25">
      <c r="A24" s="32">
        <v>42792.588483796295</v>
      </c>
      <c r="B24" s="30" t="s">
        <v>192</v>
      </c>
      <c r="C24" s="30" t="s">
        <v>562</v>
      </c>
      <c r="D24" s="30" t="s">
        <v>98</v>
      </c>
      <c r="E24" s="30" t="s">
        <v>186</v>
      </c>
      <c r="F24" s="43">
        <v>200</v>
      </c>
      <c r="G24" s="43">
        <v>291</v>
      </c>
      <c r="H24" s="43">
        <v>20213</v>
      </c>
      <c r="I24" s="43">
        <v>21028</v>
      </c>
      <c r="J24" s="30" t="s">
        <v>187</v>
      </c>
      <c r="K24" s="43">
        <v>10800</v>
      </c>
      <c r="L24" s="143" t="s">
        <v>50</v>
      </c>
      <c r="M24" s="144">
        <f t="shared" si="0"/>
        <v>-5400.3839999999991</v>
      </c>
      <c r="N24" s="145" t="str">
        <f>VLOOKUP(C24,'Trips&amp;Operators'!$C$1:$G$99999,5,FALSE)</f>
        <v>ROMERO CHAD</v>
      </c>
      <c r="O24" s="194" t="s">
        <v>185</v>
      </c>
      <c r="P24" s="146" t="s">
        <v>963</v>
      </c>
      <c r="Q24" s="30"/>
      <c r="R24" s="89" t="str">
        <f>VLOOKUP(C24,'Train Runs'!$A$13:$AE$9939,31,0)</f>
        <v>aws s3 cp s3://rtdc.mdm.uploadarchive.raw/RTDC4011/ "%USERPROFILE%\AppData\Local\Temp\OnboardLogs"\RTDC4011\2017-02-26 --exclude "*" --recursive --include "*20170226*" &amp; "%USERPROFILE%\Documents\GitHub\mrs-test-scripts\Headless Mode &amp; Sideloading\WalkAndUnGZ.bat" "%USERPROFILE%\AppData\Local\Temp\OnboardLogs"\RTDC4011\2017-02-26 &amp; aws s3 cp s3://rtdc.mdm.uploadarchive.raw/RTDC4011/ "%USERPROFILE%\AppData\Local\Temp\OnboardLogs"\RTDC4011\2017-02-27 --exclude "*" --recursive --include "*20170227*" &amp; "%USERPROFILE%\Documents\GitHub\mrs-test-scripts\Headless Mode &amp; Sideloading\WalkAndUnGZ.bat" "%USERPROFILE%\AppData\Local\Temp\OnboardLogs"\RTDC4011\2017-02-27</v>
      </c>
      <c r="S24" s="92" t="str">
        <f>VLOOKUP(C24,'Train Runs'!$A$13:$AE$9939,22,0)</f>
        <v>https://d0f6bd738d7f1b3e5a7ca70fe4ff75f0.us-east-1.aws.found.io/app/kibana#/discover/Steve-Slow-Train-Analysis-(2080s-and-2083s)?_g=(refreshInterval:(display:Off,pause:!f,section:0,value:0),time:(from:'2017-02-26T13:05:39-0700',mode:absolute,to:'2017-02-26T15:41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4" s="94" t="str">
        <f t="shared" si="1"/>
        <v>"C:\Program Files (x86)\AstroGrep\AstroGrep.exe" /spath="%USERPROFILE%\AppData\Local\Temp\OnboardLogs" /stypes="*4011*201702262*" /stext=" 21:.+((SYSTEM_STATE.+slice.+state.+changed )|(ment ac)|(multiple cpu faults)|(system.+state.+changed )|(\[timeout)|(PRM\|1\|D)|(kpr)|(kdp)|(\|lc)|(penalty))" /e /r /s</v>
      </c>
      <c r="U24" s="9" t="str">
        <f t="shared" si="2"/>
        <v>4011</v>
      </c>
      <c r="V24" s="32">
        <f t="shared" si="3"/>
        <v>42792.880150462959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Overspeed","project_id":79,"tracker_id":40,"status_id":1,"priority_id":2,"assigned_to_id":23,"start_date":"2017-02-26","description":"","custom_fields":[{"id":1,"name":"Subdivision","value":"EC"},{"id":4,"name":"Milepost","value":"1.08"},{"id":17,"name":"Train ID","value":"183-26"},{"id":16,"name":"Locomotive ID","value":"4011"},{"id":130,"name":"Impact","value":""},{"id":150,"name":"Time of Event (Mountain Time)","value":"14:07:25"},{"id":151,"name":"Denver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"%USERPROFILE%\AppData\Local\Temp\OnboardLogs"\RTDC4011\*4011*201702262*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"%USERPROFILE%\AppData\Local\Temp\OnboardLogs"\RTDC4011\*4011*201702262* &gt;&gt; 2017-02-26-SliceDisagreementCheck.txt</v>
      </c>
      <c r="AE24" s="157" t="str">
        <f t="shared" si="9"/>
        <v>start /low /b %USERPROFILE%\Documents\GitHub\eaglep3\Utilities\DownloadLogsFromS3.py --loco 4011 --day 2017-02-26</v>
      </c>
      <c r="AF24" s="1"/>
    </row>
    <row r="25" spans="1:32" x14ac:dyDescent="0.25">
      <c r="A25" s="32">
        <v>42792.430104166669</v>
      </c>
      <c r="B25" s="30" t="s">
        <v>259</v>
      </c>
      <c r="C25" s="30" t="s">
        <v>555</v>
      </c>
      <c r="D25" s="30" t="s">
        <v>49</v>
      </c>
      <c r="E25" s="30" t="s">
        <v>188</v>
      </c>
      <c r="F25" s="43">
        <v>0</v>
      </c>
      <c r="G25" s="43">
        <v>145</v>
      </c>
      <c r="H25" s="43">
        <v>610</v>
      </c>
      <c r="I25" s="43">
        <v>435</v>
      </c>
      <c r="J25" s="30" t="s">
        <v>189</v>
      </c>
      <c r="K25" s="43">
        <v>1</v>
      </c>
      <c r="L25" s="143" t="s">
        <v>51</v>
      </c>
      <c r="M25" s="144">
        <f t="shared" si="0"/>
        <v>229.15199999999999</v>
      </c>
      <c r="N25" s="145" t="str">
        <f>VLOOKUP(C25,'Trips&amp;Operators'!$C$1:$G$99999,5,FALSE)</f>
        <v>SANTIZO D. EDY</v>
      </c>
      <c r="O25" s="194" t="s">
        <v>185</v>
      </c>
      <c r="P25" s="146"/>
      <c r="Q25" s="30"/>
      <c r="R25" s="89" t="str">
        <f>VLOOKUP(C25,'Train Runs'!$A$13:$AE$9939,31,0)</f>
        <v>aws s3 cp s3://rtdc.mdm.uploadarchive.raw/RTDC4012/ "%USERPROFILE%\AppData\Local\Temp\OnboardLogs"\RTDC4012\2017-02-26 --exclude "*" --recursive --include "*20170226*" &amp; "%USERPROFILE%\Documents\GitHub\mrs-test-scripts\Headless Mode &amp; Sideloading\WalkAndUnGZ.bat" "%USERPROFILE%\AppData\Local\Temp\OnboardLogs"\RTDC4012\2017-02-26 &amp; aws s3 cp s3://rtdc.mdm.uploadarchive.raw/RTDC4012/ "%USERPROFILE%\AppData\Local\Temp\OnboardLogs"\RTDC4012\2017-02-27 --exclude "*" --recursive --include "*20170227*" &amp; "%USERPROFILE%\Documents\GitHub\mrs-test-scripts\Headless Mode &amp; Sideloading\WalkAndUnGZ.bat" "%USERPROFILE%\AppData\Local\Temp\OnboardLogs"\RTDC4012\2017-02-27</v>
      </c>
      <c r="S25" s="92" t="str">
        <f>VLOOKUP(C25,'Train Runs'!$A$13:$AE$9939,22,0)</f>
        <v>https://d0f6bd738d7f1b3e5a7ca70fe4ff75f0.us-east-1.aws.found.io/app/kibana#/discover/Steve-Slow-Train-Analysis-(2080s-and-2083s)?_g=(refreshInterval:(display:Off,pause:!f,section:0,value:0),time:(from:'2017-02-26T08:23:34-0700',mode:absolute,to:'2017-02-26T11:20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5" s="94" t="str">
        <f t="shared" si="1"/>
        <v>"C:\Program Files (x86)\AstroGrep\AstroGrep.exe" /spath="%USERPROFILE%\AppData\Local\Temp\OnboardLogs" /stypes="*4012*201702261*" /stext=" 17:.+((SYSTEM_STATE.+slice.+state.+changed )|(ment ac)|(multiple cpu faults)|(system.+state.+changed )|(\[timeout)|(PRM\|1\|D)|(kpr)|(kdp)|(\|lc)|(penalty))" /e /r /s</v>
      </c>
      <c r="U25" s="9" t="str">
        <f t="shared" si="2"/>
        <v>4012</v>
      </c>
      <c r="V25" s="32">
        <f t="shared" si="3"/>
        <v>42792.721770833334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{"issue":{"subject":"","project_id":79,"tracker_id":40,"status_id":1,"priority_id":2,"assigned_to_id":23,"start_date":"2017-02-26","description":"","custom_fields":[{"id":1,"name":"Subdivision","value":"EC"},{"id":4,"name":"Milepost","value":"0.0001"},{"id":17,"name":"Train ID","value":"142-26"},{"id":16,"name":"Locomotive ID","value":"4012"},{"id":130,"name":"Impact","value":""},{"id":150,"name":"Time of Event (Mountain Time)","value":"10:19:21"},{"id":151,"name":"Denver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"%USERPROFILE%\AppData\Local\Temp\OnboardLogs"\RTDC4012\*4012*201702261*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"%USERPROFILE%\AppData\Local\Temp\OnboardLogs"\RTDC4012\*4012*201702261* &gt;&gt; 2017-02-26-SliceDisagreementCheck.txt</v>
      </c>
      <c r="AE25" s="157" t="str">
        <f t="shared" si="9"/>
        <v>start /low /b %USERPROFILE%\Documents\GitHub\eaglep3\Utilities\DownloadLogsFromS3.py --loco 4012 --day 2017-02-26</v>
      </c>
      <c r="AF25" s="1"/>
    </row>
    <row r="26" spans="1:32" x14ac:dyDescent="0.25">
      <c r="A26" s="32">
        <v>42792.474652777775</v>
      </c>
      <c r="B26" s="30" t="s">
        <v>208</v>
      </c>
      <c r="C26" s="30" t="s">
        <v>558</v>
      </c>
      <c r="D26" s="30" t="s">
        <v>49</v>
      </c>
      <c r="E26" s="30" t="s">
        <v>188</v>
      </c>
      <c r="F26" s="43">
        <v>0</v>
      </c>
      <c r="G26" s="43">
        <v>63</v>
      </c>
      <c r="H26" s="43">
        <v>212</v>
      </c>
      <c r="I26" s="43">
        <v>176</v>
      </c>
      <c r="J26" s="30" t="s">
        <v>189</v>
      </c>
      <c r="K26" s="43">
        <v>1</v>
      </c>
      <c r="L26" s="143" t="s">
        <v>51</v>
      </c>
      <c r="M26" s="144">
        <f t="shared" si="0"/>
        <v>92.4</v>
      </c>
      <c r="N26" s="145" t="str">
        <f>VLOOKUP(C26,'Trips&amp;Operators'!$C$1:$G$99999,5,FALSE)</f>
        <v>BRANDNER MELINDA</v>
      </c>
      <c r="O26" s="194" t="s">
        <v>185</v>
      </c>
      <c r="P26" s="146"/>
      <c r="Q26" s="30"/>
      <c r="R26" s="89" t="str">
        <f>VLOOKUP(C26,'Train Runs'!$A$13:$AE$9939,31,0)</f>
        <v>aws s3 cp s3://rtdc.mdm.uploadarchive.raw/RTDC4030/ "%USERPROFILE%\AppData\Local\Temp\OnboardLogs"\RTDC4030\2017-02-26 --exclude "*" --recursive --include "*20170226*" &amp; "%USERPROFILE%\Documents\GitHub\mrs-test-scripts\Headless Mode &amp; Sideloading\WalkAndUnGZ.bat" "%USERPROFILE%\AppData\Local\Temp\OnboardLogs"\RTDC4030\2017-02-26 &amp; aws s3 cp s3://rtdc.mdm.uploadarchive.raw/RTDC4030/ "%USERPROFILE%\AppData\Local\Temp\OnboardLogs"\RTDC4030\2017-02-27 --exclude "*" --recursive --include "*20170227*" &amp; "%USERPROFILE%\Documents\GitHub\mrs-test-scripts\Headless Mode &amp; Sideloading\WalkAndUnGZ.bat" "%USERPROFILE%\AppData\Local\Temp\OnboardLogs"\RTDC4030\2017-02-27</v>
      </c>
      <c r="S26" s="92" t="str">
        <f>VLOOKUP(C26,'Train Runs'!$A$13:$AE$9939,22,0)</f>
        <v>https://d0f6bd738d7f1b3e5a7ca70fe4ff75f0.us-east-1.aws.found.io/app/kibana#/discover/Steve-Slow-Train-Analysis-(2080s-and-2083s)?_g=(refreshInterval:(display:Off,pause:!f,section:0,value:0),time:(from:'2017-02-26T09:34:52-0700',mode:absolute,to:'2017-02-26T12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6" s="94" t="str">
        <f t="shared" si="1"/>
        <v>"C:\Program Files (x86)\AstroGrep\AstroGrep.exe" /spath="%USERPROFILE%\AppData\Local\Temp\OnboardLogs" /stypes="*4030*201702261*" /stext=" 18:.+((SYSTEM_STATE.+slice.+state.+changed )|(ment ac)|(multiple cpu faults)|(system.+state.+changed )|(\[timeout)|(PRM\|1\|D)|(kpr)|(kdp)|(\|lc)|(penalty))" /e /r /s</v>
      </c>
      <c r="U26" s="9" t="str">
        <f t="shared" si="2"/>
        <v>4030</v>
      </c>
      <c r="V26" s="32">
        <f t="shared" si="3"/>
        <v>42792.766319444439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{"issue":{"subject":"","project_id":79,"tracker_id":40,"status_id":1,"priority_id":2,"assigned_to_id":23,"start_date":"2017-02-26","description":"","custom_fields":[{"id":1,"name":"Subdivision","value":"EC"},{"id":4,"name":"Milepost","value":"0.0001"},{"id":17,"name":"Train ID","value":"150-26"},{"id":16,"name":"Locomotive ID","value":"4030"},{"id":130,"name":"Impact","value":""},{"id":150,"name":"Time of Event (Mountain Time)","value":"11:23:30"},{"id":151,"name":"Denver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"%USERPROFILE%\AppData\Local\Temp\OnboardLogs"\RTDC4030\*4030*201702261*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"%USERPROFILE%\AppData\Local\Temp\OnboardLogs"\RTDC4030\*4030*201702261* &gt;&gt; 2017-02-26-SliceDisagreementCheck.txt</v>
      </c>
      <c r="AE26" s="157" t="str">
        <f t="shared" si="9"/>
        <v>start /low /b %USERPROFILE%\Documents\GitHub\eaglep3\Utilities\DownloadLogsFromS3.py --loco 4030 --day 2017-02-26</v>
      </c>
      <c r="AF26" s="1"/>
    </row>
    <row r="27" spans="1:32" x14ac:dyDescent="0.25">
      <c r="A27" s="32">
        <v>42792.59101851852</v>
      </c>
      <c r="B27" s="30" t="s">
        <v>219</v>
      </c>
      <c r="C27" s="30" t="s">
        <v>563</v>
      </c>
      <c r="D27" s="30" t="s">
        <v>49</v>
      </c>
      <c r="E27" s="30" t="s">
        <v>188</v>
      </c>
      <c r="F27" s="43">
        <v>0</v>
      </c>
      <c r="G27" s="43">
        <v>37</v>
      </c>
      <c r="H27" s="43">
        <v>138</v>
      </c>
      <c r="I27" s="43">
        <v>123</v>
      </c>
      <c r="J27" s="30" t="s">
        <v>189</v>
      </c>
      <c r="K27" s="43">
        <v>1</v>
      </c>
      <c r="L27" s="143" t="s">
        <v>51</v>
      </c>
      <c r="M27" s="144">
        <f t="shared" si="0"/>
        <v>64.415999999999997</v>
      </c>
      <c r="N27" s="145" t="str">
        <f>VLOOKUP(C27,'Trips&amp;Operators'!$C$1:$G$99999,5,FALSE)</f>
        <v>KILLION DAVID</v>
      </c>
      <c r="O27" s="194" t="s">
        <v>185</v>
      </c>
      <c r="P27" s="146"/>
      <c r="Q27" s="30"/>
      <c r="R27" s="89" t="str">
        <f>VLOOKUP(C27,'Train Runs'!$A$13:$AE$9939,31,0)</f>
        <v>aws s3 cp s3://rtdc.mdm.uploadarchive.raw/RTDC4028/ "%USERPROFILE%\AppData\Local\Temp\OnboardLogs"\RTDC4028\2017-02-26 --exclude "*" --recursive --include "*20170226*" &amp; "%USERPROFILE%\Documents\GitHub\mrs-test-scripts\Headless Mode &amp; Sideloading\WalkAndUnGZ.bat" "%USERPROFILE%\AppData\Local\Temp\OnboardLogs"\RTDC4028\2017-02-26 &amp; aws s3 cp s3://rtdc.mdm.uploadarchive.raw/RTDC4028/ "%USERPROFILE%\AppData\Local\Temp\OnboardLogs"\RTDC4028\2017-02-27 --exclude "*" --recursive --include "*20170227*" &amp; "%USERPROFILE%\Documents\GitHub\mrs-test-scripts\Headless Mode &amp; Sideloading\WalkAndUnGZ.bat" "%USERPROFILE%\AppData\Local\Temp\OnboardLogs"\RTDC4028\2017-02-27</v>
      </c>
      <c r="S27" s="92" t="str">
        <f>VLOOKUP(C27,'Train Runs'!$A$13:$AE$9939,22,0)</f>
        <v>https://d0f6bd738d7f1b3e5a7ca70fe4ff75f0.us-east-1.aws.found.io/app/kibana#/discover/Steve-Slow-Train-Analysis-(2080s-and-2083s)?_g=(refreshInterval:(display:Off,pause:!f,section:0,value:0),time:(from:'2017-02-26T12:15:37-0700',mode:absolute,to:'2017-02-26T15:11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7" s="94" t="str">
        <f t="shared" si="1"/>
        <v>"C:\Program Files (x86)\AstroGrep\AstroGrep.exe" /spath="%USERPROFILE%\AppData\Local\Temp\OnboardLogs" /stypes="*4028*201702262*" /stext=" 21:.+((SYSTEM_STATE.+slice.+state.+changed )|(ment ac)|(multiple cpu faults)|(system.+state.+changed )|(\[timeout)|(PRM\|1\|D)|(kpr)|(kdp)|(\|lc)|(penalty))" /e /r /s</v>
      </c>
      <c r="U27" s="9" t="str">
        <f t="shared" si="2"/>
        <v>4028</v>
      </c>
      <c r="V27" s="32">
        <f t="shared" si="3"/>
        <v>42792.882685185185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{"issue":{"subject":"","project_id":79,"tracker_id":40,"status_id":1,"priority_id":2,"assigned_to_id":23,"start_date":"2017-02-26","description":"","custom_fields":[{"id":1,"name":"Subdivision","value":"EC"},{"id":4,"name":"Milepost","value":"0.0001"},{"id":17,"name":"Train ID","value":"172-26"},{"id":16,"name":"Locomotive ID","value":"4028"},{"id":130,"name":"Impact","value":""},{"id":150,"name":"Time of Event (Mountain Time)","value":"14:11:04"},{"id":151,"name":"Denver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"%USERPROFILE%\AppData\Local\Temp\OnboardLogs"\RTDC4028\*4028*201702262*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"%USERPROFILE%\AppData\Local\Temp\OnboardLogs"\RTDC4028\*4028*201702262* &gt;&gt; 2017-02-26-SliceDisagreementCheck.txt</v>
      </c>
      <c r="AE27" s="157" t="str">
        <f t="shared" si="9"/>
        <v>start /low /b %USERPROFILE%\Documents\GitHub\eaglep3\Utilities\DownloadLogsFromS3.py --loco 4028 --day 2017-02-26</v>
      </c>
      <c r="AF27" s="1"/>
    </row>
    <row r="28" spans="1:32" x14ac:dyDescent="0.25">
      <c r="A28" s="32">
        <v>42792.631782407407</v>
      </c>
      <c r="B28" s="30" t="s">
        <v>240</v>
      </c>
      <c r="C28" s="30" t="s">
        <v>564</v>
      </c>
      <c r="D28" s="30" t="s">
        <v>49</v>
      </c>
      <c r="E28" s="30" t="s">
        <v>188</v>
      </c>
      <c r="F28" s="43">
        <v>0</v>
      </c>
      <c r="G28" s="43">
        <v>61</v>
      </c>
      <c r="H28" s="43">
        <v>211</v>
      </c>
      <c r="I28" s="43">
        <v>174</v>
      </c>
      <c r="J28" s="30" t="s">
        <v>189</v>
      </c>
      <c r="K28" s="43">
        <v>1</v>
      </c>
      <c r="L28" s="143" t="s">
        <v>51</v>
      </c>
      <c r="M28" s="144">
        <f t="shared" si="0"/>
        <v>91.343999999999994</v>
      </c>
      <c r="N28" s="145" t="str">
        <f>VLOOKUP(C28,'Trips&amp;Operators'!$C$1:$G$99999,5,FALSE)</f>
        <v>HOLCOMB KAMDEN</v>
      </c>
      <c r="O28" s="194" t="s">
        <v>185</v>
      </c>
      <c r="P28" s="146"/>
      <c r="Q28" s="30"/>
      <c r="R28" s="89" t="str">
        <f>VLOOKUP(C28,'Train Runs'!$A$13:$AE$9939,31,0)</f>
        <v>aws s3 cp s3://rtdc.mdm.uploadarchive.raw/RTDC4004/ "%USERPROFILE%\AppData\Local\Temp\OnboardLogs"\RTDC4004\2017-02-26 --exclude "*" --recursive --include "*20170226*" &amp; "%USERPROFILE%\Documents\GitHub\mrs-test-scripts\Headless Mode &amp; Sideloading\WalkAndUnGZ.bat" "%USERPROFILE%\AppData\Local\Temp\OnboardLogs"\RTDC4004\2017-02-26 &amp; aws s3 cp s3://rtdc.mdm.uploadarchive.raw/RTDC4004/ "%USERPROFILE%\AppData\Local\Temp\OnboardLogs"\RTDC4004\2017-02-27 --exclude "*" --recursive --include "*20170227*" &amp; "%USERPROFILE%\Documents\GitHub\mrs-test-scripts\Headless Mode &amp; Sideloading\WalkAndUnGZ.bat" "%USERPROFILE%\AppData\Local\Temp\OnboardLogs"\RTDC4004\2017-02-27</v>
      </c>
      <c r="S28" s="92" t="str">
        <f>VLOOKUP(C28,'Train Runs'!$A$13:$AE$9939,22,0)</f>
        <v>https://d0f6bd738d7f1b3e5a7ca70fe4ff75f0.us-east-1.aws.found.io/app/kibana#/discover/Steve-Slow-Train-Analysis-(2080s-and-2083s)?_g=(refreshInterval:(display:Off,pause:!f,section:0,value:0),time:(from:'2017-02-26T13:17:55-0700',mode:absolute,to:'2017-02-26T16:09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8" s="94" t="str">
        <f t="shared" si="1"/>
        <v>"C:\Program Files (x86)\AstroGrep\AstroGrep.exe" /spath="%USERPROFILE%\AppData\Local\Temp\OnboardLogs" /stypes="*4004*201702262*" /stext=" 22:.+((SYSTEM_STATE.+slice.+state.+changed )|(ment ac)|(multiple cpu faults)|(system.+state.+changed )|(\[timeout)|(PRM\|1\|D)|(kpr)|(kdp)|(\|lc)|(penalty))" /e /r /s</v>
      </c>
      <c r="U28" s="9" t="str">
        <f t="shared" si="2"/>
        <v>4004</v>
      </c>
      <c r="V28" s="32">
        <f t="shared" si="3"/>
        <v>42792.923449074071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{"issue":{"subject":"","project_id":79,"tracker_id":40,"status_id":1,"priority_id":2,"assigned_to_id":23,"start_date":"2017-02-26","description":"","custom_fields":[{"id":1,"name":"Subdivision","value":"EC"},{"id":4,"name":"Milepost","value":"0.0001"},{"id":17,"name":"Train ID","value":"180-26"},{"id":16,"name":"Locomotive ID","value":"4004"},{"id":130,"name":"Impact","value":""},{"id":150,"name":"Time of Event (Mountain Time)","value":"15:09:46"},{"id":151,"name":"Denver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"%USERPROFILE%\AppData\Local\Temp\OnboardLogs"\RTDC4004\*4004*201702262*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"%USERPROFILE%\AppData\Local\Temp\OnboardLogs"\RTDC4004\*4004*201702262* &gt;&gt; 2017-02-26-SliceDisagreementCheck.txt</v>
      </c>
      <c r="AE28" s="157" t="str">
        <f t="shared" si="9"/>
        <v>start /low /b %USERPROFILE%\Documents\GitHub\eaglep3\Utilities\DownloadLogsFromS3.py --loco 4004 --day 2017-02-26</v>
      </c>
      <c r="AF28" s="1"/>
    </row>
    <row r="29" spans="1:32" x14ac:dyDescent="0.25">
      <c r="A29" s="32">
        <v>42793.066203703704</v>
      </c>
      <c r="B29" s="30" t="s">
        <v>233</v>
      </c>
      <c r="C29" s="30" t="s">
        <v>574</v>
      </c>
      <c r="D29" s="30" t="s">
        <v>49</v>
      </c>
      <c r="E29" s="30" t="s">
        <v>188</v>
      </c>
      <c r="F29" s="43">
        <v>0</v>
      </c>
      <c r="G29" s="43">
        <v>52</v>
      </c>
      <c r="H29" s="43">
        <v>172</v>
      </c>
      <c r="I29" s="43">
        <v>136</v>
      </c>
      <c r="J29" s="30" t="s">
        <v>189</v>
      </c>
      <c r="K29" s="43">
        <v>1</v>
      </c>
      <c r="L29" s="143" t="s">
        <v>51</v>
      </c>
      <c r="M29" s="144">
        <f t="shared" si="0"/>
        <v>71.28</v>
      </c>
      <c r="N29" s="145" t="str">
        <f>VLOOKUP(C29,'Trips&amp;Operators'!$C$1:$G$99999,5,FALSE)</f>
        <v>SMITH MICHAEL</v>
      </c>
      <c r="O29" s="194" t="s">
        <v>185</v>
      </c>
      <c r="P29" s="146"/>
      <c r="Q29" s="30"/>
      <c r="R29" s="89" t="str">
        <f>VLOOKUP(C29,'Train Runs'!$A$13:$AE$9939,31,0)</f>
        <v>aws s3 cp s3://rtdc.mdm.uploadarchive.raw/RTDC4054/ "%USERPROFILE%\AppData\Local\Temp\OnboardLogs"\RTDC4054\2017-02-27 --exclude "*" --recursive --include "*20170227*" &amp; "%USERPROFILE%\Documents\GitHub\mrs-test-scripts\Headless Mode &amp; Sideloading\WalkAndUnGZ.bat" "%USERPROFILE%\AppData\Local\Temp\OnboardLogs"\RTDC4054\2017-02-27 &amp; aws s3 cp s3://rtdc.mdm.uploadarchive.raw/RTDC4054/ "%USERPROFILE%\AppData\Local\Temp\OnboardLogs"\RTDC4054\2017-02-28 --exclude "*" --recursive --include "*20170228*" &amp; "%USERPROFILE%\Documents\GitHub\mrs-test-scripts\Headless Mode &amp; Sideloading\WalkAndUnGZ.bat" "%USERPROFILE%\AppData\Local\Temp\OnboardLogs"\RTDC4054\2017-02-28</v>
      </c>
      <c r="S29" s="92" t="str">
        <f>VLOOKUP(C29,'Train Runs'!$A$13:$AE$9939,22,0)</f>
        <v>https://d0f6bd738d7f1b3e5a7ca70fe4ff75f0.us-east-1.aws.found.io/app/kibana#/discover/Steve-Slow-Train-Analysis-(2080s-and-2083s)?_g=(refreshInterval:(display:Off,pause:!f,section:0,value:0),time:(from:'2017-02-26T23:45:03-0700',mode:absolute,to:'2017-02-27T02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9" s="94" t="str">
        <f t="shared" si="1"/>
        <v>"C:\Program Files (x86)\AstroGrep\AstroGrep.exe" /spath="%USERPROFILE%\AppData\Local\Temp\OnboardLogs" /stypes="*4054*201702270*" /stext=" 08:.+((SYSTEM_STATE.+slice.+state.+changed )|(ment ac)|(multiple cpu faults)|(system.+state.+changed )|(\[timeout)|(PRM\|1\|D)|(kpr)|(kdp)|(\|lc)|(penalty))" /e /r /s</v>
      </c>
      <c r="U29" s="9" t="str">
        <f t="shared" si="2"/>
        <v>4054</v>
      </c>
      <c r="V29" s="32">
        <f t="shared" si="3"/>
        <v>42793.357870370368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{"issue":{"subject":"","project_id":79,"tracker_id":40,"status_id":1,"priority_id":2,"assigned_to_id":23,"start_date":"2017-02-27","description":"","custom_fields":[{"id":1,"name":"Subdivision","value":"EC"},{"id":4,"name":"Milepost","value":"0.0001"},{"id":17,"name":"Train ID","value":"242-26"},{"id":16,"name":"Locomotive ID","value":"4054"},{"id":130,"name":"Impact","value":""},{"id":150,"name":"Time of Event (Mountain Time)","value":"01:35:20"},{"id":151,"name":"Denver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"%USERPROFILE%\AppData\Local\Temp\OnboardLogs"\RTDC4054\*4054*201702270*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"%USERPROFILE%\AppData\Local\Temp\OnboardLogs"\RTDC4054\*4054*201702270* &gt;&gt; 2017-02-26-SliceDisagreementCheck.txt</v>
      </c>
      <c r="AE29" s="157" t="str">
        <f t="shared" si="9"/>
        <v>start /low /b %USERPROFILE%\Documents\GitHub\eaglep3\Utilities\DownloadLogsFromS3.py --loco 4054 --day 2017-02-27</v>
      </c>
      <c r="AF29" s="1"/>
    </row>
    <row r="30" spans="1:32" x14ac:dyDescent="0.25">
      <c r="A30" s="32">
        <v>42792.288113425922</v>
      </c>
      <c r="B30" s="30" t="s">
        <v>224</v>
      </c>
      <c r="C30" s="30" t="s">
        <v>551</v>
      </c>
      <c r="D30" s="30" t="s">
        <v>49</v>
      </c>
      <c r="E30" s="30" t="s">
        <v>188</v>
      </c>
      <c r="F30" s="43">
        <v>0</v>
      </c>
      <c r="G30" s="43">
        <v>85</v>
      </c>
      <c r="H30" s="43">
        <v>233174</v>
      </c>
      <c r="I30" s="43">
        <v>233272</v>
      </c>
      <c r="J30" s="30" t="s">
        <v>189</v>
      </c>
      <c r="K30" s="43">
        <v>233491</v>
      </c>
      <c r="L30" s="143" t="s">
        <v>50</v>
      </c>
      <c r="M30" s="144">
        <f t="shared" si="0"/>
        <v>115.63200000000001</v>
      </c>
      <c r="N30" s="145" t="str">
        <f>VLOOKUP(C30,'Trips&amp;Operators'!$C$1:$G$99999,5,FALSE)</f>
        <v>BRANDNER MELINDA</v>
      </c>
      <c r="O30" s="194" t="s">
        <v>185</v>
      </c>
      <c r="P30" s="146"/>
      <c r="Q30" s="30"/>
      <c r="R30" s="89" t="str">
        <f>VLOOKUP(C30,'Train Runs'!$A$13:$AE$9939,31,0)</f>
        <v>aws s3 cp s3://rtdc.mdm.uploadarchive.raw/RTDC4029/ "%USERPROFILE%\AppData\Local\Temp\OnboardLogs"\RTDC4029\2017-02-26 --exclude "*" --recursive --include "*20170226*" &amp; "%USERPROFILE%\Documents\GitHub\mrs-test-scripts\Headless Mode &amp; Sideloading\WalkAndUnGZ.bat" "%USERPROFILE%\AppData\Local\Temp\OnboardLogs"\RTDC4029\2017-02-26 &amp; aws s3 cp s3://rtdc.mdm.uploadarchive.raw/RTDC4029/ "%USERPROFILE%\AppData\Local\Temp\OnboardLogs"\RTDC4029\2017-02-27 --exclude "*" --recursive --include "*20170227*" &amp; "%USERPROFILE%\Documents\GitHub\mrs-test-scripts\Headless Mode &amp; Sideloading\WalkAndUnGZ.bat" "%USERPROFILE%\AppData\Local\Temp\OnboardLogs"\RTDC4029\2017-02-27</v>
      </c>
      <c r="S30" s="92" t="str">
        <f>VLOOKUP(C30,'Train Runs'!$A$13:$AE$9939,22,0)</f>
        <v>https://d0f6bd738d7f1b3e5a7ca70fe4ff75f0.us-east-1.aws.found.io/app/kibana#/discover/Steve-Slow-Train-Analysis-(2080s-and-2083s)?_g=(refreshInterval:(display:Off,pause:!f,section:0,value:0),time:(from:'2017-02-26T05:10:28-0700',mode:absolute,to:'2017-02-26T07:54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0" s="94" t="str">
        <f t="shared" si="1"/>
        <v>"C:\Program Files (x86)\AstroGrep\AstroGrep.exe" /spath="%USERPROFILE%\AppData\Local\Temp\OnboardLogs" /stypes="*4029*201702261*" /stext=" 13:.+((SYSTEM_STATE.+slice.+state.+changed )|(ment ac)|(multiple cpu faults)|(system.+state.+changed )|(\[timeout)|(PRM\|1\|D)|(kpr)|(kdp)|(\|lc)|(penalty))" /e /r /s</v>
      </c>
      <c r="U30" s="9" t="str">
        <f t="shared" si="2"/>
        <v>4029</v>
      </c>
      <c r="V30" s="32">
        <f t="shared" si="3"/>
        <v>42792.579780092587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{"issue":{"subject":"","project_id":79,"tracker_id":40,"status_id":1,"priority_id":2,"assigned_to_id":23,"start_date":"2017-02-26","description":"","custom_fields":[{"id":1,"name":"Subdivision","value":"EC"},{"id":4,"name":"Milepost","value":"23.3491"},{"id":17,"name":"Train ID","value":"121-26"},{"id":16,"name":"Locomotive ID","value":"4029"},{"id":130,"name":"Impact","value":""},{"id":150,"name":"Time of Event (Mountain Time)","value":"06:54:53"},{"id":151,"name":"Denver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"%USERPROFILE%\AppData\Local\Temp\OnboardLogs"\RTDC4029\*4029*201702261*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"%USERPROFILE%\AppData\Local\Temp\OnboardLogs"\RTDC4029\*4029*201702261* &gt;&gt; 2017-02-26-SliceDisagreementCheck.txt</v>
      </c>
      <c r="AE30" s="157" t="str">
        <f t="shared" si="9"/>
        <v>start /low /b %USERPROFILE%\Documents\GitHub\eaglep3\Utilities\DownloadLogsFromS3.py --loco 4029 --day 2017-02-26</v>
      </c>
      <c r="AF30" s="1"/>
    </row>
    <row r="31" spans="1:32" x14ac:dyDescent="0.25">
      <c r="A31" s="32">
        <v>42792.702835648146</v>
      </c>
      <c r="B31" s="30" t="s">
        <v>257</v>
      </c>
      <c r="C31" s="30" t="s">
        <v>566</v>
      </c>
      <c r="D31" s="30" t="s">
        <v>49</v>
      </c>
      <c r="E31" s="30" t="s">
        <v>188</v>
      </c>
      <c r="F31" s="43">
        <v>0</v>
      </c>
      <c r="G31" s="43">
        <v>70</v>
      </c>
      <c r="H31" s="43">
        <v>233272</v>
      </c>
      <c r="I31" s="43">
        <v>233338</v>
      </c>
      <c r="J31" s="30" t="s">
        <v>189</v>
      </c>
      <c r="K31" s="43">
        <v>233491</v>
      </c>
      <c r="L31" s="143" t="s">
        <v>50</v>
      </c>
      <c r="M31" s="144">
        <f t="shared" si="0"/>
        <v>80.784000000000006</v>
      </c>
      <c r="N31" s="145" t="str">
        <f>VLOOKUP(C31,'Trips&amp;Operators'!$C$1:$G$99999,5,FALSE)</f>
        <v>STEWART MICHAEL</v>
      </c>
      <c r="O31" s="194" t="s">
        <v>185</v>
      </c>
      <c r="P31" s="146"/>
      <c r="Q31" s="30"/>
      <c r="R31" s="89" t="str">
        <f>VLOOKUP(C31,'Train Runs'!$A$13:$AE$9939,31,0)</f>
        <v>aws s3 cp s3://rtdc.mdm.uploadarchive.raw/RTDC4018/ "%USERPROFILE%\AppData\Local\Temp\OnboardLogs"\RTDC4018\2017-02-26 --exclude "*" --recursive --include "*20170226*" &amp; "%USERPROFILE%\Documents\GitHub\mrs-test-scripts\Headless Mode &amp; Sideloading\WalkAndUnGZ.bat" "%USERPROFILE%\AppData\Local\Temp\OnboardLogs"\RTDC4018\2017-02-26 &amp; aws s3 cp s3://rtdc.mdm.uploadarchive.raw/RTDC4018/ "%USERPROFILE%\AppData\Local\Temp\OnboardLogs"\RTDC4018\2017-02-27 --exclude "*" --recursive --include "*20170227*" &amp; "%USERPROFILE%\Documents\GitHub\mrs-test-scripts\Headless Mode &amp; Sideloading\WalkAndUnGZ.bat" "%USERPROFILE%\AppData\Local\Temp\OnboardLogs"\RTDC4018\2017-02-27</v>
      </c>
      <c r="S31" s="92" t="str">
        <f>VLOOKUP(C31,'Train Runs'!$A$13:$AE$9939,22,0)</f>
        <v>https://d0f6bd738d7f1b3e5a7ca70fe4ff75f0.us-east-1.aws.found.io/app/kibana#/discover/Steve-Slow-Train-Analysis-(2080s-and-2083s)?_g=(refreshInterval:(display:Off,pause:!f,section:0,value:0),time:(from:'2017-02-26T15:10:30-0700',mode:absolute,to:'2017-02-26T17:51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1" s="94" t="str">
        <f t="shared" si="1"/>
        <v>"C:\Program Files (x86)\AstroGrep\AstroGrep.exe" /spath="%USERPROFILE%\AppData\Local\Temp\OnboardLogs" /stypes="*4018*201702262*" /stext=" 23:.+((SYSTEM_STATE.+slice.+state.+changed )|(ment ac)|(multiple cpu faults)|(system.+state.+changed )|(\[timeout)|(PRM\|1\|D)|(kpr)|(kdp)|(\|lc)|(penalty))" /e /r /s</v>
      </c>
      <c r="U31" s="9" t="str">
        <f t="shared" si="2"/>
        <v>4018</v>
      </c>
      <c r="V31" s="32">
        <f t="shared" si="3"/>
        <v>42792.99450231481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{"issue":{"subject":"","project_id":79,"tracker_id":40,"status_id":1,"priority_id":2,"assigned_to_id":23,"start_date":"2017-02-26","description":"","custom_fields":[{"id":1,"name":"Subdivision","value":"EC"},{"id":4,"name":"Milepost","value":"23.3491"},{"id":17,"name":"Train ID","value":"201-26"},{"id":16,"name":"Locomotive ID","value":"4018"},{"id":130,"name":"Impact","value":""},{"id":150,"name":"Time of Event (Mountain Time)","value":"16:52:05"},{"id":151,"name":"Denver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"%USERPROFILE%\AppData\Local\Temp\OnboardLogs"\RTDC4018\*4018*201702262*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"%USERPROFILE%\AppData\Local\Temp\OnboardLogs"\RTDC4018\*4018*201702262* &gt;&gt; 2017-02-26-SliceDisagreementCheck.txt</v>
      </c>
      <c r="AE31" s="157" t="str">
        <f t="shared" si="9"/>
        <v>start /low /b %USERPROFILE%\Documents\GitHub\eaglep3\Utilities\DownloadLogsFromS3.py --loco 4018 --day 2017-02-26</v>
      </c>
      <c r="AF31" s="1"/>
    </row>
    <row r="32" spans="1:32" x14ac:dyDescent="0.25">
      <c r="A32" s="32">
        <v>42792.755312499998</v>
      </c>
      <c r="B32" s="30" t="s">
        <v>192</v>
      </c>
      <c r="C32" s="30" t="s">
        <v>567</v>
      </c>
      <c r="D32" s="30" t="s">
        <v>49</v>
      </c>
      <c r="E32" s="30" t="s">
        <v>188</v>
      </c>
      <c r="F32" s="43">
        <v>0</v>
      </c>
      <c r="G32" s="43">
        <v>78</v>
      </c>
      <c r="H32" s="43">
        <v>233192</v>
      </c>
      <c r="I32" s="43">
        <v>233257</v>
      </c>
      <c r="J32" s="30" t="s">
        <v>189</v>
      </c>
      <c r="K32" s="43">
        <v>233491</v>
      </c>
      <c r="L32" s="143" t="s">
        <v>50</v>
      </c>
      <c r="M32" s="144">
        <f t="shared" si="0"/>
        <v>123.55200000000001</v>
      </c>
      <c r="N32" s="145" t="str">
        <f>VLOOKUP(C32,'Trips&amp;Operators'!$C$1:$G$99999,5,FALSE)</f>
        <v>PERKINS DARREN</v>
      </c>
      <c r="O32" s="194" t="s">
        <v>185</v>
      </c>
      <c r="P32" s="146"/>
      <c r="Q32" s="30"/>
      <c r="R32" s="89" t="str">
        <f>VLOOKUP(C32,'Train Runs'!$A$13:$AE$9939,31,0)</f>
        <v>aws s3 cp s3://rtdc.mdm.uploadarchive.raw/RTDC4011/ "%USERPROFILE%\AppData\Local\Temp\OnboardLogs"\RTDC4011\2017-02-26 --exclude "*" --recursive --include "*20170226*" &amp; "%USERPROFILE%\Documents\GitHub\mrs-test-scripts\Headless Mode &amp; Sideloading\WalkAndUnGZ.bat" "%USERPROFILE%\AppData\Local\Temp\OnboardLogs"\RTDC4011\2017-02-26 &amp; aws s3 cp s3://rtdc.mdm.uploadarchive.raw/RTDC4011/ "%USERPROFILE%\AppData\Local\Temp\OnboardLogs"\RTDC4011\2017-02-27 --exclude "*" --recursive --include "*20170227*" &amp; "%USERPROFILE%\Documents\GitHub\mrs-test-scripts\Headless Mode &amp; Sideloading\WalkAndUnGZ.bat" "%USERPROFILE%\AppData\Local\Temp\OnboardLogs"\RTDC4011\2017-02-27</v>
      </c>
      <c r="S32" s="92" t="str">
        <f>VLOOKUP(C32,'Train Runs'!$A$13:$AE$9939,22,0)</f>
        <v>https://d0f6bd738d7f1b3e5a7ca70fe4ff75f0.us-east-1.aws.found.io/app/kibana#/discover/Steve-Slow-Train-Analysis-(2080s-and-2083s)?_g=(refreshInterval:(display:Off,pause:!f,section:0,value:0),time:(from:'2017-02-26T16:23:42-0700',mode:absolute,to:'2017-02-26T19:07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2" s="94" t="str">
        <f t="shared" si="1"/>
        <v>"C:\Program Files (x86)\AstroGrep\AstroGrep.exe" /spath="%USERPROFILE%\AppData\Local\Temp\OnboardLogs" /stypes="*4011*201702270*" /stext=" 01:.+((SYSTEM_STATE.+slice.+state.+changed )|(ment ac)|(multiple cpu faults)|(system.+state.+changed )|(\[timeout)|(PRM\|1\|D)|(kpr)|(kdp)|(\|lc)|(penalty))" /e /r /s</v>
      </c>
      <c r="U32" s="9" t="str">
        <f t="shared" si="2"/>
        <v>4011</v>
      </c>
      <c r="V32" s="32">
        <f t="shared" si="3"/>
        <v>42793.046979166662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{"issue":{"subject":"","project_id":79,"tracker_id":40,"status_id":1,"priority_id":2,"assigned_to_id":23,"start_date":"2017-02-26","description":"","custom_fields":[{"id":1,"name":"Subdivision","value":"EC"},{"id":4,"name":"Milepost","value":"23.3491"},{"id":17,"name":"Train ID","value":"211-26"},{"id":16,"name":"Locomotive ID","value":"4011"},{"id":130,"name":"Impact","value":""},{"id":150,"name":"Time of Event (Mountain Time)","value":"18:07:39"},{"id":151,"name":"Denver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"%USERPROFILE%\AppData\Local\Temp\OnboardLogs"\RTDC4011\*4011*201702270*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"%USERPROFILE%\AppData\Local\Temp\OnboardLogs"\RTDC4011\*4011*201702270* &gt;&gt; 2017-02-26-SliceDisagreementCheck.txt</v>
      </c>
      <c r="AE32" s="157" t="str">
        <f t="shared" si="9"/>
        <v>start /low /b %USERPROFILE%\Documents\GitHub\eaglep3\Utilities\DownloadLogsFromS3.py --loco 4011 --day 2017-02-27</v>
      </c>
      <c r="AF32" s="1"/>
    </row>
    <row r="33" spans="1:32" x14ac:dyDescent="0.25">
      <c r="A33" s="32">
        <v>42792.663854166669</v>
      </c>
      <c r="B33" s="30" t="s">
        <v>256</v>
      </c>
      <c r="C33" s="30" t="s">
        <v>565</v>
      </c>
      <c r="D33" s="30" t="s">
        <v>49</v>
      </c>
      <c r="E33" s="30" t="s">
        <v>188</v>
      </c>
      <c r="F33" s="43">
        <v>0</v>
      </c>
      <c r="G33" s="43">
        <v>52</v>
      </c>
      <c r="H33" s="43">
        <v>759</v>
      </c>
      <c r="I33" s="43">
        <v>692</v>
      </c>
      <c r="J33" s="30" t="s">
        <v>189</v>
      </c>
      <c r="K33" s="43">
        <v>575</v>
      </c>
      <c r="L33" s="143" t="s">
        <v>51</v>
      </c>
      <c r="M33" s="144">
        <f t="shared" si="0"/>
        <v>61.776000000000003</v>
      </c>
      <c r="N33" s="145" t="str">
        <f>VLOOKUP(C33,'Trips&amp;Operators'!$C$1:$G$99999,5,FALSE)</f>
        <v>HOLCOMB KAMDEN</v>
      </c>
      <c r="O33" s="194" t="s">
        <v>185</v>
      </c>
      <c r="P33" s="146"/>
      <c r="Q33" s="30"/>
      <c r="R33" s="89" t="str">
        <f>VLOOKUP(C33,'Train Runs'!$A$13:$AE$9939,31,0)</f>
        <v>aws s3 cp s3://rtdc.mdm.uploadarchive.raw/RTDC4008/ "%USERPROFILE%\AppData\Local\Temp\OnboardLogs"\RTDC4008\2017-02-26 --exclude "*" --recursive --include "*20170226*" &amp; "%USERPROFILE%\Documents\GitHub\mrs-test-scripts\Headless Mode &amp; Sideloading\WalkAndUnGZ.bat" "%USERPROFILE%\AppData\Local\Temp\OnboardLogs"\RTDC4008\2017-02-26 &amp; aws s3 cp s3://rtdc.mdm.uploadarchive.raw/RTDC4008/ "%USERPROFILE%\AppData\Local\Temp\OnboardLogs"\RTDC4008\2017-02-27 --exclude "*" --recursive --include "*20170227*" &amp; "%USERPROFILE%\Documents\GitHub\mrs-test-scripts\Headless Mode &amp; Sideloading\WalkAndUnGZ.bat" "%USERPROFILE%\AppData\Local\Temp\OnboardLogs"\RTDC4008\2017-02-27</v>
      </c>
      <c r="S33" s="92" t="str">
        <f>VLOOKUP(C33,'Train Runs'!$A$13:$AE$9939,22,0)</f>
        <v>https://d0f6bd738d7f1b3e5a7ca70fe4ff75f0.us-east-1.aws.found.io/app/kibana#/discover/Steve-Slow-Train-Analysis-(2080s-and-2083s)?_g=(refreshInterval:(display:Off,pause:!f,section:0,value:0),time:(from:'2017-02-26T14:35:28-0700',mode:absolute,to:'2017-02-26T16:55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3" s="94" t="str">
        <f t="shared" si="1"/>
        <v>"C:\Program Files (x86)\AstroGrep\AstroGrep.exe" /spath="%USERPROFILE%\AppData\Local\Temp\OnboardLogs" /stypes="*4008*201702262*" /stext=" 22:.+((SYSTEM_STATE.+slice.+state.+changed )|(ment ac)|(multiple cpu faults)|(system.+state.+changed )|(\[timeout)|(PRM\|1\|D)|(kpr)|(kdp)|(\|lc)|(penalty))" /e /r /s</v>
      </c>
      <c r="U33" s="9" t="str">
        <f t="shared" si="2"/>
        <v>4008</v>
      </c>
      <c r="V33" s="32">
        <f t="shared" si="3"/>
        <v>42792.955520833333</v>
      </c>
      <c r="W33" s="46" t="str">
        <f t="shared" si="4"/>
        <v>NW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{"issue":{"subject":"","project_id":79,"tracker_id":40,"status_id":1,"priority_id":2,"assigned_to_id":23,"start_date":"2017-02-26","description":"","custom_fields":[{"id":1,"name":"Subdivision","value":"NW"},{"id":4,"name":"Milepost","value":"0.0575"},{"id":17,"name":"Train ID","value":"1820-26"},{"id":16,"name":"Locomotive ID","value":"4008"},{"id":130,"name":"Impact","value":""},{"id":150,"name":"Time of Event (Mountain Time)","value":"15:55:57"},{"id":151,"name":"Denver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"%USERPROFILE%\AppData\Local\Temp\OnboardLogs"\RTDC4008\*4008*201702262*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"%USERPROFILE%\AppData\Local\Temp\OnboardLogs"\RTDC4008\*4008*201702262* &gt;&gt; 2017-02-26-SliceDisagreementCheck.txt</v>
      </c>
      <c r="AE33" s="157" t="str">
        <f t="shared" si="9"/>
        <v>start /low /b %USERPROFILE%\Documents\GitHub\eaglep3\Utilities\DownloadLogsFromS3.py --loco 4008 --day 2017-02-26</v>
      </c>
      <c r="AF33" s="1"/>
    </row>
    <row r="34" spans="1:32" x14ac:dyDescent="0.25">
      <c r="A34" s="32">
        <v>42792.908333333333</v>
      </c>
      <c r="B34" s="30" t="s">
        <v>291</v>
      </c>
      <c r="C34" s="30" t="s">
        <v>572</v>
      </c>
      <c r="D34" s="30" t="s">
        <v>49</v>
      </c>
      <c r="E34" s="30" t="s">
        <v>197</v>
      </c>
      <c r="F34" s="43">
        <v>0</v>
      </c>
      <c r="G34" s="43">
        <v>442</v>
      </c>
      <c r="H34" s="43">
        <v>109484</v>
      </c>
      <c r="I34" s="43">
        <v>108039</v>
      </c>
      <c r="J34" s="30" t="s">
        <v>198</v>
      </c>
      <c r="K34" s="43">
        <v>109135</v>
      </c>
      <c r="L34" s="143" t="s">
        <v>51</v>
      </c>
      <c r="M34" s="144">
        <f t="shared" si="0"/>
        <v>-578.68799999999999</v>
      </c>
      <c r="N34" s="145" t="str">
        <f>VLOOKUP(C34,'Trips&amp;Operators'!$C$1:$G$99999,5,FALSE)</f>
        <v>YANG JAN</v>
      </c>
      <c r="O34" s="194" t="s">
        <v>185</v>
      </c>
      <c r="P34" s="146"/>
      <c r="Q34" s="30"/>
      <c r="R34" s="89" t="str">
        <f>VLOOKUP(C34,'Train Runs'!$A$13:$AE$9939,31,0)</f>
        <v>aws s3 cp s3://rtdc.mdm.uploadarchive.raw/RTDC4050/ "%USERPROFILE%\AppData\Local\Temp\OnboardLogs"\RTDC4050\2017-02-27 --exclude "*" --recursive --include "*20170227*" &amp; "%USERPROFILE%\Documents\GitHub\mrs-test-scripts\Headless Mode &amp; Sideloading\WalkAndUnGZ.bat" "%USERPROFILE%\AppData\Local\Temp\OnboardLogs"\RTDC4050\2017-02-27 &amp; aws s3 cp s3://rtdc.mdm.uploadarchive.raw/RTDC4050/ "%USERPROFILE%\AppData\Local\Temp\OnboardLogs"\RTDC4050\2017-02-28 --exclude "*" --recursive --include "*20170228*" &amp; "%USERPROFILE%\Documents\GitHub\mrs-test-scripts\Headless Mode &amp; Sideloading\WalkAndUnGZ.bat" "%USERPROFILE%\AppData\Local\Temp\OnboardLogs"\RTDC4050\2017-02-28</v>
      </c>
      <c r="S34" s="92" t="str">
        <f>VLOOKUP(C34,'Train Runs'!$A$13:$AE$9939,22,0)</f>
        <v>https://d0f6bd738d7f1b3e5a7ca70fe4ff75f0.us-east-1.aws.found.io/app/kibana#/discover/Steve-Slow-Train-Analysis-(2080s-and-2083s)?_g=(refreshInterval:(display:Off,pause:!f,section:0,value:0),time:(from:'2017-02-26T23:48:12-0700',mode:absolute,to:'2017-02-27T02:42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4" s="94" t="str">
        <f t="shared" si="1"/>
        <v>"C:\Program Files (x86)\AstroGrep\AstroGrep.exe" /spath="%USERPROFILE%\AppData\Local\Temp\OnboardLogs" /stypes="*4050*201702270*" /stext=" 04:.+((SYSTEM_STATE.+slice.+state.+changed )|(ment ac)|(multiple cpu faults)|(system.+state.+changed )|(\[timeout)|(PRM\|1\|D)|(kpr)|(kdp)|(\|lc)|(penalty))" /e /r /s</v>
      </c>
      <c r="U34" s="9" t="str">
        <f t="shared" si="2"/>
        <v>4050</v>
      </c>
      <c r="V34" s="32">
        <f t="shared" si="3"/>
        <v>42793.2</v>
      </c>
      <c r="W34" s="46" t="str">
        <f t="shared" si="4"/>
        <v>Other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{"issue":{"subject":"","project_id":79,"tracker_id":40,"status_id":1,"priority_id":2,"assigned_to_id":23,"start_date":"2017-02-26","description":"","custom_fields":[{"id":1,"name":"Subdivision","value":"Other"},{"id":4,"name":"Milepost","value":"10.9135"},{"id":17,"name":"Train ID","value":"60-26"},{"id":16,"name":"Locomotive ID","value":"4050"},{"id":130,"name":"Impact","value":""},{"id":150,"name":"Time of Event (Mountain Time)","value":"21:48:00"},{"id":151,"name":"Denver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"%USERPROFILE%\AppData\Local\Temp\OnboardLogs"\RTDC4050\*4050*201702270*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"%USERPROFILE%\AppData\Local\Temp\OnboardLogs"\RTDC4050\*4050*201702270* &gt;&gt; 2017-02-26-SliceDisagreementCheck.txt</v>
      </c>
      <c r="AE34" s="157" t="str">
        <f t="shared" si="9"/>
        <v>start /low /b %USERPROFILE%\Documents\GitHub\eaglep3\Utilities\DownloadLogsFromS3.py --loco 4050 --day 2017-02-27</v>
      </c>
      <c r="AF34" s="1"/>
    </row>
    <row r="35" spans="1:32" x14ac:dyDescent="0.25">
      <c r="A35" s="32">
        <v>42792.11818287037</v>
      </c>
      <c r="B35" s="30" t="s">
        <v>216</v>
      </c>
      <c r="C35" s="30" t="s">
        <v>546</v>
      </c>
      <c r="D35" s="30" t="s">
        <v>49</v>
      </c>
      <c r="E35" s="30" t="s">
        <v>186</v>
      </c>
      <c r="F35" s="43">
        <v>0</v>
      </c>
      <c r="G35" s="43">
        <v>89</v>
      </c>
      <c r="H35" s="43">
        <v>1331</v>
      </c>
      <c r="I35" s="43">
        <v>1455</v>
      </c>
      <c r="J35" s="30" t="s">
        <v>187</v>
      </c>
      <c r="K35" s="43">
        <v>1692</v>
      </c>
      <c r="L35" s="143" t="s">
        <v>50</v>
      </c>
      <c r="M35" s="144">
        <f t="shared" si="0"/>
        <v>125.136</v>
      </c>
      <c r="N35" s="145" t="str">
        <f>VLOOKUP(C35,'Trips&amp;Operators'!$C$1:$G$99999,5,FALSE)</f>
        <v>BROWN JACOB</v>
      </c>
      <c r="O35" s="194" t="s">
        <v>185</v>
      </c>
      <c r="P35" s="146"/>
      <c r="Q35" s="30"/>
      <c r="R35" s="89" t="str">
        <f>VLOOKUP(C35,'Train Runs'!$A$13:$AE$9939,31,0)</f>
        <v>aws s3 cp s3://rtdc.mdm.uploadarchive.raw/RTDC4046/ "%USERPROFILE%\AppData\Local\Temp\OnboardLogs"\RTDC4046\2017-02-26 --exclude "*" --recursive --include "*20170226*" &amp; "%USERPROFILE%\Documents\GitHub\mrs-test-scripts\Headless Mode &amp; Sideloading\WalkAndUnGZ.bat" "%USERPROFILE%\AppData\Local\Temp\OnboardLogs"\RTDC4046\2017-02-26 &amp; aws s3 cp s3://rtdc.mdm.uploadarchive.raw/RTDC4046/ "%USERPROFILE%\AppData\Local\Temp\OnboardLogs"\RTDC4046\2017-02-27 --exclude "*" --recursive --include "*20170227*" &amp; "%USERPROFILE%\Documents\GitHub\mrs-test-scripts\Headless Mode &amp; Sideloading\WalkAndUnGZ.bat" "%USERPROFILE%\AppData\Local\Temp\OnboardLogs"\RTDC4046\2017-02-27</v>
      </c>
      <c r="S35" s="92" t="str">
        <f>VLOOKUP(C35,'Train Runs'!$A$13:$AE$9939,22,0)</f>
        <v>https://d0f6bd738d7f1b3e5a7ca70fe4ff75f0.us-east-1.aws.found.io/app/kibana#/discover/Steve-Slow-Train-Analysis-(2080s-and-2083s)?_g=(refreshInterval:(display:Off,pause:!f,section:0,value:0),time:(from:'2017-02-26T01:46:31-0700',mode:absolute,to:'2017-02-26T03:50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5" s="94" t="str">
        <f t="shared" si="1"/>
        <v>"C:\Program Files (x86)\AstroGrep\AstroGrep.exe" /spath="%USERPROFILE%\AppData\Local\Temp\OnboardLogs" /stypes="*4046*201702260*" /stext=" 09:.+((SYSTEM_STATE.+slice.+state.+changed )|(ment ac)|(multiple cpu faults)|(system.+state.+changed )|(\[timeout)|(PRM\|1\|D)|(kpr)|(kdp)|(\|lc)|(penalty))" /e /r /s</v>
      </c>
      <c r="U35" s="9" t="str">
        <f t="shared" si="2"/>
        <v>4046</v>
      </c>
      <c r="V35" s="32">
        <f t="shared" si="3"/>
        <v>42792.409849537034</v>
      </c>
      <c r="W35" s="46" t="str">
        <f t="shared" si="4"/>
        <v>Other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{"issue":{"subject":"","project_id":79,"tracker_id":40,"status_id":1,"priority_id":2,"assigned_to_id":23,"start_date":"2017-02-26","description":"","custom_fields":[{"id":1,"name":"Subdivision","value":"Other"},{"id":4,"name":"Milepost","value":"0.1692"},{"id":17,"name":"Train ID","value":"315-25"},{"id":16,"name":"Locomotive ID","value":"4046"},{"id":130,"name":"Impact","value":""},{"id":150,"name":"Time of Event (Mountain Time)","value":"02:50:11"},{"id":151,"name":"Denver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"%USERPROFILE%\AppData\Local\Temp\OnboardLogs"\RTDC4046\*4046*201702260*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"%USERPROFILE%\AppData\Local\Temp\OnboardLogs"\RTDC4046\*4046*201702260* &gt;&gt; 2017-02-26-SliceDisagreementCheck.txt</v>
      </c>
      <c r="AE35" s="157" t="str">
        <f t="shared" si="9"/>
        <v>start /low /b %USERPROFILE%\Documents\GitHub\eaglep3\Utilities\DownloadLogsFromS3.py --loco 4046 --day 2017-02-26</v>
      </c>
      <c r="AF35" s="1"/>
    </row>
    <row r="36" spans="1:32" x14ac:dyDescent="0.25">
      <c r="A36" s="32">
        <v>42792.928865740738</v>
      </c>
      <c r="B36" s="30" t="s">
        <v>292</v>
      </c>
      <c r="C36" s="30" t="s">
        <v>573</v>
      </c>
      <c r="D36" s="30" t="s">
        <v>98</v>
      </c>
      <c r="E36" s="30" t="s">
        <v>186</v>
      </c>
      <c r="F36" s="43">
        <v>0</v>
      </c>
      <c r="G36" s="43">
        <v>80</v>
      </c>
      <c r="H36" s="43">
        <v>1873</v>
      </c>
      <c r="I36" s="43">
        <v>1998</v>
      </c>
      <c r="J36" s="30" t="s">
        <v>187</v>
      </c>
      <c r="K36" s="43">
        <v>1692</v>
      </c>
      <c r="L36" s="143" t="s">
        <v>50</v>
      </c>
      <c r="M36" s="144">
        <f t="shared" si="0"/>
        <v>-161.56800000000001</v>
      </c>
      <c r="N36" s="145" t="str">
        <f>VLOOKUP(C36,'Trips&amp;Operators'!$C$1:$G$99999,5,FALSE)</f>
        <v>YANG JAN</v>
      </c>
      <c r="O36" s="194" t="s">
        <v>185</v>
      </c>
      <c r="P36" s="146"/>
      <c r="Q36" s="30"/>
      <c r="R36" s="89" t="str">
        <f>VLOOKUP(C36,'Train Runs'!$A$13:$AE$9939,31,0)</f>
        <v>aws s3 cp s3://rtdc.mdm.uploadarchive.raw/RTDC4049/ "%USERPROFILE%\AppData\Local\Temp\OnboardLogs"\RTDC4049\2017-02-26 --exclude "*" --recursive --include "*20170226*" &amp; "%USERPROFILE%\Documents\GitHub\mrs-test-scripts\Headless Mode &amp; Sideloading\WalkAndUnGZ.bat" "%USERPROFILE%\AppData\Local\Temp\OnboardLogs"\RTDC4049\2017-02-26 &amp; aws s3 cp s3://rtdc.mdm.uploadarchive.raw/RTDC4049/ "%USERPROFILE%\AppData\Local\Temp\OnboardLogs"\RTDC4049\2017-02-27 --exclude "*" --recursive --include "*20170227*" &amp; "%USERPROFILE%\Documents\GitHub\mrs-test-scripts\Headless Mode &amp; Sideloading\WalkAndUnGZ.bat" "%USERPROFILE%\AppData\Local\Temp\OnboardLogs"\RTDC4049\2017-02-27</v>
      </c>
      <c r="S36" s="92" t="str">
        <f>VLOOKUP(C36,'Train Runs'!$A$13:$AE$9939,22,0)</f>
        <v>https://d0f6bd738d7f1b3e5a7ca70fe4ff75f0.us-east-1.aws.found.io/app/kibana#/discover/Steve-Slow-Train-Analysis-(2080s-and-2083s)?_g=(refreshInterval:(display:Off,pause:!f,section:0,value:0),time:(from:'2017-02-26T19:39:24-0700',mode:absolute,to:'2017-02-26T22:22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36" s="94" t="str">
        <f t="shared" si="1"/>
        <v>"C:\Program Files (x86)\AstroGrep\AstroGrep.exe" /spath="%USERPROFILE%\AppData\Local\Temp\OnboardLogs" /stypes="*4049*201702270*" /stext=" 05:.+((SYSTEM_STATE.+slice.+state.+changed )|(ment ac)|(multiple cpu faults)|(system.+state.+changed )|(\[timeout)|(PRM\|1\|D)|(kpr)|(kdp)|(\|lc)|(penalty))" /e /r /s</v>
      </c>
      <c r="U36" s="9" t="str">
        <f t="shared" si="2"/>
        <v>4049</v>
      </c>
      <c r="V36" s="32">
        <f t="shared" si="3"/>
        <v>42793.220532407402</v>
      </c>
      <c r="W36" s="46" t="str">
        <f t="shared" si="4"/>
        <v>Other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{"issue":{"subject":"","project_id":79,"tracker_id":40,"status_id":1,"priority_id":2,"assigned_to_id":23,"start_date":"2017-02-26","description":"","custom_fields":[{"id":1,"name":"Subdivision","value":"Other"},{"id":4,"name":"Milepost","value":"0.1692"},{"id":17,"name":"Train ID","value":"61-26"},{"id":16,"name":"Locomotive ID","value":"4049"},{"id":130,"name":"Impact","value":""},{"id":150,"name":"Time of Event (Mountain Time)","value":"22:17:34"},{"id":151,"name":"Denver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"%USERPROFILE%\AppData\Local\Temp\OnboardLogs"\RTDC4049\*4049*201702270*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"%USERPROFILE%\AppData\Local\Temp\OnboardLogs"\RTDC4049\*4049*201702270* &gt;&gt; 2017-02-26-SliceDisagreementCheck.txt</v>
      </c>
      <c r="AE36" s="157" t="str">
        <f t="shared" si="9"/>
        <v>start /low /b %USERPROFILE%\Documents\GitHub\eaglep3\Utilities\DownloadLogsFromS3.py --loco 4049 --day 2017-02-27</v>
      </c>
      <c r="AF36" s="1"/>
    </row>
    <row r="37" spans="1:32" x14ac:dyDescent="0.25">
      <c r="A37" s="32">
        <v>42792.142025462963</v>
      </c>
      <c r="B37" s="30" t="s">
        <v>258</v>
      </c>
      <c r="C37" s="30" t="s">
        <v>547</v>
      </c>
      <c r="D37" s="30" t="s">
        <v>98</v>
      </c>
      <c r="E37" s="30" t="s">
        <v>186</v>
      </c>
      <c r="F37" s="43">
        <v>0</v>
      </c>
      <c r="G37" s="43">
        <v>121</v>
      </c>
      <c r="H37" s="43">
        <v>18763</v>
      </c>
      <c r="I37" s="43">
        <v>18659</v>
      </c>
      <c r="J37" s="30" t="s">
        <v>187</v>
      </c>
      <c r="K37" s="43">
        <v>19000</v>
      </c>
      <c r="L37" s="143" t="s">
        <v>51</v>
      </c>
      <c r="M37" s="144">
        <f t="shared" si="0"/>
        <v>-180.048</v>
      </c>
      <c r="N37" s="145" t="str">
        <f>VLOOKUP(C37,'Trips&amp;Operators'!$C$1:$G$99999,5,FALSE)</f>
        <v>MAELZER KURT</v>
      </c>
      <c r="O37" s="194" t="s">
        <v>185</v>
      </c>
      <c r="P37" s="146"/>
      <c r="Q37" s="30"/>
      <c r="R37" s="89" t="str">
        <f>VLOOKUP(C37,'Train Runs'!$A$13:$AE$9939,31,0)</f>
        <v>aws s3 cp s3://rtdc.mdm.uploadarchive.raw/RTDC4017/ "%USERPROFILE%\AppData\Local\Temp\OnboardLogs"\RTDC4017\2017-02-26 --exclude "*" --recursive --include "*20170226*" &amp; "%USERPROFILE%\Documents\GitHub\mrs-test-scripts\Headless Mode &amp; Sideloading\WalkAndUnGZ.bat" "%USERPROFILE%\AppData\Local\Temp\OnboardLogs"\RTDC4017\2017-02-26 &amp; aws s3 cp s3://rtdc.mdm.uploadarchive.raw/RTDC4017/ "%USERPROFILE%\AppData\Local\Temp\OnboardLogs"\RTDC4017\2017-02-27 --exclude "*" --recursive --include "*20170227*" &amp; "%USERPROFILE%\Documents\GitHub\mrs-test-scripts\Headless Mode &amp; Sideloading\WalkAndUnGZ.bat" "%USERPROFILE%\AppData\Local\Temp\OnboardLogs"\RTDC4017\2017-02-27</v>
      </c>
      <c r="S37" s="92" t="str">
        <f>VLOOKUP(C37,'Train Runs'!$A$13:$AE$9939,22,0)</f>
        <v>https://d0f6bd738d7f1b3e5a7ca70fe4ff75f0.us-east-1.aws.found.io/app/kibana#/discover/Steve-Slow-Train-Analysis-(2080s-and-2083s)?_g=(refreshInterval:(display:Off,pause:!f,section:0,value:0),time:(from:'2017-02-26T02:20:36-0700',mode:absolute,to:'2017-02-26T04:28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7" s="94" t="str">
        <f t="shared" si="1"/>
        <v>"C:\Program Files (x86)\AstroGrep\AstroGrep.exe" /spath="%USERPROFILE%\AppData\Local\Temp\OnboardLogs" /stypes="*4017*201702261*" /stext=" 10:.+((SYSTEM_STATE.+slice.+state.+changed )|(ment ac)|(multiple cpu faults)|(system.+state.+changed )|(\[timeout)|(PRM\|1\|D)|(kpr)|(kdp)|(\|lc)|(penalty))" /e /r /s</v>
      </c>
      <c r="U37" s="9" t="str">
        <f t="shared" si="2"/>
        <v>4017</v>
      </c>
      <c r="V37" s="32">
        <f t="shared" si="3"/>
        <v>42792.433692129627</v>
      </c>
      <c r="W37" s="46" t="str">
        <f t="shared" si="4"/>
        <v>Other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{"issue":{"subject":"","project_id":79,"tracker_id":40,"status_id":1,"priority_id":2,"assigned_to_id":23,"start_date":"2017-02-26","description":"","custom_fields":[{"id":1,"name":"Subdivision","value":"Other"},{"id":4,"name":"Milepost","value":"1.9"},{"id":17,"name":"Train ID","value":"304-26"},{"id":16,"name":"Locomotive ID","value":"4017"},{"id":130,"name":"Impact","value":""},{"id":150,"name":"Time of Event (Mountain Time)","value":"03:24:31"},{"id":151,"name":"Denver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"%USERPROFILE%\AppData\Local\Temp\OnboardLogs"\RTDC4017\*4017*201702261*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"%USERPROFILE%\AppData\Local\Temp\OnboardLogs"\RTDC4017\*4017*201702261* &gt;&gt; 2017-02-26-SliceDisagreementCheck.txt</v>
      </c>
      <c r="AE37" s="157" t="str">
        <f t="shared" si="9"/>
        <v>start /low /b %USERPROFILE%\Documents\GitHub\eaglep3\Utilities\DownloadLogsFromS3.py --loco 4017 --day 2017-02-26</v>
      </c>
      <c r="AF37" s="1"/>
    </row>
    <row r="38" spans="1:32" x14ac:dyDescent="0.25">
      <c r="A38" s="32">
        <v>42792.143252314818</v>
      </c>
      <c r="B38" s="30" t="s">
        <v>258</v>
      </c>
      <c r="C38" s="30" t="s">
        <v>547</v>
      </c>
      <c r="D38" s="30" t="s">
        <v>98</v>
      </c>
      <c r="E38" s="30" t="s">
        <v>186</v>
      </c>
      <c r="F38" s="43">
        <v>200</v>
      </c>
      <c r="G38" s="43">
        <v>255</v>
      </c>
      <c r="H38" s="43">
        <v>17118</v>
      </c>
      <c r="I38" s="43">
        <v>16545</v>
      </c>
      <c r="J38" s="30" t="s">
        <v>187</v>
      </c>
      <c r="K38" s="43">
        <v>19000</v>
      </c>
      <c r="L38" s="143" t="s">
        <v>51</v>
      </c>
      <c r="M38" s="144">
        <f t="shared" si="0"/>
        <v>-1296.24</v>
      </c>
      <c r="N38" s="145" t="str">
        <f>VLOOKUP(C38,'Trips&amp;Operators'!$C$1:$G$99999,5,FALSE)</f>
        <v>MAELZER KURT</v>
      </c>
      <c r="O38" s="194" t="s">
        <v>185</v>
      </c>
      <c r="P38" s="146"/>
      <c r="Q38" s="30"/>
      <c r="R38" s="89" t="str">
        <f>VLOOKUP(C38,'Train Runs'!$A$13:$AE$9939,31,0)</f>
        <v>aws s3 cp s3://rtdc.mdm.uploadarchive.raw/RTDC4017/ "%USERPROFILE%\AppData\Local\Temp\OnboardLogs"\RTDC4017\2017-02-26 --exclude "*" --recursive --include "*20170226*" &amp; "%USERPROFILE%\Documents\GitHub\mrs-test-scripts\Headless Mode &amp; Sideloading\WalkAndUnGZ.bat" "%USERPROFILE%\AppData\Local\Temp\OnboardLogs"\RTDC4017\2017-02-26 &amp; aws s3 cp s3://rtdc.mdm.uploadarchive.raw/RTDC4017/ "%USERPROFILE%\AppData\Local\Temp\OnboardLogs"\RTDC4017\2017-02-27 --exclude "*" --recursive --include "*20170227*" &amp; "%USERPROFILE%\Documents\GitHub\mrs-test-scripts\Headless Mode &amp; Sideloading\WalkAndUnGZ.bat" "%USERPROFILE%\AppData\Local\Temp\OnboardLogs"\RTDC4017\2017-02-27</v>
      </c>
      <c r="S38" s="92" t="str">
        <f>VLOOKUP(C38,'Train Runs'!$A$13:$AE$9939,22,0)</f>
        <v>https://d0f6bd738d7f1b3e5a7ca70fe4ff75f0.us-east-1.aws.found.io/app/kibana#/discover/Steve-Slow-Train-Analysis-(2080s-and-2083s)?_g=(refreshInterval:(display:Off,pause:!f,section:0,value:0),time:(from:'2017-02-26T02:20:36-0700',mode:absolute,to:'2017-02-26T04:28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8" s="94" t="str">
        <f t="shared" si="1"/>
        <v>"C:\Program Files (x86)\AstroGrep\AstroGrep.exe" /spath="%USERPROFILE%\AppData\Local\Temp\OnboardLogs" /stypes="*4017*201702261*" /stext=" 10:.+((SYSTEM_STATE.+slice.+state.+changed )|(ment ac)|(multiple cpu faults)|(system.+state.+changed )|(\[timeout)|(PRM\|1\|D)|(kpr)|(kdp)|(\|lc)|(penalty))" /e /r /s</v>
      </c>
      <c r="U38" s="9" t="str">
        <f t="shared" si="2"/>
        <v>4017</v>
      </c>
      <c r="V38" s="32">
        <f t="shared" si="3"/>
        <v>42792.434918981482</v>
      </c>
      <c r="W38" s="46" t="str">
        <f t="shared" si="4"/>
        <v>Other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{"issue":{"subject":"","project_id":79,"tracker_id":40,"status_id":1,"priority_id":2,"assigned_to_id":23,"start_date":"2017-02-26","description":"","custom_fields":[{"id":1,"name":"Subdivision","value":"Other"},{"id":4,"name":"Milepost","value":"1.9"},{"id":17,"name":"Train ID","value":"304-26"},{"id":16,"name":"Locomotive ID","value":"4017"},{"id":130,"name":"Impact","value":""},{"id":150,"name":"Time of Event (Mountain Time)","value":"03:26:17"},{"id":151,"name":"Denver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"%USERPROFILE%\AppData\Local\Temp\OnboardLogs"\RTDC4017\*4017*201702261*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"%USERPROFILE%\AppData\Local\Temp\OnboardLogs"\RTDC4017\*4017*201702261* &gt;&gt; 2017-02-26-SliceDisagreementCheck.txt</v>
      </c>
      <c r="AE38" s="157" t="str">
        <f t="shared" si="9"/>
        <v>start /low /b %USERPROFILE%\Documents\GitHub\eaglep3\Utilities\DownloadLogsFromS3.py --loco 4017 --day 2017-02-26</v>
      </c>
      <c r="AF38" s="1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  <c r="AE69"/>
    </row>
  </sheetData>
  <autoFilter ref="A6:AC69">
    <sortState ref="A7:AC69">
      <sortCondition ref="W7:W38"/>
      <sortCondition ref="E7:E38"/>
      <sortCondition ref="K7:K38"/>
      <sortCondition ref="F7:F38"/>
    </sortState>
  </autoFilter>
  <sortState ref="A7:AE69">
    <sortCondition ref="W7:W69"/>
    <sortCondition ref="E7:E69"/>
    <sortCondition ref="K7:K69"/>
    <sortCondition ref="C7:C69"/>
    <sortCondition ref="F7:F69"/>
  </sortState>
  <mergeCells count="1">
    <mergeCell ref="A5:O5"/>
  </mergeCells>
  <conditionalFormatting sqref="O6:P6 R6 O70:O1048576 O7:O3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8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AA7:AA38</xm:sqref>
        </x14:dataValidation>
        <x14:dataValidation type="list" allowBlank="1" showInputMessage="1" showErrorMessage="1">
          <x14:formula1>
            <xm:f>'Redmine List Values'!$C$2:$C$15</xm:f>
          </x14:formula1>
          <xm:sqref>AB7:AB38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5"/>
  <sheetViews>
    <sheetView workbookViewId="0">
      <selection activeCell="A3" sqref="A3:XFD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196" t="str">
        <f>"Trips that did not appear in PTC Data "&amp;TEXT(Variables!$A$2,"YYYY-mm-dd")</f>
        <v>Trips that did not appear in PTC Data 2017-02-26</v>
      </c>
      <c r="C1" s="196"/>
      <c r="D1" s="196"/>
      <c r="E1" s="196"/>
      <c r="F1" s="196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/>
      <c r="B3" s="43" t="str">
        <f>A3&amp;"-"&amp;IF(DAY(Variables!$A$2)&lt;10,0,"")&amp;DAY(Variables!$A$2)</f>
        <v>-26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2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" s="30" t="e">
        <f>VLOOKUP(B3,'Train Runs'!$A$13:$A$99936,1,FALSE)</f>
        <v>#N/A</v>
      </c>
    </row>
    <row r="4" spans="1:10" x14ac:dyDescent="0.25">
      <c r="A4" s="185"/>
      <c r="B4" s="43" t="str">
        <f>A4&amp;"-"&amp;IF(DAY(Variables!$A$2)&lt;10,0,"")&amp;DAY(Variables!$A$2)</f>
        <v>-26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" s="30" t="e">
        <f>VLOOKUP(B4,'Train Runs'!$A$13:$A$99936,1,FALSE)</f>
        <v>#N/A</v>
      </c>
    </row>
    <row r="5" spans="1:10" x14ac:dyDescent="0.25">
      <c r="A5" s="185"/>
      <c r="B5" s="43" t="str">
        <f>A5&amp;"-"&amp;IF(DAY(Variables!$A$2)&lt;10,0,"")&amp;DAY(Variables!$A$2)</f>
        <v>-26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" s="30" t="e">
        <f>VLOOKUP(B5,'Train Runs'!$A$13:$A$99936,1,FALSE)</f>
        <v>#N/A</v>
      </c>
    </row>
    <row r="6" spans="1:10" x14ac:dyDescent="0.25">
      <c r="A6" s="185"/>
      <c r="B6" s="43" t="str">
        <f>A6&amp;"-"&amp;IF(DAY(Variables!$A$2)&lt;10,0,"")&amp;DAY(Variables!$A$2)</f>
        <v>-26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" s="30" t="e">
        <f>VLOOKUP(B6,'Train Runs'!$A$13:$A$99936,1,FALSE)</f>
        <v>#N/A</v>
      </c>
    </row>
    <row r="7" spans="1:10" x14ac:dyDescent="0.25">
      <c r="A7" s="185"/>
      <c r="B7" s="43" t="str">
        <f>A7&amp;"-"&amp;IF(DAY(Variables!$A$2)&lt;10,0,"")&amp;DAY(Variables!$A$2)</f>
        <v>-26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" s="30" t="e">
        <f>VLOOKUP(B7,'Train Runs'!$A$13:$A$99936,1,FALSE)</f>
        <v>#N/A</v>
      </c>
    </row>
    <row r="8" spans="1:10" x14ac:dyDescent="0.25">
      <c r="A8" s="185"/>
      <c r="B8" s="43" t="str">
        <f>A8&amp;"-"&amp;IF(DAY(Variables!$A$2)&lt;10,0,"")&amp;DAY(Variables!$A$2)</f>
        <v>-26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" s="30" t="e">
        <f>VLOOKUP(B8,'Train Runs'!$A$13:$A$99936,1,FALSE)</f>
        <v>#N/A</v>
      </c>
    </row>
    <row r="9" spans="1:10" x14ac:dyDescent="0.25">
      <c r="A9" s="185"/>
      <c r="B9" s="43" t="str">
        <f>A9&amp;"-"&amp;IF(DAY(Variables!$A$2)&lt;10,0,"")&amp;DAY(Variables!$A$2)</f>
        <v>-26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" s="30" t="e">
        <f>VLOOKUP(B9,'Train Runs'!$A$13:$A$99936,1,FALSE)</f>
        <v>#N/A</v>
      </c>
    </row>
    <row r="10" spans="1:10" x14ac:dyDescent="0.25">
      <c r="A10" s="185"/>
      <c r="B10" s="43" t="str">
        <f>A10&amp;"-"&amp;IF(DAY(Variables!$A$2)&lt;10,0,"")&amp;DAY(Variables!$A$2)</f>
        <v>-26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" s="30" t="e">
        <f>VLOOKUP(B10,'Train Runs'!$A$13:$A$99936,1,FALSE)</f>
        <v>#N/A</v>
      </c>
    </row>
    <row r="11" spans="1:10" x14ac:dyDescent="0.25">
      <c r="A11" s="185"/>
      <c r="B11" s="43" t="str">
        <f>A11&amp;"-"&amp;IF(DAY(Variables!$A$2)&lt;10,0,"")&amp;DAY(Variables!$A$2)</f>
        <v>-26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" s="30" t="e">
        <f>VLOOKUP(B11,'Train Runs'!$A$13:$A$99936,1,FALSE)</f>
        <v>#N/A</v>
      </c>
    </row>
    <row r="12" spans="1:10" x14ac:dyDescent="0.25">
      <c r="A12" s="185"/>
      <c r="B12" s="43" t="str">
        <f>A12&amp;"-"&amp;IF(DAY(Variables!$A$2)&lt;10,0,"")&amp;DAY(Variables!$A$2)</f>
        <v>-26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2" s="30" t="e">
        <f>VLOOKUP(B12,'Train Runs'!$A$13:$A$99936,1,FALSE)</f>
        <v>#N/A</v>
      </c>
    </row>
    <row r="13" spans="1:10" x14ac:dyDescent="0.25">
      <c r="A13" s="185"/>
      <c r="B13" s="43" t="str">
        <f>A13&amp;"-"&amp;IF(DAY(Variables!$A$2)&lt;10,0,"")&amp;DAY(Variables!$A$2)</f>
        <v>-26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3" s="30" t="e">
        <f>VLOOKUP(B13,'Train Runs'!$A$13:$A$99936,1,FALSE)</f>
        <v>#N/A</v>
      </c>
    </row>
    <row r="14" spans="1:10" x14ac:dyDescent="0.25">
      <c r="A14" s="185"/>
      <c r="B14" s="43" t="str">
        <f>A14&amp;"-"&amp;IF(DAY(Variables!$A$2)&lt;10,0,"")&amp;DAY(Variables!$A$2)</f>
        <v>-26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4" s="30" t="e">
        <f>VLOOKUP(B14,'Train Runs'!$A$13:$A$99936,1,FALSE)</f>
        <v>#N/A</v>
      </c>
    </row>
    <row r="15" spans="1:10" x14ac:dyDescent="0.25">
      <c r="A15" s="185"/>
      <c r="B15" s="43" t="str">
        <f>A15&amp;"-"&amp;IF(DAY(Variables!$A$2)&lt;10,0,"")&amp;DAY(Variables!$A$2)</f>
        <v>-26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5" s="30" t="e">
        <f>VLOOKUP(B15,'Train Runs'!$A$13:$A$99936,1,FALSE)</f>
        <v>#N/A</v>
      </c>
    </row>
    <row r="16" spans="1:10" x14ac:dyDescent="0.25">
      <c r="A16" s="185"/>
      <c r="B16" s="43" t="str">
        <f>A16&amp;"-"&amp;IF(DAY(Variables!$A$2)&lt;10,0,"")&amp;DAY(Variables!$A$2)</f>
        <v>-26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6" s="30" t="e">
        <f>VLOOKUP(B16,'Train Runs'!$A$13:$A$99936,1,FALSE)</f>
        <v>#N/A</v>
      </c>
    </row>
    <row r="17" spans="1:10" x14ac:dyDescent="0.25">
      <c r="A17" s="185"/>
      <c r="B17" s="43" t="str">
        <f>A17&amp;"-"&amp;IF(DAY(Variables!$A$2)&lt;10,0,"")&amp;DAY(Variables!$A$2)</f>
        <v>-26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7" s="30" t="e">
        <f>VLOOKUP(B17,'Train Runs'!$A$13:$A$99936,1,FALSE)</f>
        <v>#N/A</v>
      </c>
    </row>
    <row r="18" spans="1:10" x14ac:dyDescent="0.25">
      <c r="A18" s="185"/>
      <c r="B18" s="43" t="str">
        <f>A18&amp;"-"&amp;IF(DAY(Variables!$A$2)&lt;10,0,"")&amp;DAY(Variables!$A$2)</f>
        <v>-26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8" s="30" t="e">
        <f>VLOOKUP(B18,'Train Runs'!$A$13:$A$99936,1,FALSE)</f>
        <v>#N/A</v>
      </c>
    </row>
    <row r="19" spans="1:10" x14ac:dyDescent="0.25">
      <c r="A19" s="185"/>
      <c r="B19" s="43" t="str">
        <f>A19&amp;"-"&amp;IF(DAY(Variables!$A$2)&lt;10,0,"")&amp;DAY(Variables!$A$2)</f>
        <v>-26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9" s="30" t="e">
        <f>VLOOKUP(B19,'Train Runs'!$A$13:$A$99936,1,FALSE)</f>
        <v>#N/A</v>
      </c>
    </row>
    <row r="20" spans="1:10" x14ac:dyDescent="0.25">
      <c r="A20" s="185"/>
      <c r="B20" s="43" t="str">
        <f>A20&amp;"-"&amp;IF(DAY(Variables!$A$2)&lt;10,0,"")&amp;DAY(Variables!$A$2)</f>
        <v>-26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0" s="30" t="e">
        <f>VLOOKUP(B20,'Train Runs'!$A$13:$A$99936,1,FALSE)</f>
        <v>#N/A</v>
      </c>
    </row>
    <row r="21" spans="1:10" x14ac:dyDescent="0.25">
      <c r="A21" s="185"/>
      <c r="B21" s="43" t="str">
        <f>A21&amp;"-"&amp;IF(DAY(Variables!$A$2)&lt;10,0,"")&amp;DAY(Variables!$A$2)</f>
        <v>-26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1" s="30" t="e">
        <f>VLOOKUP(B21,'Train Runs'!$A$13:$A$99936,1,FALSE)</f>
        <v>#N/A</v>
      </c>
    </row>
    <row r="22" spans="1:10" x14ac:dyDescent="0.25">
      <c r="A22" s="185"/>
      <c r="B22" s="43" t="str">
        <f>A22&amp;"-"&amp;IF(DAY(Variables!$A$2)&lt;10,0,"")&amp;DAY(Variables!$A$2)</f>
        <v>-26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2" s="30" t="e">
        <f>VLOOKUP(B22,'Train Runs'!$A$13:$A$99936,1,FALSE)</f>
        <v>#N/A</v>
      </c>
    </row>
    <row r="23" spans="1:10" x14ac:dyDescent="0.25">
      <c r="A23" s="185"/>
      <c r="B23" s="43" t="str">
        <f>A23&amp;"-"&amp;IF(DAY(Variables!$A$2)&lt;10,0,"")&amp;DAY(Variables!$A$2)</f>
        <v>-26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3" s="30" t="e">
        <f>VLOOKUP(B23,'Train Runs'!$A$13:$A$99936,1,FALSE)</f>
        <v>#N/A</v>
      </c>
    </row>
    <row r="24" spans="1:10" x14ac:dyDescent="0.25">
      <c r="A24" s="185"/>
      <c r="B24" s="43" t="str">
        <f>A24&amp;"-"&amp;IF(DAY(Variables!$A$2)&lt;10,0,"")&amp;DAY(Variables!$A$2)</f>
        <v>-26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4" s="30" t="e">
        <f>VLOOKUP(B24,'Train Runs'!$A$13:$A$99936,1,FALSE)</f>
        <v>#N/A</v>
      </c>
    </row>
    <row r="25" spans="1:10" x14ac:dyDescent="0.25">
      <c r="A25" s="185"/>
      <c r="B25" s="43" t="str">
        <f>A25&amp;"-"&amp;IF(DAY(Variables!$A$2)&lt;10,0,"")&amp;DAY(Variables!$A$2)</f>
        <v>-26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5" s="30" t="e">
        <f>VLOOKUP(B25,'Train Runs'!$A$13:$A$99936,1,FALSE)</f>
        <v>#N/A</v>
      </c>
    </row>
    <row r="26" spans="1:10" x14ac:dyDescent="0.25">
      <c r="A26" s="185"/>
      <c r="B26" s="43" t="str">
        <f>A26&amp;"-"&amp;IF(DAY(Variables!$A$2)&lt;10,0,"")&amp;DAY(Variables!$A$2)</f>
        <v>-26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6" s="30" t="e">
        <f>VLOOKUP(B26,'Train Runs'!$A$13:$A$99936,1,FALSE)</f>
        <v>#N/A</v>
      </c>
    </row>
    <row r="27" spans="1:10" x14ac:dyDescent="0.25">
      <c r="A27" s="185"/>
      <c r="B27" s="43" t="str">
        <f>A27&amp;"-"&amp;IF(DAY(Variables!$A$2)&lt;10,0,"")&amp;DAY(Variables!$A$2)</f>
        <v>-26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7" s="30" t="e">
        <f>VLOOKUP(B27,'Train Runs'!$A$13:$A$99936,1,FALSE)</f>
        <v>#N/A</v>
      </c>
    </row>
    <row r="28" spans="1:10" x14ac:dyDescent="0.25">
      <c r="A28" s="185"/>
      <c r="B28" s="43" t="str">
        <f>A28&amp;"-"&amp;IF(DAY(Variables!$A$2)&lt;10,0,"")&amp;DAY(Variables!$A$2)</f>
        <v>-26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8" s="30" t="e">
        <f>VLOOKUP(B28,'Train Runs'!$A$13:$A$99936,1,FALSE)</f>
        <v>#N/A</v>
      </c>
    </row>
    <row r="29" spans="1:10" x14ac:dyDescent="0.25">
      <c r="A29" s="185"/>
      <c r="B29" s="43" t="str">
        <f>A29&amp;"-"&amp;IF(DAY(Variables!$A$2)&lt;10,0,"")&amp;DAY(Variables!$A$2)</f>
        <v>-26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29" s="30" t="e">
        <f>VLOOKUP(B29,'Train Runs'!$A$13:$A$99936,1,FALSE)</f>
        <v>#N/A</v>
      </c>
    </row>
    <row r="30" spans="1:10" x14ac:dyDescent="0.25">
      <c r="A30" s="185"/>
      <c r="B30" s="43" t="str">
        <f>A30&amp;"-"&amp;IF(DAY(Variables!$A$2)&lt;10,0,"")&amp;DAY(Variables!$A$2)</f>
        <v>-26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ref="I30:I61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0" s="30" t="e">
        <f>VLOOKUP(B30,'Train Runs'!$A$13:$A$99936,1,FALSE)</f>
        <v>#N/A</v>
      </c>
    </row>
    <row r="31" spans="1:10" x14ac:dyDescent="0.25">
      <c r="A31" s="185"/>
      <c r="B31" s="43" t="str">
        <f>A31&amp;"-"&amp;IF(DAY(Variables!$A$2)&lt;10,0,"")&amp;DAY(Variables!$A$2)</f>
        <v>-26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1" s="30" t="e">
        <f>VLOOKUP(B31,'Train Runs'!$A$13:$A$99936,1,FALSE)</f>
        <v>#N/A</v>
      </c>
    </row>
    <row r="32" spans="1:10" x14ac:dyDescent="0.25">
      <c r="A32" s="185"/>
      <c r="B32" s="43" t="str">
        <f>A32&amp;"-"&amp;IF(DAY(Variables!$A$2)&lt;10,0,"")&amp;DAY(Variables!$A$2)</f>
        <v>-26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2" s="30" t="e">
        <f>VLOOKUP(B32,'Train Runs'!$A$13:$A$99936,1,FALSE)</f>
        <v>#N/A</v>
      </c>
    </row>
    <row r="33" spans="1:10" x14ac:dyDescent="0.25">
      <c r="A33" s="185"/>
      <c r="B33" s="43" t="str">
        <f>A33&amp;"-"&amp;IF(DAY(Variables!$A$2)&lt;10,0,"")&amp;DAY(Variables!$A$2)</f>
        <v>-26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3" s="30" t="e">
        <f>VLOOKUP(B33,'Train Runs'!$A$13:$A$99936,1,FALSE)</f>
        <v>#N/A</v>
      </c>
    </row>
    <row r="34" spans="1:10" x14ac:dyDescent="0.25">
      <c r="A34" s="185"/>
      <c r="B34" s="43" t="str">
        <f>A34&amp;"-"&amp;IF(DAY(Variables!$A$2)&lt;10,0,"")&amp;DAY(Variables!$A$2)</f>
        <v>-26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4" s="30" t="e">
        <f>VLOOKUP(B34,'Train Runs'!$A$13:$A$99936,1,FALSE)</f>
        <v>#N/A</v>
      </c>
    </row>
    <row r="35" spans="1:10" x14ac:dyDescent="0.25">
      <c r="A35" s="185"/>
      <c r="B35" s="43" t="str">
        <f>A35&amp;"-"&amp;IF(DAY(Variables!$A$2)&lt;10,0,"")&amp;DAY(Variables!$A$2)</f>
        <v>-26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5" s="30" t="e">
        <f>VLOOKUP(B35,'Train Runs'!$A$13:$A$99936,1,FALSE)</f>
        <v>#N/A</v>
      </c>
    </row>
    <row r="36" spans="1:10" x14ac:dyDescent="0.25">
      <c r="A36" s="185"/>
      <c r="B36" s="43" t="str">
        <f>A36&amp;"-"&amp;IF(DAY(Variables!$A$2)&lt;10,0,"")&amp;DAY(Variables!$A$2)</f>
        <v>-26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6" s="30" t="e">
        <f>VLOOKUP(B36,'Train Runs'!$A$13:$A$99936,1,FALSE)</f>
        <v>#N/A</v>
      </c>
    </row>
    <row r="37" spans="1:10" x14ac:dyDescent="0.25">
      <c r="A37" s="185"/>
      <c r="B37" s="43" t="str">
        <f>A37&amp;"-"&amp;IF(DAY(Variables!$A$2)&lt;10,0,"")&amp;DAY(Variables!$A$2)</f>
        <v>-26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7" s="30" t="e">
        <f>VLOOKUP(B37,'Train Runs'!$A$13:$A$99936,1,FALSE)</f>
        <v>#N/A</v>
      </c>
    </row>
    <row r="38" spans="1:10" x14ac:dyDescent="0.25">
      <c r="A38" s="185"/>
      <c r="B38" s="43" t="str">
        <f>A38&amp;"-"&amp;IF(DAY(Variables!$A$2)&lt;10,0,"")&amp;DAY(Variables!$A$2)</f>
        <v>-26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8" s="30" t="e">
        <f>VLOOKUP(B38,'Train Runs'!$A$13:$A$99936,1,FALSE)</f>
        <v>#N/A</v>
      </c>
    </row>
    <row r="39" spans="1:10" x14ac:dyDescent="0.25">
      <c r="A39" s="185"/>
      <c r="B39" s="43" t="str">
        <f>A39&amp;"-"&amp;IF(DAY(Variables!$A$2)&lt;10,0,"")&amp;DAY(Variables!$A$2)</f>
        <v>-26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9" s="30" t="e">
        <f>VLOOKUP(B39,'Train Runs'!$A$13:$A$99936,1,FALSE)</f>
        <v>#N/A</v>
      </c>
    </row>
    <row r="40" spans="1:10" x14ac:dyDescent="0.25">
      <c r="A40" s="185"/>
      <c r="B40" s="43" t="str">
        <f>A40&amp;"-"&amp;IF(DAY(Variables!$A$2)&lt;10,0,"")&amp;DAY(Variables!$A$2)</f>
        <v>-26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0" s="30" t="e">
        <f>VLOOKUP(B40,'Train Runs'!$A$13:$A$99936,1,FALSE)</f>
        <v>#N/A</v>
      </c>
    </row>
    <row r="41" spans="1:10" x14ac:dyDescent="0.25">
      <c r="A41" s="185"/>
      <c r="B41" s="43" t="str">
        <f>A41&amp;"-"&amp;IF(DAY(Variables!$A$2)&lt;10,0,"")&amp;DAY(Variables!$A$2)</f>
        <v>-26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1" s="30" t="e">
        <f>VLOOKUP(B41,'Train Runs'!$A$13:$A$99936,1,FALSE)</f>
        <v>#N/A</v>
      </c>
    </row>
    <row r="42" spans="1:10" x14ac:dyDescent="0.25">
      <c r="A42" s="185"/>
      <c r="B42" s="43" t="str">
        <f>A42&amp;"-"&amp;IF(DAY(Variables!$A$2)&lt;10,0,"")&amp;DAY(Variables!$A$2)</f>
        <v>-26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2" s="30" t="e">
        <f>VLOOKUP(B42,'Train Runs'!$A$13:$A$99936,1,FALSE)</f>
        <v>#N/A</v>
      </c>
    </row>
    <row r="43" spans="1:10" x14ac:dyDescent="0.25">
      <c r="A43" s="185"/>
      <c r="B43" s="43" t="str">
        <f>A43&amp;"-"&amp;IF(DAY(Variables!$A$2)&lt;10,0,"")&amp;DAY(Variables!$A$2)</f>
        <v>-26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3" s="30" t="e">
        <f>VLOOKUP(B43,'Train Runs'!$A$13:$A$99936,1,FALSE)</f>
        <v>#N/A</v>
      </c>
    </row>
    <row r="44" spans="1:10" x14ac:dyDescent="0.25">
      <c r="A44" s="185"/>
      <c r="B44" s="43" t="str">
        <f>A44&amp;"-"&amp;IF(DAY(Variables!$A$2)&lt;10,0,"")&amp;DAY(Variables!$A$2)</f>
        <v>-26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4" s="30" t="e">
        <f>VLOOKUP(B44,'Train Runs'!$A$13:$A$99936,1,FALSE)</f>
        <v>#N/A</v>
      </c>
    </row>
    <row r="45" spans="1:10" x14ac:dyDescent="0.25">
      <c r="A45" s="185"/>
      <c r="B45" s="43" t="str">
        <f>A45&amp;"-"&amp;IF(DAY(Variables!$A$2)&lt;10,0,"")&amp;DAY(Variables!$A$2)</f>
        <v>-26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5" s="30" t="e">
        <f>VLOOKUP(B45,'Train Runs'!$A$13:$A$99936,1,FALSE)</f>
        <v>#N/A</v>
      </c>
    </row>
    <row r="46" spans="1:10" x14ac:dyDescent="0.25">
      <c r="A46" s="185"/>
      <c r="B46" s="43" t="str">
        <f>A46&amp;"-"&amp;IF(DAY(Variables!$A$2)&lt;10,0,"")&amp;DAY(Variables!$A$2)</f>
        <v>-26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6" s="30" t="e">
        <f>VLOOKUP(B46,'Train Runs'!$A$13:$A$99936,1,FALSE)</f>
        <v>#N/A</v>
      </c>
    </row>
    <row r="47" spans="1:10" x14ac:dyDescent="0.25">
      <c r="A47" s="185"/>
      <c r="B47" s="43" t="str">
        <f>A47&amp;"-"&amp;IF(DAY(Variables!$A$2)&lt;10,0,"")&amp;DAY(Variables!$A$2)</f>
        <v>-26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7" s="30" t="e">
        <f>VLOOKUP(B47,'Train Runs'!$A$13:$A$99936,1,FALSE)</f>
        <v>#N/A</v>
      </c>
    </row>
    <row r="48" spans="1:10" x14ac:dyDescent="0.25">
      <c r="A48" s="185"/>
      <c r="B48" s="43" t="str">
        <f>A48&amp;"-"&amp;IF(DAY(Variables!$A$2)&lt;10,0,"")&amp;DAY(Variables!$A$2)</f>
        <v>-26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8" s="30" t="e">
        <f>VLOOKUP(B48,'Train Runs'!$A$13:$A$99936,1,FALSE)</f>
        <v>#N/A</v>
      </c>
    </row>
    <row r="49" spans="1:10" x14ac:dyDescent="0.25">
      <c r="A49" s="185"/>
      <c r="B49" s="43" t="str">
        <f>A49&amp;"-"&amp;IF(DAY(Variables!$A$2)&lt;10,0,"")&amp;DAY(Variables!$A$2)</f>
        <v>-26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9" s="30" t="e">
        <f>VLOOKUP(B49,'Train Runs'!$A$13:$A$99936,1,FALSE)</f>
        <v>#N/A</v>
      </c>
    </row>
    <row r="50" spans="1:10" x14ac:dyDescent="0.25">
      <c r="A50" s="185"/>
      <c r="B50" s="43" t="str">
        <f>A50&amp;"-"&amp;IF(DAY(Variables!$A$2)&lt;10,0,"")&amp;DAY(Variables!$A$2)</f>
        <v>-26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0" s="30" t="e">
        <f>VLOOKUP(B50,'Train Runs'!$A$13:$A$99936,1,FALSE)</f>
        <v>#N/A</v>
      </c>
    </row>
    <row r="51" spans="1:10" x14ac:dyDescent="0.25">
      <c r="A51" s="185"/>
      <c r="B51" s="43" t="str">
        <f>A51&amp;"-"&amp;IF(DAY(Variables!$A$2)&lt;10,0,"")&amp;DAY(Variables!$A$2)</f>
        <v>-26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1" s="30" t="e">
        <f>VLOOKUP(B51,'Train Runs'!$A$13:$A$99936,1,FALSE)</f>
        <v>#N/A</v>
      </c>
    </row>
    <row r="52" spans="1:10" x14ac:dyDescent="0.25">
      <c r="A52" s="185"/>
      <c r="B52" s="43" t="str">
        <f>A52&amp;"-"&amp;IF(DAY(Variables!$A$2)&lt;10,0,"")&amp;DAY(Variables!$A$2)</f>
        <v>-26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2" s="30" t="e">
        <f>VLOOKUP(B52,'Train Runs'!$A$13:$A$99936,1,FALSE)</f>
        <v>#N/A</v>
      </c>
    </row>
    <row r="53" spans="1:10" x14ac:dyDescent="0.25">
      <c r="A53" s="185"/>
      <c r="B53" s="43" t="str">
        <f>A53&amp;"-"&amp;IF(DAY(Variables!$A$2)&lt;10,0,"")&amp;DAY(Variables!$A$2)</f>
        <v>-26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3" s="30" t="e">
        <f>VLOOKUP(B53,'Train Runs'!$A$13:$A$99936,1,FALSE)</f>
        <v>#N/A</v>
      </c>
    </row>
    <row r="54" spans="1:10" x14ac:dyDescent="0.25">
      <c r="A54" s="185"/>
      <c r="B54" s="43" t="str">
        <f>A54&amp;"-"&amp;IF(DAY(Variables!$A$2)&lt;10,0,"")&amp;DAY(Variables!$A$2)</f>
        <v>-26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4" s="30" t="e">
        <f>VLOOKUP(B54,'Train Runs'!$A$13:$A$99936,1,FALSE)</f>
        <v>#N/A</v>
      </c>
    </row>
    <row r="55" spans="1:10" x14ac:dyDescent="0.25">
      <c r="A55" s="185"/>
      <c r="B55" s="43" t="str">
        <f>A55&amp;"-"&amp;IF(DAY(Variables!$A$2)&lt;10,0,"")&amp;DAY(Variables!$A$2)</f>
        <v>-26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5" s="30" t="e">
        <f>VLOOKUP(B55,'Train Runs'!$A$13:$A$99936,1,FALSE)</f>
        <v>#N/A</v>
      </c>
    </row>
    <row r="56" spans="1:10" x14ac:dyDescent="0.25">
      <c r="A56" s="185"/>
      <c r="B56" s="43" t="str">
        <f>A56&amp;"-"&amp;IF(DAY(Variables!$A$2)&lt;10,0,"")&amp;DAY(Variables!$A$2)</f>
        <v>-26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6" s="30" t="e">
        <f>VLOOKUP(B56,'Train Runs'!$A$13:$A$99936,1,FALSE)</f>
        <v>#N/A</v>
      </c>
    </row>
    <row r="57" spans="1:10" x14ac:dyDescent="0.25">
      <c r="A57" s="185"/>
      <c r="B57" s="43" t="str">
        <f>A57&amp;"-"&amp;IF(DAY(Variables!$A$2)&lt;10,0,"")&amp;DAY(Variables!$A$2)</f>
        <v>-26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7" s="30" t="e">
        <f>VLOOKUP(B57,'Train Runs'!$A$13:$A$99936,1,FALSE)</f>
        <v>#N/A</v>
      </c>
    </row>
    <row r="58" spans="1:10" x14ac:dyDescent="0.25">
      <c r="A58" s="185"/>
      <c r="B58" s="43" t="str">
        <f>A58&amp;"-"&amp;IF(DAY(Variables!$A$2)&lt;10,0,"")&amp;DAY(Variables!$A$2)</f>
        <v>-26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8" s="30" t="e">
        <f>VLOOKUP(B58,'Train Runs'!$A$13:$A$99936,1,FALSE)</f>
        <v>#N/A</v>
      </c>
    </row>
    <row r="59" spans="1:10" x14ac:dyDescent="0.25">
      <c r="A59" s="185"/>
      <c r="B59" s="43" t="str">
        <f>A59&amp;"-"&amp;IF(DAY(Variables!$A$2)&lt;10,0,"")&amp;DAY(Variables!$A$2)</f>
        <v>-26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9" s="30" t="e">
        <f>VLOOKUP(B59,'Train Runs'!$A$13:$A$99936,1,FALSE)</f>
        <v>#N/A</v>
      </c>
    </row>
    <row r="60" spans="1:10" x14ac:dyDescent="0.25">
      <c r="A60" s="185"/>
      <c r="B60" s="43" t="str">
        <f>A60&amp;"-"&amp;IF(DAY(Variables!$A$2)&lt;10,0,"")&amp;DAY(Variables!$A$2)</f>
        <v>-26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0" s="30" t="e">
        <f>VLOOKUP(B60,'Train Runs'!$A$13:$A$99936,1,FALSE)</f>
        <v>#N/A</v>
      </c>
    </row>
    <row r="61" spans="1:10" x14ac:dyDescent="0.25">
      <c r="A61" s="185"/>
      <c r="B61" s="43" t="str">
        <f>A61&amp;"-"&amp;IF(DAY(Variables!$A$2)&lt;10,0,"")&amp;DAY(Variables!$A$2)</f>
        <v>-26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1" s="30" t="e">
        <f>VLOOKUP(B61,'Train Runs'!$A$13:$A$99936,1,FALSE)</f>
        <v>#N/A</v>
      </c>
    </row>
    <row r="62" spans="1:10" x14ac:dyDescent="0.25">
      <c r="A62" s="185"/>
      <c r="B62" s="43" t="str">
        <f>A62&amp;"-"&amp;IF(DAY(Variables!$A$2)&lt;10,0,"")&amp;DAY(Variables!$A$2)</f>
        <v>-26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ref="I62:I93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2" s="30" t="e">
        <f>VLOOKUP(B62,'Train Runs'!$A$13:$A$99936,1,FALSE)</f>
        <v>#N/A</v>
      </c>
    </row>
    <row r="63" spans="1:10" x14ac:dyDescent="0.25">
      <c r="A63" s="185"/>
      <c r="B63" s="43" t="str">
        <f>A63&amp;"-"&amp;IF(DAY(Variables!$A$2)&lt;10,0,"")&amp;DAY(Variables!$A$2)</f>
        <v>-26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3" s="30" t="e">
        <f>VLOOKUP(B63,'Train Runs'!$A$13:$A$99936,1,FALSE)</f>
        <v>#N/A</v>
      </c>
    </row>
    <row r="64" spans="1:10" x14ac:dyDescent="0.25">
      <c r="A64" s="185"/>
      <c r="B64" s="43" t="str">
        <f>A64&amp;"-"&amp;IF(DAY(Variables!$A$2)&lt;10,0,"")&amp;DAY(Variables!$A$2)</f>
        <v>-26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4" s="30" t="e">
        <f>VLOOKUP(B64,'Train Runs'!$A$13:$A$99936,1,FALSE)</f>
        <v>#N/A</v>
      </c>
    </row>
    <row r="65" spans="1:10" x14ac:dyDescent="0.25">
      <c r="A65" s="185"/>
      <c r="B65" s="43" t="str">
        <f>A65&amp;"-"&amp;IF(DAY(Variables!$A$2)&lt;10,0,"")&amp;DAY(Variables!$A$2)</f>
        <v>-26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5" s="30" t="e">
        <f>VLOOKUP(B65,'Train Runs'!$A$13:$A$99936,1,FALSE)</f>
        <v>#N/A</v>
      </c>
    </row>
    <row r="66" spans="1:10" x14ac:dyDescent="0.25">
      <c r="A66" s="185"/>
      <c r="B66" s="43" t="str">
        <f>A66&amp;"-"&amp;IF(DAY(Variables!$A$2)&lt;10,0,"")&amp;DAY(Variables!$A$2)</f>
        <v>-26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6" s="30" t="e">
        <f>VLOOKUP(B66,'Train Runs'!$A$13:$A$99936,1,FALSE)</f>
        <v>#N/A</v>
      </c>
    </row>
    <row r="67" spans="1:10" x14ac:dyDescent="0.25">
      <c r="A67" s="185"/>
      <c r="B67" s="43" t="str">
        <f>A67&amp;"-"&amp;IF(DAY(Variables!$A$2)&lt;10,0,"")&amp;DAY(Variables!$A$2)</f>
        <v>-26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7" s="30" t="e">
        <f>VLOOKUP(B67,'Train Runs'!$A$13:$A$99936,1,FALSE)</f>
        <v>#N/A</v>
      </c>
    </row>
    <row r="68" spans="1:10" x14ac:dyDescent="0.25">
      <c r="A68" s="185"/>
      <c r="B68" s="43" t="str">
        <f>A68&amp;"-"&amp;IF(DAY(Variables!$A$2)&lt;10,0,"")&amp;DAY(Variables!$A$2)</f>
        <v>-26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8" s="30" t="e">
        <f>VLOOKUP(B68,'Train Runs'!$A$13:$A$99936,1,FALSE)</f>
        <v>#N/A</v>
      </c>
    </row>
    <row r="69" spans="1:10" x14ac:dyDescent="0.25">
      <c r="A69" s="185"/>
      <c r="B69" s="43" t="str">
        <f>A69&amp;"-"&amp;IF(DAY(Variables!$A$2)&lt;10,0,"")&amp;DAY(Variables!$A$2)</f>
        <v>-26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9" s="30" t="e">
        <f>VLOOKUP(B69,'Train Runs'!$A$13:$A$99936,1,FALSE)</f>
        <v>#N/A</v>
      </c>
    </row>
    <row r="70" spans="1:10" x14ac:dyDescent="0.25">
      <c r="A70" s="185"/>
      <c r="B70" s="43" t="str">
        <f>A70&amp;"-"&amp;IF(DAY(Variables!$A$2)&lt;10,0,"")&amp;DAY(Variables!$A$2)</f>
        <v>-26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0" s="30" t="e">
        <f>VLOOKUP(B70,'Train Runs'!$A$13:$A$99936,1,FALSE)</f>
        <v>#N/A</v>
      </c>
    </row>
    <row r="71" spans="1:10" x14ac:dyDescent="0.25">
      <c r="A71" s="185"/>
      <c r="B71" s="43" t="str">
        <f>A71&amp;"-"&amp;IF(DAY(Variables!$A$2)&lt;10,0,"")&amp;DAY(Variables!$A$2)</f>
        <v>-26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1" s="30" t="e">
        <f>VLOOKUP(B71,'Train Runs'!$A$13:$A$99936,1,FALSE)</f>
        <v>#N/A</v>
      </c>
    </row>
    <row r="72" spans="1:10" x14ac:dyDescent="0.25">
      <c r="A72" s="185"/>
      <c r="B72" s="43" t="str">
        <f>A72&amp;"-"&amp;IF(DAY(Variables!$A$2)&lt;10,0,"")&amp;DAY(Variables!$A$2)</f>
        <v>-26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2" s="30" t="e">
        <f>VLOOKUP(B72,'Train Runs'!$A$13:$A$99936,1,FALSE)</f>
        <v>#N/A</v>
      </c>
    </row>
    <row r="73" spans="1:10" x14ac:dyDescent="0.25">
      <c r="A73" s="185"/>
      <c r="B73" s="43" t="str">
        <f>A73&amp;"-"&amp;IF(DAY(Variables!$A$2)&lt;10,0,"")&amp;DAY(Variables!$A$2)</f>
        <v>-26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3" s="30" t="e">
        <f>VLOOKUP(B73,'Train Runs'!$A$13:$A$99936,1,FALSE)</f>
        <v>#N/A</v>
      </c>
    </row>
    <row r="74" spans="1:10" x14ac:dyDescent="0.25">
      <c r="A74" s="185"/>
      <c r="B74" s="43" t="str">
        <f>A74&amp;"-"&amp;IF(DAY(Variables!$A$2)&lt;10,0,"")&amp;DAY(Variables!$A$2)</f>
        <v>-26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4" s="30" t="e">
        <f>VLOOKUP(B74,'Train Runs'!$A$13:$A$99936,1,FALSE)</f>
        <v>#N/A</v>
      </c>
    </row>
    <row r="75" spans="1:10" x14ac:dyDescent="0.25">
      <c r="A75" s="185"/>
      <c r="B75" s="43" t="str">
        <f>A75&amp;"-"&amp;IF(DAY(Variables!$A$2)&lt;10,0,"")&amp;DAY(Variables!$A$2)</f>
        <v>-26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5" s="30" t="e">
        <f>VLOOKUP(B75,'Train Runs'!$A$13:$A$99936,1,FALSE)</f>
        <v>#N/A</v>
      </c>
    </row>
    <row r="76" spans="1:10" x14ac:dyDescent="0.25">
      <c r="A76" s="185"/>
      <c r="B76" s="43" t="str">
        <f>A76&amp;"-"&amp;IF(DAY(Variables!$A$2)&lt;10,0,"")&amp;DAY(Variables!$A$2)</f>
        <v>-26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6" s="30" t="e">
        <f>VLOOKUP(B76,'Train Runs'!$A$13:$A$99936,1,FALSE)</f>
        <v>#N/A</v>
      </c>
    </row>
    <row r="77" spans="1:10" x14ac:dyDescent="0.25">
      <c r="A77" s="185"/>
      <c r="B77" s="43" t="str">
        <f>A77&amp;"-"&amp;IF(DAY(Variables!$A$2)&lt;10,0,"")&amp;DAY(Variables!$A$2)</f>
        <v>-26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7" s="30" t="e">
        <f>VLOOKUP(B77,'Train Runs'!$A$13:$A$99936,1,FALSE)</f>
        <v>#N/A</v>
      </c>
    </row>
    <row r="78" spans="1:10" x14ac:dyDescent="0.25">
      <c r="A78" s="185"/>
      <c r="B78" s="43" t="str">
        <f>A78&amp;"-"&amp;IF(DAY(Variables!$A$2)&lt;10,0,"")&amp;DAY(Variables!$A$2)</f>
        <v>-26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8" s="30" t="e">
        <f>VLOOKUP(B78,'Train Runs'!$A$13:$A$99936,1,FALSE)</f>
        <v>#N/A</v>
      </c>
    </row>
    <row r="79" spans="1:10" x14ac:dyDescent="0.25">
      <c r="A79" s="185"/>
      <c r="B79" s="43" t="str">
        <f>A79&amp;"-"&amp;IF(DAY(Variables!$A$2)&lt;10,0,"")&amp;DAY(Variables!$A$2)</f>
        <v>-26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9" s="30" t="e">
        <f>VLOOKUP(B79,'Train Runs'!$A$13:$A$99936,1,FALSE)</f>
        <v>#N/A</v>
      </c>
    </row>
    <row r="80" spans="1:10" x14ac:dyDescent="0.25">
      <c r="A80" s="185"/>
      <c r="B80" s="43" t="str">
        <f>A80&amp;"-"&amp;IF(DAY(Variables!$A$2)&lt;10,0,"")&amp;DAY(Variables!$A$2)</f>
        <v>-26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0" s="30" t="e">
        <f>VLOOKUP(B80,'Train Runs'!$A$13:$A$99936,1,FALSE)</f>
        <v>#N/A</v>
      </c>
    </row>
    <row r="81" spans="1:10" x14ac:dyDescent="0.25">
      <c r="A81" s="185"/>
      <c r="B81" s="43" t="str">
        <f>A81&amp;"-"&amp;IF(DAY(Variables!$A$2)&lt;10,0,"")&amp;DAY(Variables!$A$2)</f>
        <v>-26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1" s="30" t="e">
        <f>VLOOKUP(B81,'Train Runs'!$A$13:$A$99936,1,FALSE)</f>
        <v>#N/A</v>
      </c>
    </row>
    <row r="82" spans="1:10" x14ac:dyDescent="0.25">
      <c r="A82" s="185"/>
      <c r="B82" s="43" t="str">
        <f>A82&amp;"-"&amp;IF(DAY(Variables!$A$2)&lt;10,0,"")&amp;DAY(Variables!$A$2)</f>
        <v>-26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2" s="30" t="e">
        <f>VLOOKUP(B82,'Train Runs'!$A$13:$A$99936,1,FALSE)</f>
        <v>#N/A</v>
      </c>
    </row>
    <row r="83" spans="1:10" x14ac:dyDescent="0.25">
      <c r="A83" s="185"/>
      <c r="B83" s="43" t="str">
        <f>A83&amp;"-"&amp;IF(DAY(Variables!$A$2)&lt;10,0,"")&amp;DAY(Variables!$A$2)</f>
        <v>-26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3" s="30" t="e">
        <f>VLOOKUP(B83,'Train Runs'!$A$13:$A$99936,1,FALSE)</f>
        <v>#N/A</v>
      </c>
    </row>
    <row r="84" spans="1:10" x14ac:dyDescent="0.25">
      <c r="A84" s="185"/>
      <c r="B84" s="43" t="str">
        <f>A84&amp;"-"&amp;IF(DAY(Variables!$A$2)&lt;10,0,"")&amp;DAY(Variables!$A$2)</f>
        <v>-26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4" s="30" t="e">
        <f>VLOOKUP(B84,'Train Runs'!$A$13:$A$99936,1,FALSE)</f>
        <v>#N/A</v>
      </c>
    </row>
    <row r="85" spans="1:10" x14ac:dyDescent="0.25">
      <c r="A85" s="185"/>
      <c r="B85" s="43" t="str">
        <f>A85&amp;"-"&amp;IF(DAY(Variables!$A$2)&lt;10,0,"")&amp;DAY(Variables!$A$2)</f>
        <v>-26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5" s="30" t="e">
        <f>VLOOKUP(B85,'Train Runs'!$A$13:$A$99936,1,FALSE)</f>
        <v>#N/A</v>
      </c>
    </row>
    <row r="86" spans="1:10" x14ac:dyDescent="0.25">
      <c r="A86" s="185"/>
      <c r="B86" s="43" t="str">
        <f>A86&amp;"-"&amp;IF(DAY(Variables!$A$2)&lt;10,0,"")&amp;DAY(Variables!$A$2)</f>
        <v>-26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6" s="30" t="e">
        <f>VLOOKUP(B86,'Train Runs'!$A$13:$A$99936,1,FALSE)</f>
        <v>#N/A</v>
      </c>
    </row>
    <row r="87" spans="1:10" x14ac:dyDescent="0.25">
      <c r="A87" s="185"/>
      <c r="B87" s="43" t="str">
        <f>A87&amp;"-"&amp;IF(DAY(Variables!$A$2)&lt;10,0,"")&amp;DAY(Variables!$A$2)</f>
        <v>-26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7" s="30" t="e">
        <f>VLOOKUP(B87,'Train Runs'!$A$13:$A$99936,1,FALSE)</f>
        <v>#N/A</v>
      </c>
    </row>
    <row r="88" spans="1:10" x14ac:dyDescent="0.25">
      <c r="A88" s="185"/>
      <c r="B88" s="43" t="str">
        <f>A88&amp;"-"&amp;IF(DAY(Variables!$A$2)&lt;10,0,"")&amp;DAY(Variables!$A$2)</f>
        <v>-26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8" s="30" t="e">
        <f>VLOOKUP(B88,'Train Runs'!$A$13:$A$99936,1,FALSE)</f>
        <v>#N/A</v>
      </c>
    </row>
    <row r="89" spans="1:10" x14ac:dyDescent="0.25">
      <c r="A89" s="185"/>
      <c r="B89" s="43" t="str">
        <f>A89&amp;"-"&amp;IF(DAY(Variables!$A$2)&lt;10,0,"")&amp;DAY(Variables!$A$2)</f>
        <v>-26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9" s="30" t="e">
        <f>VLOOKUP(B89,'Train Runs'!$A$13:$A$99936,1,FALSE)</f>
        <v>#N/A</v>
      </c>
    </row>
    <row r="90" spans="1:10" x14ac:dyDescent="0.25">
      <c r="A90" s="185"/>
      <c r="B90" s="43" t="str">
        <f>A90&amp;"-"&amp;IF(DAY(Variables!$A$2)&lt;10,0,"")&amp;DAY(Variables!$A$2)</f>
        <v>-26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0" s="30" t="e">
        <f>VLOOKUP(B90,'Train Runs'!$A$13:$A$99936,1,FALSE)</f>
        <v>#N/A</v>
      </c>
    </row>
    <row r="91" spans="1:10" x14ac:dyDescent="0.25">
      <c r="A91" s="185"/>
      <c r="B91" s="43" t="str">
        <f>A91&amp;"-"&amp;IF(DAY(Variables!$A$2)&lt;10,0,"")&amp;DAY(Variables!$A$2)</f>
        <v>-26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1" s="30" t="e">
        <f>VLOOKUP(B91,'Train Runs'!$A$13:$A$99936,1,FALSE)</f>
        <v>#N/A</v>
      </c>
    </row>
    <row r="92" spans="1:10" x14ac:dyDescent="0.25">
      <c r="A92" s="185"/>
      <c r="B92" s="43" t="str">
        <f>A92&amp;"-"&amp;IF(DAY(Variables!$A$2)&lt;10,0,"")&amp;DAY(Variables!$A$2)</f>
        <v>-26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2" s="30" t="e">
        <f>VLOOKUP(B92,'Train Runs'!$A$13:$A$99936,1,FALSE)</f>
        <v>#N/A</v>
      </c>
    </row>
    <row r="93" spans="1:10" x14ac:dyDescent="0.25">
      <c r="A93" s="185"/>
      <c r="B93" s="43" t="str">
        <f>A93&amp;"-"&amp;IF(DAY(Variables!$A$2)&lt;10,0,"")&amp;DAY(Variables!$A$2)</f>
        <v>-26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3" s="30" t="e">
        <f>VLOOKUP(B93,'Train Runs'!$A$13:$A$99936,1,FALSE)</f>
        <v>#N/A</v>
      </c>
    </row>
    <row r="94" spans="1:10" x14ac:dyDescent="0.25">
      <c r="A94" s="185"/>
      <c r="B94" s="43" t="str">
        <f>A94&amp;"-"&amp;IF(DAY(Variables!$A$2)&lt;10,0,"")&amp;DAY(Variables!$A$2)</f>
        <v>-26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ref="I94:I115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94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4" s="30" t="e">
        <f>VLOOKUP(B94,'Train Runs'!$A$13:$A$99936,1,FALSE)</f>
        <v>#N/A</v>
      </c>
    </row>
    <row r="95" spans="1:10" x14ac:dyDescent="0.25">
      <c r="A95" s="185"/>
      <c r="B95" s="43" t="str">
        <f>A95&amp;"-"&amp;IF(DAY(Variables!$A$2)&lt;10,0,"")&amp;DAY(Variables!$A$2)</f>
        <v>-26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5" s="30" t="e">
        <f>VLOOKUP(B95,'Train Runs'!$A$13:$A$99936,1,FALSE)</f>
        <v>#N/A</v>
      </c>
    </row>
    <row r="96" spans="1:10" x14ac:dyDescent="0.25">
      <c r="A96" s="185"/>
      <c r="B96" s="43" t="str">
        <f>A96&amp;"-"&amp;IF(DAY(Variables!$A$2)&lt;10,0,"")&amp;DAY(Variables!$A$2)</f>
        <v>-26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6" s="30" t="e">
        <f>VLOOKUP(B96,'Train Runs'!$A$13:$A$99936,1,FALSE)</f>
        <v>#N/A</v>
      </c>
    </row>
    <row r="97" spans="1:10" x14ac:dyDescent="0.25">
      <c r="A97" s="185"/>
      <c r="B97" s="43" t="str">
        <f>A97&amp;"-"&amp;IF(DAY(Variables!$A$2)&lt;10,0,"")&amp;DAY(Variables!$A$2)</f>
        <v>-26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7" s="30" t="e">
        <f>VLOOKUP(B97,'Train Runs'!$A$13:$A$99936,1,FALSE)</f>
        <v>#N/A</v>
      </c>
    </row>
    <row r="98" spans="1:10" x14ac:dyDescent="0.25">
      <c r="A98" s="185"/>
      <c r="B98" s="43" t="str">
        <f>A98&amp;"-"&amp;IF(DAY(Variables!$A$2)&lt;10,0,"")&amp;DAY(Variables!$A$2)</f>
        <v>-26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8" s="30" t="e">
        <f>VLOOKUP(B98,'Train Runs'!$A$13:$A$99936,1,FALSE)</f>
        <v>#N/A</v>
      </c>
    </row>
    <row r="99" spans="1:10" x14ac:dyDescent="0.25">
      <c r="A99" s="185"/>
      <c r="B99" s="43" t="str">
        <f>A99&amp;"-"&amp;IF(DAY(Variables!$A$2)&lt;10,0,"")&amp;DAY(Variables!$A$2)</f>
        <v>-26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9" s="30" t="e">
        <f>VLOOKUP(B99,'Train Runs'!$A$13:$A$99936,1,FALSE)</f>
        <v>#N/A</v>
      </c>
    </row>
    <row r="100" spans="1:10" x14ac:dyDescent="0.25">
      <c r="A100" s="185"/>
      <c r="B100" s="43" t="str">
        <f>A100&amp;"-"&amp;IF(DAY(Variables!$A$2)&lt;10,0,"")&amp;DAY(Variables!$A$2)</f>
        <v>-26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0" s="30" t="e">
        <f>VLOOKUP(B100,'Train Runs'!$A$13:$A$99936,1,FALSE)</f>
        <v>#N/A</v>
      </c>
    </row>
    <row r="101" spans="1:10" x14ac:dyDescent="0.25">
      <c r="A101" s="185"/>
      <c r="B101" s="43" t="str">
        <f>A101&amp;"-"&amp;IF(DAY(Variables!$A$2)&lt;10,0,"")&amp;DAY(Variables!$A$2)</f>
        <v>-26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1" s="30" t="e">
        <f>VLOOKUP(B101,'Train Runs'!$A$13:$A$99936,1,FALSE)</f>
        <v>#N/A</v>
      </c>
    </row>
    <row r="102" spans="1:10" x14ac:dyDescent="0.25">
      <c r="A102" s="185"/>
      <c r="B102" s="43" t="str">
        <f>A102&amp;"-"&amp;IF(DAY(Variables!$A$2)&lt;10,0,"")&amp;DAY(Variables!$A$2)</f>
        <v>-26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2" s="30" t="e">
        <f>VLOOKUP(B102,'Train Runs'!$A$13:$A$99936,1,FALSE)</f>
        <v>#N/A</v>
      </c>
    </row>
    <row r="103" spans="1:10" x14ac:dyDescent="0.25">
      <c r="A103" s="185"/>
      <c r="B103" s="43" t="str">
        <f>A103&amp;"-"&amp;IF(DAY(Variables!$A$2)&lt;10,0,"")&amp;DAY(Variables!$A$2)</f>
        <v>-26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3" s="30" t="e">
        <f>VLOOKUP(B103,'Train Runs'!$A$13:$A$99936,1,FALSE)</f>
        <v>#N/A</v>
      </c>
    </row>
    <row r="104" spans="1:10" x14ac:dyDescent="0.25">
      <c r="A104" s="185"/>
      <c r="B104" s="43" t="str">
        <f>A104&amp;"-"&amp;IF(DAY(Variables!$A$2)&lt;10,0,"")&amp;DAY(Variables!$A$2)</f>
        <v>-26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4" s="30" t="e">
        <f>VLOOKUP(B104,'Train Runs'!$A$13:$A$99936,1,FALSE)</f>
        <v>#N/A</v>
      </c>
    </row>
    <row r="105" spans="1:10" x14ac:dyDescent="0.25">
      <c r="A105" s="185"/>
      <c r="B105" s="43" t="str">
        <f>A105&amp;"-"&amp;IF(DAY(Variables!$A$2)&lt;10,0,"")&amp;DAY(Variables!$A$2)</f>
        <v>-26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5" s="30" t="e">
        <f>VLOOKUP(B105,'Train Runs'!$A$13:$A$99936,1,FALSE)</f>
        <v>#N/A</v>
      </c>
    </row>
    <row r="106" spans="1:10" x14ac:dyDescent="0.25">
      <c r="A106" s="185"/>
      <c r="B106" s="43" t="str">
        <f>A106&amp;"-"&amp;IF(DAY(Variables!$A$2)&lt;10,0,"")&amp;DAY(Variables!$A$2)</f>
        <v>-26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6" s="30" t="e">
        <f>VLOOKUP(B106,'Train Runs'!$A$13:$A$99936,1,FALSE)</f>
        <v>#N/A</v>
      </c>
    </row>
    <row r="107" spans="1:10" x14ac:dyDescent="0.25">
      <c r="A107" s="185"/>
      <c r="B107" s="43" t="str">
        <f>A107&amp;"-"&amp;IF(DAY(Variables!$A$2)&lt;10,0,"")&amp;DAY(Variables!$A$2)</f>
        <v>-26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7" s="30" t="e">
        <f>VLOOKUP(B107,'Train Runs'!$A$13:$A$99936,1,FALSE)</f>
        <v>#N/A</v>
      </c>
    </row>
    <row r="108" spans="1:10" x14ac:dyDescent="0.25">
      <c r="A108" s="185"/>
      <c r="B108" s="43" t="str">
        <f>A108&amp;"-"&amp;IF(DAY(Variables!$A$2)&lt;10,0,"")&amp;DAY(Variables!$A$2)</f>
        <v>-26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8" s="30" t="e">
        <f>VLOOKUP(B108,'Train Runs'!$A$13:$A$99936,1,FALSE)</f>
        <v>#N/A</v>
      </c>
    </row>
    <row r="109" spans="1:10" x14ac:dyDescent="0.25">
      <c r="A109" s="185"/>
      <c r="B109" s="43" t="str">
        <f>A109&amp;"-"&amp;IF(DAY(Variables!$A$2)&lt;10,0,"")&amp;DAY(Variables!$A$2)</f>
        <v>-26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9" s="30" t="e">
        <f>VLOOKUP(B109,'Train Runs'!$A$13:$A$99936,1,FALSE)</f>
        <v>#N/A</v>
      </c>
    </row>
    <row r="110" spans="1:10" x14ac:dyDescent="0.25">
      <c r="A110" s="185"/>
      <c r="B110" s="43" t="str">
        <f>A110&amp;"-"&amp;IF(DAY(Variables!$A$2)&lt;10,0,"")&amp;DAY(Variables!$A$2)</f>
        <v>-26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0" s="30" t="e">
        <f>VLOOKUP(B110,'Train Runs'!$A$13:$A$99936,1,FALSE)</f>
        <v>#N/A</v>
      </c>
    </row>
    <row r="111" spans="1:10" x14ac:dyDescent="0.25">
      <c r="A111" s="185"/>
      <c r="B111" s="43" t="str">
        <f>A111&amp;"-"&amp;IF(DAY(Variables!$A$2)&lt;10,0,"")&amp;DAY(Variables!$A$2)</f>
        <v>-26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1" s="30" t="e">
        <f>VLOOKUP(B111,'Train Runs'!$A$13:$A$99936,1,FALSE)</f>
        <v>#N/A</v>
      </c>
    </row>
    <row r="112" spans="1:10" x14ac:dyDescent="0.25">
      <c r="A112" s="185"/>
      <c r="B112" s="43" t="str">
        <f>A112&amp;"-"&amp;IF(DAY(Variables!$A$2)&lt;10,0,"")&amp;DAY(Variables!$A$2)</f>
        <v>-26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2" s="30" t="e">
        <f>VLOOKUP(B112,'Train Runs'!$A$13:$A$99936,1,FALSE)</f>
        <v>#N/A</v>
      </c>
    </row>
    <row r="113" spans="1:10" x14ac:dyDescent="0.25">
      <c r="A113" s="185"/>
      <c r="B113" s="43" t="str">
        <f>A113&amp;"-"&amp;IF(DAY(Variables!$A$2)&lt;10,0,"")&amp;DAY(Variables!$A$2)</f>
        <v>-26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3" s="30" t="e">
        <f>VLOOKUP(B113,'Train Runs'!$A$13:$A$99936,1,FALSE)</f>
        <v>#N/A</v>
      </c>
    </row>
    <row r="114" spans="1:10" x14ac:dyDescent="0.25">
      <c r="A114" s="185"/>
      <c r="B114" s="43" t="str">
        <f>A114&amp;"-"&amp;IF(DAY(Variables!$A$2)&lt;10,0,"")&amp;DAY(Variables!$A$2)</f>
        <v>-26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4" s="30" t="e">
        <f>VLOOKUP(B114,'Train Runs'!$A$13:$A$99936,1,FALSE)</f>
        <v>#N/A</v>
      </c>
    </row>
    <row r="115" spans="1:10" x14ac:dyDescent="0.25">
      <c r="A115" s="185"/>
      <c r="B115" s="43" t="str">
        <f>A115&amp;"-"&amp;IF(DAY(Variables!$A$2)&lt;10,0,"")&amp;DAY(Variables!$A$2)</f>
        <v>-26</v>
      </c>
      <c r="C115" s="147"/>
      <c r="D115" s="165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5" s="30" t="e">
        <f>VLOOKUP(B115,'Train Runs'!$A$13:$A$99936,1,FALSE)</f>
        <v>#N/A</v>
      </c>
    </row>
  </sheetData>
  <autoFilter ref="A2:J11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201</v>
      </c>
      <c r="G1" s="8" t="s">
        <v>200</v>
      </c>
    </row>
    <row r="2" spans="1:7" x14ac:dyDescent="0.25">
      <c r="A2" s="8">
        <v>42792.039247685185</v>
      </c>
      <c r="B2" s="20" t="s">
        <v>216</v>
      </c>
      <c r="C2" s="20" t="s">
        <v>575</v>
      </c>
      <c r="D2" s="150">
        <v>2270000</v>
      </c>
      <c r="E2" s="20" t="s">
        <v>230</v>
      </c>
      <c r="F2" s="20" t="s">
        <v>231</v>
      </c>
      <c r="G2" s="8" t="str">
        <f>E2&amp;" "&amp;F2</f>
        <v>BROWN JACOB</v>
      </c>
    </row>
    <row r="3" spans="1:7" x14ac:dyDescent="0.25">
      <c r="A3" s="8">
        <v>42792.047881944447</v>
      </c>
      <c r="B3" s="20" t="s">
        <v>576</v>
      </c>
      <c r="C3" s="20" t="s">
        <v>577</v>
      </c>
      <c r="D3" s="150">
        <v>2230000</v>
      </c>
      <c r="E3" s="20" t="s">
        <v>344</v>
      </c>
      <c r="F3" s="20" t="s">
        <v>202</v>
      </c>
      <c r="G3" s="8" t="str">
        <f t="shared" ref="G3:G66" si="0">E3&amp;" "&amp;F3</f>
        <v>SMITH MICHAEL</v>
      </c>
    </row>
    <row r="4" spans="1:7" x14ac:dyDescent="0.25">
      <c r="A4" s="8">
        <v>42792.05568287037</v>
      </c>
      <c r="B4" s="20" t="s">
        <v>237</v>
      </c>
      <c r="C4" s="20" t="s">
        <v>578</v>
      </c>
      <c r="D4" s="150">
        <v>2630000</v>
      </c>
      <c r="E4" s="20" t="s">
        <v>579</v>
      </c>
      <c r="F4" s="20" t="s">
        <v>580</v>
      </c>
      <c r="G4" s="8" t="str">
        <f t="shared" si="0"/>
        <v>SAFIEF AEIMEN</v>
      </c>
    </row>
    <row r="5" spans="1:7" x14ac:dyDescent="0.25">
      <c r="A5" s="8">
        <v>42792.056817129633</v>
      </c>
      <c r="B5" s="20" t="s">
        <v>292</v>
      </c>
      <c r="C5" s="20" t="s">
        <v>581</v>
      </c>
      <c r="D5" s="150">
        <v>2670000</v>
      </c>
      <c r="E5" s="20" t="s">
        <v>234</v>
      </c>
      <c r="F5" s="20" t="s">
        <v>235</v>
      </c>
      <c r="G5" s="8" t="str">
        <f t="shared" si="0"/>
        <v>COMELLA JUSTIN</v>
      </c>
    </row>
    <row r="6" spans="1:7" x14ac:dyDescent="0.25">
      <c r="A6" s="8">
        <v>42792.067569444444</v>
      </c>
      <c r="B6" s="20" t="s">
        <v>251</v>
      </c>
      <c r="C6" s="20" t="s">
        <v>582</v>
      </c>
      <c r="D6" s="150">
        <v>2000000</v>
      </c>
      <c r="E6" s="20" t="s">
        <v>583</v>
      </c>
      <c r="F6" s="20" t="s">
        <v>199</v>
      </c>
      <c r="G6" s="8" t="str">
        <f t="shared" si="0"/>
        <v>STAMBAUGH JAMES</v>
      </c>
    </row>
    <row r="7" spans="1:7" x14ac:dyDescent="0.25">
      <c r="A7" s="8">
        <v>42792.078634259262</v>
      </c>
      <c r="B7" s="20" t="s">
        <v>217</v>
      </c>
      <c r="C7" s="20" t="s">
        <v>584</v>
      </c>
      <c r="D7" s="150">
        <v>2270000</v>
      </c>
      <c r="E7" s="20" t="s">
        <v>230</v>
      </c>
      <c r="F7" s="20" t="s">
        <v>231</v>
      </c>
      <c r="G7" s="8" t="str">
        <f t="shared" si="0"/>
        <v>BROWN JACOB</v>
      </c>
    </row>
    <row r="8" spans="1:7" x14ac:dyDescent="0.25">
      <c r="A8" s="8">
        <v>42792.0862037037</v>
      </c>
      <c r="B8" s="20" t="s">
        <v>291</v>
      </c>
      <c r="C8" s="20" t="s">
        <v>585</v>
      </c>
      <c r="D8" s="150">
        <v>2670000</v>
      </c>
      <c r="E8" s="20" t="s">
        <v>234</v>
      </c>
      <c r="F8" s="20" t="s">
        <v>235</v>
      </c>
      <c r="G8" s="8" t="str">
        <f t="shared" si="0"/>
        <v>COMELLA JUSTIN</v>
      </c>
    </row>
    <row r="9" spans="1:7" ht="15.75" thickBot="1" x14ac:dyDescent="0.3">
      <c r="A9" s="24">
        <v>42792.090740740743</v>
      </c>
      <c r="B9" s="20" t="s">
        <v>252</v>
      </c>
      <c r="C9" s="20" t="s">
        <v>586</v>
      </c>
      <c r="D9" s="150">
        <v>2630000</v>
      </c>
      <c r="E9" s="20" t="s">
        <v>579</v>
      </c>
      <c r="F9" s="20" t="s">
        <v>580</v>
      </c>
      <c r="G9" s="8" t="str">
        <f t="shared" si="0"/>
        <v>SAFIEF AEIMEN</v>
      </c>
    </row>
    <row r="10" spans="1:7" x14ac:dyDescent="0.25">
      <c r="A10" s="8">
        <v>42792.091134259259</v>
      </c>
      <c r="B10" s="20" t="s">
        <v>217</v>
      </c>
      <c r="C10" s="20" t="s">
        <v>584</v>
      </c>
      <c r="D10" s="150">
        <v>2270000</v>
      </c>
      <c r="E10" s="20" t="s">
        <v>230</v>
      </c>
      <c r="F10" s="20" t="s">
        <v>231</v>
      </c>
      <c r="G10" s="8" t="str">
        <f t="shared" si="0"/>
        <v>BROWN JACOB</v>
      </c>
    </row>
    <row r="11" spans="1:7" x14ac:dyDescent="0.25">
      <c r="A11" s="8">
        <v>42792.116064814814</v>
      </c>
      <c r="B11" s="20" t="s">
        <v>216</v>
      </c>
      <c r="C11" s="20" t="s">
        <v>546</v>
      </c>
      <c r="D11" s="150">
        <v>2270000</v>
      </c>
      <c r="E11" s="20" t="s">
        <v>230</v>
      </c>
      <c r="F11" s="20" t="s">
        <v>231</v>
      </c>
      <c r="G11" s="8" t="str">
        <f t="shared" si="0"/>
        <v>BROWN JACOB</v>
      </c>
    </row>
    <row r="12" spans="1:7" x14ac:dyDescent="0.25">
      <c r="A12" s="8">
        <v>42792.117164351854</v>
      </c>
      <c r="B12" s="20" t="s">
        <v>259</v>
      </c>
      <c r="C12" s="20" t="s">
        <v>587</v>
      </c>
      <c r="D12" s="150">
        <v>1360000</v>
      </c>
      <c r="E12" s="20" t="s">
        <v>588</v>
      </c>
      <c r="F12" s="20" t="s">
        <v>589</v>
      </c>
      <c r="G12" s="8" t="str">
        <f t="shared" si="0"/>
        <v>SANTIZO D. EDY</v>
      </c>
    </row>
    <row r="13" spans="1:7" x14ac:dyDescent="0.25">
      <c r="A13" s="8">
        <v>42792.117615740739</v>
      </c>
      <c r="B13" s="20" t="s">
        <v>292</v>
      </c>
      <c r="C13" s="20" t="s">
        <v>581</v>
      </c>
      <c r="D13" s="150">
        <v>2670000</v>
      </c>
      <c r="E13" s="20" t="s">
        <v>234</v>
      </c>
      <c r="F13" s="20" t="s">
        <v>235</v>
      </c>
      <c r="G13" s="8" t="str">
        <f t="shared" si="0"/>
        <v>COMELLA JUSTIN</v>
      </c>
    </row>
    <row r="14" spans="1:7" x14ac:dyDescent="0.25">
      <c r="A14" s="8">
        <v>42792.133240740739</v>
      </c>
      <c r="B14" s="20" t="s">
        <v>333</v>
      </c>
      <c r="C14" s="20" t="s">
        <v>548</v>
      </c>
      <c r="D14" s="150">
        <v>1360000</v>
      </c>
      <c r="E14" s="20" t="s">
        <v>588</v>
      </c>
      <c r="F14" s="20" t="s">
        <v>589</v>
      </c>
      <c r="G14" s="8" t="str">
        <f t="shared" si="0"/>
        <v>SANTIZO D. EDY</v>
      </c>
    </row>
    <row r="15" spans="1:7" x14ac:dyDescent="0.25">
      <c r="A15" s="8">
        <v>42792.139687499999</v>
      </c>
      <c r="B15" s="20" t="s">
        <v>258</v>
      </c>
      <c r="C15" s="20" t="s">
        <v>547</v>
      </c>
      <c r="D15" s="150">
        <v>2010000</v>
      </c>
      <c r="E15" s="20" t="s">
        <v>590</v>
      </c>
      <c r="F15" s="20" t="s">
        <v>591</v>
      </c>
      <c r="G15" s="8" t="str">
        <f t="shared" si="0"/>
        <v>MAELZER KURT</v>
      </c>
    </row>
    <row r="16" spans="1:7" x14ac:dyDescent="0.25">
      <c r="A16" s="8">
        <v>42792.153043981481</v>
      </c>
      <c r="B16" s="20" t="s">
        <v>220</v>
      </c>
      <c r="C16" s="20" t="s">
        <v>592</v>
      </c>
      <c r="D16" s="150">
        <v>2010000</v>
      </c>
      <c r="E16" s="20" t="s">
        <v>590</v>
      </c>
      <c r="F16" s="20" t="s">
        <v>591</v>
      </c>
      <c r="G16" s="8" t="str">
        <f t="shared" si="0"/>
        <v>MAELZER KURT</v>
      </c>
    </row>
    <row r="17" spans="1:7" x14ac:dyDescent="0.25">
      <c r="A17" s="8">
        <v>42792.165405092594</v>
      </c>
      <c r="B17" s="20" t="s">
        <v>208</v>
      </c>
      <c r="C17" s="20" t="s">
        <v>593</v>
      </c>
      <c r="D17" s="150">
        <v>2360000</v>
      </c>
      <c r="E17" s="20" t="s">
        <v>594</v>
      </c>
      <c r="F17" s="20" t="s">
        <v>595</v>
      </c>
      <c r="G17" s="8" t="str">
        <f t="shared" si="0"/>
        <v>BRANDNER MELINDA</v>
      </c>
    </row>
    <row r="18" spans="1:7" x14ac:dyDescent="0.25">
      <c r="A18" s="8">
        <v>42792.166666666664</v>
      </c>
      <c r="B18" s="20" t="s">
        <v>259</v>
      </c>
      <c r="C18" s="20" t="s">
        <v>596</v>
      </c>
      <c r="D18" s="150">
        <v>1360000</v>
      </c>
      <c r="E18" s="20" t="s">
        <v>588</v>
      </c>
      <c r="F18" s="20" t="s">
        <v>589</v>
      </c>
      <c r="G18" s="8" t="str">
        <f t="shared" si="0"/>
        <v>SANTIZO D. EDY</v>
      </c>
    </row>
    <row r="19" spans="1:7" x14ac:dyDescent="0.25">
      <c r="A19" s="8">
        <v>42792.171574074076</v>
      </c>
      <c r="B19" s="20" t="s">
        <v>208</v>
      </c>
      <c r="C19" s="20" t="s">
        <v>593</v>
      </c>
      <c r="D19" s="150">
        <v>2360000</v>
      </c>
      <c r="E19" s="20" t="s">
        <v>594</v>
      </c>
      <c r="F19" s="20" t="s">
        <v>595</v>
      </c>
      <c r="G19" s="8" t="str">
        <f t="shared" si="0"/>
        <v>BRANDNER MELINDA</v>
      </c>
    </row>
    <row r="20" spans="1:7" x14ac:dyDescent="0.25">
      <c r="A20" s="8">
        <v>42792.17291666667</v>
      </c>
      <c r="B20" s="20" t="s">
        <v>208</v>
      </c>
      <c r="C20" s="20" t="s">
        <v>593</v>
      </c>
      <c r="D20" s="150">
        <v>2360000</v>
      </c>
      <c r="E20" s="20" t="s">
        <v>594</v>
      </c>
      <c r="F20" s="20" t="s">
        <v>595</v>
      </c>
      <c r="G20" s="8" t="str">
        <f t="shared" si="0"/>
        <v>BRANDNER MELINDA</v>
      </c>
    </row>
    <row r="21" spans="1:7" x14ac:dyDescent="0.25">
      <c r="A21" s="8">
        <v>42792.174259259256</v>
      </c>
      <c r="B21" s="20" t="s">
        <v>208</v>
      </c>
      <c r="C21" s="20" t="s">
        <v>593</v>
      </c>
      <c r="D21" s="150">
        <v>2360000</v>
      </c>
      <c r="E21" s="20" t="s">
        <v>594</v>
      </c>
      <c r="F21" s="20" t="s">
        <v>595</v>
      </c>
      <c r="G21" s="8" t="str">
        <f t="shared" si="0"/>
        <v>BRANDNER MELINDA</v>
      </c>
    </row>
    <row r="22" spans="1:7" x14ac:dyDescent="0.25">
      <c r="A22" s="26">
        <v>42792.176655092589</v>
      </c>
      <c r="B22" s="20" t="s">
        <v>232</v>
      </c>
      <c r="C22" s="20" t="s">
        <v>597</v>
      </c>
      <c r="D22" s="150">
        <v>2260000</v>
      </c>
      <c r="E22" s="20" t="s">
        <v>598</v>
      </c>
      <c r="F22" s="20" t="s">
        <v>599</v>
      </c>
      <c r="G22" s="8" t="str">
        <f t="shared" si="0"/>
        <v>ARVIDSON DANIEL</v>
      </c>
    </row>
    <row r="23" spans="1:7" x14ac:dyDescent="0.25">
      <c r="A23" s="8">
        <v>42792.178564814814</v>
      </c>
      <c r="B23" s="20" t="s">
        <v>240</v>
      </c>
      <c r="C23" s="20" t="s">
        <v>600</v>
      </c>
      <c r="D23" s="150">
        <v>2140000</v>
      </c>
      <c r="E23" s="20" t="s">
        <v>338</v>
      </c>
      <c r="F23" s="20" t="s">
        <v>339</v>
      </c>
      <c r="G23" s="8" t="str">
        <f t="shared" si="0"/>
        <v>ROBINSON KADDIBA</v>
      </c>
    </row>
    <row r="24" spans="1:7" x14ac:dyDescent="0.25">
      <c r="A24" s="8">
        <v>42792.183298611111</v>
      </c>
      <c r="B24" s="20" t="s">
        <v>224</v>
      </c>
      <c r="C24" s="20" t="s">
        <v>601</v>
      </c>
      <c r="D24" s="150">
        <v>2360000</v>
      </c>
      <c r="E24" s="20" t="s">
        <v>594</v>
      </c>
      <c r="F24" s="20" t="s">
        <v>595</v>
      </c>
      <c r="G24" s="8" t="str">
        <f t="shared" si="0"/>
        <v>BRANDNER MELINDA</v>
      </c>
    </row>
    <row r="25" spans="1:7" x14ac:dyDescent="0.25">
      <c r="A25" s="8">
        <v>42792.184884259259</v>
      </c>
      <c r="B25" s="20" t="s">
        <v>224</v>
      </c>
      <c r="C25" s="20" t="s">
        <v>601</v>
      </c>
      <c r="D25" s="150">
        <v>2360000</v>
      </c>
      <c r="E25" s="20" t="s">
        <v>594</v>
      </c>
      <c r="F25" s="20" t="s">
        <v>595</v>
      </c>
      <c r="G25" s="8" t="str">
        <f t="shared" si="0"/>
        <v>BRANDNER MELINDA</v>
      </c>
    </row>
    <row r="26" spans="1:7" x14ac:dyDescent="0.25">
      <c r="A26" s="8">
        <v>42792.187268518515</v>
      </c>
      <c r="B26" s="20" t="s">
        <v>224</v>
      </c>
      <c r="C26" s="20" t="s">
        <v>601</v>
      </c>
      <c r="D26" s="150">
        <v>2360000</v>
      </c>
      <c r="E26" s="20" t="s">
        <v>594</v>
      </c>
      <c r="F26" s="20" t="s">
        <v>595</v>
      </c>
      <c r="G26" s="8" t="str">
        <f t="shared" si="0"/>
        <v>BRANDNER MELINDA</v>
      </c>
    </row>
    <row r="27" spans="1:7" x14ac:dyDescent="0.25">
      <c r="A27" s="8">
        <v>42792.189062500001</v>
      </c>
      <c r="B27" s="20" t="s">
        <v>239</v>
      </c>
      <c r="C27" s="20" t="s">
        <v>602</v>
      </c>
      <c r="D27" s="150">
        <v>2140000</v>
      </c>
      <c r="E27" s="20" t="s">
        <v>338</v>
      </c>
      <c r="F27" s="20" t="s">
        <v>339</v>
      </c>
      <c r="G27" s="8" t="str">
        <f t="shared" si="0"/>
        <v>ROBINSON KADDIBA</v>
      </c>
    </row>
    <row r="28" spans="1:7" x14ac:dyDescent="0.25">
      <c r="A28" s="8">
        <v>42792.191250000003</v>
      </c>
      <c r="B28" s="20" t="s">
        <v>258</v>
      </c>
      <c r="C28" s="20" t="s">
        <v>603</v>
      </c>
      <c r="D28" s="150">
        <v>2010000</v>
      </c>
      <c r="E28" s="20" t="s">
        <v>590</v>
      </c>
      <c r="F28" s="20" t="s">
        <v>591</v>
      </c>
      <c r="G28" s="8" t="str">
        <f t="shared" si="0"/>
        <v>MAELZER KURT</v>
      </c>
    </row>
    <row r="29" spans="1:7" x14ac:dyDescent="0.25">
      <c r="A29" s="8">
        <v>42792.205069444448</v>
      </c>
      <c r="B29" s="20" t="s">
        <v>333</v>
      </c>
      <c r="C29" s="20" t="s">
        <v>604</v>
      </c>
      <c r="D29" s="150">
        <v>1100000</v>
      </c>
      <c r="E29" s="20" t="s">
        <v>314</v>
      </c>
      <c r="F29" s="20" t="s">
        <v>315</v>
      </c>
      <c r="G29" s="8" t="str">
        <f t="shared" si="0"/>
        <v>GEBRETEKLE DAGNEW</v>
      </c>
    </row>
    <row r="30" spans="1:7" x14ac:dyDescent="0.25">
      <c r="A30" s="8">
        <v>42792.205763888887</v>
      </c>
      <c r="B30" s="20" t="s">
        <v>192</v>
      </c>
      <c r="C30" s="20" t="s">
        <v>605</v>
      </c>
      <c r="D30" s="150">
        <v>1360000</v>
      </c>
      <c r="E30" s="20" t="s">
        <v>588</v>
      </c>
      <c r="F30" s="20" t="s">
        <v>589</v>
      </c>
      <c r="G30" s="8" t="str">
        <f t="shared" si="0"/>
        <v>SANTIZO D. EDY</v>
      </c>
    </row>
    <row r="31" spans="1:7" x14ac:dyDescent="0.25">
      <c r="A31" s="8">
        <v>42792.215104166666</v>
      </c>
      <c r="B31" s="20" t="s">
        <v>233</v>
      </c>
      <c r="C31" s="20" t="s">
        <v>606</v>
      </c>
      <c r="D31" s="150">
        <v>2260000</v>
      </c>
      <c r="E31" s="20" t="s">
        <v>598</v>
      </c>
      <c r="F31" s="20" t="s">
        <v>599</v>
      </c>
      <c r="G31" s="8" t="str">
        <f t="shared" si="0"/>
        <v>ARVIDSON DANIEL</v>
      </c>
    </row>
    <row r="32" spans="1:7" x14ac:dyDescent="0.25">
      <c r="A32" s="8">
        <v>42792.219282407408</v>
      </c>
      <c r="B32" s="20" t="s">
        <v>607</v>
      </c>
      <c r="C32" s="20" t="s">
        <v>608</v>
      </c>
      <c r="D32" s="150">
        <v>1830000</v>
      </c>
      <c r="E32" s="20" t="s">
        <v>261</v>
      </c>
      <c r="F32" s="20" t="s">
        <v>262</v>
      </c>
      <c r="G32" s="8" t="str">
        <f t="shared" si="0"/>
        <v>YORK EDGAR</v>
      </c>
    </row>
    <row r="33" spans="1:7" x14ac:dyDescent="0.25">
      <c r="A33" s="8">
        <v>42792.221342592595</v>
      </c>
      <c r="B33" s="20" t="s">
        <v>208</v>
      </c>
      <c r="C33" s="20" t="s">
        <v>609</v>
      </c>
      <c r="D33" s="150">
        <v>2360000</v>
      </c>
      <c r="E33" s="20" t="s">
        <v>594</v>
      </c>
      <c r="F33" s="20" t="s">
        <v>595</v>
      </c>
      <c r="G33" s="8" t="str">
        <f t="shared" si="0"/>
        <v>BRANDNER MELINDA</v>
      </c>
    </row>
    <row r="34" spans="1:7" x14ac:dyDescent="0.25">
      <c r="A34" s="8">
        <v>42792.228032407409</v>
      </c>
      <c r="B34" s="20" t="s">
        <v>220</v>
      </c>
      <c r="C34" s="20" t="s">
        <v>610</v>
      </c>
      <c r="D34" s="150">
        <v>2020000</v>
      </c>
      <c r="E34" s="20" t="s">
        <v>340</v>
      </c>
      <c r="F34" s="20" t="s">
        <v>260</v>
      </c>
      <c r="G34" s="8" t="str">
        <f t="shared" si="0"/>
        <v>SHOOK JOHN</v>
      </c>
    </row>
    <row r="35" spans="1:7" x14ac:dyDescent="0.25">
      <c r="A35" s="8">
        <v>42792.22965277778</v>
      </c>
      <c r="B35" s="20" t="s">
        <v>257</v>
      </c>
      <c r="C35" s="20" t="s">
        <v>549</v>
      </c>
      <c r="D35" s="150">
        <v>2010000</v>
      </c>
      <c r="E35" s="20" t="s">
        <v>590</v>
      </c>
      <c r="F35" s="20" t="s">
        <v>591</v>
      </c>
      <c r="G35" s="8" t="str">
        <f t="shared" si="0"/>
        <v>MAELZER KURT</v>
      </c>
    </row>
    <row r="36" spans="1:7" x14ac:dyDescent="0.25">
      <c r="A36" s="8">
        <v>42792.230555555558</v>
      </c>
      <c r="B36" s="20" t="s">
        <v>256</v>
      </c>
      <c r="C36" s="20" t="s">
        <v>611</v>
      </c>
      <c r="D36" s="150">
        <v>1830000</v>
      </c>
      <c r="E36" s="20" t="s">
        <v>261</v>
      </c>
      <c r="F36" s="20" t="s">
        <v>262</v>
      </c>
      <c r="G36" s="8" t="str">
        <f t="shared" si="0"/>
        <v>YORK EDGAR</v>
      </c>
    </row>
    <row r="37" spans="1:7" x14ac:dyDescent="0.25">
      <c r="A37" s="8">
        <v>42792.234236111108</v>
      </c>
      <c r="B37" s="20" t="s">
        <v>240</v>
      </c>
      <c r="C37" s="20" t="s">
        <v>612</v>
      </c>
      <c r="D37" s="150">
        <v>2140000</v>
      </c>
      <c r="E37" s="20" t="s">
        <v>338</v>
      </c>
      <c r="F37" s="20" t="s">
        <v>339</v>
      </c>
      <c r="G37" s="8" t="str">
        <f t="shared" si="0"/>
        <v>ROBINSON KADDIBA</v>
      </c>
    </row>
    <row r="38" spans="1:7" x14ac:dyDescent="0.25">
      <c r="A38" s="8">
        <v>42792.243680555555</v>
      </c>
      <c r="B38" s="20" t="s">
        <v>332</v>
      </c>
      <c r="C38" s="20" t="s">
        <v>613</v>
      </c>
      <c r="D38" s="150">
        <v>1100000</v>
      </c>
      <c r="E38" s="20" t="s">
        <v>314</v>
      </c>
      <c r="F38" s="20" t="s">
        <v>315</v>
      </c>
      <c r="G38" s="8" t="str">
        <f t="shared" si="0"/>
        <v>GEBRETEKLE DAGNEW</v>
      </c>
    </row>
    <row r="39" spans="1:7" x14ac:dyDescent="0.25">
      <c r="A39" s="8">
        <v>42792.247118055559</v>
      </c>
      <c r="B39" s="20" t="s">
        <v>259</v>
      </c>
      <c r="C39" s="20" t="s">
        <v>550</v>
      </c>
      <c r="D39" s="150">
        <v>1360000</v>
      </c>
      <c r="E39" s="20" t="s">
        <v>588</v>
      </c>
      <c r="F39" s="20" t="s">
        <v>589</v>
      </c>
      <c r="G39" s="8" t="str">
        <f t="shared" si="0"/>
        <v>SANTIZO D. EDY</v>
      </c>
    </row>
    <row r="40" spans="1:7" x14ac:dyDescent="0.25">
      <c r="A40" s="8">
        <v>42792.248449074075</v>
      </c>
      <c r="B40" s="25" t="s">
        <v>607</v>
      </c>
      <c r="C40" s="20" t="s">
        <v>614</v>
      </c>
      <c r="D40" s="150">
        <v>1830000</v>
      </c>
      <c r="E40" s="20" t="s">
        <v>261</v>
      </c>
      <c r="F40" s="20" t="s">
        <v>262</v>
      </c>
      <c r="G40" s="8" t="str">
        <f t="shared" si="0"/>
        <v>YORK EDGAR</v>
      </c>
    </row>
    <row r="41" spans="1:7" x14ac:dyDescent="0.25">
      <c r="A41" s="8">
        <v>42792.250486111108</v>
      </c>
      <c r="B41" s="20" t="s">
        <v>232</v>
      </c>
      <c r="C41" s="20" t="s">
        <v>615</v>
      </c>
      <c r="D41" s="150">
        <v>2260000</v>
      </c>
      <c r="E41" s="20" t="s">
        <v>598</v>
      </c>
      <c r="F41" s="20" t="s">
        <v>599</v>
      </c>
      <c r="G41" s="8" t="str">
        <f t="shared" si="0"/>
        <v>ARVIDSON DANIEL</v>
      </c>
    </row>
    <row r="42" spans="1:7" x14ac:dyDescent="0.25">
      <c r="A42" s="8">
        <v>42792.257789351854</v>
      </c>
      <c r="B42" s="20" t="s">
        <v>224</v>
      </c>
      <c r="C42" s="20" t="s">
        <v>551</v>
      </c>
      <c r="D42" s="150">
        <v>2360000</v>
      </c>
      <c r="E42" s="20" t="s">
        <v>594</v>
      </c>
      <c r="F42" s="20" t="s">
        <v>595</v>
      </c>
      <c r="G42" s="8" t="str">
        <f t="shared" si="0"/>
        <v>BRANDNER MELINDA</v>
      </c>
    </row>
    <row r="43" spans="1:7" x14ac:dyDescent="0.25">
      <c r="A43" s="8">
        <v>42792.258715277778</v>
      </c>
      <c r="B43" s="20" t="s">
        <v>219</v>
      </c>
      <c r="C43" s="20" t="s">
        <v>616</v>
      </c>
      <c r="D43" s="150">
        <v>2020000</v>
      </c>
      <c r="E43" s="20" t="s">
        <v>340</v>
      </c>
      <c r="F43" s="20" t="s">
        <v>260</v>
      </c>
      <c r="G43" s="8" t="str">
        <f t="shared" si="0"/>
        <v>SHOOK JOHN</v>
      </c>
    </row>
    <row r="44" spans="1:7" x14ac:dyDescent="0.25">
      <c r="A44" s="8">
        <v>42792.268055555556</v>
      </c>
      <c r="B44" s="20" t="s">
        <v>239</v>
      </c>
      <c r="C44" s="20" t="s">
        <v>617</v>
      </c>
      <c r="D44" s="150">
        <v>2140000</v>
      </c>
      <c r="E44" s="20" t="s">
        <v>338</v>
      </c>
      <c r="F44" s="20" t="s">
        <v>339</v>
      </c>
      <c r="G44" s="8" t="str">
        <f t="shared" si="0"/>
        <v>ROBINSON KADDIBA</v>
      </c>
    </row>
    <row r="45" spans="1:7" x14ac:dyDescent="0.25">
      <c r="A45" s="8">
        <v>42792.274618055555</v>
      </c>
      <c r="B45" s="20" t="s">
        <v>256</v>
      </c>
      <c r="C45" s="20" t="s">
        <v>618</v>
      </c>
      <c r="D45" s="150">
        <v>1830000</v>
      </c>
      <c r="E45" s="20" t="s">
        <v>261</v>
      </c>
      <c r="F45" s="20" t="s">
        <v>262</v>
      </c>
      <c r="G45" s="8" t="str">
        <f t="shared" si="0"/>
        <v>YORK EDGAR</v>
      </c>
    </row>
    <row r="46" spans="1:7" x14ac:dyDescent="0.25">
      <c r="A46" s="8">
        <v>42792.275648148148</v>
      </c>
      <c r="B46" s="20" t="s">
        <v>258</v>
      </c>
      <c r="C46" s="20" t="s">
        <v>619</v>
      </c>
      <c r="D46" s="150">
        <v>2010000</v>
      </c>
      <c r="E46" s="20" t="s">
        <v>590</v>
      </c>
      <c r="F46" s="20" t="s">
        <v>591</v>
      </c>
      <c r="G46" s="8" t="str">
        <f t="shared" si="0"/>
        <v>MAELZER KURT</v>
      </c>
    </row>
    <row r="47" spans="1:7" x14ac:dyDescent="0.25">
      <c r="A47" s="8">
        <v>42792.278321759259</v>
      </c>
      <c r="B47" s="20" t="s">
        <v>333</v>
      </c>
      <c r="C47" s="20" t="s">
        <v>620</v>
      </c>
      <c r="D47" s="150">
        <v>1100000</v>
      </c>
      <c r="E47" s="20" t="s">
        <v>314</v>
      </c>
      <c r="F47" s="20" t="s">
        <v>315</v>
      </c>
      <c r="G47" s="8" t="str">
        <f t="shared" si="0"/>
        <v>GEBRETEKLE DAGNEW</v>
      </c>
    </row>
    <row r="48" spans="1:7" x14ac:dyDescent="0.25">
      <c r="A48" s="8">
        <v>42792.287974537037</v>
      </c>
      <c r="B48" s="20" t="s">
        <v>212</v>
      </c>
      <c r="C48" s="20" t="s">
        <v>621</v>
      </c>
      <c r="D48" s="150">
        <v>2260000</v>
      </c>
      <c r="E48" s="20" t="s">
        <v>598</v>
      </c>
      <c r="F48" s="20" t="s">
        <v>599</v>
      </c>
      <c r="G48" s="8" t="str">
        <f t="shared" si="0"/>
        <v>ARVIDSON DANIEL</v>
      </c>
    </row>
    <row r="49" spans="1:7" x14ac:dyDescent="0.25">
      <c r="A49" s="8">
        <v>42792.288402777776</v>
      </c>
      <c r="B49" s="20" t="s">
        <v>192</v>
      </c>
      <c r="C49" s="20" t="s">
        <v>622</v>
      </c>
      <c r="D49" s="150">
        <v>1360000</v>
      </c>
      <c r="E49" s="20" t="s">
        <v>588</v>
      </c>
      <c r="F49" s="20" t="s">
        <v>589</v>
      </c>
      <c r="G49" s="8" t="str">
        <f t="shared" si="0"/>
        <v>SANTIZO D. EDY</v>
      </c>
    </row>
    <row r="50" spans="1:7" x14ac:dyDescent="0.25">
      <c r="A50" s="8">
        <v>42792.289004629631</v>
      </c>
      <c r="B50" s="20" t="s">
        <v>607</v>
      </c>
      <c r="C50" s="20" t="s">
        <v>623</v>
      </c>
      <c r="D50" s="150">
        <v>1830000</v>
      </c>
      <c r="E50" s="20" t="s">
        <v>261</v>
      </c>
      <c r="F50" s="20" t="s">
        <v>262</v>
      </c>
      <c r="G50" s="8" t="str">
        <f t="shared" si="0"/>
        <v>YORK EDGAR</v>
      </c>
    </row>
    <row r="51" spans="1:7" x14ac:dyDescent="0.25">
      <c r="A51" s="8">
        <v>42792.294699074075</v>
      </c>
      <c r="B51" s="20" t="s">
        <v>208</v>
      </c>
      <c r="C51" s="20" t="s">
        <v>624</v>
      </c>
      <c r="D51" s="150">
        <v>2360000</v>
      </c>
      <c r="E51" s="20" t="s">
        <v>594</v>
      </c>
      <c r="F51" s="20" t="s">
        <v>595</v>
      </c>
      <c r="G51" s="8" t="str">
        <f t="shared" si="0"/>
        <v>BRANDNER MELINDA</v>
      </c>
    </row>
    <row r="52" spans="1:7" x14ac:dyDescent="0.25">
      <c r="A52" s="8">
        <v>42792.300196759257</v>
      </c>
      <c r="B52" s="20" t="s">
        <v>220</v>
      </c>
      <c r="C52" s="20" t="s">
        <v>625</v>
      </c>
      <c r="D52" s="150">
        <v>2020000</v>
      </c>
      <c r="E52" s="20" t="s">
        <v>340</v>
      </c>
      <c r="F52" s="20" t="s">
        <v>260</v>
      </c>
      <c r="G52" s="8" t="str">
        <f t="shared" si="0"/>
        <v>SHOOK JOHN</v>
      </c>
    </row>
    <row r="53" spans="1:7" x14ac:dyDescent="0.25">
      <c r="A53" s="8">
        <v>42792.30605324074</v>
      </c>
      <c r="B53" s="20" t="s">
        <v>240</v>
      </c>
      <c r="C53" s="20" t="s">
        <v>626</v>
      </c>
      <c r="D53" s="150">
        <v>2140000</v>
      </c>
      <c r="E53" s="20" t="s">
        <v>338</v>
      </c>
      <c r="F53" s="20" t="s">
        <v>339</v>
      </c>
      <c r="G53" s="8" t="str">
        <f t="shared" si="0"/>
        <v>ROBINSON KADDIBA</v>
      </c>
    </row>
    <row r="54" spans="1:7" x14ac:dyDescent="0.25">
      <c r="A54" s="8">
        <v>42792.308148148149</v>
      </c>
      <c r="B54" s="20" t="s">
        <v>332</v>
      </c>
      <c r="C54" s="20" t="s">
        <v>627</v>
      </c>
      <c r="D54" s="150">
        <v>1100000</v>
      </c>
      <c r="E54" s="20" t="s">
        <v>314</v>
      </c>
      <c r="F54" s="20" t="s">
        <v>315</v>
      </c>
      <c r="G54" s="8" t="str">
        <f t="shared" si="0"/>
        <v>GEBRETEKLE DAGNEW</v>
      </c>
    </row>
    <row r="55" spans="1:7" x14ac:dyDescent="0.25">
      <c r="A55" s="8">
        <v>42792.309062499997</v>
      </c>
      <c r="B55" s="20" t="s">
        <v>257</v>
      </c>
      <c r="C55" s="20" t="s">
        <v>628</v>
      </c>
      <c r="D55" s="150">
        <v>2040000</v>
      </c>
      <c r="E55" s="20" t="s">
        <v>629</v>
      </c>
      <c r="F55" s="20" t="s">
        <v>630</v>
      </c>
      <c r="G55" s="8" t="str">
        <f t="shared" si="0"/>
        <v>MOSES BRADLEY</v>
      </c>
    </row>
    <row r="56" spans="1:7" x14ac:dyDescent="0.25">
      <c r="A56" s="8">
        <v>42792.317071759258</v>
      </c>
      <c r="B56" s="20" t="s">
        <v>256</v>
      </c>
      <c r="C56" s="20" t="s">
        <v>631</v>
      </c>
      <c r="D56" s="150">
        <v>1830000</v>
      </c>
      <c r="E56" s="20" t="s">
        <v>261</v>
      </c>
      <c r="F56" s="20" t="s">
        <v>262</v>
      </c>
      <c r="G56" s="8" t="str">
        <f t="shared" si="0"/>
        <v>YORK EDGAR</v>
      </c>
    </row>
    <row r="57" spans="1:7" x14ac:dyDescent="0.25">
      <c r="A57" s="8">
        <v>42792.31821759259</v>
      </c>
      <c r="B57" s="20" t="s">
        <v>259</v>
      </c>
      <c r="C57" s="20" t="s">
        <v>632</v>
      </c>
      <c r="D57" s="150">
        <v>1360000</v>
      </c>
      <c r="E57" s="20" t="s">
        <v>588</v>
      </c>
      <c r="F57" s="20" t="s">
        <v>589</v>
      </c>
      <c r="G57" s="8" t="str">
        <f t="shared" si="0"/>
        <v>SANTIZO D. EDY</v>
      </c>
    </row>
    <row r="58" spans="1:7" x14ac:dyDescent="0.25">
      <c r="A58" s="8">
        <v>42792.319456018522</v>
      </c>
      <c r="B58" s="20" t="s">
        <v>232</v>
      </c>
      <c r="C58" s="20" t="s">
        <v>552</v>
      </c>
      <c r="D58" s="150">
        <v>2260000</v>
      </c>
      <c r="E58" s="20" t="s">
        <v>598</v>
      </c>
      <c r="F58" s="20" t="s">
        <v>599</v>
      </c>
      <c r="G58" s="8" t="str">
        <f t="shared" si="0"/>
        <v>ARVIDSON DANIEL</v>
      </c>
    </row>
    <row r="59" spans="1:7" x14ac:dyDescent="0.25">
      <c r="A59" s="8">
        <v>42792.329976851855</v>
      </c>
      <c r="B59" s="20" t="s">
        <v>224</v>
      </c>
      <c r="C59" s="20" t="s">
        <v>633</v>
      </c>
      <c r="D59" s="150">
        <v>2360000</v>
      </c>
      <c r="E59" s="20" t="s">
        <v>594</v>
      </c>
      <c r="F59" s="20" t="s">
        <v>595</v>
      </c>
      <c r="G59" s="8" t="str">
        <f t="shared" si="0"/>
        <v>BRANDNER MELINDA</v>
      </c>
    </row>
    <row r="60" spans="1:7" x14ac:dyDescent="0.25">
      <c r="A60" s="8">
        <v>42792.330879629626</v>
      </c>
      <c r="B60" s="20" t="s">
        <v>607</v>
      </c>
      <c r="C60" s="20" t="s">
        <v>634</v>
      </c>
      <c r="D60" s="150">
        <v>1830000</v>
      </c>
      <c r="E60" s="20" t="s">
        <v>261</v>
      </c>
      <c r="F60" s="20" t="s">
        <v>262</v>
      </c>
      <c r="G60" s="8" t="str">
        <f t="shared" si="0"/>
        <v>YORK EDGAR</v>
      </c>
    </row>
    <row r="61" spans="1:7" x14ac:dyDescent="0.25">
      <c r="A61" s="8">
        <v>42792.331284722219</v>
      </c>
      <c r="B61" s="20" t="s">
        <v>219</v>
      </c>
      <c r="C61" s="20" t="s">
        <v>635</v>
      </c>
      <c r="D61" s="150">
        <v>2020000</v>
      </c>
      <c r="E61" s="20" t="s">
        <v>340</v>
      </c>
      <c r="F61" s="20" t="s">
        <v>260</v>
      </c>
      <c r="G61" s="8" t="str">
        <f t="shared" si="0"/>
        <v>SHOOK JOHN</v>
      </c>
    </row>
    <row r="62" spans="1:7" x14ac:dyDescent="0.25">
      <c r="A62" s="8">
        <v>42792.340694444443</v>
      </c>
      <c r="B62" s="20" t="s">
        <v>239</v>
      </c>
      <c r="C62" s="20" t="s">
        <v>636</v>
      </c>
      <c r="D62" s="150">
        <v>2140000</v>
      </c>
      <c r="E62" s="20" t="s">
        <v>338</v>
      </c>
      <c r="F62" s="20" t="s">
        <v>339</v>
      </c>
      <c r="G62" s="8" t="str">
        <f t="shared" si="0"/>
        <v>ROBINSON KADDIBA</v>
      </c>
    </row>
    <row r="63" spans="1:7" x14ac:dyDescent="0.25">
      <c r="A63" s="8">
        <v>42792.34615740741</v>
      </c>
      <c r="B63" s="20" t="s">
        <v>258</v>
      </c>
      <c r="C63" s="20" t="s">
        <v>637</v>
      </c>
      <c r="D63" s="150">
        <v>2040000</v>
      </c>
      <c r="E63" s="20" t="s">
        <v>629</v>
      </c>
      <c r="F63" s="20" t="s">
        <v>630</v>
      </c>
      <c r="G63" s="8" t="str">
        <f t="shared" si="0"/>
        <v>MOSES BRADLEY</v>
      </c>
    </row>
    <row r="64" spans="1:7" x14ac:dyDescent="0.25">
      <c r="A64" s="26">
        <v>42792.350925925923</v>
      </c>
      <c r="B64" s="20" t="s">
        <v>333</v>
      </c>
      <c r="C64" s="20" t="s">
        <v>638</v>
      </c>
      <c r="D64" s="150">
        <v>1100000</v>
      </c>
      <c r="E64" s="20" t="s">
        <v>314</v>
      </c>
      <c r="F64" s="20" t="s">
        <v>315</v>
      </c>
      <c r="G64" s="8" t="str">
        <f t="shared" si="0"/>
        <v>GEBRETEKLE DAGNEW</v>
      </c>
    </row>
    <row r="65" spans="1:7" x14ac:dyDescent="0.25">
      <c r="A65" s="8">
        <v>42792.358356481483</v>
      </c>
      <c r="B65" s="20" t="s">
        <v>256</v>
      </c>
      <c r="C65" s="20" t="s">
        <v>639</v>
      </c>
      <c r="D65" s="150">
        <v>1830000</v>
      </c>
      <c r="E65" s="20" t="s">
        <v>261</v>
      </c>
      <c r="F65" s="20" t="s">
        <v>262</v>
      </c>
      <c r="G65" s="8" t="str">
        <f t="shared" si="0"/>
        <v>YORK EDGAR</v>
      </c>
    </row>
    <row r="66" spans="1:7" x14ac:dyDescent="0.25">
      <c r="A66" s="8">
        <v>42792.360474537039</v>
      </c>
      <c r="B66" s="20" t="s">
        <v>212</v>
      </c>
      <c r="C66" s="20" t="s">
        <v>640</v>
      </c>
      <c r="D66" s="150">
        <v>2260000</v>
      </c>
      <c r="E66" s="20" t="s">
        <v>598</v>
      </c>
      <c r="F66" s="20" t="s">
        <v>599</v>
      </c>
      <c r="G66" s="8" t="str">
        <f t="shared" si="0"/>
        <v>ARVIDSON DANIEL</v>
      </c>
    </row>
    <row r="67" spans="1:7" x14ac:dyDescent="0.25">
      <c r="A67" s="8">
        <v>42792.361539351848</v>
      </c>
      <c r="B67" s="20" t="s">
        <v>192</v>
      </c>
      <c r="C67" s="20" t="s">
        <v>641</v>
      </c>
      <c r="D67" s="150">
        <v>1360000</v>
      </c>
      <c r="E67" s="20" t="s">
        <v>588</v>
      </c>
      <c r="F67" s="20" t="s">
        <v>589</v>
      </c>
      <c r="G67" s="8" t="str">
        <f t="shared" ref="G67:G130" si="1">E67&amp;" "&amp;F67</f>
        <v>SANTIZO D. EDY</v>
      </c>
    </row>
    <row r="68" spans="1:7" x14ac:dyDescent="0.25">
      <c r="A68" s="8">
        <v>42792.368356481478</v>
      </c>
      <c r="B68" s="20" t="s">
        <v>208</v>
      </c>
      <c r="C68" s="20" t="s">
        <v>553</v>
      </c>
      <c r="D68" s="150">
        <v>2360000</v>
      </c>
      <c r="E68" s="20" t="s">
        <v>594</v>
      </c>
      <c r="F68" s="20" t="s">
        <v>595</v>
      </c>
      <c r="G68" s="8" t="str">
        <f t="shared" si="1"/>
        <v>BRANDNER MELINDA</v>
      </c>
    </row>
    <row r="69" spans="1:7" x14ac:dyDescent="0.25">
      <c r="A69" s="8">
        <v>42792.372291666667</v>
      </c>
      <c r="B69" s="20" t="s">
        <v>607</v>
      </c>
      <c r="C69" s="20" t="s">
        <v>642</v>
      </c>
      <c r="D69" s="150">
        <v>1830000</v>
      </c>
      <c r="E69" s="20" t="s">
        <v>261</v>
      </c>
      <c r="F69" s="20" t="s">
        <v>262</v>
      </c>
      <c r="G69" s="8" t="str">
        <f t="shared" si="1"/>
        <v>YORK EDGAR</v>
      </c>
    </row>
    <row r="70" spans="1:7" x14ac:dyDescent="0.25">
      <c r="A70" s="8">
        <v>42792.372488425928</v>
      </c>
      <c r="B70" s="20" t="s">
        <v>220</v>
      </c>
      <c r="C70" s="20" t="s">
        <v>643</v>
      </c>
      <c r="D70" s="150">
        <v>2020000</v>
      </c>
      <c r="E70" s="20" t="s">
        <v>340</v>
      </c>
      <c r="F70" s="20" t="s">
        <v>260</v>
      </c>
      <c r="G70" s="8" t="str">
        <f t="shared" si="1"/>
        <v>SHOOK JOHN</v>
      </c>
    </row>
    <row r="71" spans="1:7" x14ac:dyDescent="0.25">
      <c r="A71" s="8">
        <v>42792.380439814813</v>
      </c>
      <c r="B71" s="20" t="s">
        <v>240</v>
      </c>
      <c r="C71" s="20" t="s">
        <v>644</v>
      </c>
      <c r="D71" s="150">
        <v>2140000</v>
      </c>
      <c r="E71" s="20" t="s">
        <v>338</v>
      </c>
      <c r="F71" s="20" t="s">
        <v>339</v>
      </c>
      <c r="G71" s="8" t="str">
        <f t="shared" si="1"/>
        <v>ROBINSON KADDIBA</v>
      </c>
    </row>
    <row r="72" spans="1:7" x14ac:dyDescent="0.25">
      <c r="A72" s="8">
        <v>42792.382488425923</v>
      </c>
      <c r="B72" s="20" t="s">
        <v>257</v>
      </c>
      <c r="C72" s="20" t="s">
        <v>645</v>
      </c>
      <c r="D72" s="150">
        <v>2010000</v>
      </c>
      <c r="E72" s="20" t="s">
        <v>590</v>
      </c>
      <c r="F72" s="20" t="s">
        <v>591</v>
      </c>
      <c r="G72" s="8" t="str">
        <f t="shared" si="1"/>
        <v>MAELZER KURT</v>
      </c>
    </row>
    <row r="73" spans="1:7" x14ac:dyDescent="0.25">
      <c r="A73" s="8">
        <v>42792.389780092592</v>
      </c>
      <c r="B73" s="20" t="s">
        <v>332</v>
      </c>
      <c r="C73" s="20" t="s">
        <v>646</v>
      </c>
      <c r="D73" s="150">
        <v>1100000</v>
      </c>
      <c r="E73" s="20" t="s">
        <v>314</v>
      </c>
      <c r="F73" s="20" t="s">
        <v>315</v>
      </c>
      <c r="G73" s="8" t="str">
        <f t="shared" si="1"/>
        <v>GEBRETEKLE DAGNEW</v>
      </c>
    </row>
    <row r="74" spans="1:7" x14ac:dyDescent="0.25">
      <c r="A74" s="8">
        <v>42792.391655092593</v>
      </c>
      <c r="B74" s="20" t="s">
        <v>259</v>
      </c>
      <c r="C74" s="20" t="s">
        <v>555</v>
      </c>
      <c r="D74" s="150">
        <v>1360000</v>
      </c>
      <c r="E74" s="20" t="s">
        <v>588</v>
      </c>
      <c r="F74" s="20" t="s">
        <v>589</v>
      </c>
      <c r="G74" s="8" t="str">
        <f t="shared" si="1"/>
        <v>SANTIZO D. EDY</v>
      </c>
    </row>
    <row r="75" spans="1:7" x14ac:dyDescent="0.25">
      <c r="A75" s="8">
        <v>42792.394618055558</v>
      </c>
      <c r="B75" s="20" t="s">
        <v>232</v>
      </c>
      <c r="C75" s="20" t="s">
        <v>647</v>
      </c>
      <c r="D75" s="150">
        <v>2260000</v>
      </c>
      <c r="E75" s="20" t="s">
        <v>598</v>
      </c>
      <c r="F75" s="20" t="s">
        <v>599</v>
      </c>
      <c r="G75" s="8" t="str">
        <f t="shared" si="1"/>
        <v>ARVIDSON DANIEL</v>
      </c>
    </row>
    <row r="76" spans="1:7" x14ac:dyDescent="0.25">
      <c r="A76" s="8">
        <v>42792.402592592596</v>
      </c>
      <c r="B76" s="20" t="s">
        <v>256</v>
      </c>
      <c r="C76" s="20" t="s">
        <v>648</v>
      </c>
      <c r="D76" s="150">
        <v>1830000</v>
      </c>
      <c r="E76" s="20" t="s">
        <v>261</v>
      </c>
      <c r="F76" s="20" t="s">
        <v>262</v>
      </c>
      <c r="G76" s="8" t="str">
        <f t="shared" si="1"/>
        <v>YORK EDGAR</v>
      </c>
    </row>
    <row r="77" spans="1:7" x14ac:dyDescent="0.25">
      <c r="A77" s="8">
        <v>42792.404456018521</v>
      </c>
      <c r="B77" s="20" t="s">
        <v>224</v>
      </c>
      <c r="C77" s="20" t="s">
        <v>649</v>
      </c>
      <c r="D77" s="150">
        <v>2360000</v>
      </c>
      <c r="E77" s="20" t="s">
        <v>594</v>
      </c>
      <c r="F77" s="20" t="s">
        <v>595</v>
      </c>
      <c r="G77" s="8" t="str">
        <f t="shared" si="1"/>
        <v>BRANDNER MELINDA</v>
      </c>
    </row>
    <row r="78" spans="1:7" x14ac:dyDescent="0.25">
      <c r="A78" s="8">
        <v>42792.40519675926</v>
      </c>
      <c r="B78" s="20" t="s">
        <v>219</v>
      </c>
      <c r="C78" s="20" t="s">
        <v>554</v>
      </c>
      <c r="D78" s="150">
        <v>2020000</v>
      </c>
      <c r="E78" s="20" t="s">
        <v>340</v>
      </c>
      <c r="F78" s="20" t="s">
        <v>260</v>
      </c>
      <c r="G78" s="8" t="str">
        <f t="shared" si="1"/>
        <v>SHOOK JOHN</v>
      </c>
    </row>
    <row r="79" spans="1:7" x14ac:dyDescent="0.25">
      <c r="A79" s="8">
        <v>42792.413877314815</v>
      </c>
      <c r="B79" s="20" t="s">
        <v>239</v>
      </c>
      <c r="C79" s="20" t="s">
        <v>650</v>
      </c>
      <c r="D79" s="150">
        <v>2140000</v>
      </c>
      <c r="E79" s="20" t="s">
        <v>338</v>
      </c>
      <c r="F79" s="20" t="s">
        <v>339</v>
      </c>
      <c r="G79" s="8" t="str">
        <f t="shared" si="1"/>
        <v>ROBINSON KADDIBA</v>
      </c>
    </row>
    <row r="80" spans="1:7" x14ac:dyDescent="0.25">
      <c r="A80" s="8">
        <v>42792.414537037039</v>
      </c>
      <c r="B80" s="20" t="s">
        <v>607</v>
      </c>
      <c r="C80" s="20" t="s">
        <v>651</v>
      </c>
      <c r="D80" s="150">
        <v>1830000</v>
      </c>
      <c r="E80" s="20" t="s">
        <v>261</v>
      </c>
      <c r="F80" s="20" t="s">
        <v>262</v>
      </c>
      <c r="G80" s="8" t="str">
        <f t="shared" si="1"/>
        <v>YORK EDGAR</v>
      </c>
    </row>
    <row r="81" spans="1:7" x14ac:dyDescent="0.25">
      <c r="A81" s="8">
        <v>42792.419062499997</v>
      </c>
      <c r="B81" s="20" t="s">
        <v>258</v>
      </c>
      <c r="C81" s="20" t="s">
        <v>652</v>
      </c>
      <c r="D81" s="150">
        <v>2010000</v>
      </c>
      <c r="E81" s="20" t="s">
        <v>590</v>
      </c>
      <c r="F81" s="20" t="s">
        <v>591</v>
      </c>
      <c r="G81" s="8" t="str">
        <f t="shared" si="1"/>
        <v>MAELZER KURT</v>
      </c>
    </row>
    <row r="82" spans="1:7" x14ac:dyDescent="0.25">
      <c r="A82" s="8">
        <v>42792.423356481479</v>
      </c>
      <c r="B82" s="20" t="s">
        <v>333</v>
      </c>
      <c r="C82" s="20" t="s">
        <v>653</v>
      </c>
      <c r="D82" s="150">
        <v>1100000</v>
      </c>
      <c r="E82" s="20" t="s">
        <v>314</v>
      </c>
      <c r="F82" s="20" t="s">
        <v>315</v>
      </c>
      <c r="G82" s="8" t="str">
        <f t="shared" si="1"/>
        <v>GEBRETEKLE DAGNEW</v>
      </c>
    </row>
    <row r="83" spans="1:7" x14ac:dyDescent="0.25">
      <c r="A83" s="8">
        <v>42792.433564814812</v>
      </c>
      <c r="B83" s="20" t="s">
        <v>212</v>
      </c>
      <c r="C83" s="20" t="s">
        <v>654</v>
      </c>
      <c r="D83" s="150">
        <v>2260000</v>
      </c>
      <c r="E83" s="20" t="s">
        <v>598</v>
      </c>
      <c r="F83" s="20" t="s">
        <v>599</v>
      </c>
      <c r="G83" s="8" t="str">
        <f t="shared" si="1"/>
        <v>ARVIDSON DANIEL</v>
      </c>
    </row>
    <row r="84" spans="1:7" x14ac:dyDescent="0.25">
      <c r="A84" s="8">
        <v>42792.434745370374</v>
      </c>
      <c r="B84" s="20" t="s">
        <v>192</v>
      </c>
      <c r="C84" s="20" t="s">
        <v>556</v>
      </c>
      <c r="D84" s="150">
        <v>2470000</v>
      </c>
      <c r="E84" s="20" t="s">
        <v>655</v>
      </c>
      <c r="F84" s="20" t="s">
        <v>656</v>
      </c>
      <c r="G84" s="8" t="str">
        <f t="shared" si="1"/>
        <v>ROMERO CHAD</v>
      </c>
    </row>
    <row r="85" spans="1:7" x14ac:dyDescent="0.25">
      <c r="A85" s="8">
        <v>42792.441342592596</v>
      </c>
      <c r="B85" s="20" t="s">
        <v>208</v>
      </c>
      <c r="C85" s="20" t="s">
        <v>558</v>
      </c>
      <c r="D85" s="150">
        <v>2360000</v>
      </c>
      <c r="E85" s="20" t="s">
        <v>594</v>
      </c>
      <c r="F85" s="20" t="s">
        <v>595</v>
      </c>
      <c r="G85" s="8" t="str">
        <f t="shared" si="1"/>
        <v>BRANDNER MELINDA</v>
      </c>
    </row>
    <row r="86" spans="1:7" x14ac:dyDescent="0.25">
      <c r="A86" s="8">
        <v>42792.441643518519</v>
      </c>
      <c r="B86" s="20" t="s">
        <v>256</v>
      </c>
      <c r="C86" s="20" t="s">
        <v>657</v>
      </c>
      <c r="D86" s="150">
        <v>1830000</v>
      </c>
      <c r="E86" s="20" t="s">
        <v>261</v>
      </c>
      <c r="F86" s="20" t="s">
        <v>262</v>
      </c>
      <c r="G86" s="8" t="str">
        <f t="shared" si="1"/>
        <v>YORK EDGAR</v>
      </c>
    </row>
    <row r="87" spans="1:7" x14ac:dyDescent="0.25">
      <c r="A87" s="8">
        <v>42792.446388888886</v>
      </c>
      <c r="B87" s="20" t="s">
        <v>220</v>
      </c>
      <c r="C87" s="20" t="s">
        <v>658</v>
      </c>
      <c r="D87" s="150">
        <v>2020000</v>
      </c>
      <c r="E87" s="20" t="s">
        <v>340</v>
      </c>
      <c r="F87" s="20" t="s">
        <v>260</v>
      </c>
      <c r="G87" s="8" t="str">
        <f t="shared" si="1"/>
        <v>SHOOK JOHN</v>
      </c>
    </row>
    <row r="88" spans="1:7" x14ac:dyDescent="0.25">
      <c r="A88" s="8">
        <v>42792.45239583333</v>
      </c>
      <c r="B88" s="20" t="s">
        <v>240</v>
      </c>
      <c r="C88" s="20" t="s">
        <v>659</v>
      </c>
      <c r="D88" s="150">
        <v>2140000</v>
      </c>
      <c r="E88" s="20" t="s">
        <v>338</v>
      </c>
      <c r="F88" s="20" t="s">
        <v>339</v>
      </c>
      <c r="G88" s="8" t="str">
        <f t="shared" si="1"/>
        <v>ROBINSON KADDIBA</v>
      </c>
    </row>
    <row r="89" spans="1:7" x14ac:dyDescent="0.25">
      <c r="A89" s="8">
        <v>42792.455428240741</v>
      </c>
      <c r="B89" s="20" t="s">
        <v>257</v>
      </c>
      <c r="C89" s="20" t="s">
        <v>557</v>
      </c>
      <c r="D89" s="150">
        <v>880000</v>
      </c>
      <c r="E89" s="20" t="s">
        <v>660</v>
      </c>
      <c r="F89" s="20" t="s">
        <v>202</v>
      </c>
      <c r="G89" s="8" t="str">
        <f t="shared" si="1"/>
        <v>STEWART MICHAEL</v>
      </c>
    </row>
    <row r="90" spans="1:7" x14ac:dyDescent="0.25">
      <c r="A90" s="8">
        <v>42792.455636574072</v>
      </c>
      <c r="B90" s="20" t="s">
        <v>607</v>
      </c>
      <c r="C90" s="20" t="s">
        <v>661</v>
      </c>
      <c r="D90" s="150">
        <v>1830000</v>
      </c>
      <c r="E90" s="20" t="s">
        <v>261</v>
      </c>
      <c r="F90" s="20" t="s">
        <v>262</v>
      </c>
      <c r="G90" s="8" t="str">
        <f t="shared" si="1"/>
        <v>YORK EDGAR</v>
      </c>
    </row>
    <row r="91" spans="1:7" x14ac:dyDescent="0.25">
      <c r="A91" s="8">
        <v>42792.460763888892</v>
      </c>
      <c r="B91" s="20" t="s">
        <v>332</v>
      </c>
      <c r="C91" s="20" t="s">
        <v>662</v>
      </c>
      <c r="D91" s="150">
        <v>1100000</v>
      </c>
      <c r="E91" s="20" t="s">
        <v>314</v>
      </c>
      <c r="F91" s="20" t="s">
        <v>315</v>
      </c>
      <c r="G91" s="8" t="str">
        <f t="shared" si="1"/>
        <v>GEBRETEKLE DAGNEW</v>
      </c>
    </row>
    <row r="92" spans="1:7" x14ac:dyDescent="0.25">
      <c r="A92" s="8">
        <v>42792.464768518519</v>
      </c>
      <c r="B92" s="20" t="s">
        <v>259</v>
      </c>
      <c r="C92" s="20" t="s">
        <v>663</v>
      </c>
      <c r="D92" s="150">
        <v>2470000</v>
      </c>
      <c r="E92" s="20" t="s">
        <v>655</v>
      </c>
      <c r="F92" s="20" t="s">
        <v>656</v>
      </c>
      <c r="G92" s="8" t="str">
        <f t="shared" si="1"/>
        <v>ROMERO CHAD</v>
      </c>
    </row>
    <row r="93" spans="1:7" x14ac:dyDescent="0.25">
      <c r="A93" s="8">
        <v>42792.4684837963</v>
      </c>
      <c r="B93" s="20" t="s">
        <v>232</v>
      </c>
      <c r="C93" s="20" t="s">
        <v>664</v>
      </c>
      <c r="D93" s="150">
        <v>920000</v>
      </c>
      <c r="E93" s="20" t="s">
        <v>665</v>
      </c>
      <c r="F93" s="20" t="s">
        <v>202</v>
      </c>
      <c r="G93" s="8" t="str">
        <f t="shared" si="1"/>
        <v>DAVIS MICHAEL</v>
      </c>
    </row>
    <row r="94" spans="1:7" x14ac:dyDescent="0.25">
      <c r="A94" s="8">
        <v>42792.476365740738</v>
      </c>
      <c r="B94" s="20" t="s">
        <v>302</v>
      </c>
      <c r="C94" s="20" t="s">
        <v>666</v>
      </c>
      <c r="D94" s="150">
        <v>2250000</v>
      </c>
      <c r="E94" s="20" t="s">
        <v>667</v>
      </c>
      <c r="F94" s="20" t="s">
        <v>668</v>
      </c>
      <c r="G94" s="8" t="str">
        <f t="shared" si="1"/>
        <v>CRAYTON QUNTRELL</v>
      </c>
    </row>
    <row r="95" spans="1:7" x14ac:dyDescent="0.25">
      <c r="A95" s="8">
        <v>42792.477037037039</v>
      </c>
      <c r="B95" s="20" t="s">
        <v>224</v>
      </c>
      <c r="C95" s="20" t="s">
        <v>669</v>
      </c>
      <c r="D95" s="150">
        <v>1300000</v>
      </c>
      <c r="E95" s="20" t="s">
        <v>670</v>
      </c>
      <c r="F95" s="20" t="s">
        <v>671</v>
      </c>
      <c r="G95" s="8" t="str">
        <f t="shared" si="1"/>
        <v>LEVIN SCOTT</v>
      </c>
    </row>
    <row r="96" spans="1:7" x14ac:dyDescent="0.25">
      <c r="A96" s="8">
        <v>42792.477453703701</v>
      </c>
      <c r="B96" s="20" t="s">
        <v>219</v>
      </c>
      <c r="C96" s="20" t="s">
        <v>672</v>
      </c>
      <c r="D96" s="150">
        <v>2020000</v>
      </c>
      <c r="E96" s="20" t="s">
        <v>340</v>
      </c>
      <c r="F96" s="20" t="s">
        <v>260</v>
      </c>
      <c r="G96" s="8" t="str">
        <f t="shared" si="1"/>
        <v>SHOOK JOHN</v>
      </c>
    </row>
    <row r="97" spans="1:7" x14ac:dyDescent="0.25">
      <c r="A97" s="8">
        <v>42792.483761574076</v>
      </c>
      <c r="B97" s="20" t="s">
        <v>256</v>
      </c>
      <c r="C97" s="20" t="s">
        <v>673</v>
      </c>
      <c r="D97" s="150">
        <v>1830000</v>
      </c>
      <c r="E97" s="20" t="s">
        <v>261</v>
      </c>
      <c r="F97" s="20" t="s">
        <v>262</v>
      </c>
      <c r="G97" s="8" t="str">
        <f t="shared" si="1"/>
        <v>YORK EDGAR</v>
      </c>
    </row>
    <row r="98" spans="1:7" x14ac:dyDescent="0.25">
      <c r="A98" s="8">
        <v>42792.487870370373</v>
      </c>
      <c r="B98" s="20" t="s">
        <v>239</v>
      </c>
      <c r="C98" s="20" t="s">
        <v>674</v>
      </c>
      <c r="D98" s="150">
        <v>1770000</v>
      </c>
      <c r="E98" s="20" t="s">
        <v>318</v>
      </c>
      <c r="F98" s="20" t="s">
        <v>319</v>
      </c>
      <c r="G98" s="8" t="str">
        <f t="shared" si="1"/>
        <v>BRUDER RICHARD</v>
      </c>
    </row>
    <row r="99" spans="1:7" x14ac:dyDescent="0.25">
      <c r="A99" s="8">
        <v>42792.494317129633</v>
      </c>
      <c r="B99" s="20" t="s">
        <v>258</v>
      </c>
      <c r="C99" s="20" t="s">
        <v>675</v>
      </c>
      <c r="D99" s="150">
        <v>880000</v>
      </c>
      <c r="E99" s="20" t="s">
        <v>660</v>
      </c>
      <c r="F99" s="20" t="s">
        <v>202</v>
      </c>
      <c r="G99" s="8" t="str">
        <f t="shared" si="1"/>
        <v>STEWART MICHAEL</v>
      </c>
    </row>
    <row r="100" spans="1:7" x14ac:dyDescent="0.25">
      <c r="A100" s="8">
        <v>42792.496087962965</v>
      </c>
      <c r="B100" s="20" t="s">
        <v>333</v>
      </c>
      <c r="C100" s="20" t="s">
        <v>676</v>
      </c>
      <c r="D100" s="150">
        <v>2250000</v>
      </c>
      <c r="E100" s="20" t="s">
        <v>667</v>
      </c>
      <c r="F100" s="20" t="s">
        <v>668</v>
      </c>
      <c r="G100" s="8" t="str">
        <f t="shared" si="1"/>
        <v>CRAYTON QUNTRELL</v>
      </c>
    </row>
    <row r="101" spans="1:7" x14ac:dyDescent="0.25">
      <c r="A101" s="8">
        <v>42792.497175925928</v>
      </c>
      <c r="B101" s="20" t="s">
        <v>607</v>
      </c>
      <c r="C101" s="20" t="s">
        <v>677</v>
      </c>
      <c r="D101" s="150">
        <v>1830000</v>
      </c>
      <c r="E101" s="20" t="s">
        <v>261</v>
      </c>
      <c r="F101" s="20" t="s">
        <v>262</v>
      </c>
      <c r="G101" s="8" t="str">
        <f t="shared" si="1"/>
        <v>YORK EDGAR</v>
      </c>
    </row>
    <row r="102" spans="1:7" x14ac:dyDescent="0.25">
      <c r="A102" s="8">
        <v>42792.498530092591</v>
      </c>
      <c r="B102" s="20" t="s">
        <v>301</v>
      </c>
      <c r="C102" s="20" t="s">
        <v>678</v>
      </c>
      <c r="D102" s="150">
        <v>1100000</v>
      </c>
      <c r="E102" s="20" t="s">
        <v>314</v>
      </c>
      <c r="F102" s="20" t="s">
        <v>315</v>
      </c>
      <c r="G102" s="8" t="str">
        <f t="shared" si="1"/>
        <v>GEBRETEKLE DAGNEW</v>
      </c>
    </row>
    <row r="103" spans="1:7" x14ac:dyDescent="0.25">
      <c r="A103" s="8">
        <v>42792.506099537037</v>
      </c>
      <c r="B103" s="20" t="s">
        <v>192</v>
      </c>
      <c r="C103" s="20" t="s">
        <v>679</v>
      </c>
      <c r="D103" s="150">
        <v>2470000</v>
      </c>
      <c r="E103" s="20" t="s">
        <v>655</v>
      </c>
      <c r="F103" s="20" t="s">
        <v>656</v>
      </c>
      <c r="G103" s="8" t="str">
        <f t="shared" si="1"/>
        <v>ROMERO CHAD</v>
      </c>
    </row>
    <row r="104" spans="1:7" x14ac:dyDescent="0.25">
      <c r="A104" s="8">
        <v>42792.506168981483</v>
      </c>
      <c r="B104" s="20" t="s">
        <v>212</v>
      </c>
      <c r="C104" s="20" t="s">
        <v>559</v>
      </c>
      <c r="D104" s="150">
        <v>920000</v>
      </c>
      <c r="E104" s="20" t="s">
        <v>665</v>
      </c>
      <c r="F104" s="20" t="s">
        <v>202</v>
      </c>
      <c r="G104" s="8" t="str">
        <f t="shared" si="1"/>
        <v>DAVIS MICHAEL</v>
      </c>
    </row>
    <row r="105" spans="1:7" x14ac:dyDescent="0.25">
      <c r="A105" s="8">
        <v>42792.516458333332</v>
      </c>
      <c r="B105" s="20" t="s">
        <v>208</v>
      </c>
      <c r="C105" s="20" t="s">
        <v>560</v>
      </c>
      <c r="D105" s="150">
        <v>2420000</v>
      </c>
      <c r="E105" s="20" t="s">
        <v>680</v>
      </c>
      <c r="F105" s="20" t="s">
        <v>681</v>
      </c>
      <c r="G105" s="8" t="str">
        <f t="shared" si="1"/>
        <v>HOLCOMB KAMDEN</v>
      </c>
    </row>
    <row r="106" spans="1:7" x14ac:dyDescent="0.25">
      <c r="A106" s="8">
        <v>42792.518321759257</v>
      </c>
      <c r="B106" s="20" t="s">
        <v>220</v>
      </c>
      <c r="C106" s="20" t="s">
        <v>682</v>
      </c>
      <c r="D106" s="150">
        <v>2030000</v>
      </c>
      <c r="E106" s="20" t="s">
        <v>342</v>
      </c>
      <c r="F106" s="20" t="s">
        <v>343</v>
      </c>
      <c r="G106" s="8" t="str">
        <f t="shared" si="1"/>
        <v>KILLION DAVID</v>
      </c>
    </row>
    <row r="107" spans="1:7" x14ac:dyDescent="0.25">
      <c r="A107" s="8">
        <v>42792.522407407407</v>
      </c>
      <c r="B107" s="20" t="s">
        <v>240</v>
      </c>
      <c r="C107" s="20" t="s">
        <v>683</v>
      </c>
      <c r="D107" s="150">
        <v>1770000</v>
      </c>
      <c r="E107" s="20" t="s">
        <v>318</v>
      </c>
      <c r="F107" s="20" t="s">
        <v>319</v>
      </c>
      <c r="G107" s="8" t="str">
        <f t="shared" si="1"/>
        <v>BRUDER RICHARD</v>
      </c>
    </row>
    <row r="108" spans="1:7" x14ac:dyDescent="0.25">
      <c r="A108" s="8">
        <v>42792.524965277778</v>
      </c>
      <c r="B108" s="20" t="s">
        <v>256</v>
      </c>
      <c r="C108" s="20" t="s">
        <v>684</v>
      </c>
      <c r="D108" s="150">
        <v>1830000</v>
      </c>
      <c r="E108" s="20" t="s">
        <v>261</v>
      </c>
      <c r="F108" s="20" t="s">
        <v>262</v>
      </c>
      <c r="G108" s="8" t="str">
        <f t="shared" si="1"/>
        <v>YORK EDGAR</v>
      </c>
    </row>
    <row r="109" spans="1:7" x14ac:dyDescent="0.25">
      <c r="A109" s="8">
        <v>42792.529953703706</v>
      </c>
      <c r="B109" s="20" t="s">
        <v>332</v>
      </c>
      <c r="C109" s="20" t="s">
        <v>685</v>
      </c>
      <c r="D109" s="150">
        <v>2250000</v>
      </c>
      <c r="E109" s="20" t="s">
        <v>667</v>
      </c>
      <c r="F109" s="20" t="s">
        <v>668</v>
      </c>
      <c r="G109" s="8" t="str">
        <f t="shared" si="1"/>
        <v>CRAYTON QUNTRELL</v>
      </c>
    </row>
    <row r="110" spans="1:7" x14ac:dyDescent="0.25">
      <c r="A110" s="8">
        <v>42792.53052083333</v>
      </c>
      <c r="B110" s="20" t="s">
        <v>257</v>
      </c>
      <c r="C110" s="20" t="s">
        <v>686</v>
      </c>
      <c r="D110" s="150">
        <v>880000</v>
      </c>
      <c r="E110" s="20" t="s">
        <v>660</v>
      </c>
      <c r="F110" s="20" t="s">
        <v>202</v>
      </c>
      <c r="G110" s="8" t="str">
        <f t="shared" si="1"/>
        <v>STEWART MICHAEL</v>
      </c>
    </row>
    <row r="111" spans="1:7" x14ac:dyDescent="0.25">
      <c r="A111" s="8">
        <v>42792.539409722223</v>
      </c>
      <c r="B111" s="20" t="s">
        <v>607</v>
      </c>
      <c r="C111" s="20" t="s">
        <v>687</v>
      </c>
      <c r="D111" s="150">
        <v>1830000</v>
      </c>
      <c r="E111" s="20" t="s">
        <v>261</v>
      </c>
      <c r="F111" s="20" t="s">
        <v>262</v>
      </c>
      <c r="G111" s="8" t="str">
        <f t="shared" si="1"/>
        <v>YORK EDGAR</v>
      </c>
    </row>
    <row r="112" spans="1:7" x14ac:dyDescent="0.25">
      <c r="A112" s="8">
        <v>42792.541851851849</v>
      </c>
      <c r="B112" s="20" t="s">
        <v>232</v>
      </c>
      <c r="C112" s="20" t="s">
        <v>688</v>
      </c>
      <c r="D112" s="150">
        <v>920000</v>
      </c>
      <c r="E112" s="20" t="s">
        <v>665</v>
      </c>
      <c r="F112" s="20" t="s">
        <v>202</v>
      </c>
      <c r="G112" s="8" t="str">
        <f t="shared" si="1"/>
        <v>DAVIS MICHAEL</v>
      </c>
    </row>
    <row r="113" spans="1:7" x14ac:dyDescent="0.25">
      <c r="A113" s="8">
        <v>42792.541863425926</v>
      </c>
      <c r="B113" s="20" t="s">
        <v>259</v>
      </c>
      <c r="C113" s="20" t="s">
        <v>689</v>
      </c>
      <c r="D113" s="150">
        <v>2470000</v>
      </c>
      <c r="E113" s="20" t="s">
        <v>655</v>
      </c>
      <c r="F113" s="20" t="s">
        <v>656</v>
      </c>
      <c r="G113" s="8" t="str">
        <f t="shared" si="1"/>
        <v>ROMERO CHAD</v>
      </c>
    </row>
    <row r="114" spans="1:7" x14ac:dyDescent="0.25">
      <c r="A114" s="8">
        <v>42792.550891203704</v>
      </c>
      <c r="B114" s="20" t="s">
        <v>224</v>
      </c>
      <c r="C114" s="20" t="s">
        <v>690</v>
      </c>
      <c r="D114" s="150">
        <v>1300000</v>
      </c>
      <c r="E114" s="20" t="s">
        <v>670</v>
      </c>
      <c r="F114" s="20" t="s">
        <v>671</v>
      </c>
      <c r="G114" s="8" t="str">
        <f t="shared" si="1"/>
        <v>LEVIN SCOTT</v>
      </c>
    </row>
    <row r="115" spans="1:7" x14ac:dyDescent="0.25">
      <c r="A115" s="8">
        <v>42792.553148148145</v>
      </c>
      <c r="B115" s="20" t="s">
        <v>219</v>
      </c>
      <c r="C115" s="20" t="s">
        <v>563</v>
      </c>
      <c r="D115" s="150">
        <v>2030000</v>
      </c>
      <c r="E115" s="20" t="s">
        <v>342</v>
      </c>
      <c r="F115" s="20" t="s">
        <v>343</v>
      </c>
      <c r="G115" s="8" t="str">
        <f t="shared" si="1"/>
        <v>KILLION DAVID</v>
      </c>
    </row>
    <row r="116" spans="1:7" x14ac:dyDescent="0.25">
      <c r="A116" s="8">
        <v>42792.559895833336</v>
      </c>
      <c r="B116" s="20" t="s">
        <v>239</v>
      </c>
      <c r="C116" s="20" t="s">
        <v>561</v>
      </c>
      <c r="D116" s="150">
        <v>1770000</v>
      </c>
      <c r="E116" s="20" t="s">
        <v>318</v>
      </c>
      <c r="F116" s="20" t="s">
        <v>319</v>
      </c>
      <c r="G116" s="8" t="str">
        <f t="shared" si="1"/>
        <v>BRUDER RICHARD</v>
      </c>
    </row>
    <row r="117" spans="1:7" x14ac:dyDescent="0.25">
      <c r="A117" s="8">
        <v>42792.566284722219</v>
      </c>
      <c r="B117" s="20" t="s">
        <v>258</v>
      </c>
      <c r="C117" s="20" t="s">
        <v>691</v>
      </c>
      <c r="D117" s="150">
        <v>880000</v>
      </c>
      <c r="E117" s="20" t="s">
        <v>660</v>
      </c>
      <c r="F117" s="20" t="s">
        <v>202</v>
      </c>
      <c r="G117" s="8" t="str">
        <f t="shared" si="1"/>
        <v>STEWART MICHAEL</v>
      </c>
    </row>
    <row r="118" spans="1:7" x14ac:dyDescent="0.25">
      <c r="A118" s="8">
        <v>42792.566631944443</v>
      </c>
      <c r="B118" s="20" t="s">
        <v>256</v>
      </c>
      <c r="C118" s="20" t="s">
        <v>692</v>
      </c>
      <c r="D118" s="150">
        <v>1830000</v>
      </c>
      <c r="E118" s="20" t="s">
        <v>261</v>
      </c>
      <c r="F118" s="20" t="s">
        <v>262</v>
      </c>
      <c r="G118" s="8" t="str">
        <f t="shared" si="1"/>
        <v>YORK EDGAR</v>
      </c>
    </row>
    <row r="119" spans="1:7" x14ac:dyDescent="0.25">
      <c r="A119" s="8">
        <v>42792.570902777778</v>
      </c>
      <c r="B119" s="20" t="s">
        <v>333</v>
      </c>
      <c r="C119" s="20" t="s">
        <v>693</v>
      </c>
      <c r="D119" s="150">
        <v>2250000</v>
      </c>
      <c r="E119" s="20" t="s">
        <v>667</v>
      </c>
      <c r="F119" s="20" t="s">
        <v>668</v>
      </c>
      <c r="G119" s="8" t="str">
        <f t="shared" si="1"/>
        <v>CRAYTON QUNTRELL</v>
      </c>
    </row>
    <row r="120" spans="1:7" x14ac:dyDescent="0.25">
      <c r="A120" s="8">
        <v>42792.578425925924</v>
      </c>
      <c r="B120" s="20" t="s">
        <v>212</v>
      </c>
      <c r="C120" s="20" t="s">
        <v>694</v>
      </c>
      <c r="D120" s="150">
        <v>920000</v>
      </c>
      <c r="E120" s="20" t="s">
        <v>665</v>
      </c>
      <c r="F120" s="20" t="s">
        <v>202</v>
      </c>
      <c r="G120" s="8" t="str">
        <f t="shared" si="1"/>
        <v>DAVIS MICHAEL</v>
      </c>
    </row>
    <row r="121" spans="1:7" x14ac:dyDescent="0.25">
      <c r="A121" s="8">
        <v>42792.582685185182</v>
      </c>
      <c r="B121" s="20" t="s">
        <v>192</v>
      </c>
      <c r="C121" s="20" t="s">
        <v>562</v>
      </c>
      <c r="D121" s="150">
        <v>2470000</v>
      </c>
      <c r="E121" s="20" t="s">
        <v>655</v>
      </c>
      <c r="F121" s="20" t="s">
        <v>656</v>
      </c>
      <c r="G121" s="8" t="str">
        <f t="shared" si="1"/>
        <v>ROMERO CHAD</v>
      </c>
    </row>
    <row r="122" spans="1:7" x14ac:dyDescent="0.25">
      <c r="A122" s="8">
        <v>42792.585706018515</v>
      </c>
      <c r="B122" s="25" t="s">
        <v>208</v>
      </c>
      <c r="C122" s="20" t="s">
        <v>695</v>
      </c>
      <c r="D122" s="150">
        <v>1300000</v>
      </c>
      <c r="E122" s="20" t="s">
        <v>670</v>
      </c>
      <c r="F122" s="20" t="s">
        <v>671</v>
      </c>
      <c r="G122" s="8" t="str">
        <f t="shared" si="1"/>
        <v>LEVIN SCOTT</v>
      </c>
    </row>
    <row r="123" spans="1:7" x14ac:dyDescent="0.25">
      <c r="A123" s="8">
        <v>42792.587546296294</v>
      </c>
      <c r="B123" s="20" t="s">
        <v>192</v>
      </c>
      <c r="C123" s="20" t="s">
        <v>562</v>
      </c>
      <c r="D123" s="150">
        <v>2470000</v>
      </c>
      <c r="E123" s="20" t="s">
        <v>655</v>
      </c>
      <c r="F123" s="20" t="s">
        <v>656</v>
      </c>
      <c r="G123" s="8" t="str">
        <f t="shared" si="1"/>
        <v>ROMERO CHAD</v>
      </c>
    </row>
    <row r="124" spans="1:7" x14ac:dyDescent="0.25">
      <c r="A124" s="8">
        <v>42792.592766203707</v>
      </c>
      <c r="B124" s="20" t="s">
        <v>192</v>
      </c>
      <c r="C124" s="20" t="s">
        <v>562</v>
      </c>
      <c r="D124" s="150">
        <v>2470000</v>
      </c>
      <c r="E124" s="20" t="s">
        <v>655</v>
      </c>
      <c r="F124" s="20" t="s">
        <v>656</v>
      </c>
      <c r="G124" s="8" t="str">
        <f t="shared" si="1"/>
        <v>ROMERO CHAD</v>
      </c>
    </row>
    <row r="125" spans="1:7" x14ac:dyDescent="0.25">
      <c r="A125" s="8">
        <v>42792.592881944445</v>
      </c>
      <c r="B125" s="20" t="s">
        <v>220</v>
      </c>
      <c r="C125" s="20" t="s">
        <v>696</v>
      </c>
      <c r="D125" s="150">
        <v>2030000</v>
      </c>
      <c r="E125" s="20" t="s">
        <v>342</v>
      </c>
      <c r="F125" s="20" t="s">
        <v>343</v>
      </c>
      <c r="G125" s="8" t="str">
        <f t="shared" si="1"/>
        <v>KILLION DAVID</v>
      </c>
    </row>
    <row r="126" spans="1:7" x14ac:dyDescent="0.25">
      <c r="A126" s="8">
        <v>42792.595486111109</v>
      </c>
      <c r="B126" s="20" t="s">
        <v>607</v>
      </c>
      <c r="C126" s="20" t="s">
        <v>697</v>
      </c>
      <c r="D126" s="150">
        <v>1540000</v>
      </c>
      <c r="E126" s="20" t="s">
        <v>316</v>
      </c>
      <c r="F126" s="20" t="s">
        <v>317</v>
      </c>
      <c r="G126" s="8" t="str">
        <f t="shared" si="1"/>
        <v>HELVIE ADAM</v>
      </c>
    </row>
    <row r="127" spans="1:7" x14ac:dyDescent="0.25">
      <c r="A127" s="8">
        <v>42792.598009259258</v>
      </c>
      <c r="B127" s="20" t="s">
        <v>240</v>
      </c>
      <c r="C127" s="20" t="s">
        <v>564</v>
      </c>
      <c r="D127" s="150">
        <v>2420000</v>
      </c>
      <c r="E127" s="20" t="s">
        <v>680</v>
      </c>
      <c r="F127" s="20" t="s">
        <v>681</v>
      </c>
      <c r="G127" s="8" t="str">
        <f t="shared" si="1"/>
        <v>HOLCOMB KAMDEN</v>
      </c>
    </row>
    <row r="128" spans="1:7" x14ac:dyDescent="0.25">
      <c r="A128" s="8">
        <v>42792.601956018516</v>
      </c>
      <c r="B128" s="20" t="s">
        <v>257</v>
      </c>
      <c r="C128" s="20" t="s">
        <v>698</v>
      </c>
      <c r="D128" s="150">
        <v>880000</v>
      </c>
      <c r="E128" s="20" t="s">
        <v>660</v>
      </c>
      <c r="F128" s="20" t="s">
        <v>202</v>
      </c>
      <c r="G128" s="8" t="str">
        <f t="shared" si="1"/>
        <v>STEWART MICHAEL</v>
      </c>
    </row>
    <row r="129" spans="1:7" x14ac:dyDescent="0.25">
      <c r="A129" s="8">
        <v>42792.604305555556</v>
      </c>
      <c r="B129" s="20" t="s">
        <v>332</v>
      </c>
      <c r="C129" s="20" t="s">
        <v>699</v>
      </c>
      <c r="D129" s="150">
        <v>2250000</v>
      </c>
      <c r="E129" s="20" t="s">
        <v>667</v>
      </c>
      <c r="F129" s="20" t="s">
        <v>668</v>
      </c>
      <c r="G129" s="8" t="str">
        <f t="shared" si="1"/>
        <v>CRAYTON QUNTRELL</v>
      </c>
    </row>
    <row r="130" spans="1:7" x14ac:dyDescent="0.25">
      <c r="A130" s="8">
        <v>42792.609340277777</v>
      </c>
      <c r="B130" s="20" t="s">
        <v>256</v>
      </c>
      <c r="C130" s="20" t="s">
        <v>700</v>
      </c>
      <c r="D130" s="150">
        <v>1540000</v>
      </c>
      <c r="E130" s="20" t="s">
        <v>316</v>
      </c>
      <c r="F130" s="20" t="s">
        <v>317</v>
      </c>
      <c r="G130" s="8" t="str">
        <f t="shared" si="1"/>
        <v>HELVIE ADAM</v>
      </c>
    </row>
    <row r="131" spans="1:7" x14ac:dyDescent="0.25">
      <c r="A131" s="8">
        <v>42792.614317129628</v>
      </c>
      <c r="B131" s="20" t="s">
        <v>259</v>
      </c>
      <c r="C131" s="20" t="s">
        <v>701</v>
      </c>
      <c r="D131" s="150">
        <v>2470000</v>
      </c>
      <c r="E131" s="20" t="s">
        <v>655</v>
      </c>
      <c r="F131" s="20" t="s">
        <v>656</v>
      </c>
      <c r="G131" s="8" t="str">
        <f t="shared" ref="G131:G194" si="2">E131&amp;" "&amp;F131</f>
        <v>ROMERO CHAD</v>
      </c>
    </row>
    <row r="132" spans="1:7" x14ac:dyDescent="0.25">
      <c r="A132" s="8">
        <v>42792.614490740743</v>
      </c>
      <c r="B132" s="20" t="s">
        <v>232</v>
      </c>
      <c r="C132" s="20" t="s">
        <v>702</v>
      </c>
      <c r="D132" s="150">
        <v>920000</v>
      </c>
      <c r="E132" s="20" t="s">
        <v>665</v>
      </c>
      <c r="F132" s="20" t="s">
        <v>202</v>
      </c>
      <c r="G132" s="8" t="str">
        <f t="shared" si="2"/>
        <v>DAVIS MICHAEL</v>
      </c>
    </row>
    <row r="133" spans="1:7" x14ac:dyDescent="0.25">
      <c r="A133" s="8">
        <v>42792.622303240743</v>
      </c>
      <c r="B133" s="20" t="s">
        <v>224</v>
      </c>
      <c r="C133" s="20" t="s">
        <v>703</v>
      </c>
      <c r="D133" s="150">
        <v>1300000</v>
      </c>
      <c r="E133" s="20" t="s">
        <v>670</v>
      </c>
      <c r="F133" s="20" t="s">
        <v>671</v>
      </c>
      <c r="G133" s="8" t="str">
        <f t="shared" si="2"/>
        <v>LEVIN SCOTT</v>
      </c>
    </row>
    <row r="134" spans="1:7" x14ac:dyDescent="0.25">
      <c r="A134" s="8">
        <v>42792.627789351849</v>
      </c>
      <c r="B134" s="20" t="s">
        <v>219</v>
      </c>
      <c r="C134" s="20" t="s">
        <v>704</v>
      </c>
      <c r="D134" s="150">
        <v>2030000</v>
      </c>
      <c r="E134" s="20" t="s">
        <v>342</v>
      </c>
      <c r="F134" s="20" t="s">
        <v>343</v>
      </c>
      <c r="G134" s="8" t="str">
        <f t="shared" si="2"/>
        <v>KILLION DAVID</v>
      </c>
    </row>
    <row r="135" spans="1:7" x14ac:dyDescent="0.25">
      <c r="A135" s="8">
        <v>42792.633530092593</v>
      </c>
      <c r="B135" s="20" t="s">
        <v>239</v>
      </c>
      <c r="C135" s="20" t="s">
        <v>705</v>
      </c>
      <c r="D135" s="150">
        <v>1770000</v>
      </c>
      <c r="E135" s="20" t="s">
        <v>318</v>
      </c>
      <c r="F135" s="20" t="s">
        <v>319</v>
      </c>
      <c r="G135" s="8" t="str">
        <f t="shared" si="2"/>
        <v>BRUDER RICHARD</v>
      </c>
    </row>
    <row r="136" spans="1:7" x14ac:dyDescent="0.25">
      <c r="A136" s="8">
        <v>42792.638356481482</v>
      </c>
      <c r="B136" s="20" t="s">
        <v>607</v>
      </c>
      <c r="C136" s="20" t="s">
        <v>706</v>
      </c>
      <c r="D136" s="150">
        <v>1540000</v>
      </c>
      <c r="E136" s="20" t="s">
        <v>316</v>
      </c>
      <c r="F136" s="20" t="s">
        <v>317</v>
      </c>
      <c r="G136" s="8" t="str">
        <f t="shared" si="2"/>
        <v>HELVIE ADAM</v>
      </c>
    </row>
    <row r="137" spans="1:7" x14ac:dyDescent="0.25">
      <c r="A137" s="8">
        <v>42792.640949074077</v>
      </c>
      <c r="B137" s="20" t="s">
        <v>258</v>
      </c>
      <c r="C137" s="20" t="s">
        <v>707</v>
      </c>
      <c r="D137" s="150">
        <v>880000</v>
      </c>
      <c r="E137" s="20" t="s">
        <v>660</v>
      </c>
      <c r="F137" s="20" t="s">
        <v>202</v>
      </c>
      <c r="G137" s="8" t="str">
        <f t="shared" si="2"/>
        <v>STEWART MICHAEL</v>
      </c>
    </row>
    <row r="138" spans="1:7" x14ac:dyDescent="0.25">
      <c r="A138" s="8">
        <v>42792.643541666665</v>
      </c>
      <c r="B138" s="20" t="s">
        <v>333</v>
      </c>
      <c r="C138" s="20" t="s">
        <v>708</v>
      </c>
      <c r="D138" s="150">
        <v>2480000</v>
      </c>
      <c r="E138" s="20" t="s">
        <v>351</v>
      </c>
      <c r="F138" s="20" t="s">
        <v>215</v>
      </c>
      <c r="G138" s="8" t="str">
        <f t="shared" si="2"/>
        <v>WHITED DUSTIN</v>
      </c>
    </row>
    <row r="139" spans="1:7" x14ac:dyDescent="0.25">
      <c r="A139" s="8">
        <v>42792.650081018517</v>
      </c>
      <c r="B139" s="20" t="s">
        <v>256</v>
      </c>
      <c r="C139" s="20" t="s">
        <v>565</v>
      </c>
      <c r="D139" s="150">
        <v>2420000</v>
      </c>
      <c r="E139" s="20" t="s">
        <v>680</v>
      </c>
      <c r="F139" s="20" t="s">
        <v>681</v>
      </c>
      <c r="G139" s="8" t="str">
        <f t="shared" si="2"/>
        <v>HOLCOMB KAMDEN</v>
      </c>
    </row>
    <row r="140" spans="1:7" x14ac:dyDescent="0.25">
      <c r="A140" s="8">
        <v>42792.651782407411</v>
      </c>
      <c r="B140" s="20" t="s">
        <v>192</v>
      </c>
      <c r="C140" s="20" t="s">
        <v>709</v>
      </c>
      <c r="D140" s="150">
        <v>2470000</v>
      </c>
      <c r="E140" s="20" t="s">
        <v>655</v>
      </c>
      <c r="F140" s="20" t="s">
        <v>656</v>
      </c>
      <c r="G140" s="8" t="str">
        <f t="shared" si="2"/>
        <v>ROMERO CHAD</v>
      </c>
    </row>
    <row r="141" spans="1:7" x14ac:dyDescent="0.25">
      <c r="A141" s="8">
        <v>42792.652685185189</v>
      </c>
      <c r="B141" s="20" t="s">
        <v>212</v>
      </c>
      <c r="C141" s="20" t="s">
        <v>710</v>
      </c>
      <c r="D141" s="150">
        <v>920000</v>
      </c>
      <c r="E141" s="20" t="s">
        <v>665</v>
      </c>
      <c r="F141" s="20" t="s">
        <v>202</v>
      </c>
      <c r="G141" s="8" t="str">
        <f t="shared" si="2"/>
        <v>DAVIS MICHAEL</v>
      </c>
    </row>
    <row r="142" spans="1:7" x14ac:dyDescent="0.25">
      <c r="A142" s="8">
        <v>42792.660428240742</v>
      </c>
      <c r="B142" s="20" t="s">
        <v>208</v>
      </c>
      <c r="C142" s="20" t="s">
        <v>711</v>
      </c>
      <c r="D142" s="150">
        <v>1300000</v>
      </c>
      <c r="E142" s="20" t="s">
        <v>670</v>
      </c>
      <c r="F142" s="20" t="s">
        <v>671</v>
      </c>
      <c r="G142" s="8" t="str">
        <f t="shared" si="2"/>
        <v>LEVIN SCOTT</v>
      </c>
    </row>
    <row r="143" spans="1:7" x14ac:dyDescent="0.25">
      <c r="A143" s="8">
        <v>42792.663969907408</v>
      </c>
      <c r="B143" s="20" t="s">
        <v>220</v>
      </c>
      <c r="C143" s="20" t="s">
        <v>712</v>
      </c>
      <c r="D143" s="150">
        <v>2030000</v>
      </c>
      <c r="E143" s="20" t="s">
        <v>342</v>
      </c>
      <c r="F143" s="20" t="s">
        <v>343</v>
      </c>
      <c r="G143" s="8" t="str">
        <f t="shared" si="2"/>
        <v>KILLION DAVID</v>
      </c>
    </row>
    <row r="144" spans="1:7" x14ac:dyDescent="0.25">
      <c r="A144" s="8">
        <v>42792.67083333333</v>
      </c>
      <c r="B144" s="20" t="s">
        <v>240</v>
      </c>
      <c r="C144" s="20" t="s">
        <v>713</v>
      </c>
      <c r="D144" s="150">
        <v>1770000</v>
      </c>
      <c r="E144" s="20" t="s">
        <v>318</v>
      </c>
      <c r="F144" s="20" t="s">
        <v>319</v>
      </c>
      <c r="G144" s="8" t="str">
        <f t="shared" si="2"/>
        <v>BRUDER RICHARD</v>
      </c>
    </row>
    <row r="145" spans="1:7" x14ac:dyDescent="0.25">
      <c r="A145" s="8">
        <v>42792.674537037034</v>
      </c>
      <c r="B145" s="20" t="s">
        <v>257</v>
      </c>
      <c r="C145" s="20" t="s">
        <v>566</v>
      </c>
      <c r="D145" s="150">
        <v>880000</v>
      </c>
      <c r="E145" s="20" t="s">
        <v>660</v>
      </c>
      <c r="F145" s="20" t="s">
        <v>202</v>
      </c>
      <c r="G145" s="8" t="str">
        <f t="shared" si="2"/>
        <v>STEWART MICHAEL</v>
      </c>
    </row>
    <row r="146" spans="1:7" x14ac:dyDescent="0.25">
      <c r="A146" s="8">
        <v>42792.677511574075</v>
      </c>
      <c r="B146" s="20" t="s">
        <v>332</v>
      </c>
      <c r="C146" s="20" t="s">
        <v>714</v>
      </c>
      <c r="D146" s="150">
        <v>2480000</v>
      </c>
      <c r="E146" s="20" t="s">
        <v>351</v>
      </c>
      <c r="F146" s="20" t="s">
        <v>215</v>
      </c>
      <c r="G146" s="8" t="str">
        <f t="shared" si="2"/>
        <v>WHITED DUSTIN</v>
      </c>
    </row>
    <row r="147" spans="1:7" x14ac:dyDescent="0.25">
      <c r="A147" s="8">
        <v>42792.680347222224</v>
      </c>
      <c r="B147" s="20" t="s">
        <v>607</v>
      </c>
      <c r="C147" s="20" t="s">
        <v>715</v>
      </c>
      <c r="D147" s="150">
        <v>1540000</v>
      </c>
      <c r="E147" s="20" t="s">
        <v>316</v>
      </c>
      <c r="F147" s="20" t="s">
        <v>317</v>
      </c>
      <c r="G147" s="8" t="str">
        <f t="shared" si="2"/>
        <v>HELVIE ADAM</v>
      </c>
    </row>
    <row r="148" spans="1:7" x14ac:dyDescent="0.25">
      <c r="A148" s="8">
        <v>42792.683113425926</v>
      </c>
      <c r="B148" s="20" t="s">
        <v>259</v>
      </c>
      <c r="C148" s="20" t="s">
        <v>716</v>
      </c>
      <c r="D148" s="150">
        <v>2470000</v>
      </c>
      <c r="E148" s="20" t="s">
        <v>655</v>
      </c>
      <c r="F148" s="20" t="s">
        <v>656</v>
      </c>
      <c r="G148" s="8" t="str">
        <f t="shared" si="2"/>
        <v>ROMERO CHAD</v>
      </c>
    </row>
    <row r="149" spans="1:7" x14ac:dyDescent="0.25">
      <c r="A149" s="8">
        <v>42792.692025462966</v>
      </c>
      <c r="B149" s="20" t="s">
        <v>236</v>
      </c>
      <c r="C149" s="20" t="s">
        <v>717</v>
      </c>
      <c r="D149" s="150">
        <v>920000</v>
      </c>
      <c r="E149" s="20" t="s">
        <v>665</v>
      </c>
      <c r="F149" s="20" t="s">
        <v>202</v>
      </c>
      <c r="G149" s="8" t="str">
        <f t="shared" si="2"/>
        <v>DAVIS MICHAEL</v>
      </c>
    </row>
    <row r="150" spans="1:7" x14ac:dyDescent="0.25">
      <c r="A150" s="8">
        <v>42792.692210648151</v>
      </c>
      <c r="B150" s="20" t="s">
        <v>256</v>
      </c>
      <c r="C150" s="20" t="s">
        <v>718</v>
      </c>
      <c r="D150" s="150">
        <v>1540000</v>
      </c>
      <c r="E150" s="20" t="s">
        <v>316</v>
      </c>
      <c r="F150" s="20" t="s">
        <v>317</v>
      </c>
      <c r="G150" s="8" t="str">
        <f t="shared" si="2"/>
        <v>HELVIE ADAM</v>
      </c>
    </row>
    <row r="151" spans="1:7" x14ac:dyDescent="0.25">
      <c r="A151" s="8">
        <v>42792.696053240739</v>
      </c>
      <c r="B151" s="20" t="s">
        <v>224</v>
      </c>
      <c r="C151" s="20" t="s">
        <v>719</v>
      </c>
      <c r="D151" s="150">
        <v>1300000</v>
      </c>
      <c r="E151" s="20" t="s">
        <v>670</v>
      </c>
      <c r="F151" s="20" t="s">
        <v>671</v>
      </c>
      <c r="G151" s="8" t="str">
        <f t="shared" si="2"/>
        <v>LEVIN SCOTT</v>
      </c>
    </row>
    <row r="152" spans="1:7" x14ac:dyDescent="0.25">
      <c r="A152" s="8">
        <v>42792.703634259262</v>
      </c>
      <c r="B152" s="20" t="s">
        <v>219</v>
      </c>
      <c r="C152" s="20" t="s">
        <v>720</v>
      </c>
      <c r="D152" s="150">
        <v>2030000</v>
      </c>
      <c r="E152" s="20" t="s">
        <v>342</v>
      </c>
      <c r="F152" s="20" t="s">
        <v>343</v>
      </c>
      <c r="G152" s="8" t="str">
        <f t="shared" si="2"/>
        <v>KILLION DAVID</v>
      </c>
    </row>
    <row r="153" spans="1:7" x14ac:dyDescent="0.25">
      <c r="A153" s="8">
        <v>42792.704201388886</v>
      </c>
      <c r="B153" s="20" t="s">
        <v>239</v>
      </c>
      <c r="C153" s="20" t="s">
        <v>721</v>
      </c>
      <c r="D153" s="150">
        <v>1770000</v>
      </c>
      <c r="E153" s="20" t="s">
        <v>318</v>
      </c>
      <c r="F153" s="20" t="s">
        <v>319</v>
      </c>
      <c r="G153" s="8" t="str">
        <f t="shared" si="2"/>
        <v>BRUDER RICHARD</v>
      </c>
    </row>
    <row r="154" spans="1:7" x14ac:dyDescent="0.25">
      <c r="A154" s="8">
        <v>42792.710682870369</v>
      </c>
      <c r="B154" s="20" t="s">
        <v>258</v>
      </c>
      <c r="C154" s="20" t="s">
        <v>722</v>
      </c>
      <c r="D154" s="150">
        <v>880000</v>
      </c>
      <c r="E154" s="20" t="s">
        <v>660</v>
      </c>
      <c r="F154" s="20" t="s">
        <v>202</v>
      </c>
      <c r="G154" s="8" t="str">
        <f t="shared" si="2"/>
        <v>STEWART MICHAEL</v>
      </c>
    </row>
    <row r="155" spans="1:7" x14ac:dyDescent="0.25">
      <c r="A155" s="8">
        <v>42792.719155092593</v>
      </c>
      <c r="B155" s="20" t="s">
        <v>333</v>
      </c>
      <c r="C155" s="20" t="s">
        <v>723</v>
      </c>
      <c r="D155" s="150">
        <v>1800000</v>
      </c>
      <c r="E155" s="20" t="s">
        <v>241</v>
      </c>
      <c r="F155" s="20" t="s">
        <v>242</v>
      </c>
      <c r="G155" s="8" t="str">
        <f t="shared" si="2"/>
        <v>CHANDLER KELVIN</v>
      </c>
    </row>
    <row r="156" spans="1:7" x14ac:dyDescent="0.25">
      <c r="A156" s="8">
        <v>42792.720567129632</v>
      </c>
      <c r="B156" s="20" t="s">
        <v>232</v>
      </c>
      <c r="C156" s="20" t="s">
        <v>724</v>
      </c>
      <c r="D156" s="150">
        <v>2440000</v>
      </c>
      <c r="E156" s="20" t="s">
        <v>345</v>
      </c>
      <c r="F156" s="20" t="s">
        <v>346</v>
      </c>
      <c r="G156" s="8" t="str">
        <f t="shared" si="2"/>
        <v>LOPES KIMBERLY</v>
      </c>
    </row>
    <row r="157" spans="1:7" x14ac:dyDescent="0.25">
      <c r="A157" s="8">
        <v>42792.72184027778</v>
      </c>
      <c r="B157" s="20" t="s">
        <v>607</v>
      </c>
      <c r="C157" s="20" t="s">
        <v>725</v>
      </c>
      <c r="D157" s="150">
        <v>1540000</v>
      </c>
      <c r="E157" s="20" t="s">
        <v>316</v>
      </c>
      <c r="F157" s="20" t="s">
        <v>317</v>
      </c>
      <c r="G157" s="8" t="str">
        <f t="shared" si="2"/>
        <v>HELVIE ADAM</v>
      </c>
    </row>
    <row r="158" spans="1:7" x14ac:dyDescent="0.25">
      <c r="A158" s="8">
        <v>42792.725138888891</v>
      </c>
      <c r="B158" s="20" t="s">
        <v>233</v>
      </c>
      <c r="C158" s="20" t="s">
        <v>726</v>
      </c>
      <c r="D158" s="150">
        <v>920000</v>
      </c>
      <c r="E158" s="20" t="s">
        <v>665</v>
      </c>
      <c r="F158" s="20" t="s">
        <v>202</v>
      </c>
      <c r="G158" s="8" t="str">
        <f t="shared" si="2"/>
        <v>DAVIS MICHAEL</v>
      </c>
    </row>
    <row r="159" spans="1:7" x14ac:dyDescent="0.25">
      <c r="A159" s="8">
        <v>42792.725324074076</v>
      </c>
      <c r="B159" s="20" t="s">
        <v>192</v>
      </c>
      <c r="C159" s="20" t="s">
        <v>567</v>
      </c>
      <c r="D159" s="150">
        <v>2620000</v>
      </c>
      <c r="E159" s="20" t="s">
        <v>727</v>
      </c>
      <c r="F159" s="20" t="s">
        <v>728</v>
      </c>
      <c r="G159" s="8" t="str">
        <f t="shared" si="2"/>
        <v>PERKINS DARREN</v>
      </c>
    </row>
    <row r="160" spans="1:7" x14ac:dyDescent="0.25">
      <c r="A160" s="8">
        <v>42792.72859953704</v>
      </c>
      <c r="B160" s="20" t="s">
        <v>302</v>
      </c>
      <c r="C160" s="20" t="s">
        <v>729</v>
      </c>
      <c r="D160" s="150">
        <v>2630000</v>
      </c>
      <c r="E160" s="20" t="s">
        <v>579</v>
      </c>
      <c r="F160" s="20" t="s">
        <v>580</v>
      </c>
      <c r="G160" s="8" t="str">
        <f t="shared" si="2"/>
        <v>SAFIEF AEIMEN</v>
      </c>
    </row>
    <row r="161" spans="1:7" x14ac:dyDescent="0.25">
      <c r="A161" s="8">
        <v>42792.733310185184</v>
      </c>
      <c r="B161" s="20" t="s">
        <v>208</v>
      </c>
      <c r="C161" s="20" t="s">
        <v>730</v>
      </c>
      <c r="D161" s="150">
        <v>1300000</v>
      </c>
      <c r="E161" s="20" t="s">
        <v>670</v>
      </c>
      <c r="F161" s="20" t="s">
        <v>671</v>
      </c>
      <c r="G161" s="8" t="str">
        <f t="shared" si="2"/>
        <v>LEVIN SCOTT</v>
      </c>
    </row>
    <row r="162" spans="1:7" x14ac:dyDescent="0.25">
      <c r="A162" s="8">
        <v>42792.735335648147</v>
      </c>
      <c r="B162" s="20" t="s">
        <v>220</v>
      </c>
      <c r="C162" s="20" t="s">
        <v>731</v>
      </c>
      <c r="D162" s="150">
        <v>1810000</v>
      </c>
      <c r="E162" s="20" t="s">
        <v>205</v>
      </c>
      <c r="F162" s="20" t="s">
        <v>199</v>
      </c>
      <c r="G162" s="8" t="str">
        <f t="shared" si="2"/>
        <v>NEWELL JAMES</v>
      </c>
    </row>
    <row r="163" spans="1:7" x14ac:dyDescent="0.25">
      <c r="A163" s="8">
        <v>42792.735625000001</v>
      </c>
      <c r="B163" s="20" t="s">
        <v>256</v>
      </c>
      <c r="C163" s="20" t="s">
        <v>732</v>
      </c>
      <c r="D163" s="150">
        <v>1540000</v>
      </c>
      <c r="E163" s="20" t="s">
        <v>316</v>
      </c>
      <c r="F163" s="20" t="s">
        <v>317</v>
      </c>
      <c r="G163" s="8" t="str">
        <f t="shared" si="2"/>
        <v>HELVIE ADAM</v>
      </c>
    </row>
    <row r="164" spans="1:7" x14ac:dyDescent="0.25">
      <c r="A164" s="8">
        <v>42792.7424537037</v>
      </c>
      <c r="B164" s="20" t="s">
        <v>240</v>
      </c>
      <c r="C164" s="20" t="s">
        <v>733</v>
      </c>
      <c r="D164" s="150">
        <v>1770000</v>
      </c>
      <c r="E164" s="20" t="s">
        <v>318</v>
      </c>
      <c r="F164" s="20" t="s">
        <v>319</v>
      </c>
      <c r="G164" s="8" t="str">
        <f t="shared" si="2"/>
        <v>BRUDER RICHARD</v>
      </c>
    </row>
    <row r="165" spans="1:7" x14ac:dyDescent="0.25">
      <c r="A165" s="8">
        <v>42792.746504629627</v>
      </c>
      <c r="B165" s="20" t="s">
        <v>257</v>
      </c>
      <c r="C165" s="20" t="s">
        <v>734</v>
      </c>
      <c r="D165" s="150">
        <v>2030000</v>
      </c>
      <c r="E165" s="20" t="s">
        <v>342</v>
      </c>
      <c r="F165" s="20" t="s">
        <v>343</v>
      </c>
      <c r="G165" s="8" t="str">
        <f t="shared" si="2"/>
        <v>KILLION DAVID</v>
      </c>
    </row>
    <row r="166" spans="1:7" x14ac:dyDescent="0.25">
      <c r="A166" s="8">
        <v>42792.754374999997</v>
      </c>
      <c r="B166" s="20" t="s">
        <v>334</v>
      </c>
      <c r="C166" s="20" t="s">
        <v>735</v>
      </c>
      <c r="D166" s="150">
        <v>2670000</v>
      </c>
      <c r="E166" s="20" t="s">
        <v>234</v>
      </c>
      <c r="F166" s="20" t="s">
        <v>235</v>
      </c>
      <c r="G166" s="8" t="str">
        <f t="shared" si="2"/>
        <v>COMELLA JUSTIN</v>
      </c>
    </row>
    <row r="167" spans="1:7" x14ac:dyDescent="0.25">
      <c r="A167" s="8">
        <v>42792.756423611114</v>
      </c>
      <c r="B167" s="20" t="s">
        <v>332</v>
      </c>
      <c r="C167" s="20" t="s">
        <v>736</v>
      </c>
      <c r="D167" s="150">
        <v>1800000</v>
      </c>
      <c r="E167" s="20" t="s">
        <v>241</v>
      </c>
      <c r="F167" s="20" t="s">
        <v>242</v>
      </c>
      <c r="G167" s="8" t="str">
        <f t="shared" si="2"/>
        <v>CHANDLER KELVIN</v>
      </c>
    </row>
    <row r="168" spans="1:7" x14ac:dyDescent="0.25">
      <c r="A168" s="8">
        <v>42792.758946759262</v>
      </c>
      <c r="B168" s="20" t="s">
        <v>236</v>
      </c>
      <c r="C168" s="20" t="s">
        <v>737</v>
      </c>
      <c r="D168" s="150">
        <v>2630000</v>
      </c>
      <c r="E168" s="20" t="s">
        <v>579</v>
      </c>
      <c r="F168" s="20" t="s">
        <v>580</v>
      </c>
      <c r="G168" s="8" t="str">
        <f t="shared" si="2"/>
        <v>SAFIEF AEIMEN</v>
      </c>
    </row>
    <row r="169" spans="1:7" x14ac:dyDescent="0.25">
      <c r="A169" s="8">
        <v>42792.758969907409</v>
      </c>
      <c r="B169" s="20" t="s">
        <v>259</v>
      </c>
      <c r="C169" s="20" t="s">
        <v>568</v>
      </c>
      <c r="D169" s="150">
        <v>2620000</v>
      </c>
      <c r="E169" s="20" t="s">
        <v>727</v>
      </c>
      <c r="F169" s="20" t="s">
        <v>728</v>
      </c>
      <c r="G169" s="8" t="str">
        <f t="shared" si="2"/>
        <v>PERKINS DARREN</v>
      </c>
    </row>
    <row r="170" spans="1:7" x14ac:dyDescent="0.25">
      <c r="A170" s="8">
        <v>42792.761990740742</v>
      </c>
      <c r="B170" s="20" t="s">
        <v>607</v>
      </c>
      <c r="C170" s="20" t="s">
        <v>738</v>
      </c>
      <c r="D170" s="150">
        <v>1540000</v>
      </c>
      <c r="E170" s="20" t="s">
        <v>316</v>
      </c>
      <c r="F170" s="20" t="s">
        <v>317</v>
      </c>
      <c r="G170" s="8" t="str">
        <f t="shared" si="2"/>
        <v>HELVIE ADAM</v>
      </c>
    </row>
    <row r="171" spans="1:7" x14ac:dyDescent="0.25">
      <c r="A171" s="8">
        <v>42792.762939814813</v>
      </c>
      <c r="B171" s="20" t="s">
        <v>301</v>
      </c>
      <c r="C171" s="20" t="s">
        <v>739</v>
      </c>
      <c r="D171" s="150">
        <v>920000</v>
      </c>
      <c r="E171" s="20" t="s">
        <v>665</v>
      </c>
      <c r="F171" s="20" t="s">
        <v>202</v>
      </c>
      <c r="G171" s="8" t="str">
        <f t="shared" si="2"/>
        <v>DAVIS MICHAEL</v>
      </c>
    </row>
    <row r="172" spans="1:7" x14ac:dyDescent="0.25">
      <c r="A172" s="8">
        <v>42792.767743055556</v>
      </c>
      <c r="B172" s="20" t="s">
        <v>224</v>
      </c>
      <c r="C172" s="20" t="s">
        <v>740</v>
      </c>
      <c r="D172" s="150">
        <v>2000000</v>
      </c>
      <c r="E172" s="20" t="s">
        <v>583</v>
      </c>
      <c r="F172" s="20" t="s">
        <v>199</v>
      </c>
      <c r="G172" s="8" t="str">
        <f t="shared" si="2"/>
        <v>STAMBAUGH JAMES</v>
      </c>
    </row>
    <row r="173" spans="1:7" x14ac:dyDescent="0.25">
      <c r="A173" s="8">
        <v>42792.77134259259</v>
      </c>
      <c r="B173" s="20" t="s">
        <v>219</v>
      </c>
      <c r="C173" s="20" t="s">
        <v>570</v>
      </c>
      <c r="D173" s="150">
        <v>1810000</v>
      </c>
      <c r="E173" s="20" t="s">
        <v>205</v>
      </c>
      <c r="F173" s="20" t="s">
        <v>199</v>
      </c>
      <c r="G173" s="8" t="str">
        <f t="shared" si="2"/>
        <v>NEWELL JAMES</v>
      </c>
    </row>
    <row r="174" spans="1:7" x14ac:dyDescent="0.25">
      <c r="A174" s="8">
        <v>42792.77648148148</v>
      </c>
      <c r="B174" s="20" t="s">
        <v>256</v>
      </c>
      <c r="C174" s="20" t="s">
        <v>741</v>
      </c>
      <c r="D174" s="150">
        <v>1540000</v>
      </c>
      <c r="E174" s="20" t="s">
        <v>316</v>
      </c>
      <c r="F174" s="20" t="s">
        <v>317</v>
      </c>
      <c r="G174" s="8" t="str">
        <f t="shared" si="2"/>
        <v>HELVIE ADAM</v>
      </c>
    </row>
    <row r="175" spans="1:7" x14ac:dyDescent="0.25">
      <c r="A175" s="8">
        <v>42792.776979166665</v>
      </c>
      <c r="B175" s="20" t="s">
        <v>239</v>
      </c>
      <c r="C175" s="20" t="s">
        <v>742</v>
      </c>
      <c r="D175" s="150">
        <v>1770000</v>
      </c>
      <c r="E175" s="20" t="s">
        <v>318</v>
      </c>
      <c r="F175" s="20" t="s">
        <v>319</v>
      </c>
      <c r="G175" s="8" t="str">
        <f t="shared" si="2"/>
        <v>BRUDER RICHARD</v>
      </c>
    </row>
    <row r="176" spans="1:7" x14ac:dyDescent="0.25">
      <c r="A176" s="8">
        <v>42792.785312499997</v>
      </c>
      <c r="B176" s="20" t="s">
        <v>258</v>
      </c>
      <c r="C176" s="20" t="s">
        <v>743</v>
      </c>
      <c r="D176" s="150">
        <v>2030000</v>
      </c>
      <c r="E176" s="20" t="s">
        <v>342</v>
      </c>
      <c r="F176" s="20" t="s">
        <v>343</v>
      </c>
      <c r="G176" s="8" t="str">
        <f t="shared" si="2"/>
        <v>KILLION DAVID</v>
      </c>
    </row>
    <row r="177" spans="1:7" x14ac:dyDescent="0.25">
      <c r="A177" s="8">
        <v>42792.789444444446</v>
      </c>
      <c r="B177" s="20" t="s">
        <v>333</v>
      </c>
      <c r="C177" s="20" t="s">
        <v>569</v>
      </c>
      <c r="D177" s="150">
        <v>1800000</v>
      </c>
      <c r="E177" s="20" t="s">
        <v>241</v>
      </c>
      <c r="F177" s="20" t="s">
        <v>242</v>
      </c>
      <c r="G177" s="8" t="str">
        <f t="shared" si="2"/>
        <v>CHANDLER KELVIN</v>
      </c>
    </row>
    <row r="178" spans="1:7" x14ac:dyDescent="0.25">
      <c r="A178" s="8">
        <v>42792.789861111109</v>
      </c>
      <c r="B178" s="20" t="s">
        <v>233</v>
      </c>
      <c r="C178" s="20" t="s">
        <v>744</v>
      </c>
      <c r="D178" s="150">
        <v>2630000</v>
      </c>
      <c r="E178" s="20" t="s">
        <v>579</v>
      </c>
      <c r="F178" s="20" t="s">
        <v>580</v>
      </c>
      <c r="G178" s="8" t="str">
        <f t="shared" si="2"/>
        <v>SAFIEF AEIMEN</v>
      </c>
    </row>
    <row r="179" spans="1:7" x14ac:dyDescent="0.25">
      <c r="A179" s="8">
        <v>42792.800266203703</v>
      </c>
      <c r="B179" s="20" t="s">
        <v>192</v>
      </c>
      <c r="C179" s="20" t="s">
        <v>745</v>
      </c>
      <c r="D179" s="150">
        <v>2250000</v>
      </c>
      <c r="E179" s="20" t="s">
        <v>667</v>
      </c>
      <c r="F179" s="20" t="s">
        <v>668</v>
      </c>
      <c r="G179" s="8" t="str">
        <f t="shared" si="2"/>
        <v>CRAYTON QUNTRELL</v>
      </c>
    </row>
    <row r="180" spans="1:7" x14ac:dyDescent="0.25">
      <c r="A180" s="8">
        <v>42792.802233796298</v>
      </c>
      <c r="B180" s="20" t="s">
        <v>208</v>
      </c>
      <c r="C180" s="20" t="s">
        <v>571</v>
      </c>
      <c r="D180" s="150">
        <v>2000000</v>
      </c>
      <c r="E180" s="20" t="s">
        <v>583</v>
      </c>
      <c r="F180" s="20" t="s">
        <v>199</v>
      </c>
      <c r="G180" s="8" t="str">
        <f t="shared" si="2"/>
        <v>STAMBAUGH JAMES</v>
      </c>
    </row>
    <row r="181" spans="1:7" x14ac:dyDescent="0.25">
      <c r="A181" s="8">
        <v>42792.803263888891</v>
      </c>
      <c r="B181" s="20" t="s">
        <v>607</v>
      </c>
      <c r="C181" s="20" t="s">
        <v>746</v>
      </c>
      <c r="D181" s="150">
        <v>2610000</v>
      </c>
      <c r="E181" s="20" t="s">
        <v>747</v>
      </c>
      <c r="F181" s="20" t="s">
        <v>748</v>
      </c>
      <c r="G181" s="8" t="str">
        <f t="shared" si="2"/>
        <v>MAGEE KENYA</v>
      </c>
    </row>
    <row r="182" spans="1:7" x14ac:dyDescent="0.25">
      <c r="A182" s="8">
        <v>42792.811724537038</v>
      </c>
      <c r="B182" s="20" t="s">
        <v>220</v>
      </c>
      <c r="C182" s="20" t="s">
        <v>749</v>
      </c>
      <c r="D182" s="150">
        <v>1810000</v>
      </c>
      <c r="E182" s="20" t="s">
        <v>205</v>
      </c>
      <c r="F182" s="20" t="s">
        <v>199</v>
      </c>
      <c r="G182" s="8" t="str">
        <f t="shared" si="2"/>
        <v>NEWELL JAMES</v>
      </c>
    </row>
    <row r="183" spans="1:7" x14ac:dyDescent="0.25">
      <c r="A183" s="8">
        <v>42792.817384259259</v>
      </c>
      <c r="B183" s="20" t="s">
        <v>256</v>
      </c>
      <c r="C183" s="20" t="s">
        <v>750</v>
      </c>
      <c r="D183" s="150">
        <v>2610000</v>
      </c>
      <c r="E183" s="20" t="s">
        <v>747</v>
      </c>
      <c r="F183" s="20" t="s">
        <v>748</v>
      </c>
      <c r="G183" s="8" t="str">
        <f t="shared" si="2"/>
        <v>MAGEE KENYA</v>
      </c>
    </row>
    <row r="184" spans="1:7" x14ac:dyDescent="0.25">
      <c r="A184" s="8">
        <v>42792.818402777775</v>
      </c>
      <c r="B184" s="20" t="s">
        <v>257</v>
      </c>
      <c r="C184" s="20" t="s">
        <v>751</v>
      </c>
      <c r="D184" s="150">
        <v>2030000</v>
      </c>
      <c r="E184" s="20" t="s">
        <v>342</v>
      </c>
      <c r="F184" s="20" t="s">
        <v>343</v>
      </c>
      <c r="G184" s="8" t="str">
        <f t="shared" si="2"/>
        <v>KILLION DAVID</v>
      </c>
    </row>
    <row r="185" spans="1:7" x14ac:dyDescent="0.25">
      <c r="A185" s="8">
        <v>42792.827326388891</v>
      </c>
      <c r="B185" s="20" t="s">
        <v>332</v>
      </c>
      <c r="C185" s="20" t="s">
        <v>752</v>
      </c>
      <c r="D185" s="150">
        <v>1800000</v>
      </c>
      <c r="E185" s="20" t="s">
        <v>241</v>
      </c>
      <c r="F185" s="20" t="s">
        <v>242</v>
      </c>
      <c r="G185" s="8" t="str">
        <f t="shared" si="2"/>
        <v>CHANDLER KELVIN</v>
      </c>
    </row>
    <row r="186" spans="1:7" x14ac:dyDescent="0.25">
      <c r="A186" s="8">
        <v>42792.830034722225</v>
      </c>
      <c r="B186" s="20" t="s">
        <v>236</v>
      </c>
      <c r="C186" s="20" t="s">
        <v>753</v>
      </c>
      <c r="D186" s="150">
        <v>2230000</v>
      </c>
      <c r="E186" s="20" t="s">
        <v>344</v>
      </c>
      <c r="F186" s="20" t="s">
        <v>202</v>
      </c>
      <c r="G186" s="8" t="str">
        <f t="shared" si="2"/>
        <v>SMITH MICHAEL</v>
      </c>
    </row>
    <row r="187" spans="1:7" x14ac:dyDescent="0.25">
      <c r="A187" s="8">
        <v>42792.836365740739</v>
      </c>
      <c r="B187" s="20" t="s">
        <v>291</v>
      </c>
      <c r="C187" s="20" t="s">
        <v>572</v>
      </c>
      <c r="D187" s="150">
        <v>2730000</v>
      </c>
      <c r="E187" s="20" t="s">
        <v>283</v>
      </c>
      <c r="F187" s="20" t="s">
        <v>284</v>
      </c>
      <c r="G187" s="8" t="str">
        <f t="shared" si="2"/>
        <v>YANG JAN</v>
      </c>
    </row>
    <row r="188" spans="1:7" x14ac:dyDescent="0.25">
      <c r="A188" s="8">
        <v>42792.838587962964</v>
      </c>
      <c r="B188" s="20" t="s">
        <v>224</v>
      </c>
      <c r="C188" s="20" t="s">
        <v>754</v>
      </c>
      <c r="D188" s="150">
        <v>2000000</v>
      </c>
      <c r="E188" s="20" t="s">
        <v>583</v>
      </c>
      <c r="F188" s="20" t="s">
        <v>199</v>
      </c>
      <c r="G188" s="8" t="str">
        <f t="shared" si="2"/>
        <v>STAMBAUGH JAMES</v>
      </c>
    </row>
    <row r="189" spans="1:7" x14ac:dyDescent="0.25">
      <c r="A189" s="8">
        <v>42792.840752314813</v>
      </c>
      <c r="B189" s="20" t="s">
        <v>219</v>
      </c>
      <c r="C189" s="20" t="s">
        <v>755</v>
      </c>
      <c r="D189" s="150">
        <v>1810000</v>
      </c>
      <c r="E189" s="20" t="s">
        <v>205</v>
      </c>
      <c r="F189" s="20" t="s">
        <v>199</v>
      </c>
      <c r="G189" s="8" t="str">
        <f t="shared" si="2"/>
        <v>NEWELL JAMES</v>
      </c>
    </row>
    <row r="190" spans="1:7" x14ac:dyDescent="0.25">
      <c r="A190" s="8">
        <v>42792.845509259256</v>
      </c>
      <c r="B190" s="20" t="s">
        <v>607</v>
      </c>
      <c r="C190" s="20" t="s">
        <v>756</v>
      </c>
      <c r="D190" s="150">
        <v>1540000</v>
      </c>
      <c r="E190" s="20" t="s">
        <v>316</v>
      </c>
      <c r="F190" s="20" t="s">
        <v>317</v>
      </c>
      <c r="G190" s="8" t="str">
        <f t="shared" si="2"/>
        <v>HELVIE ADAM</v>
      </c>
    </row>
    <row r="191" spans="1:7" x14ac:dyDescent="0.25">
      <c r="A191" s="8">
        <v>42792.84920138889</v>
      </c>
      <c r="B191" s="20" t="s">
        <v>219</v>
      </c>
      <c r="C191" s="20" t="s">
        <v>755</v>
      </c>
      <c r="D191" s="150">
        <v>1810000</v>
      </c>
      <c r="E191" s="20" t="s">
        <v>205</v>
      </c>
      <c r="F191" s="20" t="s">
        <v>199</v>
      </c>
      <c r="G191" s="8" t="str">
        <f t="shared" si="2"/>
        <v>NEWELL JAMES</v>
      </c>
    </row>
    <row r="192" spans="1:7" x14ac:dyDescent="0.25">
      <c r="A192" s="8">
        <v>42792.861296296294</v>
      </c>
      <c r="B192" s="20" t="s">
        <v>292</v>
      </c>
      <c r="C192" s="20" t="s">
        <v>573</v>
      </c>
      <c r="D192" s="150">
        <v>2730000</v>
      </c>
      <c r="E192" s="20" t="s">
        <v>283</v>
      </c>
      <c r="F192" s="20" t="s">
        <v>284</v>
      </c>
      <c r="G192" s="8" t="str">
        <f t="shared" si="2"/>
        <v>YANG JAN</v>
      </c>
    </row>
    <row r="193" spans="1:7" x14ac:dyDescent="0.25">
      <c r="A193" s="8">
        <v>42792.861435185187</v>
      </c>
      <c r="B193" s="20" t="s">
        <v>219</v>
      </c>
      <c r="C193" s="20" t="s">
        <v>755</v>
      </c>
      <c r="D193" s="150">
        <v>1810000</v>
      </c>
      <c r="E193" s="20" t="s">
        <v>205</v>
      </c>
      <c r="F193" s="20" t="s">
        <v>199</v>
      </c>
      <c r="G193" s="8" t="str">
        <f t="shared" si="2"/>
        <v>NEWELL JAMES</v>
      </c>
    </row>
    <row r="194" spans="1:7" x14ac:dyDescent="0.25">
      <c r="A194" s="8">
        <v>42792.863009259258</v>
      </c>
      <c r="B194" s="20" t="s">
        <v>256</v>
      </c>
      <c r="C194" s="20" t="s">
        <v>757</v>
      </c>
      <c r="D194" s="150">
        <v>1540000</v>
      </c>
      <c r="E194" s="20" t="s">
        <v>316</v>
      </c>
      <c r="F194" s="20" t="s">
        <v>317</v>
      </c>
      <c r="G194" s="8" t="str">
        <f t="shared" si="2"/>
        <v>HELVIE ADAM</v>
      </c>
    </row>
    <row r="195" spans="1:7" x14ac:dyDescent="0.25">
      <c r="A195" s="8">
        <v>42792.865046296298</v>
      </c>
      <c r="B195" s="20" t="s">
        <v>233</v>
      </c>
      <c r="C195" s="20" t="s">
        <v>758</v>
      </c>
      <c r="D195" s="150">
        <v>2230000</v>
      </c>
      <c r="E195" s="20" t="s">
        <v>344</v>
      </c>
      <c r="F195" s="20" t="s">
        <v>202</v>
      </c>
      <c r="G195" s="8" t="str">
        <f t="shared" ref="G195:G258" si="3">E195&amp;" "&amp;F195</f>
        <v>SMITH MICHAEL</v>
      </c>
    </row>
    <row r="196" spans="1:7" x14ac:dyDescent="0.25">
      <c r="A196" s="8">
        <v>42792.871782407405</v>
      </c>
      <c r="B196" s="20" t="s">
        <v>333</v>
      </c>
      <c r="C196" s="20" t="s">
        <v>759</v>
      </c>
      <c r="D196" s="150">
        <v>1800000</v>
      </c>
      <c r="E196" s="20" t="s">
        <v>241</v>
      </c>
      <c r="F196" s="20" t="s">
        <v>242</v>
      </c>
      <c r="G196" s="8" t="str">
        <f t="shared" si="3"/>
        <v>CHANDLER KELVIN</v>
      </c>
    </row>
    <row r="197" spans="1:7" x14ac:dyDescent="0.25">
      <c r="A197" s="8">
        <v>42792.880335648151</v>
      </c>
      <c r="B197" s="20" t="s">
        <v>607</v>
      </c>
      <c r="C197" s="20" t="s">
        <v>760</v>
      </c>
      <c r="D197" s="150">
        <v>1540000</v>
      </c>
      <c r="E197" s="20" t="s">
        <v>316</v>
      </c>
      <c r="F197" s="20" t="s">
        <v>317</v>
      </c>
      <c r="G197" s="8" t="str">
        <f t="shared" si="3"/>
        <v>HELVIE ADAM</v>
      </c>
    </row>
    <row r="198" spans="1:7" x14ac:dyDescent="0.25">
      <c r="A198" s="8">
        <v>42792.881030092591</v>
      </c>
      <c r="B198" s="20" t="s">
        <v>220</v>
      </c>
      <c r="C198" s="20" t="s">
        <v>761</v>
      </c>
      <c r="D198" s="150">
        <v>1810000</v>
      </c>
      <c r="E198" s="20" t="s">
        <v>205</v>
      </c>
      <c r="F198" s="20" t="s">
        <v>199</v>
      </c>
      <c r="G198" s="8" t="str">
        <f t="shared" si="3"/>
        <v>NEWELL JAMES</v>
      </c>
    </row>
    <row r="199" spans="1:7" x14ac:dyDescent="0.25">
      <c r="A199" s="8">
        <v>42792.886631944442</v>
      </c>
      <c r="B199" s="20" t="s">
        <v>208</v>
      </c>
      <c r="C199" s="20" t="s">
        <v>762</v>
      </c>
      <c r="D199" s="150">
        <v>2000000</v>
      </c>
      <c r="E199" s="20" t="s">
        <v>583</v>
      </c>
      <c r="F199" s="20" t="s">
        <v>199</v>
      </c>
      <c r="G199" s="8" t="str">
        <f t="shared" si="3"/>
        <v>STAMBAUGH JAMES</v>
      </c>
    </row>
    <row r="200" spans="1:7" x14ac:dyDescent="0.25">
      <c r="A200" s="8">
        <v>42792.893622685187</v>
      </c>
      <c r="B200" s="20" t="s">
        <v>291</v>
      </c>
      <c r="C200" s="20" t="s">
        <v>572</v>
      </c>
      <c r="D200" s="150">
        <v>2730000</v>
      </c>
      <c r="E200" s="20" t="s">
        <v>283</v>
      </c>
      <c r="F200" s="20" t="s">
        <v>284</v>
      </c>
      <c r="G200" s="8" t="str">
        <f t="shared" si="3"/>
        <v>YANG JAN</v>
      </c>
    </row>
    <row r="201" spans="1:7" x14ac:dyDescent="0.25">
      <c r="A201" s="8">
        <v>42792.901932870373</v>
      </c>
      <c r="B201" s="20" t="s">
        <v>256</v>
      </c>
      <c r="C201" s="20" t="s">
        <v>763</v>
      </c>
      <c r="D201" s="150">
        <v>1540000</v>
      </c>
      <c r="E201" s="20" t="s">
        <v>316</v>
      </c>
      <c r="F201" s="20" t="s">
        <v>317</v>
      </c>
      <c r="G201" s="8" t="str">
        <f t="shared" si="3"/>
        <v>HELVIE ADAM</v>
      </c>
    </row>
    <row r="202" spans="1:7" x14ac:dyDescent="0.25">
      <c r="A202" s="26">
        <v>42792.902546296296</v>
      </c>
      <c r="B202" s="20" t="s">
        <v>236</v>
      </c>
      <c r="C202" s="20" t="s">
        <v>764</v>
      </c>
      <c r="D202" s="150">
        <v>2230000</v>
      </c>
      <c r="E202" s="20" t="s">
        <v>344</v>
      </c>
      <c r="F202" s="20" t="s">
        <v>202</v>
      </c>
      <c r="G202" s="8" t="str">
        <f t="shared" si="3"/>
        <v>SMITH MICHAEL</v>
      </c>
    </row>
    <row r="203" spans="1:7" x14ac:dyDescent="0.25">
      <c r="A203" s="8">
        <v>42792.911168981482</v>
      </c>
      <c r="B203" s="20" t="s">
        <v>332</v>
      </c>
      <c r="C203" s="20" t="s">
        <v>765</v>
      </c>
      <c r="D203" s="150">
        <v>1800000</v>
      </c>
      <c r="E203" s="20" t="s">
        <v>241</v>
      </c>
      <c r="F203" s="20" t="s">
        <v>242</v>
      </c>
      <c r="G203" s="8" t="str">
        <f t="shared" si="3"/>
        <v>CHANDLER KELVIN</v>
      </c>
    </row>
    <row r="204" spans="1:7" x14ac:dyDescent="0.25">
      <c r="A204" s="8">
        <v>42792.922430555554</v>
      </c>
      <c r="B204" s="20" t="s">
        <v>224</v>
      </c>
      <c r="C204" s="20" t="s">
        <v>766</v>
      </c>
      <c r="D204" s="150">
        <v>2000000</v>
      </c>
      <c r="E204" s="20" t="s">
        <v>583</v>
      </c>
      <c r="F204" s="20" t="s">
        <v>199</v>
      </c>
      <c r="G204" s="8" t="str">
        <f t="shared" si="3"/>
        <v>STAMBAUGH JAMES</v>
      </c>
    </row>
    <row r="205" spans="1:7" x14ac:dyDescent="0.25">
      <c r="A205" s="8">
        <v>42792.927719907406</v>
      </c>
      <c r="B205" s="20" t="s">
        <v>292</v>
      </c>
      <c r="C205" s="20" t="s">
        <v>573</v>
      </c>
      <c r="D205" s="150">
        <v>2730000</v>
      </c>
      <c r="E205" s="20" t="s">
        <v>283</v>
      </c>
      <c r="F205" s="20" t="s">
        <v>284</v>
      </c>
      <c r="G205" s="8" t="str">
        <f t="shared" si="3"/>
        <v>YANG JAN</v>
      </c>
    </row>
    <row r="206" spans="1:7" x14ac:dyDescent="0.25">
      <c r="A206" s="8">
        <v>42792.92832175926</v>
      </c>
      <c r="B206" s="20" t="s">
        <v>607</v>
      </c>
      <c r="C206" s="20" t="s">
        <v>767</v>
      </c>
      <c r="D206" s="150">
        <v>1540000</v>
      </c>
      <c r="E206" s="20" t="s">
        <v>316</v>
      </c>
      <c r="F206" s="20" t="s">
        <v>317</v>
      </c>
      <c r="G206" s="8" t="str">
        <f t="shared" si="3"/>
        <v>HELVIE ADAM</v>
      </c>
    </row>
    <row r="207" spans="1:7" x14ac:dyDescent="0.25">
      <c r="A207" s="8">
        <v>42792.932534722226</v>
      </c>
      <c r="B207" s="20" t="s">
        <v>292</v>
      </c>
      <c r="C207" s="20" t="s">
        <v>573</v>
      </c>
      <c r="D207" s="150">
        <v>2730000</v>
      </c>
      <c r="E207" s="20" t="s">
        <v>283</v>
      </c>
      <c r="F207" s="20" t="s">
        <v>284</v>
      </c>
      <c r="G207" s="8" t="str">
        <f t="shared" si="3"/>
        <v>YANG JAN</v>
      </c>
    </row>
    <row r="208" spans="1:7" x14ac:dyDescent="0.25">
      <c r="A208" s="8">
        <v>42792.933449074073</v>
      </c>
      <c r="B208" s="20" t="s">
        <v>219</v>
      </c>
      <c r="C208" s="20" t="s">
        <v>768</v>
      </c>
      <c r="D208" s="150">
        <v>1810000</v>
      </c>
      <c r="E208" s="20" t="s">
        <v>205</v>
      </c>
      <c r="F208" s="20" t="s">
        <v>199</v>
      </c>
      <c r="G208" s="8" t="str">
        <f t="shared" si="3"/>
        <v>NEWELL JAMES</v>
      </c>
    </row>
    <row r="209" spans="1:7" x14ac:dyDescent="0.25">
      <c r="A209" s="8">
        <v>42792.941574074073</v>
      </c>
      <c r="B209" s="20" t="s">
        <v>256</v>
      </c>
      <c r="C209" s="20" t="s">
        <v>769</v>
      </c>
      <c r="D209" s="150">
        <v>1540000</v>
      </c>
      <c r="E209" s="20" t="s">
        <v>316</v>
      </c>
      <c r="F209" s="20" t="s">
        <v>317</v>
      </c>
      <c r="G209" s="8" t="str">
        <f t="shared" si="3"/>
        <v>HELVIE ADAM</v>
      </c>
    </row>
    <row r="210" spans="1:7" x14ac:dyDescent="0.25">
      <c r="A210" s="8">
        <v>42792.945752314816</v>
      </c>
      <c r="B210" s="20" t="s">
        <v>233</v>
      </c>
      <c r="C210" s="20" t="s">
        <v>770</v>
      </c>
      <c r="D210" s="150">
        <v>2230000</v>
      </c>
      <c r="E210" s="20" t="s">
        <v>344</v>
      </c>
      <c r="F210" s="20" t="s">
        <v>202</v>
      </c>
      <c r="G210" s="8" t="str">
        <f t="shared" si="3"/>
        <v>SMITH MICHAEL</v>
      </c>
    </row>
    <row r="211" spans="1:7" x14ac:dyDescent="0.25">
      <c r="A211" s="8">
        <v>42792.956203703703</v>
      </c>
      <c r="B211" s="20" t="s">
        <v>333</v>
      </c>
      <c r="C211" s="20" t="s">
        <v>771</v>
      </c>
      <c r="D211" s="150">
        <v>1800000</v>
      </c>
      <c r="E211" s="20" t="s">
        <v>241</v>
      </c>
      <c r="F211" s="20" t="s">
        <v>242</v>
      </c>
      <c r="G211" s="8" t="str">
        <f t="shared" si="3"/>
        <v>CHANDLER KELVIN</v>
      </c>
    </row>
    <row r="212" spans="1:7" x14ac:dyDescent="0.25">
      <c r="A212" s="8">
        <v>42792.961770833332</v>
      </c>
      <c r="B212" s="20" t="s">
        <v>291</v>
      </c>
      <c r="C212" s="20" t="s">
        <v>572</v>
      </c>
      <c r="D212" s="150">
        <v>2730000</v>
      </c>
      <c r="E212" s="20" t="s">
        <v>283</v>
      </c>
      <c r="F212" s="20" t="s">
        <v>284</v>
      </c>
      <c r="G212" s="8" t="str">
        <f t="shared" si="3"/>
        <v>YANG JAN</v>
      </c>
    </row>
    <row r="213" spans="1:7" x14ac:dyDescent="0.25">
      <c r="A213" s="8">
        <v>42792.975891203707</v>
      </c>
      <c r="B213" s="20" t="s">
        <v>208</v>
      </c>
      <c r="C213" s="20" t="s">
        <v>772</v>
      </c>
      <c r="D213" s="150">
        <v>2000000</v>
      </c>
      <c r="E213" s="20" t="s">
        <v>583</v>
      </c>
      <c r="F213" s="20" t="s">
        <v>199</v>
      </c>
      <c r="G213" s="8" t="str">
        <f t="shared" si="3"/>
        <v>STAMBAUGH JAMES</v>
      </c>
    </row>
    <row r="214" spans="1:7" x14ac:dyDescent="0.25">
      <c r="A214" s="8">
        <v>42792.976689814815</v>
      </c>
      <c r="B214" s="20" t="s">
        <v>220</v>
      </c>
      <c r="C214" s="20" t="s">
        <v>773</v>
      </c>
      <c r="D214" s="150">
        <v>1810000</v>
      </c>
      <c r="E214" s="20" t="s">
        <v>205</v>
      </c>
      <c r="F214" s="20" t="s">
        <v>199</v>
      </c>
      <c r="G214" s="8" t="str">
        <f t="shared" si="3"/>
        <v>NEWELL JAMES</v>
      </c>
    </row>
    <row r="215" spans="1:7" x14ac:dyDescent="0.25">
      <c r="A215" s="8">
        <v>42792.986828703702</v>
      </c>
      <c r="B215" s="20" t="s">
        <v>236</v>
      </c>
      <c r="C215" s="20" t="s">
        <v>774</v>
      </c>
      <c r="D215" s="150">
        <v>2230000</v>
      </c>
      <c r="E215" s="20" t="s">
        <v>344</v>
      </c>
      <c r="F215" s="20" t="s">
        <v>202</v>
      </c>
      <c r="G215" s="8" t="str">
        <f t="shared" si="3"/>
        <v>SMITH MICHAEL</v>
      </c>
    </row>
    <row r="216" spans="1:7" x14ac:dyDescent="0.25">
      <c r="A216" s="8">
        <v>42792.992835648147</v>
      </c>
      <c r="B216" s="20" t="s">
        <v>332</v>
      </c>
      <c r="C216" s="20" t="s">
        <v>775</v>
      </c>
      <c r="D216" s="150">
        <v>1800000</v>
      </c>
      <c r="E216" s="20" t="s">
        <v>241</v>
      </c>
      <c r="F216" s="20" t="s">
        <v>242</v>
      </c>
      <c r="G216" s="8" t="str">
        <f t="shared" si="3"/>
        <v>CHANDLER KELVIN</v>
      </c>
    </row>
    <row r="217" spans="1:7" x14ac:dyDescent="0.25">
      <c r="A217" s="8">
        <v>42793.002615740741</v>
      </c>
      <c r="B217" s="20" t="s">
        <v>292</v>
      </c>
      <c r="C217" s="20" t="s">
        <v>573</v>
      </c>
      <c r="D217" s="150">
        <v>2730000</v>
      </c>
      <c r="E217" s="20" t="s">
        <v>283</v>
      </c>
      <c r="F217" s="20" t="s">
        <v>284</v>
      </c>
      <c r="G217" s="8" t="str">
        <f t="shared" si="3"/>
        <v>YANG JAN</v>
      </c>
    </row>
    <row r="218" spans="1:7" x14ac:dyDescent="0.25">
      <c r="A218" s="8">
        <v>42793.009432870371</v>
      </c>
      <c r="B218" s="20" t="s">
        <v>224</v>
      </c>
      <c r="C218" s="20" t="s">
        <v>776</v>
      </c>
      <c r="D218" s="150">
        <v>2000000</v>
      </c>
      <c r="E218" s="20" t="s">
        <v>583</v>
      </c>
      <c r="F218" s="20" t="s">
        <v>199</v>
      </c>
      <c r="G218" s="8" t="str">
        <f t="shared" si="3"/>
        <v>STAMBAUGH JAMES</v>
      </c>
    </row>
    <row r="219" spans="1:7" x14ac:dyDescent="0.25">
      <c r="A219" s="8">
        <v>42793.015925925924</v>
      </c>
      <c r="B219" s="20" t="s">
        <v>219</v>
      </c>
      <c r="C219" s="20" t="s">
        <v>777</v>
      </c>
      <c r="D219" s="150">
        <v>1810000</v>
      </c>
      <c r="E219" s="20" t="s">
        <v>205</v>
      </c>
      <c r="F219" s="20" t="s">
        <v>199</v>
      </c>
      <c r="G219" s="8" t="str">
        <f t="shared" si="3"/>
        <v>NEWELL JAMES</v>
      </c>
    </row>
    <row r="220" spans="1:7" x14ac:dyDescent="0.25">
      <c r="A220" s="8">
        <v>42793.027650462966</v>
      </c>
      <c r="B220" s="20" t="s">
        <v>333</v>
      </c>
      <c r="C220" s="20" t="s">
        <v>778</v>
      </c>
      <c r="D220" s="150">
        <v>1800000</v>
      </c>
      <c r="E220" s="20" t="s">
        <v>241</v>
      </c>
      <c r="F220" s="20" t="s">
        <v>242</v>
      </c>
      <c r="G220" s="8" t="str">
        <f t="shared" si="3"/>
        <v>CHANDLER KELVIN</v>
      </c>
    </row>
    <row r="221" spans="1:7" x14ac:dyDescent="0.25">
      <c r="A221" s="8">
        <v>42793.031886574077</v>
      </c>
      <c r="B221" s="20" t="s">
        <v>233</v>
      </c>
      <c r="C221" s="20" t="s">
        <v>574</v>
      </c>
      <c r="D221" s="150">
        <v>2230000</v>
      </c>
      <c r="E221" s="20" t="s">
        <v>344</v>
      </c>
      <c r="F221" s="20" t="s">
        <v>202</v>
      </c>
      <c r="G221" s="8" t="str">
        <f t="shared" si="3"/>
        <v>SMITH MICHAEL</v>
      </c>
    </row>
    <row r="222" spans="1:7" x14ac:dyDescent="0.25">
      <c r="A222" s="8">
        <v>42793.033993055556</v>
      </c>
      <c r="B222" s="20" t="s">
        <v>291</v>
      </c>
      <c r="C222" s="20" t="s">
        <v>572</v>
      </c>
      <c r="D222" s="150">
        <v>2730000</v>
      </c>
      <c r="E222" s="20" t="s">
        <v>283</v>
      </c>
      <c r="F222" s="20" t="s">
        <v>284</v>
      </c>
      <c r="G222" s="8" t="str">
        <f t="shared" si="3"/>
        <v>YANG JAN</v>
      </c>
    </row>
    <row r="223" spans="1:7" x14ac:dyDescent="0.25">
      <c r="A223" s="8">
        <v>42793.049722222226</v>
      </c>
      <c r="B223" s="20" t="s">
        <v>220</v>
      </c>
      <c r="C223" s="20" t="s">
        <v>779</v>
      </c>
      <c r="D223" s="150">
        <v>1810000</v>
      </c>
      <c r="E223" s="20" t="s">
        <v>205</v>
      </c>
      <c r="F223" s="20" t="s">
        <v>199</v>
      </c>
      <c r="G223" s="8" t="str">
        <f t="shared" si="3"/>
        <v>NEWELL JAMES</v>
      </c>
    </row>
    <row r="224" spans="1:7" x14ac:dyDescent="0.25">
      <c r="A224" s="8">
        <v>42793.058831018519</v>
      </c>
      <c r="B224" t="s">
        <v>208</v>
      </c>
      <c r="C224" t="s">
        <v>780</v>
      </c>
      <c r="D224" s="150">
        <v>2000000</v>
      </c>
      <c r="E224" t="s">
        <v>583</v>
      </c>
      <c r="F224" s="20" t="s">
        <v>199</v>
      </c>
      <c r="G224" s="8" t="str">
        <f t="shared" si="3"/>
        <v>STAMBAUGH JAMES</v>
      </c>
    </row>
    <row r="225" spans="1:7" x14ac:dyDescent="0.25">
      <c r="A225" s="8">
        <v>42793.068564814814</v>
      </c>
      <c r="B225" t="s">
        <v>236</v>
      </c>
      <c r="C225" t="s">
        <v>781</v>
      </c>
      <c r="D225" s="150">
        <v>2230000</v>
      </c>
      <c r="E225" t="s">
        <v>344</v>
      </c>
      <c r="F225" s="20" t="s">
        <v>202</v>
      </c>
      <c r="G225" s="8" t="str">
        <f t="shared" si="3"/>
        <v>SMITH MICHAEL</v>
      </c>
    </row>
    <row r="226" spans="1:7" x14ac:dyDescent="0.25">
      <c r="A226" s="8">
        <v>42793.076990740738</v>
      </c>
      <c r="B226" t="s">
        <v>292</v>
      </c>
      <c r="C226" t="s">
        <v>573</v>
      </c>
      <c r="D226" s="150">
        <v>2730000</v>
      </c>
      <c r="E226" t="s">
        <v>283</v>
      </c>
      <c r="F226" s="20" t="s">
        <v>284</v>
      </c>
      <c r="G226" s="8" t="str">
        <f t="shared" si="3"/>
        <v>YANG JAN</v>
      </c>
    </row>
    <row r="227" spans="1:7" x14ac:dyDescent="0.25">
      <c r="A227" s="8">
        <v>42793.089305555557</v>
      </c>
      <c r="B227" t="s">
        <v>224</v>
      </c>
      <c r="C227" t="s">
        <v>782</v>
      </c>
      <c r="D227" s="150">
        <v>2000000</v>
      </c>
      <c r="E227" t="s">
        <v>583</v>
      </c>
      <c r="F227" s="20" t="s">
        <v>199</v>
      </c>
      <c r="G227" s="8" t="str">
        <f t="shared" si="3"/>
        <v>STAMBAUGH JAMES</v>
      </c>
    </row>
    <row r="228" spans="1:7" x14ac:dyDescent="0.25">
      <c r="A228" s="8">
        <v>42789.901087962964</v>
      </c>
      <c r="B228" t="s">
        <v>249</v>
      </c>
      <c r="C228" t="s">
        <v>335</v>
      </c>
      <c r="D228" s="150">
        <v>1740000</v>
      </c>
      <c r="E228" t="s">
        <v>227</v>
      </c>
      <c r="F228" s="20" t="s">
        <v>228</v>
      </c>
      <c r="G228" s="8" t="str">
        <f t="shared" si="3"/>
        <v>STORY SAMANTHA</v>
      </c>
    </row>
    <row r="229" spans="1:7" x14ac:dyDescent="0.25">
      <c r="A229" s="8">
        <v>42789.90730324074</v>
      </c>
      <c r="B229" t="s">
        <v>341</v>
      </c>
      <c r="C229" t="s">
        <v>352</v>
      </c>
      <c r="D229" s="150">
        <v>2270000</v>
      </c>
      <c r="E229" t="s">
        <v>230</v>
      </c>
      <c r="F229" s="20" t="s">
        <v>231</v>
      </c>
      <c r="G229" s="8" t="str">
        <f t="shared" si="3"/>
        <v>BROWN JACOB</v>
      </c>
    </row>
    <row r="230" spans="1:7" x14ac:dyDescent="0.25">
      <c r="A230" s="8">
        <v>42789.909004629626</v>
      </c>
      <c r="B230" t="s">
        <v>292</v>
      </c>
      <c r="C230" t="s">
        <v>350</v>
      </c>
      <c r="D230" s="150">
        <v>2730000</v>
      </c>
      <c r="E230" t="s">
        <v>283</v>
      </c>
      <c r="F230" s="20" t="s">
        <v>284</v>
      </c>
      <c r="G230" s="8" t="str">
        <f t="shared" si="3"/>
        <v>YANG JAN</v>
      </c>
    </row>
    <row r="231" spans="1:7" x14ac:dyDescent="0.25">
      <c r="A231" s="8">
        <v>42789.909409722219</v>
      </c>
      <c r="B231" t="s">
        <v>219</v>
      </c>
      <c r="C231" t="s">
        <v>353</v>
      </c>
      <c r="D231" s="150">
        <v>1800000</v>
      </c>
      <c r="E231" t="s">
        <v>241</v>
      </c>
      <c r="F231" s="20" t="s">
        <v>242</v>
      </c>
      <c r="G231" s="8" t="str">
        <f t="shared" si="3"/>
        <v>CHANDLER KELVIN</v>
      </c>
    </row>
    <row r="232" spans="1:7" x14ac:dyDescent="0.25">
      <c r="A232" s="8">
        <v>42789.919699074075</v>
      </c>
      <c r="B232" t="s">
        <v>291</v>
      </c>
      <c r="C232" t="s">
        <v>347</v>
      </c>
      <c r="D232" s="150">
        <v>2670000</v>
      </c>
      <c r="E232" t="s">
        <v>234</v>
      </c>
      <c r="F232" s="20" t="s">
        <v>235</v>
      </c>
      <c r="G232" s="8" t="str">
        <f t="shared" si="3"/>
        <v>COMELLA JUSTIN</v>
      </c>
    </row>
    <row r="233" spans="1:7" x14ac:dyDescent="0.25">
      <c r="A233" s="8">
        <v>42789.924953703703</v>
      </c>
      <c r="B233" t="s">
        <v>251</v>
      </c>
      <c r="C233" t="s">
        <v>354</v>
      </c>
      <c r="D233" s="150">
        <v>1740000</v>
      </c>
      <c r="E233" t="s">
        <v>227</v>
      </c>
      <c r="F233" s="20" t="s">
        <v>228</v>
      </c>
      <c r="G233" s="8" t="str">
        <f t="shared" si="3"/>
        <v>STORY SAMANTHA</v>
      </c>
    </row>
    <row r="234" spans="1:7" x14ac:dyDescent="0.25">
      <c r="A234" s="8">
        <v>42789.929409722223</v>
      </c>
      <c r="B234" t="s">
        <v>292</v>
      </c>
      <c r="C234" t="s">
        <v>350</v>
      </c>
      <c r="D234" s="150">
        <v>2730000</v>
      </c>
      <c r="E234" t="s">
        <v>283</v>
      </c>
      <c r="F234" s="20" t="s">
        <v>284</v>
      </c>
      <c r="G234" s="8" t="str">
        <f t="shared" si="3"/>
        <v>YANG JAN</v>
      </c>
    </row>
    <row r="235" spans="1:7" x14ac:dyDescent="0.25">
      <c r="A235" s="8">
        <v>42789.934421296297</v>
      </c>
      <c r="B235" t="s">
        <v>192</v>
      </c>
      <c r="C235" t="s">
        <v>355</v>
      </c>
      <c r="D235" s="150">
        <v>2370000</v>
      </c>
      <c r="E235" t="s">
        <v>348</v>
      </c>
      <c r="F235" s="20" t="s">
        <v>349</v>
      </c>
      <c r="G235" s="8" t="str">
        <f t="shared" si="3"/>
        <v>DELGADO DIANAH</v>
      </c>
    </row>
    <row r="236" spans="1:7" x14ac:dyDescent="0.25">
      <c r="A236" s="8">
        <v>42789.934467592589</v>
      </c>
      <c r="B236" t="s">
        <v>217</v>
      </c>
      <c r="C236" t="s">
        <v>336</v>
      </c>
      <c r="D236" s="150">
        <v>2480000</v>
      </c>
      <c r="E236" t="s">
        <v>351</v>
      </c>
      <c r="F236" s="20" t="s">
        <v>215</v>
      </c>
      <c r="G236" s="8" t="str">
        <f t="shared" si="3"/>
        <v>WHITED DUSTIN</v>
      </c>
    </row>
    <row r="237" spans="1:7" x14ac:dyDescent="0.25">
      <c r="A237" s="8">
        <v>42789.939768518518</v>
      </c>
      <c r="B237" t="s">
        <v>291</v>
      </c>
      <c r="C237" t="s">
        <v>347</v>
      </c>
      <c r="D237" s="150">
        <v>2670000</v>
      </c>
      <c r="E237" t="s">
        <v>234</v>
      </c>
      <c r="F237" s="20" t="s">
        <v>235</v>
      </c>
      <c r="G237" s="8" t="str">
        <f t="shared" si="3"/>
        <v>COMELLA JUSTIN</v>
      </c>
    </row>
    <row r="238" spans="1:7" x14ac:dyDescent="0.25">
      <c r="A238" s="8">
        <v>42789.942557870374</v>
      </c>
      <c r="B238" t="s">
        <v>249</v>
      </c>
      <c r="C238" t="s">
        <v>356</v>
      </c>
      <c r="D238" s="150">
        <v>1740000</v>
      </c>
      <c r="E238" t="s">
        <v>227</v>
      </c>
      <c r="F238" s="20" t="s">
        <v>228</v>
      </c>
      <c r="G238" s="8" t="str">
        <f t="shared" si="3"/>
        <v>STORY SAMANTHA</v>
      </c>
    </row>
    <row r="239" spans="1:7" x14ac:dyDescent="0.25">
      <c r="A239" s="8">
        <v>42789.957303240742</v>
      </c>
      <c r="B239" t="s">
        <v>292</v>
      </c>
      <c r="C239" t="s">
        <v>350</v>
      </c>
      <c r="D239" s="150">
        <v>2730000</v>
      </c>
      <c r="E239" t="s">
        <v>283</v>
      </c>
      <c r="F239" s="20" t="s">
        <v>284</v>
      </c>
      <c r="G239" s="8" t="str">
        <f t="shared" si="3"/>
        <v>YANG JAN</v>
      </c>
    </row>
    <row r="240" spans="1:7" x14ac:dyDescent="0.25">
      <c r="A240" s="8">
        <v>42789.957453703704</v>
      </c>
      <c r="B240" t="s">
        <v>220</v>
      </c>
      <c r="C240" t="s">
        <v>357</v>
      </c>
      <c r="D240" s="150">
        <v>1800000</v>
      </c>
      <c r="E240" t="s">
        <v>241</v>
      </c>
      <c r="F240" s="20" t="s">
        <v>242</v>
      </c>
      <c r="G240" s="8" t="str">
        <f t="shared" si="3"/>
        <v>CHANDLER KELVIN</v>
      </c>
    </row>
    <row r="241" spans="1:7" x14ac:dyDescent="0.25">
      <c r="A241" s="8">
        <v>42789.959374999999</v>
      </c>
      <c r="B241" t="s">
        <v>334</v>
      </c>
      <c r="C241" t="s">
        <v>358</v>
      </c>
      <c r="D241" s="150">
        <v>2270000</v>
      </c>
      <c r="E241" t="s">
        <v>230</v>
      </c>
      <c r="F241" s="20" t="s">
        <v>231</v>
      </c>
      <c r="G241" s="8" t="str">
        <f t="shared" si="3"/>
        <v>BROWN JACOB</v>
      </c>
    </row>
    <row r="242" spans="1:7" x14ac:dyDescent="0.25">
      <c r="A242" s="8">
        <v>42789.96298611111</v>
      </c>
      <c r="B242" t="s">
        <v>291</v>
      </c>
      <c r="C242" t="s">
        <v>347</v>
      </c>
      <c r="D242" s="150">
        <v>2670000</v>
      </c>
      <c r="E242" t="s">
        <v>234</v>
      </c>
      <c r="F242" s="20" t="s">
        <v>235</v>
      </c>
      <c r="G242" s="8" t="str">
        <f t="shared" si="3"/>
        <v>COMELLA JUSTIN</v>
      </c>
    </row>
    <row r="243" spans="1:7" x14ac:dyDescent="0.25">
      <c r="A243" s="8">
        <v>42789.970636574071</v>
      </c>
      <c r="B243" t="s">
        <v>292</v>
      </c>
      <c r="C243" t="s">
        <v>350</v>
      </c>
      <c r="D243" s="150">
        <v>2730000</v>
      </c>
      <c r="E243" t="s">
        <v>283</v>
      </c>
      <c r="F243" s="20" t="s">
        <v>284</v>
      </c>
      <c r="G243" s="8" t="str">
        <f t="shared" si="3"/>
        <v>YANG JAN</v>
      </c>
    </row>
    <row r="244" spans="1:7" x14ac:dyDescent="0.25">
      <c r="A244" s="8">
        <v>42789.973611111112</v>
      </c>
      <c r="B244" t="s">
        <v>259</v>
      </c>
      <c r="C244" t="s">
        <v>359</v>
      </c>
      <c r="D244" s="150">
        <v>2370000</v>
      </c>
      <c r="E244" t="s">
        <v>348</v>
      </c>
      <c r="F244" s="20" t="s">
        <v>349</v>
      </c>
      <c r="G244" s="8" t="str">
        <f t="shared" si="3"/>
        <v>DELGADO DIANAH</v>
      </c>
    </row>
    <row r="245" spans="1:7" x14ac:dyDescent="0.25">
      <c r="A245" s="8">
        <v>42789.974247685182</v>
      </c>
      <c r="B245" t="s">
        <v>216</v>
      </c>
      <c r="C245" t="s">
        <v>360</v>
      </c>
      <c r="D245" s="150">
        <v>2540000</v>
      </c>
      <c r="E245" t="s">
        <v>221</v>
      </c>
      <c r="F245" s="20" t="s">
        <v>222</v>
      </c>
      <c r="G245" s="8" t="str">
        <f t="shared" si="3"/>
        <v>MCREYNOLDS KYLE</v>
      </c>
    </row>
    <row r="246" spans="1:7" x14ac:dyDescent="0.25">
      <c r="A246" s="8">
        <v>42789.977164351854</v>
      </c>
      <c r="B246" t="s">
        <v>291</v>
      </c>
      <c r="C246" t="s">
        <v>347</v>
      </c>
      <c r="D246" s="150">
        <v>2670000</v>
      </c>
      <c r="E246" t="s">
        <v>234</v>
      </c>
      <c r="F246" s="20" t="s">
        <v>235</v>
      </c>
      <c r="G246" s="8" t="str">
        <f t="shared" si="3"/>
        <v>COMELLA JUSTIN</v>
      </c>
    </row>
    <row r="247" spans="1:7" x14ac:dyDescent="0.25">
      <c r="A247" s="8">
        <v>42789.984456018516</v>
      </c>
      <c r="B247" t="s">
        <v>292</v>
      </c>
      <c r="C247" t="s">
        <v>350</v>
      </c>
      <c r="D247" s="150">
        <v>2730000</v>
      </c>
      <c r="E247" t="s">
        <v>283</v>
      </c>
      <c r="F247" s="20" t="s">
        <v>284</v>
      </c>
      <c r="G247" s="8" t="str">
        <f t="shared" si="3"/>
        <v>YANG JAN</v>
      </c>
    </row>
    <row r="248" spans="1:7" x14ac:dyDescent="0.25">
      <c r="A248" s="8">
        <v>42789.990034722221</v>
      </c>
      <c r="B248" t="s">
        <v>291</v>
      </c>
      <c r="C248" t="s">
        <v>347</v>
      </c>
      <c r="D248" s="150">
        <v>2670000</v>
      </c>
      <c r="E248" t="s">
        <v>234</v>
      </c>
      <c r="F248" s="20" t="s">
        <v>235</v>
      </c>
      <c r="G248" s="8" t="str">
        <f t="shared" si="3"/>
        <v>COMELLA JUSTIN</v>
      </c>
    </row>
    <row r="249" spans="1:7" x14ac:dyDescent="0.25">
      <c r="A249" s="8">
        <v>42789.995706018519</v>
      </c>
      <c r="B249" t="s">
        <v>219</v>
      </c>
      <c r="C249" t="s">
        <v>361</v>
      </c>
      <c r="D249" s="150">
        <v>1800000</v>
      </c>
      <c r="E249" t="s">
        <v>241</v>
      </c>
      <c r="F249" s="20" t="s">
        <v>242</v>
      </c>
      <c r="G249" s="8" t="str">
        <f t="shared" si="3"/>
        <v>CHANDLER KELVIN</v>
      </c>
    </row>
    <row r="250" spans="1:7" x14ac:dyDescent="0.25">
      <c r="A250" s="8">
        <v>42789.997349537036</v>
      </c>
      <c r="B250" t="s">
        <v>341</v>
      </c>
      <c r="C250" t="s">
        <v>362</v>
      </c>
      <c r="D250" s="150">
        <v>2270000</v>
      </c>
      <c r="E250" t="s">
        <v>230</v>
      </c>
      <c r="F250" s="20" t="s">
        <v>231</v>
      </c>
      <c r="G250" s="8" t="str">
        <f t="shared" si="3"/>
        <v>BROWN JACOB</v>
      </c>
    </row>
    <row r="251" spans="1:7" x14ac:dyDescent="0.25">
      <c r="A251" s="8">
        <v>42789.997442129628</v>
      </c>
      <c r="B251" t="s">
        <v>292</v>
      </c>
      <c r="C251" t="s">
        <v>350</v>
      </c>
      <c r="D251" s="150">
        <v>2730000</v>
      </c>
      <c r="E251" t="s">
        <v>283</v>
      </c>
      <c r="F251" s="20" t="s">
        <v>284</v>
      </c>
      <c r="G251" s="8" t="str">
        <f t="shared" si="3"/>
        <v>YANG JAN</v>
      </c>
    </row>
    <row r="252" spans="1:7" x14ac:dyDescent="0.25">
      <c r="A252" s="8">
        <v>42790.003472222219</v>
      </c>
      <c r="B252" t="s">
        <v>291</v>
      </c>
      <c r="C252" t="s">
        <v>347</v>
      </c>
      <c r="D252" s="150">
        <v>2670000</v>
      </c>
      <c r="E252" t="s">
        <v>234</v>
      </c>
      <c r="F252" s="20" t="s">
        <v>235</v>
      </c>
      <c r="G252" s="8" t="str">
        <f t="shared" si="3"/>
        <v>COMELLA JUSTIN</v>
      </c>
    </row>
    <row r="253" spans="1:7" x14ac:dyDescent="0.25">
      <c r="A253" s="8">
        <v>42790.011053240742</v>
      </c>
      <c r="B253" t="s">
        <v>292</v>
      </c>
      <c r="C253" t="s">
        <v>350</v>
      </c>
      <c r="D253" s="150">
        <v>2730000</v>
      </c>
      <c r="E253" t="s">
        <v>283</v>
      </c>
      <c r="F253" s="20" t="s">
        <v>284</v>
      </c>
      <c r="G253" s="8" t="str">
        <f t="shared" si="3"/>
        <v>YANG JAN</v>
      </c>
    </row>
    <row r="254" spans="1:7" x14ac:dyDescent="0.25">
      <c r="A254" s="8">
        <v>42790.013321759259</v>
      </c>
      <c r="B254" t="s">
        <v>192</v>
      </c>
      <c r="C254" t="s">
        <v>363</v>
      </c>
      <c r="D254" s="150">
        <v>2220000</v>
      </c>
      <c r="E254" t="s">
        <v>214</v>
      </c>
      <c r="F254" s="20" t="s">
        <v>215</v>
      </c>
      <c r="G254" s="8" t="str">
        <f t="shared" si="3"/>
        <v>HILLS DUSTIN</v>
      </c>
    </row>
    <row r="255" spans="1:7" x14ac:dyDescent="0.25">
      <c r="A255" s="8">
        <v>42790.016712962963</v>
      </c>
      <c r="B255" t="s">
        <v>217</v>
      </c>
      <c r="C255" t="s">
        <v>364</v>
      </c>
      <c r="D255" s="150">
        <v>2540000</v>
      </c>
      <c r="E255" t="s">
        <v>221</v>
      </c>
      <c r="F255" s="20" t="s">
        <v>222</v>
      </c>
      <c r="G255" s="8" t="str">
        <f t="shared" si="3"/>
        <v>MCREYNOLDS KYLE</v>
      </c>
    </row>
    <row r="256" spans="1:7" x14ac:dyDescent="0.25">
      <c r="A256" s="8">
        <v>42790.016770833332</v>
      </c>
      <c r="B256" t="s">
        <v>291</v>
      </c>
      <c r="C256" t="s">
        <v>347</v>
      </c>
      <c r="D256" s="150">
        <v>2670000</v>
      </c>
      <c r="E256" t="s">
        <v>234</v>
      </c>
      <c r="F256" s="20" t="s">
        <v>235</v>
      </c>
      <c r="G256" s="8" t="str">
        <f t="shared" si="3"/>
        <v>COMELLA JUSTIN</v>
      </c>
    </row>
    <row r="257" spans="1:7" x14ac:dyDescent="0.25">
      <c r="A257" s="8">
        <v>42790.024351851855</v>
      </c>
      <c r="B257" t="s">
        <v>292</v>
      </c>
      <c r="C257" t="s">
        <v>350</v>
      </c>
      <c r="D257" s="150">
        <v>2730000</v>
      </c>
      <c r="E257" t="s">
        <v>283</v>
      </c>
      <c r="F257" s="20" t="s">
        <v>284</v>
      </c>
      <c r="G257" s="8" t="str">
        <f t="shared" si="3"/>
        <v>YANG JAN</v>
      </c>
    </row>
    <row r="258" spans="1:7" x14ac:dyDescent="0.25">
      <c r="A258" s="8">
        <v>42790.029988425929</v>
      </c>
      <c r="B258" t="s">
        <v>291</v>
      </c>
      <c r="C258" t="s">
        <v>347</v>
      </c>
      <c r="D258" s="150">
        <v>2670000</v>
      </c>
      <c r="E258" t="s">
        <v>234</v>
      </c>
      <c r="F258" s="20" t="s">
        <v>235</v>
      </c>
      <c r="G258" s="8" t="str">
        <f t="shared" si="3"/>
        <v>COMELLA JUSTIN</v>
      </c>
    </row>
    <row r="259" spans="1:7" x14ac:dyDescent="0.25">
      <c r="A259" s="8">
        <v>42790.036620370367</v>
      </c>
      <c r="B259" t="s">
        <v>220</v>
      </c>
      <c r="C259" t="s">
        <v>365</v>
      </c>
      <c r="D259" s="150">
        <v>1800000</v>
      </c>
      <c r="E259" t="s">
        <v>241</v>
      </c>
      <c r="F259" s="20" t="s">
        <v>242</v>
      </c>
      <c r="G259" s="8" t="str">
        <f t="shared" ref="G259:G322" si="4">E259&amp;" "&amp;F259</f>
        <v>CHANDLER KELVIN</v>
      </c>
    </row>
    <row r="260" spans="1:7" x14ac:dyDescent="0.25">
      <c r="A260" s="8">
        <v>42790.037673611114</v>
      </c>
      <c r="B260" t="s">
        <v>292</v>
      </c>
      <c r="C260" t="s">
        <v>350</v>
      </c>
      <c r="D260" s="150">
        <v>2730000</v>
      </c>
      <c r="E260" t="s">
        <v>283</v>
      </c>
      <c r="F260" s="20" t="s">
        <v>284</v>
      </c>
      <c r="G260" s="8" t="str">
        <f t="shared" si="4"/>
        <v>YANG JAN</v>
      </c>
    </row>
    <row r="261" spans="1:7" x14ac:dyDescent="0.25">
      <c r="A261" s="8">
        <v>42790.038599537038</v>
      </c>
      <c r="B261" t="s">
        <v>334</v>
      </c>
      <c r="C261" t="s">
        <v>337</v>
      </c>
      <c r="D261" s="150">
        <v>2270000</v>
      </c>
      <c r="E261" t="s">
        <v>230</v>
      </c>
      <c r="F261" s="20" t="s">
        <v>231</v>
      </c>
      <c r="G261" s="8" t="str">
        <f t="shared" si="4"/>
        <v>BROWN JACOB</v>
      </c>
    </row>
    <row r="262" spans="1:7" x14ac:dyDescent="0.25">
      <c r="A262" s="8">
        <v>42790.045081018521</v>
      </c>
      <c r="B262" t="s">
        <v>291</v>
      </c>
      <c r="C262" t="s">
        <v>347</v>
      </c>
      <c r="D262" s="150">
        <v>2670000</v>
      </c>
      <c r="E262" t="s">
        <v>234</v>
      </c>
      <c r="F262" s="20" t="s">
        <v>235</v>
      </c>
      <c r="G262" s="8" t="str">
        <f t="shared" si="4"/>
        <v>COMELLA JUSTIN</v>
      </c>
    </row>
    <row r="263" spans="1:7" x14ac:dyDescent="0.25">
      <c r="A263" s="8">
        <v>42790.052789351852</v>
      </c>
      <c r="B263" t="s">
        <v>216</v>
      </c>
      <c r="C263" t="s">
        <v>366</v>
      </c>
      <c r="D263" s="150">
        <v>2540000</v>
      </c>
      <c r="E263" t="s">
        <v>221</v>
      </c>
      <c r="F263" s="20" t="s">
        <v>222</v>
      </c>
      <c r="G263" s="8" t="str">
        <f t="shared" si="4"/>
        <v>MCREYNOLDS KYLE</v>
      </c>
    </row>
    <row r="264" spans="1:7" x14ac:dyDescent="0.25">
      <c r="A264" s="8">
        <v>42790.054884259262</v>
      </c>
      <c r="B264" t="s">
        <v>292</v>
      </c>
      <c r="C264" t="s">
        <v>350</v>
      </c>
      <c r="D264" s="150">
        <v>2730000</v>
      </c>
      <c r="E264" t="s">
        <v>283</v>
      </c>
      <c r="F264" s="20" t="s">
        <v>284</v>
      </c>
      <c r="G264" s="8" t="str">
        <f t="shared" si="4"/>
        <v>YANG JAN</v>
      </c>
    </row>
    <row r="265" spans="1:7" x14ac:dyDescent="0.25">
      <c r="A265" s="8">
        <v>42790.058622685188</v>
      </c>
      <c r="B265" t="s">
        <v>259</v>
      </c>
      <c r="C265" t="s">
        <v>367</v>
      </c>
      <c r="D265" s="150">
        <v>2220000</v>
      </c>
      <c r="E265" t="s">
        <v>214</v>
      </c>
      <c r="F265" s="20" t="s">
        <v>215</v>
      </c>
      <c r="G265" s="8" t="str">
        <f t="shared" si="4"/>
        <v>HILLS DUSTIN</v>
      </c>
    </row>
    <row r="266" spans="1:7" x14ac:dyDescent="0.25">
      <c r="A266" s="8">
        <v>42790.063483796293</v>
      </c>
      <c r="B266" t="s">
        <v>291</v>
      </c>
      <c r="C266" t="s">
        <v>347</v>
      </c>
      <c r="D266" s="150">
        <v>2670000</v>
      </c>
      <c r="E266" t="s">
        <v>234</v>
      </c>
      <c r="F266" s="20" t="s">
        <v>235</v>
      </c>
      <c r="G266" s="8" t="str">
        <f t="shared" si="4"/>
        <v>COMELLA JUSTIN</v>
      </c>
    </row>
    <row r="267" spans="1:7" x14ac:dyDescent="0.25">
      <c r="A267" s="8">
        <v>42790.070821759262</v>
      </c>
      <c r="B267" t="s">
        <v>292</v>
      </c>
      <c r="C267" t="s">
        <v>350</v>
      </c>
      <c r="D267" s="150">
        <v>2730000</v>
      </c>
      <c r="E267" t="s">
        <v>283</v>
      </c>
      <c r="F267" s="20" t="s">
        <v>284</v>
      </c>
      <c r="G267" s="8" t="str">
        <f t="shared" si="4"/>
        <v>YANG JAN</v>
      </c>
    </row>
    <row r="268" spans="1:7" x14ac:dyDescent="0.25">
      <c r="A268" s="8">
        <v>42790.072557870371</v>
      </c>
      <c r="B268" t="s">
        <v>341</v>
      </c>
      <c r="C268" t="s">
        <v>368</v>
      </c>
      <c r="D268" s="150">
        <v>2270000</v>
      </c>
      <c r="E268" t="s">
        <v>230</v>
      </c>
      <c r="F268" s="20" t="s">
        <v>231</v>
      </c>
      <c r="G268" s="8" t="str">
        <f t="shared" si="4"/>
        <v>BROWN JACOB</v>
      </c>
    </row>
    <row r="269" spans="1:7" x14ac:dyDescent="0.25">
      <c r="A269" s="8">
        <v>42790.077002314814</v>
      </c>
      <c r="B269" t="s">
        <v>291</v>
      </c>
      <c r="C269" t="s">
        <v>347</v>
      </c>
      <c r="D269" s="150">
        <v>2670000</v>
      </c>
      <c r="E269" t="s">
        <v>234</v>
      </c>
      <c r="F269" s="20" t="s">
        <v>235</v>
      </c>
      <c r="G269" s="8" t="str">
        <f t="shared" si="4"/>
        <v>COMELLA JUSTIN</v>
      </c>
    </row>
    <row r="270" spans="1:7" x14ac:dyDescent="0.25">
      <c r="A270" s="8">
        <v>42790.087210648147</v>
      </c>
      <c r="B270" t="s">
        <v>292</v>
      </c>
      <c r="C270" t="s">
        <v>350</v>
      </c>
      <c r="D270" s="150">
        <v>2730000</v>
      </c>
      <c r="E270" t="s">
        <v>283</v>
      </c>
      <c r="F270" s="20" t="s">
        <v>284</v>
      </c>
      <c r="G270" s="8" t="str">
        <f t="shared" si="4"/>
        <v>YANG JAN</v>
      </c>
    </row>
    <row r="271" spans="1:7" x14ac:dyDescent="0.25">
      <c r="A271" s="8">
        <v>42790.089884259258</v>
      </c>
      <c r="B271" t="s">
        <v>192</v>
      </c>
      <c r="C271" t="s">
        <v>369</v>
      </c>
      <c r="D271" s="150">
        <v>2220000</v>
      </c>
      <c r="E271" t="s">
        <v>214</v>
      </c>
      <c r="F271" s="20" t="s">
        <v>215</v>
      </c>
      <c r="G271" s="8" t="str">
        <f t="shared" si="4"/>
        <v>HILLS DUSTIN</v>
      </c>
    </row>
    <row r="272" spans="1:7" x14ac:dyDescent="0.25">
      <c r="A272" s="8">
        <v>42790.093101851853</v>
      </c>
      <c r="B272" t="s">
        <v>291</v>
      </c>
      <c r="C272" t="s">
        <v>347</v>
      </c>
      <c r="D272" s="150">
        <v>2670000</v>
      </c>
      <c r="E272" t="s">
        <v>234</v>
      </c>
      <c r="F272" s="20" t="s">
        <v>235</v>
      </c>
      <c r="G272" s="8" t="str">
        <f t="shared" si="4"/>
        <v>COMELLA JUSTIN</v>
      </c>
    </row>
    <row r="273" spans="1:7" x14ac:dyDescent="0.25">
      <c r="A273" s="8">
        <v>42790.101909722223</v>
      </c>
      <c r="B273" t="s">
        <v>292</v>
      </c>
      <c r="C273" t="s">
        <v>350</v>
      </c>
      <c r="D273" s="150">
        <v>2730000</v>
      </c>
      <c r="E273" t="s">
        <v>283</v>
      </c>
      <c r="F273" s="20" t="s">
        <v>284</v>
      </c>
      <c r="G273" s="8" t="str">
        <f t="shared" si="4"/>
        <v>YANG JAN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163</v>
      </c>
      <c r="K1" s="190" t="s">
        <v>161</v>
      </c>
      <c r="L1" s="190" t="s">
        <v>156</v>
      </c>
      <c r="M1" s="190" t="s">
        <v>166</v>
      </c>
      <c r="N1" s="190" t="s">
        <v>160</v>
      </c>
      <c r="O1" s="190" t="s">
        <v>167</v>
      </c>
      <c r="P1" s="190" t="s">
        <v>164</v>
      </c>
      <c r="Q1"/>
      <c r="R1"/>
    </row>
    <row r="2" spans="1:18" x14ac:dyDescent="0.25">
      <c r="A2" s="168">
        <v>23.41</v>
      </c>
      <c r="B2" s="168">
        <v>7.0000000000000007E-2</v>
      </c>
      <c r="C2" s="168">
        <v>7.96</v>
      </c>
      <c r="D2" s="8">
        <v>42792</v>
      </c>
      <c r="E2" s="168">
        <v>0.51</v>
      </c>
      <c r="F2" s="168" t="s">
        <v>783</v>
      </c>
      <c r="G2" s="168">
        <v>374.34</v>
      </c>
      <c r="H2" s="168">
        <v>0</v>
      </c>
      <c r="I2" s="168">
        <v>0</v>
      </c>
      <c r="J2" s="168">
        <v>1016.15</v>
      </c>
      <c r="K2" s="168" t="s">
        <v>784</v>
      </c>
      <c r="L2" s="168">
        <v>23.41</v>
      </c>
      <c r="M2" s="168">
        <v>1488092400</v>
      </c>
      <c r="N2" s="168">
        <v>8.9600000000000009</v>
      </c>
      <c r="O2" s="168">
        <v>243</v>
      </c>
      <c r="P2" s="168">
        <v>2.87</v>
      </c>
      <c r="Q2"/>
      <c r="R2"/>
    </row>
    <row r="3" spans="1:18" x14ac:dyDescent="0.25">
      <c r="A3" s="168">
        <v>18.29</v>
      </c>
      <c r="B3" s="168">
        <v>7.0000000000000007E-2</v>
      </c>
      <c r="C3" s="168">
        <v>7.35</v>
      </c>
      <c r="D3" s="8">
        <v>42792.041666666664</v>
      </c>
      <c r="E3" s="168">
        <v>0.51</v>
      </c>
      <c r="F3" s="168" t="s">
        <v>783</v>
      </c>
      <c r="G3" s="168">
        <v>371.06</v>
      </c>
      <c r="H3" s="168">
        <v>0</v>
      </c>
      <c r="I3" s="168">
        <v>0</v>
      </c>
      <c r="J3" s="168">
        <v>1016.97</v>
      </c>
      <c r="K3" s="168" t="s">
        <v>784</v>
      </c>
      <c r="L3" s="168">
        <v>22.73</v>
      </c>
      <c r="M3" s="168">
        <v>1488096000</v>
      </c>
      <c r="N3" s="168">
        <v>8.93</v>
      </c>
      <c r="O3" s="168">
        <v>246</v>
      </c>
      <c r="P3" s="168">
        <v>3.35</v>
      </c>
      <c r="Q3"/>
      <c r="R3"/>
    </row>
    <row r="4" spans="1:18" x14ac:dyDescent="0.25">
      <c r="A4" s="168">
        <v>21.56</v>
      </c>
      <c r="B4" s="168">
        <v>0.08</v>
      </c>
      <c r="C4" s="168">
        <v>6.01</v>
      </c>
      <c r="D4" s="8">
        <v>42792.083333333336</v>
      </c>
      <c r="E4" s="168">
        <v>0.5</v>
      </c>
      <c r="F4" s="168" t="s">
        <v>783</v>
      </c>
      <c r="G4" s="168">
        <v>367.79</v>
      </c>
      <c r="H4" s="168">
        <v>0</v>
      </c>
      <c r="I4" s="168">
        <v>0</v>
      </c>
      <c r="J4" s="168">
        <v>1017.88</v>
      </c>
      <c r="K4" s="168" t="s">
        <v>784</v>
      </c>
      <c r="L4" s="168">
        <v>21.56</v>
      </c>
      <c r="M4" s="168">
        <v>1488099600</v>
      </c>
      <c r="N4" s="168">
        <v>8.81</v>
      </c>
      <c r="O4" s="168">
        <v>253</v>
      </c>
      <c r="P4" s="168">
        <v>2.61</v>
      </c>
      <c r="Q4"/>
      <c r="R4"/>
    </row>
    <row r="5" spans="1:18" x14ac:dyDescent="0.25">
      <c r="A5" s="168">
        <v>20.309999999999999</v>
      </c>
      <c r="B5" s="168">
        <v>0.08</v>
      </c>
      <c r="C5" s="168">
        <v>6.6</v>
      </c>
      <c r="D5" s="8">
        <v>42792.125</v>
      </c>
      <c r="E5" s="168">
        <v>0.55000000000000004</v>
      </c>
      <c r="F5" s="168" t="s">
        <v>783</v>
      </c>
      <c r="G5" s="168">
        <v>365.62</v>
      </c>
      <c r="H5" s="168">
        <v>0</v>
      </c>
      <c r="I5" s="168">
        <v>0</v>
      </c>
      <c r="J5" s="168">
        <v>1017.9</v>
      </c>
      <c r="K5" s="168" t="s">
        <v>784</v>
      </c>
      <c r="L5" s="168">
        <v>20.309999999999999</v>
      </c>
      <c r="M5" s="168">
        <v>1488103200</v>
      </c>
      <c r="N5" s="168">
        <v>8.73</v>
      </c>
      <c r="O5" s="168">
        <v>212</v>
      </c>
      <c r="P5" s="168">
        <v>1.72</v>
      </c>
      <c r="Q5"/>
      <c r="R5"/>
    </row>
    <row r="6" spans="1:18" x14ac:dyDescent="0.25">
      <c r="A6" s="168">
        <v>19.52</v>
      </c>
      <c r="B6" s="168">
        <v>0.08</v>
      </c>
      <c r="C6" s="168">
        <v>6.15</v>
      </c>
      <c r="D6" s="8">
        <v>42792.166666666664</v>
      </c>
      <c r="E6" s="168">
        <v>0.55000000000000004</v>
      </c>
      <c r="F6" s="168" t="s">
        <v>783</v>
      </c>
      <c r="G6" s="168">
        <v>364</v>
      </c>
      <c r="H6" s="168">
        <v>0</v>
      </c>
      <c r="I6" s="168">
        <v>0</v>
      </c>
      <c r="J6" s="168">
        <v>1017.59</v>
      </c>
      <c r="K6" s="168" t="s">
        <v>784</v>
      </c>
      <c r="L6" s="168">
        <v>19.52</v>
      </c>
      <c r="M6" s="168">
        <v>1488106800</v>
      </c>
      <c r="N6" s="168">
        <v>8.8800000000000008</v>
      </c>
      <c r="O6" s="168">
        <v>183</v>
      </c>
      <c r="P6" s="168">
        <v>0.71</v>
      </c>
      <c r="Q6"/>
      <c r="R6"/>
    </row>
    <row r="7" spans="1:18" x14ac:dyDescent="0.25">
      <c r="A7" s="168">
        <v>19.09</v>
      </c>
      <c r="B7" s="168">
        <v>0.16</v>
      </c>
      <c r="C7" s="168">
        <v>5.41</v>
      </c>
      <c r="D7" s="8">
        <v>42792.208333333336</v>
      </c>
      <c r="E7" s="168">
        <v>0.54</v>
      </c>
      <c r="F7" s="168" t="s">
        <v>783</v>
      </c>
      <c r="G7" s="168">
        <v>362.81</v>
      </c>
      <c r="H7" s="168">
        <v>0</v>
      </c>
      <c r="I7" s="168">
        <v>0</v>
      </c>
      <c r="J7" s="168">
        <v>1017.53</v>
      </c>
      <c r="K7" s="168" t="s">
        <v>784</v>
      </c>
      <c r="L7" s="168">
        <v>19.09</v>
      </c>
      <c r="M7" s="168">
        <v>1488110400</v>
      </c>
      <c r="N7" s="168">
        <v>10</v>
      </c>
      <c r="O7" s="168">
        <v>174</v>
      </c>
      <c r="P7" s="168">
        <v>1.18</v>
      </c>
      <c r="Q7"/>
      <c r="R7"/>
    </row>
    <row r="8" spans="1:18" x14ac:dyDescent="0.25">
      <c r="A8" s="168">
        <v>18.5</v>
      </c>
      <c r="B8" s="168">
        <v>0.13</v>
      </c>
      <c r="C8" s="168">
        <v>5.48</v>
      </c>
      <c r="D8" s="8">
        <v>42792.25</v>
      </c>
      <c r="E8" s="168">
        <v>0.56000000000000005</v>
      </c>
      <c r="F8" s="168" t="s">
        <v>783</v>
      </c>
      <c r="G8" s="168">
        <v>362.38</v>
      </c>
      <c r="H8" s="168">
        <v>0</v>
      </c>
      <c r="I8" s="168">
        <v>0</v>
      </c>
      <c r="J8" s="168">
        <v>1018.34</v>
      </c>
      <c r="K8" s="168" t="s">
        <v>784</v>
      </c>
      <c r="L8" s="168">
        <v>18.5</v>
      </c>
      <c r="M8" s="168">
        <v>1488114000</v>
      </c>
      <c r="N8" s="168">
        <v>9.2100000000000009</v>
      </c>
      <c r="O8" s="168">
        <v>181</v>
      </c>
      <c r="P8" s="168">
        <v>1.86</v>
      </c>
      <c r="Q8"/>
      <c r="R8"/>
    </row>
    <row r="9" spans="1:18" x14ac:dyDescent="0.25">
      <c r="A9" s="168">
        <v>18.03</v>
      </c>
      <c r="B9" s="168">
        <v>0.15</v>
      </c>
      <c r="C9" s="168">
        <v>6.53</v>
      </c>
      <c r="D9" s="8">
        <v>42792.291666666664</v>
      </c>
      <c r="E9" s="168">
        <v>0.6</v>
      </c>
      <c r="F9" s="168" t="s">
        <v>785</v>
      </c>
      <c r="G9" s="168">
        <v>362.39</v>
      </c>
      <c r="H9" s="168">
        <v>0</v>
      </c>
      <c r="I9" s="168">
        <v>0</v>
      </c>
      <c r="J9" s="168">
        <v>1019.33</v>
      </c>
      <c r="K9" s="168" t="s">
        <v>784</v>
      </c>
      <c r="L9" s="168">
        <v>18.03</v>
      </c>
      <c r="M9" s="168">
        <v>1488117600</v>
      </c>
      <c r="N9" s="168">
        <v>8.8800000000000008</v>
      </c>
      <c r="O9" s="168">
        <v>198</v>
      </c>
      <c r="P9" s="168">
        <v>2.33</v>
      </c>
      <c r="Q9"/>
      <c r="R9"/>
    </row>
    <row r="10" spans="1:18" x14ac:dyDescent="0.25">
      <c r="A10" s="168">
        <v>21.1</v>
      </c>
      <c r="B10" s="168">
        <v>0.16</v>
      </c>
      <c r="C10" s="168">
        <v>8.61</v>
      </c>
      <c r="D10" s="8">
        <v>42792.333333333336</v>
      </c>
      <c r="E10" s="168">
        <v>0.57999999999999996</v>
      </c>
      <c r="F10" s="168" t="s">
        <v>785</v>
      </c>
      <c r="G10" s="168">
        <v>361.82</v>
      </c>
      <c r="H10" s="168">
        <v>0</v>
      </c>
      <c r="I10" s="168">
        <v>0</v>
      </c>
      <c r="J10" s="168">
        <v>1019.38</v>
      </c>
      <c r="K10" s="168" t="s">
        <v>784</v>
      </c>
      <c r="L10" s="168">
        <v>21.1</v>
      </c>
      <c r="M10" s="168">
        <v>1488121200</v>
      </c>
      <c r="N10" s="168">
        <v>8.65</v>
      </c>
      <c r="O10" s="168">
        <v>181</v>
      </c>
      <c r="P10" s="168">
        <v>2.35</v>
      </c>
      <c r="Q10"/>
      <c r="R10"/>
    </row>
    <row r="11" spans="1:18" x14ac:dyDescent="0.25">
      <c r="A11" s="168">
        <v>26.59</v>
      </c>
      <c r="B11" s="168">
        <v>0.16</v>
      </c>
      <c r="C11" s="168">
        <v>11.1</v>
      </c>
      <c r="D11" s="8">
        <v>42792.375</v>
      </c>
      <c r="E11" s="168">
        <v>0.51</v>
      </c>
      <c r="F11" s="168" t="s">
        <v>785</v>
      </c>
      <c r="G11" s="168">
        <v>360</v>
      </c>
      <c r="H11" s="168">
        <v>0</v>
      </c>
      <c r="I11" s="168">
        <v>0</v>
      </c>
      <c r="J11" s="168">
        <v>1017.53</v>
      </c>
      <c r="K11" s="168" t="s">
        <v>784</v>
      </c>
      <c r="L11" s="168">
        <v>26.59</v>
      </c>
      <c r="M11" s="168">
        <v>1488124800</v>
      </c>
      <c r="N11" s="168">
        <v>8.58</v>
      </c>
      <c r="O11" s="168">
        <v>179</v>
      </c>
      <c r="P11" s="168">
        <v>2.7</v>
      </c>
      <c r="Q11"/>
      <c r="R11"/>
    </row>
    <row r="12" spans="1:18" x14ac:dyDescent="0.25">
      <c r="A12" s="168">
        <v>32.67</v>
      </c>
      <c r="B12" s="168">
        <v>0.16</v>
      </c>
      <c r="C12" s="168">
        <v>10.07</v>
      </c>
      <c r="D12" s="8">
        <v>42792.416666666664</v>
      </c>
      <c r="E12" s="168">
        <v>0.38</v>
      </c>
      <c r="F12" s="168" t="s">
        <v>785</v>
      </c>
      <c r="G12" s="168">
        <v>357.6</v>
      </c>
      <c r="H12" s="168">
        <v>0</v>
      </c>
      <c r="I12" s="168">
        <v>0</v>
      </c>
      <c r="J12" s="168">
        <v>1014.98</v>
      </c>
      <c r="K12" s="168" t="s">
        <v>784</v>
      </c>
      <c r="L12" s="168">
        <v>32.67</v>
      </c>
      <c r="M12" s="168">
        <v>1488128400</v>
      </c>
      <c r="N12" s="168">
        <v>8.57</v>
      </c>
      <c r="O12" s="168">
        <v>163</v>
      </c>
      <c r="P12" s="168">
        <v>2.66</v>
      </c>
      <c r="Q12"/>
      <c r="R12"/>
    </row>
    <row r="13" spans="1:18" x14ac:dyDescent="0.25">
      <c r="A13" s="168">
        <v>37.090000000000003</v>
      </c>
      <c r="B13" s="168">
        <v>0.18</v>
      </c>
      <c r="C13" s="168">
        <v>8.8000000000000007</v>
      </c>
      <c r="D13" s="8">
        <v>42792.458333333336</v>
      </c>
      <c r="E13" s="168">
        <v>0.3</v>
      </c>
      <c r="F13" s="168" t="s">
        <v>785</v>
      </c>
      <c r="G13" s="168">
        <v>355.58</v>
      </c>
      <c r="H13" s="168">
        <v>0</v>
      </c>
      <c r="I13" s="168">
        <v>0</v>
      </c>
      <c r="J13" s="168">
        <v>1013.43</v>
      </c>
      <c r="K13" s="168" t="s">
        <v>784</v>
      </c>
      <c r="L13" s="168">
        <v>37.090000000000003</v>
      </c>
      <c r="M13" s="168">
        <v>1488132000</v>
      </c>
      <c r="N13" s="168">
        <v>8.6</v>
      </c>
      <c r="O13" s="168">
        <v>144</v>
      </c>
      <c r="P13" s="168">
        <v>0.91</v>
      </c>
      <c r="Q13"/>
      <c r="R13"/>
    </row>
    <row r="14" spans="1:18" x14ac:dyDescent="0.25">
      <c r="A14" s="168">
        <v>40.03</v>
      </c>
      <c r="B14" s="168">
        <v>0.23</v>
      </c>
      <c r="C14" s="168">
        <v>8.8000000000000007</v>
      </c>
      <c r="D14" s="8">
        <v>42792.5</v>
      </c>
      <c r="E14" s="168">
        <v>0.27</v>
      </c>
      <c r="F14" s="168" t="s">
        <v>785</v>
      </c>
      <c r="G14" s="168">
        <v>354.48</v>
      </c>
      <c r="H14" s="168">
        <v>0</v>
      </c>
      <c r="I14" s="168">
        <v>0</v>
      </c>
      <c r="J14" s="168">
        <v>1012.63</v>
      </c>
      <c r="K14" s="168" t="s">
        <v>784</v>
      </c>
      <c r="L14" s="168">
        <v>40.03</v>
      </c>
      <c r="M14" s="168">
        <v>1488135600</v>
      </c>
      <c r="N14" s="168">
        <v>8.6300000000000008</v>
      </c>
      <c r="O14" s="168">
        <v>353</v>
      </c>
      <c r="P14" s="168">
        <v>0.91</v>
      </c>
      <c r="Q14"/>
      <c r="R14"/>
    </row>
    <row r="15" spans="1:18" x14ac:dyDescent="0.25">
      <c r="A15" s="168">
        <v>41.9</v>
      </c>
      <c r="B15" s="168">
        <v>0.27</v>
      </c>
      <c r="C15" s="168">
        <v>8.9700000000000006</v>
      </c>
      <c r="D15" s="8">
        <v>42792.541666666664</v>
      </c>
      <c r="E15" s="168">
        <v>0.25</v>
      </c>
      <c r="F15" s="168" t="s">
        <v>786</v>
      </c>
      <c r="G15" s="168">
        <v>353.76</v>
      </c>
      <c r="H15" s="168">
        <v>0</v>
      </c>
      <c r="I15" s="168">
        <v>0</v>
      </c>
      <c r="J15" s="168">
        <v>1012.07</v>
      </c>
      <c r="K15" s="168" t="s">
        <v>787</v>
      </c>
      <c r="L15" s="168">
        <v>41.9</v>
      </c>
      <c r="M15" s="168">
        <v>1488139200</v>
      </c>
      <c r="N15" s="168">
        <v>8.64</v>
      </c>
      <c r="O15" s="168">
        <v>354</v>
      </c>
      <c r="P15" s="168">
        <v>1.24</v>
      </c>
      <c r="Q15"/>
      <c r="R15"/>
    </row>
    <row r="16" spans="1:18" x14ac:dyDescent="0.25">
      <c r="A16" s="168">
        <v>43.27</v>
      </c>
      <c r="B16" s="168">
        <v>0.28000000000000003</v>
      </c>
      <c r="C16" s="168">
        <v>9.9600000000000009</v>
      </c>
      <c r="D16" s="8">
        <v>42792.583333333336</v>
      </c>
      <c r="E16" s="168">
        <v>0.25</v>
      </c>
      <c r="F16" s="168" t="s">
        <v>786</v>
      </c>
      <c r="G16" s="168">
        <v>352.68</v>
      </c>
      <c r="H16" s="168">
        <v>0</v>
      </c>
      <c r="I16" s="168">
        <v>0</v>
      </c>
      <c r="J16" s="168">
        <v>1011.5</v>
      </c>
      <c r="K16" s="168" t="s">
        <v>787</v>
      </c>
      <c r="L16" s="168">
        <v>43.27</v>
      </c>
      <c r="M16" s="168">
        <v>1488142800</v>
      </c>
      <c r="N16" s="168">
        <v>8.66</v>
      </c>
      <c r="O16" s="168">
        <v>351</v>
      </c>
      <c r="P16" s="168">
        <v>2.42</v>
      </c>
      <c r="Q16"/>
      <c r="R16"/>
    </row>
    <row r="17" spans="1:18" x14ac:dyDescent="0.25">
      <c r="A17" s="168">
        <v>44.02</v>
      </c>
      <c r="B17" s="168">
        <v>0.28000000000000003</v>
      </c>
      <c r="C17" s="168">
        <v>10.27</v>
      </c>
      <c r="D17" s="8">
        <v>42792.625</v>
      </c>
      <c r="E17" s="168">
        <v>0.25</v>
      </c>
      <c r="F17" s="168" t="s">
        <v>786</v>
      </c>
      <c r="G17" s="168">
        <v>350.47</v>
      </c>
      <c r="H17" s="168">
        <v>0</v>
      </c>
      <c r="I17" s="168">
        <v>0</v>
      </c>
      <c r="J17" s="168">
        <v>1010.67</v>
      </c>
      <c r="K17" s="168" t="s">
        <v>787</v>
      </c>
      <c r="L17" s="168">
        <v>44.02</v>
      </c>
      <c r="M17" s="168">
        <v>1488146400</v>
      </c>
      <c r="N17" s="168">
        <v>8.7100000000000009</v>
      </c>
      <c r="O17" s="168">
        <v>2</v>
      </c>
      <c r="P17" s="168">
        <v>2.61</v>
      </c>
      <c r="Q17"/>
      <c r="R17"/>
    </row>
    <row r="18" spans="1:18" x14ac:dyDescent="0.25">
      <c r="A18" s="168">
        <v>43.58</v>
      </c>
      <c r="B18" s="168">
        <v>0.28000000000000003</v>
      </c>
      <c r="C18" s="168">
        <v>9.61</v>
      </c>
      <c r="D18" s="8">
        <v>42792.666666666664</v>
      </c>
      <c r="E18" s="168">
        <v>0.24</v>
      </c>
      <c r="F18" s="168" t="s">
        <v>786</v>
      </c>
      <c r="G18" s="168">
        <v>347.91</v>
      </c>
      <c r="H18" s="168">
        <v>0</v>
      </c>
      <c r="I18" s="168">
        <v>0</v>
      </c>
      <c r="J18" s="168">
        <v>1009.92</v>
      </c>
      <c r="K18" s="168" t="s">
        <v>787</v>
      </c>
      <c r="L18" s="168">
        <v>43.58</v>
      </c>
      <c r="M18" s="168">
        <v>1488150000</v>
      </c>
      <c r="N18" s="168">
        <v>8.81</v>
      </c>
      <c r="O18" s="168">
        <v>42</v>
      </c>
      <c r="P18" s="168">
        <v>2.14</v>
      </c>
      <c r="Q18"/>
      <c r="R18"/>
    </row>
    <row r="19" spans="1:18" x14ac:dyDescent="0.25">
      <c r="A19" s="168">
        <v>39.49</v>
      </c>
      <c r="B19" s="168">
        <v>0.23</v>
      </c>
      <c r="C19" s="168">
        <v>7.36</v>
      </c>
      <c r="D19" s="8">
        <v>42792.708333333336</v>
      </c>
      <c r="E19" s="168">
        <v>0.26</v>
      </c>
      <c r="F19" s="168" t="s">
        <v>785</v>
      </c>
      <c r="G19" s="168">
        <v>346.59</v>
      </c>
      <c r="H19" s="168">
        <v>0</v>
      </c>
      <c r="I19" s="168">
        <v>0</v>
      </c>
      <c r="J19" s="168">
        <v>1009.76</v>
      </c>
      <c r="K19" s="168" t="s">
        <v>784</v>
      </c>
      <c r="L19" s="168">
        <v>39.49</v>
      </c>
      <c r="M19" s="168">
        <v>1488153600</v>
      </c>
      <c r="N19" s="168">
        <v>9</v>
      </c>
      <c r="O19" s="168">
        <v>50</v>
      </c>
      <c r="P19" s="168">
        <v>2.2000000000000002</v>
      </c>
      <c r="Q19"/>
      <c r="R19"/>
    </row>
    <row r="20" spans="1:18" x14ac:dyDescent="0.25">
      <c r="A20" s="168">
        <v>35.74</v>
      </c>
      <c r="B20" s="168">
        <v>0.12</v>
      </c>
      <c r="C20" s="168">
        <v>6.22</v>
      </c>
      <c r="D20" s="8">
        <v>42792.75</v>
      </c>
      <c r="E20" s="168">
        <v>0.28000000000000003</v>
      </c>
      <c r="F20" s="168" t="s">
        <v>783</v>
      </c>
      <c r="G20" s="168">
        <v>347.9</v>
      </c>
      <c r="H20" s="168">
        <v>0</v>
      </c>
      <c r="I20" s="168">
        <v>0</v>
      </c>
      <c r="J20" s="168">
        <v>1010.17</v>
      </c>
      <c r="K20" s="168" t="s">
        <v>784</v>
      </c>
      <c r="L20" s="168">
        <v>35.74</v>
      </c>
      <c r="M20" s="168">
        <v>1488157200</v>
      </c>
      <c r="N20" s="168">
        <v>9.27</v>
      </c>
      <c r="O20" s="168">
        <v>37</v>
      </c>
      <c r="P20" s="168">
        <v>2.2000000000000002</v>
      </c>
      <c r="Q20"/>
      <c r="R20"/>
    </row>
    <row r="21" spans="1:18" x14ac:dyDescent="0.25">
      <c r="A21" s="168">
        <v>32.54</v>
      </c>
      <c r="B21" s="168">
        <v>0.11</v>
      </c>
      <c r="C21" s="168">
        <v>6.53</v>
      </c>
      <c r="D21" s="8">
        <v>42792.791666666664</v>
      </c>
      <c r="E21" s="168">
        <v>0.33</v>
      </c>
      <c r="F21" s="168" t="s">
        <v>783</v>
      </c>
      <c r="G21" s="168">
        <v>350.46</v>
      </c>
      <c r="H21" s="168">
        <v>0</v>
      </c>
      <c r="I21" s="168">
        <v>0</v>
      </c>
      <c r="J21" s="168">
        <v>1011.64</v>
      </c>
      <c r="K21" s="168" t="s">
        <v>784</v>
      </c>
      <c r="L21" s="168">
        <v>32.54</v>
      </c>
      <c r="M21" s="168">
        <v>1488160800</v>
      </c>
      <c r="N21" s="168">
        <v>9.58</v>
      </c>
      <c r="O21" s="168">
        <v>30</v>
      </c>
      <c r="P21" s="168">
        <v>0.45</v>
      </c>
      <c r="Q21"/>
      <c r="R21"/>
    </row>
    <row r="22" spans="1:18" x14ac:dyDescent="0.25">
      <c r="A22" s="168">
        <v>29.48</v>
      </c>
      <c r="B22" s="168">
        <v>0.1</v>
      </c>
      <c r="C22" s="168">
        <v>7.24</v>
      </c>
      <c r="D22" s="8">
        <v>42792.833333333336</v>
      </c>
      <c r="E22" s="168">
        <v>0.38</v>
      </c>
      <c r="F22" s="168" t="s">
        <v>783</v>
      </c>
      <c r="G22" s="168">
        <v>351.73</v>
      </c>
      <c r="H22" s="168">
        <v>0</v>
      </c>
      <c r="I22" s="168">
        <v>0</v>
      </c>
      <c r="J22" s="168">
        <v>1013.23</v>
      </c>
      <c r="K22" s="168" t="s">
        <v>784</v>
      </c>
      <c r="L22" s="168">
        <v>29.48</v>
      </c>
      <c r="M22" s="168">
        <v>1488164400</v>
      </c>
      <c r="N22" s="168">
        <v>9.24</v>
      </c>
      <c r="O22" s="168">
        <v>266</v>
      </c>
      <c r="P22" s="168">
        <v>1.33</v>
      </c>
      <c r="Q22"/>
      <c r="R22"/>
    </row>
    <row r="23" spans="1:18" x14ac:dyDescent="0.25">
      <c r="A23" s="168">
        <v>27.92</v>
      </c>
      <c r="B23" s="168">
        <v>7.0000000000000007E-2</v>
      </c>
      <c r="C23" s="168">
        <v>7.63</v>
      </c>
      <c r="D23" s="8">
        <v>42792.875</v>
      </c>
      <c r="E23" s="168">
        <v>0.42</v>
      </c>
      <c r="F23" s="168" t="s">
        <v>783</v>
      </c>
      <c r="G23" s="168">
        <v>350.32</v>
      </c>
      <c r="H23" s="168">
        <v>0</v>
      </c>
      <c r="I23" s="168">
        <v>0</v>
      </c>
      <c r="J23" s="168">
        <v>1014.03</v>
      </c>
      <c r="K23" s="168" t="s">
        <v>784</v>
      </c>
      <c r="L23" s="168">
        <v>27.92</v>
      </c>
      <c r="M23" s="168">
        <v>1488168000</v>
      </c>
      <c r="N23" s="168">
        <v>8.91</v>
      </c>
      <c r="O23" s="168">
        <v>284</v>
      </c>
      <c r="P23" s="168">
        <v>1.57</v>
      </c>
      <c r="Q23"/>
      <c r="R23"/>
    </row>
    <row r="24" spans="1:18" x14ac:dyDescent="0.25">
      <c r="A24" s="168">
        <v>25.84</v>
      </c>
      <c r="B24" s="168">
        <v>0.12</v>
      </c>
      <c r="C24" s="168">
        <v>8.3800000000000008</v>
      </c>
      <c r="D24" s="8">
        <v>42792.916666666664</v>
      </c>
      <c r="E24" s="168">
        <v>0.47</v>
      </c>
      <c r="F24" s="168" t="s">
        <v>783</v>
      </c>
      <c r="G24" s="168">
        <v>347.62</v>
      </c>
      <c r="H24" s="168">
        <v>0</v>
      </c>
      <c r="I24" s="168">
        <v>0</v>
      </c>
      <c r="J24" s="168">
        <v>1014.43</v>
      </c>
      <c r="K24" s="168" t="s">
        <v>784</v>
      </c>
      <c r="L24" s="168">
        <v>25.84</v>
      </c>
      <c r="M24" s="168">
        <v>1488171600</v>
      </c>
      <c r="N24" s="168">
        <v>8.86</v>
      </c>
      <c r="O24" s="168">
        <v>263</v>
      </c>
      <c r="P24" s="168">
        <v>2.21</v>
      </c>
      <c r="Q24"/>
      <c r="R24"/>
    </row>
    <row r="25" spans="1:18" x14ac:dyDescent="0.25">
      <c r="A25" s="168">
        <v>24.22</v>
      </c>
      <c r="B25" s="168">
        <v>0.12</v>
      </c>
      <c r="C25" s="168">
        <v>8.17</v>
      </c>
      <c r="D25" s="8">
        <v>42792.958333333336</v>
      </c>
      <c r="E25" s="168">
        <v>0.5</v>
      </c>
      <c r="F25" s="168" t="s">
        <v>783</v>
      </c>
      <c r="G25" s="168">
        <v>345.24</v>
      </c>
      <c r="H25" s="168">
        <v>0</v>
      </c>
      <c r="I25" s="168">
        <v>0</v>
      </c>
      <c r="J25" s="168">
        <v>1014.81</v>
      </c>
      <c r="K25" s="168" t="s">
        <v>784</v>
      </c>
      <c r="L25" s="168">
        <v>24.22</v>
      </c>
      <c r="M25" s="168">
        <v>1488175200</v>
      </c>
      <c r="N25" s="168">
        <v>8.9600000000000009</v>
      </c>
      <c r="O25" s="168">
        <v>244</v>
      </c>
      <c r="P25" s="168">
        <v>2.67</v>
      </c>
      <c r="Q25"/>
      <c r="R25"/>
    </row>
    <row r="26" spans="1:18" x14ac:dyDescent="0.25">
      <c r="A26" s="168">
        <v>22.96</v>
      </c>
      <c r="B26" s="168">
        <v>0.17</v>
      </c>
      <c r="C26" s="168">
        <v>7.78</v>
      </c>
      <c r="D26" s="8">
        <v>42793</v>
      </c>
      <c r="E26" s="168">
        <v>0.51</v>
      </c>
      <c r="F26" s="168" t="s">
        <v>783</v>
      </c>
      <c r="G26" s="168">
        <v>344.05</v>
      </c>
      <c r="H26" s="168">
        <v>0</v>
      </c>
      <c r="I26" s="168">
        <v>0</v>
      </c>
      <c r="J26" s="168">
        <v>1015.33</v>
      </c>
      <c r="K26" s="168" t="s">
        <v>784</v>
      </c>
      <c r="L26" s="168">
        <v>22.96</v>
      </c>
      <c r="M26" s="168">
        <v>1488178800</v>
      </c>
      <c r="N26" s="168">
        <v>9.0399999999999991</v>
      </c>
      <c r="O26" s="168">
        <v>213</v>
      </c>
      <c r="P26" s="168">
        <v>2.2799999999999998</v>
      </c>
      <c r="Q26"/>
      <c r="R26"/>
    </row>
    <row r="27" spans="1:18" x14ac:dyDescent="0.25">
      <c r="A27" s="168">
        <v>21.39</v>
      </c>
      <c r="B27" s="168">
        <v>0.1</v>
      </c>
      <c r="C27" s="168">
        <v>7.31</v>
      </c>
      <c r="D27" s="8">
        <v>42793.041666666664</v>
      </c>
      <c r="E27" s="168">
        <v>0.54</v>
      </c>
      <c r="F27" s="168" t="s">
        <v>783</v>
      </c>
      <c r="G27" s="168">
        <v>342.86</v>
      </c>
      <c r="H27" s="168">
        <v>0</v>
      </c>
      <c r="I27" s="168">
        <v>0</v>
      </c>
      <c r="J27" s="168">
        <v>1015.75</v>
      </c>
      <c r="K27" s="168" t="s">
        <v>784</v>
      </c>
      <c r="L27" s="168">
        <v>21.39</v>
      </c>
      <c r="M27" s="168">
        <v>1488182400</v>
      </c>
      <c r="N27" s="168">
        <v>8.99</v>
      </c>
      <c r="O27" s="168">
        <v>225</v>
      </c>
      <c r="P27" s="168">
        <v>2.81</v>
      </c>
      <c r="Q27"/>
      <c r="R27"/>
    </row>
    <row r="28" spans="1:18" x14ac:dyDescent="0.25">
      <c r="A28" s="168">
        <v>16.34</v>
      </c>
      <c r="B28" s="168">
        <v>0.11</v>
      </c>
      <c r="C28" s="168">
        <v>7.52</v>
      </c>
      <c r="D28" s="8">
        <v>42793.083333333336</v>
      </c>
      <c r="E28" s="168">
        <v>0.55000000000000004</v>
      </c>
      <c r="F28" s="168" t="s">
        <v>783</v>
      </c>
      <c r="G28" s="168">
        <v>341.67</v>
      </c>
      <c r="H28" s="168">
        <v>0</v>
      </c>
      <c r="I28" s="168">
        <v>0</v>
      </c>
      <c r="J28" s="168">
        <v>1016.07</v>
      </c>
      <c r="K28" s="168" t="s">
        <v>784</v>
      </c>
      <c r="L28" s="168">
        <v>20.97</v>
      </c>
      <c r="M28" s="168">
        <v>1488186000</v>
      </c>
      <c r="N28" s="168">
        <v>8.08</v>
      </c>
      <c r="O28" s="168">
        <v>223</v>
      </c>
      <c r="P28" s="168">
        <v>3.31</v>
      </c>
      <c r="Q28"/>
      <c r="R28"/>
    </row>
    <row r="29" spans="1:18" x14ac:dyDescent="0.25">
      <c r="A29" s="168">
        <v>13.53</v>
      </c>
      <c r="B29" s="168">
        <v>0.15</v>
      </c>
      <c r="C29" s="168">
        <v>6.44</v>
      </c>
      <c r="D29" s="8">
        <v>42793.125</v>
      </c>
      <c r="E29" s="168">
        <v>0.56000000000000005</v>
      </c>
      <c r="F29" s="168" t="s">
        <v>783</v>
      </c>
      <c r="G29" s="168">
        <v>342.15</v>
      </c>
      <c r="H29" s="168">
        <v>0</v>
      </c>
      <c r="I29" s="168">
        <v>0</v>
      </c>
      <c r="J29" s="168">
        <v>1015.25</v>
      </c>
      <c r="K29" s="168" t="s">
        <v>784</v>
      </c>
      <c r="L29" s="168">
        <v>19.45</v>
      </c>
      <c r="M29" s="168">
        <v>1488189600</v>
      </c>
      <c r="N29" s="168">
        <v>8.9</v>
      </c>
      <c r="O29" s="168">
        <v>222</v>
      </c>
      <c r="P29" s="168">
        <v>4.04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6"/>
  <sheetViews>
    <sheetView topLeftCell="A7" workbookViewId="0">
      <selection activeCell="M20" sqref="M20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42792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4" x14ac:dyDescent="0.25">
      <c r="C17" s="149" t="s">
        <v>191</v>
      </c>
      <c r="J17" s="160"/>
      <c r="K17" s="161"/>
      <c r="L17" s="161"/>
    </row>
    <row r="18" spans="3:14" x14ac:dyDescent="0.25">
      <c r="C18" t="s">
        <v>941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</row>
    <row r="19" spans="3:14" x14ac:dyDescent="0.25">
      <c r="C19" t="s">
        <v>942</v>
      </c>
      <c r="J19" s="160" t="s">
        <v>86</v>
      </c>
      <c r="K19" s="161"/>
      <c r="L19" s="161"/>
      <c r="M19" s="168" t="s">
        <v>112</v>
      </c>
    </row>
    <row r="20" spans="3:14" x14ac:dyDescent="0.25">
      <c r="C20" t="s">
        <v>943</v>
      </c>
      <c r="J20" s="152" t="s">
        <v>87</v>
      </c>
      <c r="M20" s="168" t="s">
        <v>960</v>
      </c>
      <c r="N20" s="168" t="s">
        <v>331</v>
      </c>
    </row>
    <row r="21" spans="3:14" x14ac:dyDescent="0.25">
      <c r="C21" t="s">
        <v>944</v>
      </c>
      <c r="J21" s="152" t="s">
        <v>90</v>
      </c>
      <c r="K21" s="152" t="s">
        <v>91</v>
      </c>
      <c r="M21" s="168" t="s">
        <v>178</v>
      </c>
    </row>
    <row r="22" spans="3:14" x14ac:dyDescent="0.25">
      <c r="C22" t="s">
        <v>945</v>
      </c>
      <c r="J22" s="152" t="s">
        <v>92</v>
      </c>
      <c r="K22" s="152" t="s">
        <v>93</v>
      </c>
      <c r="M22" s="168" t="s">
        <v>111</v>
      </c>
    </row>
    <row r="23" spans="3:14" x14ac:dyDescent="0.25">
      <c r="C23" t="s">
        <v>946</v>
      </c>
      <c r="J23" s="162" t="s">
        <v>95</v>
      </c>
      <c r="M23" s="168" t="str">
        <f>"-07"</f>
        <v>-07</v>
      </c>
    </row>
    <row r="24" spans="3:14" x14ac:dyDescent="0.25">
      <c r="C24" t="s">
        <v>947</v>
      </c>
      <c r="J24" s="152" t="s">
        <v>108</v>
      </c>
      <c r="M24" s="168" t="s">
        <v>110</v>
      </c>
    </row>
    <row r="25" spans="3:14" x14ac:dyDescent="0.25">
      <c r="C25" t="s">
        <v>948</v>
      </c>
      <c r="J25" s="152" t="s">
        <v>150</v>
      </c>
      <c r="M25" s="168" t="b">
        <v>1</v>
      </c>
    </row>
    <row r="26" spans="3:14" x14ac:dyDescent="0.25">
      <c r="C26" t="s">
        <v>949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C:\Users\stu\Documents\GitHub\eaglep3-reporting\EC\2017-02-26-refined-times.txt</v>
      </c>
    </row>
    <row r="27" spans="3:14" x14ac:dyDescent="0.25">
      <c r="C27" t="s">
        <v>950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C:\Users\stu\Documents\GitHub\eaglep3-reporting\EC\2017-02-26-Enforcements.txt</v>
      </c>
    </row>
    <row r="28" spans="3:14" x14ac:dyDescent="0.25">
      <c r="C28" t="s">
        <v>951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C:\Users\stu\Documents\GitHub\eaglep3-reporting\EC\2017-02-26-Runs-refined.txt</v>
      </c>
    </row>
    <row r="29" spans="3:14" x14ac:dyDescent="0.25">
      <c r="C29" t="s">
        <v>952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C:\Users\stu\Documents\GitHub\eaglep3-reporting\EC\2017-02-26-Trips.txt</v>
      </c>
    </row>
    <row r="30" spans="3:14" x14ac:dyDescent="0.25">
      <c r="C30" t="s">
        <v>953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C:\Users\stu\Documents\GitHub\eaglep3-reporting\EC\2017-02-26-Weather.txt</v>
      </c>
    </row>
    <row r="31" spans="3:14" x14ac:dyDescent="0.25">
      <c r="C31" t="s">
        <v>954</v>
      </c>
      <c r="J31" s="152" t="s">
        <v>210</v>
      </c>
      <c r="M31" s="168" t="s">
        <v>211</v>
      </c>
    </row>
    <row r="32" spans="3:14" x14ac:dyDescent="0.25">
      <c r="C32" t="s">
        <v>955</v>
      </c>
    </row>
    <row r="33" spans="3:3" x14ac:dyDescent="0.25">
      <c r="C33" t="s">
        <v>956</v>
      </c>
    </row>
    <row r="34" spans="3:3" x14ac:dyDescent="0.25">
      <c r="C34" t="s">
        <v>957</v>
      </c>
    </row>
    <row r="35" spans="3:3" x14ac:dyDescent="0.25">
      <c r="C35" t="s">
        <v>958</v>
      </c>
    </row>
    <row r="36" spans="3:3" x14ac:dyDescent="0.25">
      <c r="C36" t="s">
        <v>959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46" workbookViewId="0">
      <selection sqref="A1:A11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400</v>
      </c>
      <c r="B1" t="str">
        <f t="shared" ref="B1:B30" si="0">MID(A1,6,23)</f>
        <v>2017/02/23 11:38:17.220</v>
      </c>
      <c r="C1" t="e">
        <f>ABS(B1-#REF!)</f>
        <v>#REF!</v>
      </c>
    </row>
    <row r="2" spans="1:3" x14ac:dyDescent="0.25">
      <c r="A2" t="s">
        <v>401</v>
      </c>
      <c r="B2" s="20" t="str">
        <f t="shared" si="0"/>
        <v>2017/02/23 11:38:17.367</v>
      </c>
      <c r="C2">
        <f>ABS(B2-B1)</f>
        <v>1.7013881006278098E-6</v>
      </c>
    </row>
    <row r="3" spans="1:3" x14ac:dyDescent="0.25">
      <c r="A3" t="s">
        <v>402</v>
      </c>
      <c r="B3" s="20" t="str">
        <f t="shared" si="0"/>
        <v>2017/02/23 11:38:17.999</v>
      </c>
      <c r="C3" s="20">
        <f t="shared" ref="C3:C30" si="1">ABS(B3-B2)</f>
        <v>7.3148112278431654E-6</v>
      </c>
    </row>
    <row r="4" spans="1:3" x14ac:dyDescent="0.25">
      <c r="A4" t="s">
        <v>403</v>
      </c>
      <c r="B4" s="20" t="str">
        <f t="shared" si="0"/>
        <v>2017/02/23 11:38:52.218</v>
      </c>
      <c r="C4" s="20">
        <f t="shared" si="1"/>
        <v>3.9605324127478525E-4</v>
      </c>
    </row>
    <row r="5" spans="1:3" x14ac:dyDescent="0.25">
      <c r="A5" t="s">
        <v>404</v>
      </c>
      <c r="B5" s="20" t="str">
        <f t="shared" si="0"/>
        <v>2017/02/23 11:38:52.381</v>
      </c>
      <c r="C5" s="20">
        <f t="shared" si="1"/>
        <v>1.8865757738240063E-6</v>
      </c>
    </row>
    <row r="6" spans="1:3" x14ac:dyDescent="0.25">
      <c r="A6" t="s">
        <v>405</v>
      </c>
      <c r="B6" s="20" t="str">
        <f t="shared" si="0"/>
        <v>2017/02/23 11:38:53.003</v>
      </c>
      <c r="C6" s="20">
        <f t="shared" si="1"/>
        <v>7.1990725700743496E-6</v>
      </c>
    </row>
    <row r="7" spans="1:3" x14ac:dyDescent="0.25">
      <c r="A7" t="s">
        <v>406</v>
      </c>
      <c r="B7" s="20" t="str">
        <f t="shared" si="0"/>
        <v>2017/02/23 11:53:54.465</v>
      </c>
      <c r="C7" s="20">
        <f t="shared" si="1"/>
        <v>1.0433587965962943E-2</v>
      </c>
    </row>
    <row r="8" spans="1:3" x14ac:dyDescent="0.25">
      <c r="A8" t="s">
        <v>407</v>
      </c>
      <c r="B8" s="20" t="str">
        <f t="shared" si="0"/>
        <v>2017/02/23 11:53:54.856</v>
      </c>
      <c r="C8" s="20">
        <f t="shared" si="1"/>
        <v>4.5254637370817363E-6</v>
      </c>
    </row>
    <row r="9" spans="1:3" x14ac:dyDescent="0.25">
      <c r="A9" t="s">
        <v>408</v>
      </c>
      <c r="B9" s="20" t="str">
        <f t="shared" si="0"/>
        <v>2017/02/23 13:34:03.680</v>
      </c>
      <c r="C9" s="20">
        <f t="shared" si="1"/>
        <v>6.9546574071864597E-2</v>
      </c>
    </row>
    <row r="10" spans="1:3" x14ac:dyDescent="0.25">
      <c r="A10" t="s">
        <v>409</v>
      </c>
      <c r="B10" s="20" t="str">
        <f t="shared" si="0"/>
        <v>2017/02/23 13:34:03.770</v>
      </c>
      <c r="C10" s="20">
        <f t="shared" si="1"/>
        <v>1.0416697477921844E-6</v>
      </c>
    </row>
    <row r="11" spans="1:3" x14ac:dyDescent="0.25">
      <c r="A11" t="s">
        <v>410</v>
      </c>
      <c r="B11" s="20" t="str">
        <f t="shared" si="0"/>
        <v>2017/02/23 13:34:04.468</v>
      </c>
      <c r="C11" s="20">
        <f t="shared" si="1"/>
        <v>8.0786994658410549E-6</v>
      </c>
    </row>
    <row r="12" spans="1:3" x14ac:dyDescent="0.25">
      <c r="A12" t="s">
        <v>411</v>
      </c>
      <c r="B12" s="20" t="str">
        <f t="shared" si="0"/>
        <v>2017/02/23 14:20:59.070</v>
      </c>
      <c r="C12" s="20">
        <f t="shared" si="1"/>
        <v>3.2576412042544689E-2</v>
      </c>
    </row>
    <row r="13" spans="1:3" x14ac:dyDescent="0.25">
      <c r="A13" t="s">
        <v>412</v>
      </c>
      <c r="B13" s="20" t="str">
        <f t="shared" si="0"/>
        <v>2017/02/23 14:20:59.845</v>
      </c>
      <c r="C13" s="20">
        <f t="shared" si="1"/>
        <v>8.969902410171926E-6</v>
      </c>
    </row>
    <row r="14" spans="1:3" x14ac:dyDescent="0.25">
      <c r="A14" t="s">
        <v>413</v>
      </c>
      <c r="B14" s="20" t="str">
        <f t="shared" si="0"/>
        <v>2017/02/23 14:28:00.197</v>
      </c>
      <c r="C14" s="20">
        <f t="shared" si="1"/>
        <v>4.8651851830072701E-3</v>
      </c>
    </row>
    <row r="15" spans="1:3" x14ac:dyDescent="0.25">
      <c r="A15" t="s">
        <v>414</v>
      </c>
      <c r="B15" s="20" t="str">
        <f t="shared" si="0"/>
        <v>2017/02/23 14:28:01.238</v>
      </c>
      <c r="C15" s="20">
        <f t="shared" si="1"/>
        <v>1.204861473524943E-5</v>
      </c>
    </row>
    <row r="16" spans="1:3" x14ac:dyDescent="0.25">
      <c r="A16" t="s">
        <v>415</v>
      </c>
      <c r="B16" s="20" t="str">
        <f t="shared" si="0"/>
        <v>2017/02/23 14:28:01.509</v>
      </c>
      <c r="C16" s="20">
        <f t="shared" si="1"/>
        <v>3.1365707400254905E-6</v>
      </c>
    </row>
    <row r="17" spans="1:3" x14ac:dyDescent="0.25">
      <c r="A17" t="s">
        <v>416</v>
      </c>
      <c r="B17" s="20" t="str">
        <f t="shared" si="0"/>
        <v>2017/02/23 14:28:48.245</v>
      </c>
      <c r="C17" s="20">
        <f t="shared" si="1"/>
        <v>5.4092593200039119E-4</v>
      </c>
    </row>
    <row r="18" spans="1:3" x14ac:dyDescent="0.25">
      <c r="A18" t="s">
        <v>417</v>
      </c>
      <c r="B18" s="20" t="str">
        <f t="shared" si="0"/>
        <v>2017/02/23 14:28:49.189</v>
      </c>
      <c r="C18" s="20">
        <f t="shared" si="1"/>
        <v>1.0925919923465699E-5</v>
      </c>
    </row>
    <row r="19" spans="1:3" x14ac:dyDescent="0.25">
      <c r="A19" t="s">
        <v>418</v>
      </c>
      <c r="B19" s="20" t="str">
        <f t="shared" si="0"/>
        <v>2017/02/23 14:28:49.508</v>
      </c>
      <c r="C19" s="20">
        <f t="shared" si="1"/>
        <v>3.6921337596140802E-6</v>
      </c>
    </row>
    <row r="20" spans="1:3" x14ac:dyDescent="0.25">
      <c r="A20" t="s">
        <v>419</v>
      </c>
      <c r="B20" s="20" t="str">
        <f t="shared" si="0"/>
        <v>2017/02/23 14:56:39.328</v>
      </c>
      <c r="C20" s="20">
        <f t="shared" si="1"/>
        <v>1.9326620371430181E-2</v>
      </c>
    </row>
    <row r="21" spans="1:3" x14ac:dyDescent="0.25">
      <c r="A21" t="s">
        <v>420</v>
      </c>
      <c r="B21" s="20" t="str">
        <f t="shared" si="0"/>
        <v>2017/02/23 14:56:39.718</v>
      </c>
      <c r="C21" s="20">
        <f t="shared" si="1"/>
        <v>4.5138876885175705E-6</v>
      </c>
    </row>
    <row r="22" spans="1:3" x14ac:dyDescent="0.25">
      <c r="A22" t="s">
        <v>421</v>
      </c>
      <c r="B22" s="20" t="str">
        <f t="shared" si="0"/>
        <v>2017/02/23 14:56:39.737</v>
      </c>
      <c r="C22" s="20">
        <f t="shared" si="1"/>
        <v>2.1990854293107986E-7</v>
      </c>
    </row>
    <row r="23" spans="1:3" x14ac:dyDescent="0.25">
      <c r="A23" t="s">
        <v>422</v>
      </c>
      <c r="B23" s="20" t="str">
        <f t="shared" si="0"/>
        <v>2017/02/23 15:21:02.984</v>
      </c>
      <c r="C23" s="20">
        <f t="shared" si="1"/>
        <v>1.6935729167016689E-2</v>
      </c>
    </row>
    <row r="24" spans="1:3" x14ac:dyDescent="0.25">
      <c r="A24" t="s">
        <v>423</v>
      </c>
      <c r="B24" s="20" t="str">
        <f t="shared" si="0"/>
        <v>2017/02/23 15:21:03.501</v>
      </c>
      <c r="C24" s="20">
        <f t="shared" si="1"/>
        <v>5.9837911976501346E-6</v>
      </c>
    </row>
    <row r="25" spans="1:3" x14ac:dyDescent="0.25">
      <c r="A25" t="s">
        <v>424</v>
      </c>
      <c r="B25" s="20" t="str">
        <f t="shared" si="0"/>
        <v>2017/02/23 15:21:03.666</v>
      </c>
      <c r="C25" s="20">
        <f t="shared" si="1"/>
        <v>1.909727870952338E-6</v>
      </c>
    </row>
    <row r="26" spans="1:3" x14ac:dyDescent="0.25">
      <c r="A26" t="s">
        <v>425</v>
      </c>
      <c r="B26" s="20" t="str">
        <f t="shared" si="0"/>
        <v>2017/02/23 15:28:52.913</v>
      </c>
      <c r="C26" s="20">
        <f t="shared" si="1"/>
        <v>5.4310995328705758E-3</v>
      </c>
    </row>
    <row r="27" spans="1:3" x14ac:dyDescent="0.25">
      <c r="A27" t="s">
        <v>426</v>
      </c>
      <c r="B27" s="20" t="str">
        <f t="shared" si="0"/>
        <v>2017/02/23 15:28:53.462</v>
      </c>
      <c r="C27" s="20">
        <f t="shared" si="1"/>
        <v>6.3541665440425277E-6</v>
      </c>
    </row>
    <row r="28" spans="1:3" x14ac:dyDescent="0.25">
      <c r="A28" t="s">
        <v>427</v>
      </c>
      <c r="B28" s="20" t="str">
        <f t="shared" si="0"/>
        <v>2017/02/23 15:37:06.212</v>
      </c>
      <c r="C28" s="20">
        <f t="shared" si="1"/>
        <v>5.7031250034924597E-3</v>
      </c>
    </row>
    <row r="29" spans="1:3" x14ac:dyDescent="0.25">
      <c r="A29" t="s">
        <v>428</v>
      </c>
      <c r="B29" s="20" t="str">
        <f t="shared" si="0"/>
        <v>2017/02/23 15:37:07.287</v>
      </c>
      <c r="C29" s="20">
        <f t="shared" si="1"/>
        <v>1.2442127626854926E-5</v>
      </c>
    </row>
    <row r="30" spans="1:3" x14ac:dyDescent="0.25">
      <c r="A30" t="s">
        <v>429</v>
      </c>
      <c r="B30" s="20" t="str">
        <f t="shared" si="0"/>
        <v>2017/02/23 15:39:36.218</v>
      </c>
      <c r="C30" s="20">
        <f t="shared" si="1"/>
        <v>1.7237384236068465E-3</v>
      </c>
    </row>
    <row r="31" spans="1:3" x14ac:dyDescent="0.25">
      <c r="A31" t="s">
        <v>430</v>
      </c>
      <c r="B31" s="20" t="str">
        <f t="shared" ref="B31:B32" si="2">MID(A31,6,23)</f>
        <v>2017/02/23 16:01:23.849</v>
      </c>
      <c r="C31" s="20">
        <f t="shared" ref="C31:C32" si="3">ABS(B31-B30)</f>
        <v>1.5134618057345506E-2</v>
      </c>
    </row>
    <row r="32" spans="1:3" x14ac:dyDescent="0.25">
      <c r="A32" t="s">
        <v>431</v>
      </c>
      <c r="B32" s="20" t="str">
        <f t="shared" si="2"/>
        <v>2017/02/23 16:01:25.070</v>
      </c>
      <c r="C32" s="20">
        <f t="shared" si="3"/>
        <v>1.4131946954876184E-5</v>
      </c>
    </row>
    <row r="33" spans="1:3" x14ac:dyDescent="0.25">
      <c r="A33" t="s">
        <v>432</v>
      </c>
      <c r="B33" s="20" t="str">
        <f t="shared" ref="B33:B49" si="4">MID(A33,6,23)</f>
        <v>2017/02/23 16:05:56.233</v>
      </c>
      <c r="C33" s="20">
        <f t="shared" ref="C33:C49" si="5">ABS(B33-B32)</f>
        <v>3.1384606481879018E-3</v>
      </c>
    </row>
    <row r="34" spans="1:3" x14ac:dyDescent="0.25">
      <c r="A34" t="s">
        <v>433</v>
      </c>
      <c r="B34" s="20" t="str">
        <f t="shared" si="4"/>
        <v>2017/02/23 16:05:56.674</v>
      </c>
      <c r="C34" s="20">
        <f t="shared" si="5"/>
        <v>5.1041643018834293E-6</v>
      </c>
    </row>
    <row r="35" spans="1:3" x14ac:dyDescent="0.25">
      <c r="A35" t="s">
        <v>434</v>
      </c>
      <c r="B35" s="20" t="str">
        <f t="shared" si="4"/>
        <v>2017/02/23 16:21:24.003</v>
      </c>
      <c r="C35" s="20">
        <f t="shared" si="5"/>
        <v>1.0732974536949769E-2</v>
      </c>
    </row>
    <row r="36" spans="1:3" x14ac:dyDescent="0.25">
      <c r="A36" t="s">
        <v>435</v>
      </c>
      <c r="B36" s="20" t="str">
        <f t="shared" si="4"/>
        <v>2017/02/23 16:21:24.146</v>
      </c>
      <c r="C36" s="20">
        <f t="shared" si="5"/>
        <v>1.6550911823287606E-6</v>
      </c>
    </row>
    <row r="37" spans="1:3" x14ac:dyDescent="0.25">
      <c r="A37" t="s">
        <v>436</v>
      </c>
      <c r="B37" s="20" t="str">
        <f t="shared" si="4"/>
        <v>2017/02/23 16:21:24.259</v>
      </c>
      <c r="C37" s="20">
        <f t="shared" si="5"/>
        <v>1.3078752090223134E-6</v>
      </c>
    </row>
    <row r="38" spans="1:3" x14ac:dyDescent="0.25">
      <c r="A38" t="s">
        <v>437</v>
      </c>
      <c r="B38" s="20" t="str">
        <f t="shared" si="4"/>
        <v>2017/02/23 16:30:49.737</v>
      </c>
      <c r="C38" s="20">
        <f t="shared" si="5"/>
        <v>6.544884257891681E-3</v>
      </c>
    </row>
    <row r="39" spans="1:3" x14ac:dyDescent="0.25">
      <c r="A39" t="s">
        <v>438</v>
      </c>
      <c r="B39" s="20" t="str">
        <f t="shared" si="4"/>
        <v>2017/02/23 16:30:50.332</v>
      </c>
      <c r="C39" s="20">
        <f t="shared" si="5"/>
        <v>6.8865701905451715E-6</v>
      </c>
    </row>
    <row r="40" spans="1:3" x14ac:dyDescent="0.25">
      <c r="A40" t="s">
        <v>439</v>
      </c>
      <c r="B40" s="20" t="str">
        <f t="shared" si="4"/>
        <v>2017/02/23 16:30:50.755</v>
      </c>
      <c r="C40" s="20">
        <f t="shared" si="5"/>
        <v>4.8958390834741294E-6</v>
      </c>
    </row>
    <row r="41" spans="1:3" x14ac:dyDescent="0.25">
      <c r="A41" t="s">
        <v>440</v>
      </c>
      <c r="B41" s="20" t="str">
        <f t="shared" si="4"/>
        <v>2017/02/23 16:41:25.065</v>
      </c>
      <c r="C41" s="20">
        <f t="shared" si="5"/>
        <v>7.3415509250480682E-3</v>
      </c>
    </row>
    <row r="42" spans="1:3" x14ac:dyDescent="0.25">
      <c r="A42" t="s">
        <v>441</v>
      </c>
      <c r="B42" s="20" t="str">
        <f t="shared" si="4"/>
        <v>2017/02/23 16:51:25.625</v>
      </c>
      <c r="C42" s="20">
        <f t="shared" si="5"/>
        <v>6.9509259265032597E-3</v>
      </c>
    </row>
    <row r="43" spans="1:3" x14ac:dyDescent="0.25">
      <c r="A43" t="s">
        <v>442</v>
      </c>
      <c r="B43" s="20" t="str">
        <f t="shared" si="4"/>
        <v>2017/02/23 16:51:26.146</v>
      </c>
      <c r="C43" s="20">
        <f t="shared" si="5"/>
        <v>6.0300881159491837E-6</v>
      </c>
    </row>
    <row r="44" spans="1:3" x14ac:dyDescent="0.25">
      <c r="A44" t="s">
        <v>443</v>
      </c>
      <c r="B44" s="20" t="str">
        <f t="shared" si="4"/>
        <v>2017/02/23 17:01:49.616</v>
      </c>
      <c r="C44" s="20">
        <f t="shared" si="5"/>
        <v>7.2160879644798115E-3</v>
      </c>
    </row>
    <row r="45" spans="1:3" x14ac:dyDescent="0.25">
      <c r="A45" t="s">
        <v>444</v>
      </c>
      <c r="B45" s="20" t="str">
        <f t="shared" si="4"/>
        <v>2017/02/23 17:01:50.136</v>
      </c>
      <c r="C45" s="20">
        <f t="shared" si="5"/>
        <v>6.0185193433426321E-6</v>
      </c>
    </row>
    <row r="46" spans="1:3" x14ac:dyDescent="0.25">
      <c r="A46" t="s">
        <v>445</v>
      </c>
      <c r="B46" s="20" t="str">
        <f t="shared" si="4"/>
        <v>2017/02/23 17:06:04.997</v>
      </c>
      <c r="C46" s="20">
        <f t="shared" si="5"/>
        <v>2.9497800933313556E-3</v>
      </c>
    </row>
    <row r="47" spans="1:3" x14ac:dyDescent="0.25">
      <c r="A47" t="s">
        <v>446</v>
      </c>
      <c r="B47" s="20" t="str">
        <f t="shared" si="4"/>
        <v>2017/02/23 17:06:05.506</v>
      </c>
      <c r="C47" s="20">
        <f t="shared" si="5"/>
        <v>5.8912046370096505E-6</v>
      </c>
    </row>
    <row r="48" spans="1:3" x14ac:dyDescent="0.25">
      <c r="A48" t="s">
        <v>447</v>
      </c>
      <c r="B48" s="20" t="str">
        <f t="shared" si="4"/>
        <v>2017/02/23 17:06:05.672</v>
      </c>
      <c r="C48" s="20">
        <f t="shared" si="5"/>
        <v>1.9212966435588896E-6</v>
      </c>
    </row>
    <row r="49" spans="1:3" x14ac:dyDescent="0.25">
      <c r="A49" t="s">
        <v>448</v>
      </c>
      <c r="B49" s="20" t="str">
        <f t="shared" si="4"/>
        <v>2017/02/23 17:12:34.695</v>
      </c>
      <c r="C49" s="20">
        <f t="shared" si="5"/>
        <v>4.5025810177321546E-3</v>
      </c>
    </row>
    <row r="50" spans="1:3" x14ac:dyDescent="0.25">
      <c r="A50" t="s">
        <v>449</v>
      </c>
      <c r="B50" s="20" t="str">
        <f t="shared" ref="B50:B54" si="6">MID(A50,6,23)</f>
        <v>2017/02/23 17:12:37.135</v>
      </c>
      <c r="C50" s="20">
        <f t="shared" ref="C50:C54" si="7">ABS(B50-B49)</f>
        <v>2.8240741812624037E-5</v>
      </c>
    </row>
    <row r="51" spans="1:3" x14ac:dyDescent="0.25">
      <c r="A51" t="s">
        <v>450</v>
      </c>
      <c r="B51" s="20" t="str">
        <f t="shared" si="6"/>
        <v>2017/02/23 17:16:39.917</v>
      </c>
      <c r="C51" s="20">
        <f t="shared" si="7"/>
        <v>2.8099768460378982E-3</v>
      </c>
    </row>
    <row r="52" spans="1:3" x14ac:dyDescent="0.25">
      <c r="A52" t="s">
        <v>451</v>
      </c>
      <c r="B52" s="20" t="str">
        <f t="shared" si="6"/>
        <v>2017/02/23 17:16:41.475</v>
      </c>
      <c r="C52" s="20">
        <f t="shared" si="7"/>
        <v>1.8032413208857179E-5</v>
      </c>
    </row>
    <row r="53" spans="1:3" x14ac:dyDescent="0.25">
      <c r="A53" t="s">
        <v>452</v>
      </c>
      <c r="B53" s="20" t="str">
        <f t="shared" si="6"/>
        <v>2017/02/23 17:36:36.975</v>
      </c>
      <c r="C53" s="20">
        <f t="shared" si="7"/>
        <v>1.3836805548635311E-2</v>
      </c>
    </row>
    <row r="54" spans="1:3" x14ac:dyDescent="0.25">
      <c r="A54" t="s">
        <v>453</v>
      </c>
      <c r="B54" s="20" t="str">
        <f t="shared" si="6"/>
        <v>2017/02/23 17:36:37.483</v>
      </c>
      <c r="C54" s="20">
        <f t="shared" si="7"/>
        <v>5.8796358644030988E-6</v>
      </c>
    </row>
    <row r="55" spans="1:3" x14ac:dyDescent="0.25">
      <c r="A55" t="s">
        <v>454</v>
      </c>
      <c r="B55" s="20" t="str">
        <f t="shared" ref="B55:B62" si="8">MID(A55,6,23)</f>
        <v>2017/02/23 17:36:37.656</v>
      </c>
      <c r="C55" s="20">
        <f t="shared" ref="C55:C62" si="9">ABS(B55-B54)</f>
        <v>2.0023144315928221E-6</v>
      </c>
    </row>
    <row r="56" spans="1:3" x14ac:dyDescent="0.25">
      <c r="A56" t="s">
        <v>455</v>
      </c>
      <c r="B56" s="20" t="str">
        <f t="shared" si="8"/>
        <v>2017/02/23 17:55:46.848</v>
      </c>
      <c r="C56" s="20">
        <f t="shared" si="9"/>
        <v>1.3300833328685258E-2</v>
      </c>
    </row>
    <row r="57" spans="1:3" x14ac:dyDescent="0.25">
      <c r="A57" t="s">
        <v>456</v>
      </c>
      <c r="B57" s="20" t="str">
        <f t="shared" si="8"/>
        <v>2017/02/23 17:55:47.068</v>
      </c>
      <c r="C57" s="20">
        <f t="shared" si="9"/>
        <v>2.5463014026172459E-6</v>
      </c>
    </row>
    <row r="58" spans="1:3" x14ac:dyDescent="0.25">
      <c r="A58" t="s">
        <v>457</v>
      </c>
      <c r="B58" s="20" t="str">
        <f t="shared" si="8"/>
        <v>2017/02/23 17:55:47.170</v>
      </c>
      <c r="C58" s="20">
        <f t="shared" si="9"/>
        <v>1.1805532267317176E-6</v>
      </c>
    </row>
    <row r="59" spans="1:3" x14ac:dyDescent="0.25">
      <c r="A59" t="s">
        <v>458</v>
      </c>
      <c r="B59" s="20" t="str">
        <f t="shared" si="8"/>
        <v>2017/02/23 17:57:53.249</v>
      </c>
      <c r="C59" s="20">
        <f t="shared" si="9"/>
        <v>1.4592476873076521E-3</v>
      </c>
    </row>
    <row r="60" spans="1:3" x14ac:dyDescent="0.25">
      <c r="A60" t="s">
        <v>459</v>
      </c>
      <c r="B60" s="20" t="str">
        <f t="shared" si="8"/>
        <v>2017/02/23 17:57:53.773</v>
      </c>
      <c r="C60" s="20">
        <f t="shared" si="9"/>
        <v>6.064808985684067E-6</v>
      </c>
    </row>
    <row r="61" spans="1:3" x14ac:dyDescent="0.25">
      <c r="A61" t="s">
        <v>460</v>
      </c>
      <c r="B61" s="20" t="str">
        <f t="shared" si="8"/>
        <v>2017/02/23 17:57:53.898</v>
      </c>
      <c r="C61" s="20">
        <f t="shared" si="9"/>
        <v>1.4467659639194608E-6</v>
      </c>
    </row>
    <row r="62" spans="1:3" x14ac:dyDescent="0.25">
      <c r="A62" t="s">
        <v>461</v>
      </c>
      <c r="B62" s="20" t="str">
        <f t="shared" si="8"/>
        <v>2017/02/23 18:00:49.910</v>
      </c>
      <c r="C62" s="20">
        <f t="shared" si="9"/>
        <v>2.0371759237605147E-3</v>
      </c>
    </row>
    <row r="63" spans="1:3" x14ac:dyDescent="0.25">
      <c r="A63" t="s">
        <v>462</v>
      </c>
      <c r="B63" s="20" t="str">
        <f t="shared" ref="B63:B86" si="10">MID(A63,6,23)</f>
        <v>2017/02/23 18:00:50.260</v>
      </c>
      <c r="C63" s="20">
        <f t="shared" ref="C63:C86" si="11">ABS(B63-B62)</f>
        <v>4.0509257814846933E-6</v>
      </c>
    </row>
    <row r="64" spans="1:3" x14ac:dyDescent="0.25">
      <c r="A64" t="s">
        <v>463</v>
      </c>
      <c r="B64" s="20" t="str">
        <f t="shared" si="10"/>
        <v>2017/02/23 18:00:50.786</v>
      </c>
      <c r="C64" s="20">
        <f t="shared" si="11"/>
        <v>6.0879610828123987E-6</v>
      </c>
    </row>
    <row r="65" spans="1:3" x14ac:dyDescent="0.25">
      <c r="A65" t="s">
        <v>464</v>
      </c>
      <c r="B65" s="20" t="str">
        <f t="shared" si="10"/>
        <v>2017/02/23 18:23:02.349</v>
      </c>
      <c r="C65" s="20">
        <f t="shared" si="11"/>
        <v>1.5411608794238418E-2</v>
      </c>
    </row>
    <row r="66" spans="1:3" x14ac:dyDescent="0.25">
      <c r="A66" t="s">
        <v>465</v>
      </c>
      <c r="B66" s="20" t="str">
        <f t="shared" si="10"/>
        <v>2017/02/23 18:23:02.737</v>
      </c>
      <c r="C66" s="20">
        <f t="shared" si="11"/>
        <v>4.490742867346853E-6</v>
      </c>
    </row>
    <row r="67" spans="1:3" x14ac:dyDescent="0.25">
      <c r="A67" t="s">
        <v>466</v>
      </c>
      <c r="B67" s="20" t="str">
        <f t="shared" si="10"/>
        <v>2017/02/23 18:23:02.752</v>
      </c>
      <c r="C67" s="20">
        <f t="shared" si="11"/>
        <v>1.7361162463203073E-7</v>
      </c>
    </row>
    <row r="68" spans="1:3" x14ac:dyDescent="0.25">
      <c r="A68" t="s">
        <v>467</v>
      </c>
      <c r="B68" s="20" t="str">
        <f t="shared" si="10"/>
        <v>2017/02/23 18:26:12.564</v>
      </c>
      <c r="C68" s="20">
        <f t="shared" si="11"/>
        <v>2.1968981454847381E-3</v>
      </c>
    </row>
    <row r="69" spans="1:3" x14ac:dyDescent="0.25">
      <c r="A69" t="s">
        <v>468</v>
      </c>
      <c r="B69" s="20" t="str">
        <f t="shared" si="10"/>
        <v>2017/02/23 18:26:12.843</v>
      </c>
      <c r="C69" s="20">
        <f t="shared" si="11"/>
        <v>3.229171852581203E-6</v>
      </c>
    </row>
    <row r="70" spans="1:3" x14ac:dyDescent="0.25">
      <c r="A70" t="s">
        <v>469</v>
      </c>
      <c r="B70" s="20" t="str">
        <f t="shared" si="10"/>
        <v>2017/02/23 18:28:47.724</v>
      </c>
      <c r="C70" s="20">
        <f t="shared" si="11"/>
        <v>1.7926041618920863E-3</v>
      </c>
    </row>
    <row r="71" spans="1:3" x14ac:dyDescent="0.25">
      <c r="A71" t="s">
        <v>470</v>
      </c>
      <c r="B71" s="20" t="str">
        <f t="shared" si="10"/>
        <v>2017/02/23 18:28:48.327</v>
      </c>
      <c r="C71" s="20">
        <f t="shared" si="11"/>
        <v>6.979171303100884E-6</v>
      </c>
    </row>
    <row r="72" spans="1:3" x14ac:dyDescent="0.25">
      <c r="A72" t="s">
        <v>471</v>
      </c>
      <c r="B72" s="20" t="str">
        <f t="shared" si="10"/>
        <v>2017/02/23 18:54:56.641</v>
      </c>
      <c r="C72" s="20">
        <f t="shared" si="11"/>
        <v>1.8151782402128447E-2</v>
      </c>
    </row>
    <row r="73" spans="1:3" x14ac:dyDescent="0.25">
      <c r="A73" t="s">
        <v>472</v>
      </c>
      <c r="B73" s="20" t="str">
        <f t="shared" si="10"/>
        <v>2017/02/23 18:54:56.827</v>
      </c>
      <c r="C73" s="20">
        <f t="shared" si="11"/>
        <v>2.1527812350541353E-6</v>
      </c>
    </row>
    <row r="74" spans="1:3" x14ac:dyDescent="0.25">
      <c r="A74" t="s">
        <v>473</v>
      </c>
      <c r="B74" s="20" t="str">
        <f t="shared" si="10"/>
        <v>2017/02/23 18:54:56.979</v>
      </c>
      <c r="C74" s="20">
        <f t="shared" si="11"/>
        <v>1.7592610674910247E-6</v>
      </c>
    </row>
    <row r="75" spans="1:3" x14ac:dyDescent="0.25">
      <c r="A75" t="s">
        <v>474</v>
      </c>
      <c r="B75" s="20" t="str">
        <f t="shared" si="10"/>
        <v>2017/02/23 19:08:53.036</v>
      </c>
      <c r="C75" s="20">
        <f t="shared" si="11"/>
        <v>9.6765856433194131E-3</v>
      </c>
    </row>
    <row r="76" spans="1:3" x14ac:dyDescent="0.25">
      <c r="A76" t="s">
        <v>475</v>
      </c>
      <c r="B76" s="20" t="str">
        <f t="shared" si="10"/>
        <v>2017/02/23 19:08:53.037</v>
      </c>
      <c r="C76" s="20">
        <f t="shared" si="11"/>
        <v>1.1576048564165831E-8</v>
      </c>
    </row>
    <row r="77" spans="1:3" x14ac:dyDescent="0.25">
      <c r="A77" t="s">
        <v>476</v>
      </c>
      <c r="B77" s="20" t="str">
        <f t="shared" si="10"/>
        <v>2017/02/23 19:08:53.095</v>
      </c>
      <c r="C77" s="20">
        <f t="shared" si="11"/>
        <v>6.7129440139979124E-7</v>
      </c>
    </row>
    <row r="78" spans="1:3" x14ac:dyDescent="0.25">
      <c r="A78" t="s">
        <v>477</v>
      </c>
      <c r="B78" s="20" t="str">
        <f t="shared" si="10"/>
        <v>2017/02/23 19:33:58.823</v>
      </c>
      <c r="C78" s="20">
        <f t="shared" si="11"/>
        <v>1.7427407408831641E-2</v>
      </c>
    </row>
    <row r="79" spans="1:3" x14ac:dyDescent="0.25">
      <c r="A79" t="s">
        <v>478</v>
      </c>
      <c r="B79" s="20" t="str">
        <f t="shared" si="10"/>
        <v>2017/02/23 19:33:58.912</v>
      </c>
      <c r="C79" s="20">
        <f t="shared" si="11"/>
        <v>1.0300936992280185E-6</v>
      </c>
    </row>
    <row r="80" spans="1:3" x14ac:dyDescent="0.25">
      <c r="A80" t="s">
        <v>479</v>
      </c>
      <c r="B80" s="20" t="str">
        <f t="shared" si="10"/>
        <v>2017/02/23 19:33:59.259</v>
      </c>
      <c r="C80" s="20">
        <f t="shared" si="11"/>
        <v>4.01620491174981E-6</v>
      </c>
    </row>
    <row r="81" spans="1:3" x14ac:dyDescent="0.25">
      <c r="A81" t="s">
        <v>480</v>
      </c>
      <c r="B81" s="20" t="str">
        <f t="shared" si="10"/>
        <v>2017/02/23 19:57:57.558</v>
      </c>
      <c r="C81" s="20">
        <f t="shared" si="11"/>
        <v>1.6646979165670928E-2</v>
      </c>
    </row>
    <row r="82" spans="1:3" x14ac:dyDescent="0.25">
      <c r="A82" t="s">
        <v>481</v>
      </c>
      <c r="B82" s="20" t="str">
        <f t="shared" si="10"/>
        <v>2017/02/23 19:57:57.840</v>
      </c>
      <c r="C82" s="20">
        <f t="shared" si="11"/>
        <v>3.2638854463584721E-6</v>
      </c>
    </row>
    <row r="83" spans="1:3" x14ac:dyDescent="0.25">
      <c r="A83" t="s">
        <v>482</v>
      </c>
      <c r="B83" s="20" t="str">
        <f t="shared" si="10"/>
        <v>2017/02/23 20:37:02.059</v>
      </c>
      <c r="C83" s="20">
        <f t="shared" si="11"/>
        <v>2.7132164352224208E-2</v>
      </c>
    </row>
    <row r="84" spans="1:3" x14ac:dyDescent="0.25">
      <c r="A84" t="s">
        <v>483</v>
      </c>
      <c r="B84" s="20" t="str">
        <f t="shared" si="10"/>
        <v>2017/02/23 20:37:02.681</v>
      </c>
      <c r="C84" s="20">
        <f t="shared" si="11"/>
        <v>7.1990798460319638E-6</v>
      </c>
    </row>
    <row r="85" spans="1:3" x14ac:dyDescent="0.25">
      <c r="A85" t="s">
        <v>484</v>
      </c>
      <c r="B85" s="20" t="str">
        <f t="shared" si="10"/>
        <v>2017/02/23 20:42:16.670</v>
      </c>
      <c r="C85" s="20">
        <f t="shared" si="11"/>
        <v>3.6341319428174756E-3</v>
      </c>
    </row>
    <row r="86" spans="1:3" x14ac:dyDescent="0.25">
      <c r="A86" t="s">
        <v>485</v>
      </c>
      <c r="B86" s="20" t="str">
        <f t="shared" si="10"/>
        <v>2017/02/23 20:42:17.062</v>
      </c>
      <c r="C86" s="20">
        <f t="shared" si="11"/>
        <v>4.537032509688288E-6</v>
      </c>
    </row>
    <row r="87" spans="1:3" x14ac:dyDescent="0.25">
      <c r="A87" t="s">
        <v>486</v>
      </c>
      <c r="B87" s="20" t="str">
        <f t="shared" ref="B87:B146" si="12">MID(A87,6,23)</f>
        <v>2017/02/23 20:49:37.461</v>
      </c>
      <c r="C87" s="20">
        <f t="shared" ref="C87:C146" si="13">ABS(B87-B86)</f>
        <v>5.097210654639639E-3</v>
      </c>
    </row>
    <row r="88" spans="1:3" x14ac:dyDescent="0.25">
      <c r="A88" t="s">
        <v>487</v>
      </c>
      <c r="B88" s="20" t="str">
        <f t="shared" si="12"/>
        <v>2017/02/23 20:49:37.918</v>
      </c>
      <c r="C88" s="20">
        <f t="shared" si="13"/>
        <v>5.2893519750796258E-6</v>
      </c>
    </row>
    <row r="89" spans="1:3" x14ac:dyDescent="0.25">
      <c r="A89" t="s">
        <v>488</v>
      </c>
      <c r="B89" s="20" t="str">
        <f t="shared" si="12"/>
        <v>2017/02/23 21:07:51.171</v>
      </c>
      <c r="C89" s="20">
        <f t="shared" si="13"/>
        <v>1.2653391197090968E-2</v>
      </c>
    </row>
    <row r="90" spans="1:3" x14ac:dyDescent="0.25">
      <c r="A90" t="s">
        <v>489</v>
      </c>
      <c r="B90" s="20" t="str">
        <f t="shared" si="12"/>
        <v>2017/02/23 21:07:51.562</v>
      </c>
      <c r="C90" s="20">
        <f t="shared" si="13"/>
        <v>4.5254637370817363E-6</v>
      </c>
    </row>
    <row r="91" spans="1:3" x14ac:dyDescent="0.25">
      <c r="A91" t="s">
        <v>490</v>
      </c>
      <c r="B91" s="20" t="str">
        <f t="shared" si="12"/>
        <v>2017/02/23 21:07:51.954</v>
      </c>
      <c r="C91" s="20">
        <f t="shared" si="13"/>
        <v>4.5370397856459022E-6</v>
      </c>
    </row>
    <row r="92" spans="1:3" x14ac:dyDescent="0.25">
      <c r="A92" t="s">
        <v>491</v>
      </c>
      <c r="B92" s="20" t="str">
        <f t="shared" si="12"/>
        <v>2017/02/23 21:43:25.575</v>
      </c>
      <c r="C92" s="20">
        <f t="shared" si="13"/>
        <v>2.4694687497685663E-2</v>
      </c>
    </row>
    <row r="93" spans="1:3" x14ac:dyDescent="0.25">
      <c r="A93" t="s">
        <v>492</v>
      </c>
      <c r="B93" s="20" t="str">
        <f t="shared" si="12"/>
        <v>2017/02/23 21:43:26.849</v>
      </c>
      <c r="C93" s="20">
        <f t="shared" si="13"/>
        <v>1.4745375665370375E-5</v>
      </c>
    </row>
    <row r="94" spans="1:3" x14ac:dyDescent="0.25">
      <c r="A94" t="s">
        <v>493</v>
      </c>
      <c r="B94" s="20" t="str">
        <f t="shared" si="12"/>
        <v>2017/02/23 21:52:28.558</v>
      </c>
      <c r="C94" s="20">
        <f t="shared" si="13"/>
        <v>6.2697800894966349E-3</v>
      </c>
    </row>
    <row r="95" spans="1:3" x14ac:dyDescent="0.25">
      <c r="A95" t="s">
        <v>494</v>
      </c>
      <c r="B95" s="20" t="str">
        <f t="shared" si="12"/>
        <v>2017/02/23 21:59:00.661</v>
      </c>
      <c r="C95" s="20">
        <f t="shared" si="13"/>
        <v>4.5382291646092199E-3</v>
      </c>
    </row>
    <row r="96" spans="1:3" x14ac:dyDescent="0.25">
      <c r="A96" t="s">
        <v>495</v>
      </c>
      <c r="B96" s="20" t="str">
        <f t="shared" si="12"/>
        <v>2017/02/23 21:59:00.843</v>
      </c>
      <c r="C96" s="20">
        <f t="shared" si="13"/>
        <v>2.1064843167550862E-6</v>
      </c>
    </row>
    <row r="97" spans="1:3" x14ac:dyDescent="0.25">
      <c r="A97" t="s">
        <v>496</v>
      </c>
      <c r="B97" s="20" t="str">
        <f t="shared" si="12"/>
        <v>2017/02/23 21:59:01.004</v>
      </c>
      <c r="C97" s="20">
        <f t="shared" si="13"/>
        <v>1.8634236766956747E-6</v>
      </c>
    </row>
    <row r="98" spans="1:3" x14ac:dyDescent="0.25">
      <c r="A98" t="s">
        <v>497</v>
      </c>
      <c r="B98" s="20" t="str">
        <f t="shared" si="12"/>
        <v>2017/02/23 22:35:19.044</v>
      </c>
      <c r="C98" s="20">
        <f t="shared" si="13"/>
        <v>2.5208796294464264E-2</v>
      </c>
    </row>
    <row r="99" spans="1:3" x14ac:dyDescent="0.25">
      <c r="A99" t="s">
        <v>498</v>
      </c>
      <c r="B99" s="20" t="str">
        <f t="shared" si="12"/>
        <v>2017/02/23 22:35:19.053</v>
      </c>
      <c r="C99" s="20">
        <f t="shared" si="13"/>
        <v>1.0416988516226411E-7</v>
      </c>
    </row>
    <row r="100" spans="1:3" x14ac:dyDescent="0.25">
      <c r="A100" t="s">
        <v>499</v>
      </c>
      <c r="B100" s="20" t="str">
        <f t="shared" si="12"/>
        <v>2017/02/23 22:35:19.106</v>
      </c>
      <c r="C100" s="20">
        <f t="shared" si="13"/>
        <v>6.1342871049419045E-7</v>
      </c>
    </row>
    <row r="101" spans="1:3" x14ac:dyDescent="0.25">
      <c r="A101" t="s">
        <v>500</v>
      </c>
      <c r="B101" s="20" t="str">
        <f t="shared" si="12"/>
        <v>2017/02/23 22:52:00.031</v>
      </c>
      <c r="C101" s="20">
        <f t="shared" si="13"/>
        <v>1.1584780091652647E-2</v>
      </c>
    </row>
    <row r="102" spans="1:3" x14ac:dyDescent="0.25">
      <c r="A102" t="s">
        <v>501</v>
      </c>
      <c r="B102" s="20" t="str">
        <f t="shared" si="12"/>
        <v>2017/02/23 22:52:00.038</v>
      </c>
      <c r="C102" s="20">
        <f t="shared" si="13"/>
        <v>8.1017788033932447E-8</v>
      </c>
    </row>
    <row r="103" spans="1:3" x14ac:dyDescent="0.25">
      <c r="A103" t="s">
        <v>502</v>
      </c>
      <c r="B103" s="20" t="str">
        <f t="shared" si="12"/>
        <v>2017/02/23 22:52:01.093</v>
      </c>
      <c r="C103" s="20">
        <f t="shared" si="13"/>
        <v>1.2210650311317295E-5</v>
      </c>
    </row>
    <row r="104" spans="1:3" x14ac:dyDescent="0.25">
      <c r="A104" t="s">
        <v>503</v>
      </c>
      <c r="B104" s="20" t="str">
        <f t="shared" si="12"/>
        <v>2017/02/23 23:06:31.197</v>
      </c>
      <c r="C104" s="20">
        <f t="shared" si="13"/>
        <v>1.007064814621117E-2</v>
      </c>
    </row>
    <row r="105" spans="1:3" x14ac:dyDescent="0.25">
      <c r="A105" t="s">
        <v>504</v>
      </c>
      <c r="B105" s="20" t="str">
        <f t="shared" si="12"/>
        <v>2017/02/23 23:06:31.646</v>
      </c>
      <c r="C105" s="20">
        <f t="shared" si="13"/>
        <v>5.1967581384815276E-6</v>
      </c>
    </row>
    <row r="106" spans="1:3" x14ac:dyDescent="0.25">
      <c r="A106" t="s">
        <v>505</v>
      </c>
      <c r="B106" s="20" t="str">
        <f t="shared" si="12"/>
        <v>2017/02/23 23:06:32.241</v>
      </c>
      <c r="C106" s="20">
        <f t="shared" si="13"/>
        <v>6.8865701905451715E-6</v>
      </c>
    </row>
    <row r="107" spans="1:3" x14ac:dyDescent="0.25">
      <c r="A107" t="s">
        <v>506</v>
      </c>
      <c r="B107" s="20" t="str">
        <f t="shared" si="12"/>
        <v>2017/02/24 00:20:39.917</v>
      </c>
      <c r="C107" s="20">
        <f t="shared" si="13"/>
        <v>5.1477731482009403E-2</v>
      </c>
    </row>
    <row r="108" spans="1:3" x14ac:dyDescent="0.25">
      <c r="A108" t="s">
        <v>507</v>
      </c>
      <c r="B108" s="20" t="str">
        <f t="shared" si="12"/>
        <v>2017/02/24 00:20:40.462</v>
      </c>
      <c r="C108" s="20">
        <f t="shared" si="13"/>
        <v>6.3078769017010927E-6</v>
      </c>
    </row>
    <row r="109" spans="1:3" x14ac:dyDescent="0.25">
      <c r="A109" t="s">
        <v>508</v>
      </c>
      <c r="B109" s="20" t="str">
        <f t="shared" si="12"/>
        <v>2017/02/24 00:25:15.086</v>
      </c>
      <c r="C109" s="20">
        <f t="shared" si="13"/>
        <v>3.1785185128683224E-3</v>
      </c>
    </row>
    <row r="110" spans="1:3" x14ac:dyDescent="0.25">
      <c r="A110" t="s">
        <v>509</v>
      </c>
      <c r="B110" s="20" t="str">
        <f t="shared" si="12"/>
        <v>2017/02/24 00:25:15.467</v>
      </c>
      <c r="C110" s="20">
        <f t="shared" si="13"/>
        <v>4.4097250793129206E-6</v>
      </c>
    </row>
    <row r="111" spans="1:3" x14ac:dyDescent="0.25">
      <c r="A111" t="s">
        <v>510</v>
      </c>
      <c r="B111" s="20" t="str">
        <f t="shared" si="12"/>
        <v>2017/02/24 00:55:33.649</v>
      </c>
      <c r="C111" s="20">
        <f t="shared" si="13"/>
        <v>2.104377314390149E-2</v>
      </c>
    </row>
    <row r="112" spans="1:3" x14ac:dyDescent="0.25">
      <c r="A112" t="s">
        <v>511</v>
      </c>
      <c r="B112" s="20" t="str">
        <f t="shared" si="12"/>
        <v>2017/02/24 00:55:34.191</v>
      </c>
      <c r="C112" s="20">
        <f t="shared" si="13"/>
        <v>6.2731487560085952E-6</v>
      </c>
    </row>
    <row r="113" spans="1:3" x14ac:dyDescent="0.25">
      <c r="A113" t="s">
        <v>512</v>
      </c>
      <c r="B113" s="20" t="str">
        <f t="shared" si="12"/>
        <v>2017/02/24 00:55:34.241</v>
      </c>
      <c r="C113" s="20">
        <f t="shared" si="13"/>
        <v>5.7870784075930715E-7</v>
      </c>
    </row>
    <row r="114" spans="1:3" x14ac:dyDescent="0.25">
      <c r="A114" t="s">
        <v>513</v>
      </c>
      <c r="B114" s="20" t="str">
        <f t="shared" si="12"/>
        <v>2017/02/24 01:06:21.607</v>
      </c>
      <c r="C114" s="20">
        <f t="shared" si="13"/>
        <v>7.4926620363839902E-3</v>
      </c>
    </row>
    <row r="115" spans="1:3" x14ac:dyDescent="0.25">
      <c r="A115" t="s">
        <v>514</v>
      </c>
      <c r="B115" s="20" t="str">
        <f t="shared" si="12"/>
        <v>2017/02/24 01:06:21.633</v>
      </c>
      <c r="C115" s="20">
        <f t="shared" si="13"/>
        <v>3.0092633096501231E-7</v>
      </c>
    </row>
    <row r="116" spans="1:3" x14ac:dyDescent="0.25">
      <c r="A116" t="s">
        <v>515</v>
      </c>
      <c r="B116" s="20" t="str">
        <f t="shared" si="12"/>
        <v>2017/02/24 01:06:21.871</v>
      </c>
      <c r="C116" s="20">
        <f t="shared" si="13"/>
        <v>2.7546266210265458E-6</v>
      </c>
    </row>
    <row r="117" spans="1:3" x14ac:dyDescent="0.25">
      <c r="A117" t="s">
        <v>516</v>
      </c>
      <c r="B117" s="20" t="str">
        <f t="shared" si="12"/>
        <v>2017/02/24 01:20:04.092</v>
      </c>
      <c r="C117" s="20">
        <f t="shared" si="13"/>
        <v>9.5164467638824135E-3</v>
      </c>
    </row>
    <row r="118" spans="1:3" x14ac:dyDescent="0.25">
      <c r="A118" t="s">
        <v>517</v>
      </c>
      <c r="B118" s="20" t="str">
        <f t="shared" si="12"/>
        <v>2017/02/24 01:20:04.453</v>
      </c>
      <c r="C118" s="20">
        <f t="shared" si="13"/>
        <v>4.1782404878176749E-6</v>
      </c>
    </row>
    <row r="119" spans="1:3" x14ac:dyDescent="0.25">
      <c r="A119" t="s">
        <v>518</v>
      </c>
      <c r="B119" s="20" t="str">
        <f t="shared" si="12"/>
        <v>2017/02/24 01:49:24.383</v>
      </c>
      <c r="C119" s="20">
        <f t="shared" si="13"/>
        <v>2.0369560181279667E-2</v>
      </c>
    </row>
    <row r="120" spans="1:3" x14ac:dyDescent="0.25">
      <c r="A120" t="s">
        <v>519</v>
      </c>
      <c r="B120" s="20" t="str">
        <f t="shared" si="12"/>
        <v>2017/02/24 01:49:25.228</v>
      </c>
      <c r="C120" s="20">
        <f t="shared" si="13"/>
        <v>9.7800948424264789E-6</v>
      </c>
    </row>
    <row r="121" spans="1:3" x14ac:dyDescent="0.25">
      <c r="A121" t="s">
        <v>520</v>
      </c>
      <c r="B121" s="20" t="str">
        <f t="shared" si="12"/>
        <v>2017/02/24 01:49:26.002</v>
      </c>
      <c r="C121" s="20">
        <f t="shared" si="13"/>
        <v>8.9583336375653744E-6</v>
      </c>
    </row>
    <row r="122" spans="1:3" x14ac:dyDescent="0.25">
      <c r="A122" t="s">
        <v>521</v>
      </c>
      <c r="B122" s="20" t="str">
        <f t="shared" si="12"/>
        <v>2017/02/24 02:07:40.093</v>
      </c>
      <c r="C122" s="20">
        <f t="shared" si="13"/>
        <v>1.2663090274145361E-2</v>
      </c>
    </row>
    <row r="123" spans="1:3" x14ac:dyDescent="0.25">
      <c r="A123" t="s">
        <v>522</v>
      </c>
      <c r="B123" s="20" t="str">
        <f t="shared" si="12"/>
        <v>2017/02/24 02:07:41.034</v>
      </c>
      <c r="C123" s="20">
        <f t="shared" si="13"/>
        <v>1.089120632968843E-5</v>
      </c>
    </row>
    <row r="124" spans="1:3" x14ac:dyDescent="0.25">
      <c r="A124" t="s">
        <v>523</v>
      </c>
      <c r="B124" s="20" t="str">
        <f t="shared" si="12"/>
        <v>2017/02/24 02:07:42.034</v>
      </c>
      <c r="C124" s="20">
        <f t="shared" si="13"/>
        <v>1.1574076779652387E-5</v>
      </c>
    </row>
    <row r="125" spans="1:3" x14ac:dyDescent="0.25">
      <c r="A125" t="s">
        <v>524</v>
      </c>
      <c r="B125" s="20" t="str">
        <f t="shared" si="12"/>
        <v>2017/02/24 02:11:03.923</v>
      </c>
      <c r="C125" s="20">
        <f t="shared" si="13"/>
        <v>2.3366782406810671E-3</v>
      </c>
    </row>
    <row r="126" spans="1:3" x14ac:dyDescent="0.25">
      <c r="A126" t="s">
        <v>525</v>
      </c>
      <c r="B126" s="20" t="str">
        <f t="shared" si="12"/>
        <v>2017/02/24 02:11:04.473</v>
      </c>
      <c r="C126" s="20">
        <f t="shared" si="13"/>
        <v>6.3657353166490793E-6</v>
      </c>
    </row>
    <row r="127" spans="1:3" x14ac:dyDescent="0.25">
      <c r="A127" t="s">
        <v>526</v>
      </c>
      <c r="B127" s="20" t="str">
        <f t="shared" si="12"/>
        <v>2017/02/24 02:37:37.236</v>
      </c>
      <c r="C127" s="20">
        <f t="shared" si="13"/>
        <v>1.8434756944770925E-2</v>
      </c>
    </row>
    <row r="128" spans="1:3" x14ac:dyDescent="0.25">
      <c r="A128" t="s">
        <v>527</v>
      </c>
      <c r="B128" s="20" t="str">
        <f t="shared" si="12"/>
        <v>2017/02/24 02:37:37.650</v>
      </c>
      <c r="C128" s="20">
        <f t="shared" si="13"/>
        <v>4.7916691983118653E-6</v>
      </c>
    </row>
    <row r="129" spans="1:3" x14ac:dyDescent="0.25">
      <c r="A129" t="s">
        <v>528</v>
      </c>
      <c r="B129" s="20" t="str">
        <f t="shared" si="12"/>
        <v>2017/02/24 02:37:38.193</v>
      </c>
      <c r="C129" s="20">
        <f t="shared" si="13"/>
        <v>6.2847248045727611E-6</v>
      </c>
    </row>
    <row r="130" spans="1:3" x14ac:dyDescent="0.25">
      <c r="A130" t="s">
        <v>529</v>
      </c>
      <c r="B130" s="20" t="str">
        <f t="shared" si="12"/>
        <v>2017/02/24 02:38:22.200</v>
      </c>
      <c r="C130" s="20">
        <f t="shared" si="13"/>
        <v>5.0934027240145952E-4</v>
      </c>
    </row>
    <row r="131" spans="1:3" x14ac:dyDescent="0.25">
      <c r="A131" t="s">
        <v>530</v>
      </c>
      <c r="B131" s="20" t="str">
        <f t="shared" si="12"/>
        <v>2017/02/24 02:38:22.647</v>
      </c>
      <c r="C131" s="20">
        <f t="shared" si="13"/>
        <v>5.1736133173108101E-6</v>
      </c>
    </row>
    <row r="132" spans="1:3" x14ac:dyDescent="0.25">
      <c r="A132" t="s">
        <v>531</v>
      </c>
      <c r="B132" s="20" t="str">
        <f t="shared" si="12"/>
        <v>2017/02/24 02:38:23.250</v>
      </c>
      <c r="C132" s="20">
        <f t="shared" si="13"/>
        <v>6.9791640271432698E-6</v>
      </c>
    </row>
    <row r="133" spans="1:3" x14ac:dyDescent="0.25">
      <c r="A133" t="s">
        <v>532</v>
      </c>
      <c r="B133" s="20" t="str">
        <f t="shared" si="12"/>
        <v>2017/02/24 02:54:05.575</v>
      </c>
      <c r="C133" s="20">
        <f t="shared" si="13"/>
        <v>1.0906539355346467E-2</v>
      </c>
    </row>
    <row r="134" spans="1:3" x14ac:dyDescent="0.25">
      <c r="A134" t="s">
        <v>533</v>
      </c>
      <c r="B134" s="20" t="str">
        <f t="shared" si="12"/>
        <v>2017/02/24 02:54:05.861</v>
      </c>
      <c r="C134" s="20">
        <f t="shared" si="13"/>
        <v>3.3101823646575212E-6</v>
      </c>
    </row>
    <row r="135" spans="1:3" x14ac:dyDescent="0.25">
      <c r="A135" t="s">
        <v>534</v>
      </c>
      <c r="B135" s="20" t="str">
        <f t="shared" si="12"/>
        <v>2017/02/24 02:54:06.254</v>
      </c>
      <c r="C135" s="20">
        <f t="shared" si="13"/>
        <v>4.548615834210068E-6</v>
      </c>
    </row>
    <row r="136" spans="1:3" x14ac:dyDescent="0.25">
      <c r="A136" t="s">
        <v>535</v>
      </c>
      <c r="B136" s="20" t="str">
        <f t="shared" si="12"/>
        <v>2017/02/24 03:30:40.984</v>
      </c>
      <c r="C136" s="20">
        <f t="shared" si="13"/>
        <v>2.5401967592188157E-2</v>
      </c>
    </row>
    <row r="137" spans="1:3" x14ac:dyDescent="0.25">
      <c r="A137" t="s">
        <v>536</v>
      </c>
      <c r="B137" s="20" t="str">
        <f t="shared" si="12"/>
        <v>2017/02/24 03:30:41.642</v>
      </c>
      <c r="C137" s="20">
        <f t="shared" si="13"/>
        <v>7.6157375588081777E-6</v>
      </c>
    </row>
    <row r="138" spans="1:3" x14ac:dyDescent="0.25">
      <c r="A138" t="s">
        <v>537</v>
      </c>
      <c r="B138" s="20" t="str">
        <f t="shared" si="12"/>
        <v>2017/02/24 03:30:41.828</v>
      </c>
      <c r="C138" s="20">
        <f t="shared" si="13"/>
        <v>2.1527812350541353E-6</v>
      </c>
    </row>
    <row r="139" spans="1:3" x14ac:dyDescent="0.25">
      <c r="A139" t="s">
        <v>538</v>
      </c>
      <c r="B139" s="20" t="str">
        <f t="shared" si="12"/>
        <v>2017/02/24 04:22:36.249</v>
      </c>
      <c r="C139" s="20">
        <f t="shared" si="13"/>
        <v>3.6046539353264961E-2</v>
      </c>
    </row>
    <row r="140" spans="1:3" x14ac:dyDescent="0.25">
      <c r="A140" t="s">
        <v>539</v>
      </c>
      <c r="B140" s="20" t="str">
        <f t="shared" si="12"/>
        <v>2017/02/24 04:22:36.784</v>
      </c>
      <c r="C140" s="20">
        <f t="shared" si="13"/>
        <v>6.1921236920170486E-6</v>
      </c>
    </row>
    <row r="141" spans="1:3" x14ac:dyDescent="0.25">
      <c r="A141" t="s">
        <v>540</v>
      </c>
      <c r="B141" s="20" t="str">
        <f t="shared" si="12"/>
        <v>2017/02/24 04:22:36.906</v>
      </c>
      <c r="C141" s="20">
        <f t="shared" si="13"/>
        <v>1.4120378182269633E-6</v>
      </c>
    </row>
    <row r="142" spans="1:3" x14ac:dyDescent="0.25">
      <c r="A142" t="s">
        <v>541</v>
      </c>
      <c r="B142" s="20" t="str">
        <f t="shared" si="12"/>
        <v>2017/02/24 04:54:58.187</v>
      </c>
      <c r="C142" s="20">
        <f t="shared" si="13"/>
        <v>2.2468530092737637E-2</v>
      </c>
    </row>
    <row r="143" spans="1:3" x14ac:dyDescent="0.25">
      <c r="A143" t="s">
        <v>542</v>
      </c>
      <c r="B143" s="20" t="str">
        <f t="shared" si="12"/>
        <v>2017/02/24 04:54:58.340</v>
      </c>
      <c r="C143" s="20">
        <f t="shared" si="13"/>
        <v>1.7708371160551906E-6</v>
      </c>
    </row>
    <row r="144" spans="1:3" x14ac:dyDescent="0.25">
      <c r="A144" t="s">
        <v>543</v>
      </c>
      <c r="B144" s="20" t="str">
        <f t="shared" si="12"/>
        <v>2017/02/24 04:54:58.374</v>
      </c>
      <c r="C144" s="20">
        <f t="shared" si="13"/>
        <v>3.9351289160549641E-7</v>
      </c>
    </row>
    <row r="145" spans="1:3" x14ac:dyDescent="0.25">
      <c r="A145" t="s">
        <v>544</v>
      </c>
      <c r="B145" s="20" t="str">
        <f t="shared" si="12"/>
        <v>2017/02/24 06:09:05.446</v>
      </c>
      <c r="C145" s="20">
        <f t="shared" si="13"/>
        <v>5.1470740741933696E-2</v>
      </c>
    </row>
    <row r="146" spans="1:3" x14ac:dyDescent="0.25">
      <c r="A146" t="s">
        <v>545</v>
      </c>
      <c r="B146" s="20" t="str">
        <f t="shared" si="12"/>
        <v>2017/02/24 06:09:05.904</v>
      </c>
      <c r="C146" s="20">
        <f t="shared" si="13"/>
        <v>5.3009280236437917E-6</v>
      </c>
    </row>
    <row r="147" spans="1:3" x14ac:dyDescent="0.25">
      <c r="B147" s="20"/>
      <c r="C147" s="20"/>
    </row>
    <row r="148" spans="1:3" x14ac:dyDescent="0.25">
      <c r="B148" s="20"/>
      <c r="C148" s="20"/>
    </row>
    <row r="149" spans="1:3" x14ac:dyDescent="0.25">
      <c r="B149" s="20"/>
      <c r="C149" s="20"/>
    </row>
    <row r="150" spans="1:3" x14ac:dyDescent="0.25">
      <c r="B150" s="20"/>
      <c r="C150" s="20"/>
    </row>
    <row r="151" spans="1:3" x14ac:dyDescent="0.25">
      <c r="B151" s="20"/>
      <c r="C151" s="20"/>
    </row>
    <row r="152" spans="1:3" x14ac:dyDescent="0.25">
      <c r="B152" s="20"/>
      <c r="C152" s="20"/>
    </row>
    <row r="153" spans="1:3" x14ac:dyDescent="0.25">
      <c r="B153" s="20"/>
      <c r="C153" s="20"/>
    </row>
    <row r="154" spans="1:3" x14ac:dyDescent="0.25">
      <c r="B154" s="20"/>
      <c r="C154" s="20"/>
    </row>
    <row r="155" spans="1:3" x14ac:dyDescent="0.25">
      <c r="B155" s="20"/>
      <c r="C155" s="20"/>
    </row>
    <row r="156" spans="1:3" x14ac:dyDescent="0.25">
      <c r="B156" s="20"/>
      <c r="C156" s="20"/>
    </row>
    <row r="157" spans="1:3" x14ac:dyDescent="0.25">
      <c r="B157" s="20"/>
      <c r="C157" s="20"/>
    </row>
    <row r="158" spans="1:3" x14ac:dyDescent="0.25">
      <c r="B158" s="20"/>
      <c r="C158" s="20"/>
    </row>
    <row r="159" spans="1:3" x14ac:dyDescent="0.25">
      <c r="B159" s="20"/>
      <c r="C159" s="20"/>
    </row>
    <row r="160" spans="1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2017-02-28T16:31:43Z</dcterms:modified>
</cp:coreProperties>
</file>