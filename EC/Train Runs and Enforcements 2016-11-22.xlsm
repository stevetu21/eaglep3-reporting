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Enforcements!$A$6:$AC$46</definedName>
    <definedName name="_xlnm._FilterDatabase" localSheetId="2" hidden="1">'Missing Trips'!$B$2:$I$2</definedName>
    <definedName name="_xlnm._FilterDatabase" localSheetId="0" hidden="1">'Train Runs'!$A$12:$AG$244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63" i="1" l="1"/>
  <c r="X164" i="1"/>
  <c r="X165" i="1"/>
  <c r="X166" i="1"/>
  <c r="X167" i="1"/>
  <c r="X168" i="1"/>
  <c r="X169" i="1"/>
  <c r="X170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K15" i="1"/>
  <c r="L15" i="1"/>
  <c r="M15" i="1"/>
  <c r="V15" i="1"/>
  <c r="S15" i="3" s="1"/>
  <c r="Y15" i="1"/>
  <c r="Z15" i="1"/>
  <c r="AB15" i="1"/>
  <c r="AC15" i="1"/>
  <c r="AD15" i="1"/>
  <c r="T15" i="1" s="1"/>
  <c r="AE15" i="1"/>
  <c r="R15" i="3" s="1"/>
  <c r="AF15" i="1"/>
  <c r="AH15" i="1"/>
  <c r="K16" i="1"/>
  <c r="L16" i="1"/>
  <c r="M16" i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X19" i="1" s="1"/>
  <c r="AE19" i="1"/>
  <c r="AF19" i="1"/>
  <c r="AH19" i="1"/>
  <c r="K20" i="1"/>
  <c r="L20" i="1"/>
  <c r="M20" i="1"/>
  <c r="N20" i="1" s="1"/>
  <c r="V20" i="1"/>
  <c r="S10" i="3" s="1"/>
  <c r="Y20" i="1"/>
  <c r="Z20" i="1"/>
  <c r="AB20" i="1"/>
  <c r="AC20" i="1"/>
  <c r="AD20" i="1"/>
  <c r="T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X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X27" i="1" s="1"/>
  <c r="AE27" i="1"/>
  <c r="AF27" i="1"/>
  <c r="AH27" i="1"/>
  <c r="K28" i="1"/>
  <c r="L28" i="1"/>
  <c r="M28" i="1"/>
  <c r="N28" i="1" s="1"/>
  <c r="V28" i="1"/>
  <c r="S17" i="3" s="1"/>
  <c r="Y28" i="1"/>
  <c r="Z28" i="1"/>
  <c r="AB28" i="1"/>
  <c r="AC28" i="1"/>
  <c r="AD28" i="1"/>
  <c r="AG28" i="1" s="1"/>
  <c r="AE28" i="1"/>
  <c r="R17" i="3" s="1"/>
  <c r="AF28" i="1"/>
  <c r="AH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K35" i="1"/>
  <c r="L35" i="1"/>
  <c r="M35" i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V36" i="1"/>
  <c r="Y36" i="1"/>
  <c r="Z36" i="1"/>
  <c r="AB36" i="1"/>
  <c r="AC36" i="1"/>
  <c r="AD36" i="1"/>
  <c r="AG36" i="1" s="1"/>
  <c r="AE36" i="1"/>
  <c r="AF36" i="1"/>
  <c r="AH36" i="1"/>
  <c r="K37" i="1"/>
  <c r="L37" i="1"/>
  <c r="M37" i="1"/>
  <c r="N37" i="1" s="1"/>
  <c r="V37" i="1"/>
  <c r="S7" i="3" s="1"/>
  <c r="Y37" i="1"/>
  <c r="Z37" i="1"/>
  <c r="AB37" i="1"/>
  <c r="AC37" i="1"/>
  <c r="AD37" i="1"/>
  <c r="AE37" i="1"/>
  <c r="R7" i="3" s="1"/>
  <c r="AF37" i="1"/>
  <c r="AH37" i="1"/>
  <c r="K38" i="1"/>
  <c r="L38" i="1"/>
  <c r="M38" i="1"/>
  <c r="N38" i="1" s="1"/>
  <c r="V38" i="1"/>
  <c r="S8" i="3" s="1"/>
  <c r="Y38" i="1"/>
  <c r="Z38" i="1"/>
  <c r="AB38" i="1"/>
  <c r="AC38" i="1"/>
  <c r="AD38" i="1"/>
  <c r="T38" i="1" s="1"/>
  <c r="AE38" i="1"/>
  <c r="R8" i="3" s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K42" i="1"/>
  <c r="L42" i="1"/>
  <c r="M42" i="1"/>
  <c r="N42" i="1" s="1"/>
  <c r="V42" i="1"/>
  <c r="S12" i="3" s="1"/>
  <c r="Y42" i="1"/>
  <c r="Z42" i="1"/>
  <c r="AB42" i="1"/>
  <c r="AC42" i="1"/>
  <c r="AD42" i="1"/>
  <c r="AE42" i="1"/>
  <c r="R12" i="3" s="1"/>
  <c r="AF42" i="1"/>
  <c r="AH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K49" i="1"/>
  <c r="L49" i="1"/>
  <c r="M49" i="1"/>
  <c r="N49" i="1" s="1"/>
  <c r="V49" i="1"/>
  <c r="S14" i="3" s="1"/>
  <c r="Y49" i="1"/>
  <c r="Z49" i="1"/>
  <c r="AB49" i="1"/>
  <c r="AC49" i="1"/>
  <c r="AD49" i="1"/>
  <c r="AE49" i="1"/>
  <c r="R14" i="3" s="1"/>
  <c r="AF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S16" i="3" s="1"/>
  <c r="Y53" i="1"/>
  <c r="Z53" i="1"/>
  <c r="AB53" i="1"/>
  <c r="AC53" i="1"/>
  <c r="AD53" i="1"/>
  <c r="T53" i="1" s="1"/>
  <c r="AE53" i="1"/>
  <c r="R16" i="3" s="1"/>
  <c r="AF53" i="1"/>
  <c r="AH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S18" i="3" s="1"/>
  <c r="Y57" i="1"/>
  <c r="Z57" i="1"/>
  <c r="AB57" i="1"/>
  <c r="AC57" i="1"/>
  <c r="AD57" i="1"/>
  <c r="T57" i="1" s="1"/>
  <c r="AE57" i="1"/>
  <c r="R18" i="3" s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S20" i="3" s="1"/>
  <c r="Y69" i="1"/>
  <c r="Z69" i="1"/>
  <c r="AB69" i="1"/>
  <c r="AC69" i="1"/>
  <c r="AD69" i="1"/>
  <c r="AG69" i="1" s="1"/>
  <c r="AE69" i="1"/>
  <c r="R20" i="3" s="1"/>
  <c r="AF69" i="1"/>
  <c r="AH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S19" i="3" s="1"/>
  <c r="Y73" i="1"/>
  <c r="Z73" i="1"/>
  <c r="AB73" i="1"/>
  <c r="AC73" i="1"/>
  <c r="AD73" i="1"/>
  <c r="AG73" i="1" s="1"/>
  <c r="AE73" i="1"/>
  <c r="R19" i="3" s="1"/>
  <c r="AF73" i="1"/>
  <c r="AH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K76" i="1"/>
  <c r="L76" i="1"/>
  <c r="M76" i="1"/>
  <c r="P76" i="1" s="1"/>
  <c r="V76" i="1"/>
  <c r="Y76" i="1"/>
  <c r="Z76" i="1"/>
  <c r="AB76" i="1"/>
  <c r="AC76" i="1"/>
  <c r="AD76" i="1"/>
  <c r="AG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S9" i="3" s="1"/>
  <c r="Y82" i="1"/>
  <c r="Z82" i="1"/>
  <c r="AB82" i="1"/>
  <c r="AC82" i="1"/>
  <c r="AD82" i="1"/>
  <c r="AG82" i="1" s="1"/>
  <c r="AE82" i="1"/>
  <c r="R9" i="3" s="1"/>
  <c r="AF82" i="1"/>
  <c r="AH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X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K87" i="1"/>
  <c r="L87" i="1"/>
  <c r="M87" i="1"/>
  <c r="N87" i="1" s="1"/>
  <c r="V87" i="1"/>
  <c r="S21" i="3" s="1"/>
  <c r="Y87" i="1"/>
  <c r="Z87" i="1"/>
  <c r="AB87" i="1"/>
  <c r="AC87" i="1"/>
  <c r="AD87" i="1"/>
  <c r="AG87" i="1" s="1"/>
  <c r="AE87" i="1"/>
  <c r="R21" i="3" s="1"/>
  <c r="AF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K106" i="1"/>
  <c r="L106" i="1"/>
  <c r="M106" i="1"/>
  <c r="V106" i="1"/>
  <c r="Y106" i="1"/>
  <c r="Z106" i="1"/>
  <c r="AB106" i="1"/>
  <c r="AC106" i="1"/>
  <c r="AD106" i="1"/>
  <c r="T106" i="1" s="1"/>
  <c r="AE106" i="1"/>
  <c r="AF106" i="1"/>
  <c r="AH106" i="1"/>
  <c r="K107" i="1"/>
  <c r="L107" i="1"/>
  <c r="V107" i="1"/>
  <c r="Y107" i="1"/>
  <c r="Z107" i="1"/>
  <c r="AB107" i="1"/>
  <c r="AC107" i="1"/>
  <c r="AD107" i="1"/>
  <c r="AG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K117" i="1"/>
  <c r="L117" i="1"/>
  <c r="M117" i="1"/>
  <c r="V117" i="1"/>
  <c r="Y117" i="1"/>
  <c r="Z117" i="1"/>
  <c r="AB117" i="1"/>
  <c r="AC117" i="1"/>
  <c r="AD117" i="1"/>
  <c r="T117" i="1" s="1"/>
  <c r="AE117" i="1"/>
  <c r="AF117" i="1"/>
  <c r="AH117" i="1"/>
  <c r="K118" i="1"/>
  <c r="L118" i="1"/>
  <c r="M118" i="1"/>
  <c r="P118" i="1" s="1"/>
  <c r="V118" i="1"/>
  <c r="Y118" i="1"/>
  <c r="Z118" i="1"/>
  <c r="AB118" i="1"/>
  <c r="AC118" i="1"/>
  <c r="AD118" i="1"/>
  <c r="T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X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K133" i="1"/>
  <c r="L133" i="1"/>
  <c r="M133" i="1"/>
  <c r="N133" i="1" s="1"/>
  <c r="V133" i="1"/>
  <c r="S11" i="3" s="1"/>
  <c r="Y133" i="1"/>
  <c r="Z133" i="1"/>
  <c r="AB133" i="1"/>
  <c r="AC133" i="1"/>
  <c r="AD133" i="1"/>
  <c r="T133" i="1" s="1"/>
  <c r="AE133" i="1"/>
  <c r="R11" i="3" s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X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K137" i="1"/>
  <c r="L137" i="1"/>
  <c r="M137" i="1"/>
  <c r="N137" i="1" s="1"/>
  <c r="V137" i="1"/>
  <c r="S13" i="3" s="1"/>
  <c r="Y137" i="1"/>
  <c r="Z137" i="1"/>
  <c r="AB137" i="1"/>
  <c r="AC137" i="1"/>
  <c r="AD137" i="1"/>
  <c r="T137" i="1" s="1"/>
  <c r="AE137" i="1"/>
  <c r="R13" i="3" s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X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R22" i="3" s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59" i="1"/>
  <c r="K160" i="1"/>
  <c r="L160" i="1"/>
  <c r="M160" i="1"/>
  <c r="V160" i="1"/>
  <c r="AB160" i="1"/>
  <c r="AC160" i="1"/>
  <c r="AD160" i="1"/>
  <c r="T160" i="1" s="1"/>
  <c r="AE160" i="1"/>
  <c r="AF160" i="1"/>
  <c r="AH160" i="1"/>
  <c r="K161" i="1"/>
  <c r="L161" i="1"/>
  <c r="M161" i="1"/>
  <c r="V161" i="1"/>
  <c r="Z161" i="1"/>
  <c r="AB161" i="1"/>
  <c r="AC161" i="1"/>
  <c r="AD161" i="1"/>
  <c r="T161" i="1" s="1"/>
  <c r="AE161" i="1"/>
  <c r="AF161" i="1"/>
  <c r="AH16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62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5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6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7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68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9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70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1" i="1"/>
  <c r="K220" i="1"/>
  <c r="L220" i="1"/>
  <c r="M220" i="1"/>
  <c r="N220" i="1" s="1"/>
  <c r="V220" i="1"/>
  <c r="Y220" i="1"/>
  <c r="Z220" i="1"/>
  <c r="AB220" i="1"/>
  <c r="AC220" i="1"/>
  <c r="AD220" i="1"/>
  <c r="X220" i="1" s="1"/>
  <c r="AE220" i="1"/>
  <c r="AF220" i="1"/>
  <c r="AH172" i="1"/>
  <c r="K221" i="1"/>
  <c r="L221" i="1"/>
  <c r="M221" i="1"/>
  <c r="N221" i="1" s="1"/>
  <c r="V221" i="1"/>
  <c r="Y221" i="1"/>
  <c r="Z221" i="1"/>
  <c r="AB221" i="1"/>
  <c r="AC221" i="1"/>
  <c r="AD221" i="1"/>
  <c r="X221" i="1" s="1"/>
  <c r="AE221" i="1"/>
  <c r="AF221" i="1"/>
  <c r="AH173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74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5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6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177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8" i="1"/>
  <c r="K231" i="1"/>
  <c r="L231" i="1"/>
  <c r="M231" i="1"/>
  <c r="N231" i="1" s="1"/>
  <c r="V231" i="1"/>
  <c r="Y231" i="1"/>
  <c r="Z231" i="1"/>
  <c r="AB231" i="1"/>
  <c r="AC231" i="1"/>
  <c r="AD231" i="1"/>
  <c r="X231" i="1" s="1"/>
  <c r="AE231" i="1"/>
  <c r="AF231" i="1"/>
  <c r="AH179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AH180" i="1"/>
  <c r="K233" i="1"/>
  <c r="L233" i="1"/>
  <c r="M233" i="1"/>
  <c r="N233" i="1" s="1"/>
  <c r="V233" i="1"/>
  <c r="Y233" i="1"/>
  <c r="Z233" i="1"/>
  <c r="AB233" i="1"/>
  <c r="AC233" i="1"/>
  <c r="AD233" i="1"/>
  <c r="AG233" i="1" s="1"/>
  <c r="AE233" i="1"/>
  <c r="AF233" i="1"/>
  <c r="AH181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2" i="1"/>
  <c r="K235" i="1"/>
  <c r="L235" i="1"/>
  <c r="M235" i="1"/>
  <c r="N235" i="1" s="1"/>
  <c r="V235" i="1"/>
  <c r="Y235" i="1"/>
  <c r="Z235" i="1"/>
  <c r="AB235" i="1"/>
  <c r="AC235" i="1"/>
  <c r="AD235" i="1"/>
  <c r="X235" i="1" s="1"/>
  <c r="AE235" i="1"/>
  <c r="AF235" i="1"/>
  <c r="AH183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4" i="1"/>
  <c r="K237" i="1"/>
  <c r="L237" i="1"/>
  <c r="M237" i="1"/>
  <c r="N237" i="1" s="1"/>
  <c r="V237" i="1"/>
  <c r="Y237" i="1"/>
  <c r="Z237" i="1"/>
  <c r="AB237" i="1"/>
  <c r="AC237" i="1"/>
  <c r="AD237" i="1"/>
  <c r="AG237" i="1" s="1"/>
  <c r="AE237" i="1"/>
  <c r="AF237" i="1"/>
  <c r="AH185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R27" i="3" s="1"/>
  <c r="AF163" i="1"/>
  <c r="AH186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7" i="1"/>
  <c r="AH188" i="1"/>
  <c r="K165" i="1"/>
  <c r="L165" i="1"/>
  <c r="M165" i="1"/>
  <c r="N165" i="1" s="1"/>
  <c r="V165" i="1"/>
  <c r="S33" i="3" s="1"/>
  <c r="Y165" i="1"/>
  <c r="Z165" i="1"/>
  <c r="AB165" i="1"/>
  <c r="AC165" i="1"/>
  <c r="AD165" i="1"/>
  <c r="AG165" i="1" s="1"/>
  <c r="AE165" i="1"/>
  <c r="AF165" i="1"/>
  <c r="AH18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0" i="1"/>
  <c r="K167" i="1"/>
  <c r="L167" i="1"/>
  <c r="M167" i="1"/>
  <c r="N167" i="1" s="1"/>
  <c r="V167" i="1"/>
  <c r="S35" i="3" s="1"/>
  <c r="Y167" i="1"/>
  <c r="Z167" i="1"/>
  <c r="AB167" i="1"/>
  <c r="AC167" i="1"/>
  <c r="AD167" i="1"/>
  <c r="T167" i="1" s="1"/>
  <c r="AE167" i="1"/>
  <c r="AF167" i="1"/>
  <c r="AH191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2" i="1"/>
  <c r="K169" i="1"/>
  <c r="L169" i="1"/>
  <c r="M169" i="1"/>
  <c r="N169" i="1"/>
  <c r="V169" i="1"/>
  <c r="Y169" i="1"/>
  <c r="Z169" i="1"/>
  <c r="AB169" i="1"/>
  <c r="AC169" i="1"/>
  <c r="AD169" i="1"/>
  <c r="AG169" i="1" s="1"/>
  <c r="AE169" i="1"/>
  <c r="AF169" i="1"/>
  <c r="AH193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4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5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96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97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8" i="1"/>
  <c r="K175" i="1"/>
  <c r="L175" i="1"/>
  <c r="M175" i="1"/>
  <c r="N175" i="1" s="1"/>
  <c r="V175" i="1"/>
  <c r="Y175" i="1"/>
  <c r="Z175" i="1"/>
  <c r="AB175" i="1"/>
  <c r="AC175" i="1"/>
  <c r="AD175" i="1"/>
  <c r="X175" i="1" s="1"/>
  <c r="AE175" i="1"/>
  <c r="AF175" i="1"/>
  <c r="AH199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0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201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2" i="1"/>
  <c r="K179" i="1"/>
  <c r="L179" i="1"/>
  <c r="M179" i="1"/>
  <c r="N179" i="1" s="1"/>
  <c r="V179" i="1"/>
  <c r="Y179" i="1"/>
  <c r="Z179" i="1"/>
  <c r="AB179" i="1"/>
  <c r="AC179" i="1"/>
  <c r="AD179" i="1"/>
  <c r="X179" i="1" s="1"/>
  <c r="AE179" i="1"/>
  <c r="AF179" i="1"/>
  <c r="AH203" i="1"/>
  <c r="K180" i="1"/>
  <c r="L180" i="1"/>
  <c r="M180" i="1"/>
  <c r="N180" i="1" s="1"/>
  <c r="V180" i="1"/>
  <c r="Y180" i="1"/>
  <c r="Z180" i="1"/>
  <c r="AB180" i="1"/>
  <c r="AC180" i="1"/>
  <c r="AD180" i="1"/>
  <c r="X180" i="1" s="1"/>
  <c r="AE180" i="1"/>
  <c r="AF180" i="1"/>
  <c r="AH204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05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6" i="1"/>
  <c r="K183" i="1"/>
  <c r="L183" i="1"/>
  <c r="M183" i="1"/>
  <c r="N183" i="1" s="1"/>
  <c r="V183" i="1"/>
  <c r="Y183" i="1"/>
  <c r="Z183" i="1"/>
  <c r="AB183" i="1"/>
  <c r="AC183" i="1"/>
  <c r="AD183" i="1"/>
  <c r="X183" i="1" s="1"/>
  <c r="AE183" i="1"/>
  <c r="AF183" i="1"/>
  <c r="AH207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8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09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0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11" i="1"/>
  <c r="K188" i="1"/>
  <c r="L188" i="1"/>
  <c r="M188" i="1"/>
  <c r="N188" i="1" s="1"/>
  <c r="V188" i="1"/>
  <c r="Y188" i="1"/>
  <c r="Z188" i="1"/>
  <c r="AB188" i="1"/>
  <c r="AC188" i="1"/>
  <c r="AD188" i="1"/>
  <c r="X188" i="1" s="1"/>
  <c r="AE188" i="1"/>
  <c r="AF188" i="1"/>
  <c r="AH212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13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4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5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6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17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8" i="1"/>
  <c r="K195" i="1"/>
  <c r="L195" i="1"/>
  <c r="M195" i="1"/>
  <c r="N195" i="1" s="1"/>
  <c r="V195" i="1"/>
  <c r="Y195" i="1"/>
  <c r="Z195" i="1"/>
  <c r="AB195" i="1"/>
  <c r="AC195" i="1"/>
  <c r="AD195" i="1"/>
  <c r="X195" i="1" s="1"/>
  <c r="AE195" i="1"/>
  <c r="R29" i="3" s="1"/>
  <c r="AF195" i="1"/>
  <c r="AH219" i="1"/>
  <c r="K196" i="1"/>
  <c r="L196" i="1"/>
  <c r="M196" i="1"/>
  <c r="N196" i="1" s="1"/>
  <c r="V196" i="1"/>
  <c r="Y196" i="1"/>
  <c r="Z196" i="1"/>
  <c r="AB196" i="1"/>
  <c r="AC196" i="1"/>
  <c r="AD196" i="1"/>
  <c r="X196" i="1" s="1"/>
  <c r="AE196" i="1"/>
  <c r="AF196" i="1"/>
  <c r="AH220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21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2" i="1"/>
  <c r="K199" i="1"/>
  <c r="L199" i="1"/>
  <c r="M199" i="1"/>
  <c r="N199" i="1" s="1"/>
  <c r="V199" i="1"/>
  <c r="S30" i="3" s="1"/>
  <c r="Y199" i="1"/>
  <c r="Z199" i="1"/>
  <c r="AB199" i="1"/>
  <c r="AC199" i="1"/>
  <c r="AD199" i="1"/>
  <c r="T199" i="1" s="1"/>
  <c r="AE199" i="1"/>
  <c r="AF199" i="1"/>
  <c r="AH223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4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25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6" i="1"/>
  <c r="K203" i="1"/>
  <c r="L203" i="1"/>
  <c r="M203" i="1"/>
  <c r="N203" i="1" s="1"/>
  <c r="V203" i="1"/>
  <c r="Y203" i="1"/>
  <c r="Z203" i="1"/>
  <c r="AB203" i="1"/>
  <c r="AC203" i="1"/>
  <c r="AD203" i="1"/>
  <c r="X203" i="1" s="1"/>
  <c r="AE203" i="1"/>
  <c r="AF203" i="1"/>
  <c r="AH227" i="1"/>
  <c r="K204" i="1"/>
  <c r="L204" i="1"/>
  <c r="M204" i="1"/>
  <c r="N204" i="1" s="1"/>
  <c r="V204" i="1"/>
  <c r="Y204" i="1"/>
  <c r="Z204" i="1"/>
  <c r="AB204" i="1"/>
  <c r="AC204" i="1"/>
  <c r="AD204" i="1"/>
  <c r="X204" i="1" s="1"/>
  <c r="AE204" i="1"/>
  <c r="AF204" i="1"/>
  <c r="AH228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29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30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31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32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233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34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35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36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237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238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239" i="1"/>
  <c r="K240" i="1"/>
  <c r="L240" i="1"/>
  <c r="M240" i="1"/>
  <c r="N240" i="1" s="1"/>
  <c r="V240" i="1"/>
  <c r="Y240" i="1"/>
  <c r="Z240" i="1"/>
  <c r="AB240" i="1"/>
  <c r="AC240" i="1"/>
  <c r="AD240" i="1"/>
  <c r="X240" i="1" s="1"/>
  <c r="AE240" i="1"/>
  <c r="AF240" i="1"/>
  <c r="AH240" i="1"/>
  <c r="K241" i="1"/>
  <c r="L241" i="1"/>
  <c r="M241" i="1"/>
  <c r="N241" i="1" s="1"/>
  <c r="V241" i="1"/>
  <c r="Y241" i="1"/>
  <c r="Z241" i="1"/>
  <c r="AB241" i="1"/>
  <c r="AC241" i="1"/>
  <c r="AD241" i="1"/>
  <c r="AG241" i="1" s="1"/>
  <c r="AE241" i="1"/>
  <c r="AF241" i="1"/>
  <c r="AH241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242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243" i="1"/>
  <c r="K244" i="1"/>
  <c r="L244" i="1"/>
  <c r="M244" i="1"/>
  <c r="N244" i="1" s="1"/>
  <c r="V244" i="1"/>
  <c r="Y244" i="1"/>
  <c r="Z244" i="1"/>
  <c r="AB244" i="1"/>
  <c r="AC244" i="1"/>
  <c r="AD244" i="1"/>
  <c r="AG244" i="1" s="1"/>
  <c r="AE244" i="1"/>
  <c r="AF244" i="1"/>
  <c r="AH244" i="1"/>
  <c r="K245" i="1"/>
  <c r="L245" i="1"/>
  <c r="M245" i="1"/>
  <c r="N245" i="1" s="1"/>
  <c r="V245" i="1"/>
  <c r="Y245" i="1"/>
  <c r="Z245" i="1"/>
  <c r="AB245" i="1"/>
  <c r="AC245" i="1"/>
  <c r="AD245" i="1"/>
  <c r="AG245" i="1" s="1"/>
  <c r="AE245" i="1"/>
  <c r="AF245" i="1"/>
  <c r="AH245" i="1"/>
  <c r="M33" i="3"/>
  <c r="N33" i="3"/>
  <c r="U33" i="3"/>
  <c r="T33" i="3" s="1"/>
  <c r="V33" i="3"/>
  <c r="W33" i="3"/>
  <c r="Y33" i="3" s="1"/>
  <c r="X33" i="3"/>
  <c r="AC33" i="3"/>
  <c r="M15" i="3"/>
  <c r="N15" i="3"/>
  <c r="U15" i="3"/>
  <c r="T15" i="3" s="1"/>
  <c r="V15" i="3"/>
  <c r="W15" i="3"/>
  <c r="X15" i="3"/>
  <c r="AC15" i="3"/>
  <c r="M35" i="3"/>
  <c r="N35" i="3"/>
  <c r="U35" i="3"/>
  <c r="T35" i="3" s="1"/>
  <c r="V35" i="3"/>
  <c r="W35" i="3"/>
  <c r="X35" i="3"/>
  <c r="AC35" i="3"/>
  <c r="M10" i="3"/>
  <c r="N10" i="3"/>
  <c r="R10" i="3"/>
  <c r="U10" i="3"/>
  <c r="T10" i="3" s="1"/>
  <c r="V10" i="3"/>
  <c r="W10" i="3"/>
  <c r="Y10" i="3" s="1"/>
  <c r="X10" i="3"/>
  <c r="AC10" i="3"/>
  <c r="M27" i="3"/>
  <c r="N27" i="3"/>
  <c r="U27" i="3"/>
  <c r="T27" i="3" s="1"/>
  <c r="V27" i="3"/>
  <c r="W27" i="3"/>
  <c r="Y27" i="3" s="1"/>
  <c r="X27" i="3"/>
  <c r="AC27" i="3"/>
  <c r="M23" i="3"/>
  <c r="N23" i="3"/>
  <c r="U23" i="3"/>
  <c r="T23" i="3" s="1"/>
  <c r="V23" i="3"/>
  <c r="W23" i="3"/>
  <c r="X23" i="3"/>
  <c r="AC23" i="3"/>
  <c r="M8" i="3"/>
  <c r="N8" i="3"/>
  <c r="U8" i="3"/>
  <c r="T8" i="3" s="1"/>
  <c r="V8" i="3"/>
  <c r="W8" i="3"/>
  <c r="X8" i="3"/>
  <c r="AC8" i="3"/>
  <c r="M17" i="3"/>
  <c r="N17" i="3"/>
  <c r="U17" i="3"/>
  <c r="T17" i="3" s="1"/>
  <c r="V17" i="3"/>
  <c r="W17" i="3"/>
  <c r="X17" i="3"/>
  <c r="AC17" i="3"/>
  <c r="M12" i="3"/>
  <c r="N12" i="3"/>
  <c r="U12" i="3"/>
  <c r="T12" i="3" s="1"/>
  <c r="V12" i="3"/>
  <c r="W12" i="3"/>
  <c r="X12" i="3"/>
  <c r="AC12" i="3"/>
  <c r="M7" i="3"/>
  <c r="N7" i="3"/>
  <c r="U7" i="3"/>
  <c r="T7" i="3" s="1"/>
  <c r="V7" i="3"/>
  <c r="W7" i="3"/>
  <c r="X7" i="3"/>
  <c r="M28" i="3"/>
  <c r="N28" i="3"/>
  <c r="U28" i="3"/>
  <c r="T28" i="3" s="1"/>
  <c r="V28" i="3"/>
  <c r="W28" i="3"/>
  <c r="X28" i="3"/>
  <c r="AC28" i="3"/>
  <c r="M25" i="3"/>
  <c r="N25" i="3"/>
  <c r="U25" i="3"/>
  <c r="T25" i="3" s="1"/>
  <c r="V25" i="3"/>
  <c r="W25" i="3"/>
  <c r="X25" i="3"/>
  <c r="AC25" i="3"/>
  <c r="M14" i="3"/>
  <c r="N14" i="3"/>
  <c r="U14" i="3"/>
  <c r="T14" i="3" s="1"/>
  <c r="V14" i="3"/>
  <c r="W14" i="3"/>
  <c r="X14" i="3"/>
  <c r="AC14" i="3"/>
  <c r="M16" i="3"/>
  <c r="N16" i="3"/>
  <c r="U16" i="3"/>
  <c r="T16" i="3" s="1"/>
  <c r="V16" i="3"/>
  <c r="W16" i="3"/>
  <c r="X16" i="3"/>
  <c r="AC16" i="3"/>
  <c r="M18" i="3"/>
  <c r="N18" i="3"/>
  <c r="U18" i="3"/>
  <c r="T18" i="3" s="1"/>
  <c r="V18" i="3"/>
  <c r="W18" i="3"/>
  <c r="X18" i="3"/>
  <c r="AC18" i="3"/>
  <c r="M36" i="3"/>
  <c r="N36" i="3"/>
  <c r="S36" i="3"/>
  <c r="U36" i="3"/>
  <c r="T36" i="3" s="1"/>
  <c r="V36" i="3"/>
  <c r="W36" i="3"/>
  <c r="X36" i="3"/>
  <c r="AC36" i="3"/>
  <c r="M24" i="3"/>
  <c r="N24" i="3"/>
  <c r="S24" i="3"/>
  <c r="U24" i="3"/>
  <c r="T24" i="3" s="1"/>
  <c r="V24" i="3"/>
  <c r="W24" i="3"/>
  <c r="X24" i="3"/>
  <c r="AC24" i="3"/>
  <c r="M20" i="3"/>
  <c r="N20" i="3"/>
  <c r="U20" i="3"/>
  <c r="T20" i="3" s="1"/>
  <c r="V20" i="3"/>
  <c r="W20" i="3"/>
  <c r="X20" i="3"/>
  <c r="AC20" i="3"/>
  <c r="M9" i="3"/>
  <c r="N9" i="3"/>
  <c r="U9" i="3"/>
  <c r="T9" i="3" s="1"/>
  <c r="V9" i="3"/>
  <c r="W9" i="3"/>
  <c r="X9" i="3"/>
  <c r="AC9" i="3"/>
  <c r="M19" i="3"/>
  <c r="N19" i="3"/>
  <c r="U19" i="3"/>
  <c r="T19" i="3" s="1"/>
  <c r="V19" i="3"/>
  <c r="W19" i="3"/>
  <c r="X19" i="3"/>
  <c r="M21" i="3"/>
  <c r="N21" i="3"/>
  <c r="U21" i="3"/>
  <c r="T21" i="3" s="1"/>
  <c r="V21" i="3"/>
  <c r="W21" i="3"/>
  <c r="X21" i="3"/>
  <c r="AC21" i="3"/>
  <c r="M31" i="3"/>
  <c r="N31" i="3"/>
  <c r="U31" i="3"/>
  <c r="T31" i="3" s="1"/>
  <c r="V31" i="3"/>
  <c r="W31" i="3"/>
  <c r="X31" i="3"/>
  <c r="AC31" i="3"/>
  <c r="M29" i="3"/>
  <c r="N29" i="3"/>
  <c r="U29" i="3"/>
  <c r="T29" i="3" s="1"/>
  <c r="V29" i="3"/>
  <c r="W29" i="3"/>
  <c r="X29" i="3"/>
  <c r="AC29" i="3"/>
  <c r="M34" i="3"/>
  <c r="N34" i="3"/>
  <c r="U34" i="3"/>
  <c r="T34" i="3" s="1"/>
  <c r="V34" i="3"/>
  <c r="W34" i="3"/>
  <c r="X34" i="3"/>
  <c r="AC34" i="3"/>
  <c r="M30" i="3"/>
  <c r="N30" i="3"/>
  <c r="U30" i="3"/>
  <c r="T30" i="3" s="1"/>
  <c r="V30" i="3"/>
  <c r="W30" i="3"/>
  <c r="X30" i="3"/>
  <c r="AC30" i="3"/>
  <c r="M26" i="3"/>
  <c r="N26" i="3"/>
  <c r="U26" i="3"/>
  <c r="T26" i="3" s="1"/>
  <c r="V26" i="3"/>
  <c r="W26" i="3"/>
  <c r="X26" i="3"/>
  <c r="AC26" i="3"/>
  <c r="M11" i="3"/>
  <c r="N11" i="3"/>
  <c r="U11" i="3"/>
  <c r="T11" i="3" s="1"/>
  <c r="V11" i="3"/>
  <c r="W11" i="3"/>
  <c r="X11" i="3"/>
  <c r="AC11" i="3"/>
  <c r="M13" i="3"/>
  <c r="N13" i="3"/>
  <c r="U13" i="3"/>
  <c r="T13" i="3" s="1"/>
  <c r="V13" i="3"/>
  <c r="W13" i="3"/>
  <c r="X13" i="3"/>
  <c r="AC13" i="3"/>
  <c r="M38" i="3"/>
  <c r="N38" i="3"/>
  <c r="U38" i="3"/>
  <c r="T38" i="3" s="1"/>
  <c r="V38" i="3"/>
  <c r="W38" i="3"/>
  <c r="X38" i="3"/>
  <c r="AC38" i="3"/>
  <c r="M22" i="3"/>
  <c r="N22" i="3"/>
  <c r="S22" i="3"/>
  <c r="U22" i="3"/>
  <c r="T22" i="3" s="1"/>
  <c r="V22" i="3"/>
  <c r="W22" i="3"/>
  <c r="X22" i="3"/>
  <c r="AC22" i="3"/>
  <c r="M37" i="3"/>
  <c r="N37" i="3"/>
  <c r="U37" i="3"/>
  <c r="T37" i="3" s="1"/>
  <c r="V37" i="3"/>
  <c r="W37" i="3"/>
  <c r="X37" i="3"/>
  <c r="AC37" i="3"/>
  <c r="Y37" i="3" l="1"/>
  <c r="Y24" i="3"/>
  <c r="Y11" i="3"/>
  <c r="Y17" i="3"/>
  <c r="AD35" i="3"/>
  <c r="AA221" i="1"/>
  <c r="AA133" i="1"/>
  <c r="AA132" i="1"/>
  <c r="AI131" i="1"/>
  <c r="AA16" i="1"/>
  <c r="T68" i="1"/>
  <c r="U68" i="1" s="1"/>
  <c r="S68" i="1" s="1"/>
  <c r="S23" i="3"/>
  <c r="AA206" i="1"/>
  <c r="AA205" i="1"/>
  <c r="W205" i="1" s="1"/>
  <c r="AA202" i="1"/>
  <c r="AA201" i="1"/>
  <c r="W201" i="1" s="1"/>
  <c r="AA200" i="1"/>
  <c r="R34" i="3"/>
  <c r="AA184" i="1"/>
  <c r="R36" i="3"/>
  <c r="AA176" i="1"/>
  <c r="AA172" i="1"/>
  <c r="W172" i="1" s="1"/>
  <c r="AI90" i="1"/>
  <c r="AA86" i="1"/>
  <c r="W86" i="1" s="1"/>
  <c r="AA82" i="1"/>
  <c r="W82" i="1" s="1"/>
  <c r="AA70" i="1"/>
  <c r="AA69" i="1"/>
  <c r="AA68" i="1"/>
  <c r="R25" i="3"/>
  <c r="R24" i="3"/>
  <c r="R28" i="3"/>
  <c r="AA124" i="1"/>
  <c r="S26" i="3"/>
  <c r="S29" i="3"/>
  <c r="S31" i="3"/>
  <c r="AG178" i="1"/>
  <c r="AI178" i="1" s="1"/>
  <c r="R35" i="3"/>
  <c r="R33" i="3"/>
  <c r="P160" i="1"/>
  <c r="AA54" i="1"/>
  <c r="AA53" i="1"/>
  <c r="AA49" i="1"/>
  <c r="AA217" i="1"/>
  <c r="AA214" i="1"/>
  <c r="AA213" i="1"/>
  <c r="W213" i="1" s="1"/>
  <c r="R31" i="3"/>
  <c r="AA210" i="1"/>
  <c r="AA162" i="1"/>
  <c r="W162" i="1" s="1"/>
  <c r="AG153" i="1"/>
  <c r="X151" i="1"/>
  <c r="AA100" i="1"/>
  <c r="AA92" i="1"/>
  <c r="AA37" i="1"/>
  <c r="AA36" i="1"/>
  <c r="W36" i="1" s="1"/>
  <c r="AA34" i="1"/>
  <c r="P22" i="1"/>
  <c r="T60" i="1"/>
  <c r="AA29" i="1"/>
  <c r="AA25" i="1"/>
  <c r="AA24" i="1"/>
  <c r="P35" i="1"/>
  <c r="AG206" i="1"/>
  <c r="AI206" i="1" s="1"/>
  <c r="AA208" i="1"/>
  <c r="AG198" i="1"/>
  <c r="U198" i="1" s="1"/>
  <c r="S198" i="1" s="1"/>
  <c r="S25" i="3"/>
  <c r="S28" i="3"/>
  <c r="AA235" i="1"/>
  <c r="AG127" i="1"/>
  <c r="AI127" i="1" s="1"/>
  <c r="X127" i="1"/>
  <c r="AI91" i="1"/>
  <c r="AA20" i="1"/>
  <c r="AA18" i="1"/>
  <c r="X159" i="1"/>
  <c r="X160" i="1"/>
  <c r="R26" i="3"/>
  <c r="R30" i="3"/>
  <c r="AG190" i="1"/>
  <c r="S27" i="3"/>
  <c r="P106" i="1"/>
  <c r="AG39" i="1"/>
  <c r="AI39" i="1" s="1"/>
  <c r="X39" i="1"/>
  <c r="S38" i="3"/>
  <c r="AA198" i="1"/>
  <c r="W198" i="1" s="1"/>
  <c r="AA197" i="1"/>
  <c r="W197" i="1" s="1"/>
  <c r="AA194" i="1"/>
  <c r="AA193" i="1"/>
  <c r="W193" i="1" s="1"/>
  <c r="AA192" i="1"/>
  <c r="AA168" i="1"/>
  <c r="R23" i="3"/>
  <c r="S34" i="3"/>
  <c r="AI232" i="1"/>
  <c r="T220" i="1"/>
  <c r="X154" i="1"/>
  <c r="AA153" i="1"/>
  <c r="AA152" i="1"/>
  <c r="AA151" i="1"/>
  <c r="W151" i="1" s="1"/>
  <c r="AG134" i="1"/>
  <c r="U134" i="1" s="1"/>
  <c r="X134" i="1"/>
  <c r="AA112" i="1"/>
  <c r="AA108" i="1"/>
  <c r="AG92" i="1"/>
  <c r="X92" i="1"/>
  <c r="T56" i="1"/>
  <c r="AA45" i="1"/>
  <c r="W45" i="1" s="1"/>
  <c r="AA40" i="1"/>
  <c r="AA15" i="1"/>
  <c r="P15" i="1"/>
  <c r="X162" i="1"/>
  <c r="AA190" i="1"/>
  <c r="AA189" i="1"/>
  <c r="W189" i="1" s="1"/>
  <c r="U178" i="1"/>
  <c r="S178" i="1" s="1"/>
  <c r="T235" i="1"/>
  <c r="AA220" i="1"/>
  <c r="AA149" i="1"/>
  <c r="AA148" i="1"/>
  <c r="AA147" i="1"/>
  <c r="W147" i="1" s="1"/>
  <c r="AA137" i="1"/>
  <c r="AA136" i="1"/>
  <c r="AA125" i="1"/>
  <c r="AA95" i="1"/>
  <c r="W95" i="1" s="1"/>
  <c r="AA57" i="1"/>
  <c r="AA56" i="1"/>
  <c r="AA39" i="1"/>
  <c r="W39" i="1" s="1"/>
  <c r="X161" i="1"/>
  <c r="Y29" i="3"/>
  <c r="Y21" i="3"/>
  <c r="Y14" i="3"/>
  <c r="Y12" i="3"/>
  <c r="Y15" i="3"/>
  <c r="AG167" i="1"/>
  <c r="U167" i="1" s="1"/>
  <c r="S167" i="1" s="1"/>
  <c r="Y8" i="3"/>
  <c r="AG194" i="1"/>
  <c r="U194" i="1" s="1"/>
  <c r="S194" i="1" s="1"/>
  <c r="X192" i="1"/>
  <c r="AG184" i="1"/>
  <c r="AG220" i="1"/>
  <c r="AI220" i="1" s="1"/>
  <c r="S37" i="3"/>
  <c r="Y9" i="3"/>
  <c r="Y18" i="3"/>
  <c r="Y28" i="3"/>
  <c r="AA238" i="1"/>
  <c r="AA226" i="1"/>
  <c r="W226" i="1" s="1"/>
  <c r="X187" i="1"/>
  <c r="AA186" i="1"/>
  <c r="AA185" i="1"/>
  <c r="W185" i="1" s="1"/>
  <c r="AA167" i="1"/>
  <c r="W167" i="1" s="1"/>
  <c r="AA236" i="1"/>
  <c r="AA227" i="1"/>
  <c r="W227" i="1" s="1"/>
  <c r="T212" i="1"/>
  <c r="U212" i="1" s="1"/>
  <c r="S212" i="1" s="1"/>
  <c r="AG137" i="1"/>
  <c r="U137" i="1" s="1"/>
  <c r="S137" i="1" s="1"/>
  <c r="AA117" i="1"/>
  <c r="AA116" i="1"/>
  <c r="AA115" i="1"/>
  <c r="W115" i="1" s="1"/>
  <c r="AG108" i="1"/>
  <c r="AI108" i="1" s="1"/>
  <c r="X107" i="1"/>
  <c r="AA106" i="1"/>
  <c r="AG96" i="1"/>
  <c r="AI96" i="1" s="1"/>
  <c r="AG57" i="1"/>
  <c r="AI57" i="1" s="1"/>
  <c r="X56" i="1"/>
  <c r="AG32" i="1"/>
  <c r="AI32" i="1" s="1"/>
  <c r="AG16" i="1"/>
  <c r="AI16" i="1" s="1"/>
  <c r="X15" i="1"/>
  <c r="AA85" i="1"/>
  <c r="T81" i="1"/>
  <c r="U81" i="1" s="1"/>
  <c r="S81" i="1" s="1"/>
  <c r="AA77" i="1"/>
  <c r="AA75" i="1"/>
  <c r="AA74" i="1"/>
  <c r="AA73" i="1"/>
  <c r="W73" i="1" s="1"/>
  <c r="AA72" i="1"/>
  <c r="W72" i="1" s="1"/>
  <c r="T72" i="1"/>
  <c r="AA61" i="1"/>
  <c r="AG43" i="1"/>
  <c r="AI43" i="1" s="1"/>
  <c r="AG34" i="1"/>
  <c r="U34" i="1" s="1"/>
  <c r="S34" i="1" s="1"/>
  <c r="AG30" i="1"/>
  <c r="U30" i="1" s="1"/>
  <c r="S30" i="1" s="1"/>
  <c r="X28" i="1"/>
  <c r="AA22" i="1"/>
  <c r="AC19" i="3"/>
  <c r="AG238" i="1"/>
  <c r="AI238" i="1" s="1"/>
  <c r="AG186" i="1"/>
  <c r="U186" i="1" s="1"/>
  <c r="S186" i="1" s="1"/>
  <c r="AG176" i="1"/>
  <c r="W176" i="1" s="1"/>
  <c r="AI173" i="1"/>
  <c r="AG217" i="1"/>
  <c r="W217" i="1" s="1"/>
  <c r="AI216" i="1"/>
  <c r="AI212" i="1"/>
  <c r="AG118" i="1"/>
  <c r="AI118" i="1" s="1"/>
  <c r="AG106" i="1"/>
  <c r="U106" i="1" s="1"/>
  <c r="Y30" i="3"/>
  <c r="AC7" i="3"/>
  <c r="X208" i="1"/>
  <c r="AG202" i="1"/>
  <c r="U202" i="1" s="1"/>
  <c r="S202" i="1" s="1"/>
  <c r="X200" i="1"/>
  <c r="AI169" i="1"/>
  <c r="AG235" i="1"/>
  <c r="AG228" i="1"/>
  <c r="AI228" i="1" s="1"/>
  <c r="X228" i="1"/>
  <c r="AG149" i="1"/>
  <c r="W149" i="1" s="1"/>
  <c r="AG133" i="1"/>
  <c r="W133" i="1" s="1"/>
  <c r="AA131" i="1"/>
  <c r="W131" i="1" s="1"/>
  <c r="AG124" i="1"/>
  <c r="AI124" i="1" s="1"/>
  <c r="AG112" i="1"/>
  <c r="U112" i="1" s="1"/>
  <c r="S112" i="1" s="1"/>
  <c r="AI82" i="1"/>
  <c r="AI81" i="1"/>
  <c r="AG75" i="1"/>
  <c r="AI75" i="1" s="1"/>
  <c r="X72" i="1"/>
  <c r="AI46" i="1"/>
  <c r="AA44" i="1"/>
  <c r="AG22" i="1"/>
  <c r="U22" i="1" s="1"/>
  <c r="AG14" i="1"/>
  <c r="U14" i="1" s="1"/>
  <c r="AA242" i="1"/>
  <c r="AA241" i="1"/>
  <c r="W241" i="1" s="1"/>
  <c r="AA240" i="1"/>
  <c r="AA223" i="1"/>
  <c r="T223" i="1"/>
  <c r="AG223" i="1"/>
  <c r="AG242" i="1"/>
  <c r="AI242" i="1" s="1"/>
  <c r="X236" i="1"/>
  <c r="T216" i="1"/>
  <c r="T103" i="1"/>
  <c r="U103" i="1" s="1"/>
  <c r="S103" i="1" s="1"/>
  <c r="X51" i="1"/>
  <c r="X40" i="1"/>
  <c r="X36" i="1"/>
  <c r="AA32" i="1"/>
  <c r="AA28" i="1"/>
  <c r="W28" i="1" s="1"/>
  <c r="AG26" i="1"/>
  <c r="U26" i="1" s="1"/>
  <c r="S26" i="1" s="1"/>
  <c r="AG20" i="1"/>
  <c r="AI20" i="1" s="1"/>
  <c r="AA209" i="1"/>
  <c r="W209" i="1" s="1"/>
  <c r="AA204" i="1"/>
  <c r="AA196" i="1"/>
  <c r="X184" i="1"/>
  <c r="AA183" i="1"/>
  <c r="T183" i="1"/>
  <c r="X176" i="1"/>
  <c r="AA175" i="1"/>
  <c r="T175" i="1"/>
  <c r="U175" i="1" s="1"/>
  <c r="S175" i="1" s="1"/>
  <c r="X172" i="1"/>
  <c r="AG170" i="1"/>
  <c r="U170" i="1" s="1"/>
  <c r="S170" i="1" s="1"/>
  <c r="AA164" i="1"/>
  <c r="T164" i="1"/>
  <c r="X232" i="1"/>
  <c r="AA232" i="1"/>
  <c r="W232" i="1" s="1"/>
  <c r="AA231" i="1"/>
  <c r="T231" i="1"/>
  <c r="X217" i="1"/>
  <c r="AA216" i="1"/>
  <c r="W216" i="1" s="1"/>
  <c r="AA161" i="1"/>
  <c r="AA160" i="1"/>
  <c r="AA159" i="1"/>
  <c r="W159" i="1" s="1"/>
  <c r="AG157" i="1"/>
  <c r="U157" i="1" s="1"/>
  <c r="S157" i="1" s="1"/>
  <c r="AG145" i="1"/>
  <c r="U145" i="1" s="1"/>
  <c r="S145" i="1" s="1"/>
  <c r="X143" i="1"/>
  <c r="AA141" i="1"/>
  <c r="AA140" i="1"/>
  <c r="AA139" i="1"/>
  <c r="W139" i="1" s="1"/>
  <c r="AA135" i="1"/>
  <c r="T135" i="1"/>
  <c r="AG129" i="1"/>
  <c r="AI129" i="1" s="1"/>
  <c r="AA122" i="1"/>
  <c r="AA120" i="1"/>
  <c r="AA119" i="1"/>
  <c r="W119" i="1" s="1"/>
  <c r="T119" i="1"/>
  <c r="U119" i="1" s="1"/>
  <c r="S119" i="1" s="1"/>
  <c r="AG110" i="1"/>
  <c r="U110" i="1" s="1"/>
  <c r="S110" i="1" s="1"/>
  <c r="AA103" i="1"/>
  <c r="W103" i="1" s="1"/>
  <c r="AG100" i="1"/>
  <c r="AI100" i="1" s="1"/>
  <c r="X99" i="1"/>
  <c r="X90" i="1"/>
  <c r="AA89" i="1"/>
  <c r="AA88" i="1"/>
  <c r="AA87" i="1"/>
  <c r="AA79" i="1"/>
  <c r="AG77" i="1"/>
  <c r="U77" i="1" s="1"/>
  <c r="S77" i="1" s="1"/>
  <c r="X64" i="1"/>
  <c r="AA63" i="1"/>
  <c r="AA60" i="1"/>
  <c r="W60" i="1" s="1"/>
  <c r="AG59" i="1"/>
  <c r="U59" i="1" s="1"/>
  <c r="S59" i="1" s="1"/>
  <c r="AG51" i="1"/>
  <c r="AA50" i="1"/>
  <c r="W50" i="1" s="1"/>
  <c r="AG48" i="1"/>
  <c r="AI48" i="1" s="1"/>
  <c r="X48" i="1"/>
  <c r="AI45" i="1"/>
  <c r="X20" i="1"/>
  <c r="AA19" i="1"/>
  <c r="T19" i="1"/>
  <c r="AA245" i="1"/>
  <c r="W245" i="1" s="1"/>
  <c r="AA244" i="1"/>
  <c r="W244" i="1" s="1"/>
  <c r="AA225" i="1"/>
  <c r="AA188" i="1"/>
  <c r="AG183" i="1"/>
  <c r="AA182" i="1"/>
  <c r="AA181" i="1"/>
  <c r="W181" i="1" s="1"/>
  <c r="AA180" i="1"/>
  <c r="AG175" i="1"/>
  <c r="AI175" i="1" s="1"/>
  <c r="AA174" i="1"/>
  <c r="AA173" i="1"/>
  <c r="W173" i="1" s="1"/>
  <c r="AG171" i="1"/>
  <c r="AI171" i="1" s="1"/>
  <c r="X171" i="1"/>
  <c r="AG168" i="1"/>
  <c r="U168" i="1" s="1"/>
  <c r="S168" i="1" s="1"/>
  <c r="AI165" i="1"/>
  <c r="AG164" i="1"/>
  <c r="U164" i="1" s="1"/>
  <c r="S164" i="1" s="1"/>
  <c r="AG236" i="1"/>
  <c r="AI236" i="1" s="1"/>
  <c r="AG231" i="1"/>
  <c r="AG221" i="1"/>
  <c r="AI221" i="1" s="1"/>
  <c r="AA212" i="1"/>
  <c r="W212" i="1" s="1"/>
  <c r="AG161" i="1"/>
  <c r="AA157" i="1"/>
  <c r="W157" i="1" s="1"/>
  <c r="AA156" i="1"/>
  <c r="AA155" i="1"/>
  <c r="W155" i="1" s="1"/>
  <c r="X146" i="1"/>
  <c r="AA145" i="1"/>
  <c r="AA144" i="1"/>
  <c r="AA143" i="1"/>
  <c r="W143" i="1" s="1"/>
  <c r="AG141" i="1"/>
  <c r="AG135" i="1"/>
  <c r="AI135" i="1" s="1"/>
  <c r="X131" i="1"/>
  <c r="AA129" i="1"/>
  <c r="AG120" i="1"/>
  <c r="AI120" i="1" s="1"/>
  <c r="X119" i="1"/>
  <c r="T115" i="1"/>
  <c r="U115" i="1" s="1"/>
  <c r="S115" i="1" s="1"/>
  <c r="AG104" i="1"/>
  <c r="AI104" i="1" s="1"/>
  <c r="AG98" i="1"/>
  <c r="U98" i="1" s="1"/>
  <c r="T95" i="1"/>
  <c r="U95" i="1" s="1"/>
  <c r="S95" i="1" s="1"/>
  <c r="AA90" i="1"/>
  <c r="W90" i="1" s="1"/>
  <c r="AG88" i="1"/>
  <c r="AI88" i="1" s="1"/>
  <c r="X88" i="1"/>
  <c r="AI86" i="1"/>
  <c r="AI83" i="1"/>
  <c r="AA83" i="1"/>
  <c r="W83" i="1" s="1"/>
  <c r="AG79" i="1"/>
  <c r="U79" i="1" s="1"/>
  <c r="AA66" i="1"/>
  <c r="AA65" i="1"/>
  <c r="W65" i="1" s="1"/>
  <c r="AG63" i="1"/>
  <c r="U63" i="1" s="1"/>
  <c r="S63" i="1" s="1"/>
  <c r="AG61" i="1"/>
  <c r="AI61" i="1" s="1"/>
  <c r="AG53" i="1"/>
  <c r="AI53" i="1" s="1"/>
  <c r="AA51" i="1"/>
  <c r="AA48" i="1"/>
  <c r="AG47" i="1"/>
  <c r="AI47" i="1" s="1"/>
  <c r="X47" i="1"/>
  <c r="AA46" i="1"/>
  <c r="W46" i="1" s="1"/>
  <c r="AG40" i="1"/>
  <c r="AI40" i="1" s="1"/>
  <c r="AG19" i="1"/>
  <c r="X243" i="1"/>
  <c r="AG243" i="1"/>
  <c r="AI243" i="1" s="1"/>
  <c r="T243" i="1"/>
  <c r="R38" i="3"/>
  <c r="R37" i="3"/>
  <c r="AG225" i="1"/>
  <c r="U225" i="1" s="1"/>
  <c r="S225" i="1" s="1"/>
  <c r="X225" i="1"/>
  <c r="AI155" i="1"/>
  <c r="AI143" i="1"/>
  <c r="T244" i="1"/>
  <c r="AG240" i="1"/>
  <c r="T240" i="1"/>
  <c r="X224" i="1"/>
  <c r="AG224" i="1"/>
  <c r="AI224" i="1" s="1"/>
  <c r="T224" i="1"/>
  <c r="AI162" i="1"/>
  <c r="AI151" i="1"/>
  <c r="U244" i="1"/>
  <c r="S244" i="1" s="1"/>
  <c r="AI244" i="1"/>
  <c r="AI159" i="1"/>
  <c r="AI139" i="1"/>
  <c r="X244" i="1"/>
  <c r="AI147" i="1"/>
  <c r="AA243" i="1"/>
  <c r="AG239" i="1"/>
  <c r="AI239" i="1" s="1"/>
  <c r="X239" i="1"/>
  <c r="AA224" i="1"/>
  <c r="AG208" i="1"/>
  <c r="AG207" i="1"/>
  <c r="U207" i="1" s="1"/>
  <c r="S207" i="1" s="1"/>
  <c r="X207" i="1"/>
  <c r="AA203" i="1"/>
  <c r="T203" i="1"/>
  <c r="AG200" i="1"/>
  <c r="AG199" i="1"/>
  <c r="AI199" i="1" s="1"/>
  <c r="X199" i="1"/>
  <c r="AA195" i="1"/>
  <c r="T195" i="1"/>
  <c r="AG192" i="1"/>
  <c r="AG191" i="1"/>
  <c r="AI191" i="1" s="1"/>
  <c r="X191" i="1"/>
  <c r="AA187" i="1"/>
  <c r="T187" i="1"/>
  <c r="U187" i="1" s="1"/>
  <c r="S187" i="1" s="1"/>
  <c r="AA179" i="1"/>
  <c r="T179" i="1"/>
  <c r="U176" i="1"/>
  <c r="S176" i="1" s="1"/>
  <c r="AA171" i="1"/>
  <c r="U216" i="1"/>
  <c r="S216" i="1" s="1"/>
  <c r="X216" i="1"/>
  <c r="X213" i="1"/>
  <c r="X212" i="1"/>
  <c r="T159" i="1"/>
  <c r="U159" i="1" s="1"/>
  <c r="S159" i="1" s="1"/>
  <c r="X155" i="1"/>
  <c r="W153" i="1"/>
  <c r="T151" i="1"/>
  <c r="U151" i="1" s="1"/>
  <c r="S151" i="1" s="1"/>
  <c r="X147" i="1"/>
  <c r="T143" i="1"/>
  <c r="U143" i="1" s="1"/>
  <c r="S143" i="1" s="1"/>
  <c r="X139" i="1"/>
  <c r="AG123" i="1"/>
  <c r="AI123" i="1" s="1"/>
  <c r="T123" i="1"/>
  <c r="X123" i="1"/>
  <c r="AI65" i="1"/>
  <c r="T204" i="1"/>
  <c r="T196" i="1"/>
  <c r="T188" i="1"/>
  <c r="T180" i="1"/>
  <c r="T172" i="1"/>
  <c r="U172" i="1" s="1"/>
  <c r="S172" i="1" s="1"/>
  <c r="AA166" i="1"/>
  <c r="AA165" i="1"/>
  <c r="W165" i="1" s="1"/>
  <c r="AG163" i="1"/>
  <c r="U163" i="1" s="1"/>
  <c r="S163" i="1" s="1"/>
  <c r="AA234" i="1"/>
  <c r="AA233" i="1"/>
  <c r="W233" i="1" s="1"/>
  <c r="T232" i="1"/>
  <c r="U232" i="1" s="1"/>
  <c r="S232" i="1" s="1"/>
  <c r="AG230" i="1"/>
  <c r="U230" i="1" s="1"/>
  <c r="S230" i="1" s="1"/>
  <c r="AA222" i="1"/>
  <c r="T221" i="1"/>
  <c r="AG219" i="1"/>
  <c r="U219" i="1" s="1"/>
  <c r="S219" i="1" s="1"/>
  <c r="AA215" i="1"/>
  <c r="AA211" i="1"/>
  <c r="AG158" i="1"/>
  <c r="U158" i="1" s="1"/>
  <c r="X158" i="1"/>
  <c r="AA154" i="1"/>
  <c r="T154" i="1"/>
  <c r="AG150" i="1"/>
  <c r="U150" i="1" s="1"/>
  <c r="X150" i="1"/>
  <c r="AA146" i="1"/>
  <c r="T146" i="1"/>
  <c r="AG142" i="1"/>
  <c r="U142" i="1" s="1"/>
  <c r="S142" i="1" s="1"/>
  <c r="X142" i="1"/>
  <c r="AA138" i="1"/>
  <c r="T138" i="1"/>
  <c r="AA130" i="1"/>
  <c r="AI73" i="1"/>
  <c r="AI28" i="1"/>
  <c r="AA239" i="1"/>
  <c r="AA207" i="1"/>
  <c r="AG204" i="1"/>
  <c r="AG203" i="1"/>
  <c r="AA199" i="1"/>
  <c r="W199" i="1" s="1"/>
  <c r="AG196" i="1"/>
  <c r="AG195" i="1"/>
  <c r="AA191" i="1"/>
  <c r="AG188" i="1"/>
  <c r="AG187" i="1"/>
  <c r="AG180" i="1"/>
  <c r="AG179" i="1"/>
  <c r="AI179" i="1" s="1"/>
  <c r="AI184" i="1"/>
  <c r="T213" i="1"/>
  <c r="U213" i="1" s="1"/>
  <c r="S213" i="1" s="1"/>
  <c r="T162" i="1"/>
  <c r="U162" i="1" s="1"/>
  <c r="S162" i="1" s="1"/>
  <c r="T155" i="1"/>
  <c r="U155" i="1" s="1"/>
  <c r="S155" i="1" s="1"/>
  <c r="T147" i="1"/>
  <c r="U147" i="1" s="1"/>
  <c r="S147" i="1" s="1"/>
  <c r="T139" i="1"/>
  <c r="U139" i="1" s="1"/>
  <c r="S139" i="1" s="1"/>
  <c r="X130" i="1"/>
  <c r="AG130" i="1"/>
  <c r="U130" i="1" s="1"/>
  <c r="S130" i="1" s="1"/>
  <c r="W69" i="1"/>
  <c r="AG182" i="1"/>
  <c r="U182" i="1" s="1"/>
  <c r="AA178" i="1"/>
  <c r="AA177" i="1"/>
  <c r="W177" i="1" s="1"/>
  <c r="AG174" i="1"/>
  <c r="U174" i="1" s="1"/>
  <c r="S174" i="1" s="1"/>
  <c r="AA170" i="1"/>
  <c r="AA169" i="1"/>
  <c r="W169" i="1" s="1"/>
  <c r="AG166" i="1"/>
  <c r="U166" i="1" s="1"/>
  <c r="S166" i="1" s="1"/>
  <c r="AA163" i="1"/>
  <c r="AA237" i="1"/>
  <c r="W237" i="1" s="1"/>
  <c r="AG234" i="1"/>
  <c r="U234" i="1" s="1"/>
  <c r="S234" i="1" s="1"/>
  <c r="AA230" i="1"/>
  <c r="W230" i="1" s="1"/>
  <c r="AA229" i="1"/>
  <c r="W229" i="1" s="1"/>
  <c r="AA219" i="1"/>
  <c r="AA218" i="1"/>
  <c r="AG215" i="1"/>
  <c r="U215" i="1" s="1"/>
  <c r="S215" i="1" s="1"/>
  <c r="AG211" i="1"/>
  <c r="U211" i="1" s="1"/>
  <c r="S211" i="1" s="1"/>
  <c r="AA158" i="1"/>
  <c r="AG154" i="1"/>
  <c r="AI154" i="1" s="1"/>
  <c r="AA150" i="1"/>
  <c r="AG146" i="1"/>
  <c r="AI146" i="1" s="1"/>
  <c r="AA142" i="1"/>
  <c r="AG138" i="1"/>
  <c r="T131" i="1"/>
  <c r="U131" i="1" s="1"/>
  <c r="S131" i="1" s="1"/>
  <c r="AI69" i="1"/>
  <c r="AI36" i="1"/>
  <c r="T85" i="1"/>
  <c r="T73" i="1"/>
  <c r="U73" i="1" s="1"/>
  <c r="S73" i="1" s="1"/>
  <c r="T65" i="1"/>
  <c r="U65" i="1" s="1"/>
  <c r="S65" i="1" s="1"/>
  <c r="U57" i="1"/>
  <c r="S57" i="1" s="1"/>
  <c r="T36" i="1"/>
  <c r="U36" i="1" s="1"/>
  <c r="T24" i="1"/>
  <c r="AA134" i="1"/>
  <c r="AA127" i="1"/>
  <c r="AA126" i="1"/>
  <c r="W126" i="1" s="1"/>
  <c r="AG122" i="1"/>
  <c r="U122" i="1" s="1"/>
  <c r="S122" i="1" s="1"/>
  <c r="AA118" i="1"/>
  <c r="AG116" i="1"/>
  <c r="AI116" i="1" s="1"/>
  <c r="AG114" i="1"/>
  <c r="AI114" i="1" s="1"/>
  <c r="X111" i="1"/>
  <c r="AA105" i="1"/>
  <c r="AA104" i="1"/>
  <c r="AG102" i="1"/>
  <c r="AI102" i="1" s="1"/>
  <c r="AA98" i="1"/>
  <c r="AA97" i="1"/>
  <c r="AA96" i="1"/>
  <c r="AG94" i="1"/>
  <c r="U94" i="1" s="1"/>
  <c r="S94" i="1" s="1"/>
  <c r="AA91" i="1"/>
  <c r="W91" i="1" s="1"/>
  <c r="AG89" i="1"/>
  <c r="W89" i="1" s="1"/>
  <c r="X89" i="1"/>
  <c r="AG85" i="1"/>
  <c r="AG84" i="1"/>
  <c r="AI84" i="1" s="1"/>
  <c r="X84" i="1"/>
  <c r="AA81" i="1"/>
  <c r="W81" i="1" s="1"/>
  <c r="AG80" i="1"/>
  <c r="AI80" i="1" s="1"/>
  <c r="X80" i="1"/>
  <c r="AA76" i="1"/>
  <c r="W76" i="1" s="1"/>
  <c r="T76" i="1"/>
  <c r="U76" i="1" s="1"/>
  <c r="S76" i="1" s="1"/>
  <c r="AG67" i="1"/>
  <c r="U67" i="1" s="1"/>
  <c r="S67" i="1" s="1"/>
  <c r="X52" i="1"/>
  <c r="AA47" i="1"/>
  <c r="AG44" i="1"/>
  <c r="AA41" i="1"/>
  <c r="AG38" i="1"/>
  <c r="U38" i="1" s="1"/>
  <c r="S38" i="1" s="1"/>
  <c r="AG35" i="1"/>
  <c r="U35" i="1" s="1"/>
  <c r="X35" i="1"/>
  <c r="X32" i="1"/>
  <c r="AG31" i="1"/>
  <c r="U31" i="1" s="1"/>
  <c r="S31" i="1" s="1"/>
  <c r="X31" i="1"/>
  <c r="AA27" i="1"/>
  <c r="T27" i="1"/>
  <c r="AG24" i="1"/>
  <c r="AG23" i="1"/>
  <c r="U23" i="1" s="1"/>
  <c r="X23" i="1"/>
  <c r="AA17" i="1"/>
  <c r="AG15" i="1"/>
  <c r="AA128" i="1"/>
  <c r="X115" i="1"/>
  <c r="AI112" i="1"/>
  <c r="AA110" i="1"/>
  <c r="AA109" i="1"/>
  <c r="AA107" i="1"/>
  <c r="T107" i="1"/>
  <c r="U107" i="1" s="1"/>
  <c r="X103" i="1"/>
  <c r="AA99" i="1"/>
  <c r="W99" i="1" s="1"/>
  <c r="T99" i="1"/>
  <c r="X95" i="1"/>
  <c r="T90" i="1"/>
  <c r="U90" i="1" s="1"/>
  <c r="S90" i="1" s="1"/>
  <c r="W87" i="1"/>
  <c r="X81" i="1"/>
  <c r="AI77" i="1"/>
  <c r="T69" i="1"/>
  <c r="U69" i="1" s="1"/>
  <c r="S69" i="1" s="1"/>
  <c r="X68" i="1"/>
  <c r="AA64" i="1"/>
  <c r="W64" i="1" s="1"/>
  <c r="T64" i="1"/>
  <c r="U64" i="1" s="1"/>
  <c r="S64" i="1" s="1"/>
  <c r="AA62" i="1"/>
  <c r="X60" i="1"/>
  <c r="AG55" i="1"/>
  <c r="U55" i="1" s="1"/>
  <c r="S55" i="1" s="1"/>
  <c r="T28" i="1"/>
  <c r="U28" i="1" s="1"/>
  <c r="S28" i="1" s="1"/>
  <c r="AA21" i="1"/>
  <c r="AG18" i="1"/>
  <c r="U18" i="1" s="1"/>
  <c r="S18" i="1" s="1"/>
  <c r="AA14" i="1"/>
  <c r="W14" i="1" s="1"/>
  <c r="AA123" i="1"/>
  <c r="AA121" i="1"/>
  <c r="AA114" i="1"/>
  <c r="AA113" i="1"/>
  <c r="AA111" i="1"/>
  <c r="W111" i="1" s="1"/>
  <c r="T111" i="1"/>
  <c r="U111" i="1" s="1"/>
  <c r="S111" i="1" s="1"/>
  <c r="AA102" i="1"/>
  <c r="AA101" i="1"/>
  <c r="AA94" i="1"/>
  <c r="AA93" i="1"/>
  <c r="AA84" i="1"/>
  <c r="AA80" i="1"/>
  <c r="AA78" i="1"/>
  <c r="X76" i="1"/>
  <c r="AG71" i="1"/>
  <c r="U71" i="1" s="1"/>
  <c r="S71" i="1" s="1"/>
  <c r="AA67" i="1"/>
  <c r="AA59" i="1"/>
  <c r="AA58" i="1"/>
  <c r="AA52" i="1"/>
  <c r="W52" i="1" s="1"/>
  <c r="T52" i="1"/>
  <c r="U52" i="1" s="1"/>
  <c r="S52" i="1" s="1"/>
  <c r="T45" i="1"/>
  <c r="U45" i="1" s="1"/>
  <c r="S45" i="1" s="1"/>
  <c r="AA38" i="1"/>
  <c r="AA35" i="1"/>
  <c r="AA33" i="1"/>
  <c r="AA31" i="1"/>
  <c r="AG27" i="1"/>
  <c r="AA23" i="1"/>
  <c r="AI245" i="1"/>
  <c r="AI237" i="1"/>
  <c r="AI229" i="1"/>
  <c r="AI213" i="1"/>
  <c r="AI205" i="1"/>
  <c r="AI197" i="1"/>
  <c r="AI189" i="1"/>
  <c r="AI181" i="1"/>
  <c r="AI241" i="1"/>
  <c r="AI233" i="1"/>
  <c r="AI209" i="1"/>
  <c r="AI201" i="1"/>
  <c r="AI193" i="1"/>
  <c r="AI185" i="1"/>
  <c r="AI177" i="1"/>
  <c r="X245" i="1"/>
  <c r="T245" i="1"/>
  <c r="U245" i="1" s="1"/>
  <c r="S245" i="1" s="1"/>
  <c r="X241" i="1"/>
  <c r="T241" i="1"/>
  <c r="U241" i="1" s="1"/>
  <c r="S241" i="1" s="1"/>
  <c r="X226" i="1"/>
  <c r="T226" i="1"/>
  <c r="U226" i="1" s="1"/>
  <c r="S226" i="1" s="1"/>
  <c r="X209" i="1"/>
  <c r="T209" i="1"/>
  <c r="U209" i="1" s="1"/>
  <c r="S209" i="1" s="1"/>
  <c r="X205" i="1"/>
  <c r="T205" i="1"/>
  <c r="U205" i="1" s="1"/>
  <c r="S205" i="1" s="1"/>
  <c r="AI226" i="1"/>
  <c r="X201" i="1"/>
  <c r="T201" i="1"/>
  <c r="U201" i="1" s="1"/>
  <c r="S201" i="1" s="1"/>
  <c r="X197" i="1"/>
  <c r="T197" i="1"/>
  <c r="U197" i="1" s="1"/>
  <c r="S197" i="1" s="1"/>
  <c r="X193" i="1"/>
  <c r="T193" i="1"/>
  <c r="U193" i="1" s="1"/>
  <c r="S193" i="1" s="1"/>
  <c r="X189" i="1"/>
  <c r="T189" i="1"/>
  <c r="U189" i="1" s="1"/>
  <c r="S189" i="1" s="1"/>
  <c r="X185" i="1"/>
  <c r="T185" i="1"/>
  <c r="U185" i="1" s="1"/>
  <c r="S185" i="1" s="1"/>
  <c r="S182" i="1"/>
  <c r="X181" i="1"/>
  <c r="T181" i="1"/>
  <c r="U181" i="1" s="1"/>
  <c r="S181" i="1" s="1"/>
  <c r="X177" i="1"/>
  <c r="T177" i="1"/>
  <c r="U177" i="1" s="1"/>
  <c r="S177" i="1" s="1"/>
  <c r="X173" i="1"/>
  <c r="T173" i="1"/>
  <c r="U173" i="1" s="1"/>
  <c r="S173" i="1" s="1"/>
  <c r="T169" i="1"/>
  <c r="U169" i="1" s="1"/>
  <c r="S169" i="1" s="1"/>
  <c r="AI190" i="1"/>
  <c r="T165" i="1"/>
  <c r="U165" i="1" s="1"/>
  <c r="S165" i="1" s="1"/>
  <c r="X237" i="1"/>
  <c r="T237" i="1"/>
  <c r="U237" i="1" s="1"/>
  <c r="S237" i="1" s="1"/>
  <c r="AI182" i="1"/>
  <c r="X233" i="1"/>
  <c r="T233" i="1"/>
  <c r="U233" i="1" s="1"/>
  <c r="S233" i="1" s="1"/>
  <c r="X229" i="1"/>
  <c r="T229" i="1"/>
  <c r="U229" i="1" s="1"/>
  <c r="S229" i="1" s="1"/>
  <c r="AA228" i="1"/>
  <c r="AI167" i="1"/>
  <c r="T214" i="1"/>
  <c r="X214" i="1"/>
  <c r="AG214" i="1"/>
  <c r="AI214" i="1" s="1"/>
  <c r="U231" i="1"/>
  <c r="S231" i="1" s="1"/>
  <c r="T222" i="1"/>
  <c r="X222" i="1"/>
  <c r="AG222" i="1"/>
  <c r="AI222" i="1" s="1"/>
  <c r="T210" i="1"/>
  <c r="X210" i="1"/>
  <c r="AG210" i="1"/>
  <c r="W210" i="1" s="1"/>
  <c r="X242" i="1"/>
  <c r="X238" i="1"/>
  <c r="X223" i="1"/>
  <c r="AI231" i="1"/>
  <c r="X206" i="1"/>
  <c r="AI227" i="1"/>
  <c r="X202" i="1"/>
  <c r="X198" i="1"/>
  <c r="X194" i="1"/>
  <c r="X190" i="1"/>
  <c r="X186" i="1"/>
  <c r="X182" i="1"/>
  <c r="AI203" i="1"/>
  <c r="X178" i="1"/>
  <c r="X174" i="1"/>
  <c r="AI187" i="1"/>
  <c r="X234" i="1"/>
  <c r="X230" i="1"/>
  <c r="T227" i="1"/>
  <c r="U227" i="1" s="1"/>
  <c r="S227" i="1" s="1"/>
  <c r="X227" i="1"/>
  <c r="T218" i="1"/>
  <c r="X218" i="1"/>
  <c r="AG218" i="1"/>
  <c r="U153" i="1"/>
  <c r="S153" i="1" s="1"/>
  <c r="U141" i="1"/>
  <c r="S141" i="1" s="1"/>
  <c r="AI111" i="1"/>
  <c r="AI172" i="1"/>
  <c r="X219" i="1"/>
  <c r="X215" i="1"/>
  <c r="X211" i="1"/>
  <c r="AG160" i="1"/>
  <c r="AI158" i="1"/>
  <c r="S158" i="1"/>
  <c r="X157" i="1"/>
  <c r="AG156" i="1"/>
  <c r="X153" i="1"/>
  <c r="AG152" i="1"/>
  <c r="S150" i="1"/>
  <c r="X149" i="1"/>
  <c r="AG148" i="1"/>
  <c r="X145" i="1"/>
  <c r="AG144" i="1"/>
  <c r="AI142" i="1"/>
  <c r="X141" i="1"/>
  <c r="AG140" i="1"/>
  <c r="X137" i="1"/>
  <c r="AG136" i="1"/>
  <c r="W136" i="1" s="1"/>
  <c r="S134" i="1"/>
  <c r="X133" i="1"/>
  <c r="AG132" i="1"/>
  <c r="X129" i="1"/>
  <c r="AG128" i="1"/>
  <c r="AI119" i="1"/>
  <c r="AI115" i="1"/>
  <c r="U114" i="1"/>
  <c r="S114" i="1" s="1"/>
  <c r="AI103" i="1"/>
  <c r="AI95" i="1"/>
  <c r="X156" i="1"/>
  <c r="AI153" i="1"/>
  <c r="X152" i="1"/>
  <c r="AI149" i="1"/>
  <c r="X148" i="1"/>
  <c r="AI145" i="1"/>
  <c r="X144" i="1"/>
  <c r="AI141" i="1"/>
  <c r="X140" i="1"/>
  <c r="AI137" i="1"/>
  <c r="X136" i="1"/>
  <c r="X132" i="1"/>
  <c r="X128" i="1"/>
  <c r="AI126" i="1"/>
  <c r="U118" i="1"/>
  <c r="S118" i="1" s="1"/>
  <c r="W107" i="1"/>
  <c r="T126" i="1"/>
  <c r="U126" i="1" s="1"/>
  <c r="S126" i="1" s="1"/>
  <c r="X126" i="1"/>
  <c r="T125" i="1"/>
  <c r="AG125" i="1"/>
  <c r="AI107" i="1"/>
  <c r="U99" i="1"/>
  <c r="S99" i="1" s="1"/>
  <c r="AI99" i="1"/>
  <c r="X122" i="1"/>
  <c r="AG121" i="1"/>
  <c r="X118" i="1"/>
  <c r="AG117" i="1"/>
  <c r="X114" i="1"/>
  <c r="AG113" i="1"/>
  <c r="W113" i="1" s="1"/>
  <c r="X110" i="1"/>
  <c r="AG109" i="1"/>
  <c r="X106" i="1"/>
  <c r="AG105" i="1"/>
  <c r="X102" i="1"/>
  <c r="AG101" i="1"/>
  <c r="X98" i="1"/>
  <c r="AG97" i="1"/>
  <c r="X94" i="1"/>
  <c r="AG93" i="1"/>
  <c r="T91" i="1"/>
  <c r="U91" i="1" s="1"/>
  <c r="S91" i="1" s="1"/>
  <c r="X91" i="1"/>
  <c r="AI68" i="1"/>
  <c r="T66" i="1"/>
  <c r="X66" i="1"/>
  <c r="AG66" i="1"/>
  <c r="W56" i="1"/>
  <c r="AI52" i="1"/>
  <c r="AG49" i="1"/>
  <c r="X49" i="1"/>
  <c r="T49" i="1"/>
  <c r="T42" i="1"/>
  <c r="X42" i="1"/>
  <c r="AG42" i="1"/>
  <c r="X43" i="1"/>
  <c r="X121" i="1"/>
  <c r="X117" i="1"/>
  <c r="X113" i="1"/>
  <c r="X109" i="1"/>
  <c r="X105" i="1"/>
  <c r="X101" i="1"/>
  <c r="S98" i="1"/>
  <c r="X97" i="1"/>
  <c r="X93" i="1"/>
  <c r="T82" i="1"/>
  <c r="U82" i="1" s="1"/>
  <c r="S82" i="1" s="1"/>
  <c r="AI72" i="1"/>
  <c r="U72" i="1"/>
  <c r="S72" i="1" s="1"/>
  <c r="T70" i="1"/>
  <c r="X70" i="1"/>
  <c r="AG70" i="1"/>
  <c r="AI56" i="1"/>
  <c r="U56" i="1"/>
  <c r="S56" i="1" s="1"/>
  <c r="T54" i="1"/>
  <c r="X54" i="1"/>
  <c r="AG54" i="1"/>
  <c r="X124" i="1"/>
  <c r="X120" i="1"/>
  <c r="X116" i="1"/>
  <c r="X112" i="1"/>
  <c r="X108" i="1"/>
  <c r="X104" i="1"/>
  <c r="X100" i="1"/>
  <c r="X96" i="1"/>
  <c r="AI87" i="1"/>
  <c r="T86" i="1"/>
  <c r="U86" i="1" s="1"/>
  <c r="S86" i="1" s="1"/>
  <c r="T83" i="1"/>
  <c r="U83" i="1" s="1"/>
  <c r="S83" i="1" s="1"/>
  <c r="X83" i="1"/>
  <c r="X82" i="1"/>
  <c r="AI76" i="1"/>
  <c r="T74" i="1"/>
  <c r="X74" i="1"/>
  <c r="AG74" i="1"/>
  <c r="AI60" i="1"/>
  <c r="U60" i="1"/>
  <c r="S60" i="1" s="1"/>
  <c r="T58" i="1"/>
  <c r="X58" i="1"/>
  <c r="AG58" i="1"/>
  <c r="AI44" i="1"/>
  <c r="T29" i="1"/>
  <c r="X29" i="1"/>
  <c r="AG29" i="1"/>
  <c r="W29" i="1" s="1"/>
  <c r="T87" i="1"/>
  <c r="U87" i="1" s="1"/>
  <c r="S87" i="1" s="1"/>
  <c r="X87" i="1"/>
  <c r="X86" i="1"/>
  <c r="S79" i="1"/>
  <c r="T78" i="1"/>
  <c r="X78" i="1"/>
  <c r="AG78" i="1"/>
  <c r="AA71" i="1"/>
  <c r="W68" i="1"/>
  <c r="AI64" i="1"/>
  <c r="T62" i="1"/>
  <c r="X62" i="1"/>
  <c r="AG62" i="1"/>
  <c r="AA55" i="1"/>
  <c r="U44" i="1"/>
  <c r="S44" i="1" s="1"/>
  <c r="AI30" i="1"/>
  <c r="X77" i="1"/>
  <c r="X73" i="1"/>
  <c r="X69" i="1"/>
  <c r="X65" i="1"/>
  <c r="X61" i="1"/>
  <c r="X57" i="1"/>
  <c r="X53" i="1"/>
  <c r="AA42" i="1"/>
  <c r="T33" i="1"/>
  <c r="X33" i="1"/>
  <c r="AG33" i="1"/>
  <c r="W33" i="1" s="1"/>
  <c r="AA26" i="1"/>
  <c r="T17" i="1"/>
  <c r="X17" i="1"/>
  <c r="AG17" i="1"/>
  <c r="X79" i="1"/>
  <c r="X75" i="1"/>
  <c r="X71" i="1"/>
  <c r="X67" i="1"/>
  <c r="X63" i="1"/>
  <c r="X59" i="1"/>
  <c r="X55" i="1"/>
  <c r="AI50" i="1"/>
  <c r="T46" i="1"/>
  <c r="U46" i="1" s="1"/>
  <c r="S46" i="1" s="1"/>
  <c r="X46" i="1"/>
  <c r="X45" i="1"/>
  <c r="X44" i="1"/>
  <c r="AA43" i="1"/>
  <c r="T41" i="1"/>
  <c r="X41" i="1"/>
  <c r="AG41" i="1"/>
  <c r="AI26" i="1"/>
  <c r="T25" i="1"/>
  <c r="X25" i="1"/>
  <c r="AG25" i="1"/>
  <c r="T50" i="1"/>
  <c r="U50" i="1" s="1"/>
  <c r="S50" i="1" s="1"/>
  <c r="X50" i="1"/>
  <c r="T37" i="1"/>
  <c r="X37" i="1"/>
  <c r="AG37" i="1"/>
  <c r="AA30" i="1"/>
  <c r="T21" i="1"/>
  <c r="X21" i="1"/>
  <c r="AG21" i="1"/>
  <c r="S14" i="1"/>
  <c r="X16" i="1"/>
  <c r="U15" i="1"/>
  <c r="X38" i="1"/>
  <c r="X34" i="1"/>
  <c r="X30" i="1"/>
  <c r="AI27" i="1"/>
  <c r="X26" i="1"/>
  <c r="X22" i="1"/>
  <c r="X18" i="1"/>
  <c r="AI15" i="1"/>
  <c r="Y7" i="3"/>
  <c r="Y23" i="3"/>
  <c r="Y35" i="3"/>
  <c r="AD33" i="3"/>
  <c r="Y38" i="3"/>
  <c r="Y13" i="3"/>
  <c r="Y34" i="3"/>
  <c r="Y19" i="3"/>
  <c r="Y16" i="3"/>
  <c r="AD22" i="3"/>
  <c r="AD13" i="3"/>
  <c r="AD26" i="3"/>
  <c r="AD34" i="3"/>
  <c r="AD31" i="3"/>
  <c r="AD19" i="3"/>
  <c r="AD20" i="3"/>
  <c r="AD36" i="3"/>
  <c r="AD16" i="3"/>
  <c r="AD25" i="3"/>
  <c r="AD7" i="3"/>
  <c r="AD17" i="3"/>
  <c r="AD23" i="3"/>
  <c r="AD10" i="3"/>
  <c r="AD15" i="3"/>
  <c r="AD38" i="3"/>
  <c r="AD11" i="3"/>
  <c r="AD29" i="3"/>
  <c r="AD21" i="3"/>
  <c r="AD9" i="3"/>
  <c r="AD24" i="3"/>
  <c r="AD18" i="3"/>
  <c r="AD14" i="3"/>
  <c r="AD28" i="3"/>
  <c r="AD12" i="3"/>
  <c r="AD8" i="3"/>
  <c r="AD27" i="3"/>
  <c r="Y22" i="3"/>
  <c r="Y26" i="3"/>
  <c r="Y31" i="3"/>
  <c r="Y20" i="3"/>
  <c r="Y36" i="3"/>
  <c r="Y25" i="3"/>
  <c r="M28" i="5"/>
  <c r="W231" i="1" l="1"/>
  <c r="W132" i="1"/>
  <c r="AI22" i="1"/>
  <c r="U75" i="1"/>
  <c r="S75" i="1" s="1"/>
  <c r="W58" i="1"/>
  <c r="W123" i="1"/>
  <c r="AI110" i="1"/>
  <c r="W148" i="1"/>
  <c r="U199" i="1"/>
  <c r="S199" i="1" s="1"/>
  <c r="U123" i="1"/>
  <c r="S123" i="1" s="1"/>
  <c r="W239" i="1"/>
  <c r="AI186" i="1"/>
  <c r="U171" i="1"/>
  <c r="S171" i="1" s="1"/>
  <c r="W206" i="1"/>
  <c r="W66" i="1"/>
  <c r="W54" i="1"/>
  <c r="AI71" i="1"/>
  <c r="W125" i="1"/>
  <c r="AI157" i="1"/>
  <c r="U129" i="1"/>
  <c r="S129" i="1" s="1"/>
  <c r="W127" i="1"/>
  <c r="W106" i="1"/>
  <c r="W108" i="1"/>
  <c r="S35" i="1"/>
  <c r="AI23" i="1"/>
  <c r="U39" i="1"/>
  <c r="S39" i="1" s="1"/>
  <c r="U16" i="1"/>
  <c r="AI34" i="1"/>
  <c r="W49" i="1"/>
  <c r="W97" i="1"/>
  <c r="W152" i="1"/>
  <c r="W150" i="1"/>
  <c r="W75" i="1"/>
  <c r="AI14" i="1"/>
  <c r="W25" i="1"/>
  <c r="U108" i="1"/>
  <c r="S108" i="1" s="1"/>
  <c r="AI168" i="1"/>
  <c r="U149" i="1"/>
  <c r="S149" i="1" s="1"/>
  <c r="U191" i="1"/>
  <c r="S191" i="1" s="1"/>
  <c r="U88" i="1"/>
  <c r="S88" i="1" s="1"/>
  <c r="W44" i="1"/>
  <c r="W184" i="1"/>
  <c r="W214" i="1"/>
  <c r="AI35" i="1"/>
  <c r="W21" i="1"/>
  <c r="W30" i="1"/>
  <c r="W71" i="1"/>
  <c r="AI59" i="1"/>
  <c r="W80" i="1"/>
  <c r="AI211" i="1"/>
  <c r="AI176" i="1"/>
  <c r="AI164" i="1"/>
  <c r="W228" i="1"/>
  <c r="U228" i="1"/>
  <c r="S228" i="1" s="1"/>
  <c r="W67" i="1"/>
  <c r="W94" i="1"/>
  <c r="W15" i="1"/>
  <c r="U179" i="1"/>
  <c r="S179" i="1" s="1"/>
  <c r="U235" i="1"/>
  <c r="S235" i="1" s="1"/>
  <c r="W57" i="1"/>
  <c r="W137" i="1"/>
  <c r="W220" i="1"/>
  <c r="W26" i="1"/>
  <c r="AI63" i="1"/>
  <c r="U104" i="1"/>
  <c r="S104" i="1" s="1"/>
  <c r="W101" i="1"/>
  <c r="U116" i="1"/>
  <c r="S116" i="1" s="1"/>
  <c r="AI150" i="1"/>
  <c r="AI219" i="1"/>
  <c r="U224" i="1"/>
  <c r="S224" i="1" s="1"/>
  <c r="AI198" i="1"/>
  <c r="W59" i="1"/>
  <c r="W24" i="1"/>
  <c r="W98" i="1"/>
  <c r="W178" i="1"/>
  <c r="U243" i="1"/>
  <c r="S243" i="1" s="1"/>
  <c r="W122" i="1"/>
  <c r="W164" i="1"/>
  <c r="U124" i="1"/>
  <c r="S124" i="1" s="1"/>
  <c r="U27" i="1"/>
  <c r="S27" i="1" s="1"/>
  <c r="W170" i="1"/>
  <c r="W171" i="1"/>
  <c r="W129" i="1"/>
  <c r="W92" i="1"/>
  <c r="W194" i="1"/>
  <c r="U40" i="1"/>
  <c r="S40" i="1" s="1"/>
  <c r="U127" i="1"/>
  <c r="S127" i="1" s="1"/>
  <c r="W104" i="1"/>
  <c r="U19" i="1"/>
  <c r="S19" i="1" s="1"/>
  <c r="W112" i="1"/>
  <c r="U102" i="1"/>
  <c r="S102" i="1" s="1"/>
  <c r="AI134" i="1"/>
  <c r="AI122" i="1"/>
  <c r="AI207" i="1"/>
  <c r="U239" i="1"/>
  <c r="S239" i="1" s="1"/>
  <c r="W110" i="1"/>
  <c r="W96" i="1"/>
  <c r="U138" i="1"/>
  <c r="S138" i="1" s="1"/>
  <c r="U154" i="1"/>
  <c r="S154" i="1" s="1"/>
  <c r="U206" i="1"/>
  <c r="S206" i="1" s="1"/>
  <c r="U203" i="1"/>
  <c r="S203" i="1" s="1"/>
  <c r="W243" i="1"/>
  <c r="W145" i="1"/>
  <c r="W190" i="1"/>
  <c r="AI94" i="1"/>
  <c r="U80" i="1"/>
  <c r="S80" i="1" s="1"/>
  <c r="U92" i="1"/>
  <c r="S92" i="1" s="1"/>
  <c r="U96" i="1"/>
  <c r="S96" i="1" s="1"/>
  <c r="W102" i="1"/>
  <c r="W114" i="1"/>
  <c r="U195" i="1"/>
  <c r="S195" i="1" s="1"/>
  <c r="W204" i="1"/>
  <c r="W161" i="1"/>
  <c r="U183" i="1"/>
  <c r="S183" i="1" s="1"/>
  <c r="W51" i="1"/>
  <c r="W88" i="1"/>
  <c r="W34" i="1"/>
  <c r="AI92" i="1"/>
  <c r="AI67" i="1"/>
  <c r="AI194" i="1"/>
  <c r="AI225" i="1"/>
  <c r="U48" i="1"/>
  <c r="S48" i="1" s="1"/>
  <c r="W118" i="1"/>
  <c r="W134" i="1"/>
  <c r="U221" i="1"/>
  <c r="S221" i="1" s="1"/>
  <c r="W207" i="1"/>
  <c r="W48" i="1"/>
  <c r="W77" i="1"/>
  <c r="S106" i="1"/>
  <c r="AI55" i="1"/>
  <c r="AI98" i="1"/>
  <c r="U47" i="1"/>
  <c r="S47" i="1" s="1"/>
  <c r="AI161" i="1"/>
  <c r="AI130" i="1"/>
  <c r="AI138" i="1"/>
  <c r="U161" i="1"/>
  <c r="AI183" i="1"/>
  <c r="W23" i="1"/>
  <c r="W35" i="1"/>
  <c r="U61" i="1"/>
  <c r="S61" i="1" s="1"/>
  <c r="W79" i="1"/>
  <c r="W19" i="1"/>
  <c r="U120" i="1"/>
  <c r="S120" i="1" s="1"/>
  <c r="W142" i="1"/>
  <c r="W158" i="1"/>
  <c r="U184" i="1"/>
  <c r="S184" i="1" s="1"/>
  <c r="W224" i="1"/>
  <c r="U223" i="1"/>
  <c r="S223" i="1" s="1"/>
  <c r="AI19" i="1"/>
  <c r="W47" i="1"/>
  <c r="AI18" i="1"/>
  <c r="AI106" i="1"/>
  <c r="U51" i="1"/>
  <c r="S51" i="1" s="1"/>
  <c r="U133" i="1"/>
  <c r="S133" i="1" s="1"/>
  <c r="AI234" i="1"/>
  <c r="U242" i="1"/>
  <c r="S242" i="1" s="1"/>
  <c r="U190" i="1"/>
  <c r="S190" i="1" s="1"/>
  <c r="U236" i="1"/>
  <c r="S236" i="1" s="1"/>
  <c r="W242" i="1"/>
  <c r="W225" i="1"/>
  <c r="W235" i="1"/>
  <c r="W55" i="1"/>
  <c r="AI79" i="1"/>
  <c r="W117" i="1"/>
  <c r="W218" i="1"/>
  <c r="W168" i="1"/>
  <c r="W22" i="1"/>
  <c r="W186" i="1"/>
  <c r="AI31" i="1"/>
  <c r="AI51" i="1"/>
  <c r="AI195" i="1"/>
  <c r="AI235" i="1"/>
  <c r="W223" i="1"/>
  <c r="W16" i="1"/>
  <c r="W124" i="1"/>
  <c r="W221" i="1"/>
  <c r="W17" i="1"/>
  <c r="U84" i="1"/>
  <c r="S84" i="1" s="1"/>
  <c r="S15" i="1"/>
  <c r="W43" i="1"/>
  <c r="W84" i="1"/>
  <c r="AI133" i="1"/>
  <c r="U220" i="1"/>
  <c r="S220" i="1" s="1"/>
  <c r="U20" i="1"/>
  <c r="S20" i="1" s="1"/>
  <c r="W100" i="1"/>
  <c r="U53" i="1"/>
  <c r="S53" i="1" s="1"/>
  <c r="W27" i="1"/>
  <c r="U32" i="1"/>
  <c r="S32" i="1" s="1"/>
  <c r="U238" i="1"/>
  <c r="S238" i="1" s="1"/>
  <c r="U135" i="1"/>
  <c r="S135" i="1" s="1"/>
  <c r="W238" i="1"/>
  <c r="AI38" i="1"/>
  <c r="U43" i="1"/>
  <c r="S43" i="1" s="1"/>
  <c r="U100" i="1"/>
  <c r="S100" i="1" s="1"/>
  <c r="W93" i="1"/>
  <c r="AI215" i="1"/>
  <c r="AI223" i="1"/>
  <c r="AI202" i="1"/>
  <c r="AI230" i="1"/>
  <c r="AI217" i="1"/>
  <c r="S22" i="1"/>
  <c r="W163" i="1"/>
  <c r="W202" i="1"/>
  <c r="W191" i="1"/>
  <c r="U217" i="1"/>
  <c r="S217" i="1" s="1"/>
  <c r="W20" i="1"/>
  <c r="W32" i="1"/>
  <c r="W31" i="1"/>
  <c r="W61" i="1"/>
  <c r="W63" i="1"/>
  <c r="W141" i="1"/>
  <c r="W183" i="1"/>
  <c r="W53" i="1"/>
  <c r="W120" i="1"/>
  <c r="W135" i="1"/>
  <c r="W175" i="1"/>
  <c r="W236" i="1"/>
  <c r="W40" i="1"/>
  <c r="AI210" i="1"/>
  <c r="AI218" i="1"/>
  <c r="W38" i="1"/>
  <c r="U85" i="1"/>
  <c r="S85" i="1" s="1"/>
  <c r="AI85" i="1"/>
  <c r="W18" i="1"/>
  <c r="U146" i="1"/>
  <c r="S146" i="1" s="1"/>
  <c r="W219" i="1"/>
  <c r="W85" i="1"/>
  <c r="U188" i="1"/>
  <c r="S188" i="1" s="1"/>
  <c r="AI188" i="1"/>
  <c r="W138" i="1"/>
  <c r="W146" i="1"/>
  <c r="W154" i="1"/>
  <c r="W116" i="1"/>
  <c r="U192" i="1"/>
  <c r="S192" i="1" s="1"/>
  <c r="AI192" i="1"/>
  <c r="W188" i="1"/>
  <c r="W130" i="1"/>
  <c r="W211" i="1"/>
  <c r="W234" i="1"/>
  <c r="W166" i="1"/>
  <c r="W182" i="1"/>
  <c r="W187" i="1"/>
  <c r="U200" i="1"/>
  <c r="S200" i="1" s="1"/>
  <c r="AI200" i="1"/>
  <c r="W200" i="1"/>
  <c r="U240" i="1"/>
  <c r="S240" i="1" s="1"/>
  <c r="AI240" i="1"/>
  <c r="W240" i="1"/>
  <c r="W42" i="1"/>
  <c r="U89" i="1"/>
  <c r="S89" i="1" s="1"/>
  <c r="AI89" i="1"/>
  <c r="U180" i="1"/>
  <c r="S180" i="1" s="1"/>
  <c r="AI180" i="1"/>
  <c r="U204" i="1"/>
  <c r="S204" i="1" s="1"/>
  <c r="AI204" i="1"/>
  <c r="W215" i="1"/>
  <c r="W179" i="1"/>
  <c r="W195" i="1"/>
  <c r="U208" i="1"/>
  <c r="S208" i="1" s="1"/>
  <c r="AI208" i="1"/>
  <c r="W208" i="1"/>
  <c r="W192" i="1"/>
  <c r="U24" i="1"/>
  <c r="S24" i="1" s="1"/>
  <c r="AI24" i="1"/>
  <c r="U196" i="1"/>
  <c r="S196" i="1" s="1"/>
  <c r="AI196" i="1"/>
  <c r="W174" i="1"/>
  <c r="W203" i="1"/>
  <c r="W180" i="1"/>
  <c r="W196" i="1"/>
  <c r="U62" i="1"/>
  <c r="S62" i="1" s="1"/>
  <c r="AI62" i="1"/>
  <c r="U78" i="1"/>
  <c r="S78" i="1" s="1"/>
  <c r="AI78" i="1"/>
  <c r="U74" i="1"/>
  <c r="S74" i="1" s="1"/>
  <c r="AI74" i="1"/>
  <c r="W78" i="1"/>
  <c r="U49" i="1"/>
  <c r="S49" i="1" s="1"/>
  <c r="AI49" i="1"/>
  <c r="U37" i="1"/>
  <c r="S37" i="1" s="1"/>
  <c r="AI37" i="1"/>
  <c r="U41" i="1"/>
  <c r="S41" i="1" s="1"/>
  <c r="AI41" i="1"/>
  <c r="W41" i="1"/>
  <c r="U25" i="1"/>
  <c r="S25" i="1" s="1"/>
  <c r="AI25" i="1"/>
  <c r="U17" i="1"/>
  <c r="S17" i="1" s="1"/>
  <c r="AI17" i="1"/>
  <c r="U33" i="1"/>
  <c r="S33" i="1" s="1"/>
  <c r="AI33" i="1"/>
  <c r="U58" i="1"/>
  <c r="S58" i="1" s="1"/>
  <c r="AI58" i="1"/>
  <c r="W62" i="1"/>
  <c r="U42" i="1"/>
  <c r="S42" i="1" s="1"/>
  <c r="AI42" i="1"/>
  <c r="AI97" i="1"/>
  <c r="U97" i="1"/>
  <c r="S97" i="1" s="1"/>
  <c r="AI105" i="1"/>
  <c r="U105" i="1"/>
  <c r="S105" i="1" s="1"/>
  <c r="AI113" i="1"/>
  <c r="U113" i="1"/>
  <c r="S113" i="1" s="1"/>
  <c r="AI121" i="1"/>
  <c r="U121" i="1"/>
  <c r="S121" i="1" s="1"/>
  <c r="W105" i="1"/>
  <c r="U222" i="1"/>
  <c r="S222" i="1" s="1"/>
  <c r="AI174" i="1"/>
  <c r="W222" i="1"/>
  <c r="AI170" i="1"/>
  <c r="U218" i="1"/>
  <c r="S218" i="1" s="1"/>
  <c r="U21" i="1"/>
  <c r="S21" i="1" s="1"/>
  <c r="AI21" i="1"/>
  <c r="W37" i="1"/>
  <c r="U29" i="1"/>
  <c r="S29" i="1" s="1"/>
  <c r="AI29" i="1"/>
  <c r="AI93" i="1"/>
  <c r="U93" i="1"/>
  <c r="S93" i="1" s="1"/>
  <c r="AI101" i="1"/>
  <c r="U101" i="1"/>
  <c r="S101" i="1" s="1"/>
  <c r="AI109" i="1"/>
  <c r="U109" i="1"/>
  <c r="S109" i="1" s="1"/>
  <c r="AI117" i="1"/>
  <c r="U117" i="1"/>
  <c r="W121" i="1"/>
  <c r="W109" i="1"/>
  <c r="AI128" i="1"/>
  <c r="U128" i="1"/>
  <c r="S128" i="1" s="1"/>
  <c r="AI132" i="1"/>
  <c r="U132" i="1"/>
  <c r="S132" i="1" s="1"/>
  <c r="AI136" i="1"/>
  <c r="U136" i="1"/>
  <c r="S136" i="1" s="1"/>
  <c r="AI140" i="1"/>
  <c r="U140" i="1"/>
  <c r="S140" i="1" s="1"/>
  <c r="AI144" i="1"/>
  <c r="U144" i="1"/>
  <c r="S144" i="1" s="1"/>
  <c r="AI148" i="1"/>
  <c r="U148" i="1"/>
  <c r="S148" i="1" s="1"/>
  <c r="AI152" i="1"/>
  <c r="U152" i="1"/>
  <c r="S152" i="1" s="1"/>
  <c r="AI156" i="1"/>
  <c r="U156" i="1"/>
  <c r="S156" i="1" s="1"/>
  <c r="AI160" i="1"/>
  <c r="U160" i="1"/>
  <c r="AI166" i="1"/>
  <c r="U214" i="1"/>
  <c r="S214" i="1" s="1"/>
  <c r="U54" i="1"/>
  <c r="S54" i="1" s="1"/>
  <c r="AI54" i="1"/>
  <c r="U70" i="1"/>
  <c r="S70" i="1" s="1"/>
  <c r="AI70" i="1"/>
  <c r="W74" i="1"/>
  <c r="U66" i="1"/>
  <c r="S66" i="1" s="1"/>
  <c r="AI66" i="1"/>
  <c r="W70" i="1"/>
  <c r="AI125" i="1"/>
  <c r="U125" i="1"/>
  <c r="S125" i="1" s="1"/>
  <c r="W128" i="1"/>
  <c r="W144" i="1"/>
  <c r="W160" i="1"/>
  <c r="AI163" i="1"/>
  <c r="U210" i="1"/>
  <c r="S210" i="1" s="1"/>
  <c r="W140" i="1"/>
  <c r="W156" i="1"/>
  <c r="S160" i="1" l="1"/>
  <c r="M32" i="3"/>
  <c r="N32" i="3"/>
  <c r="R32" i="3"/>
  <c r="U32" i="3"/>
  <c r="AD37" i="3" s="1"/>
  <c r="V32" i="3"/>
  <c r="W32" i="3"/>
  <c r="X32" i="3"/>
  <c r="AC32" i="3"/>
  <c r="S32" i="3"/>
  <c r="T32" i="3" l="1"/>
  <c r="AD30" i="3"/>
  <c r="AD32" i="3"/>
  <c r="Y32" i="3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C26" i="9"/>
  <c r="C64" i="9"/>
  <c r="C50" i="9"/>
  <c r="C48" i="9"/>
  <c r="B1" i="9"/>
  <c r="C1" i="9" s="1"/>
  <c r="C4" i="9"/>
  <c r="C7" i="9"/>
  <c r="C24" i="9"/>
  <c r="C33" i="9"/>
  <c r="C74" i="9"/>
  <c r="C45" i="9"/>
  <c r="C70" i="9"/>
  <c r="C68" i="9"/>
  <c r="C44" i="9"/>
  <c r="C61" i="9"/>
  <c r="C71" i="9"/>
  <c r="C73" i="9"/>
  <c r="C42" i="9"/>
  <c r="C57" i="9"/>
  <c r="C51" i="9"/>
  <c r="C10" i="9"/>
  <c r="C46" i="9"/>
  <c r="C62" i="9"/>
  <c r="C15" i="9"/>
  <c r="C30" i="9"/>
  <c r="C16" i="9"/>
  <c r="C29" i="9"/>
  <c r="C12" i="9"/>
  <c r="C37" i="9"/>
  <c r="C36" i="9"/>
  <c r="C39" i="9"/>
  <c r="C13" i="9"/>
  <c r="C25" i="9" l="1"/>
  <c r="C19" i="9"/>
  <c r="C67" i="9"/>
  <c r="C59" i="9"/>
  <c r="C54" i="9"/>
  <c r="C22" i="9"/>
  <c r="C17" i="9"/>
  <c r="C75" i="9"/>
  <c r="C18" i="9"/>
  <c r="C20" i="9"/>
  <c r="C34" i="9"/>
  <c r="C52" i="9"/>
  <c r="C69" i="9"/>
  <c r="C55" i="9"/>
  <c r="C8" i="9"/>
  <c r="C9" i="9"/>
  <c r="C65" i="9"/>
  <c r="C38" i="9"/>
  <c r="C47" i="9"/>
  <c r="C66" i="9"/>
  <c r="C58" i="9"/>
  <c r="C60" i="9"/>
  <c r="C31" i="9"/>
  <c r="C32" i="9"/>
  <c r="C5" i="9"/>
  <c r="C6" i="9"/>
  <c r="C27" i="9"/>
  <c r="C35" i="9"/>
  <c r="C14" i="9"/>
  <c r="C28" i="9"/>
  <c r="C63" i="9"/>
  <c r="C11" i="9"/>
  <c r="C53" i="9"/>
  <c r="C40" i="9"/>
  <c r="C41" i="9"/>
  <c r="C72" i="9"/>
  <c r="C43" i="9"/>
  <c r="C56" i="9"/>
  <c r="C2" i="9"/>
  <c r="C3" i="9"/>
  <c r="C49" i="9"/>
  <c r="C21" i="9"/>
  <c r="C23" i="9"/>
  <c r="W13" i="1"/>
  <c r="AI13" i="1"/>
  <c r="U13" i="1"/>
  <c r="S13" i="1" s="1"/>
  <c r="B3" i="6" l="1"/>
  <c r="K3" i="6"/>
  <c r="B4" i="6"/>
  <c r="F4" i="6" s="1"/>
  <c r="K4" i="6"/>
  <c r="B5" i="6"/>
  <c r="F5" i="6" s="1"/>
  <c r="K5" i="6"/>
  <c r="B6" i="6"/>
  <c r="K6" i="6"/>
  <c r="B7" i="6"/>
  <c r="K7" i="6"/>
  <c r="I7" i="6" l="1"/>
  <c r="F6" i="6"/>
  <c r="I3" i="6"/>
  <c r="J6" i="6"/>
  <c r="I4" i="6"/>
  <c r="J7" i="6"/>
  <c r="F7" i="6"/>
  <c r="I6" i="6"/>
  <c r="I5" i="6"/>
  <c r="J3" i="6"/>
  <c r="F3" i="6"/>
  <c r="J4" i="6"/>
  <c r="J5" i="6"/>
  <c r="M30" i="5" l="1"/>
  <c r="M29" i="5"/>
  <c r="M27" i="5"/>
  <c r="F6" i="4" l="1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6" i="6" s="1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G7" i="6" l="1"/>
  <c r="G3" i="6"/>
  <c r="G5" i="6"/>
  <c r="H6" i="6"/>
  <c r="H5" i="6"/>
  <c r="H7" i="6"/>
  <c r="H3" i="6"/>
  <c r="H4" i="6"/>
  <c r="G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<sst xmlns="http://schemas.openxmlformats.org/spreadsheetml/2006/main" count="2402" uniqueCount="892">
  <si>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</si>
  <si>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</si>
  <si>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</si>
  <si>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</si>
  <si>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</si>
  <si>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</si>
  <si>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</si>
  <si>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</si>
  <si>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</si>
  <si>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</si>
  <si>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</si>
  <si>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</si>
  <si>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</si>
  <si>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</si>
  <si>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</si>
  <si>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</si>
  <si>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</si>
  <si>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</si>
  <si>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</si>
  <si>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</si>
  <si>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</si>
  <si>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</si>
  <si>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</si>
  <si>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</si>
  <si>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</si>
  <si>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</si>
  <si>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</si>
  <si>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</si>
  <si>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</si>
  <si>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</si>
  <si>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</si>
  <si>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</si>
  <si>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</si>
  <si>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</si>
  <si>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</si>
  <si>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</si>
  <si>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</si>
  <si>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</si>
  <si>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</si>
  <si>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</si>
  <si>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</si>
  <si>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</si>
  <si>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</si>
  <si>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</si>
  <si>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</si>
  <si>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</si>
  <si>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</si>
  <si>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</si>
  <si>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</si>
  <si>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</si>
  <si>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</si>
  <si>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</si>
  <si>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</si>
  <si>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</si>
  <si>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</si>
  <si>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</si>
  <si>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</si>
  <si>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</si>
  <si>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</si>
  <si>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</si>
  <si>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</si>
  <si>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</si>
  <si>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</si>
  <si>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</si>
  <si>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</si>
  <si>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</si>
  <si>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</si>
  <si>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</si>
  <si>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</si>
  <si>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</si>
  <si>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</si>
  <si>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</si>
  <si>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</si>
  <si>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</si>
  <si>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</si>
  <si>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</si>
  <si>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</si>
  <si>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</si>
  <si>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</si>
  <si>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</si>
  <si>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</si>
  <si>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</si>
  <si>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</si>
  <si>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</si>
  <si>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</si>
  <si>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</si>
  <si>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</si>
  <si>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</si>
  <si>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</si>
  <si>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</si>
  <si>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</si>
  <si>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</si>
  <si>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</si>
  <si>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</si>
  <si>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</si>
  <si>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</si>
  <si>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</si>
  <si>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</si>
  <si>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</si>
  <si>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</si>
  <si>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</si>
  <si>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</si>
  <si>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</si>
  <si>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</si>
  <si>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</si>
  <si>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</si>
  <si>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</si>
  <si>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</si>
  <si>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</si>
  <si>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</si>
  <si>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</si>
  <si>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</si>
  <si>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</si>
  <si>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</si>
  <si>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</si>
  <si>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</si>
  <si>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</si>
  <si>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</si>
  <si>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</si>
  <si>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</si>
  <si>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</si>
  <si>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</si>
  <si>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</si>
  <si>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</si>
  <si>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</si>
  <si>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</si>
  <si>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</si>
  <si>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</si>
  <si>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</si>
  <si>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</si>
  <si>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</si>
  <si>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</si>
  <si>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</si>
  <si>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</si>
  <si>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</si>
  <si>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</si>
  <si>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</si>
  <si>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</si>
  <si>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</si>
  <si>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</si>
  <si>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</si>
  <si>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</si>
  <si>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</si>
  <si>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</si>
  <si>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</si>
  <si>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</si>
  <si>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</si>
  <si>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</si>
  <si>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</si>
  <si>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</si>
  <si>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</si>
  <si>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</si>
  <si>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</si>
  <si>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</si>
  <si>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</si>
  <si>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</si>
  <si>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</si>
  <si>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</si>
  <si>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</si>
  <si>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</si>
  <si>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</si>
  <si>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</si>
  <si>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</si>
  <si>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</si>
  <si>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</si>
  <si>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</si>
  <si>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</si>
  <si>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</si>
  <si>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</si>
  <si>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</si>
  <si>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</si>
  <si>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</si>
  <si>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</si>
  <si>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</si>
  <si>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</si>
  <si>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204:152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</si>
  <si>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</si>
  <si>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</si>
  <si>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</si>
  <si>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</si>
  <si>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</si>
  <si>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</si>
  <si>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</si>
  <si>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</si>
  <si>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</si>
  <si>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</si>
  <si>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</si>
  <si>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204:233297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</si>
  <si>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</si>
  <si>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</si>
  <si>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</si>
  <si>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</si>
  <si>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</si>
  <si>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</si>
  <si>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</si>
  <si>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</si>
  <si>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</si>
  <si>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</si>
  <si>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</si>
  <si>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204:453</t>
  </si>
  <si>
    <t>204:233295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</si>
  <si>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</si>
  <si>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</si>
  <si>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</si>
  <si>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</si>
  <si>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</si>
  <si>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</si>
  <si>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</si>
  <si>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</si>
  <si>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</si>
  <si>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</si>
  <si>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</si>
  <si>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</si>
  <si>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rtdc.l.rtdc.4030:itc</t>
  </si>
  <si>
    <t>204:462</t>
  </si>
  <si>
    <t>rtdc.l.rtdc.4011:itc</t>
  </si>
  <si>
    <t>204:464</t>
  </si>
  <si>
    <t>DE.1.0.8.0</t>
  </si>
  <si>
    <t>rtdc.l.rtdc.4040:itc</t>
  </si>
  <si>
    <t>204:458</t>
  </si>
  <si>
    <t>Partly Cloudy</t>
  </si>
  <si>
    <t>204:158</t>
  </si>
  <si>
    <t>rtdc.l.rtdc.4039:itc</t>
  </si>
  <si>
    <t>204:233312</t>
  </si>
  <si>
    <t>Human Factors</t>
  </si>
  <si>
    <t>STAMBAUGH</t>
  </si>
  <si>
    <t>rtdc.l.rtdc.4012:itc</t>
  </si>
  <si>
    <t>204:160</t>
  </si>
  <si>
    <t>204:150</t>
  </si>
  <si>
    <t>rtdc.l.rtdc.4001:itc</t>
  </si>
  <si>
    <t>rtdc.l.rtdc.4002:itc</t>
  </si>
  <si>
    <t>BADERTSCHER</t>
  </si>
  <si>
    <t>MAGEE</t>
  </si>
  <si>
    <t>rtdc.l.rtdc.4043:itc</t>
  </si>
  <si>
    <t>:.+((SYSTEM_STATE.+slice.+state.+changed )|(ment ac)|(system.+state.+changed )|(\[timeout)|(PRM\|1\|D)|(kpr)|(kdp)|(\|lc)|(penalty))</t>
  </si>
  <si>
    <t>rtdc.l.rtdc.4010:itc</t>
  </si>
  <si>
    <t>rtdc.l.rtdc.4022:itc</t>
  </si>
  <si>
    <t>rtdc.l.rtdc.4021:itc</t>
  </si>
  <si>
    <t>HOLCOMB</t>
  </si>
  <si>
    <t>rtdc.l.rtdc.4038:itc</t>
  </si>
  <si>
    <t>236-10</t>
  </si>
  <si>
    <t>rtdc.l.rtdc.4037:itc</t>
  </si>
  <si>
    <t>238-10</t>
  </si>
  <si>
    <t>241-10</t>
  </si>
  <si>
    <t>240-10</t>
  </si>
  <si>
    <t>243-10</t>
  </si>
  <si>
    <t>309-10</t>
  </si>
  <si>
    <t>242-10</t>
  </si>
  <si>
    <t>311-10</t>
  </si>
  <si>
    <t>244-10</t>
  </si>
  <si>
    <t>313-10</t>
  </si>
  <si>
    <t>204:154</t>
  </si>
  <si>
    <t>204:466</t>
  </si>
  <si>
    <t>204:232980</t>
  </si>
  <si>
    <t>204:449</t>
  </si>
  <si>
    <t>204:141</t>
  </si>
  <si>
    <t>CHANDLER</t>
  </si>
  <si>
    <t>204:232987</t>
  </si>
  <si>
    <t>rtdc.l.rtdc.4014:itc</t>
  </si>
  <si>
    <t>rtdc.l.rtdc.4013:itc</t>
  </si>
  <si>
    <t>204:233301</t>
  </si>
  <si>
    <t>204:232975</t>
  </si>
  <si>
    <t>204:232994</t>
  </si>
  <si>
    <t>204:233289</t>
  </si>
  <si>
    <t>MCREYNOLDS</t>
  </si>
  <si>
    <t>PERKINS</t>
  </si>
  <si>
    <t>204:132</t>
  </si>
  <si>
    <t>204:440</t>
  </si>
  <si>
    <t>CLI Grep2 (for slice disagreement)</t>
  </si>
  <si>
    <t>204:145</t>
  </si>
  <si>
    <t>204:232998</t>
  </si>
  <si>
    <t>Y</t>
  </si>
  <si>
    <t>TEMPORARY SPEED RESTRICTION</t>
  </si>
  <si>
    <t>partly-cloudy-night</t>
  </si>
  <si>
    <t>204:232996</t>
  </si>
  <si>
    <t>204:147</t>
  </si>
  <si>
    <t>204:233304</t>
  </si>
  <si>
    <t>204:232993</t>
  </si>
  <si>
    <t>204:467</t>
  </si>
  <si>
    <t>204:165</t>
  </si>
  <si>
    <t>204:232982</t>
  </si>
  <si>
    <t>204:233314</t>
  </si>
  <si>
    <t>204:455</t>
  </si>
  <si>
    <t>204:233300</t>
  </si>
  <si>
    <t>204:232983</t>
  </si>
  <si>
    <t>rtdc.l.rtdc.4031:itc</t>
  </si>
  <si>
    <t>rtdc.l.rtdc.4032:itc</t>
  </si>
  <si>
    <t>204:232991</t>
  </si>
  <si>
    <t>204:442</t>
  </si>
  <si>
    <t>204:446</t>
  </si>
  <si>
    <t>204:482</t>
  </si>
  <si>
    <t>204:689</t>
  </si>
  <si>
    <t>rtdc.l.rtdc.4045:itc</t>
  </si>
  <si>
    <t>rtdc.l.rtdc.4046:itc</t>
  </si>
  <si>
    <t>DAVIS</t>
  </si>
  <si>
    <t>STEWART</t>
  </si>
  <si>
    <t>204:161</t>
  </si>
  <si>
    <t>204:233013</t>
  </si>
  <si>
    <t>204:233310</t>
  </si>
  <si>
    <t>204:232988</t>
  </si>
  <si>
    <t>204:136</t>
  </si>
  <si>
    <t>204:460</t>
  </si>
  <si>
    <t>204:232973</t>
  </si>
  <si>
    <t>204:232979</t>
  </si>
  <si>
    <t>204:163</t>
  </si>
  <si>
    <t>300:58619</t>
  </si>
  <si>
    <t>BARTLETT</t>
  </si>
  <si>
    <t>NEWELL</t>
  </si>
  <si>
    <t>partly-cloudy-day</t>
  </si>
  <si>
    <t>Mostly Cloudy</t>
  </si>
  <si>
    <t>204:233298</t>
  </si>
  <si>
    <t>204:232985</t>
  </si>
  <si>
    <t>204:233284</t>
  </si>
  <si>
    <t>204:233302</t>
  </si>
  <si>
    <t>204:139</t>
  </si>
  <si>
    <t>204:457</t>
  </si>
  <si>
    <t>204:471</t>
  </si>
  <si>
    <t>204:972</t>
  </si>
  <si>
    <t>204:233331</t>
  </si>
  <si>
    <t>204:233002</t>
  </si>
  <si>
    <t>204:233291</t>
  </si>
  <si>
    <t>204:170</t>
  </si>
  <si>
    <t>204:233011</t>
  </si>
  <si>
    <t>300:23308</t>
  </si>
  <si>
    <t>STARKS</t>
  </si>
  <si>
    <t>YOUNG</t>
  </si>
  <si>
    <t>COOLAHAN</t>
  </si>
  <si>
    <t>204:138</t>
  </si>
  <si>
    <t>204:130</t>
  </si>
  <si>
    <t>204:713</t>
  </si>
  <si>
    <t>204:233293</t>
  </si>
  <si>
    <t>204:233317</t>
  </si>
  <si>
    <t>204:233321</t>
  </si>
  <si>
    <t>204:232984</t>
  </si>
  <si>
    <t>300:58651</t>
  </si>
  <si>
    <t>300:58969</t>
  </si>
  <si>
    <t>300:58649</t>
  </si>
  <si>
    <t>300:58634</t>
  </si>
  <si>
    <t>204:960</t>
  </si>
  <si>
    <t>204:167</t>
  </si>
  <si>
    <t>204:232967</t>
  </si>
  <si>
    <t>204:232965</t>
  </si>
  <si>
    <t>204:232974</t>
  </si>
  <si>
    <t>204:477</t>
  </si>
  <si>
    <t>204:415</t>
  </si>
  <si>
    <t>Early arrival</t>
  </si>
  <si>
    <t>rtdc.l.rtdc.4042:itc</t>
  </si>
  <si>
    <t>rtdc.l.rtdc.4041:itc</t>
  </si>
  <si>
    <t>rtdc.l.rtdc.4028:itc</t>
  </si>
  <si>
    <t>RICHARDSON</t>
  </si>
  <si>
    <t>JOHNSON</t>
  </si>
  <si>
    <t>LALONDE</t>
  </si>
  <si>
    <t>BRANDNER</t>
  </si>
  <si>
    <t>HELVIE</t>
  </si>
  <si>
    <t>rtdc.l.rtdc.4027:itc</t>
  </si>
  <si>
    <t>DAVIDSON</t>
  </si>
  <si>
    <t>SAFIEF</t>
  </si>
  <si>
    <t>242-21</t>
  </si>
  <si>
    <t>311-21</t>
  </si>
  <si>
    <t>244-21</t>
  </si>
  <si>
    <t>313-21</t>
  </si>
  <si>
    <t>precipType</t>
  </si>
  <si>
    <t>rain</t>
  </si>
  <si>
    <t>Drizzle</t>
  </si>
  <si>
    <t>204:755</t>
  </si>
  <si>
    <t>204:233306</t>
  </si>
  <si>
    <t>204:233286</t>
  </si>
  <si>
    <t>204:444</t>
  </si>
  <si>
    <t>204:134</t>
  </si>
  <si>
    <t>204:233323</t>
  </si>
  <si>
    <t>204:233299</t>
  </si>
  <si>
    <t>204:438</t>
  </si>
  <si>
    <t>204:435</t>
  </si>
  <si>
    <t>204:469</t>
  </si>
  <si>
    <t>204:232978</t>
  </si>
  <si>
    <t>204:232986</t>
  </si>
  <si>
    <t>204:233319</t>
  </si>
  <si>
    <t>204:233311</t>
  </si>
  <si>
    <t>204:169</t>
  </si>
  <si>
    <t>204:433</t>
  </si>
  <si>
    <t>204:473</t>
  </si>
  <si>
    <t>204:121</t>
  </si>
  <si>
    <t>204:233268</t>
  </si>
  <si>
    <t>204:86353</t>
  </si>
  <si>
    <t>300:23302</t>
  </si>
  <si>
    <t>300:23310</t>
  </si>
  <si>
    <t>204:385</t>
  </si>
  <si>
    <t>315-21</t>
  </si>
  <si>
    <t>300:23212</t>
  </si>
  <si>
    <t>204:1173</t>
  </si>
  <si>
    <t>204:673</t>
  </si>
  <si>
    <t>204:1025</t>
  </si>
  <si>
    <t>300:58954</t>
  </si>
  <si>
    <t>300:58638</t>
  </si>
  <si>
    <t>204:724</t>
  </si>
  <si>
    <t>204:1002</t>
  </si>
  <si>
    <t>204:687</t>
  </si>
  <si>
    <t>300:58941</t>
  </si>
  <si>
    <t>204:692</t>
  </si>
  <si>
    <t>300:58943</t>
  </si>
  <si>
    <t>204:971</t>
  </si>
  <si>
    <t>204:981</t>
  </si>
  <si>
    <t>204:958</t>
  </si>
  <si>
    <t>300:58965</t>
  </si>
  <si>
    <t>204:986</t>
  </si>
  <si>
    <t>300:58928</t>
  </si>
  <si>
    <t>aws s3 cp s3://rtdc.mdm.uploadarchive.raw/RTDC4039/ "%USERPROFILE%\AppData\Local\Temp\OnboardLogs"\RTDC4039\2016-11-22 --exclude "*" --recursive --include "*20161122*" &amp; "%USERPROFILE%\Documents\GitHub\mrs-test-scripts\Headless Mode &amp; Sideloading\WalkAndUnGZ.bat" "%USERPROFILE%\AppData\Local\Temp\OnboardLogs"\RTDC4039\2016-11-22 &amp; aws s3 cp s3://rtdc.mdm.uploadarchive.raw/RTDC4039/ "%USERPROFILE%\AppData\Local\Temp\OnboardLogs"\RTDC4039\2016-11-23 --exclude "*" --recursive --include "*20161123*" &amp; "%USERPROFILE%\Documents\GitHub\mrs-test-scripts\Headless Mode &amp; Sideloading\WalkAndUnGZ.bat" "%USERPROFILE%\AppData\Local\Temp\OnboardLogs"\RTDC4039\2016-11-23</t>
  </si>
  <si>
    <t>Onboard in-route failure</t>
  </si>
  <si>
    <t>Form C</t>
  </si>
  <si>
    <t>Early arrival (41st)</t>
  </si>
  <si>
    <t>304-22</t>
  </si>
  <si>
    <t>103-22</t>
  </si>
  <si>
    <t>306-22</t>
  </si>
  <si>
    <t>SWITCH UNKNOWN</t>
  </si>
  <si>
    <t>Track device (7)</t>
  </si>
  <si>
    <t>107-22</t>
  </si>
  <si>
    <t>800-22</t>
  </si>
  <si>
    <t>802-22</t>
  </si>
  <si>
    <t>123-22</t>
  </si>
  <si>
    <t>114-22</t>
  </si>
  <si>
    <t>127-22</t>
  </si>
  <si>
    <t>122-22</t>
  </si>
  <si>
    <t>rtdc.l.rtdc.4015:itc</t>
  </si>
  <si>
    <t>808-22</t>
  </si>
  <si>
    <t>810-22</t>
  </si>
  <si>
    <t>134-22</t>
  </si>
  <si>
    <t>138-22</t>
  </si>
  <si>
    <t>142-22</t>
  </si>
  <si>
    <t>52-22</t>
  </si>
  <si>
    <t>816-22</t>
  </si>
  <si>
    <t>154-22</t>
  </si>
  <si>
    <t>167-22</t>
  </si>
  <si>
    <t>158-22</t>
  </si>
  <si>
    <t>172-22</t>
  </si>
  <si>
    <t>rtdc.l.rtdc.4016:itc</t>
  </si>
  <si>
    <t>823-22</t>
  </si>
  <si>
    <t>832-22</t>
  </si>
  <si>
    <t>74-22</t>
  </si>
  <si>
    <t>836-22</t>
  </si>
  <si>
    <t>838-22</t>
  </si>
  <si>
    <t>216-22</t>
  </si>
  <si>
    <t>220-22</t>
  </si>
  <si>
    <t>PTCSOUTH-22</t>
  </si>
  <si>
    <t>224-22</t>
  </si>
  <si>
    <t>302-22</t>
  </si>
  <si>
    <t>KILLION</t>
  </si>
  <si>
    <t>101-22</t>
  </si>
  <si>
    <t>102-22</t>
  </si>
  <si>
    <t>308-22</t>
  </si>
  <si>
    <t>SPECTOR</t>
  </si>
  <si>
    <t>105-22</t>
  </si>
  <si>
    <t>310-22</t>
  </si>
  <si>
    <t>104-22</t>
  </si>
  <si>
    <t>109-22</t>
  </si>
  <si>
    <t>111-22</t>
  </si>
  <si>
    <t>GEBRETEKLE</t>
  </si>
  <si>
    <t>901-22</t>
  </si>
  <si>
    <t>106-22</t>
  </si>
  <si>
    <t>113-22</t>
  </si>
  <si>
    <t>115-22</t>
  </si>
  <si>
    <t>108-22</t>
  </si>
  <si>
    <t>117-22</t>
  </si>
  <si>
    <t>110-22</t>
  </si>
  <si>
    <t>801-22</t>
  </si>
  <si>
    <t>112-22</t>
  </si>
  <si>
    <t>902-22</t>
  </si>
  <si>
    <t>119-22</t>
  </si>
  <si>
    <t>121-22</t>
  </si>
  <si>
    <t>803-22</t>
  </si>
  <si>
    <t>116-22</t>
  </si>
  <si>
    <t>118-22</t>
  </si>
  <si>
    <t>804-22</t>
  </si>
  <si>
    <t>125-22</t>
  </si>
  <si>
    <t>805-22</t>
  </si>
  <si>
    <t>120-22</t>
  </si>
  <si>
    <t>806-22</t>
  </si>
  <si>
    <t>129-22</t>
  </si>
  <si>
    <t>807-22</t>
  </si>
  <si>
    <t>124-22</t>
  </si>
  <si>
    <t>131-22</t>
  </si>
  <si>
    <t>126-22</t>
  </si>
  <si>
    <t>133-22</t>
  </si>
  <si>
    <t>809-22</t>
  </si>
  <si>
    <t>128-22</t>
  </si>
  <si>
    <t>130-22</t>
  </si>
  <si>
    <t>135-22</t>
  </si>
  <si>
    <t>137-22</t>
  </si>
  <si>
    <t>132-22</t>
  </si>
  <si>
    <t>811-22</t>
  </si>
  <si>
    <t>139-22</t>
  </si>
  <si>
    <t>812-22</t>
  </si>
  <si>
    <t>141-22</t>
  </si>
  <si>
    <t>136-22</t>
  </si>
  <si>
    <t>143-22</t>
  </si>
  <si>
    <t>145-22</t>
  </si>
  <si>
    <t>813-22</t>
  </si>
  <si>
    <t>NELSON</t>
  </si>
  <si>
    <t>140-22</t>
  </si>
  <si>
    <t>147-22</t>
  </si>
  <si>
    <t>149-22</t>
  </si>
  <si>
    <t>814-22</t>
  </si>
  <si>
    <t>144-22</t>
  </si>
  <si>
    <t>151-22</t>
  </si>
  <si>
    <t>146-22</t>
  </si>
  <si>
    <t>153-22</t>
  </si>
  <si>
    <t>815-22</t>
  </si>
  <si>
    <t>148-22</t>
  </si>
  <si>
    <t>155-22</t>
  </si>
  <si>
    <t>150-22</t>
  </si>
  <si>
    <t>157-22</t>
  </si>
  <si>
    <t>152-22</t>
  </si>
  <si>
    <t>159-22</t>
  </si>
  <si>
    <t>50-22</t>
  </si>
  <si>
    <t>817-22</t>
  </si>
  <si>
    <t>161-22</t>
  </si>
  <si>
    <t>53-22</t>
  </si>
  <si>
    <t>CUSHING</t>
  </si>
  <si>
    <t>156-22</t>
  </si>
  <si>
    <t>163-22</t>
  </si>
  <si>
    <t>818-22</t>
  </si>
  <si>
    <t>165-22</t>
  </si>
  <si>
    <t>160-22</t>
  </si>
  <si>
    <t>51-22</t>
  </si>
  <si>
    <t>162-22</t>
  </si>
  <si>
    <t>169-22</t>
  </si>
  <si>
    <t>CLARK</t>
  </si>
  <si>
    <t>819-22</t>
  </si>
  <si>
    <t>164-22</t>
  </si>
  <si>
    <t>171-22</t>
  </si>
  <si>
    <t>166-22</t>
  </si>
  <si>
    <t>820-22</t>
  </si>
  <si>
    <t>173-22</t>
  </si>
  <si>
    <t>168-22</t>
  </si>
  <si>
    <t>175-22</t>
  </si>
  <si>
    <t>170-22</t>
  </si>
  <si>
    <t>821-22</t>
  </si>
  <si>
    <t>177-22</t>
  </si>
  <si>
    <t>179-22</t>
  </si>
  <si>
    <t>174-22</t>
  </si>
  <si>
    <t>822-22</t>
  </si>
  <si>
    <t>181-22</t>
  </si>
  <si>
    <t>176-22</t>
  </si>
  <si>
    <t>183-22</t>
  </si>
  <si>
    <t>178-22</t>
  </si>
  <si>
    <t>185-22</t>
  </si>
  <si>
    <t>180-22</t>
  </si>
  <si>
    <t>187-22</t>
  </si>
  <si>
    <t>182-22</t>
  </si>
  <si>
    <t>824-22</t>
  </si>
  <si>
    <t>189-22</t>
  </si>
  <si>
    <t>184-22</t>
  </si>
  <si>
    <t>191-22</t>
  </si>
  <si>
    <t>186-22</t>
  </si>
  <si>
    <t>193-22</t>
  </si>
  <si>
    <t>188-22</t>
  </si>
  <si>
    <t>825-22</t>
  </si>
  <si>
    <t>195-22</t>
  </si>
  <si>
    <t>904-22</t>
  </si>
  <si>
    <t>826-22</t>
  </si>
  <si>
    <t>190-22</t>
  </si>
  <si>
    <t>197-22</t>
  </si>
  <si>
    <t>827-22</t>
  </si>
  <si>
    <t>192-22</t>
  </si>
  <si>
    <t>199-22</t>
  </si>
  <si>
    <t>194-22</t>
  </si>
  <si>
    <t>828-22</t>
  </si>
  <si>
    <t>201-22</t>
  </si>
  <si>
    <t>829-22</t>
  </si>
  <si>
    <t>196-22</t>
  </si>
  <si>
    <t>203-22</t>
  </si>
  <si>
    <t>831-22</t>
  </si>
  <si>
    <t>198-22</t>
  </si>
  <si>
    <t>830-22</t>
  </si>
  <si>
    <t>205-22</t>
  </si>
  <si>
    <t>200-22</t>
  </si>
  <si>
    <t>207-22</t>
  </si>
  <si>
    <t>202-22</t>
  </si>
  <si>
    <t>209-22</t>
  </si>
  <si>
    <t>rtdc.l.rtdc.4029:itc</t>
  </si>
  <si>
    <t>55-22</t>
  </si>
  <si>
    <t>CRAYTON</t>
  </si>
  <si>
    <t>833-22</t>
  </si>
  <si>
    <t>204-22</t>
  </si>
  <si>
    <t>211-22</t>
  </si>
  <si>
    <t>835-22</t>
  </si>
  <si>
    <t>206-22</t>
  </si>
  <si>
    <t>834-22</t>
  </si>
  <si>
    <t>68-22</t>
  </si>
  <si>
    <t>213-22</t>
  </si>
  <si>
    <t>208-22</t>
  </si>
  <si>
    <t>NICHOLSON</t>
  </si>
  <si>
    <t>72-22</t>
  </si>
  <si>
    <t>ROMERO</t>
  </si>
  <si>
    <t>215-22</t>
  </si>
  <si>
    <t>70-22</t>
  </si>
  <si>
    <t>837-22</t>
  </si>
  <si>
    <t>210-22</t>
  </si>
  <si>
    <t>217-22</t>
  </si>
  <si>
    <t>69-22</t>
  </si>
  <si>
    <t>212-22</t>
  </si>
  <si>
    <t>219-22</t>
  </si>
  <si>
    <t>75-22</t>
  </si>
  <si>
    <t>839-22</t>
  </si>
  <si>
    <t>214-22</t>
  </si>
  <si>
    <t>303-22</t>
  </si>
  <si>
    <t>221-22</t>
  </si>
  <si>
    <t>218-22</t>
  </si>
  <si>
    <t>841-22</t>
  </si>
  <si>
    <t>906-22</t>
  </si>
  <si>
    <t>305-22</t>
  </si>
  <si>
    <t>223-22</t>
  </si>
  <si>
    <t>840-22</t>
  </si>
  <si>
    <t>307-22</t>
  </si>
  <si>
    <t>222-22</t>
  </si>
  <si>
    <t>PTCNORTH-22</t>
  </si>
  <si>
    <t>225-22</t>
  </si>
  <si>
    <t>227-22</t>
  </si>
  <si>
    <t>843-22</t>
  </si>
  <si>
    <t>842-22</t>
  </si>
  <si>
    <t>226-22</t>
  </si>
  <si>
    <t>229-22</t>
  </si>
  <si>
    <t>845-22</t>
  </si>
  <si>
    <t>231-22</t>
  </si>
  <si>
    <t>228-22</t>
  </si>
  <si>
    <t>844-22</t>
  </si>
  <si>
    <t>233-22</t>
  </si>
  <si>
    <t>230-22</t>
  </si>
  <si>
    <t>847-22</t>
  </si>
  <si>
    <t>232-22</t>
  </si>
  <si>
    <t>235-22</t>
  </si>
  <si>
    <t>908-22</t>
  </si>
  <si>
    <t>234-22</t>
  </si>
  <si>
    <t>237-22</t>
  </si>
  <si>
    <t>236-22</t>
  </si>
  <si>
    <t>239-22</t>
  </si>
  <si>
    <t>241-22</t>
  </si>
  <si>
    <t>238-22</t>
  </si>
  <si>
    <t>243-22</t>
  </si>
  <si>
    <t>240-22</t>
  </si>
  <si>
    <t>242-22</t>
  </si>
  <si>
    <t>309-22</t>
  </si>
  <si>
    <t>311-22</t>
  </si>
  <si>
    <t>244-22</t>
  </si>
  <si>
    <t>313-22</t>
  </si>
  <si>
    <t>315-22</t>
  </si>
  <si>
    <t>Light Rain</t>
  </si>
  <si>
    <t>clear-night</t>
  </si>
  <si>
    <t>Clear</t>
  </si>
  <si>
    <t>204:759</t>
  </si>
  <si>
    <t>204:232662</t>
  </si>
  <si>
    <t>204:1541</t>
  </si>
  <si>
    <t>204:1869</t>
  </si>
  <si>
    <t>204:37206</t>
  </si>
  <si>
    <t>204:233372</t>
  </si>
  <si>
    <t>204:232679</t>
  </si>
  <si>
    <t>204:37197</t>
  </si>
  <si>
    <t>204:868</t>
  </si>
  <si>
    <t>204:766</t>
  </si>
  <si>
    <t>204:233307</t>
  </si>
  <si>
    <t>204:232957</t>
  </si>
  <si>
    <t>204:233000</t>
  </si>
  <si>
    <t>204:710</t>
  </si>
  <si>
    <t>204:128266</t>
  </si>
  <si>
    <t>204:86375</t>
  </si>
  <si>
    <t>204:233316</t>
  </si>
  <si>
    <t>204:233015</t>
  </si>
  <si>
    <t>204:233008</t>
  </si>
  <si>
    <t>204:475</t>
  </si>
  <si>
    <t>204:233305</t>
  </si>
  <si>
    <t>204:427</t>
  </si>
  <si>
    <t>204:233004</t>
  </si>
  <si>
    <t>204:125</t>
  </si>
  <si>
    <t>204:478</t>
  </si>
  <si>
    <t>204:227922</t>
  </si>
  <si>
    <t>204:233006</t>
  </si>
  <si>
    <t>204:127</t>
  </si>
  <si>
    <t>204:233337</t>
  </si>
  <si>
    <t>204:196</t>
  </si>
  <si>
    <t>204:183</t>
  </si>
  <si>
    <t>204:506</t>
  </si>
  <si>
    <t>204:233287</t>
  </si>
  <si>
    <t>204:19125</t>
  </si>
  <si>
    <t>204:233270</t>
  </si>
  <si>
    <t>204:232963</t>
  </si>
  <si>
    <t>204:233332</t>
  </si>
  <si>
    <t>204:64679</t>
  </si>
  <si>
    <t>204:233266</t>
  </si>
  <si>
    <t>204:110</t>
  </si>
  <si>
    <t>204:233315</t>
  </si>
  <si>
    <t>204:178</t>
  </si>
  <si>
    <t>204:185</t>
  </si>
  <si>
    <t>204:233338</t>
  </si>
  <si>
    <t>204:233010</t>
  </si>
  <si>
    <t>204:491</t>
  </si>
  <si>
    <t>204:233361</t>
  </si>
  <si>
    <t>204:233308</t>
  </si>
  <si>
    <t>204:154413</t>
  </si>
  <si>
    <t>300:23105</t>
  </si>
  <si>
    <t>300:23304</t>
  </si>
  <si>
    <t>300:22333</t>
  </si>
  <si>
    <t>300:9228</t>
  </si>
  <si>
    <t>204:406</t>
  </si>
  <si>
    <t>300:22873</t>
  </si>
  <si>
    <t>300:22369</t>
  </si>
  <si>
    <t>204:3459</t>
  </si>
  <si>
    <t>300:23038</t>
  </si>
  <si>
    <t>300:23182</t>
  </si>
  <si>
    <t>300:22846</t>
  </si>
  <si>
    <t>300:23396</t>
  </si>
  <si>
    <t>300:23091</t>
  </si>
  <si>
    <t>300:23299</t>
  </si>
  <si>
    <t>300:21863</t>
  </si>
  <si>
    <t>204:137</t>
  </si>
  <si>
    <t>300:24235</t>
  </si>
  <si>
    <t>300:21769</t>
  </si>
  <si>
    <t>204:1183</t>
  </si>
  <si>
    <t>204:1186</t>
  </si>
  <si>
    <t>300:24224</t>
  </si>
  <si>
    <t>204:1488</t>
  </si>
  <si>
    <t>300:23203</t>
  </si>
  <si>
    <t>204:146</t>
  </si>
  <si>
    <t>204:685</t>
  </si>
  <si>
    <t>300:21911</t>
  </si>
  <si>
    <t>204:1245</t>
  </si>
  <si>
    <t>300:23298</t>
  </si>
  <si>
    <t>300:21308</t>
  </si>
  <si>
    <t>204:441</t>
  </si>
  <si>
    <t>300:58636</t>
  </si>
  <si>
    <t>204:706</t>
  </si>
  <si>
    <t>204:1027</t>
  </si>
  <si>
    <t>300:58944</t>
  </si>
  <si>
    <t>204:792</t>
  </si>
  <si>
    <t>204:993</t>
  </si>
  <si>
    <t>300:58926</t>
  </si>
  <si>
    <t>300:58615</t>
  </si>
  <si>
    <t>204:1083</t>
  </si>
  <si>
    <t>204:787</t>
  </si>
  <si>
    <t>204:1014</t>
  </si>
  <si>
    <t>300:58929</t>
  </si>
  <si>
    <t>300:58604</t>
  </si>
  <si>
    <t>204:1065</t>
  </si>
  <si>
    <t>300:58647</t>
  </si>
  <si>
    <t>204:813</t>
  </si>
  <si>
    <t>204:740</t>
  </si>
  <si>
    <t>300:58960</t>
  </si>
  <si>
    <t>300:58606</t>
  </si>
  <si>
    <t>204:992</t>
  </si>
  <si>
    <t>300:58946</t>
  </si>
  <si>
    <t>300:58922</t>
  </si>
  <si>
    <t>300:58628</t>
  </si>
  <si>
    <t>204:969</t>
  </si>
  <si>
    <t>300:58632</t>
  </si>
  <si>
    <t>204:974</t>
  </si>
  <si>
    <t>204:696</t>
  </si>
  <si>
    <t>300:58624</t>
  </si>
  <si>
    <t>204:694</t>
  </si>
  <si>
    <t>204:967</t>
  </si>
  <si>
    <t>300:58916</t>
  </si>
  <si>
    <t>300:58608</t>
  </si>
  <si>
    <t>204:670</t>
  </si>
  <si>
    <t>300:58912</t>
  </si>
  <si>
    <t>300:58596</t>
  </si>
  <si>
    <t>204:985</t>
  </si>
  <si>
    <t>300:58626</t>
  </si>
  <si>
    <t>300:58611</t>
  </si>
  <si>
    <t>204:990</t>
  </si>
  <si>
    <t>300:58645</t>
  </si>
  <si>
    <t>204:701</t>
  </si>
  <si>
    <t>204:680</t>
  </si>
  <si>
    <t>204:997</t>
  </si>
  <si>
    <t>300:29742</t>
  </si>
  <si>
    <t>300:49340</t>
  </si>
  <si>
    <t>300:23555</t>
  </si>
  <si>
    <t>204:708</t>
  </si>
  <si>
    <t>204:684</t>
  </si>
  <si>
    <t>300:21231</t>
  </si>
  <si>
    <t>204:10376</t>
  </si>
  <si>
    <t>204:129165</t>
  </si>
  <si>
    <t>204:10528</t>
  </si>
  <si>
    <t>204:129145</t>
  </si>
  <si>
    <t>204:129037</t>
  </si>
  <si>
    <t>300:26891</t>
  </si>
  <si>
    <t>204:128663</t>
  </si>
  <si>
    <t>204:104931</t>
  </si>
  <si>
    <t>204:128770</t>
  </si>
  <si>
    <t>204:10143</t>
  </si>
  <si>
    <t>204:128791</t>
  </si>
  <si>
    <t>204:135</t>
  </si>
  <si>
    <t>204:10293</t>
  </si>
  <si>
    <t>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 &amp; 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</t>
  </si>
  <si>
    <t>aws s3 cp s3://rtdc.mdm.uploadarchive.raw/RTDC4027/ "%USERPROFILE%\AppData\Local\Temp\OnboardLogs"\RTDC4027\2016-11-22 --exclude "*" --recursive --include "*20161122*" &amp; "%USERPROFILE%\Documents\GitHub\mrs-test-scripts\Headless Mode &amp; Sideloading\WalkAndUnGZ.bat" "%USERPROFILE%\AppData\Local\Temp\OnboardLogs"\RTDC4027\2016-11-22 &amp; aws s3 cp s3://rtdc.mdm.uploadarchive.raw/RTDC4027/ "%USERPROFILE%\AppData\Local\Temp\OnboardLogs"\RTDC4027\2016-11-23 --exclude "*" --recursive --include "*20161123*" &amp; "%USERPROFILE%\Documents\GitHub\mrs-test-scripts\Headless Mode &amp; Sideloading\WalkAndUnGZ.bat" "%USERPROFILE%\AppData\Local\Temp\OnboardLogs"\RTDC4027\2016-11-23</t>
  </si>
  <si>
    <t>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 &amp; aws s3 cp s3://rtdc.mdm.uploadarchive.raw/RTDC4002/ "%USERPROFILE%\AppData\Local\Temp\OnboardLogs"\RTDC4002\2016-11-23 --exclude "*" --recursive --include "*20161123*" &amp; "%USERPROFILE%\Documents\GitHub\mrs-test-scripts\Headless Mode &amp; Sideloading\WalkAndUnGZ.bat" "%USERPROFILE%\AppData\Local\Temp\OnboardLogs"\RTDC4002\2016-11-23</t>
  </si>
  <si>
    <t>aws s3 cp s3://rtdc.mdm.uploadarchive.raw/RTDC4038/ "%USERPROFILE%\AppData\Local\Temp\OnboardLogs"\RTDC4038\2016-11-22 --exclude "*" --recursive --include "*20161122*" &amp; "%USERPROFILE%\Documents\GitHub\mrs-test-scripts\Headless Mode &amp; Sideloading\WalkAndUnGZ.bat" "%USERPROFILE%\AppData\Local\Temp\OnboardLogs"\RTDC4038\2016-11-22 &amp; aws s3 cp s3://rtdc.mdm.uploadarchive.raw/RTDC4038/ "%USERPROFILE%\AppData\Local\Temp\OnboardLogs"\RTDC4038\2016-11-23 --exclude "*" --recursive --include "*20161123*" &amp; "%USERPROFILE%\Documents\GitHub\mrs-test-scripts\Headless Mode &amp; Sideloading\WalkAndUnGZ.bat" "%USERPROFILE%\AppData\Local\Temp\OnboardLogs"\RTDC4038\2016-11-23</t>
  </si>
  <si>
    <t>aws s3 cp s3://rtdc.mdm.uploadarchive.raw/RTDC4002/ "%USERPROFILE%\AppData\Local\Temp\OnboardLogs"\RTDC4002\2016-11-23 --exclude "*" --recursive --include "*20161123*" &amp; "%USERPROFILE%\Documents\GitHub\mrs-test-scripts\Headless Mode &amp; Sideloading\WalkAndUnGZ.bat" "%USERPROFILE%\AppData\Local\Temp\OnboardLogs"\RTDC4002\2016-11-23 &amp; aws s3 cp s3://rtdc.mdm.uploadarchive.raw/RTDC4002/ "%USERPROFILE%\AppData\Local\Temp\OnboardLogs"\RTDC4002\2016-11-24 --exclude "*" --recursive --include "*20161124*" &amp; "%USERPROFILE%\Documents\GitHub\mrs-test-scripts\Headless Mode &amp; Sideloading\WalkAndUnGZ.bat" "%USERPROFILE%\AppData\Local\Temp\OnboardLogs"\RTDC4002\2016-11-24</t>
  </si>
  <si>
    <t>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 &amp; aws s3 cp s3://rtdc.mdm.uploadarchive.raw/RTDC4001/ "%USERPROFILE%\AppData\Local\Temp\OnboardLogs"\RTDC4001\2016-11-23 --exclude "*" --recursive --include "*20161123*" &amp; "%USERPROFILE%\Documents\GitHub\mrs-test-scripts\Headless Mode &amp; Sideloading\WalkAndUnGZ.bat" "%USERPROFILE%\AppData\Local\Temp\OnboardLogs"\RTDC4001\2016-11-23</t>
  </si>
  <si>
    <t>aws s3 cp s3://rtdc.mdm.uploadarchive.raw/RTDC4011/ "%USERPROFILE%\AppData\Local\Temp\OnboardLogs"\RTDC4011\2016-11-22 --exclude "*" --recursive --include "*20161122*" &amp; "%USERPROFILE%\Documents\GitHub\mrs-test-scripts\Headless Mode &amp; Sideloading\WalkAndUnGZ.bat" "%USERPROFILE%\AppData\Local\Temp\OnboardLogs"\RTDC4011\2016-11-22 &amp; aws s3 cp s3://rtdc.mdm.uploadarchive.raw/RTDC4011/ "%USERPROFILE%\AppData\Local\Temp\OnboardLogs"\RTDC4011\2016-11-23 --exclude "*" --recursive --include "*20161123*" &amp; "%USERPROFILE%\Documents\GitHub\mrs-test-scripts\Headless Mode &amp; Sideloading\WalkAndUnGZ.bat" "%USERPROFILE%\AppData\Local\Temp\OnboardLogs"\RTDC4011\2016-11-23</t>
  </si>
  <si>
    <t>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 &amp; aws s3 cp s3://rtdc.mdm.uploadarchive.raw/RTDC4045/ "%USERPROFILE%\AppData\Local\Temp\OnboardLogs"\RTDC4045\2016-11-23 --exclude "*" --recursive --include "*20161123*" &amp; "%USERPROFILE%\Documents\GitHub\mrs-test-scripts\Headless Mode &amp; Sideloading\WalkAndUnGZ.bat" "%USERPROFILE%\AppData\Local\Temp\OnboardLogs"\RTDC4045\2016-11-23</t>
  </si>
  <si>
    <t>aws s3 cp s3://rtdc.mdm.uploadarchive.raw/RTDC4022/ "%USERPROFILE%\AppData\Local\Temp\OnboardLogs"\RTDC4022\2016-11-22 --exclude "*" --recursive --include "*20161122*" &amp; "%USERPROFILE%\Documents\GitHub\mrs-test-scripts\Headless Mode &amp; Sideloading\WalkAndUnGZ.bat" "%USERPROFILE%\AppData\Local\Temp\OnboardLogs"\RTDC4022\2016-11-22 &amp; aws s3 cp s3://rtdc.mdm.uploadarchive.raw/RTDC4022/ "%USERPROFILE%\AppData\Local\Temp\OnboardLogs"\RTDC4022\2016-11-23 --exclude "*" --recursive --include "*20161123*" &amp; "%USERPROFILE%\Documents\GitHub\mrs-test-scripts\Headless Mode &amp; Sideloading\WalkAndUnGZ.bat" "%USERPROFILE%\AppData\Local\Temp\OnboardLogs"\RTDC4022\2016-11-23</t>
  </si>
  <si>
    <t>aws s3 cp s3://rtdc.mdm.uploadarchive.raw/RTDC4037/ "%USERPROFILE%\AppData\Local\Temp\OnboardLogs"\RTDC4037\2016-11-22 --exclude "*" --recursive --include "*20161122*" &amp; "%USERPROFILE%\Documents\GitHub\mrs-test-scripts\Headless Mode &amp; Sideloading\WalkAndUnGZ.bat" "%USERPROFILE%\AppData\Local\Temp\OnboardLogs"\RTDC4037\2016-11-22 &amp; aws s3 cp s3://rtdc.mdm.uploadarchive.raw/RTDC4037/ "%USERPROFILE%\AppData\Local\Temp\OnboardLogs"\RTDC4037\2016-11-23 --exclude "*" --recursive --include "*20161123*" &amp; "%USERPROFILE%\Documents\GitHub\mrs-test-scripts\Headless Mode &amp; Sideloading\WalkAndUnGZ.bat" "%USERPROFILE%\AppData\Local\Temp\OnboardLogs"\RTDC4037\2016-11-23</t>
  </si>
  <si>
    <t>aws s3 cp s3://rtdc.mdm.uploadarchive.raw/RTDC4028/ "%USERPROFILE%\AppData\Local\Temp\OnboardLogs"\RTDC4028\2016-11-22 --exclude "*" --recursive --include "*20161122*" &amp; "%USERPROFILE%\Documents\GitHub\mrs-test-scripts\Headless Mode &amp; Sideloading\WalkAndUnGZ.bat" "%USERPROFILE%\AppData\Local\Temp\OnboardLogs"\RTDC4028\2016-11-22 &amp; aws s3 cp s3://rtdc.mdm.uploadarchive.raw/RTDC4028/ "%USERPROFILE%\AppData\Local\Temp\OnboardLogs"\RTDC4028\2016-11-23 --exclude "*" --recursive --include "*20161123*" &amp; "%USERPROFILE%\Documents\GitHub\mrs-test-scripts\Headless Mode &amp; Sideloading\WalkAndUnGZ.bat" "%USERPROFILE%\AppData\Local\Temp\OnboardLogs"\RTDC4028\2016-11-23</t>
  </si>
  <si>
    <t>aws s3 cp s3://rtdc.mdm.uploadarchive.raw/RTDC4021/ "%USERPROFILE%\AppData\Local\Temp\OnboardLogs"\RTDC4021\2016-11-22 --exclude "*" --recursive --include "*20161122*" &amp; "%USERPROFILE%\Documents\GitHub\mrs-test-scripts\Headless Mode &amp; Sideloading\WalkAndUnGZ.bat" "%USERPROFILE%\AppData\Local\Temp\OnboardLogs"\RTDC4021\2016-11-22 &amp; aws s3 cp s3://rtdc.mdm.uploadarchive.raw/RTDC4021/ "%USERPROFILE%\AppData\Local\Temp\OnboardLogs"\RTDC4021\2016-11-23 --exclude "*" --recursive --include "*20161123*" &amp; "%USERPROFILE%\Documents\GitHub\mrs-test-scripts\Headless Mode &amp; Sideloading\WalkAndUnGZ.bat" "%USERPROFILE%\AppData\Local\Temp\OnboardLogs"\RTDC4021\2016-11-23</t>
  </si>
  <si>
    <t>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 &amp; aws s3 cp s3://rtdc.mdm.uploadarchive.raw/RTDC4032/ "%USERPROFILE%\AppData\Local\Temp\OnboardLogs"\RTDC4032\2016-11-23 --exclude "*" --recursive --include "*20161123*" &amp; "%USERPROFILE%\Documents\GitHub\mrs-test-scripts\Headless Mode &amp; Sideloading\WalkAndUnGZ.bat" "%USERPROFILE%\AppData\Local\Temp\OnboardLogs"\RTDC4032\2016-11-23</t>
  </si>
  <si>
    <t>aws s3 cp s3://rtdc.mdm.uploadarchive.raw/RTDC4012/ "%USERPROFILE%\AppData\Local\Temp\OnboardLogs"\RTDC4012\2016-11-22 --exclude "*" --recursive --include "*20161122*" &amp; "%USERPROFILE%\Documents\GitHub\mrs-test-scripts\Headless Mode &amp; Sideloading\WalkAndUnGZ.bat" "%USERPROFILE%\AppData\Local\Temp\OnboardLogs"\RTDC4012\2016-11-22 &amp; aws s3 cp s3://rtdc.mdm.uploadarchive.raw/RTDC4012/ "%USERPROFILE%\AppData\Local\Temp\OnboardLogs"\RTDC4012\2016-11-23 --exclude "*" --recursive --include "*20161123*" &amp; "%USERPROFILE%\Documents\GitHub\mrs-test-scripts\Headless Mode &amp; Sideloading\WalkAndUnGZ.bat" "%USERPROFILE%\AppData\Local\Temp\OnboardLogs"\RTDC4012\2016-11-23</t>
  </si>
  <si>
    <t>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 &amp; aws s3 cp s3://rtdc.mdm.uploadarchive.raw/RTDC4013/ "%USERPROFILE%\AppData\Local\Temp\OnboardLogs"\RTDC4013\2016-11-23 --exclude "*" --recursive --include "*20161123*" &amp; "%USERPROFILE%\Documents\GitHub\mrs-test-scripts\Headless Mode &amp; Sideloading\WalkAndUnGZ.bat" "%USERPROFILE%\AppData\Local\Temp\OnboardLogs"\RTDC4013\2016-11-23</t>
  </si>
  <si>
    <t>aws s3 cp s3://rtdc.mdm.uploadarchive.raw/RTDC4015/ "%USERPROFILE%\AppData\Local\Temp\OnboardLogs"\RTDC4015\2016-11-22 --exclude "*" --recursive --include "*20161122*" &amp; "%USERPROFILE%\Documents\GitHub\mrs-test-scripts\Headless Mode &amp; Sideloading\WalkAndUnGZ.bat" "%USERPROFILE%\AppData\Local\Temp\OnboardLogs"\RTDC4015\2016-11-22 &amp; aws s3 cp s3://rtdc.mdm.uploadarchive.raw/RTDC4015/ "%USERPROFILE%\AppData\Local\Temp\OnboardLogs"\RTDC4015\2016-11-23 --exclude "*" --recursive --include "*20161123*" &amp; "%USERPROFILE%\Documents\GitHub\mrs-test-scripts\Headless Mode &amp; Sideloading\WalkAndUnGZ.bat" "%USERPROFILE%\AppData\Local\Temp\OnboardLogs"\RTDC4015\2016-11-23</t>
  </si>
  <si>
    <t>aws s3 cp s3://rtdc.mdm.uploadarchive.raw/RTDC4016/ "%USERPROFILE%\AppData\Local\Temp\OnboardLogs"\RTDC4016\2016-11-22 --exclude "*" --recursive --include "*20161122*" &amp; "%USERPROFILE%\Documents\GitHub\mrs-test-scripts\Headless Mode &amp; Sideloading\WalkAndUnGZ.bat" "%USERPROFILE%\AppData\Local\Temp\OnboardLogs"\RTDC4016\2016-11-22 &amp; aws s3 cp s3://rtdc.mdm.uploadarchive.raw/RTDC4016/ "%USERPROFILE%\AppData\Local\Temp\OnboardLogs"\RTDC4016\2016-11-23 --exclude "*" --recursive --include "*20161123*" &amp; "%USERPROFILE%\Documents\GitHub\mrs-test-scripts\Headless Mode &amp; Sideloading\WalkAndUnGZ.bat" "%USERPROFILE%\AppData\Local\Temp\OnboardLogs"\RTDC4016\2016-11-23</t>
  </si>
  <si>
    <t>Main 3 departure</t>
  </si>
  <si>
    <t>DUS 4N/22N STOP</t>
  </si>
  <si>
    <t>Run couldn’t leave DUS on Main 2, had to reinit at colorado</t>
  </si>
  <si>
    <t>Cut out at Peoria Station… no other issues found???</t>
  </si>
  <si>
    <t>DIA 2N stuck at STOP</t>
  </si>
  <si>
    <t>Slice 2 was primary, and seems like something went wrong after operator selected track location. Slice 2 failed to load location, rebooted itself. Slice 1 takes over, but something goes wrong in the handoff and the system stays disengaged despite movement</t>
  </si>
  <si>
    <t>Wheel tach slip</t>
  </si>
  <si>
    <t>At 2016-11-23 00:57:43, received 2087 message with Wheel Tach Slip faults, this explains why the system went disengaged</t>
  </si>
  <si>
    <t>Pena 4S STOP</t>
  </si>
  <si>
    <t>Legitimate STOP aspect</t>
  </si>
  <si>
    <t>SYS :2016/11/22 10:29:44.562:ENFORCEMENT:Reactive Enforcement Action:  Target Number: 0000601B  Target Speed:   0.0  Current Speed:   9.3</t>
  </si>
  <si>
    <t>SYS :2016/11/22 10:29:44.644:ENFORCEMENT:Reactive Enforcement Action:  Target Number: 00006258  Target Speed:   0.0  Current Speed:   9.3</t>
  </si>
  <si>
    <t>SYS :2016/11/22 10:48:23.112:ENFORCEMENT:Reactive Enforcement Action:  Target Number: 00006003  Target Speed:   0.0  Current Speed:   6.1</t>
  </si>
  <si>
    <t>SYS :2016/11/22 10:48:23.298:ENFORCEMENT:Reactive Enforcement Action:  Target Number: 00006003  Target Speed:   0.0  Current Speed:   6.1</t>
  </si>
  <si>
    <t>SYS :2016/11/22 10:48:23.821:ENFORCEMENT:Reactive Enforcement Action:  Target Number: 00006003  Target Speed:   0.0  Current Speed:   6.1</t>
  </si>
  <si>
    <t>SYS :2016/11/22 11:55:09.179:ENFORCEMENT:Predictive Enforcement Action:  Target Number: 0000E001  Target Speed:   0.0  Current Speed:  34.3</t>
  </si>
  <si>
    <t>SYS :2016/11/22 11:55:09.803:ENFORCEMENT:Predictive Enforcement Action:  Target Number: 0000E001  Target Speed:   0.0  Current Speed:  34.3</t>
  </si>
  <si>
    <t>SYS :2016/11/22 12:27:01.287:ENFORCEMENT:Predictive Enforcement Action:  Target Number: 00001002  Target Speed:   0.0  Current Speed:   5.8</t>
  </si>
  <si>
    <t>SYS :2016/11/22 12:27:01.782:ENFORCEMENT:Predictive Enforcement Action:  Target Number: 00001002  Target Speed:   0.0  Current Speed:   5.8</t>
  </si>
  <si>
    <t>SYS :2016/11/22 12:27:02.109:ENFORCEMENT:Predictive Enforcement Action:  Target Number: 00001002  Target Speed:   0.0  Current Speed:   5.7</t>
  </si>
  <si>
    <t>SYS :2016/11/22 13:19:38.788:ENFORCEMENT:Predictive Enforcement Action:  Target Number: 00017003  Target Speed:   0.0  Current Speed:  34.4</t>
  </si>
  <si>
    <t>SYS :2016/11/22 13:19:39.130:ENFORCEMENT:Predictive Enforcement Action:  Target Number: 00017003  Target Speed:   0.0  Current Speed:  34.4</t>
  </si>
  <si>
    <t>SYS :2016/11/22 13:19:39.289:ENFORCEMENT:Predictive Enforcement Action:  Target Number: 00017003  Target Speed:   0.0  Current Speed:  34.4</t>
  </si>
  <si>
    <t>SYS :2016/11/22 13:39:05.910:ENFORCEMENT:Reactive Enforcement Action:  Target Number: 00017021  Target Speed:  19.0  Current Speed:  24.6</t>
  </si>
  <si>
    <t>SYS :2016/11/22 13:39:06.610:ENFORCEMENT:Reactive Enforcement Action:  Target Number: 00017021  Target Speed:  19.0  Current Speed:  24.6</t>
  </si>
  <si>
    <t>SYS :2016/11/22 13:39:06.730:ENFORCEMENT:Reactive Enforcement Action:  Target Number: 00017021  Target Speed:  19.0  Current Speed:  24.6</t>
  </si>
  <si>
    <t>SYS :2016/11/22 13:48:50.263:ENFORCEMENT:Reactive Enforcement Action:  Target Number: 0000A003  Target Speed:  15.0  Current Speed:  21.7</t>
  </si>
  <si>
    <t>SYS :2016/11/22 13:48:50.613:ENFORCEMENT:Reactive Enforcement Action:  Target Number: 0000A003  Target Speed:  15.0  Current Speed:  21.7</t>
  </si>
  <si>
    <t>SYS :2016/11/22 13:48:51.310:ENFORCEMENT:Reactive Enforcement Action:  Target Number: 0000A003  Target Speed:  15.0  Current Speed:  21.7</t>
  </si>
  <si>
    <t>SYS :2016/11/22 14:17:10.036:ENFORCEMENT:Predictive Enforcement Action:  Target Number: 00010085  Target Speed:  55.0  Current Speed:  76.0</t>
  </si>
  <si>
    <t>SYS :2016/11/22 14:32:27.952:ENFORCEMENT:Reactive Enforcement Action:  Target Number: 00010058  Target Speed:  60.0  Current Speed:  65.0</t>
  </si>
  <si>
    <t>SYS :2016/11/22 14:32:28.282:ENFORCEMENT:Reactive Enforcement Action:  Target Number: 00010056  Target Speed:  60.0  Current Speed:  65.0</t>
  </si>
  <si>
    <t>SYS :2016/11/22 14:32:28.502:ENFORCEMENT:Reactive Enforcement Action:  Target Number: 00010058  Target Speed:  60.0  Current Speed:  65.0</t>
  </si>
  <si>
    <t>SYS :2016/11/22 14:42:47.202:ENFORCEMENT:Reactive Enforcement Action:  Target Number: 00017160  Target Speed:  14.0  Current Speed:  19.3</t>
  </si>
  <si>
    <t>SYS :2016/11/22 14:42:48.094:ENFORCEMENT:Reactive Enforcement Action:  Target Number: 000171BD  Target Speed:  14.0  Current Speed:  19.3</t>
  </si>
  <si>
    <t>SYS :2016/11/22 14:42:48.351:ENFORCEMENT:Reactive Enforcement Action:  Target Number: 000171BD  Target Speed:  14.0  Current Speed:  19.3</t>
  </si>
  <si>
    <t>SYS :2016/11/22 14:55:23.399:ENFORCEMENT:Predictive Enforcement Action:  Target Number: 0000100A  Target Speed:   0.0  Current Speed:   4.8</t>
  </si>
  <si>
    <t>SYS :2016/11/22 14:55:23.660:ENFORCEMENT:Predictive Enforcement Action:  Target Number: 0000100A  Target Speed:   0.0  Current Speed:   4.7</t>
  </si>
  <si>
    <t>SYS :2016/11/22 15:18:08.798:ENFORCEMENT:Predictive Enforcement Action:  Target Number: 0001004C  Target Speed:  30.0  Current Speed:  39.8</t>
  </si>
  <si>
    <t>SYS :2016/11/22 15:18:09.135:ENFORCEMENT:Predictive Enforcement Action:  Target Number: 0001004C  Target Speed:  30.0  Current Speed:  39.8</t>
  </si>
  <si>
    <t>SYS :2016/11/22 15:18:09.301:ENFORCEMENT:Predictive Enforcement Action:  Target Number: 0001004C  Target Speed:  30.0  Current Speed:  39.8</t>
  </si>
  <si>
    <t>SYS :2016/11/22 15:41:19.166:ENFORCEMENT:Reactive Enforcement Action:  Target Number: 0001002C  Target Speed:  15.0  Current Speed:  22.3</t>
  </si>
  <si>
    <t>SYS :2016/11/22 15:41:19.866:ENFORCEMENT:Reactive Enforcement Action:  Target Number: 0001002C  Target Speed:  15.0  Current Speed:  22.9</t>
  </si>
  <si>
    <t>SYS :2016/11/22 15:41:19.929:ENFORCEMENT:Reactive Enforcement Action:  Target Number: 0001002C  Target Speed:  15.0  Current Speed:  22.3</t>
  </si>
  <si>
    <t>SYS :2016/11/22 16:15:38.668:ENFORCEMENT:Predictive Enforcement Action:  Target Number: 000060E1  Target Speed:   0.0  Current Speed:  56.3</t>
  </si>
  <si>
    <t>SYS :2016/11/22 16:15:39.605:ENFORCEMENT:Predictive Enforcement Action:  Target Number: 0000609D  Target Speed:   0.0  Current Speed:  55.2</t>
  </si>
  <si>
    <t>SYS :2016/11/22 17:12:29.267:ENFORCEMENT:Reactive Enforcement Action:  Target Number: 0000A005  Target Speed:  15.0  Current Speed:  20.0</t>
  </si>
  <si>
    <t>SYS :2016/11/22 17:12:29.277:ENFORCEMENT:Reactive Enforcement Action:  Target Number: 0000A005  Target Speed:  15.0  Current Speed:  20.0</t>
  </si>
  <si>
    <t>SYS :2016/11/22 17:12:29.612:ENFORCEMENT:Reactive Enforcement Action:  Target Number: 0000A005  Target Speed:  15.0  Current Speed:  20.0</t>
  </si>
  <si>
    <t>SYS :2016/11/22 17:49:27.707:ENFORCEMENT:Predictive Enforcement Action:  Target Number: 0001700B  Target Speed:   0.0  Current Speed:  38.0</t>
  </si>
  <si>
    <t>SYS :2016/11/22 17:49:28.479:ENFORCEMENT:Predictive Enforcement Action:  Target Number: 0001700B  Target Speed:   0.0  Current Speed:  38.0</t>
  </si>
  <si>
    <t>SYS :2016/11/22 17:49:29.414:ENFORCEMENT:Predictive Enforcement Action:  Target Number: 0001700B  Target Speed:   0.0  Current Speed:  36.6</t>
  </si>
  <si>
    <t>SYS :2016/11/22 18:51:23.416:ENFORCEMENT:Predictive Enforcement Action:  Target Number: 0000100A  Target Speed:   0.0  Current Speed:   4.7</t>
  </si>
  <si>
    <t>SYS :2016/11/22 18:51:24.064:ENFORCEMENT:Predictive Enforcement Action:  Target Number: 0000100A  Target Speed:   0.0  Current Speed:   4.7</t>
  </si>
  <si>
    <t>SYS :2016/11/22 19:09:25.029:ENFORCEMENT:Reactive Enforcement Action:  Target Number: 00017068  Target Speed:  28.0  Current Speed:  33.4</t>
  </si>
  <si>
    <t>SYS :2016/11/22 19:09:26.044:ENFORCEMENT:Reactive Enforcement Action:  Target Number: 0001707E  Target Speed:  28.0  Current Speed:  33.4</t>
  </si>
  <si>
    <t>SYS :2016/11/22 19:09:26.534:ENFORCEMENT:Reactive Enforcement Action:  Target Number: 0001707E  Target Speed:  28.0  Current Speed:  33.4</t>
  </si>
  <si>
    <t>SYS :2016/11/22 19:13:27.382:ENFORCEMENT:Reactive Enforcement Action:  Target Number: 0000A004  Target Speed:  15.0  Current Speed:  20.0</t>
  </si>
  <si>
    <t>SYS :2016/11/22 19:13:27.622:ENFORCEMENT:Reactive Enforcement Action:  Target Number: 0000A009  Target Speed:  15.0  Current Speed:  20.0</t>
  </si>
  <si>
    <t>SYS :2016/11/22 19:13:27.657:ENFORCEMENT:Reactive Enforcement Action:  Target Number: 0000A00E  Target Speed:  15.0  Current Speed:  20.0</t>
  </si>
  <si>
    <t>SYS :2016/11/22 21:04:27.611:ENFORCEMENT:Predictive Enforcement Action:  Target Number: 00001016  Target Speed:   0.0  Current Speed:   5.9</t>
  </si>
  <si>
    <t>SYS :2016/11/22 21:04:27.642:ENFORCEMENT:Predictive Enforcement Action:  Target Number: 00001026  Target Speed:   0.0  Current Speed:   5.9</t>
  </si>
  <si>
    <t>SYS :2016/11/22 21:04:28.369:ENFORCEMENT:Predictive Enforcement Action:  Target Number: 00001008  Target Speed:   0.0  Current Speed:   5.9</t>
  </si>
  <si>
    <t>SYS :2016/11/22 21:34:41.197:ENFORCEMENT:Predictive Enforcement Action:  Target Number: 00001014  Target Speed:   0.0  Current Speed:   4.6</t>
  </si>
  <si>
    <t>SYS :2016/11/22 21:34:41.435:ENFORCEMENT:Predictive Enforcement Action:  Target Number: 00001015  Target Speed:   0.0  Current Speed:   4.6</t>
  </si>
  <si>
    <t>SYS :2016/11/22 21:34:41.447:ENFORCEMENT:Predictive Enforcement Action:  Target Number: 00001015  Target Speed:   0.0  Current Speed:   4.6</t>
  </si>
  <si>
    <t>SYS :2016/11/23 00:24:42.292:ENFORCEMENT:Predictive Enforcement Action:  Target Number: 00001012  Target Speed:   0.0  Current Speed:  12.8</t>
  </si>
  <si>
    <t>SYS :2016/11/23 00:24:42.782:ENFORCEMENT:Predictive Enforcement Action:  Target Number: 00001012  Target Speed:   0.0  Current Speed:  12.8</t>
  </si>
  <si>
    <t>SYS :2016/11/23 00:24:43.118:ENFORCEMENT:Predictive Enforcement Action:  Target Number: 00001012  Target Speed:   0.0  Current Speed:  12.6</t>
  </si>
  <si>
    <t>SYS :2016/11/23 01:25:14.781:ENFORCEMENT:Predictive Enforcement Action:  Target Number: 00001017  Target Speed:   0.0  Current Speed:   3.0</t>
  </si>
  <si>
    <t>SYS :2016/11/23 01:25:15.117:ENFORCEMENT:Predictive Enforcement Action:  Target Number: 00001017  Target Speed:   0.0  Current Speed:   3.0</t>
  </si>
  <si>
    <t>SYS :2016/11/23 01:25:15.281:ENFORCEMENT:Predictive Enforcement Action:  Target Number: 00001017  Target Speed:   0.0  Current Speed:   3.0</t>
  </si>
  <si>
    <t>SYS :2016/11/23 01:51:14.322:ENFORCEMENT:Predictive Enforcement Action:  Target Number: 00006015  Target Speed:   0.0  Current Speed:   9.0</t>
  </si>
  <si>
    <t>SYS :2016/11/23 01:51:14.395:ENFORCEMENT:Predictive Enforcement Action:  Target Number: 00006175  Target Speed:   0.0  Current Speed:   9.2</t>
  </si>
  <si>
    <t>SYS :2016/11/23 01:51:14.455:ENFORCEMENT:Predictive Enforcement Action:  Target Number: 00006176  Target Speed:   0.0  Current Speed:   9.0</t>
  </si>
  <si>
    <t>SYS :2016/11/23 02:11:32.101:ENFORCEMENT:Predictive Enforcement Action:  Target Number: 00010120  Target Speed:  40.0  Current Speed:  46.5</t>
  </si>
  <si>
    <t>SYS :2016/11/23 02:11:32.812:ENFORCEMENT:Predictive Enforcement Action:  Target Number: 0001011F  Target Speed:  40.0  Current Speed:  46.5</t>
  </si>
  <si>
    <t>SYS :2016/11/23 02:27:32.098:ENFORCEMENT:Reactive Enforcement Action:  Target Number: 000104E8  Target Speed:  15.0  Current Speed:  20.5</t>
  </si>
  <si>
    <t>SYS :2016/11/23 02:27:32.353:ENFORCEMENT:Reactive Enforcement Action:  Target Number: 000104F4  Target Speed:  15.0  Current Speed:  20.5</t>
  </si>
  <si>
    <t>SYS :2016/11/23 02:27:32.525:ENFORCEMENT:Reactive Enforcement Action:  Target Number: 00010072  Target Speed:  15.0  Current Speed:  20.5</t>
  </si>
  <si>
    <t>SYS :2016/11/23 03:54:41.400:ENFORCEMENT:Predictive Enforcement Action:  Target Number: 00001036  Target Speed:   0.0  Current Speed:   4.1</t>
  </si>
  <si>
    <t>SYS :2016/11/23 03:54:41.467:ENFORCEMENT:Predictive Enforcement Action:  Target Number: 00001036  Target Speed:   0.0  Current Speed:   4.1</t>
  </si>
  <si>
    <t>SYS :2016/11/23 04:03:53.608:ENFORCEMENT:Predictive Enforcement Action:  Target Number: 00001020  Target Speed:   0.0  Current Speed:   5.0</t>
  </si>
  <si>
    <t>SYS :2016/11/23 04:03:53.638:ENFORCEMENT:Predictive Enforcement Action:  Target Number: 00001030  Target Speed:   0.0  Current Speed:   5.0</t>
  </si>
  <si>
    <t>SYS :2016/11/23 04:03:54.366:ENFORCEMENT:Predictive Enforcement Action:  Target Number: 00001012  Target Speed:   0.0  Current Speed:   5.0</t>
  </si>
  <si>
    <t>Going 20 in a 15, all 3 slices commanded, banner was displayed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</si>
</sst>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5"/>
  <sheetViews>
    <sheetView tabSelected="1" workbookViewId="0">
      <selection activeCell="R15" sqref="R15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42696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42696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COUNTIFS($N$13:$N$9377,"&gt;0",$AG$13:$AG$9377,I1)</f>
        <v>137</v>
      </c>
      <c r="K5" s="44"/>
      <c r="L5" s="44"/>
      <c r="M5" s="45">
        <f>AVERAGEIFS($N$13:$N$9377,$AG$13:$AG$9377,I1)</f>
        <v>38.56058394115751</v>
      </c>
      <c r="N5" s="43">
        <f t="array" ref="N5">MIN(IF($AG$13:$AG$9377=I1,IF(ISNUMBER($N$13:$N$9377),IF($N$13:$N$9377&gt;0,$N$13:$N$9377))))</f>
        <v>34.716666672611609</v>
      </c>
      <c r="O5" s="3">
        <f t="array" ref="O5">MAX(IF($AG$13:$AG$9377=I1,IF(ISNUMBER($N$13:$N$9377),IF($N$13:$N$9377&gt;0,$N$13:$N$9377))))</f>
        <v>47.883333336794749</v>
      </c>
      <c r="P5" s="2"/>
      <c r="R5" s="80" t="s">
        <v>17</v>
      </c>
      <c r="S5" s="55">
        <f>COUNTIFS($N$13:$N$9377,"&gt;0",$AG$13:$AG$9377,R1)</f>
        <v>47</v>
      </c>
      <c r="T5" s="44"/>
      <c r="U5" s="169"/>
      <c r="V5" s="45">
        <f>AVERAGEIFS($N$13:$N$9377,$AG$13:$AG$9377,R1)</f>
        <v>14.907446808127212</v>
      </c>
      <c r="W5" s="43">
        <f t="array" ref="W5">MIN(IF($AG$13:$AG$9377=R1,IF(ISNUMBER($N$13:$N$9377),IF($N$13:$N$9377&gt;0,$N$13:$N$9377))))</f>
        <v>12.816666666185483</v>
      </c>
      <c r="X5" s="173">
        <f t="array" ref="X5">MAX(IF($AG$13:$AG$9377=R1,IF(ISNUMBER($N$13:$N$9377),IF($N$13:$N$9377&gt;0,$N$13:$N$9377))))</f>
        <v>18.616666670423001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COUNT($O$13:$O$154)</f>
        <v>0</v>
      </c>
      <c r="K6" s="44"/>
      <c r="L6" s="44"/>
      <c r="M6" s="45">
        <f>IFERROR(AVERAGE($O$13:$O$154),0)</f>
        <v>0</v>
      </c>
      <c r="N6" s="43">
        <f>MIN($O$13:$O$154)</f>
        <v>0</v>
      </c>
      <c r="O6" s="3">
        <f>MAX($O$13:$O$154)</f>
        <v>0</v>
      </c>
      <c r="P6" s="2"/>
      <c r="R6" s="81" t="s">
        <v>43</v>
      </c>
      <c r="S6" s="55">
        <f>COUNT($O$13:$O$154)</f>
        <v>0</v>
      </c>
      <c r="T6" s="44"/>
      <c r="U6" s="169"/>
      <c r="V6" s="45">
        <f>IFERROR(AVERAGE($O$13:$O$154),0)</f>
        <v>0</v>
      </c>
      <c r="W6" s="43">
        <f>MIN($O$13:$O$154)</f>
        <v>0</v>
      </c>
      <c r="X6" s="173">
        <f>MAX($O$13:$O$154)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COUNTIFS($P$13:$P$9377,"&gt;0",$AG$13:$AG$9377,I1)</f>
        <v>7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COUNTIFS($P$13:$P$9377,"&gt;0",$AG$13:$AG$9377,R1)</f>
        <v>0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137</v>
      </c>
      <c r="K8" s="44"/>
      <c r="L8" s="44"/>
      <c r="M8" s="45">
        <f>M5</f>
        <v>38.56058394115751</v>
      </c>
      <c r="N8" s="43">
        <f>N5</f>
        <v>34.716666672611609</v>
      </c>
      <c r="O8" s="3">
        <f>O5</f>
        <v>47.883333336794749</v>
      </c>
      <c r="P8" s="2"/>
      <c r="R8" s="80" t="s">
        <v>16</v>
      </c>
      <c r="S8" s="55">
        <f>S5</f>
        <v>47</v>
      </c>
      <c r="T8" s="44"/>
      <c r="U8" s="169"/>
      <c r="V8" s="45">
        <f>V5</f>
        <v>14.907446808127212</v>
      </c>
      <c r="W8" s="43">
        <f>W5</f>
        <v>12.816666666185483</v>
      </c>
      <c r="X8" s="173">
        <f>X5</f>
        <v>18.616666670423001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0.95138888888888884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4" t="str">
        <f>"Eagle P3 System Performance - "&amp;TEXT(Variables!A2,"yyyy-mm-dd")</f>
        <v>Eagle P3 System Performance - 2016-11-22</v>
      </c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S11" s="69">
        <f>AVERAGE(S13:S103)</f>
        <v>0.99242424242424232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446</v>
      </c>
      <c r="B13" s="7">
        <v>4011</v>
      </c>
      <c r="C13" s="22" t="s">
        <v>217</v>
      </c>
      <c r="D13" s="22" t="s">
        <v>648</v>
      </c>
      <c r="E13" s="13">
        <v>42696.127141203702</v>
      </c>
      <c r="F13" s="13">
        <v>42696.135706018518</v>
      </c>
      <c r="G13" s="7">
        <v>2</v>
      </c>
      <c r="H13" s="22" t="s">
        <v>382</v>
      </c>
      <c r="I13" s="13">
        <v>42696.161770833336</v>
      </c>
      <c r="J13" s="7">
        <v>0</v>
      </c>
      <c r="K13" s="109" t="str">
        <f t="shared" ref="K13:K76" si="0">IF(ISEVEN(B13),(B13-1)&amp;"/"&amp;B13,B13&amp;"/"&amp;(B13+1))</f>
        <v>4011/4012</v>
      </c>
      <c r="L13" s="22" t="str">
        <f>VLOOKUP(A13,'Trips&amp;Operators'!$C$1:$E$10000,3,FALSE)</f>
        <v>KILLION</v>
      </c>
      <c r="M13" s="6">
        <f t="shared" ref="M13:M44" si="1">I13-F13</f>
        <v>2.6064814817800652E-2</v>
      </c>
      <c r="N13" s="7">
        <f>24*60*SUM($M13:$M13)</f>
        <v>37.533333337632939</v>
      </c>
      <c r="O13" s="7"/>
      <c r="P13" s="7"/>
      <c r="Q13" s="23"/>
      <c r="R13" s="23"/>
      <c r="S13" s="35">
        <f>SUM(U13:U13)/IF(AG13="EC",12,1)</f>
        <v>1</v>
      </c>
      <c r="T13" s="50" t="str">
        <f t="shared" ref="T13:T76" si="2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3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https://search-rtdc-monitor-bjffxe2xuh6vdkpspy63sjmuny.us-east-1.es.amazonaws.com/_plugin/kibana/#/discover/Steve-Slow-Train-Analysis-(2080s-and-2083s)?_g=(refreshInterval:(display:Off,section:0,value:0),time:(from:'2016-11-22 02:03:05-700',mode:absolute,to:'2016-11-22 04:52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" s="52" t="str">
        <f t="shared" ref="W13:W76" si="4">IF(AA13&lt;IF(AG13="EC",23,5.65),"Y","N")</f>
        <v>N</v>
      </c>
      <c r="X13" s="177" t="e">
        <f t="shared" ref="X13:X44" si="5">VALUE(LEFT(AD13,4))-VALUE(LEFT(AD12,4))</f>
        <v>#VALUE!</v>
      </c>
      <c r="Y13" s="67">
        <f t="shared" ref="Y13:Y44" si="6">RIGHT(D13,LEN(D13)-4)/10000</f>
        <v>7.5899999999999995E-2</v>
      </c>
      <c r="Z13" s="67">
        <f t="shared" ref="Z13:Z44" si="7">RIGHT(H13,LEN(H13)-4)/10000</f>
        <v>23.326799999999999</v>
      </c>
      <c r="AA13" s="67">
        <f t="shared" ref="AA13:AA76" si="8">ABS(Z13-Y13)</f>
        <v>23.250899999999998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 t="shared" ref="AD13:AD76" si="9">IF(LEN(A13)=6,"0"&amp;A13,A13)</f>
        <v>0101-22</v>
      </c>
      <c r="AE13" s="91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s3://rtdc.mdm.uploadarchive.raw/RTDC4011/ "%USERPROFILE%\AppData\Local\Temp\OnboardLogs"\RTDC4011\2016-11-22 --exclude "*" --recursive --include "*20161122*" &amp; "%USERPROFILE%\Documents\GitHub\mrs-test-scripts\Headless Mode &amp; Sideloading\WalkAndUnGZ.bat" "%USERPROFILE%\AppData\Local\Temp\OnboardLogs"\RTDC4011\2016-11-22 &amp; aws s3 cp s3://rtdc.mdm.uploadarchive.raw/RTDC4011/ "%USERPROFILE%\AppData\Local\Temp\OnboardLogs"\RTDC4011\2016-11-23 --exclude "*" --recursive --include "*20161123*" &amp; "%USERPROFILE%\Documents\GitHub\mrs-test-scripts\Headless Mode &amp; Sideloading\WalkAndUnGZ.bat" "%USERPROFILE%\AppData\Local\Temp\OnboardLogs"\RTDC4011\2016-11-23</v>
      </c>
      <c r="AF13" s="88" t="str">
        <f t="shared" ref="AF13:AF76" si="11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/stypes="app*4011*20161122*" /stext=" 10:.+((SYSTEM_STATE.+slice.+state.+changed )|(ment ac)|(system.+state.+changed )|(\[timeout)|(PRM\|1\|D)|(kpr)|(kdp)|(\|lc)|(penalty))" /e /r /s</v>
      </c>
      <c r="AG13" s="1" t="str">
        <f t="shared" ref="AG13:AG76" si="12">IFERROR(IF(VALUE(LEFT(AD13,2))&lt;=2,"EC",IF(OR(VALUE(LEFT(AD13,2))=8,VALUE(LEFT(AD13,2))=18),"NW","Other")),"Other")</f>
        <v>EC</v>
      </c>
      <c r="AH13" s="92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101-22 --locoid 4011 --swversion DE.1.0.8.0 --startMP 204:759 --initTime 2016-11-22T03:03:05 --startdatetime 2016-11-22T03:15:25 --delay 2 --endMP 204:233268 --enddatetime 2016-11-22T03:52:57 --enforcementcount 0 &gt;&gt;C:\Users\stu\Documents\GitHub\eaglep3-reporting\EC\2016-11-22-refined-times.txt</v>
      </c>
      <c r="AI13" s="119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{"issue":{"subject":"","project_id":79,"tracker_id":40,"status_id":1,"priority_id":2,"assigned_to_id":23,"start_date":"2016-11-22","description":"","custom_fields":[{"id":1,"name":"Subdivision","value":"EC"},{"id":4,"name":"Milepost","value":"23.3268"},{"id":17,"name":"Train ID","value":"101-22"},{"id":16,"name":"Locomotive ID","value":"4011"},{"id":130,"name":"Impact","value":""},{"id":150,"name":"Time of Event (Mountain Time)","value":"03:52:57"},{"id":151,"name":"Denver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447</v>
      </c>
      <c r="B14" s="7">
        <v>4021</v>
      </c>
      <c r="C14" s="22" t="s">
        <v>217</v>
      </c>
      <c r="D14" s="22" t="s">
        <v>649</v>
      </c>
      <c r="E14" s="13">
        <v>42696.170520833337</v>
      </c>
      <c r="F14" s="13">
        <v>42696.219039351854</v>
      </c>
      <c r="G14" s="7">
        <v>1</v>
      </c>
      <c r="H14" s="22" t="s">
        <v>304</v>
      </c>
      <c r="I14" s="13">
        <v>42696.246365740742</v>
      </c>
      <c r="J14" s="7">
        <v>0</v>
      </c>
      <c r="K14" s="109" t="str">
        <f t="shared" si="0"/>
        <v>4021/4022</v>
      </c>
      <c r="L14" s="22" t="str">
        <f>VLOOKUP(A14,'Trips&amp;Operators'!$C$1:$E$10000,3,FALSE)</f>
        <v>KILLION</v>
      </c>
      <c r="M14" s="6">
        <f t="shared" si="1"/>
        <v>2.73263888884685E-2</v>
      </c>
      <c r="N14" s="7">
        <f>24*60*SUM($M14:$M14)</f>
        <v>39.34999999939464</v>
      </c>
      <c r="O14" s="7"/>
      <c r="P14" s="7"/>
      <c r="Q14" s="23"/>
      <c r="R14" s="23"/>
      <c r="S14" s="35">
        <f>SUM(U14:U14)/IF(AG14="EC",12,1)</f>
        <v>1</v>
      </c>
      <c r="T14" s="50" t="str">
        <f t="shared" si="2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03:05:33-700',mode:absolute,to:'2016-11-22 06:54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4" s="52" t="str">
        <f t="shared" si="4"/>
        <v>N</v>
      </c>
      <c r="X14" s="177">
        <f t="shared" si="5"/>
        <v>1</v>
      </c>
      <c r="Y14" s="67">
        <f t="shared" si="6"/>
        <v>23.266200000000001</v>
      </c>
      <c r="Z14" s="67">
        <f t="shared" si="7"/>
        <v>1.6299999999999999E-2</v>
      </c>
      <c r="AA14" s="67">
        <f t="shared" si="8"/>
        <v>23.2499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9"/>
        <v>0102-22</v>
      </c>
      <c r="AE14" s="91" t="str">
        <f t="shared" si="10"/>
        <v>aws s3 cp s3://rtdc.mdm.uploadarchive.raw/RTDC4021/ "%USERPROFILE%\AppData\Local\Temp\OnboardLogs"\RTDC4021\2016-11-22 --exclude "*" --recursive --include "*20161122*" &amp; "%USERPROFILE%\Documents\GitHub\mrs-test-scripts\Headless Mode &amp; Sideloading\WalkAndUnGZ.bat" "%USERPROFILE%\AppData\Local\Temp\OnboardLogs"\RTDC4021\2016-11-22 &amp; aws s3 cp s3://rtdc.mdm.uploadarchive.raw/RTDC4021/ "%USERPROFILE%\AppData\Local\Temp\OnboardLogs"\RTDC4021\2016-11-23 --exclude "*" --recursive --include "*20161123*" &amp; "%USERPROFILE%\Documents\GitHub\mrs-test-scripts\Headless Mode &amp; Sideloading\WalkAndUnGZ.bat" "%USERPROFILE%\AppData\Local\Temp\OnboardLogs"\RTDC4021\2016-11-23</v>
      </c>
      <c r="AF14" s="88" t="str">
        <f t="shared" si="11"/>
        <v>"C:\Program Files (x86)\AstroGrep\AstroGrep.exe" /spath="%USERPROFILE%\AppData\Local\Temp\OnboardLogs" /stypes="app*4021*20161122*" /stext=" 12:.+((SYSTEM_STATE.+slice.+state.+changed )|(ment ac)|(system.+state.+changed )|(\[timeout)|(PRM\|1\|D)|(kpr)|(kdp)|(\|lc)|(penalty))" /e /r /s</v>
      </c>
      <c r="AG14" s="1" t="str">
        <f t="shared" si="12"/>
        <v>EC</v>
      </c>
      <c r="AH14" s="92" t="str">
        <f t="shared" ref="AH14:AH77" si="1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102-22 --locoid 4021 --swversion DE.1.0.8.0 --startMP 204:232662 --initTime 2016-11-22T04:05:33 --startdatetime 2016-11-22T05:15:25 --delay 1 --endMP 204:163 --enddatetime 2016-11-22T05:54:46 --enforcementcount 0 &gt;&gt;C:\Users\stu\Documents\GitHub\eaglep3-reporting\EC\2016-11-22-refined-times.txt</v>
      </c>
      <c r="AI14" s="119" t="str">
        <f t="shared" ref="AI14:AI77" si="1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{"issue":{"subject":"","project_id":79,"tracker_id":40,"status_id":1,"priority_id":2,"assigned_to_id":23,"start_date":"2016-11-22","description":"","custom_fields":[{"id":1,"name":"Subdivision","value":"EC"},{"id":4,"name":"Milepost","value":"0.0163"},{"id":17,"name":"Train ID","value":"102-22"},{"id":16,"name":"Locomotive ID","value":"4021"},{"id":130,"name":"Impact","value":""},{"id":150,"name":"Time of Event (Mountain Time)","value":"05:54:46"},{"id":151,"name":"Denver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411</v>
      </c>
      <c r="B15" s="7">
        <v>4046</v>
      </c>
      <c r="C15" s="22" t="s">
        <v>217</v>
      </c>
      <c r="D15" s="22" t="s">
        <v>650</v>
      </c>
      <c r="E15" s="13">
        <v>42696.157141203701</v>
      </c>
      <c r="F15" s="13">
        <v>42696.158148148148</v>
      </c>
      <c r="G15" s="7">
        <v>1</v>
      </c>
      <c r="H15" s="22" t="s">
        <v>651</v>
      </c>
      <c r="I15" s="13">
        <v>42696.158773148149</v>
      </c>
      <c r="J15" s="7">
        <v>1</v>
      </c>
      <c r="K15" s="109" t="str">
        <f t="shared" si="0"/>
        <v>4045/4046</v>
      </c>
      <c r="L15" s="22" t="str">
        <f>VLOOKUP(A15,'Trips&amp;Operators'!$C$1:$E$10000,3,FALSE)</f>
        <v>MCREYNOLDS</v>
      </c>
      <c r="M15" s="6">
        <f t="shared" si="1"/>
        <v>6.2500000058207661E-4</v>
      </c>
      <c r="N15" s="7"/>
      <c r="O15" s="7"/>
      <c r="P15" s="7">
        <f>24*60*SUM($M15:$M16)</f>
        <v>30.833333332557231</v>
      </c>
      <c r="Q15" s="23"/>
      <c r="R15" s="23" t="s">
        <v>806</v>
      </c>
      <c r="S15" s="35">
        <f>SUM(U15:U16)/IF(AG15="EC",12,1)</f>
        <v>0.75</v>
      </c>
      <c r="T15" s="50" t="str">
        <f t="shared" si="2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02:46:17-700',mode:absolute,to:'2016-11-22 04:48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" s="52" t="str">
        <f t="shared" si="4"/>
        <v>Y</v>
      </c>
      <c r="X15" s="177">
        <f t="shared" si="5"/>
        <v>1</v>
      </c>
      <c r="Y15" s="67">
        <f t="shared" si="6"/>
        <v>0.15409999999999999</v>
      </c>
      <c r="Z15" s="67">
        <f t="shared" si="7"/>
        <v>0.18690000000000001</v>
      </c>
      <c r="AA15" s="67">
        <f t="shared" si="8"/>
        <v>3.2800000000000024E-2</v>
      </c>
      <c r="AB15" s="64" t="str">
        <f>VLOOKUP(A15,Enforcements!$C$7:$K$20,8,0)</f>
        <v>Signal based authority (5)</v>
      </c>
      <c r="AC15" s="60" t="str">
        <f>VLOOKUP(A15,Enforcements!$C$7:$E$20,3,0)</f>
        <v>SIGNAL</v>
      </c>
      <c r="AD15" s="61" t="str">
        <f t="shared" si="9"/>
        <v>0103-22</v>
      </c>
      <c r="AE15" s="91" t="str">
        <f t="shared" si="10"/>
        <v>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 &amp; 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</v>
      </c>
      <c r="AF15" s="88" t="str">
        <f t="shared" si="11"/>
        <v>"C:\Program Files (x86)\AstroGrep\AstroGrep.exe" /spath="%USERPROFILE%\AppData\Local\Temp\OnboardLogs" /stypes="app*4046*20161122*" /stext=" 10:.+((SYSTEM_STATE.+slice.+state.+changed )|(ment ac)|(system.+state.+changed )|(\[timeout)|(PRM\|1\|D)|(kpr)|(kdp)|(\|lc)|(penalty))" /e /r /s</v>
      </c>
      <c r="AG15" s="1" t="str">
        <f t="shared" si="12"/>
        <v>EC</v>
      </c>
      <c r="AH15" s="92" t="str">
        <f t="shared" si="15"/>
        <v>"%USERPROFILE%\Documents\GitHub\eaglep3\Utilities\RefineRTDCRunTimes.py" --tripid 103-22 --locoid 4046 --swversion DE.1.0.8.0 --startMP 204:1541 --initTime 2016-11-22T03:46:17 --startdatetime 2016-11-22T03:47:44 --delay 1 --endMP 204:1869 --enddatetime 2016-11-22T03:48:38 --enforcementcount 1 &gt;&gt;C:\Users\stu\Documents\GitHub\eaglep3-reporting\EC\2016-11-22-refined-times.txt</v>
      </c>
      <c r="AI15" s="119" t="str">
        <f t="shared" si="16"/>
        <v>echo {"issue":{"subject":"Main 3 departure","project_id":79,"tracker_id":40,"status_id":1,"priority_id":2,"assigned_to_id":23,"start_date":"2016-11-22","description":"","custom_fields":[{"id":1,"name":"Subdivision","value":"EC"},{"id":4,"name":"Milepost","value":"0.1869"},{"id":17,"name":"Train ID","value":"103-22"},{"id":16,"name":"Locomotive ID","value":"4046"},{"id":130,"name":"Impact","value":""},{"id":150,"name":"Time of Event (Mountain Time)","value":"03:48:38"},{"id":151,"name":"Denver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411</v>
      </c>
      <c r="B16" s="7">
        <v>4046</v>
      </c>
      <c r="C16" s="22" t="s">
        <v>217</v>
      </c>
      <c r="D16" s="22" t="s">
        <v>652</v>
      </c>
      <c r="E16" s="13">
        <v>42696.165729166663</v>
      </c>
      <c r="F16" s="13">
        <v>42696.166562500002</v>
      </c>
      <c r="G16" s="7">
        <v>1</v>
      </c>
      <c r="H16" s="22" t="s">
        <v>313</v>
      </c>
      <c r="I16" s="13">
        <v>42696.187349537038</v>
      </c>
      <c r="J16" s="7">
        <v>0</v>
      </c>
      <c r="K16" s="109" t="str">
        <f t="shared" si="0"/>
        <v>4045/4046</v>
      </c>
      <c r="L16" s="22" t="str">
        <f>VLOOKUP(A16,'Trips&amp;Operators'!$C$1:$E$10000,3,FALSE)</f>
        <v>MCREYNOLDS</v>
      </c>
      <c r="M16" s="6">
        <f t="shared" si="1"/>
        <v>2.0787037035916001E-2</v>
      </c>
      <c r="N16" s="7"/>
      <c r="O16" s="7"/>
      <c r="P16" s="7"/>
      <c r="Q16" s="23"/>
      <c r="R16" s="23"/>
      <c r="S16" s="35"/>
      <c r="T16" s="50" t="str">
        <f t="shared" si="2"/>
        <v>NorthBound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9</v>
      </c>
      <c r="V1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02:58:39-700',mode:absolute,to:'2016-11-22 05:29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" s="52" t="str">
        <f t="shared" si="4"/>
        <v>Y</v>
      </c>
      <c r="X16" s="177">
        <f t="shared" si="5"/>
        <v>0</v>
      </c>
      <c r="Y16" s="67">
        <f t="shared" si="6"/>
        <v>3.7206000000000001</v>
      </c>
      <c r="Z16" s="67">
        <f t="shared" si="7"/>
        <v>23.330200000000001</v>
      </c>
      <c r="AA16" s="67">
        <f t="shared" si="8"/>
        <v>19.6096</v>
      </c>
      <c r="AB16" s="64" t="str">
        <f>VLOOKUP(A16,Enforcements!$C$7:$K$20,8,0)</f>
        <v>Signal based authority (5)</v>
      </c>
      <c r="AC16" s="60" t="str">
        <f>VLOOKUP(A16,Enforcements!$C$7:$E$20,3,0)</f>
        <v>SIGNAL</v>
      </c>
      <c r="AD16" s="61" t="str">
        <f t="shared" si="9"/>
        <v>0103-22</v>
      </c>
      <c r="AE16" s="91" t="str">
        <f t="shared" si="10"/>
        <v>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 &amp; 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</v>
      </c>
      <c r="AF16" s="88" t="str">
        <f t="shared" si="11"/>
        <v>"C:\Program Files (x86)\AstroGrep\AstroGrep.exe" /spath="%USERPROFILE%\AppData\Local\Temp\OnboardLogs" /stypes="app*4046*20161122*" /stext=" 11:.+((SYSTEM_STATE.+slice.+state.+changed )|(ment ac)|(system.+state.+changed )|(\[timeout)|(PRM\|1\|D)|(kpr)|(kdp)|(\|lc)|(penalty))" /e /r /s</v>
      </c>
      <c r="AG16" s="1" t="str">
        <f t="shared" si="12"/>
        <v>EC</v>
      </c>
      <c r="AH16" s="92" t="str">
        <f t="shared" si="15"/>
        <v>"%USERPROFILE%\Documents\GitHub\eaglep3\Utilities\RefineRTDCRunTimes.py" --tripid 103-22 --locoid 4046 --swversion DE.1.0.8.0 --startMP 204:37206 --initTime 2016-11-22T03:58:39 --startdatetime 2016-11-22T03:59:51 --delay 1 --endMP 204:233302 --enddatetime 2016-11-22T04:29:47 --enforcementcount 0 &gt;&gt;C:\Users\stu\Documents\GitHub\eaglep3-reporting\EC\2016-11-22-refined-times.txt</v>
      </c>
      <c r="AI16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{"issue":{"subject":"","project_id":79,"tracker_id":40,"status_id":1,"priority_id":2,"assigned_to_id":23,"start_date":"2016-11-22","description":"","custom_fields":[{"id":1,"name":"Subdivision","value":"EC"},{"id":4,"name":"Milepost","value":"23.3302"},{"id":17,"name":"Train ID","value":"103-22"},{"id":16,"name":"Locomotive ID","value":"4046"},{"id":130,"name":"Impact","value":""},{"id":150,"name":"Time of Event (Mountain Time)","value":"04:29:47"},{"id":151,"name":"Denver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452</v>
      </c>
      <c r="B17" s="7">
        <v>4045</v>
      </c>
      <c r="C17" s="22" t="s">
        <v>217</v>
      </c>
      <c r="D17" s="22" t="s">
        <v>277</v>
      </c>
      <c r="E17" s="13">
        <v>42696.189340277779</v>
      </c>
      <c r="F17" s="13">
        <v>42696.195428240739</v>
      </c>
      <c r="G17" s="7">
        <v>1</v>
      </c>
      <c r="H17" s="22" t="s">
        <v>296</v>
      </c>
      <c r="I17" s="13">
        <v>42696.227789351855</v>
      </c>
      <c r="J17" s="7">
        <v>0</v>
      </c>
      <c r="K17" s="109" t="str">
        <f t="shared" si="0"/>
        <v>4045/4046</v>
      </c>
      <c r="L17" s="22" t="str">
        <f>VLOOKUP(A17,'Trips&amp;Operators'!$C$1:$E$10000,3,FALSE)</f>
        <v>MCREYNOLDS</v>
      </c>
      <c r="M17" s="6">
        <f t="shared" si="1"/>
        <v>3.2361111116188113E-2</v>
      </c>
      <c r="N17" s="7">
        <f>24*60*SUM($M17:$M17)</f>
        <v>46.600000007310882</v>
      </c>
      <c r="O17" s="7"/>
      <c r="P17" s="7"/>
      <c r="Q17" s="23"/>
      <c r="R17" s="23"/>
      <c r="S17" s="35">
        <f>SUM(U17:U17)/IF(AG17="EC",12,1)</f>
        <v>1</v>
      </c>
      <c r="T17" s="50" t="str">
        <f t="shared" si="2"/>
        <v>Southbound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03:32:39-700',mode:absolute,to:'2016-11-22 06:28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7" s="52" t="str">
        <f t="shared" si="4"/>
        <v>N</v>
      </c>
      <c r="X17" s="177">
        <f t="shared" si="5"/>
        <v>1</v>
      </c>
      <c r="Y17" s="67">
        <f t="shared" si="6"/>
        <v>23.299299999999999</v>
      </c>
      <c r="Z17" s="67">
        <f t="shared" si="7"/>
        <v>1.61E-2</v>
      </c>
      <c r="AA17" s="67">
        <f t="shared" si="8"/>
        <v>23.283199999999997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 t="shared" si="9"/>
        <v>0104-22</v>
      </c>
      <c r="AE17" s="91" t="str">
        <f t="shared" si="10"/>
        <v>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 &amp; aws s3 cp s3://rtdc.mdm.uploadarchive.raw/RTDC4045/ "%USERPROFILE%\AppData\Local\Temp\OnboardLogs"\RTDC4045\2016-11-23 --exclude "*" --recursive --include "*20161123*" &amp; "%USERPROFILE%\Documents\GitHub\mrs-test-scripts\Headless Mode &amp; Sideloading\WalkAndUnGZ.bat" "%USERPROFILE%\AppData\Local\Temp\OnboardLogs"\RTDC4045\2016-11-23</v>
      </c>
      <c r="AF17" s="88" t="str">
        <f t="shared" si="11"/>
        <v>"C:\Program Files (x86)\AstroGrep\AstroGrep.exe" /spath="%USERPROFILE%\AppData\Local\Temp\OnboardLogs" /stypes="app*4045*20161122*" /stext=" 12:.+((SYSTEM_STATE.+slice.+state.+changed )|(ment ac)|(system.+state.+changed )|(\[timeout)|(PRM\|1\|D)|(kpr)|(kdp)|(\|lc)|(penalty))" /e /r /s</v>
      </c>
      <c r="AG17" s="1" t="str">
        <f t="shared" si="12"/>
        <v>EC</v>
      </c>
      <c r="AH17" s="92" t="str">
        <f t="shared" si="15"/>
        <v>"%USERPROFILE%\Documents\GitHub\eaglep3\Utilities\RefineRTDCRunTimes.py" --tripid 104-22 --locoid 4045 --swversion DE.1.0.8.0 --startMP 204:232993 --initTime 2016-11-22T04:32:39 --startdatetime 2016-11-22T04:41:25 --delay 1 --endMP 204:161 --enddatetime 2016-11-22T05:28:01 --enforcementcount 0 &gt;&gt;C:\Users\stu\Documents\GitHub\eaglep3-reporting\EC\2016-11-22-refined-times.txt</v>
      </c>
      <c r="AI17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{"issue":{"subject":"","project_id":79,"tracker_id":40,"status_id":1,"priority_id":2,"assigned_to_id":23,"start_date":"2016-11-22","description":"","custom_fields":[{"id":1,"name":"Subdivision","value":"EC"},{"id":4,"name":"Milepost","value":"0.0161"},{"id":17,"name":"Train ID","value":"104-22"},{"id":16,"name":"Locomotive ID","value":"4045"},{"id":130,"name":"Impact","value":""},{"id":150,"name":"Time of Event (Mountain Time)","value":"05:28:01"},{"id":151,"name":"Denver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450</v>
      </c>
      <c r="B18" s="7">
        <v>4038</v>
      </c>
      <c r="C18" s="22" t="s">
        <v>217</v>
      </c>
      <c r="D18" s="22" t="s">
        <v>364</v>
      </c>
      <c r="E18" s="13">
        <v>42696.173831018517</v>
      </c>
      <c r="F18" s="13">
        <v>42696.177893518521</v>
      </c>
      <c r="G18" s="7">
        <v>2</v>
      </c>
      <c r="H18" s="22" t="s">
        <v>653</v>
      </c>
      <c r="I18" s="13">
        <v>42696.204016203701</v>
      </c>
      <c r="J18" s="7">
        <v>0</v>
      </c>
      <c r="K18" s="109" t="str">
        <f t="shared" si="0"/>
        <v>4037/4038</v>
      </c>
      <c r="L18" s="22" t="str">
        <f>VLOOKUP(A18,'Trips&amp;Operators'!$C$1:$E$10000,3,FALSE)</f>
        <v>RICHARDSON</v>
      </c>
      <c r="M18" s="6">
        <f t="shared" si="1"/>
        <v>2.6122685179871041E-2</v>
      </c>
      <c r="N18" s="7">
        <f>24*60*SUM($M18:$M18)</f>
        <v>37.6166666590143</v>
      </c>
      <c r="O18" s="7"/>
      <c r="P18" s="7"/>
      <c r="Q18" s="23"/>
      <c r="R18" s="23"/>
      <c r="S18" s="35">
        <f>SUM(U18:U18)/IF(AG18="EC",12,1)</f>
        <v>1</v>
      </c>
      <c r="T18" s="50" t="str">
        <f t="shared" si="2"/>
        <v>NorthBound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03:10:19-700',mode:absolute,to:'2016-11-22 05:53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8" s="52" t="str">
        <f t="shared" si="4"/>
        <v>N</v>
      </c>
      <c r="X18" s="177">
        <f t="shared" si="5"/>
        <v>1</v>
      </c>
      <c r="Y18" s="67">
        <f t="shared" si="6"/>
        <v>7.5499999999999998E-2</v>
      </c>
      <c r="Z18" s="67">
        <f t="shared" si="7"/>
        <v>23.337199999999999</v>
      </c>
      <c r="AA18" s="67">
        <f t="shared" si="8"/>
        <v>23.261699999999998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 t="shared" si="9"/>
        <v>0105-22</v>
      </c>
      <c r="AE18" s="91" t="str">
        <f t="shared" si="10"/>
        <v>aws s3 cp s3://rtdc.mdm.uploadarchive.raw/RTDC4038/ "%USERPROFILE%\AppData\Local\Temp\OnboardLogs"\RTDC4038\2016-11-22 --exclude "*" --recursive --include "*20161122*" &amp; "%USERPROFILE%\Documents\GitHub\mrs-test-scripts\Headless Mode &amp; Sideloading\WalkAndUnGZ.bat" "%USERPROFILE%\AppData\Local\Temp\OnboardLogs"\RTDC4038\2016-11-22 &amp; aws s3 cp s3://rtdc.mdm.uploadarchive.raw/RTDC4038/ "%USERPROFILE%\AppData\Local\Temp\OnboardLogs"\RTDC4038\2016-11-23 --exclude "*" --recursive --include "*20161123*" &amp; "%USERPROFILE%\Documents\GitHub\mrs-test-scripts\Headless Mode &amp; Sideloading\WalkAndUnGZ.bat" "%USERPROFILE%\AppData\Local\Temp\OnboardLogs"\RTDC4038\2016-11-23</v>
      </c>
      <c r="AF18" s="88" t="str">
        <f t="shared" si="11"/>
        <v>"C:\Program Files (x86)\AstroGrep\AstroGrep.exe" /spath="%USERPROFILE%\AppData\Local\Temp\OnboardLogs" /stypes="app*4038*20161122*" /stext=" 11:.+((SYSTEM_STATE.+slice.+state.+changed )|(ment ac)|(system.+state.+changed )|(\[timeout)|(PRM\|1\|D)|(kpr)|(kdp)|(\|lc)|(penalty))" /e /r /s</v>
      </c>
      <c r="AG18" s="1" t="str">
        <f t="shared" si="12"/>
        <v>EC</v>
      </c>
      <c r="AH18" s="92" t="str">
        <f t="shared" si="15"/>
        <v>"%USERPROFILE%\Documents\GitHub\eaglep3\Utilities\RefineRTDCRunTimes.py" --tripid 105-22 --locoid 4038 --swversion DE.1.0.8.0 --startMP 204:755 --initTime 2016-11-22T04:10:19 --startdatetime 2016-11-22T04:16:10 --delay 2 --endMP 204:233372 --enddatetime 2016-11-22T04:53:47 --enforcementcount 0 &gt;&gt;C:\Users\stu\Documents\GitHub\eaglep3-reporting\EC\2016-11-22-refined-times.txt</v>
      </c>
      <c r="AI18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{"issue":{"subject":"","project_id":79,"tracker_id":40,"status_id":1,"priority_id":2,"assigned_to_id":23,"start_date":"2016-11-22","description":"","custom_fields":[{"id":1,"name":"Subdivision","value":"EC"},{"id":4,"name":"Milepost","value":"23.3372"},{"id":17,"name":"Train ID","value":"105-22"},{"id":16,"name":"Locomotive ID","value":"4038"},{"id":130,"name":"Impact","value":""},{"id":150,"name":"Time of Event (Mountain Time)","value":"04:53:47"},{"id":151,"name":"Denver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457</v>
      </c>
      <c r="B19" s="7">
        <v>4030</v>
      </c>
      <c r="C19" s="22" t="s">
        <v>217</v>
      </c>
      <c r="D19" s="22" t="s">
        <v>654</v>
      </c>
      <c r="E19" s="13">
        <v>42696.208148148151</v>
      </c>
      <c r="F19" s="13">
        <v>42696.216157407405</v>
      </c>
      <c r="G19" s="7">
        <v>1</v>
      </c>
      <c r="H19" s="22" t="s">
        <v>228</v>
      </c>
      <c r="I19" s="13">
        <v>42696.246863425928</v>
      </c>
      <c r="J19" s="7">
        <v>0</v>
      </c>
      <c r="K19" s="109" t="str">
        <f t="shared" si="0"/>
        <v>4029/4030</v>
      </c>
      <c r="L19" s="22" t="str">
        <f>VLOOKUP(A19,'Trips&amp;Operators'!$C$1:$E$10000,3,FALSE)</f>
        <v>RICHARDSON</v>
      </c>
      <c r="M19" s="6">
        <f t="shared" si="1"/>
        <v>3.0706018522323575E-2</v>
      </c>
      <c r="N19" s="7">
        <f>24*60*SUM($M19:$M19)</f>
        <v>44.216666672145948</v>
      </c>
      <c r="O19" s="7"/>
      <c r="P19" s="7"/>
      <c r="Q19" s="23"/>
      <c r="R19" s="23"/>
      <c r="S19" s="35">
        <f>SUM(U19:U19)/IF(AG19="EC",12,1)</f>
        <v>1</v>
      </c>
      <c r="T19" s="50" t="str">
        <f t="shared" si="2"/>
        <v>Southbound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03:59:44-700',mode:absolute,to:'2016-11-22 06:55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" s="52" t="str">
        <f t="shared" si="4"/>
        <v>N</v>
      </c>
      <c r="X19" s="177">
        <f t="shared" si="5"/>
        <v>1</v>
      </c>
      <c r="Y19" s="67">
        <f t="shared" si="6"/>
        <v>23.267900000000001</v>
      </c>
      <c r="Z19" s="67">
        <f t="shared" si="7"/>
        <v>1.4999999999999999E-2</v>
      </c>
      <c r="AA19" s="67">
        <f t="shared" si="8"/>
        <v>23.2529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 t="shared" si="9"/>
        <v>0106-22</v>
      </c>
      <c r="AE19" s="91" t="str">
        <f t="shared" si="10"/>
        <v>aws s3 cp s3://rtdc.mdm.uploadarchive.raw/RTDC4030/ "%USERPROFILE%\AppData\Local\Temp\OnboardLogs"\RTDC4030\2016-11-22 --exclude "*" --recursive --include "*20161122*" &amp; "%USERPROFILE%\Documents\GitHub\mrs-test-scripts\Headless Mode &amp; Sideloading\WalkAndUnGZ.bat" "%USERPROFILE%\AppData\Local\Temp\OnboardLogs"\RTDC4030\2016-11-22 &amp; aws s3 cp s3://rtdc.mdm.uploadarchive.raw/RTDC4030/ "%USERPROFILE%\AppData\Local\Temp\OnboardLogs"\RTDC4030\2016-11-23 --exclude "*" --recursive --include "*20161123*" &amp; "%USERPROFILE%\Documents\GitHub\mrs-test-scripts\Headless Mode &amp; Sideloading\WalkAndUnGZ.bat" "%USERPROFILE%\AppData\Local\Temp\OnboardLogs"\RTDC4030\2016-11-23</v>
      </c>
      <c r="AF19" s="88" t="str">
        <f t="shared" si="11"/>
        <v>"C:\Program Files (x86)\AstroGrep\AstroGrep.exe" /spath="%USERPROFILE%\AppData\Local\Temp\OnboardLogs" /stypes="app*4030*20161122*" /stext=" 12:.+((SYSTEM_STATE.+slice.+state.+changed )|(ment ac)|(system.+state.+changed )|(\[timeout)|(PRM\|1\|D)|(kpr)|(kdp)|(\|lc)|(penalty))" /e /r /s</v>
      </c>
      <c r="AG19" s="1" t="str">
        <f t="shared" si="12"/>
        <v>EC</v>
      </c>
      <c r="AH19" s="92" t="str">
        <f t="shared" si="15"/>
        <v>"%USERPROFILE%\Documents\GitHub\eaglep3\Utilities\RefineRTDCRunTimes.py" --tripid 106-22 --locoid 4030 --swversion DE.1.0.8.0 --startMP 204:232679 --initTime 2016-11-22T04:59:44 --startdatetime 2016-11-22T05:11:16 --delay 1 --endMP 204:150 --enddatetime 2016-11-22T05:55:29 --enforcementcount 0 &gt;&gt;C:\Users\stu\Documents\GitHub\eaglep3-reporting\EC\2016-11-22-refined-times.txt</v>
      </c>
      <c r="AI19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{"issue":{"subject":"","project_id":79,"tracker_id":40,"status_id":1,"priority_id":2,"assigned_to_id":23,"start_date":"2016-11-22","description":"","custom_fields":[{"id":1,"name":"Subdivision","value":"EC"},{"id":4,"name":"Milepost","value":"0.015"},{"id":17,"name":"Train ID","value":"106-22"},{"id":16,"name":"Locomotive ID","value":"4030"},{"id":130,"name":"Impact","value":""},{"id":150,"name":"Time of Event (Mountain Time)","value":"05:55:29"},{"id":151,"name":"Denver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415</v>
      </c>
      <c r="B20" s="7">
        <v>4002</v>
      </c>
      <c r="C20" s="22" t="s">
        <v>217</v>
      </c>
      <c r="D20" s="22" t="s">
        <v>290</v>
      </c>
      <c r="E20" s="13">
        <v>42696.187557870369</v>
      </c>
      <c r="F20" s="13">
        <v>42696.189097222225</v>
      </c>
      <c r="G20" s="7">
        <v>1</v>
      </c>
      <c r="H20" s="22" t="s">
        <v>187</v>
      </c>
      <c r="I20" s="13">
        <v>42696.218009259261</v>
      </c>
      <c r="J20" s="7">
        <v>1</v>
      </c>
      <c r="K20" s="109" t="str">
        <f t="shared" si="0"/>
        <v>4001/4002</v>
      </c>
      <c r="L20" s="22" t="str">
        <f>VLOOKUP(A20,'Trips&amp;Operators'!$C$1:$E$10000,3,FALSE)</f>
        <v>SPECTOR</v>
      </c>
      <c r="M20" s="6">
        <f t="shared" si="1"/>
        <v>2.8912037036207039E-2</v>
      </c>
      <c r="N20" s="7">
        <f>24*60*SUM($M20:$M20)</f>
        <v>41.633333332138136</v>
      </c>
      <c r="O20" s="7"/>
      <c r="P20" s="7"/>
      <c r="Q20" s="23"/>
      <c r="R20" s="23"/>
      <c r="S20" s="35">
        <f>SUM(U20:U20)/IF(AG20="EC",12,1)</f>
        <v>1</v>
      </c>
      <c r="T20" s="50" t="str">
        <f t="shared" si="2"/>
        <v>NorthBound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03:30:05-700',mode:absolute,to:'2016-11-22 06:13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" s="52" t="str">
        <f t="shared" si="4"/>
        <v>N</v>
      </c>
      <c r="X20" s="177">
        <f t="shared" si="5"/>
        <v>1</v>
      </c>
      <c r="Y20" s="67">
        <f t="shared" si="6"/>
        <v>4.82E-2</v>
      </c>
      <c r="Z20" s="67">
        <f t="shared" si="7"/>
        <v>23.329699999999999</v>
      </c>
      <c r="AA20" s="67">
        <f t="shared" si="8"/>
        <v>23.281499999999998</v>
      </c>
      <c r="AB20" s="64" t="str">
        <f>VLOOKUP(A20,Enforcements!$C$7:$K$20,8,0)</f>
        <v>Bulletin (2)</v>
      </c>
      <c r="AC20" s="60" t="str">
        <f>VLOOKUP(A20,Enforcements!$C$7:$E$20,3,0)</f>
        <v>GRADE CROSSING</v>
      </c>
      <c r="AD20" s="61" t="str">
        <f t="shared" si="9"/>
        <v>0107-22</v>
      </c>
      <c r="AE20" s="91" t="str">
        <f t="shared" si="10"/>
        <v>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 &amp; aws s3 cp s3://rtdc.mdm.uploadarchive.raw/RTDC4002/ "%USERPROFILE%\AppData\Local\Temp\OnboardLogs"\RTDC4002\2016-11-23 --exclude "*" --recursive --include "*20161123*" &amp; "%USERPROFILE%\Documents\GitHub\mrs-test-scripts\Headless Mode &amp; Sideloading\WalkAndUnGZ.bat" "%USERPROFILE%\AppData\Local\Temp\OnboardLogs"\RTDC4002\2016-11-23</v>
      </c>
      <c r="AF20" s="88" t="str">
        <f t="shared" si="11"/>
        <v>"C:\Program Files (x86)\AstroGrep\AstroGrep.exe" /spath="%USERPROFILE%\AppData\Local\Temp\OnboardLogs" /stypes="app*4002*20161122*" /stext=" 12:.+((SYSTEM_STATE.+slice.+state.+changed )|(ment ac)|(system.+state.+changed )|(\[timeout)|(PRM\|1\|D)|(kpr)|(kdp)|(\|lc)|(penalty))" /e /r /s</v>
      </c>
      <c r="AG20" s="1" t="str">
        <f t="shared" si="12"/>
        <v>EC</v>
      </c>
      <c r="AH20" s="92" t="str">
        <f t="shared" si="15"/>
        <v>"%USERPROFILE%\Documents\GitHub\eaglep3\Utilities\RefineRTDCRunTimes.py" --tripid 107-22 --locoid 4002 --swversion DE.1.0.8.0 --startMP 204:482 --initTime 2016-11-22T04:30:05 --startdatetime 2016-11-22T04:32:18 --delay 1 --endMP 204:233297 --enddatetime 2016-11-22T05:13:56 --enforcementcount 1 &gt;&gt;C:\Users\stu\Documents\GitHub\eaglep3-reporting\EC\2016-11-22-refined-times.txt</v>
      </c>
      <c r="AI20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{"issue":{"subject":"","project_id":79,"tracker_id":40,"status_id":1,"priority_id":2,"assigned_to_id":23,"start_date":"2016-11-22","description":"","custom_fields":[{"id":1,"name":"Subdivision","value":"EC"},{"id":4,"name":"Milepost","value":"23.3297"},{"id":17,"name":"Train ID","value":"107-22"},{"id":16,"name":"Locomotive ID","value":"4002"},{"id":130,"name":"Impact","value":""},{"id":150,"name":"Time of Event (Mountain Time)","value":"05:13:56"},{"id":151,"name":"Denver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460</v>
      </c>
      <c r="B21" s="7">
        <v>4001</v>
      </c>
      <c r="C21" s="22" t="s">
        <v>217</v>
      </c>
      <c r="D21" s="22" t="s">
        <v>375</v>
      </c>
      <c r="E21" s="13">
        <v>42696.223530092589</v>
      </c>
      <c r="F21" s="13">
        <v>42696.226585648146</v>
      </c>
      <c r="G21" s="7">
        <v>1</v>
      </c>
      <c r="H21" s="22" t="s">
        <v>266</v>
      </c>
      <c r="I21" s="13">
        <v>42696.255833333336</v>
      </c>
      <c r="J21" s="7">
        <v>0</v>
      </c>
      <c r="K21" s="109" t="str">
        <f t="shared" si="0"/>
        <v>4001/4002</v>
      </c>
      <c r="L21" s="22" t="str">
        <f>VLOOKUP(A21,'Trips&amp;Operators'!$C$1:$E$10000,3,FALSE)</f>
        <v>SPECTOR</v>
      </c>
      <c r="M21" s="6">
        <f t="shared" si="1"/>
        <v>2.9247685190057382E-2</v>
      </c>
      <c r="N21" s="7">
        <f>24*60*SUM($M21:$M21)</f>
        <v>42.11666667368263</v>
      </c>
      <c r="O21" s="7"/>
      <c r="P21" s="7"/>
      <c r="Q21" s="23"/>
      <c r="R21" s="23"/>
      <c r="S21" s="35">
        <f>SUM(U21:U21)/IF(AG21="EC",12,1)</f>
        <v>1</v>
      </c>
      <c r="T21" s="50" t="str">
        <f t="shared" si="2"/>
        <v>Southbound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04:21:53-700',mode:absolute,to:'2016-11-22 07:08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1" s="52" t="str">
        <f t="shared" si="4"/>
        <v>N</v>
      </c>
      <c r="X21" s="177">
        <f t="shared" si="5"/>
        <v>1</v>
      </c>
      <c r="Y21" s="67">
        <f t="shared" si="6"/>
        <v>23.2986</v>
      </c>
      <c r="Z21" s="67">
        <f t="shared" si="7"/>
        <v>1.32E-2</v>
      </c>
      <c r="AA21" s="67">
        <f t="shared" si="8"/>
        <v>23.285399999999999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9"/>
        <v>0108-22</v>
      </c>
      <c r="AE21" s="91" t="str">
        <f t="shared" si="10"/>
        <v>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 &amp; aws s3 cp s3://rtdc.mdm.uploadarchive.raw/RTDC4001/ "%USERPROFILE%\AppData\Local\Temp\OnboardLogs"\RTDC4001\2016-11-23 --exclude "*" --recursive --include "*20161123*" &amp; "%USERPROFILE%\Documents\GitHub\mrs-test-scripts\Headless Mode &amp; Sideloading\WalkAndUnGZ.bat" "%USERPROFILE%\AppData\Local\Temp\OnboardLogs"\RTDC4001\2016-11-23</v>
      </c>
      <c r="AF21" s="88" t="str">
        <f t="shared" si="11"/>
        <v>"C:\Program Files (x86)\AstroGrep\AstroGrep.exe" /spath="%USERPROFILE%\AppData\Local\Temp\OnboardLogs" /stypes="app*4001*20161122*" /stext=" 13:.+((SYSTEM_STATE.+slice.+state.+changed )|(ment ac)|(system.+state.+changed )|(\[timeout)|(PRM\|1\|D)|(kpr)|(kdp)|(\|lc)|(penalty))" /e /r /s</v>
      </c>
      <c r="AG21" s="1" t="str">
        <f t="shared" si="12"/>
        <v>EC</v>
      </c>
      <c r="AH21" s="92" t="str">
        <f t="shared" si="15"/>
        <v>"%USERPROFILE%\Documents\GitHub\eaglep3\Utilities\RefineRTDCRunTimes.py" --tripid 108-22 --locoid 4001 --swversion DE.1.0.8.0 --startMP 204:232986 --initTime 2016-11-22T05:21:53 --startdatetime 2016-11-22T05:26:17 --delay 1 --endMP 204:132 --enddatetime 2016-11-22T06:08:24 --enforcementcount 0 &gt;&gt;C:\Users\stu\Documents\GitHub\eaglep3-reporting\EC\2016-11-22-refined-times.txt</v>
      </c>
      <c r="AI21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{"issue":{"subject":"","project_id":79,"tracker_id":40,"status_id":1,"priority_id":2,"assigned_to_id":23,"start_date":"2016-11-22","description":"","custom_fields":[{"id":1,"name":"Subdivision","value":"EC"},{"id":4,"name":"Milepost","value":"0.0132"},{"id":17,"name":"Train ID","value":"108-22"},{"id":16,"name":"Locomotive ID","value":"4001"},{"id":130,"name":"Impact","value":""},{"id":150,"name":"Time of Event (Mountain Time)","value":"06:08:24"},{"id":151,"name":"Denver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453</v>
      </c>
      <c r="B22" s="7">
        <v>4027</v>
      </c>
      <c r="C22" s="22" t="s">
        <v>217</v>
      </c>
      <c r="D22" s="22" t="s">
        <v>655</v>
      </c>
      <c r="E22" s="13">
        <v>42696.207442129627</v>
      </c>
      <c r="F22" s="13">
        <v>42696.208136574074</v>
      </c>
      <c r="G22" s="7">
        <v>0</v>
      </c>
      <c r="H22" s="22" t="s">
        <v>365</v>
      </c>
      <c r="I22" s="13">
        <v>42696.230462962965</v>
      </c>
      <c r="J22" s="7">
        <v>0</v>
      </c>
      <c r="K22" s="109" t="str">
        <f t="shared" si="0"/>
        <v>4027/4028</v>
      </c>
      <c r="L22" s="22" t="str">
        <f>VLOOKUP(A22,'Trips&amp;Operators'!$C$1:$E$10000,3,FALSE)</f>
        <v>DAVIS</v>
      </c>
      <c r="M22" s="6">
        <f t="shared" si="1"/>
        <v>2.2326388891087845E-2</v>
      </c>
      <c r="N22" s="7"/>
      <c r="O22" s="7"/>
      <c r="P22" s="7">
        <f>24*60*SUM($M22:$M23)</f>
        <v>38.366666666697711</v>
      </c>
      <c r="Q22" s="23"/>
      <c r="R22" s="23" t="s">
        <v>807</v>
      </c>
      <c r="S22" s="35">
        <f>SUM(U22:U23)/IF(AG22="EC",12,1)</f>
        <v>0.75</v>
      </c>
      <c r="T22" s="50" t="str">
        <f t="shared" si="2"/>
        <v>NorthBound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9</v>
      </c>
      <c r="V2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03:58:43-700',mode:absolute,to:'2016-11-22 06:31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" s="52" t="str">
        <f t="shared" si="4"/>
        <v>Y</v>
      </c>
      <c r="X22" s="177">
        <f t="shared" si="5"/>
        <v>1</v>
      </c>
      <c r="Y22" s="67">
        <f t="shared" si="6"/>
        <v>3.7197</v>
      </c>
      <c r="Z22" s="67">
        <f t="shared" si="7"/>
        <v>23.3306</v>
      </c>
      <c r="AA22" s="67">
        <f t="shared" si="8"/>
        <v>19.610900000000001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9"/>
        <v>0109-22</v>
      </c>
      <c r="AE22" s="91" t="str">
        <f t="shared" si="10"/>
        <v>aws s3 cp s3://rtdc.mdm.uploadarchive.raw/RTDC4027/ "%USERPROFILE%\AppData\Local\Temp\OnboardLogs"\RTDC4027\2016-11-22 --exclude "*" --recursive --include "*20161122*" &amp; "%USERPROFILE%\Documents\GitHub\mrs-test-scripts\Headless Mode &amp; Sideloading\WalkAndUnGZ.bat" "%USERPROFILE%\AppData\Local\Temp\OnboardLogs"\RTDC4027\2016-11-22 &amp; aws s3 cp s3://rtdc.mdm.uploadarchive.raw/RTDC4027/ "%USERPROFILE%\AppData\Local\Temp\OnboardLogs"\RTDC4027\2016-11-23 --exclude "*" --recursive --include "*20161123*" &amp; "%USERPROFILE%\Documents\GitHub\mrs-test-scripts\Headless Mode &amp; Sideloading\WalkAndUnGZ.bat" "%USERPROFILE%\AppData\Local\Temp\OnboardLogs"\RTDC4027\2016-11-23</v>
      </c>
      <c r="AF22" s="88" t="str">
        <f t="shared" si="11"/>
        <v>"C:\Program Files (x86)\AstroGrep\AstroGrep.exe" /spath="%USERPROFILE%\AppData\Local\Temp\OnboardLogs" /stypes="app*4027*20161122*" /stext=" 12:.+((SYSTEM_STATE.+slice.+state.+changed )|(ment ac)|(system.+state.+changed )|(\[timeout)|(PRM\|1\|D)|(kpr)|(kdp)|(\|lc)|(penalty))" /e /r /s</v>
      </c>
      <c r="AG22" s="1" t="str">
        <f t="shared" si="12"/>
        <v>EC</v>
      </c>
      <c r="AH22" s="92" t="str">
        <f t="shared" si="15"/>
        <v>"%USERPROFILE%\Documents\GitHub\eaglep3\Utilities\RefineRTDCRunTimes.py" --tripid 109-22 --locoid 4027 --swversion DE.1.0.8.0 --startMP 204:37197 --initTime 2016-11-22T04:58:43 --startdatetime 2016-11-22T04:59:43 --delay 0 --endMP 204:233306 --enddatetime 2016-11-22T05:31:52 --enforcementcount 0 &gt;&gt;C:\Users\stu\Documents\GitHub\eaglep3-reporting\EC\2016-11-22-refined-times.txt</v>
      </c>
      <c r="AI22" s="119" t="str">
        <f t="shared" si="16"/>
        <v>echo {"issue":{"subject":"DUS 4N/22N STOP","project_id":79,"tracker_id":40,"status_id":1,"priority_id":2,"assigned_to_id":23,"start_date":"2016-11-22","description":"Run couldn’t leave DUS on Main 2, had to reinit at colorado","custom_fields":[{"id":1,"name":"Subdivision","value":"EC"},{"id":4,"name":"Milepost","value":"23.3306"},{"id":17,"name":"Train ID","value":"109-22"},{"id":16,"name":"Locomotive ID","value":"4027"},{"id":130,"name":"Impact","value":"Unexpected Cut-Out or Disengaged"},{"id":150,"name":"Time of Event (Mountain Time)","value":"05:31:52"},{"id":151,"name":"Denver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22" s="53" t="s">
        <v>808</v>
      </c>
      <c r="AK22" s="53" t="s">
        <v>131</v>
      </c>
      <c r="AL22" s="53" t="s">
        <v>130</v>
      </c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453</v>
      </c>
      <c r="B23" s="7">
        <v>4027</v>
      </c>
      <c r="C23" s="22" t="s">
        <v>217</v>
      </c>
      <c r="D23" s="22" t="s">
        <v>214</v>
      </c>
      <c r="E23" s="13">
        <v>42696.195462962962</v>
      </c>
      <c r="F23" s="13">
        <v>42696.196458333332</v>
      </c>
      <c r="G23" s="7">
        <v>1</v>
      </c>
      <c r="H23" s="22" t="s">
        <v>656</v>
      </c>
      <c r="I23" s="13">
        <v>42696.200775462959</v>
      </c>
      <c r="J23" s="7">
        <v>0</v>
      </c>
      <c r="K23" s="109" t="str">
        <f t="shared" si="0"/>
        <v>4027/4028</v>
      </c>
      <c r="L23" s="22" t="str">
        <f>VLOOKUP(A23,'Trips&amp;Operators'!$C$1:$E$10000,3,FALSE)</f>
        <v>DAVIS</v>
      </c>
      <c r="M23" s="6">
        <f t="shared" si="1"/>
        <v>4.3171296274522319E-3</v>
      </c>
      <c r="N23" s="7"/>
      <c r="O23" s="7"/>
      <c r="P23" s="7"/>
      <c r="Q23" s="23"/>
      <c r="R23" s="23"/>
      <c r="S23" s="35"/>
      <c r="T23" s="50" t="str">
        <f t="shared" si="2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0</v>
      </c>
      <c r="V2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03:41:28-700',mode:absolute,to:'2016-11-22 05:49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3" s="52" t="str">
        <f t="shared" si="4"/>
        <v>Y</v>
      </c>
      <c r="X23" s="177">
        <f t="shared" si="5"/>
        <v>0</v>
      </c>
      <c r="Y23" s="67">
        <f t="shared" si="6"/>
        <v>4.6199999999999998E-2</v>
      </c>
      <c r="Z23" s="67">
        <f t="shared" si="7"/>
        <v>8.6800000000000002E-2</v>
      </c>
      <c r="AA23" s="67">
        <f t="shared" si="8"/>
        <v>4.0600000000000004E-2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9"/>
        <v>0109-22</v>
      </c>
      <c r="AE23" s="91" t="str">
        <f t="shared" si="10"/>
        <v>aws s3 cp s3://rtdc.mdm.uploadarchive.raw/RTDC4027/ "%USERPROFILE%\AppData\Local\Temp\OnboardLogs"\RTDC4027\2016-11-22 --exclude "*" --recursive --include "*20161122*" &amp; "%USERPROFILE%\Documents\GitHub\mrs-test-scripts\Headless Mode &amp; Sideloading\WalkAndUnGZ.bat" "%USERPROFILE%\AppData\Local\Temp\OnboardLogs"\RTDC4027\2016-11-22 &amp; aws s3 cp s3://rtdc.mdm.uploadarchive.raw/RTDC4027/ "%USERPROFILE%\AppData\Local\Temp\OnboardLogs"\RTDC4027\2016-11-23 --exclude "*" --recursive --include "*20161123*" &amp; "%USERPROFILE%\Documents\GitHub\mrs-test-scripts\Headless Mode &amp; Sideloading\WalkAndUnGZ.bat" "%USERPROFILE%\AppData\Local\Temp\OnboardLogs"\RTDC4027\2016-11-23</v>
      </c>
      <c r="AF23" s="88" t="str">
        <f t="shared" si="11"/>
        <v>"C:\Program Files (x86)\AstroGrep\AstroGrep.exe" /spath="%USERPROFILE%\AppData\Local\Temp\OnboardLogs" /stypes="app*4027*20161122*" /stext=" 11:.+((SYSTEM_STATE.+slice.+state.+changed )|(ment ac)|(system.+state.+changed )|(\[timeout)|(PRM\|1\|D)|(kpr)|(kdp)|(\|lc)|(penalty))" /e /r /s</v>
      </c>
      <c r="AG23" s="1" t="str">
        <f t="shared" si="12"/>
        <v>EC</v>
      </c>
      <c r="AH23" s="92" t="str">
        <f t="shared" si="15"/>
        <v>"%USERPROFILE%\Documents\GitHub\eaglep3\Utilities\RefineRTDCRunTimes.py" --tripid 109-22 --locoid 4027 --swversion DE.1.0.8.0 --startMP 204:462 --initTime 2016-11-22T04:41:28 --startdatetime 2016-11-22T04:42:54 --delay 1 --endMP 204:868 --enddatetime 2016-11-22T04:49:07 --enforcementcount 0 &gt;&gt;C:\Users\stu\Documents\GitHub\eaglep3-reporting\EC\2016-11-22-refined-times.txt</v>
      </c>
      <c r="AI23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{"issue":{"subject":"","project_id":79,"tracker_id":40,"status_id":1,"priority_id":2,"assigned_to_id":23,"start_date":"2016-11-22","description":"","custom_fields":[{"id":1,"name":"Subdivision","value":"EC"},{"id":4,"name":"Milepost","value":"0.0868"},{"id":17,"name":"Train ID","value":"109-22"},{"id":16,"name":"Locomotive ID","value":"4027"},{"id":130,"name":"Impact","value":""},{"id":150,"name":"Time of Event (Mountain Time)","value":"04:49:07"},{"id":151,"name":"Denver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462</v>
      </c>
      <c r="B24" s="7">
        <v>4028</v>
      </c>
      <c r="C24" s="22" t="s">
        <v>217</v>
      </c>
      <c r="D24" s="22" t="s">
        <v>277</v>
      </c>
      <c r="E24" s="13">
        <v>42696.235196759262</v>
      </c>
      <c r="F24" s="13">
        <v>42696.236956018518</v>
      </c>
      <c r="G24" s="7">
        <v>1</v>
      </c>
      <c r="H24" s="22" t="s">
        <v>175</v>
      </c>
      <c r="I24" s="13">
        <v>42696.268495370372</v>
      </c>
      <c r="J24" s="7">
        <v>0</v>
      </c>
      <c r="K24" s="109" t="str">
        <f t="shared" si="0"/>
        <v>4027/4028</v>
      </c>
      <c r="L24" s="22" t="str">
        <f>VLOOKUP(A24,'Trips&amp;Operators'!$C$1:$E$10000,3,FALSE)</f>
        <v>DAVIS</v>
      </c>
      <c r="M24" s="6">
        <f t="shared" si="1"/>
        <v>3.1539351854007691E-2</v>
      </c>
      <c r="N24" s="7">
        <f t="shared" ref="N24:N34" si="17">24*60*SUM($M24:$M24)</f>
        <v>45.416666669771075</v>
      </c>
      <c r="O24" s="7"/>
      <c r="P24" s="7"/>
      <c r="Q24" s="23"/>
      <c r="R24" s="23"/>
      <c r="S24" s="35">
        <f t="shared" ref="S24:S34" si="18">SUM(U24:U24)/IF(AG24="EC",12,1)</f>
        <v>1</v>
      </c>
      <c r="T24" s="50" t="str">
        <f t="shared" si="2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04:38:41-700',mode:absolute,to:'2016-11-22 07:26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4" s="52" t="str">
        <f t="shared" si="4"/>
        <v>N</v>
      </c>
      <c r="X24" s="177">
        <f t="shared" si="5"/>
        <v>1</v>
      </c>
      <c r="Y24" s="67">
        <f t="shared" si="6"/>
        <v>23.299299999999999</v>
      </c>
      <c r="Z24" s="67">
        <f t="shared" si="7"/>
        <v>1.52E-2</v>
      </c>
      <c r="AA24" s="67">
        <f t="shared" si="8"/>
        <v>23.284099999999999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9"/>
        <v>0110-22</v>
      </c>
      <c r="AE24" s="91" t="str">
        <f t="shared" si="10"/>
        <v>aws s3 cp s3://rtdc.mdm.uploadarchive.raw/RTDC4028/ "%USERPROFILE%\AppData\Local\Temp\OnboardLogs"\RTDC4028\2016-11-22 --exclude "*" --recursive --include "*20161122*" &amp; "%USERPROFILE%\Documents\GitHub\mrs-test-scripts\Headless Mode &amp; Sideloading\WalkAndUnGZ.bat" "%USERPROFILE%\AppData\Local\Temp\OnboardLogs"\RTDC4028\2016-11-22 &amp; aws s3 cp s3://rtdc.mdm.uploadarchive.raw/RTDC4028/ "%USERPROFILE%\AppData\Local\Temp\OnboardLogs"\RTDC4028\2016-11-23 --exclude "*" --recursive --include "*20161123*" &amp; "%USERPROFILE%\Documents\GitHub\mrs-test-scripts\Headless Mode &amp; Sideloading\WalkAndUnGZ.bat" "%USERPROFILE%\AppData\Local\Temp\OnboardLogs"\RTDC4028\2016-11-23</v>
      </c>
      <c r="AF24" s="88" t="str">
        <f t="shared" si="11"/>
        <v>"C:\Program Files (x86)\AstroGrep\AstroGrep.exe" /spath="%USERPROFILE%\AppData\Local\Temp\OnboardLogs" /stypes="app*4028*20161122*" /stext=" 13:.+((SYSTEM_STATE.+slice.+state.+changed )|(ment ac)|(system.+state.+changed )|(\[timeout)|(PRM\|1\|D)|(kpr)|(kdp)|(\|lc)|(penalty))" /e /r /s</v>
      </c>
      <c r="AG24" s="1" t="str">
        <f t="shared" si="12"/>
        <v>EC</v>
      </c>
      <c r="AH24" s="92" t="str">
        <f t="shared" si="15"/>
        <v>"%USERPROFILE%\Documents\GitHub\eaglep3\Utilities\RefineRTDCRunTimes.py" --tripid 110-22 --locoid 4028 --swversion DE.1.0.8.0 --startMP 204:232993 --initTime 2016-11-22T05:38:41 --startdatetime 2016-11-22T05:41:13 --delay 1 --endMP 204:152 --enddatetime 2016-11-22T06:26:38 --enforcementcount 0 &gt;&gt;C:\Users\stu\Documents\GitHub\eaglep3-reporting\EC\2016-11-22-refined-times.txt</v>
      </c>
      <c r="AI24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{"issue":{"subject":"","project_id":79,"tracker_id":40,"status_id":1,"priority_id":2,"assigned_to_id":23,"start_date":"2016-11-22","description":"","custom_fields":[{"id":1,"name":"Subdivision","value":"EC"},{"id":4,"name":"Milepost","value":"0.0152"},{"id":17,"name":"Train ID","value":"110-22"},{"id":16,"name":"Locomotive ID","value":"4028"},{"id":130,"name":"Impact","value":""},{"id":150,"name":"Time of Event (Mountain Time)","value":"06:26:38"},{"id":151,"name":"Denver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454</v>
      </c>
      <c r="B25" s="7">
        <v>4011</v>
      </c>
      <c r="C25" s="22" t="s">
        <v>217</v>
      </c>
      <c r="D25" s="22" t="s">
        <v>657</v>
      </c>
      <c r="E25" s="13">
        <v>42696.204837962963</v>
      </c>
      <c r="F25" s="13">
        <v>42696.208518518521</v>
      </c>
      <c r="G25" s="7">
        <v>5</v>
      </c>
      <c r="H25" s="22" t="s">
        <v>658</v>
      </c>
      <c r="I25" s="13">
        <v>42696.234212962961</v>
      </c>
      <c r="J25" s="7">
        <v>0</v>
      </c>
      <c r="K25" s="109" t="str">
        <f t="shared" si="0"/>
        <v>4011/4012</v>
      </c>
      <c r="L25" s="22" t="str">
        <f>VLOOKUP(A25,'Trips&amp;Operators'!$C$1:$E$10000,3,FALSE)</f>
        <v>GEBRETEKLE</v>
      </c>
      <c r="M25" s="6">
        <f t="shared" si="1"/>
        <v>2.569444444088731E-2</v>
      </c>
      <c r="N25" s="7">
        <f t="shared" si="17"/>
        <v>36.999999994877726</v>
      </c>
      <c r="O25" s="7"/>
      <c r="P25" s="7"/>
      <c r="Q25" s="23"/>
      <c r="R25" s="23"/>
      <c r="S25" s="35">
        <f t="shared" si="18"/>
        <v>1</v>
      </c>
      <c r="T25" s="50" t="str">
        <f t="shared" si="2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03:54:58-700',mode:absolute,to:'2016-11-22 06:37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5" s="52" t="str">
        <f t="shared" si="4"/>
        <v>N</v>
      </c>
      <c r="X25" s="177">
        <f t="shared" si="5"/>
        <v>1</v>
      </c>
      <c r="Y25" s="67">
        <f t="shared" si="6"/>
        <v>7.6600000000000001E-2</v>
      </c>
      <c r="Z25" s="67">
        <f t="shared" si="7"/>
        <v>23.3307</v>
      </c>
      <c r="AA25" s="67">
        <f t="shared" si="8"/>
        <v>23.254100000000001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9"/>
        <v>0111-22</v>
      </c>
      <c r="AE25" s="91" t="str">
        <f t="shared" si="10"/>
        <v>aws s3 cp s3://rtdc.mdm.uploadarchive.raw/RTDC4011/ "%USERPROFILE%\AppData\Local\Temp\OnboardLogs"\RTDC4011\2016-11-22 --exclude "*" --recursive --include "*20161122*" &amp; "%USERPROFILE%\Documents\GitHub\mrs-test-scripts\Headless Mode &amp; Sideloading\WalkAndUnGZ.bat" "%USERPROFILE%\AppData\Local\Temp\OnboardLogs"\RTDC4011\2016-11-22 &amp; aws s3 cp s3://rtdc.mdm.uploadarchive.raw/RTDC4011/ "%USERPROFILE%\AppData\Local\Temp\OnboardLogs"\RTDC4011\2016-11-23 --exclude "*" --recursive --include "*20161123*" &amp; "%USERPROFILE%\Documents\GitHub\mrs-test-scripts\Headless Mode &amp; Sideloading\WalkAndUnGZ.bat" "%USERPROFILE%\AppData\Local\Temp\OnboardLogs"\RTDC4011\2016-11-23</v>
      </c>
      <c r="AF25" s="88" t="str">
        <f t="shared" si="11"/>
        <v>"C:\Program Files (x86)\AstroGrep\AstroGrep.exe" /spath="%USERPROFILE%\AppData\Local\Temp\OnboardLogs" /stypes="app*4011*20161122*" /stext=" 12:.+((SYSTEM_STATE.+slice.+state.+changed )|(ment ac)|(system.+state.+changed )|(\[timeout)|(PRM\|1\|D)|(kpr)|(kdp)|(\|lc)|(penalty))" /e /r /s</v>
      </c>
      <c r="AG25" s="1" t="str">
        <f t="shared" si="12"/>
        <v>EC</v>
      </c>
      <c r="AH25" s="92" t="str">
        <f t="shared" si="15"/>
        <v>"%USERPROFILE%\Documents\GitHub\eaglep3\Utilities\RefineRTDCRunTimes.py" --tripid 111-22 --locoid 4011 --swversion DE.1.0.8.0 --startMP 204:766 --initTime 2016-11-22T04:54:58 --startdatetime 2016-11-22T05:00:16 --delay 5 --endMP 204:233307 --enddatetime 2016-11-22T05:37:16 --enforcementcount 0 &gt;&gt;C:\Users\stu\Documents\GitHub\eaglep3-reporting\EC\2016-11-22-refined-times.txt</v>
      </c>
      <c r="AI25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{"issue":{"subject":"","project_id":79,"tracker_id":40,"status_id":1,"priority_id":2,"assigned_to_id":23,"start_date":"2016-11-22","description":"","custom_fields":[{"id":1,"name":"Subdivision","value":"EC"},{"id":4,"name":"Milepost","value":"23.3307"},{"id":17,"name":"Train ID","value":"111-22"},{"id":16,"name":"Locomotive ID","value":"4011"},{"id":130,"name":"Impact","value":""},{"id":150,"name":"Time of Event (Mountain Time)","value":"05:37:16"},{"id":151,"name":"Denver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464</v>
      </c>
      <c r="B26" s="7">
        <v>4012</v>
      </c>
      <c r="C26" s="22" t="s">
        <v>217</v>
      </c>
      <c r="D26" s="22" t="s">
        <v>374</v>
      </c>
      <c r="E26" s="13">
        <v>42696.241886574076</v>
      </c>
      <c r="F26" s="13">
        <v>42696.247430555559</v>
      </c>
      <c r="G26" s="7">
        <v>1</v>
      </c>
      <c r="H26" s="22" t="s">
        <v>221</v>
      </c>
      <c r="I26" s="13">
        <v>42696.276041666664</v>
      </c>
      <c r="J26" s="7">
        <v>0</v>
      </c>
      <c r="K26" s="109" t="str">
        <f t="shared" si="0"/>
        <v>4011/4012</v>
      </c>
      <c r="L26" s="22" t="str">
        <f>VLOOKUP(A26,'Trips&amp;Operators'!$C$1:$E$10000,3,FALSE)</f>
        <v>GEBRETEKLE</v>
      </c>
      <c r="M26" s="6">
        <f t="shared" si="1"/>
        <v>2.8611111105419695E-2</v>
      </c>
      <c r="N26" s="7">
        <f t="shared" si="17"/>
        <v>41.199999991804361</v>
      </c>
      <c r="O26" s="7"/>
      <c r="P26" s="7"/>
      <c r="Q26" s="23"/>
      <c r="R26" s="23"/>
      <c r="S26" s="35">
        <f t="shared" si="18"/>
        <v>1</v>
      </c>
      <c r="T26" s="50" t="str">
        <f t="shared" si="2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04:48:19-700',mode:absolute,to:'2016-11-22 07:37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6" s="52" t="str">
        <f t="shared" si="4"/>
        <v>N</v>
      </c>
      <c r="X26" s="177">
        <f t="shared" si="5"/>
        <v>1</v>
      </c>
      <c r="Y26" s="67">
        <f t="shared" si="6"/>
        <v>23.297799999999999</v>
      </c>
      <c r="Z26" s="67">
        <f t="shared" si="7"/>
        <v>1.5800000000000002E-2</v>
      </c>
      <c r="AA26" s="67">
        <f t="shared" si="8"/>
        <v>23.282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9"/>
        <v>0112-22</v>
      </c>
      <c r="AE26" s="91" t="str">
        <f t="shared" si="10"/>
        <v>aws s3 cp s3://rtdc.mdm.uploadarchive.raw/RTDC4012/ "%USERPROFILE%\AppData\Local\Temp\OnboardLogs"\RTDC4012\2016-11-22 --exclude "*" --recursive --include "*20161122*" &amp; "%USERPROFILE%\Documents\GitHub\mrs-test-scripts\Headless Mode &amp; Sideloading\WalkAndUnGZ.bat" "%USERPROFILE%\AppData\Local\Temp\OnboardLogs"\RTDC4012\2016-11-22 &amp; aws s3 cp s3://rtdc.mdm.uploadarchive.raw/RTDC4012/ "%USERPROFILE%\AppData\Local\Temp\OnboardLogs"\RTDC4012\2016-11-23 --exclude "*" --recursive --include "*20161123*" &amp; "%USERPROFILE%\Documents\GitHub\mrs-test-scripts\Headless Mode &amp; Sideloading\WalkAndUnGZ.bat" "%USERPROFILE%\AppData\Local\Temp\OnboardLogs"\RTDC4012\2016-11-23</v>
      </c>
      <c r="AF26" s="88" t="str">
        <f t="shared" si="11"/>
        <v>"C:\Program Files (x86)\AstroGrep\AstroGrep.exe" /spath="%USERPROFILE%\AppData\Local\Temp\OnboardLogs" /stypes="app*4012*20161122*" /stext=" 13:.+((SYSTEM_STATE.+slice.+state.+changed )|(ment ac)|(system.+state.+changed )|(\[timeout)|(PRM\|1\|D)|(kpr)|(kdp)|(\|lc)|(penalty))" /e /r /s</v>
      </c>
      <c r="AG26" s="1" t="str">
        <f t="shared" si="12"/>
        <v>EC</v>
      </c>
      <c r="AH26" s="92" t="str">
        <f t="shared" si="15"/>
        <v>"%USERPROFILE%\Documents\GitHub\eaglep3\Utilities\RefineRTDCRunTimes.py" --tripid 112-22 --locoid 4012 --swversion DE.1.0.8.0 --startMP 204:232978 --initTime 2016-11-22T05:48:19 --startdatetime 2016-11-22T05:56:18 --delay 1 --endMP 204:158 --enddatetime 2016-11-22T06:37:30 --enforcementcount 0 &gt;&gt;C:\Users\stu\Documents\GitHub\eaglep3-reporting\EC\2016-11-22-refined-times.txt</v>
      </c>
      <c r="AI26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{"issue":{"subject":"","project_id":79,"tracker_id":40,"status_id":1,"priority_id":2,"assigned_to_id":23,"start_date":"2016-11-22","description":"","custom_fields":[{"id":1,"name":"Subdivision","value":"EC"},{"id":4,"name":"Milepost","value":"0.0158"},{"id":17,"name":"Train ID","value":"112-22"},{"id":16,"name":"Locomotive ID","value":"4012"},{"id":130,"name":"Impact","value":""},{"id":150,"name":"Time of Event (Mountain Time)","value":"06:37:30"},{"id":151,"name":"Denver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458</v>
      </c>
      <c r="B27" s="7">
        <v>4022</v>
      </c>
      <c r="C27" s="22" t="s">
        <v>217</v>
      </c>
      <c r="D27" s="22" t="s">
        <v>199</v>
      </c>
      <c r="E27" s="13">
        <v>42696.211956018517</v>
      </c>
      <c r="F27" s="13">
        <v>42696.219039351854</v>
      </c>
      <c r="G27" s="7">
        <v>1</v>
      </c>
      <c r="H27" s="22" t="s">
        <v>365</v>
      </c>
      <c r="I27" s="13">
        <v>42696.246365740742</v>
      </c>
      <c r="J27" s="7">
        <v>0</v>
      </c>
      <c r="K27" s="109" t="str">
        <f t="shared" si="0"/>
        <v>4021/4022</v>
      </c>
      <c r="L27" s="22" t="str">
        <f>VLOOKUP(A27,'Trips&amp;Operators'!$C$1:$E$10000,3,FALSE)</f>
        <v>KILLION</v>
      </c>
      <c r="M27" s="6">
        <f t="shared" si="1"/>
        <v>2.73263888884685E-2</v>
      </c>
      <c r="N27" s="7">
        <f t="shared" si="17"/>
        <v>39.34999999939464</v>
      </c>
      <c r="O27" s="7"/>
      <c r="P27" s="7"/>
      <c r="Q27" s="23"/>
      <c r="R27" s="23"/>
      <c r="S27" s="35">
        <f t="shared" si="18"/>
        <v>1</v>
      </c>
      <c r="T27" s="50" t="str">
        <f t="shared" si="2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04:05:13-700',mode:absolute,to:'2016-11-22 06:54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7" s="52" t="str">
        <f t="shared" si="4"/>
        <v>N</v>
      </c>
      <c r="X27" s="177">
        <f t="shared" si="5"/>
        <v>1</v>
      </c>
      <c r="Y27" s="67">
        <f t="shared" si="6"/>
        <v>4.53E-2</v>
      </c>
      <c r="Z27" s="67">
        <f t="shared" si="7"/>
        <v>23.3306</v>
      </c>
      <c r="AA27" s="67">
        <f t="shared" si="8"/>
        <v>23.285299999999999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 t="shared" si="9"/>
        <v>0113-22</v>
      </c>
      <c r="AE27" s="91" t="str">
        <f t="shared" si="10"/>
        <v>aws s3 cp s3://rtdc.mdm.uploadarchive.raw/RTDC4022/ "%USERPROFILE%\AppData\Local\Temp\OnboardLogs"\RTDC4022\2016-11-22 --exclude "*" --recursive --include "*20161122*" &amp; "%USERPROFILE%\Documents\GitHub\mrs-test-scripts\Headless Mode &amp; Sideloading\WalkAndUnGZ.bat" "%USERPROFILE%\AppData\Local\Temp\OnboardLogs"\RTDC4022\2016-11-22 &amp; aws s3 cp s3://rtdc.mdm.uploadarchive.raw/RTDC4022/ "%USERPROFILE%\AppData\Local\Temp\OnboardLogs"\RTDC4022\2016-11-23 --exclude "*" --recursive --include "*20161123*" &amp; "%USERPROFILE%\Documents\GitHub\mrs-test-scripts\Headless Mode &amp; Sideloading\WalkAndUnGZ.bat" "%USERPROFILE%\AppData\Local\Temp\OnboardLogs"\RTDC4022\2016-11-23</v>
      </c>
      <c r="AF27" s="88" t="str">
        <f t="shared" si="11"/>
        <v>"C:\Program Files (x86)\AstroGrep\AstroGrep.exe" /spath="%USERPROFILE%\AppData\Local\Temp\OnboardLogs" /stypes="app*4022*20161122*" /stext=" 12:.+((SYSTEM_STATE.+slice.+state.+changed )|(ment ac)|(system.+state.+changed )|(\[timeout)|(PRM\|1\|D)|(kpr)|(kdp)|(\|lc)|(penalty))" /e /r /s</v>
      </c>
      <c r="AG27" s="1" t="str">
        <f t="shared" si="12"/>
        <v>EC</v>
      </c>
      <c r="AH27" s="92" t="str">
        <f t="shared" si="15"/>
        <v>"%USERPROFILE%\Documents\GitHub\eaglep3\Utilities\RefineRTDCRunTimes.py" --tripid 113-22 --locoid 4022 --swversion DE.1.0.8.0 --startMP 204:453 --initTime 2016-11-22T05:05:13 --startdatetime 2016-11-22T05:15:25 --delay 1 --endMP 204:233306 --enddatetime 2016-11-22T05:54:46 --enforcementcount 0 &gt;&gt;C:\Users\stu\Documents\GitHub\eaglep3-reporting\EC\2016-11-22-refined-times.txt</v>
      </c>
      <c r="AI27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{"issue":{"subject":"","project_id":79,"tracker_id":40,"status_id":1,"priority_id":2,"assigned_to_id":23,"start_date":"2016-11-22","description":"","custom_fields":[{"id":1,"name":"Subdivision","value":"EC"},{"id":4,"name":"Milepost","value":"23.3306"},{"id":17,"name":"Train ID","value":"113-22"},{"id":16,"name":"Locomotive ID","value":"4022"},{"id":130,"name":"Impact","value":""},{"id":150,"name":"Time of Event (Mountain Time)","value":"05:54:46"},{"id":151,"name":"Denver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419</v>
      </c>
      <c r="B28" s="7">
        <v>4021</v>
      </c>
      <c r="C28" s="22" t="s">
        <v>217</v>
      </c>
      <c r="D28" s="22" t="s">
        <v>342</v>
      </c>
      <c r="E28" s="13">
        <v>42696.254756944443</v>
      </c>
      <c r="F28" s="13">
        <v>42696.2578587963</v>
      </c>
      <c r="G28" s="7">
        <v>1</v>
      </c>
      <c r="H28" s="22" t="s">
        <v>269</v>
      </c>
      <c r="I28" s="13">
        <v>42696.289525462962</v>
      </c>
      <c r="J28" s="7">
        <v>1</v>
      </c>
      <c r="K28" s="109" t="str">
        <f t="shared" si="0"/>
        <v>4021/4022</v>
      </c>
      <c r="L28" s="22" t="str">
        <f>VLOOKUP(A28,'Trips&amp;Operators'!$C$1:$E$10000,3,FALSE)</f>
        <v>KILLION</v>
      </c>
      <c r="M28" s="6">
        <f t="shared" si="1"/>
        <v>3.1666666662204079E-2</v>
      </c>
      <c r="N28" s="7">
        <f t="shared" si="17"/>
        <v>45.599999993573874</v>
      </c>
      <c r="O28" s="7"/>
      <c r="P28" s="7"/>
      <c r="Q28" s="23"/>
      <c r="R28" s="23"/>
      <c r="S28" s="35">
        <f t="shared" si="18"/>
        <v>1</v>
      </c>
      <c r="T28" s="50" t="str">
        <f t="shared" si="2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05:06:51-700',mode:absolute,to:'2016-11-22 07:56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8" s="52" t="str">
        <f t="shared" si="4"/>
        <v>N</v>
      </c>
      <c r="X28" s="177">
        <f t="shared" si="5"/>
        <v>1</v>
      </c>
      <c r="Y28" s="67">
        <f t="shared" si="6"/>
        <v>23.2974</v>
      </c>
      <c r="Z28" s="67">
        <f t="shared" si="7"/>
        <v>1.4500000000000001E-2</v>
      </c>
      <c r="AA28" s="67">
        <f t="shared" si="8"/>
        <v>23.282899999999998</v>
      </c>
      <c r="AB28" s="64" t="str">
        <f>VLOOKUP(A28,Enforcements!$C$7:$K$20,8,0)</f>
        <v>Bulletin (2)</v>
      </c>
      <c r="AC28" s="60" t="str">
        <f>VLOOKUP(A28,Enforcements!$C$7:$E$20,3,0)</f>
        <v>TEMPORARY SPEED RESTRICTION</v>
      </c>
      <c r="AD28" s="61" t="str">
        <f t="shared" si="9"/>
        <v>0114-22</v>
      </c>
      <c r="AE28" s="91" t="str">
        <f t="shared" si="10"/>
        <v>aws s3 cp s3://rtdc.mdm.uploadarchive.raw/RTDC4021/ "%USERPROFILE%\AppData\Local\Temp\OnboardLogs"\RTDC4021\2016-11-22 --exclude "*" --recursive --include "*20161122*" &amp; "%USERPROFILE%\Documents\GitHub\mrs-test-scripts\Headless Mode &amp; Sideloading\WalkAndUnGZ.bat" "%USERPROFILE%\AppData\Local\Temp\OnboardLogs"\RTDC4021\2016-11-22 &amp; aws s3 cp s3://rtdc.mdm.uploadarchive.raw/RTDC4021/ "%USERPROFILE%\AppData\Local\Temp\OnboardLogs"\RTDC4021\2016-11-23 --exclude "*" --recursive --include "*20161123*" &amp; "%USERPROFILE%\Documents\GitHub\mrs-test-scripts\Headless Mode &amp; Sideloading\WalkAndUnGZ.bat" "%USERPROFILE%\AppData\Local\Temp\OnboardLogs"\RTDC4021\2016-11-23</v>
      </c>
      <c r="AF28" s="88" t="str">
        <f t="shared" si="11"/>
        <v>"C:\Program Files (x86)\AstroGrep\AstroGrep.exe" /spath="%USERPROFILE%\AppData\Local\Temp\OnboardLogs" /stypes="app*4021*20161122*" /stext=" 13:.+((SYSTEM_STATE.+slice.+state.+changed )|(ment ac)|(system.+state.+changed )|(\[timeout)|(PRM\|1\|D)|(kpr)|(kdp)|(\|lc)|(penalty))" /e /r /s</v>
      </c>
      <c r="AG28" s="1" t="str">
        <f t="shared" si="12"/>
        <v>EC</v>
      </c>
      <c r="AH28" s="92" t="str">
        <f t="shared" si="15"/>
        <v>"%USERPROFILE%\Documents\GitHub\eaglep3\Utilities\RefineRTDCRunTimes.py" --tripid 114-22 --locoid 4021 --swversion DE.1.0.8.0 --startMP 204:232974 --initTime 2016-11-22T06:06:51 --startdatetime 2016-11-22T06:11:19 --delay 1 --endMP 204:145 --enddatetime 2016-11-22T06:56:55 --enforcementcount 1 &gt;&gt;C:\Users\stu\Documents\GitHub\eaglep3-reporting\EC\2016-11-22-refined-times.txt</v>
      </c>
      <c r="AI28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{"issue":{"subject":"","project_id":79,"tracker_id":40,"status_id":1,"priority_id":2,"assigned_to_id":23,"start_date":"2016-11-22","description":"","custom_fields":[{"id":1,"name":"Subdivision","value":"EC"},{"id":4,"name":"Milepost","value":"0.0145"},{"id":17,"name":"Train ID","value":"114-22"},{"id":16,"name":"Locomotive ID","value":"4021"},{"id":130,"name":"Impact","value":""},{"id":150,"name":"Time of Event (Mountain Time)","value":"06:56:55"},{"id":151,"name":"Denver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459</v>
      </c>
      <c r="B29" s="7">
        <v>4031</v>
      </c>
      <c r="C29" s="22" t="s">
        <v>217</v>
      </c>
      <c r="D29" s="22" t="s">
        <v>289</v>
      </c>
      <c r="E29" s="13">
        <v>42696.222175925926</v>
      </c>
      <c r="F29" s="13">
        <v>42696.229594907411</v>
      </c>
      <c r="G29" s="7">
        <v>1</v>
      </c>
      <c r="H29" s="22" t="s">
        <v>366</v>
      </c>
      <c r="I29" s="13">
        <v>42696.255740740744</v>
      </c>
      <c r="J29" s="7">
        <v>0</v>
      </c>
      <c r="K29" s="109" t="str">
        <f t="shared" si="0"/>
        <v>4031/4032</v>
      </c>
      <c r="L29" s="22" t="str">
        <f>VLOOKUP(A29,'Trips&amp;Operators'!$C$1:$E$10000,3,FALSE)</f>
        <v>JOHNSON</v>
      </c>
      <c r="M29" s="6">
        <f t="shared" si="1"/>
        <v>2.6145833333430346E-2</v>
      </c>
      <c r="N29" s="7">
        <f t="shared" si="17"/>
        <v>37.650000000139698</v>
      </c>
      <c r="O29" s="7"/>
      <c r="P29" s="7"/>
      <c r="Q29" s="23"/>
      <c r="R29" s="23"/>
      <c r="S29" s="35">
        <f t="shared" si="18"/>
        <v>1</v>
      </c>
      <c r="T29" s="50" t="str">
        <f t="shared" si="2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04:19:56-700',mode:absolute,to:'2016-11-22 07:08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9" s="52" t="str">
        <f t="shared" si="4"/>
        <v>N</v>
      </c>
      <c r="X29" s="177">
        <f t="shared" si="5"/>
        <v>1</v>
      </c>
      <c r="Y29" s="67">
        <f t="shared" si="6"/>
        <v>4.4600000000000001E-2</v>
      </c>
      <c r="Z29" s="67">
        <f t="shared" si="7"/>
        <v>23.328600000000002</v>
      </c>
      <c r="AA29" s="67">
        <f t="shared" si="8"/>
        <v>23.284000000000002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9"/>
        <v>0115-22</v>
      </c>
      <c r="AE29" s="91" t="str">
        <f t="shared" si="10"/>
        <v>aws s3 cp s3://rtdc.mdm.uploadarchive.raw/RTDC4031/ "%USERPROFILE%\AppData\Local\Temp\OnboardLogs"\RTDC4031\2016-11-22 --exclude "*" --recursive --include "*20161122*" &amp; "%USERPROFILE%\Documents\GitHub\mrs-test-scripts\Headless Mode &amp; Sideloading\WalkAndUnGZ.bat" "%USERPROFILE%\AppData\Local\Temp\OnboardLogs"\RTDC4031\2016-11-22 &amp; aws s3 cp s3://rtdc.mdm.uploadarchive.raw/RTDC4031/ "%USERPROFILE%\AppData\Local\Temp\OnboardLogs"\RTDC4031\2016-11-23 --exclude "*" --recursive --include "*20161123*" &amp; "%USERPROFILE%\Documents\GitHub\mrs-test-scripts\Headless Mode &amp; Sideloading\WalkAndUnGZ.bat" "%USERPROFILE%\AppData\Local\Temp\OnboardLogs"\RTDC4031\2016-11-23</v>
      </c>
      <c r="AF29" s="88" t="str">
        <f t="shared" si="11"/>
        <v>"C:\Program Files (x86)\AstroGrep\AstroGrep.exe" /spath="%USERPROFILE%\AppData\Local\Temp\OnboardLogs" /stypes="app*4031*20161122*" /stext=" 13:.+((SYSTEM_STATE.+slice.+state.+changed )|(ment ac)|(system.+state.+changed )|(\[timeout)|(PRM\|1\|D)|(kpr)|(kdp)|(\|lc)|(penalty))" /e /r /s</v>
      </c>
      <c r="AG29" s="1" t="str">
        <f t="shared" si="12"/>
        <v>EC</v>
      </c>
      <c r="AH29" s="92" t="str">
        <f t="shared" si="15"/>
        <v>"%USERPROFILE%\Documents\GitHub\eaglep3\Utilities\RefineRTDCRunTimes.py" --tripid 115-22 --locoid 4031 --swversion DE.1.0.8.0 --startMP 204:446 --initTime 2016-11-22T05:19:56 --startdatetime 2016-11-22T05:30:37 --delay 1 --endMP 204:233286 --enddatetime 2016-11-22T06:08:16 --enforcementcount 0 &gt;&gt;C:\Users\stu\Documents\GitHub\eaglep3-reporting\EC\2016-11-22-refined-times.txt</v>
      </c>
      <c r="AI29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{"issue":{"subject":"","project_id":79,"tracker_id":40,"status_id":1,"priority_id":2,"assigned_to_id":23,"start_date":"2016-11-22","description":"","custom_fields":[{"id":1,"name":"Subdivision","value":"EC"},{"id":4,"name":"Milepost","value":"23.3286"},{"id":17,"name":"Train ID","value":"115-22"},{"id":16,"name":"Locomotive ID","value":"4031"},{"id":130,"name":"Impact","value":""},{"id":150,"name":"Time of Event (Mountain Time)","value":"06:08:16"},{"id":151,"name":"Denver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469</v>
      </c>
      <c r="B30" s="7">
        <v>4032</v>
      </c>
      <c r="C30" s="22" t="s">
        <v>217</v>
      </c>
      <c r="D30" s="22" t="s">
        <v>659</v>
      </c>
      <c r="E30" s="13">
        <v>42696.267164351855</v>
      </c>
      <c r="F30" s="13">
        <v>42696.268773148149</v>
      </c>
      <c r="G30" s="7">
        <v>1</v>
      </c>
      <c r="H30" s="22" t="s">
        <v>269</v>
      </c>
      <c r="I30" s="13">
        <v>42696.298437500001</v>
      </c>
      <c r="J30" s="7">
        <v>0</v>
      </c>
      <c r="K30" s="109" t="str">
        <f t="shared" si="0"/>
        <v>4031/4032</v>
      </c>
      <c r="L30" s="22" t="str">
        <f>VLOOKUP(A30,'Trips&amp;Operators'!$C$1:$E$10000,3,FALSE)</f>
        <v>JOHNSON</v>
      </c>
      <c r="M30" s="6">
        <f t="shared" si="1"/>
        <v>2.9664351852261461E-2</v>
      </c>
      <c r="N30" s="7">
        <f t="shared" si="17"/>
        <v>42.716666667256504</v>
      </c>
      <c r="O30" s="7"/>
      <c r="P30" s="7"/>
      <c r="Q30" s="23"/>
      <c r="R30" s="23"/>
      <c r="S30" s="35">
        <f t="shared" si="18"/>
        <v>1</v>
      </c>
      <c r="T30" s="50" t="str">
        <f t="shared" si="2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05:24:43-700',mode:absolute,to:'2016-11-22 08:09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0" s="52" t="str">
        <f t="shared" si="4"/>
        <v>N</v>
      </c>
      <c r="X30" s="177">
        <f t="shared" si="5"/>
        <v>1</v>
      </c>
      <c r="Y30" s="67">
        <f t="shared" si="6"/>
        <v>23.2957</v>
      </c>
      <c r="Z30" s="67">
        <f t="shared" si="7"/>
        <v>1.4500000000000001E-2</v>
      </c>
      <c r="AA30" s="67">
        <f t="shared" si="8"/>
        <v>23.281199999999998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 t="shared" si="9"/>
        <v>0116-22</v>
      </c>
      <c r="AE30" s="91" t="str">
        <f t="shared" si="10"/>
        <v>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 &amp; aws s3 cp s3://rtdc.mdm.uploadarchive.raw/RTDC4032/ "%USERPROFILE%\AppData\Local\Temp\OnboardLogs"\RTDC4032\2016-11-23 --exclude "*" --recursive --include "*20161123*" &amp; "%USERPROFILE%\Documents\GitHub\mrs-test-scripts\Headless Mode &amp; Sideloading\WalkAndUnGZ.bat" "%USERPROFILE%\AppData\Local\Temp\OnboardLogs"\RTDC4032\2016-11-23</v>
      </c>
      <c r="AF30" s="88" t="str">
        <f t="shared" si="11"/>
        <v>"C:\Program Files (x86)\AstroGrep\AstroGrep.exe" /spath="%USERPROFILE%\AppData\Local\Temp\OnboardLogs" /stypes="app*4032*20161122*" /stext=" 14:.+((SYSTEM_STATE.+slice.+state.+changed )|(ment ac)|(system.+state.+changed )|(\[timeout)|(PRM\|1\|D)|(kpr)|(kdp)|(\|lc)|(penalty))" /e /r /s</v>
      </c>
      <c r="AG30" s="1" t="str">
        <f t="shared" si="12"/>
        <v>EC</v>
      </c>
      <c r="AH30" s="92" t="str">
        <f t="shared" si="15"/>
        <v>"%USERPROFILE%\Documents\GitHub\eaglep3\Utilities\RefineRTDCRunTimes.py" --tripid 116-22 --locoid 4032 --swversion DE.1.0.8.0 --startMP 204:232957 --initTime 2016-11-22T06:24:43 --startdatetime 2016-11-22T06:27:02 --delay 1 --endMP 204:145 --enddatetime 2016-11-22T07:09:45 --enforcementcount 0 &gt;&gt;C:\Users\stu\Documents\GitHub\eaglep3-reporting\EC\2016-11-22-refined-times.txt</v>
      </c>
      <c r="AI30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{"issue":{"subject":"","project_id":79,"tracker_id":40,"status_id":1,"priority_id":2,"assigned_to_id":23,"start_date":"2016-11-22","description":"","custom_fields":[{"id":1,"name":"Subdivision","value":"EC"},{"id":4,"name":"Milepost","value":"0.0145"},{"id":17,"name":"Train ID","value":"116-22"},{"id":16,"name":"Locomotive ID","value":"4032"},{"id":130,"name":"Impact","value":""},{"id":150,"name":"Time of Event (Mountain Time)","value":"07:09:45"},{"id":151,"name":"Denver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461</v>
      </c>
      <c r="B31" s="7">
        <v>4046</v>
      </c>
      <c r="C31" s="22" t="s">
        <v>217</v>
      </c>
      <c r="D31" s="22" t="s">
        <v>216</v>
      </c>
      <c r="E31" s="13">
        <v>42696.233657407407</v>
      </c>
      <c r="F31" s="13">
        <v>42696.239791666667</v>
      </c>
      <c r="G31" s="7">
        <v>2</v>
      </c>
      <c r="H31" s="22" t="s">
        <v>365</v>
      </c>
      <c r="I31" s="13">
        <v>42696.268703703703</v>
      </c>
      <c r="J31" s="7">
        <v>0</v>
      </c>
      <c r="K31" s="109" t="str">
        <f t="shared" si="0"/>
        <v>4045/4046</v>
      </c>
      <c r="L31" s="22" t="str">
        <f>VLOOKUP(A31,'Trips&amp;Operators'!$C$1:$E$10000,3,FALSE)</f>
        <v>MCREYNOLDS</v>
      </c>
      <c r="M31" s="6">
        <f t="shared" si="1"/>
        <v>2.8912037036207039E-2</v>
      </c>
      <c r="N31" s="7">
        <f t="shared" si="17"/>
        <v>41.633333332138136</v>
      </c>
      <c r="O31" s="7"/>
      <c r="P31" s="7"/>
      <c r="Q31" s="23"/>
      <c r="R31" s="23"/>
      <c r="S31" s="35">
        <f t="shared" si="18"/>
        <v>1</v>
      </c>
      <c r="T31" s="50" t="str">
        <f t="shared" si="2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04:36:28-700',mode:absolute,to:'2016-11-22 07:26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1" s="52" t="str">
        <f t="shared" si="4"/>
        <v>N</v>
      </c>
      <c r="X31" s="177">
        <f t="shared" si="5"/>
        <v>1</v>
      </c>
      <c r="Y31" s="67">
        <f t="shared" si="6"/>
        <v>4.6399999999999997E-2</v>
      </c>
      <c r="Z31" s="67">
        <f t="shared" si="7"/>
        <v>23.3306</v>
      </c>
      <c r="AA31" s="67">
        <f t="shared" si="8"/>
        <v>23.284200000000002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9"/>
        <v>0117-22</v>
      </c>
      <c r="AE31" s="91" t="str">
        <f t="shared" si="10"/>
        <v>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 &amp; 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</v>
      </c>
      <c r="AF31" s="88" t="str">
        <f t="shared" si="11"/>
        <v>"C:\Program Files (x86)\AstroGrep\AstroGrep.exe" /spath="%USERPROFILE%\AppData\Local\Temp\OnboardLogs" /stypes="app*4046*20161122*" /stext=" 13:.+((SYSTEM_STATE.+slice.+state.+changed )|(ment ac)|(system.+state.+changed )|(\[timeout)|(PRM\|1\|D)|(kpr)|(kdp)|(\|lc)|(penalty))" /e /r /s</v>
      </c>
      <c r="AG31" s="1" t="str">
        <f t="shared" si="12"/>
        <v>EC</v>
      </c>
      <c r="AH31" s="92" t="str">
        <f t="shared" si="15"/>
        <v>"%USERPROFILE%\Documents\GitHub\eaglep3\Utilities\RefineRTDCRunTimes.py" --tripid 117-22 --locoid 4046 --swversion DE.1.0.8.0 --startMP 204:464 --initTime 2016-11-22T05:36:28 --startdatetime 2016-11-22T05:45:18 --delay 2 --endMP 204:233306 --enddatetime 2016-11-22T06:26:56 --enforcementcount 0 &gt;&gt;C:\Users\stu\Documents\GitHub\eaglep3-reporting\EC\2016-11-22-refined-times.txt</v>
      </c>
      <c r="AI31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{"issue":{"subject":"","project_id":79,"tracker_id":40,"status_id":1,"priority_id":2,"assigned_to_id":23,"start_date":"2016-11-22","description":"","custom_fields":[{"id":1,"name":"Subdivision","value":"EC"},{"id":4,"name":"Milepost","value":"23.3306"},{"id":17,"name":"Train ID","value":"117-22"},{"id":16,"name":"Locomotive ID","value":"4046"},{"id":130,"name":"Impact","value":""},{"id":150,"name":"Time of Event (Mountain Time)","value":"06:26:56"},{"id":151,"name":"Denver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470</v>
      </c>
      <c r="B32" s="7">
        <v>4045</v>
      </c>
      <c r="C32" s="22" t="s">
        <v>217</v>
      </c>
      <c r="D32" s="22" t="s">
        <v>660</v>
      </c>
      <c r="E32" s="13">
        <v>42696.275648148148</v>
      </c>
      <c r="F32" s="13">
        <v>42696.278865740744</v>
      </c>
      <c r="G32" s="7">
        <v>1</v>
      </c>
      <c r="H32" s="22" t="s">
        <v>269</v>
      </c>
      <c r="I32" s="13">
        <v>42696.308206018519</v>
      </c>
      <c r="J32" s="7">
        <v>0</v>
      </c>
      <c r="K32" s="109" t="str">
        <f t="shared" si="0"/>
        <v>4045/4046</v>
      </c>
      <c r="L32" s="22" t="str">
        <f>VLOOKUP(A32,'Trips&amp;Operators'!$C$1:$E$10000,3,FALSE)</f>
        <v>MCREYNOLDS</v>
      </c>
      <c r="M32" s="6">
        <f t="shared" si="1"/>
        <v>2.9340277775190771E-2</v>
      </c>
      <c r="N32" s="7">
        <f t="shared" si="17"/>
        <v>42.24999999627471</v>
      </c>
      <c r="O32" s="7"/>
      <c r="P32" s="7"/>
      <c r="Q32" s="23"/>
      <c r="R32" s="23"/>
      <c r="S32" s="35">
        <f t="shared" si="18"/>
        <v>1</v>
      </c>
      <c r="T32" s="50" t="str">
        <f t="shared" si="2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05:36:56-700',mode:absolute,to:'2016-11-22 08:23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2" s="52" t="str">
        <f t="shared" si="4"/>
        <v>N</v>
      </c>
      <c r="X32" s="177">
        <f t="shared" si="5"/>
        <v>1</v>
      </c>
      <c r="Y32" s="67">
        <f t="shared" si="6"/>
        <v>23.3</v>
      </c>
      <c r="Z32" s="67">
        <f t="shared" si="7"/>
        <v>1.4500000000000001E-2</v>
      </c>
      <c r="AA32" s="67">
        <f t="shared" si="8"/>
        <v>23.285499999999999</v>
      </c>
      <c r="AB32" s="64" t="e">
        <f>VLOOKUP(A32,Enforcements!$C$7:$K$20,8,0)</f>
        <v>#N/A</v>
      </c>
      <c r="AC32" s="60" t="e">
        <f>VLOOKUP(A32,Enforcements!$C$7:$E$20,3,0)</f>
        <v>#N/A</v>
      </c>
      <c r="AD32" s="61" t="str">
        <f t="shared" si="9"/>
        <v>0118-22</v>
      </c>
      <c r="AE32" s="91" t="str">
        <f t="shared" si="10"/>
        <v>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 &amp; aws s3 cp s3://rtdc.mdm.uploadarchive.raw/RTDC4045/ "%USERPROFILE%\AppData\Local\Temp\OnboardLogs"\RTDC4045\2016-11-23 --exclude "*" --recursive --include "*20161123*" &amp; "%USERPROFILE%\Documents\GitHub\mrs-test-scripts\Headless Mode &amp; Sideloading\WalkAndUnGZ.bat" "%USERPROFILE%\AppData\Local\Temp\OnboardLogs"\RTDC4045\2016-11-23</v>
      </c>
      <c r="AF32" s="88" t="str">
        <f t="shared" si="11"/>
        <v>"C:\Program Files (x86)\AstroGrep\AstroGrep.exe" /spath="%USERPROFILE%\AppData\Local\Temp\OnboardLogs" /stypes="app*4045*20161122*" /stext=" 14:.+((SYSTEM_STATE.+slice.+state.+changed )|(ment ac)|(system.+state.+changed )|(\[timeout)|(PRM\|1\|D)|(kpr)|(kdp)|(\|lc)|(penalty))" /e /r /s</v>
      </c>
      <c r="AG32" s="1" t="str">
        <f t="shared" si="12"/>
        <v>EC</v>
      </c>
      <c r="AH32" s="92" t="str">
        <f t="shared" si="15"/>
        <v>"%USERPROFILE%\Documents\GitHub\eaglep3\Utilities\RefineRTDCRunTimes.py" --tripid 118-22 --locoid 4045 --swversion DE.1.0.8.0 --startMP 204:233000 --initTime 2016-11-22T06:36:56 --startdatetime 2016-11-22T06:41:34 --delay 1 --endMP 204:145 --enddatetime 2016-11-22T07:23:49 --enforcementcount 0 &gt;&gt;C:\Users\stu\Documents\GitHub\eaglep3-reporting\EC\2016-11-22-refined-times.txt</v>
      </c>
      <c r="AI32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{"issue":{"subject":"","project_id":79,"tracker_id":40,"status_id":1,"priority_id":2,"assigned_to_id":23,"start_date":"2016-11-22","description":"","custom_fields":[{"id":1,"name":"Subdivision","value":"EC"},{"id":4,"name":"Milepost","value":"0.0145"},{"id":17,"name":"Train ID","value":"118-22"},{"id":16,"name":"Locomotive ID","value":"4045"},{"id":130,"name":"Impact","value":""},{"id":150,"name":"Time of Event (Mountain Time)","value":"07:23:49"},{"id":151,"name":"Denver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466</v>
      </c>
      <c r="B33" s="7">
        <v>4038</v>
      </c>
      <c r="C33" s="22" t="s">
        <v>217</v>
      </c>
      <c r="D33" s="22" t="s">
        <v>661</v>
      </c>
      <c r="E33" s="13">
        <v>42696.250104166669</v>
      </c>
      <c r="F33" s="13">
        <v>42696.252025462964</v>
      </c>
      <c r="G33" s="7">
        <v>2</v>
      </c>
      <c r="H33" s="22" t="s">
        <v>187</v>
      </c>
      <c r="I33" s="13">
        <v>42696.279432870368</v>
      </c>
      <c r="J33" s="7">
        <v>0</v>
      </c>
      <c r="K33" s="109" t="str">
        <f t="shared" si="0"/>
        <v>4037/4038</v>
      </c>
      <c r="L33" s="22" t="str">
        <f>VLOOKUP(A33,'Trips&amp;Operators'!$C$1:$E$10000,3,FALSE)</f>
        <v>RICHARDSON</v>
      </c>
      <c r="M33" s="6">
        <f t="shared" si="1"/>
        <v>2.7407407404098194E-2</v>
      </c>
      <c r="N33" s="7">
        <f t="shared" si="17"/>
        <v>39.466666661901399</v>
      </c>
      <c r="O33" s="7"/>
      <c r="P33" s="7"/>
      <c r="Q33" s="23"/>
      <c r="R33" s="23"/>
      <c r="S33" s="35">
        <f t="shared" si="18"/>
        <v>1</v>
      </c>
      <c r="T33" s="50" t="str">
        <f t="shared" si="2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05:00:09-700',mode:absolute,to:'2016-11-22 07:42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33" s="52" t="str">
        <f t="shared" si="4"/>
        <v>N</v>
      </c>
      <c r="X33" s="177">
        <f t="shared" si="5"/>
        <v>1</v>
      </c>
      <c r="Y33" s="67">
        <f t="shared" si="6"/>
        <v>7.0999999999999994E-2</v>
      </c>
      <c r="Z33" s="67">
        <f t="shared" si="7"/>
        <v>23.329699999999999</v>
      </c>
      <c r="AA33" s="67">
        <f t="shared" si="8"/>
        <v>23.258699999999997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9"/>
        <v>0119-22</v>
      </c>
      <c r="AE33" s="91" t="str">
        <f t="shared" si="10"/>
        <v>aws s3 cp s3://rtdc.mdm.uploadarchive.raw/RTDC4038/ "%USERPROFILE%\AppData\Local\Temp\OnboardLogs"\RTDC4038\2016-11-22 --exclude "*" --recursive --include "*20161122*" &amp; "%USERPROFILE%\Documents\GitHub\mrs-test-scripts\Headless Mode &amp; Sideloading\WalkAndUnGZ.bat" "%USERPROFILE%\AppData\Local\Temp\OnboardLogs"\RTDC4038\2016-11-22 &amp; aws s3 cp s3://rtdc.mdm.uploadarchive.raw/RTDC4038/ "%USERPROFILE%\AppData\Local\Temp\OnboardLogs"\RTDC4038\2016-11-23 --exclude "*" --recursive --include "*20161123*" &amp; "%USERPROFILE%\Documents\GitHub\mrs-test-scripts\Headless Mode &amp; Sideloading\WalkAndUnGZ.bat" "%USERPROFILE%\AppData\Local\Temp\OnboardLogs"\RTDC4038\2016-11-23</v>
      </c>
      <c r="AF33" s="88" t="str">
        <f t="shared" si="11"/>
        <v>"C:\Program Files (x86)\AstroGrep\AstroGrep.exe" /spath="%USERPROFILE%\AppData\Local\Temp\OnboardLogs" /stypes="app*4038*20161122*" /stext=" 13:.+((SYSTEM_STATE.+slice.+state.+changed )|(ment ac)|(system.+state.+changed )|(\[timeout)|(PRM\|1\|D)|(kpr)|(kdp)|(\|lc)|(penalty))" /e /r /s</v>
      </c>
      <c r="AG33" s="1" t="str">
        <f t="shared" si="12"/>
        <v>EC</v>
      </c>
      <c r="AH33" s="92" t="str">
        <f t="shared" si="15"/>
        <v>"%USERPROFILE%\Documents\GitHub\eaglep3\Utilities\RefineRTDCRunTimes.py" --tripid 119-22 --locoid 4038 --swversion DE.1.0.8.0 --startMP 204:710 --initTime 2016-11-22T06:00:09 --startdatetime 2016-11-22T06:02:55 --delay 2 --endMP 204:233297 --enddatetime 2016-11-22T06:42:23 --enforcementcount 0 &gt;&gt;C:\Users\stu\Documents\GitHub\eaglep3-reporting\EC\2016-11-22-refined-times.txt</v>
      </c>
      <c r="AI33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{"issue":{"subject":"","project_id":79,"tracker_id":40,"status_id":1,"priority_id":2,"assigned_to_id":23,"start_date":"2016-11-22","description":"","custom_fields":[{"id":1,"name":"Subdivision","value":"EC"},{"id":4,"name":"Milepost","value":"23.3297"},{"id":17,"name":"Train ID","value":"119-22"},{"id":16,"name":"Locomotive ID","value":"4038"},{"id":130,"name":"Impact","value":""},{"id":150,"name":"Time of Event (Mountain Time)","value":"06:42:23"},{"id":151,"name":"Denver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474</v>
      </c>
      <c r="B34" s="7">
        <v>4037</v>
      </c>
      <c r="C34" s="22" t="s">
        <v>217</v>
      </c>
      <c r="D34" s="22" t="s">
        <v>302</v>
      </c>
      <c r="E34" s="13">
        <v>42696.283622685187</v>
      </c>
      <c r="F34" s="13">
        <v>42696.289131944446</v>
      </c>
      <c r="G34" s="7">
        <v>7</v>
      </c>
      <c r="H34" s="22" t="s">
        <v>328</v>
      </c>
      <c r="I34" s="13">
        <v>42696.318414351852</v>
      </c>
      <c r="J34" s="7">
        <v>0</v>
      </c>
      <c r="K34" s="109" t="str">
        <f t="shared" si="0"/>
        <v>4037/4038</v>
      </c>
      <c r="L34" s="22" t="str">
        <f>VLOOKUP(A34,'Trips&amp;Operators'!$C$1:$E$10000,3,FALSE)</f>
        <v>RICHARDSON</v>
      </c>
      <c r="M34" s="6">
        <f t="shared" si="1"/>
        <v>2.9282407405844424E-2</v>
      </c>
      <c r="N34" s="7">
        <f t="shared" si="17"/>
        <v>42.16666666441597</v>
      </c>
      <c r="O34" s="7"/>
      <c r="P34" s="7"/>
      <c r="Q34" s="23"/>
      <c r="R34" s="23"/>
      <c r="S34" s="35">
        <f t="shared" si="18"/>
        <v>1</v>
      </c>
      <c r="T34" s="50" t="str">
        <f t="shared" si="2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05:48:25-700',mode:absolute,to:'2016-11-22 08:38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4" s="52" t="str">
        <f t="shared" si="4"/>
        <v>N</v>
      </c>
      <c r="X34" s="177">
        <f t="shared" si="5"/>
        <v>1</v>
      </c>
      <c r="Y34" s="67">
        <f t="shared" si="6"/>
        <v>23.2973</v>
      </c>
      <c r="Z34" s="67">
        <f t="shared" si="7"/>
        <v>1.2999999999999999E-2</v>
      </c>
      <c r="AA34" s="67">
        <f t="shared" si="8"/>
        <v>23.284299999999998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 t="shared" si="9"/>
        <v>0120-22</v>
      </c>
      <c r="AE34" s="91" t="str">
        <f t="shared" si="10"/>
        <v>aws s3 cp s3://rtdc.mdm.uploadarchive.raw/RTDC4037/ "%USERPROFILE%\AppData\Local\Temp\OnboardLogs"\RTDC4037\2016-11-22 --exclude "*" --recursive --include "*20161122*" &amp; "%USERPROFILE%\Documents\GitHub\mrs-test-scripts\Headless Mode &amp; Sideloading\WalkAndUnGZ.bat" "%USERPROFILE%\AppData\Local\Temp\OnboardLogs"\RTDC4037\2016-11-22 &amp; aws s3 cp s3://rtdc.mdm.uploadarchive.raw/RTDC4037/ "%USERPROFILE%\AppData\Local\Temp\OnboardLogs"\RTDC4037\2016-11-23 --exclude "*" --recursive --include "*20161123*" &amp; "%USERPROFILE%\Documents\GitHub\mrs-test-scripts\Headless Mode &amp; Sideloading\WalkAndUnGZ.bat" "%USERPROFILE%\AppData\Local\Temp\OnboardLogs"\RTDC4037\2016-11-23</v>
      </c>
      <c r="AF34" s="88" t="str">
        <f t="shared" si="11"/>
        <v>"C:\Program Files (x86)\AstroGrep\AstroGrep.exe" /spath="%USERPROFILE%\AppData\Local\Temp\OnboardLogs" /stypes="app*4037*20161122*" /stext=" 14:.+((SYSTEM_STATE.+slice.+state.+changed )|(ment ac)|(system.+state.+changed )|(\[timeout)|(PRM\|1\|D)|(kpr)|(kdp)|(\|lc)|(penalty))" /e /r /s</v>
      </c>
      <c r="AG34" s="1" t="str">
        <f t="shared" si="12"/>
        <v>EC</v>
      </c>
      <c r="AH34" s="92" t="str">
        <f t="shared" si="15"/>
        <v>"%USERPROFILE%\Documents\GitHub\eaglep3\Utilities\RefineRTDCRunTimes.py" --tripid 120-22 --locoid 4037 --swversion DE.1.0.8.0 --startMP 204:232973 --initTime 2016-11-22T06:48:25 --startdatetime 2016-11-22T06:56:21 --delay 7 --endMP 204:130 --enddatetime 2016-11-22T07:38:31 --enforcementcount 0 &gt;&gt;C:\Users\stu\Documents\GitHub\eaglep3-reporting\EC\2016-11-22-refined-times.txt</v>
      </c>
      <c r="AI34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{"issue":{"subject":"","project_id":79,"tracker_id":40,"status_id":1,"priority_id":2,"assigned_to_id":23,"start_date":"2016-11-22","description":"","custom_fields":[{"id":1,"name":"Subdivision","value":"EC"},{"id":4,"name":"Milepost","value":"0.013"},{"id":17,"name":"Train ID","value":"120-22"},{"id":16,"name":"Locomotive ID","value":"4037"},{"id":130,"name":"Impact","value":""},{"id":150,"name":"Time of Event (Mountain Time)","value":"07:38:31"},{"id":151,"name":"Denver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467</v>
      </c>
      <c r="B35" s="7">
        <v>4002</v>
      </c>
      <c r="C35" s="22" t="s">
        <v>217</v>
      </c>
      <c r="D35" s="22" t="s">
        <v>662</v>
      </c>
      <c r="E35" s="13">
        <v>42696.277951388889</v>
      </c>
      <c r="F35" s="13">
        <v>42696.27857638889</v>
      </c>
      <c r="G35" s="7">
        <v>0</v>
      </c>
      <c r="H35" s="22" t="s">
        <v>223</v>
      </c>
      <c r="I35" s="13">
        <v>42696.289039351854</v>
      </c>
      <c r="J35" s="7">
        <v>0</v>
      </c>
      <c r="K35" s="109" t="str">
        <f t="shared" si="0"/>
        <v>4001/4002</v>
      </c>
      <c r="L35" s="22" t="str">
        <f>VLOOKUP(A35,'Trips&amp;Operators'!$C$1:$E$10000,3,FALSE)</f>
        <v>SPECTOR</v>
      </c>
      <c r="M35" s="6">
        <f t="shared" si="1"/>
        <v>1.0462962964083999E-2</v>
      </c>
      <c r="N35" s="7"/>
      <c r="O35" s="7"/>
      <c r="P35" s="7">
        <f>24*60*SUM($M35:$M36)</f>
        <v>35.516666671028361</v>
      </c>
      <c r="Q35" s="23"/>
      <c r="R35" s="23" t="s">
        <v>809</v>
      </c>
      <c r="S35" s="35">
        <f>SUM(U35:U36)/IF(AG35="EC",12,1)</f>
        <v>0.83333333333333337</v>
      </c>
      <c r="T35" s="50" t="str">
        <f t="shared" si="2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0</v>
      </c>
      <c r="V3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05:40:15-700',mode:absolute,to:'2016-11-22 07:56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35" s="52" t="str">
        <f t="shared" si="4"/>
        <v>Y</v>
      </c>
      <c r="X35" s="177">
        <f t="shared" si="5"/>
        <v>1</v>
      </c>
      <c r="Y35" s="67">
        <f t="shared" si="6"/>
        <v>12.826599999999999</v>
      </c>
      <c r="Z35" s="67">
        <f t="shared" si="7"/>
        <v>23.331199999999999</v>
      </c>
      <c r="AA35" s="67">
        <f t="shared" si="8"/>
        <v>10.5046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 t="shared" si="9"/>
        <v>0121-22</v>
      </c>
      <c r="AE35" s="91" t="str">
        <f t="shared" si="10"/>
        <v>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 &amp; aws s3 cp s3://rtdc.mdm.uploadarchive.raw/RTDC4002/ "%USERPROFILE%\AppData\Local\Temp\OnboardLogs"\RTDC4002\2016-11-23 --exclude "*" --recursive --include "*20161123*" &amp; "%USERPROFILE%\Documents\GitHub\mrs-test-scripts\Headless Mode &amp; Sideloading\WalkAndUnGZ.bat" "%USERPROFILE%\AppData\Local\Temp\OnboardLogs"\RTDC4002\2016-11-23</v>
      </c>
      <c r="AF35" s="88" t="str">
        <f t="shared" si="11"/>
        <v>"C:\Program Files (x86)\AstroGrep\AstroGrep.exe" /spath="%USERPROFILE%\AppData\Local\Temp\OnboardLogs" /stypes="app*4002*20161122*" /stext=" 13:.+((SYSTEM_STATE.+slice.+state.+changed )|(ment ac)|(system.+state.+changed )|(\[timeout)|(PRM\|1\|D)|(kpr)|(kdp)|(\|lc)|(penalty))" /e /r /s</v>
      </c>
      <c r="AG35" s="1" t="str">
        <f t="shared" si="12"/>
        <v>EC</v>
      </c>
      <c r="AH35" s="92" t="str">
        <f t="shared" si="15"/>
        <v>"%USERPROFILE%\Documents\GitHub\eaglep3\Utilities\RefineRTDCRunTimes.py" --tripid 121-22 --locoid 4002 --swversion DE.1.0.8.0 --startMP 204:128266 --initTime 2016-11-22T06:40:15 --startdatetime 2016-11-22T06:41:09 --delay 0 --endMP 204:233312 --enddatetime 2016-11-22T06:56:13 --enforcementcount 0 &gt;&gt;C:\Users\stu\Documents\GitHub\eaglep3-reporting\EC\2016-11-22-refined-times.txt</v>
      </c>
      <c r="AI35" s="119" t="str">
        <f t="shared" si="16"/>
        <v>echo {"issue":{"subject":"Cut out at Peoria Station… no other issues found???","project_id":79,"tracker_id":40,"status_id":1,"priority_id":2,"assigned_to_id":23,"start_date":"2016-11-22","description":"","custom_fields":[{"id":1,"name":"Subdivision","value":"EC"},{"id":4,"name":"Milepost","value":"23.3312"},{"id":17,"name":"Train ID","value":"121-22"},{"id":16,"name":"Locomotive ID","value":"4002"},{"id":130,"name":"Impact","value":""},{"id":150,"name":"Time of Event (Mountain Time)","value":"06:56:13"},{"id":151,"name":"Denver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467</v>
      </c>
      <c r="B36" s="7">
        <v>4002</v>
      </c>
      <c r="C36" s="22" t="s">
        <v>217</v>
      </c>
      <c r="D36" s="22" t="s">
        <v>282</v>
      </c>
      <c r="E36" s="13">
        <v>42696.2578587963</v>
      </c>
      <c r="F36" s="13">
        <v>42696.258981481478</v>
      </c>
      <c r="G36" s="7">
        <v>1</v>
      </c>
      <c r="H36" s="22" t="s">
        <v>663</v>
      </c>
      <c r="I36" s="13">
        <v>42696.273182870369</v>
      </c>
      <c r="J36" s="7">
        <v>0</v>
      </c>
      <c r="K36" s="109" t="str">
        <f t="shared" si="0"/>
        <v>4001/4002</v>
      </c>
      <c r="L36" s="22" t="str">
        <f>VLOOKUP(A36,'Trips&amp;Operators'!$C$1:$E$10000,3,FALSE)</f>
        <v>SPECTOR</v>
      </c>
      <c r="M36" s="6">
        <f t="shared" si="1"/>
        <v>1.4201388890796807E-2</v>
      </c>
      <c r="N36" s="7"/>
      <c r="O36" s="7"/>
      <c r="P36" s="7"/>
      <c r="Q36" s="23"/>
      <c r="R36" s="23"/>
      <c r="S36" s="35"/>
      <c r="T36" s="50" t="str">
        <f t="shared" si="2"/>
        <v>NorthBound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10</v>
      </c>
      <c r="V3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05:11:19-700',mode:absolute,to:'2016-11-22 07:33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36" s="52" t="str">
        <f t="shared" si="4"/>
        <v>Y</v>
      </c>
      <c r="X36" s="177">
        <f t="shared" si="5"/>
        <v>0</v>
      </c>
      <c r="Y36" s="67">
        <f t="shared" si="6"/>
        <v>4.5499999999999999E-2</v>
      </c>
      <c r="Z36" s="67">
        <f t="shared" si="7"/>
        <v>8.6374999999999993</v>
      </c>
      <c r="AA36" s="67">
        <f t="shared" si="8"/>
        <v>8.5919999999999987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9"/>
        <v>0121-22</v>
      </c>
      <c r="AE36" s="91" t="str">
        <f t="shared" si="10"/>
        <v>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 &amp; aws s3 cp s3://rtdc.mdm.uploadarchive.raw/RTDC4002/ "%USERPROFILE%\AppData\Local\Temp\OnboardLogs"\RTDC4002\2016-11-23 --exclude "*" --recursive --include "*20161123*" &amp; "%USERPROFILE%\Documents\GitHub\mrs-test-scripts\Headless Mode &amp; Sideloading\WalkAndUnGZ.bat" "%USERPROFILE%\AppData\Local\Temp\OnboardLogs"\RTDC4002\2016-11-23</v>
      </c>
      <c r="AF36" s="88" t="str">
        <f t="shared" si="11"/>
        <v>"C:\Program Files (x86)\AstroGrep\AstroGrep.exe" /spath="%USERPROFILE%\AppData\Local\Temp\OnboardLogs" /stypes="app*4002*20161122*" /stext=" 13:.+((SYSTEM_STATE.+slice.+state.+changed )|(ment ac)|(system.+state.+changed )|(\[timeout)|(PRM\|1\|D)|(kpr)|(kdp)|(\|lc)|(penalty))" /e /r /s</v>
      </c>
      <c r="AG36" s="1" t="str">
        <f t="shared" si="12"/>
        <v>EC</v>
      </c>
      <c r="AH36" s="92" t="str">
        <f t="shared" si="15"/>
        <v>"%USERPROFILE%\Documents\GitHub\eaglep3\Utilities\RefineRTDCRunTimes.py" --tripid 121-22 --locoid 4002 --swversion DE.1.0.8.0 --startMP 204:455 --initTime 2016-11-22T06:11:19 --startdatetime 2016-11-22T06:12:56 --delay 1 --endMP 204:86375 --enddatetime 2016-11-22T06:33:23 --enforcementcount 0 &gt;&gt;C:\Users\stu\Documents\GitHub\eaglep3-reporting\EC\2016-11-22-refined-times.txt</v>
      </c>
      <c r="AI36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{"issue":{"subject":"","project_id":79,"tracker_id":40,"status_id":1,"priority_id":2,"assigned_to_id":23,"start_date":"2016-11-22","description":"","custom_fields":[{"id":1,"name":"Subdivision","value":"EC"},{"id":4,"name":"Milepost","value":"8.6375"},{"id":17,"name":"Train ID","value":"121-22"},{"id":16,"name":"Locomotive ID","value":"4002"},{"id":130,"name":"Impact","value":""},{"id":150,"name":"Time of Event (Mountain Time)","value":"06:33:23"},{"id":151,"name":"Denver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421</v>
      </c>
      <c r="B37" s="7">
        <v>4001</v>
      </c>
      <c r="C37" s="22" t="s">
        <v>217</v>
      </c>
      <c r="D37" s="22" t="s">
        <v>274</v>
      </c>
      <c r="E37" s="13">
        <v>42696.294178240743</v>
      </c>
      <c r="F37" s="13">
        <v>42696.299756944441</v>
      </c>
      <c r="G37" s="7">
        <v>1</v>
      </c>
      <c r="H37" s="22" t="s">
        <v>314</v>
      </c>
      <c r="I37" s="13">
        <v>42696.326597222222</v>
      </c>
      <c r="J37" s="7">
        <v>1</v>
      </c>
      <c r="K37" s="109" t="str">
        <f t="shared" si="0"/>
        <v>4001/4002</v>
      </c>
      <c r="L37" s="22" t="str">
        <f>VLOOKUP(A37,'Trips&amp;Operators'!$C$1:$E$10000,3,FALSE)</f>
        <v>SPECTOR</v>
      </c>
      <c r="M37" s="6">
        <f t="shared" si="1"/>
        <v>2.6840277780138422E-2</v>
      </c>
      <c r="N37" s="7">
        <f t="shared" ref="N37:N75" si="19">24*60*SUM($M37:$M37)</f>
        <v>38.650000003399327</v>
      </c>
      <c r="O37" s="7"/>
      <c r="P37" s="7"/>
      <c r="Q37" s="23"/>
      <c r="R37" s="23"/>
      <c r="S37" s="35">
        <f t="shared" ref="S37:S68" si="20">SUM(U37:U37)/IF(AG37="EC",12,1)</f>
        <v>1</v>
      </c>
      <c r="T37" s="50" t="str">
        <f t="shared" si="2"/>
        <v>Southbound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06:03:37-700',mode:absolute,to:'2016-11-22 08:50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37" s="52" t="str">
        <f t="shared" si="4"/>
        <v>N</v>
      </c>
      <c r="X37" s="177">
        <f t="shared" si="5"/>
        <v>1</v>
      </c>
      <c r="Y37" s="67">
        <f t="shared" si="6"/>
        <v>23.299600000000002</v>
      </c>
      <c r="Z37" s="67">
        <f t="shared" si="7"/>
        <v>1.3899999999999999E-2</v>
      </c>
      <c r="AA37" s="67">
        <f t="shared" si="8"/>
        <v>23.285700000000002</v>
      </c>
      <c r="AB37" s="64" t="str">
        <f>VLOOKUP(A37,Enforcements!$C$7:$K$20,8,0)</f>
        <v>Bulletin (2)</v>
      </c>
      <c r="AC37" s="60" t="str">
        <f>VLOOKUP(A37,Enforcements!$C$7:$E$20,3,0)</f>
        <v>GRADE CROSSING</v>
      </c>
      <c r="AD37" s="61" t="str">
        <f t="shared" si="9"/>
        <v>0122-22</v>
      </c>
      <c r="AE37" s="91" t="str">
        <f t="shared" si="10"/>
        <v>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 &amp; aws s3 cp s3://rtdc.mdm.uploadarchive.raw/RTDC4001/ "%USERPROFILE%\AppData\Local\Temp\OnboardLogs"\RTDC4001\2016-11-23 --exclude "*" --recursive --include "*20161123*" &amp; "%USERPROFILE%\Documents\GitHub\mrs-test-scripts\Headless Mode &amp; Sideloading\WalkAndUnGZ.bat" "%USERPROFILE%\AppData\Local\Temp\OnboardLogs"\RTDC4001\2016-11-23</v>
      </c>
      <c r="AF37" s="88" t="str">
        <f t="shared" si="11"/>
        <v>"C:\Program Files (x86)\AstroGrep\AstroGrep.exe" /spath="%USERPROFILE%\AppData\Local\Temp\OnboardLogs" /stypes="app*4001*20161122*" /stext=" 14:.+((SYSTEM_STATE.+slice.+state.+changed )|(ment ac)|(system.+state.+changed )|(\[timeout)|(PRM\|1\|D)|(kpr)|(kdp)|(\|lc)|(penalty))" /e /r /s</v>
      </c>
      <c r="AG37" s="1" t="str">
        <f t="shared" si="12"/>
        <v>EC</v>
      </c>
      <c r="AH37" s="92" t="str">
        <f t="shared" si="15"/>
        <v>"%USERPROFILE%\Documents\GitHub\eaglep3\Utilities\RefineRTDCRunTimes.py" --tripid 122-22 --locoid 4001 --swversion DE.1.0.8.0 --startMP 204:232996 --initTime 2016-11-22T07:03:37 --startdatetime 2016-11-22T07:11:39 --delay 1 --endMP 204:139 --enddatetime 2016-11-22T07:50:18 --enforcementcount 1 &gt;&gt;C:\Users\stu\Documents\GitHub\eaglep3-reporting\EC\2016-11-22-refined-times.txt</v>
      </c>
      <c r="AI37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{"issue":{"subject":"","project_id":79,"tracker_id":40,"status_id":1,"priority_id":2,"assigned_to_id":23,"start_date":"2016-11-22","description":"","custom_fields":[{"id":1,"name":"Subdivision","value":"EC"},{"id":4,"name":"Milepost","value":"0.0139"},{"id":17,"name":"Train ID","value":"122-22"},{"id":16,"name":"Locomotive ID","value":"4001"},{"id":130,"name":"Impact","value":""},{"id":150,"name":"Time of Event (Mountain Time)","value":"07:50:18"},{"id":151,"name":"Denver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418</v>
      </c>
      <c r="B38" s="7">
        <v>4027</v>
      </c>
      <c r="C38" s="22" t="s">
        <v>217</v>
      </c>
      <c r="D38" s="22" t="s">
        <v>252</v>
      </c>
      <c r="E38" s="13">
        <v>42696.269641203704</v>
      </c>
      <c r="F38" s="13">
        <v>42696.271041666667</v>
      </c>
      <c r="G38" s="7">
        <v>1</v>
      </c>
      <c r="H38" s="22" t="s">
        <v>664</v>
      </c>
      <c r="I38" s="13">
        <v>42696.297754629632</v>
      </c>
      <c r="J38" s="7">
        <v>1</v>
      </c>
      <c r="K38" s="109" t="str">
        <f t="shared" si="0"/>
        <v>4027/4028</v>
      </c>
      <c r="L38" s="22" t="str">
        <f>VLOOKUP(A38,'Trips&amp;Operators'!$C$1:$E$10000,3,FALSE)</f>
        <v>DAVIS</v>
      </c>
      <c r="M38" s="6">
        <f t="shared" si="1"/>
        <v>2.6712962964666076E-2</v>
      </c>
      <c r="N38" s="7">
        <f t="shared" si="19"/>
        <v>38.466666669119149</v>
      </c>
      <c r="O38" s="7"/>
      <c r="P38" s="7"/>
      <c r="Q38" s="23"/>
      <c r="R38" s="23"/>
      <c r="S38" s="35">
        <f t="shared" si="20"/>
        <v>1</v>
      </c>
      <c r="T38" s="50" t="str">
        <f t="shared" si="2"/>
        <v>NorthBound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05:28:17-700',mode:absolute,to:'2016-11-22 08:08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38" s="52" t="str">
        <f t="shared" si="4"/>
        <v>N</v>
      </c>
      <c r="X38" s="177">
        <f t="shared" si="5"/>
        <v>1</v>
      </c>
      <c r="Y38" s="67">
        <f t="shared" si="6"/>
        <v>4.6600000000000003E-2</v>
      </c>
      <c r="Z38" s="67">
        <f t="shared" si="7"/>
        <v>23.331600000000002</v>
      </c>
      <c r="AA38" s="67">
        <f t="shared" si="8"/>
        <v>23.285</v>
      </c>
      <c r="AB38" s="64" t="str">
        <f>VLOOKUP(A38,Enforcements!$C$7:$K$20,8,0)</f>
        <v>Bulletin (2)</v>
      </c>
      <c r="AC38" s="60" t="str">
        <f>VLOOKUP(A38,Enforcements!$C$7:$E$20,3,0)</f>
        <v>GRADE CROSSING</v>
      </c>
      <c r="AD38" s="61" t="str">
        <f t="shared" si="9"/>
        <v>0123-22</v>
      </c>
      <c r="AE38" s="91" t="str">
        <f t="shared" si="10"/>
        <v>aws s3 cp s3://rtdc.mdm.uploadarchive.raw/RTDC4027/ "%USERPROFILE%\AppData\Local\Temp\OnboardLogs"\RTDC4027\2016-11-22 --exclude "*" --recursive --include "*20161122*" &amp; "%USERPROFILE%\Documents\GitHub\mrs-test-scripts\Headless Mode &amp; Sideloading\WalkAndUnGZ.bat" "%USERPROFILE%\AppData\Local\Temp\OnboardLogs"\RTDC4027\2016-11-22 &amp; aws s3 cp s3://rtdc.mdm.uploadarchive.raw/RTDC4027/ "%USERPROFILE%\AppData\Local\Temp\OnboardLogs"\RTDC4027\2016-11-23 --exclude "*" --recursive --include "*20161123*" &amp; "%USERPROFILE%\Documents\GitHub\mrs-test-scripts\Headless Mode &amp; Sideloading\WalkAndUnGZ.bat" "%USERPROFILE%\AppData\Local\Temp\OnboardLogs"\RTDC4027\2016-11-23</v>
      </c>
      <c r="AF38" s="88" t="str">
        <f t="shared" si="11"/>
        <v>"C:\Program Files (x86)\AstroGrep\AstroGrep.exe" /spath="%USERPROFILE%\AppData\Local\Temp\OnboardLogs" /stypes="app*4027*20161122*" /stext=" 14:.+((SYSTEM_STATE.+slice.+state.+changed )|(ment ac)|(system.+state.+changed )|(\[timeout)|(PRM\|1\|D)|(kpr)|(kdp)|(\|lc)|(penalty))" /e /r /s</v>
      </c>
      <c r="AG38" s="1" t="str">
        <f t="shared" si="12"/>
        <v>EC</v>
      </c>
      <c r="AH38" s="92" t="str">
        <f t="shared" si="15"/>
        <v>"%USERPROFILE%\Documents\GitHub\eaglep3\Utilities\RefineRTDCRunTimes.py" --tripid 123-22 --locoid 4027 --swversion DE.1.0.8.0 --startMP 204:466 --initTime 2016-11-22T06:28:17 --startdatetime 2016-11-22T06:30:18 --delay 1 --endMP 204:233316 --enddatetime 2016-11-22T07:08:46 --enforcementcount 1 &gt;&gt;C:\Users\stu\Documents\GitHub\eaglep3-reporting\EC\2016-11-22-refined-times.txt</v>
      </c>
      <c r="AI38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{"issue":{"subject":"","project_id":79,"tracker_id":40,"status_id":1,"priority_id":2,"assigned_to_id":23,"start_date":"2016-11-22","description":"","custom_fields":[{"id":1,"name":"Subdivision","value":"EC"},{"id":4,"name":"Milepost","value":"23.3316"},{"id":17,"name":"Train ID","value":"123-22"},{"id":16,"name":"Locomotive ID","value":"4027"},{"id":130,"name":"Impact","value":""},{"id":150,"name":"Time of Event (Mountain Time)","value":"07:08:46"},{"id":151,"name":"Denver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478</v>
      </c>
      <c r="B39" s="7">
        <v>4028</v>
      </c>
      <c r="C39" s="22" t="s">
        <v>217</v>
      </c>
      <c r="D39" s="22" t="s">
        <v>302</v>
      </c>
      <c r="E39" s="13">
        <v>42696.307372685187</v>
      </c>
      <c r="F39" s="13">
        <v>42696.309872685182</v>
      </c>
      <c r="G39" s="7">
        <v>1</v>
      </c>
      <c r="H39" s="22" t="s">
        <v>381</v>
      </c>
      <c r="I39" s="13">
        <v>42696.339386574073</v>
      </c>
      <c r="J39" s="7">
        <v>0</v>
      </c>
      <c r="K39" s="109" t="str">
        <f t="shared" si="0"/>
        <v>4027/4028</v>
      </c>
      <c r="L39" s="22" t="str">
        <f>VLOOKUP(A39,'Trips&amp;Operators'!$C$1:$E$10000,3,FALSE)</f>
        <v>DAVIS</v>
      </c>
      <c r="M39" s="6">
        <f t="shared" si="1"/>
        <v>2.9513888890505768E-2</v>
      </c>
      <c r="N39" s="7">
        <f t="shared" si="19"/>
        <v>42.500000002328306</v>
      </c>
      <c r="O39" s="7"/>
      <c r="P39" s="7"/>
      <c r="Q39" s="23"/>
      <c r="R39" s="23"/>
      <c r="S39" s="35">
        <f t="shared" si="20"/>
        <v>1</v>
      </c>
      <c r="T39" s="50" t="str">
        <f t="shared" si="2"/>
        <v>Southbound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06:22:37-700',mode:absolute,to:'2016-11-22 09:08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39" s="52" t="str">
        <f t="shared" si="4"/>
        <v>N</v>
      </c>
      <c r="X39" s="177">
        <f t="shared" si="5"/>
        <v>1</v>
      </c>
      <c r="Y39" s="67">
        <f t="shared" si="6"/>
        <v>23.2973</v>
      </c>
      <c r="Z39" s="67">
        <f t="shared" si="7"/>
        <v>1.21E-2</v>
      </c>
      <c r="AA39" s="67">
        <f t="shared" si="8"/>
        <v>23.2852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 t="shared" si="9"/>
        <v>0124-22</v>
      </c>
      <c r="AE39" s="91" t="str">
        <f t="shared" si="10"/>
        <v>aws s3 cp s3://rtdc.mdm.uploadarchive.raw/RTDC4028/ "%USERPROFILE%\AppData\Local\Temp\OnboardLogs"\RTDC4028\2016-11-22 --exclude "*" --recursive --include "*20161122*" &amp; "%USERPROFILE%\Documents\GitHub\mrs-test-scripts\Headless Mode &amp; Sideloading\WalkAndUnGZ.bat" "%USERPROFILE%\AppData\Local\Temp\OnboardLogs"\RTDC4028\2016-11-22 &amp; aws s3 cp s3://rtdc.mdm.uploadarchive.raw/RTDC4028/ "%USERPROFILE%\AppData\Local\Temp\OnboardLogs"\RTDC4028\2016-11-23 --exclude "*" --recursive --include "*20161123*" &amp; "%USERPROFILE%\Documents\GitHub\mrs-test-scripts\Headless Mode &amp; Sideloading\WalkAndUnGZ.bat" "%USERPROFILE%\AppData\Local\Temp\OnboardLogs"\RTDC4028\2016-11-23</v>
      </c>
      <c r="AF39" s="88" t="str">
        <f t="shared" si="11"/>
        <v>"C:\Program Files (x86)\AstroGrep\AstroGrep.exe" /spath="%USERPROFILE%\AppData\Local\Temp\OnboardLogs" /stypes="app*4028*20161122*" /stext=" 15:.+((SYSTEM_STATE.+slice.+state.+changed )|(ment ac)|(system.+state.+changed )|(\[timeout)|(PRM\|1\|D)|(kpr)|(kdp)|(\|lc)|(penalty))" /e /r /s</v>
      </c>
      <c r="AG39" s="1" t="str">
        <f t="shared" si="12"/>
        <v>EC</v>
      </c>
      <c r="AH39" s="92" t="str">
        <f t="shared" si="15"/>
        <v>"%USERPROFILE%\Documents\GitHub\eaglep3\Utilities\RefineRTDCRunTimes.py" --tripid 124-22 --locoid 4028 --swversion DE.1.0.8.0 --startMP 204:232973 --initTime 2016-11-22T07:22:37 --startdatetime 2016-11-22T07:26:13 --delay 1 --endMP 204:121 --enddatetime 2016-11-22T08:08:43 --enforcementcount 0 &gt;&gt;C:\Users\stu\Documents\GitHub\eaglep3-reporting\EC\2016-11-22-refined-times.txt</v>
      </c>
      <c r="AI39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{"issue":{"subject":"","project_id":79,"tracker_id":40,"status_id":1,"priority_id":2,"assigned_to_id":23,"start_date":"2016-11-22","description":"","custom_fields":[{"id":1,"name":"Subdivision","value":"EC"},{"id":4,"name":"Milepost","value":"0.0121"},{"id":17,"name":"Train ID","value":"124-22"},{"id":16,"name":"Locomotive ID","value":"4028"},{"id":130,"name":"Impact","value":""},{"id":150,"name":"Time of Event (Mountain Time)","value":"08:08:43"},{"id":151,"name":"Denver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472</v>
      </c>
      <c r="B40" s="7">
        <v>4011</v>
      </c>
      <c r="C40" s="22" t="s">
        <v>217</v>
      </c>
      <c r="D40" s="22" t="s">
        <v>216</v>
      </c>
      <c r="E40" s="13">
        <v>42696.278645833336</v>
      </c>
      <c r="F40" s="13">
        <v>42696.2815162037</v>
      </c>
      <c r="G40" s="7">
        <v>4</v>
      </c>
      <c r="H40" s="22" t="s">
        <v>376</v>
      </c>
      <c r="I40" s="13">
        <v>42696.306076388886</v>
      </c>
      <c r="J40" s="7">
        <v>0</v>
      </c>
      <c r="K40" s="109" t="str">
        <f t="shared" si="0"/>
        <v>4011/4012</v>
      </c>
      <c r="L40" s="22" t="str">
        <f>VLOOKUP(A40,'Trips&amp;Operators'!$C$1:$E$10000,3,FALSE)</f>
        <v>GEBRETEKLE</v>
      </c>
      <c r="M40" s="6">
        <f t="shared" si="1"/>
        <v>2.4560185185691807E-2</v>
      </c>
      <c r="N40" s="7">
        <f t="shared" si="19"/>
        <v>35.366666667396203</v>
      </c>
      <c r="O40" s="7"/>
      <c r="P40" s="7"/>
      <c r="Q40" s="23"/>
      <c r="R40" s="23"/>
      <c r="S40" s="35">
        <f t="shared" si="20"/>
        <v>1</v>
      </c>
      <c r="T40" s="50" t="str">
        <f t="shared" si="2"/>
        <v>NorthBound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05:41:15-700',mode:absolute,to:'2016-11-22 08:20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0" s="52" t="str">
        <f t="shared" si="4"/>
        <v>N</v>
      </c>
      <c r="X40" s="177">
        <f t="shared" si="5"/>
        <v>1</v>
      </c>
      <c r="Y40" s="67">
        <f t="shared" si="6"/>
        <v>4.6399999999999997E-2</v>
      </c>
      <c r="Z40" s="67">
        <f t="shared" si="7"/>
        <v>23.331900000000001</v>
      </c>
      <c r="AA40" s="67">
        <f t="shared" si="8"/>
        <v>23.285500000000003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9"/>
        <v>0125-22</v>
      </c>
      <c r="AE40" s="91" t="str">
        <f t="shared" si="10"/>
        <v>aws s3 cp s3://rtdc.mdm.uploadarchive.raw/RTDC4011/ "%USERPROFILE%\AppData\Local\Temp\OnboardLogs"\RTDC4011\2016-11-22 --exclude "*" --recursive --include "*20161122*" &amp; "%USERPROFILE%\Documents\GitHub\mrs-test-scripts\Headless Mode &amp; Sideloading\WalkAndUnGZ.bat" "%USERPROFILE%\AppData\Local\Temp\OnboardLogs"\RTDC4011\2016-11-22 &amp; aws s3 cp s3://rtdc.mdm.uploadarchive.raw/RTDC4011/ "%USERPROFILE%\AppData\Local\Temp\OnboardLogs"\RTDC4011\2016-11-23 --exclude "*" --recursive --include "*20161123*" &amp; "%USERPROFILE%\Documents\GitHub\mrs-test-scripts\Headless Mode &amp; Sideloading\WalkAndUnGZ.bat" "%USERPROFILE%\AppData\Local\Temp\OnboardLogs"\RTDC4011\2016-11-23</v>
      </c>
      <c r="AF40" s="88" t="str">
        <f t="shared" si="11"/>
        <v>"C:\Program Files (x86)\AstroGrep\AstroGrep.exe" /spath="%USERPROFILE%\AppData\Local\Temp\OnboardLogs" /stypes="app*4011*20161122*" /stext=" 14:.+((SYSTEM_STATE.+slice.+state.+changed )|(ment ac)|(system.+state.+changed )|(\[timeout)|(PRM\|1\|D)|(kpr)|(kdp)|(\|lc)|(penalty))" /e /r /s</v>
      </c>
      <c r="AG40" s="1" t="str">
        <f t="shared" si="12"/>
        <v>EC</v>
      </c>
      <c r="AH40" s="92" t="str">
        <f t="shared" si="15"/>
        <v>"%USERPROFILE%\Documents\GitHub\eaglep3\Utilities\RefineRTDCRunTimes.py" --tripid 125-22 --locoid 4011 --swversion DE.1.0.8.0 --startMP 204:464 --initTime 2016-11-22T06:41:15 --startdatetime 2016-11-22T06:45:23 --delay 4 --endMP 204:233319 --enddatetime 2016-11-22T07:20:45 --enforcementcount 0 &gt;&gt;C:\Users\stu\Documents\GitHub\eaglep3-reporting\EC\2016-11-22-refined-times.txt</v>
      </c>
      <c r="AI40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{"issue":{"subject":"","project_id":79,"tracker_id":40,"status_id":1,"priority_id":2,"assigned_to_id":23,"start_date":"2016-11-22","description":"","custom_fields":[{"id":1,"name":"Subdivision","value":"EC"},{"id":4,"name":"Milepost","value":"23.3319"},{"id":17,"name":"Train ID","value":"125-22"},{"id":16,"name":"Locomotive ID","value":"4011"},{"id":130,"name":"Impact","value":""},{"id":150,"name":"Time of Event (Mountain Time)","value":"07:20:45"},{"id":151,"name":"Denver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480</v>
      </c>
      <c r="B41" s="7">
        <v>4012</v>
      </c>
      <c r="C41" s="22" t="s">
        <v>217</v>
      </c>
      <c r="D41" s="22" t="s">
        <v>665</v>
      </c>
      <c r="E41" s="13">
        <v>42696.315821759257</v>
      </c>
      <c r="F41" s="13">
        <v>42696.320335648146</v>
      </c>
      <c r="G41" s="7">
        <v>1</v>
      </c>
      <c r="H41" s="22" t="s">
        <v>300</v>
      </c>
      <c r="I41" s="13">
        <v>42696.346261574072</v>
      </c>
      <c r="J41" s="7">
        <v>0</v>
      </c>
      <c r="K41" s="109" t="str">
        <f t="shared" si="0"/>
        <v>4011/4012</v>
      </c>
      <c r="L41" s="22" t="str">
        <f>VLOOKUP(A41,'Trips&amp;Operators'!$C$1:$E$10000,3,FALSE)</f>
        <v>GEBRETEKLE</v>
      </c>
      <c r="M41" s="6">
        <f t="shared" si="1"/>
        <v>2.5925925925548654E-2</v>
      </c>
      <c r="N41" s="7">
        <f t="shared" si="19"/>
        <v>37.333333332790062</v>
      </c>
      <c r="O41" s="7"/>
      <c r="P41" s="7"/>
      <c r="Q41" s="23"/>
      <c r="R41" s="23"/>
      <c r="S41" s="35">
        <f t="shared" si="20"/>
        <v>1</v>
      </c>
      <c r="T41" s="50" t="str">
        <f t="shared" si="2"/>
        <v>Southbound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06:34:47-700',mode:absolute,to:'2016-11-22 09:18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1" s="52" t="str">
        <f t="shared" si="4"/>
        <v>N</v>
      </c>
      <c r="X41" s="177">
        <f t="shared" si="5"/>
        <v>1</v>
      </c>
      <c r="Y41" s="67">
        <f t="shared" si="6"/>
        <v>23.301500000000001</v>
      </c>
      <c r="Z41" s="67">
        <f t="shared" si="7"/>
        <v>1.3599999999999999E-2</v>
      </c>
      <c r="AA41" s="67">
        <f t="shared" si="8"/>
        <v>23.2879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9"/>
        <v>0126-22</v>
      </c>
      <c r="AE41" s="91" t="str">
        <f t="shared" si="10"/>
        <v>aws s3 cp s3://rtdc.mdm.uploadarchive.raw/RTDC4012/ "%USERPROFILE%\AppData\Local\Temp\OnboardLogs"\RTDC4012\2016-11-22 --exclude "*" --recursive --include "*20161122*" &amp; "%USERPROFILE%\Documents\GitHub\mrs-test-scripts\Headless Mode &amp; Sideloading\WalkAndUnGZ.bat" "%USERPROFILE%\AppData\Local\Temp\OnboardLogs"\RTDC4012\2016-11-22 &amp; aws s3 cp s3://rtdc.mdm.uploadarchive.raw/RTDC4012/ "%USERPROFILE%\AppData\Local\Temp\OnboardLogs"\RTDC4012\2016-11-23 --exclude "*" --recursive --include "*20161123*" &amp; "%USERPROFILE%\Documents\GitHub\mrs-test-scripts\Headless Mode &amp; Sideloading\WalkAndUnGZ.bat" "%USERPROFILE%\AppData\Local\Temp\OnboardLogs"\RTDC4012\2016-11-23</v>
      </c>
      <c r="AF41" s="88" t="str">
        <f t="shared" si="11"/>
        <v>"C:\Program Files (x86)\AstroGrep\AstroGrep.exe" /spath="%USERPROFILE%\AppData\Local\Temp\OnboardLogs" /stypes="app*4012*20161122*" /stext=" 15:.+((SYSTEM_STATE.+slice.+state.+changed )|(ment ac)|(system.+state.+changed )|(\[timeout)|(PRM\|1\|D)|(kpr)|(kdp)|(\|lc)|(penalty))" /e /r /s</v>
      </c>
      <c r="AG41" s="1" t="str">
        <f t="shared" si="12"/>
        <v>EC</v>
      </c>
      <c r="AH41" s="92" t="str">
        <f t="shared" si="15"/>
        <v>"%USERPROFILE%\Documents\GitHub\eaglep3\Utilities\RefineRTDCRunTimes.py" --tripid 126-22 --locoid 4012 --swversion DE.1.0.8.0 --startMP 204:233015 --initTime 2016-11-22T07:34:47 --startdatetime 2016-11-22T07:41:17 --delay 1 --endMP 204:136 --enddatetime 2016-11-22T08:18:37 --enforcementcount 0 &gt;&gt;C:\Users\stu\Documents\GitHub\eaglep3-reporting\EC\2016-11-22-refined-times.txt</v>
      </c>
      <c r="AI41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{"issue":{"subject":"","project_id":79,"tracker_id":40,"status_id":1,"priority_id":2,"assigned_to_id":23,"start_date":"2016-11-22","description":"","custom_fields":[{"id":1,"name":"Subdivision","value":"EC"},{"id":4,"name":"Milepost","value":"0.0136"},{"id":17,"name":"Train ID","value":"126-22"},{"id":16,"name":"Locomotive ID","value":"4012"},{"id":130,"name":"Impact","value":""},{"id":150,"name":"Time of Event (Mountain Time)","value":"08:18:37"},{"id":151,"name":"Denver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420</v>
      </c>
      <c r="B42" s="7">
        <v>4022</v>
      </c>
      <c r="C42" s="22" t="s">
        <v>217</v>
      </c>
      <c r="D42" s="22" t="s">
        <v>315</v>
      </c>
      <c r="E42" s="13">
        <v>42696.290879629632</v>
      </c>
      <c r="F42" s="13">
        <v>42696.292685185188</v>
      </c>
      <c r="G42" s="7">
        <v>1</v>
      </c>
      <c r="H42" s="22" t="s">
        <v>260</v>
      </c>
      <c r="I42" s="13">
        <v>42696.319328703707</v>
      </c>
      <c r="J42" s="7">
        <v>1</v>
      </c>
      <c r="K42" s="109" t="str">
        <f t="shared" si="0"/>
        <v>4021/4022</v>
      </c>
      <c r="L42" s="22" t="str">
        <f>VLOOKUP(A42,'Trips&amp;Operators'!$C$1:$E$10000,3,FALSE)</f>
        <v>KILLION</v>
      </c>
      <c r="M42" s="6">
        <f t="shared" si="1"/>
        <v>2.6643518518540077E-2</v>
      </c>
      <c r="N42" s="7">
        <f t="shared" si="19"/>
        <v>38.366666666697711</v>
      </c>
      <c r="O42" s="7"/>
      <c r="P42" s="7"/>
      <c r="Q42" s="23"/>
      <c r="R42" s="23"/>
      <c r="S42" s="35">
        <f t="shared" si="20"/>
        <v>1</v>
      </c>
      <c r="T42" s="50" t="str">
        <f t="shared" si="2"/>
        <v>NorthBound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05:58:52-700',mode:absolute,to:'2016-11-22 08:39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42" s="52" t="str">
        <f t="shared" si="4"/>
        <v>N</v>
      </c>
      <c r="X42" s="177">
        <f t="shared" si="5"/>
        <v>1</v>
      </c>
      <c r="Y42" s="67">
        <f t="shared" si="6"/>
        <v>4.5699999999999998E-2</v>
      </c>
      <c r="Z42" s="67">
        <f t="shared" si="7"/>
        <v>23.330100000000002</v>
      </c>
      <c r="AA42" s="67">
        <f t="shared" si="8"/>
        <v>23.284400000000002</v>
      </c>
      <c r="AB42" s="64" t="str">
        <f>VLOOKUP(A42,Enforcements!$C$7:$K$20,8,0)</f>
        <v>Speed (6)</v>
      </c>
      <c r="AC42" s="60" t="str">
        <f>VLOOKUP(A42,Enforcements!$C$7:$E$20,3,0)</f>
        <v>PERMANENT SPEED RESTRICTION</v>
      </c>
      <c r="AD42" s="61" t="str">
        <f t="shared" si="9"/>
        <v>0127-22</v>
      </c>
      <c r="AE42" s="91" t="str">
        <f t="shared" si="10"/>
        <v>aws s3 cp s3://rtdc.mdm.uploadarchive.raw/RTDC4022/ "%USERPROFILE%\AppData\Local\Temp\OnboardLogs"\RTDC4022\2016-11-22 --exclude "*" --recursive --include "*20161122*" &amp; "%USERPROFILE%\Documents\GitHub\mrs-test-scripts\Headless Mode &amp; Sideloading\WalkAndUnGZ.bat" "%USERPROFILE%\AppData\Local\Temp\OnboardLogs"\RTDC4022\2016-11-22 &amp; aws s3 cp s3://rtdc.mdm.uploadarchive.raw/RTDC4022/ "%USERPROFILE%\AppData\Local\Temp\OnboardLogs"\RTDC4022\2016-11-23 --exclude "*" --recursive --include "*20161123*" &amp; "%USERPROFILE%\Documents\GitHub\mrs-test-scripts\Headless Mode &amp; Sideloading\WalkAndUnGZ.bat" "%USERPROFILE%\AppData\Local\Temp\OnboardLogs"\RTDC4022\2016-11-23</v>
      </c>
      <c r="AF42" s="88" t="str">
        <f t="shared" si="11"/>
        <v>"C:\Program Files (x86)\AstroGrep\AstroGrep.exe" /spath="%USERPROFILE%\AppData\Local\Temp\OnboardLogs" /stypes="app*4022*20161122*" /stext=" 14:.+((SYSTEM_STATE.+slice.+state.+changed )|(ment ac)|(system.+state.+changed )|(\[timeout)|(PRM\|1\|D)|(kpr)|(kdp)|(\|lc)|(penalty))" /e /r /s</v>
      </c>
      <c r="AG42" s="1" t="str">
        <f t="shared" si="12"/>
        <v>EC</v>
      </c>
      <c r="AH42" s="92" t="str">
        <f t="shared" si="15"/>
        <v>"%USERPROFILE%\Documents\GitHub\eaglep3\Utilities\RefineRTDCRunTimes.py" --tripid 127-22 --locoid 4022 --swversion DE.1.0.8.0 --startMP 204:457 --initTime 2016-11-22T06:58:52 --startdatetime 2016-11-22T07:01:28 --delay 1 --endMP 204:233301 --enddatetime 2016-11-22T07:39:50 --enforcementcount 1 &gt;&gt;C:\Users\stu\Documents\GitHub\eaglep3-reporting\EC\2016-11-22-refined-times.txt</v>
      </c>
      <c r="AI42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{"issue":{"subject":"","project_id":79,"tracker_id":40,"status_id":1,"priority_id":2,"assigned_to_id":23,"start_date":"2016-11-22","description":"","custom_fields":[{"id":1,"name":"Subdivision","value":"EC"},{"id":4,"name":"Milepost","value":"23.3301"},{"id":17,"name":"Train ID","value":"127-22"},{"id":16,"name":"Locomotive ID","value":"4022"},{"id":130,"name":"Impact","value":""},{"id":150,"name":"Time of Event (Mountain Time)","value":"07:39:50"},{"id":151,"name":"Denver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483</v>
      </c>
      <c r="B43" s="7">
        <v>4021</v>
      </c>
      <c r="C43" s="22" t="s">
        <v>217</v>
      </c>
      <c r="D43" s="22" t="s">
        <v>262</v>
      </c>
      <c r="E43" s="13">
        <v>42696.326805555553</v>
      </c>
      <c r="F43" s="13">
        <v>42696.330729166664</v>
      </c>
      <c r="G43" s="7">
        <v>1</v>
      </c>
      <c r="H43" s="22" t="s">
        <v>327</v>
      </c>
      <c r="I43" s="13">
        <v>42696.357719907406</v>
      </c>
      <c r="J43" s="7">
        <v>0</v>
      </c>
      <c r="K43" s="109" t="str">
        <f t="shared" si="0"/>
        <v>4021/4022</v>
      </c>
      <c r="L43" s="22" t="str">
        <f>VLOOKUP(A43,'Trips&amp;Operators'!$C$1:$E$10000,3,FALSE)</f>
        <v>KILLION</v>
      </c>
      <c r="M43" s="6">
        <f t="shared" si="1"/>
        <v>2.6990740741894115E-2</v>
      </c>
      <c r="N43" s="7">
        <f t="shared" si="19"/>
        <v>38.866666668327525</v>
      </c>
      <c r="O43" s="7"/>
      <c r="P43" s="7"/>
      <c r="Q43" s="23"/>
      <c r="R43" s="23"/>
      <c r="S43" s="35">
        <f t="shared" si="20"/>
        <v>1</v>
      </c>
      <c r="T43" s="50" t="str">
        <f t="shared" si="2"/>
        <v>Southbound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06:50:36-700',mode:absolute,to:'2016-11-22 09:35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43" s="52" t="str">
        <f t="shared" si="4"/>
        <v>N</v>
      </c>
      <c r="X43" s="177">
        <f t="shared" si="5"/>
        <v>1</v>
      </c>
      <c r="Y43" s="67">
        <f t="shared" si="6"/>
        <v>23.299399999999999</v>
      </c>
      <c r="Z43" s="67">
        <f t="shared" si="7"/>
        <v>1.38E-2</v>
      </c>
      <c r="AA43" s="67">
        <f t="shared" si="8"/>
        <v>23.285599999999999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9"/>
        <v>0128-22</v>
      </c>
      <c r="AE43" s="91" t="str">
        <f t="shared" si="10"/>
        <v>aws s3 cp s3://rtdc.mdm.uploadarchive.raw/RTDC4021/ "%USERPROFILE%\AppData\Local\Temp\OnboardLogs"\RTDC4021\2016-11-22 --exclude "*" --recursive --include "*20161122*" &amp; "%USERPROFILE%\Documents\GitHub\mrs-test-scripts\Headless Mode &amp; Sideloading\WalkAndUnGZ.bat" "%USERPROFILE%\AppData\Local\Temp\OnboardLogs"\RTDC4021\2016-11-22 &amp; aws s3 cp s3://rtdc.mdm.uploadarchive.raw/RTDC4021/ "%USERPROFILE%\AppData\Local\Temp\OnboardLogs"\RTDC4021\2016-11-23 --exclude "*" --recursive --include "*20161123*" &amp; "%USERPROFILE%\Documents\GitHub\mrs-test-scripts\Headless Mode &amp; Sideloading\WalkAndUnGZ.bat" "%USERPROFILE%\AppData\Local\Temp\OnboardLogs"\RTDC4021\2016-11-23</v>
      </c>
      <c r="AF43" s="88" t="str">
        <f t="shared" si="11"/>
        <v>"C:\Program Files (x86)\AstroGrep\AstroGrep.exe" /spath="%USERPROFILE%\AppData\Local\Temp\OnboardLogs" /stypes="app*4021*20161122*" /stext=" 15:.+((SYSTEM_STATE.+slice.+state.+changed )|(ment ac)|(system.+state.+changed )|(\[timeout)|(PRM\|1\|D)|(kpr)|(kdp)|(\|lc)|(penalty))" /e /r /s</v>
      </c>
      <c r="AG43" s="1" t="str">
        <f t="shared" si="12"/>
        <v>EC</v>
      </c>
      <c r="AH43" s="92" t="str">
        <f t="shared" si="15"/>
        <v>"%USERPROFILE%\Documents\GitHub\eaglep3\Utilities\RefineRTDCRunTimes.py" --tripid 128-22 --locoid 4021 --swversion DE.1.0.8.0 --startMP 204:232994 --initTime 2016-11-22T07:50:36 --startdatetime 2016-11-22T07:56:15 --delay 1 --endMP 204:138 --enddatetime 2016-11-22T08:35:07 --enforcementcount 0 &gt;&gt;C:\Users\stu\Documents\GitHub\eaglep3-reporting\EC\2016-11-22-refined-times.txt</v>
      </c>
      <c r="AI43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{"issue":{"subject":"","project_id":79,"tracker_id":40,"status_id":1,"priority_id":2,"assigned_to_id":23,"start_date":"2016-11-22","description":"","custom_fields":[{"id":1,"name":"Subdivision","value":"EC"},{"id":4,"name":"Milepost","value":"0.0138"},{"id":17,"name":"Train ID","value":"128-22"},{"id":16,"name":"Locomotive ID","value":"4021"},{"id":130,"name":"Impact","value":""},{"id":150,"name":"Time of Event (Mountain Time)","value":"08:35:07"},{"id":151,"name":"Denver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476</v>
      </c>
      <c r="B44" s="7">
        <v>4031</v>
      </c>
      <c r="C44" s="22" t="s">
        <v>217</v>
      </c>
      <c r="D44" s="22" t="s">
        <v>267</v>
      </c>
      <c r="E44" s="13">
        <v>42696.299976851849</v>
      </c>
      <c r="F44" s="13">
        <v>42696.30232638889</v>
      </c>
      <c r="G44" s="7">
        <v>1</v>
      </c>
      <c r="H44" s="22" t="s">
        <v>332</v>
      </c>
      <c r="I44" s="13">
        <v>42696.327673611115</v>
      </c>
      <c r="J44" s="7">
        <v>0</v>
      </c>
      <c r="K44" s="109" t="str">
        <f t="shared" si="0"/>
        <v>4031/4032</v>
      </c>
      <c r="L44" s="22" t="str">
        <f>VLOOKUP(A44,'Trips&amp;Operators'!$C$1:$E$10000,3,FALSE)</f>
        <v>JOHNSON</v>
      </c>
      <c r="M44" s="6">
        <f t="shared" si="1"/>
        <v>2.5347222224809229E-2</v>
      </c>
      <c r="N44" s="7">
        <f t="shared" si="19"/>
        <v>36.50000000372529</v>
      </c>
      <c r="O44" s="7"/>
      <c r="P44" s="7"/>
      <c r="Q44" s="23"/>
      <c r="R44" s="23"/>
      <c r="S44" s="35">
        <f t="shared" si="20"/>
        <v>1</v>
      </c>
      <c r="T44" s="50" t="str">
        <f t="shared" si="2"/>
        <v>NorthBound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06:11:58-700',mode:absolute,to:'2016-11-22 08:51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4" s="52" t="str">
        <f t="shared" si="4"/>
        <v>N</v>
      </c>
      <c r="X44" s="177">
        <f t="shared" si="5"/>
        <v>1</v>
      </c>
      <c r="Y44" s="67">
        <f t="shared" si="6"/>
        <v>4.3999999999999997E-2</v>
      </c>
      <c r="Z44" s="67">
        <f t="shared" si="7"/>
        <v>23.332100000000001</v>
      </c>
      <c r="AA44" s="67">
        <f t="shared" si="8"/>
        <v>23.2881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9"/>
        <v>0129-22</v>
      </c>
      <c r="AE44" s="91" t="str">
        <f t="shared" si="10"/>
        <v>aws s3 cp s3://rtdc.mdm.uploadarchive.raw/RTDC4031/ "%USERPROFILE%\AppData\Local\Temp\OnboardLogs"\RTDC4031\2016-11-22 --exclude "*" --recursive --include "*20161122*" &amp; "%USERPROFILE%\Documents\GitHub\mrs-test-scripts\Headless Mode &amp; Sideloading\WalkAndUnGZ.bat" "%USERPROFILE%\AppData\Local\Temp\OnboardLogs"\RTDC4031\2016-11-22 &amp; aws s3 cp s3://rtdc.mdm.uploadarchive.raw/RTDC4031/ "%USERPROFILE%\AppData\Local\Temp\OnboardLogs"\RTDC4031\2016-11-23 --exclude "*" --recursive --include "*20161123*" &amp; "%USERPROFILE%\Documents\GitHub\mrs-test-scripts\Headless Mode &amp; Sideloading\WalkAndUnGZ.bat" "%USERPROFILE%\AppData\Local\Temp\OnboardLogs"\RTDC4031\2016-11-23</v>
      </c>
      <c r="AF44" s="88" t="str">
        <f t="shared" si="11"/>
        <v>"C:\Program Files (x86)\AstroGrep\AstroGrep.exe" /spath="%USERPROFILE%\AppData\Local\Temp\OnboardLogs" /stypes="app*4031*20161122*" /stext=" 14:.+((SYSTEM_STATE.+slice.+state.+changed )|(ment ac)|(system.+state.+changed )|(\[timeout)|(PRM\|1\|D)|(kpr)|(kdp)|(\|lc)|(penalty))" /e /r /s</v>
      </c>
      <c r="AG44" s="1" t="str">
        <f t="shared" si="12"/>
        <v>EC</v>
      </c>
      <c r="AH44" s="92" t="str">
        <f t="shared" si="15"/>
        <v>"%USERPROFILE%\Documents\GitHub\eaglep3\Utilities\RefineRTDCRunTimes.py" --tripid 129-22 --locoid 4031 --swversion DE.1.0.8.0 --startMP 204:440 --initTime 2016-11-22T07:11:58 --startdatetime 2016-11-22T07:15:21 --delay 1 --endMP 204:233321 --enddatetime 2016-11-22T07:51:51 --enforcementcount 0 &gt;&gt;C:\Users\stu\Documents\GitHub\eaglep3-reporting\EC\2016-11-22-refined-times.txt</v>
      </c>
      <c r="AI44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{"issue":{"subject":"","project_id":79,"tracker_id":40,"status_id":1,"priority_id":2,"assigned_to_id":23,"start_date":"2016-11-22","description":"","custom_fields":[{"id":1,"name":"Subdivision","value":"EC"},{"id":4,"name":"Milepost","value":"23.3321"},{"id":17,"name":"Train ID","value":"129-22"},{"id":16,"name":"Locomotive ID","value":"4031"},{"id":130,"name":"Impact","value":""},{"id":150,"name":"Time of Event (Mountain Time)","value":"07:51:51"},{"id":151,"name":"Denver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484</v>
      </c>
      <c r="B45" s="7">
        <v>4032</v>
      </c>
      <c r="C45" s="22" t="s">
        <v>217</v>
      </c>
      <c r="D45" s="22" t="s">
        <v>666</v>
      </c>
      <c r="E45" s="13">
        <v>42696.329583333332</v>
      </c>
      <c r="F45" s="13">
        <v>42696.341307870367</v>
      </c>
      <c r="G45" s="7">
        <v>1</v>
      </c>
      <c r="H45" s="22" t="s">
        <v>197</v>
      </c>
      <c r="I45" s="13">
        <v>42696.36959490741</v>
      </c>
      <c r="J45" s="7">
        <v>0</v>
      </c>
      <c r="K45" s="109" t="str">
        <f t="shared" si="0"/>
        <v>4031/4032</v>
      </c>
      <c r="L45" s="22" t="str">
        <f>VLOOKUP(A45,'Trips&amp;Operators'!$C$1:$E$10000,3,FALSE)</f>
        <v>JOHNSON</v>
      </c>
      <c r="M45" s="6">
        <f t="shared" ref="M45:M76" si="21">I45-F45</f>
        <v>2.828703704290092E-2</v>
      </c>
      <c r="N45" s="7">
        <f t="shared" si="19"/>
        <v>40.733333341777325</v>
      </c>
      <c r="O45" s="7"/>
      <c r="P45" s="7"/>
      <c r="Q45" s="23"/>
      <c r="R45" s="23"/>
      <c r="S45" s="35">
        <f t="shared" si="20"/>
        <v>1</v>
      </c>
      <c r="T45" s="50" t="str">
        <f t="shared" si="2"/>
        <v>Southbound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06:54:36-700',mode:absolute,to:'2016-11-22 09:52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5" s="52" t="str">
        <f t="shared" si="4"/>
        <v>N</v>
      </c>
      <c r="X45" s="177">
        <f t="shared" ref="X45:X76" si="22">VALUE(LEFT(AD45,4))-VALUE(LEFT(AD44,4))</f>
        <v>1</v>
      </c>
      <c r="Y45" s="67">
        <f t="shared" ref="Y45:Y76" si="23">RIGHT(D45,LEN(D45)-4)/10000</f>
        <v>23.300799999999999</v>
      </c>
      <c r="Z45" s="67">
        <f t="shared" ref="Z45:Z76" si="24">RIGHT(H45,LEN(H45)-4)/10000</f>
        <v>1.43E-2</v>
      </c>
      <c r="AA45" s="67">
        <f t="shared" si="8"/>
        <v>23.2865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9"/>
        <v>0130-22</v>
      </c>
      <c r="AE45" s="91" t="str">
        <f t="shared" si="10"/>
        <v>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 &amp; aws s3 cp s3://rtdc.mdm.uploadarchive.raw/RTDC4032/ "%USERPROFILE%\AppData\Local\Temp\OnboardLogs"\RTDC4032\2016-11-23 --exclude "*" --recursive --include "*20161123*" &amp; "%USERPROFILE%\Documents\GitHub\mrs-test-scripts\Headless Mode &amp; Sideloading\WalkAndUnGZ.bat" "%USERPROFILE%\AppData\Local\Temp\OnboardLogs"\RTDC4032\2016-11-23</v>
      </c>
      <c r="AF45" s="88" t="str">
        <f t="shared" si="11"/>
        <v>"C:\Program Files (x86)\AstroGrep\AstroGrep.exe" /spath="%USERPROFILE%\AppData\Local\Temp\OnboardLogs" /stypes="app*4032*20161122*" /stext=" 15:.+((SYSTEM_STATE.+slice.+state.+changed )|(ment ac)|(system.+state.+changed )|(\[timeout)|(PRM\|1\|D)|(kpr)|(kdp)|(\|lc)|(penalty))" /e /r /s</v>
      </c>
      <c r="AG45" s="1" t="str">
        <f t="shared" si="12"/>
        <v>EC</v>
      </c>
      <c r="AH45" s="92" t="str">
        <f t="shared" si="15"/>
        <v>"%USERPROFILE%\Documents\GitHub\eaglep3\Utilities\RefineRTDCRunTimes.py" --tripid 130-22 --locoid 4032 --swversion DE.1.0.8.0 --startMP 204:233008 --initTime 2016-11-22T07:54:36 --startdatetime 2016-11-22T08:11:29 --delay 1 --endMP 204:143 --enddatetime 2016-11-22T08:52:13 --enforcementcount 0 &gt;&gt;C:\Users\stu\Documents\GitHub\eaglep3-reporting\EC\2016-11-22-refined-times.txt</v>
      </c>
      <c r="AI45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{"issue":{"subject":"","project_id":79,"tracker_id":40,"status_id":1,"priority_id":2,"assigned_to_id":23,"start_date":"2016-11-22","description":"","custom_fields":[{"id":1,"name":"Subdivision","value":"EC"},{"id":4,"name":"Milepost","value":"0.0143"},{"id":17,"name":"Train ID","value":"130-22"},{"id":16,"name":"Locomotive ID","value":"4032"},{"id":130,"name":"Impact","value":""},{"id":150,"name":"Time of Event (Mountain Time)","value":"08:52:13"},{"id":151,"name":"Denver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479</v>
      </c>
      <c r="B46" s="7">
        <v>4046</v>
      </c>
      <c r="C46" s="22" t="s">
        <v>217</v>
      </c>
      <c r="D46" s="22" t="s">
        <v>667</v>
      </c>
      <c r="E46" s="13">
        <v>42696.309629629628</v>
      </c>
      <c r="F46" s="13">
        <v>42696.312789351854</v>
      </c>
      <c r="G46" s="7">
        <v>1</v>
      </c>
      <c r="H46" s="22" t="s">
        <v>330</v>
      </c>
      <c r="I46" s="13">
        <v>42696.337673611109</v>
      </c>
      <c r="J46" s="7">
        <v>0</v>
      </c>
      <c r="K46" s="109" t="str">
        <f t="shared" si="0"/>
        <v>4045/4046</v>
      </c>
      <c r="L46" s="22" t="str">
        <f>VLOOKUP(A46,'Trips&amp;Operators'!$C$1:$E$10000,3,FALSE)</f>
        <v>MCREYNOLDS</v>
      </c>
      <c r="M46" s="6">
        <f t="shared" si="21"/>
        <v>2.488425925548654E-2</v>
      </c>
      <c r="N46" s="7">
        <f t="shared" si="19"/>
        <v>35.833333327900618</v>
      </c>
      <c r="O46" s="7"/>
      <c r="P46" s="7"/>
      <c r="Q46" s="23"/>
      <c r="R46" s="23"/>
      <c r="S46" s="35">
        <f t="shared" si="20"/>
        <v>1</v>
      </c>
      <c r="T46" s="50" t="str">
        <f t="shared" si="2"/>
        <v>NorthBound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06:25:52-700',mode:absolute,to:'2016-11-22 09:06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6" s="52" t="str">
        <f t="shared" si="4"/>
        <v>N</v>
      </c>
      <c r="X46" s="177">
        <f t="shared" si="22"/>
        <v>1</v>
      </c>
      <c r="Y46" s="67">
        <f t="shared" si="23"/>
        <v>4.7500000000000001E-2</v>
      </c>
      <c r="Z46" s="67">
        <f t="shared" si="24"/>
        <v>23.3293</v>
      </c>
      <c r="AA46" s="67">
        <f t="shared" si="8"/>
        <v>23.2818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 t="shared" si="9"/>
        <v>0131-22</v>
      </c>
      <c r="AE46" s="91" t="str">
        <f t="shared" si="10"/>
        <v>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 &amp; 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</v>
      </c>
      <c r="AF46" s="88" t="str">
        <f t="shared" si="11"/>
        <v>"C:\Program Files (x86)\AstroGrep\AstroGrep.exe" /spath="%USERPROFILE%\AppData\Local\Temp\OnboardLogs" /stypes="app*4046*20161122*" /stext=" 15:.+((SYSTEM_STATE.+slice.+state.+changed )|(ment ac)|(system.+state.+changed )|(\[timeout)|(PRM\|1\|D)|(kpr)|(kdp)|(\|lc)|(penalty))" /e /r /s</v>
      </c>
      <c r="AG46" s="1" t="str">
        <f t="shared" si="12"/>
        <v>EC</v>
      </c>
      <c r="AH46" s="92" t="str">
        <f t="shared" si="15"/>
        <v>"%USERPROFILE%\Documents\GitHub\eaglep3\Utilities\RefineRTDCRunTimes.py" --tripid 131-22 --locoid 4046 --swversion DE.1.0.8.0 --startMP 204:475 --initTime 2016-11-22T07:25:52 --startdatetime 2016-11-22T07:30:25 --delay 1 --endMP 204:233293 --enddatetime 2016-11-22T08:06:15 --enforcementcount 0 &gt;&gt;C:\Users\stu\Documents\GitHub\eaglep3-reporting\EC\2016-11-22-refined-times.txt</v>
      </c>
      <c r="AI46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{"issue":{"subject":"","project_id":79,"tracker_id":40,"status_id":1,"priority_id":2,"assigned_to_id":23,"start_date":"2016-11-22","description":"","custom_fields":[{"id":1,"name":"Subdivision","value":"EC"},{"id":4,"name":"Milepost","value":"23.3293"},{"id":17,"name":"Train ID","value":"131-22"},{"id":16,"name":"Locomotive ID","value":"4046"},{"id":130,"name":"Impact","value":""},{"id":150,"name":"Time of Event (Mountain Time)","value":"08:06:15"},{"id":151,"name":"Denver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487</v>
      </c>
      <c r="B47" s="7">
        <v>4045</v>
      </c>
      <c r="C47" s="22" t="s">
        <v>217</v>
      </c>
      <c r="D47" s="22" t="s">
        <v>253</v>
      </c>
      <c r="E47" s="13">
        <v>42696.344236111108</v>
      </c>
      <c r="F47" s="13">
        <v>42696.351620370369</v>
      </c>
      <c r="G47" s="7">
        <v>1</v>
      </c>
      <c r="H47" s="22" t="s">
        <v>275</v>
      </c>
      <c r="I47" s="13">
        <v>42696.380694444444</v>
      </c>
      <c r="J47" s="7">
        <v>0</v>
      </c>
      <c r="K47" s="109" t="str">
        <f t="shared" si="0"/>
        <v>4045/4046</v>
      </c>
      <c r="L47" s="22" t="str">
        <f>VLOOKUP(A47,'Trips&amp;Operators'!$C$1:$E$10000,3,FALSE)</f>
        <v>MCREYNOLDS</v>
      </c>
      <c r="M47" s="6">
        <f t="shared" si="21"/>
        <v>2.9074074074742384E-2</v>
      </c>
      <c r="N47" s="7">
        <f t="shared" si="19"/>
        <v>41.866666667629033</v>
      </c>
      <c r="O47" s="7"/>
      <c r="P47" s="7"/>
      <c r="Q47" s="23"/>
      <c r="R47" s="23"/>
      <c r="S47" s="35">
        <f t="shared" si="20"/>
        <v>1</v>
      </c>
      <c r="T47" s="50" t="str">
        <f t="shared" si="2"/>
        <v>Southbound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07:15:42-700',mode:absolute,to:'2016-11-22 10:08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7" s="52" t="str">
        <f t="shared" si="4"/>
        <v>N</v>
      </c>
      <c r="X47" s="177">
        <f t="shared" si="22"/>
        <v>1</v>
      </c>
      <c r="Y47" s="67">
        <f t="shared" si="23"/>
        <v>23.297999999999998</v>
      </c>
      <c r="Z47" s="67">
        <f t="shared" si="24"/>
        <v>1.47E-2</v>
      </c>
      <c r="AA47" s="67">
        <f t="shared" si="8"/>
        <v>23.283299999999997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9"/>
        <v>0132-22</v>
      </c>
      <c r="AE47" s="91" t="str">
        <f t="shared" si="10"/>
        <v>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 &amp; aws s3 cp s3://rtdc.mdm.uploadarchive.raw/RTDC4045/ "%USERPROFILE%\AppData\Local\Temp\OnboardLogs"\RTDC4045\2016-11-23 --exclude "*" --recursive --include "*20161123*" &amp; "%USERPROFILE%\Documents\GitHub\mrs-test-scripts\Headless Mode &amp; Sideloading\WalkAndUnGZ.bat" "%USERPROFILE%\AppData\Local\Temp\OnboardLogs"\RTDC4045\2016-11-23</v>
      </c>
      <c r="AF47" s="88" t="str">
        <f t="shared" si="11"/>
        <v>"C:\Program Files (x86)\AstroGrep\AstroGrep.exe" /spath="%USERPROFILE%\AppData\Local\Temp\OnboardLogs" /stypes="app*4045*20161122*" /stext=" 16:.+((SYSTEM_STATE.+slice.+state.+changed )|(ment ac)|(system.+state.+changed )|(\[timeout)|(PRM\|1\|D)|(kpr)|(kdp)|(\|lc)|(penalty))" /e /r /s</v>
      </c>
      <c r="AG47" s="1" t="str">
        <f t="shared" si="12"/>
        <v>EC</v>
      </c>
      <c r="AH47" s="92" t="str">
        <f t="shared" si="15"/>
        <v>"%USERPROFILE%\Documents\GitHub\eaglep3\Utilities\RefineRTDCRunTimes.py" --tripid 132-22 --locoid 4045 --swversion DE.1.0.8.0 --startMP 204:232980 --initTime 2016-11-22T08:15:42 --startdatetime 2016-11-22T08:26:20 --delay 1 --endMP 204:147 --enddatetime 2016-11-22T09:08:12 --enforcementcount 0 &gt;&gt;C:\Users\stu\Documents\GitHub\eaglep3-reporting\EC\2016-11-22-refined-times.txt</v>
      </c>
      <c r="AI47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{"issue":{"subject":"","project_id":79,"tracker_id":40,"status_id":1,"priority_id":2,"assigned_to_id":23,"start_date":"2016-11-22","description":"","custom_fields":[{"id":1,"name":"Subdivision","value":"EC"},{"id":4,"name":"Milepost","value":"0.0147"},{"id":17,"name":"Train ID","value":"132-22"},{"id":16,"name":"Locomotive ID","value":"4045"},{"id":130,"name":"Impact","value":""},{"id":150,"name":"Time of Event (Mountain Time)","value":"09:08:12"},{"id":151,"name":"Denver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481</v>
      </c>
      <c r="B48" s="7">
        <v>4038</v>
      </c>
      <c r="C48" s="22" t="s">
        <v>217</v>
      </c>
      <c r="D48" s="22" t="s">
        <v>344</v>
      </c>
      <c r="E48" s="13">
        <v>42696.320092592592</v>
      </c>
      <c r="F48" s="13">
        <v>42696.323067129626</v>
      </c>
      <c r="G48" s="7">
        <v>4</v>
      </c>
      <c r="H48" s="22" t="s">
        <v>187</v>
      </c>
      <c r="I48" s="13">
        <v>42696.347858796296</v>
      </c>
      <c r="J48" s="7">
        <v>0</v>
      </c>
      <c r="K48" s="109" t="str">
        <f t="shared" si="0"/>
        <v>4037/4038</v>
      </c>
      <c r="L48" s="22" t="str">
        <f>VLOOKUP(A48,'Trips&amp;Operators'!$C$1:$E$10000,3,FALSE)</f>
        <v>RICHARDSON</v>
      </c>
      <c r="M48" s="6">
        <f t="shared" si="21"/>
        <v>2.4791666670353152E-2</v>
      </c>
      <c r="N48" s="7">
        <f t="shared" si="19"/>
        <v>35.700000005308539</v>
      </c>
      <c r="O48" s="7"/>
      <c r="P48" s="7"/>
      <c r="Q48" s="23"/>
      <c r="R48" s="23"/>
      <c r="S48" s="35">
        <f t="shared" si="20"/>
        <v>1</v>
      </c>
      <c r="T48" s="50" t="str">
        <f t="shared" si="2"/>
        <v>NorthBound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06:40:56-700',mode:absolute,to:'2016-11-22 09:20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48" s="52" t="str">
        <f t="shared" si="4"/>
        <v>N</v>
      </c>
      <c r="X48" s="177">
        <f t="shared" si="22"/>
        <v>1</v>
      </c>
      <c r="Y48" s="67">
        <f t="shared" si="23"/>
        <v>4.1500000000000002E-2</v>
      </c>
      <c r="Z48" s="67">
        <f t="shared" si="24"/>
        <v>23.329699999999999</v>
      </c>
      <c r="AA48" s="67">
        <f t="shared" si="8"/>
        <v>23.2882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9"/>
        <v>0133-22</v>
      </c>
      <c r="AE48" s="91" t="str">
        <f t="shared" si="10"/>
        <v>aws s3 cp s3://rtdc.mdm.uploadarchive.raw/RTDC4038/ "%USERPROFILE%\AppData\Local\Temp\OnboardLogs"\RTDC4038\2016-11-22 --exclude "*" --recursive --include "*20161122*" &amp; "%USERPROFILE%\Documents\GitHub\mrs-test-scripts\Headless Mode &amp; Sideloading\WalkAndUnGZ.bat" "%USERPROFILE%\AppData\Local\Temp\OnboardLogs"\RTDC4038\2016-11-22 &amp; aws s3 cp s3://rtdc.mdm.uploadarchive.raw/RTDC4038/ "%USERPROFILE%\AppData\Local\Temp\OnboardLogs"\RTDC4038\2016-11-23 --exclude "*" --recursive --include "*20161123*" &amp; "%USERPROFILE%\Documents\GitHub\mrs-test-scripts\Headless Mode &amp; Sideloading\WalkAndUnGZ.bat" "%USERPROFILE%\AppData\Local\Temp\OnboardLogs"\RTDC4038\2016-11-23</v>
      </c>
      <c r="AF48" s="88" t="str">
        <f t="shared" si="11"/>
        <v>"C:\Program Files (x86)\AstroGrep\AstroGrep.exe" /spath="%USERPROFILE%\AppData\Local\Temp\OnboardLogs" /stypes="app*4038*20161122*" /stext=" 15:.+((SYSTEM_STATE.+slice.+state.+changed )|(ment ac)|(system.+state.+changed )|(\[timeout)|(PRM\|1\|D)|(kpr)|(kdp)|(\|lc)|(penalty))" /e /r /s</v>
      </c>
      <c r="AG48" s="1" t="str">
        <f t="shared" si="12"/>
        <v>EC</v>
      </c>
      <c r="AH48" s="92" t="str">
        <f t="shared" si="15"/>
        <v>"%USERPROFILE%\Documents\GitHub\eaglep3\Utilities\RefineRTDCRunTimes.py" --tripid 133-22 --locoid 4038 --swversion DE.1.0.8.0 --startMP 204:415 --initTime 2016-11-22T07:40:56 --startdatetime 2016-11-22T07:45:13 --delay 4 --endMP 204:233297 --enddatetime 2016-11-22T08:20:55 --enforcementcount 0 &gt;&gt;C:\Users\stu\Documents\GitHub\eaglep3-reporting\EC\2016-11-22-refined-times.txt</v>
      </c>
      <c r="AI48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{"issue":{"subject":"","project_id":79,"tracker_id":40,"status_id":1,"priority_id":2,"assigned_to_id":23,"start_date":"2016-11-22","description":"","custom_fields":[{"id":1,"name":"Subdivision","value":"EC"},{"id":4,"name":"Milepost","value":"23.3297"},{"id":17,"name":"Train ID","value":"133-22"},{"id":16,"name":"Locomotive ID","value":"4038"},{"id":130,"name":"Impact","value":""},{"id":150,"name":"Time of Event (Mountain Time)","value":"08:20:55"},{"id":151,"name":"Denver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425</v>
      </c>
      <c r="B49" s="7">
        <v>4037</v>
      </c>
      <c r="C49" s="22" t="s">
        <v>217</v>
      </c>
      <c r="D49" s="22" t="s">
        <v>262</v>
      </c>
      <c r="E49" s="13">
        <v>42696.353194444448</v>
      </c>
      <c r="F49" s="13">
        <v>42696.361967592595</v>
      </c>
      <c r="G49" s="7">
        <v>3</v>
      </c>
      <c r="H49" s="22" t="s">
        <v>255</v>
      </c>
      <c r="I49" s="13">
        <v>42696.38921296296</v>
      </c>
      <c r="J49" s="7">
        <v>1</v>
      </c>
      <c r="K49" s="109" t="str">
        <f t="shared" si="0"/>
        <v>4037/4038</v>
      </c>
      <c r="L49" s="22" t="str">
        <f>VLOOKUP(A49,'Trips&amp;Operators'!$C$1:$E$10000,3,FALSE)</f>
        <v>RICHARDSON</v>
      </c>
      <c r="M49" s="6">
        <f t="shared" si="21"/>
        <v>2.7245370365562849E-2</v>
      </c>
      <c r="N49" s="7">
        <f t="shared" si="19"/>
        <v>39.233333326410502</v>
      </c>
      <c r="O49" s="7"/>
      <c r="P49" s="7"/>
      <c r="Q49" s="23"/>
      <c r="R49" s="23"/>
      <c r="S49" s="35">
        <f t="shared" si="20"/>
        <v>1</v>
      </c>
      <c r="T49" s="50" t="str">
        <f t="shared" si="2"/>
        <v>Southbound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07:28:36-700',mode:absolute,to:'2016-11-22 10:20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9" s="52" t="str">
        <f t="shared" si="4"/>
        <v>N</v>
      </c>
      <c r="X49" s="177">
        <f t="shared" si="22"/>
        <v>1</v>
      </c>
      <c r="Y49" s="67">
        <f t="shared" si="23"/>
        <v>23.299399999999999</v>
      </c>
      <c r="Z49" s="67">
        <f t="shared" si="24"/>
        <v>1.41E-2</v>
      </c>
      <c r="AA49" s="67">
        <f t="shared" si="8"/>
        <v>23.285299999999999</v>
      </c>
      <c r="AB49" s="64" t="str">
        <f>VLOOKUP(A49,Enforcements!$C$7:$K$20,8,0)</f>
        <v>Speed (6)</v>
      </c>
      <c r="AC49" s="60" t="str">
        <f>VLOOKUP(A49,Enforcements!$C$7:$E$20,3,0)</f>
        <v>PERMANENT SPEED RESTRICTION</v>
      </c>
      <c r="AD49" s="61" t="str">
        <f t="shared" si="9"/>
        <v>0134-22</v>
      </c>
      <c r="AE49" s="91" t="str">
        <f t="shared" si="10"/>
        <v>aws s3 cp s3://rtdc.mdm.uploadarchive.raw/RTDC4037/ "%USERPROFILE%\AppData\Local\Temp\OnboardLogs"\RTDC4037\2016-11-22 --exclude "*" --recursive --include "*20161122*" &amp; "%USERPROFILE%\Documents\GitHub\mrs-test-scripts\Headless Mode &amp; Sideloading\WalkAndUnGZ.bat" "%USERPROFILE%\AppData\Local\Temp\OnboardLogs"\RTDC4037\2016-11-22 &amp; aws s3 cp s3://rtdc.mdm.uploadarchive.raw/RTDC4037/ "%USERPROFILE%\AppData\Local\Temp\OnboardLogs"\RTDC4037\2016-11-23 --exclude "*" --recursive --include "*20161123*" &amp; "%USERPROFILE%\Documents\GitHub\mrs-test-scripts\Headless Mode &amp; Sideloading\WalkAndUnGZ.bat" "%USERPROFILE%\AppData\Local\Temp\OnboardLogs"\RTDC4037\2016-11-23</v>
      </c>
      <c r="AF49" s="88" t="str">
        <f t="shared" si="11"/>
        <v>"C:\Program Files (x86)\AstroGrep\AstroGrep.exe" /spath="%USERPROFILE%\AppData\Local\Temp\OnboardLogs" /stypes="app*4037*20161122*" /stext=" 16:.+((SYSTEM_STATE.+slice.+state.+changed )|(ment ac)|(system.+state.+changed )|(\[timeout)|(PRM\|1\|D)|(kpr)|(kdp)|(\|lc)|(penalty))" /e /r /s</v>
      </c>
      <c r="AG49" s="1" t="str">
        <f t="shared" si="12"/>
        <v>EC</v>
      </c>
      <c r="AH49" s="92" t="str">
        <f t="shared" si="15"/>
        <v>"%USERPROFILE%\Documents\GitHub\eaglep3\Utilities\RefineRTDCRunTimes.py" --tripid 134-22 --locoid 4037 --swversion DE.1.0.8.0 --startMP 204:232994 --initTime 2016-11-22T08:28:36 --startdatetime 2016-11-22T08:41:14 --delay 3 --endMP 204:141 --enddatetime 2016-11-22T09:20:28 --enforcementcount 1 &gt;&gt;C:\Users\stu\Documents\GitHub\eaglep3-reporting\EC\2016-11-22-refined-times.txt</v>
      </c>
      <c r="AI49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{"issue":{"subject":"","project_id":79,"tracker_id":40,"status_id":1,"priority_id":2,"assigned_to_id":23,"start_date":"2016-11-22","description":"","custom_fields":[{"id":1,"name":"Subdivision","value":"EC"},{"id":4,"name":"Milepost","value":"0.0141"},{"id":17,"name":"Train ID","value":"134-22"},{"id":16,"name":"Locomotive ID","value":"4037"},{"id":130,"name":"Impact","value":""},{"id":150,"name":"Time of Event (Mountain Time)","value":"09:20:28"},{"id":151,"name":"Denver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485</v>
      </c>
      <c r="B50" s="7">
        <v>4002</v>
      </c>
      <c r="C50" s="22" t="s">
        <v>217</v>
      </c>
      <c r="D50" s="22" t="s">
        <v>199</v>
      </c>
      <c r="E50" s="13">
        <v>42696.329675925925</v>
      </c>
      <c r="F50" s="13">
        <v>42696.336157407408</v>
      </c>
      <c r="G50" s="7">
        <v>1</v>
      </c>
      <c r="H50" s="22" t="s">
        <v>668</v>
      </c>
      <c r="I50" s="13">
        <v>42696.360983796294</v>
      </c>
      <c r="J50" s="7">
        <v>0</v>
      </c>
      <c r="K50" s="109" t="str">
        <f t="shared" si="0"/>
        <v>4001/4002</v>
      </c>
      <c r="L50" s="22" t="str">
        <f>VLOOKUP(A50,'Trips&amp;Operators'!$C$1:$E$10000,3,FALSE)</f>
        <v>SPECTOR</v>
      </c>
      <c r="M50" s="6">
        <f t="shared" si="21"/>
        <v>2.4826388886140194E-2</v>
      </c>
      <c r="N50" s="7">
        <f t="shared" si="19"/>
        <v>35.749999996041879</v>
      </c>
      <c r="O50" s="7"/>
      <c r="P50" s="7"/>
      <c r="Q50" s="23"/>
      <c r="R50" s="23"/>
      <c r="S50" s="35">
        <f t="shared" si="20"/>
        <v>1</v>
      </c>
      <c r="T50" s="50" t="str">
        <f t="shared" si="2"/>
        <v>NorthBound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06:54:44-700',mode:absolute,to:'2016-11-22 09:39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0" s="52" t="str">
        <f t="shared" si="4"/>
        <v>N</v>
      </c>
      <c r="X50" s="177">
        <f t="shared" si="22"/>
        <v>1</v>
      </c>
      <c r="Y50" s="67">
        <f t="shared" si="23"/>
        <v>4.53E-2</v>
      </c>
      <c r="Z50" s="67">
        <f t="shared" si="24"/>
        <v>23.330500000000001</v>
      </c>
      <c r="AA50" s="67">
        <f t="shared" si="8"/>
        <v>23.2852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9"/>
        <v>0135-22</v>
      </c>
      <c r="AE50" s="91" t="str">
        <f t="shared" si="10"/>
        <v>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 &amp; aws s3 cp s3://rtdc.mdm.uploadarchive.raw/RTDC4002/ "%USERPROFILE%\AppData\Local\Temp\OnboardLogs"\RTDC4002\2016-11-23 --exclude "*" --recursive --include "*20161123*" &amp; "%USERPROFILE%\Documents\GitHub\mrs-test-scripts\Headless Mode &amp; Sideloading\WalkAndUnGZ.bat" "%USERPROFILE%\AppData\Local\Temp\OnboardLogs"\RTDC4002\2016-11-23</v>
      </c>
      <c r="AF50" s="88" t="str">
        <f t="shared" si="11"/>
        <v>"C:\Program Files (x86)\AstroGrep\AstroGrep.exe" /spath="%USERPROFILE%\AppData\Local\Temp\OnboardLogs" /stypes="app*4002*20161122*" /stext=" 15:.+((SYSTEM_STATE.+slice.+state.+changed )|(ment ac)|(system.+state.+changed )|(\[timeout)|(PRM\|1\|D)|(kpr)|(kdp)|(\|lc)|(penalty))" /e /r /s</v>
      </c>
      <c r="AG50" s="1" t="str">
        <f t="shared" si="12"/>
        <v>EC</v>
      </c>
      <c r="AH50" s="92" t="str">
        <f t="shared" si="15"/>
        <v>"%USERPROFILE%\Documents\GitHub\eaglep3\Utilities\RefineRTDCRunTimes.py" --tripid 135-22 --locoid 4002 --swversion DE.1.0.8.0 --startMP 204:453 --initTime 2016-11-22T07:54:44 --startdatetime 2016-11-22T08:04:04 --delay 1 --endMP 204:233305 --enddatetime 2016-11-22T08:39:49 --enforcementcount 0 &gt;&gt;C:\Users\stu\Documents\GitHub\eaglep3-reporting\EC\2016-11-22-refined-times.txt</v>
      </c>
      <c r="AI50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{"issue":{"subject":"","project_id":79,"tracker_id":40,"status_id":1,"priority_id":2,"assigned_to_id":23,"start_date":"2016-11-22","description":"","custom_fields":[{"id":1,"name":"Subdivision","value":"EC"},{"id":4,"name":"Milepost","value":"23.3305"},{"id":17,"name":"Train ID","value":"135-22"},{"id":16,"name":"Locomotive ID","value":"4002"},{"id":130,"name":"Impact","value":""},{"id":150,"name":"Time of Event (Mountain Time)","value":"08:39:49"},{"id":151,"name":"Denver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492</v>
      </c>
      <c r="B51" s="7">
        <v>4001</v>
      </c>
      <c r="C51" s="22" t="s">
        <v>217</v>
      </c>
      <c r="D51" s="22" t="s">
        <v>333</v>
      </c>
      <c r="E51" s="13">
        <v>42696.366550925923</v>
      </c>
      <c r="F51" s="13">
        <v>42696.372407407405</v>
      </c>
      <c r="G51" s="7">
        <v>1</v>
      </c>
      <c r="H51" s="22" t="s">
        <v>255</v>
      </c>
      <c r="I51" s="13">
        <v>42696.398356481484</v>
      </c>
      <c r="J51" s="7">
        <v>0</v>
      </c>
      <c r="K51" s="109" t="str">
        <f t="shared" si="0"/>
        <v>4001/4002</v>
      </c>
      <c r="L51" s="22" t="str">
        <f>VLOOKUP(A51,'Trips&amp;Operators'!$C$1:$E$10000,3,FALSE)</f>
        <v>SPECTOR</v>
      </c>
      <c r="M51" s="6">
        <f t="shared" si="21"/>
        <v>2.5949074079107959E-2</v>
      </c>
      <c r="N51" s="7">
        <f t="shared" si="19"/>
        <v>37.366666673915461</v>
      </c>
      <c r="O51" s="7"/>
      <c r="P51" s="7"/>
      <c r="Q51" s="23"/>
      <c r="R51" s="23"/>
      <c r="S51" s="35">
        <f t="shared" si="20"/>
        <v>1</v>
      </c>
      <c r="T51" s="50" t="str">
        <f t="shared" si="2"/>
        <v>Southbound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07:47:50-700',mode:absolute,to:'2016-11-22 10:33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1" s="52" t="str">
        <f t="shared" si="4"/>
        <v>N</v>
      </c>
      <c r="X51" s="177">
        <f t="shared" si="22"/>
        <v>1</v>
      </c>
      <c r="Y51" s="67">
        <f t="shared" si="23"/>
        <v>23.298400000000001</v>
      </c>
      <c r="Z51" s="67">
        <f t="shared" si="24"/>
        <v>1.41E-2</v>
      </c>
      <c r="AA51" s="67">
        <f t="shared" si="8"/>
        <v>23.284300000000002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 t="shared" si="9"/>
        <v>0136-22</v>
      </c>
      <c r="AE51" s="91" t="str">
        <f t="shared" si="10"/>
        <v>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 &amp; aws s3 cp s3://rtdc.mdm.uploadarchive.raw/RTDC4001/ "%USERPROFILE%\AppData\Local\Temp\OnboardLogs"\RTDC4001\2016-11-23 --exclude "*" --recursive --include "*20161123*" &amp; "%USERPROFILE%\Documents\GitHub\mrs-test-scripts\Headless Mode &amp; Sideloading\WalkAndUnGZ.bat" "%USERPROFILE%\AppData\Local\Temp\OnboardLogs"\RTDC4001\2016-11-23</v>
      </c>
      <c r="AF51" s="88" t="str">
        <f t="shared" si="11"/>
        <v>"C:\Program Files (x86)\AstroGrep\AstroGrep.exe" /spath="%USERPROFILE%\AppData\Local\Temp\OnboardLogs" /stypes="app*4001*20161122*" /stext=" 16:.+((SYSTEM_STATE.+slice.+state.+changed )|(ment ac)|(system.+state.+changed )|(\[timeout)|(PRM\|1\|D)|(kpr)|(kdp)|(\|lc)|(penalty))" /e /r /s</v>
      </c>
      <c r="AG51" s="1" t="str">
        <f t="shared" si="12"/>
        <v>EC</v>
      </c>
      <c r="AH51" s="92" t="str">
        <f t="shared" si="15"/>
        <v>"%USERPROFILE%\Documents\GitHub\eaglep3\Utilities\RefineRTDCRunTimes.py" --tripid 136-22 --locoid 4001 --swversion DE.1.0.8.0 --startMP 204:232984 --initTime 2016-11-22T08:47:50 --startdatetime 2016-11-22T08:56:16 --delay 1 --endMP 204:141 --enddatetime 2016-11-22T09:33:38 --enforcementcount 0 &gt;&gt;C:\Users\stu\Documents\GitHub\eaglep3-reporting\EC\2016-11-22-refined-times.txt</v>
      </c>
      <c r="AI51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{"issue":{"subject":"","project_id":79,"tracker_id":40,"status_id":1,"priority_id":2,"assigned_to_id":23,"start_date":"2016-11-22","description":"","custom_fields":[{"id":1,"name":"Subdivision","value":"EC"},{"id":4,"name":"Milepost","value":"0.0141"},{"id":17,"name":"Train ID","value":"136-22"},{"id":16,"name":"Locomotive ID","value":"4001"},{"id":130,"name":"Impact","value":""},{"id":150,"name":"Time of Event (Mountain Time)","value":"09:33:38"},{"id":151,"name":"Denver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486</v>
      </c>
      <c r="B52" s="7">
        <v>4027</v>
      </c>
      <c r="C52" s="22" t="s">
        <v>217</v>
      </c>
      <c r="D52" s="22" t="s">
        <v>669</v>
      </c>
      <c r="E52" s="13">
        <v>42696.340532407405</v>
      </c>
      <c r="F52" s="13">
        <v>42696.343912037039</v>
      </c>
      <c r="G52" s="7">
        <v>1</v>
      </c>
      <c r="H52" s="22" t="s">
        <v>200</v>
      </c>
      <c r="I52" s="13">
        <v>42696.369340277779</v>
      </c>
      <c r="J52" s="7">
        <v>0</v>
      </c>
      <c r="K52" s="109" t="str">
        <f t="shared" si="0"/>
        <v>4027/4028</v>
      </c>
      <c r="L52" s="22" t="str">
        <f>VLOOKUP(A52,'Trips&amp;Operators'!$C$1:$E$10000,3,FALSE)</f>
        <v>DAVIS</v>
      </c>
      <c r="M52" s="6">
        <f t="shared" si="21"/>
        <v>2.5428240740438923E-2</v>
      </c>
      <c r="N52" s="7">
        <f t="shared" si="19"/>
        <v>36.616666666232049</v>
      </c>
      <c r="O52" s="7"/>
      <c r="P52" s="7"/>
      <c r="Q52" s="23"/>
      <c r="R52" s="23"/>
      <c r="S52" s="35">
        <f t="shared" si="20"/>
        <v>1</v>
      </c>
      <c r="T52" s="50" t="str">
        <f t="shared" si="2"/>
        <v>NorthBound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07:10:22-700',mode:absolute,to:'2016-11-22 09:51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52" s="52" t="str">
        <f t="shared" si="4"/>
        <v>N</v>
      </c>
      <c r="X52" s="177">
        <f t="shared" si="22"/>
        <v>1</v>
      </c>
      <c r="Y52" s="67">
        <f t="shared" si="23"/>
        <v>4.2700000000000002E-2</v>
      </c>
      <c r="Z52" s="67">
        <f t="shared" si="24"/>
        <v>23.329499999999999</v>
      </c>
      <c r="AA52" s="67">
        <f t="shared" si="8"/>
        <v>23.286799999999999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 t="shared" si="9"/>
        <v>0137-22</v>
      </c>
      <c r="AE52" s="91" t="str">
        <f t="shared" si="10"/>
        <v>aws s3 cp s3://rtdc.mdm.uploadarchive.raw/RTDC4027/ "%USERPROFILE%\AppData\Local\Temp\OnboardLogs"\RTDC4027\2016-11-22 --exclude "*" --recursive --include "*20161122*" &amp; "%USERPROFILE%\Documents\GitHub\mrs-test-scripts\Headless Mode &amp; Sideloading\WalkAndUnGZ.bat" "%USERPROFILE%\AppData\Local\Temp\OnboardLogs"\RTDC4027\2016-11-22 &amp; aws s3 cp s3://rtdc.mdm.uploadarchive.raw/RTDC4027/ "%USERPROFILE%\AppData\Local\Temp\OnboardLogs"\RTDC4027\2016-11-23 --exclude "*" --recursive --include "*20161123*" &amp; "%USERPROFILE%\Documents\GitHub\mrs-test-scripts\Headless Mode &amp; Sideloading\WalkAndUnGZ.bat" "%USERPROFILE%\AppData\Local\Temp\OnboardLogs"\RTDC4027\2016-11-23</v>
      </c>
      <c r="AF52" s="88" t="str">
        <f t="shared" si="11"/>
        <v>"C:\Program Files (x86)\AstroGrep\AstroGrep.exe" /spath="%USERPROFILE%\AppData\Local\Temp\OnboardLogs" /stypes="app*4027*20161122*" /stext=" 15:.+((SYSTEM_STATE.+slice.+state.+changed )|(ment ac)|(system.+state.+changed )|(\[timeout)|(PRM\|1\|D)|(kpr)|(kdp)|(\|lc)|(penalty))" /e /r /s</v>
      </c>
      <c r="AG52" s="1" t="str">
        <f t="shared" si="12"/>
        <v>EC</v>
      </c>
      <c r="AH52" s="92" t="str">
        <f t="shared" si="15"/>
        <v>"%USERPROFILE%\Documents\GitHub\eaglep3\Utilities\RefineRTDCRunTimes.py" --tripid 137-22 --locoid 4027 --swversion DE.1.0.8.0 --startMP 204:427 --initTime 2016-11-22T08:10:22 --startdatetime 2016-11-22T08:15:14 --delay 1 --endMP 204:233295 --enddatetime 2016-11-22T08:51:51 --enforcementcount 0 &gt;&gt;C:\Users\stu\Documents\GitHub\eaglep3-reporting\EC\2016-11-22-refined-times.txt</v>
      </c>
      <c r="AI52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{"issue":{"subject":"","project_id":79,"tracker_id":40,"status_id":1,"priority_id":2,"assigned_to_id":23,"start_date":"2016-11-22","description":"","custom_fields":[{"id":1,"name":"Subdivision","value":"EC"},{"id":4,"name":"Milepost","value":"23.3295"},{"id":17,"name":"Train ID","value":"137-22"},{"id":16,"name":"Locomotive ID","value":"4027"},{"id":130,"name":"Impact","value":""},{"id":150,"name":"Time of Event (Mountain Time)","value":"08:51:51"},{"id":151,"name":"Denver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426</v>
      </c>
      <c r="B53" s="7">
        <v>4028</v>
      </c>
      <c r="C53" s="22" t="s">
        <v>217</v>
      </c>
      <c r="D53" s="22" t="s">
        <v>670</v>
      </c>
      <c r="E53" s="13">
        <v>42696.378252314818</v>
      </c>
      <c r="F53" s="13">
        <v>42696.382800925923</v>
      </c>
      <c r="G53" s="7">
        <v>1</v>
      </c>
      <c r="H53" s="22" t="s">
        <v>671</v>
      </c>
      <c r="I53" s="13">
        <v>42696.40996527778</v>
      </c>
      <c r="J53" s="7">
        <v>1</v>
      </c>
      <c r="K53" s="109" t="str">
        <f t="shared" si="0"/>
        <v>4027/4028</v>
      </c>
      <c r="L53" s="22" t="str">
        <f>VLOOKUP(A53,'Trips&amp;Operators'!$C$1:$E$10000,3,FALSE)</f>
        <v>DAVIS</v>
      </c>
      <c r="M53" s="6">
        <f t="shared" si="21"/>
        <v>2.7164351857209112E-2</v>
      </c>
      <c r="N53" s="7">
        <f t="shared" si="19"/>
        <v>39.116666674381122</v>
      </c>
      <c r="O53" s="7"/>
      <c r="P53" s="7"/>
      <c r="Q53" s="23"/>
      <c r="R53" s="23"/>
      <c r="S53" s="35">
        <f t="shared" si="20"/>
        <v>1</v>
      </c>
      <c r="T53" s="50" t="str">
        <f t="shared" si="2"/>
        <v>Southbound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08:04:41-700',mode:absolute,to:'2016-11-22 10:50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53" s="52" t="str">
        <f t="shared" si="4"/>
        <v>N</v>
      </c>
      <c r="X53" s="177">
        <f t="shared" si="22"/>
        <v>1</v>
      </c>
      <c r="Y53" s="67">
        <f t="shared" si="23"/>
        <v>23.3004</v>
      </c>
      <c r="Z53" s="67">
        <f t="shared" si="24"/>
        <v>1.2500000000000001E-2</v>
      </c>
      <c r="AA53" s="67">
        <f t="shared" si="8"/>
        <v>23.2879</v>
      </c>
      <c r="AB53" s="64" t="str">
        <f>VLOOKUP(A53,Enforcements!$C$7:$K$20,8,0)</f>
        <v>Signal based authority (5)</v>
      </c>
      <c r="AC53" s="60" t="str">
        <f>VLOOKUP(A53,Enforcements!$C$7:$E$20,3,0)</f>
        <v>SIGNAL</v>
      </c>
      <c r="AD53" s="61" t="str">
        <f t="shared" si="9"/>
        <v>0138-22</v>
      </c>
      <c r="AE53" s="91" t="str">
        <f t="shared" si="10"/>
        <v>aws s3 cp s3://rtdc.mdm.uploadarchive.raw/RTDC4028/ "%USERPROFILE%\AppData\Local\Temp\OnboardLogs"\RTDC4028\2016-11-22 --exclude "*" --recursive --include "*20161122*" &amp; "%USERPROFILE%\Documents\GitHub\mrs-test-scripts\Headless Mode &amp; Sideloading\WalkAndUnGZ.bat" "%USERPROFILE%\AppData\Local\Temp\OnboardLogs"\RTDC4028\2016-11-22 &amp; aws s3 cp s3://rtdc.mdm.uploadarchive.raw/RTDC4028/ "%USERPROFILE%\AppData\Local\Temp\OnboardLogs"\RTDC4028\2016-11-23 --exclude "*" --recursive --include "*20161123*" &amp; "%USERPROFILE%\Documents\GitHub\mrs-test-scripts\Headless Mode &amp; Sideloading\WalkAndUnGZ.bat" "%USERPROFILE%\AppData\Local\Temp\OnboardLogs"\RTDC4028\2016-11-23</v>
      </c>
      <c r="AF53" s="88" t="str">
        <f t="shared" si="11"/>
        <v>"C:\Program Files (x86)\AstroGrep\AstroGrep.exe" /spath="%USERPROFILE%\AppData\Local\Temp\OnboardLogs" /stypes="app*4028*20161122*" /stext=" 16:.+((SYSTEM_STATE.+slice.+state.+changed )|(ment ac)|(system.+state.+changed )|(\[timeout)|(PRM\|1\|D)|(kpr)|(kdp)|(\|lc)|(penalty))" /e /r /s</v>
      </c>
      <c r="AG53" s="1" t="str">
        <f t="shared" si="12"/>
        <v>EC</v>
      </c>
      <c r="AH53" s="92" t="str">
        <f t="shared" si="15"/>
        <v>"%USERPROFILE%\Documents\GitHub\eaglep3\Utilities\RefineRTDCRunTimes.py" --tripid 138-22 --locoid 4028 --swversion DE.1.0.8.0 --startMP 204:233004 --initTime 2016-11-22T09:04:41 --startdatetime 2016-11-22T09:11:14 --delay 1 --endMP 204:125 --enddatetime 2016-11-22T09:50:21 --enforcementcount 1 &gt;&gt;C:\Users\stu\Documents\GitHub\eaglep3-reporting\EC\2016-11-22-refined-times.txt</v>
      </c>
      <c r="AI53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{"issue":{"subject":"","project_id":79,"tracker_id":40,"status_id":1,"priority_id":2,"assigned_to_id":23,"start_date":"2016-11-22","description":"","custom_fields":[{"id":1,"name":"Subdivision","value":"EC"},{"id":4,"name":"Milepost","value":"0.0125"},{"id":17,"name":"Train ID","value":"138-22"},{"id":16,"name":"Locomotive ID","value":"4028"},{"id":130,"name":"Impact","value":""},{"id":150,"name":"Time of Event (Mountain Time)","value":"09:50:21"},{"id":151,"name":"Denver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489</v>
      </c>
      <c r="B54" s="7">
        <v>4011</v>
      </c>
      <c r="C54" s="22" t="s">
        <v>217</v>
      </c>
      <c r="D54" s="22" t="s">
        <v>199</v>
      </c>
      <c r="E54" s="13">
        <v>42696.348807870374</v>
      </c>
      <c r="F54" s="13">
        <v>42696.354351851849</v>
      </c>
      <c r="G54" s="7">
        <v>5</v>
      </c>
      <c r="H54" s="22" t="s">
        <v>370</v>
      </c>
      <c r="I54" s="13">
        <v>42696.378483796296</v>
      </c>
      <c r="J54" s="7">
        <v>0</v>
      </c>
      <c r="K54" s="109" t="str">
        <f t="shared" si="0"/>
        <v>4011/4012</v>
      </c>
      <c r="L54" s="22" t="str">
        <f>VLOOKUP(A54,'Trips&amp;Operators'!$C$1:$E$10000,3,FALSE)</f>
        <v>GEBRETEKLE</v>
      </c>
      <c r="M54" s="6">
        <f t="shared" si="21"/>
        <v>2.4131944446708076E-2</v>
      </c>
      <c r="N54" s="7">
        <f t="shared" si="19"/>
        <v>34.750000003259629</v>
      </c>
      <c r="O54" s="7"/>
      <c r="P54" s="7"/>
      <c r="Q54" s="23"/>
      <c r="R54" s="23"/>
      <c r="S54" s="35">
        <f t="shared" si="20"/>
        <v>1</v>
      </c>
      <c r="T54" s="50" t="str">
        <f t="shared" si="2"/>
        <v>NorthBound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07:22:17-700',mode:absolute,to:'2016-11-22 10:05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4" s="52" t="str">
        <f t="shared" si="4"/>
        <v>N</v>
      </c>
      <c r="X54" s="177">
        <f t="shared" si="22"/>
        <v>1</v>
      </c>
      <c r="Y54" s="67">
        <f t="shared" si="23"/>
        <v>4.53E-2</v>
      </c>
      <c r="Z54" s="67">
        <f t="shared" si="24"/>
        <v>23.329899999999999</v>
      </c>
      <c r="AA54" s="67">
        <f t="shared" si="8"/>
        <v>23.284599999999998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9"/>
        <v>0139-22</v>
      </c>
      <c r="AE54" s="91" t="str">
        <f t="shared" si="10"/>
        <v>aws s3 cp s3://rtdc.mdm.uploadarchive.raw/RTDC4011/ "%USERPROFILE%\AppData\Local\Temp\OnboardLogs"\RTDC4011\2016-11-22 --exclude "*" --recursive --include "*20161122*" &amp; "%USERPROFILE%\Documents\GitHub\mrs-test-scripts\Headless Mode &amp; Sideloading\WalkAndUnGZ.bat" "%USERPROFILE%\AppData\Local\Temp\OnboardLogs"\RTDC4011\2016-11-22 &amp; aws s3 cp s3://rtdc.mdm.uploadarchive.raw/RTDC4011/ "%USERPROFILE%\AppData\Local\Temp\OnboardLogs"\RTDC4011\2016-11-23 --exclude "*" --recursive --include "*20161123*" &amp; "%USERPROFILE%\Documents\GitHub\mrs-test-scripts\Headless Mode &amp; Sideloading\WalkAndUnGZ.bat" "%USERPROFILE%\AppData\Local\Temp\OnboardLogs"\RTDC4011\2016-11-23</v>
      </c>
      <c r="AF54" s="88" t="str">
        <f t="shared" si="11"/>
        <v>"C:\Program Files (x86)\AstroGrep\AstroGrep.exe" /spath="%USERPROFILE%\AppData\Local\Temp\OnboardLogs" /stypes="app*4011*20161122*" /stext=" 16:.+((SYSTEM_STATE.+slice.+state.+changed )|(ment ac)|(system.+state.+changed )|(\[timeout)|(PRM\|1\|D)|(kpr)|(kdp)|(\|lc)|(penalty))" /e /r /s</v>
      </c>
      <c r="AG54" s="1" t="str">
        <f t="shared" si="12"/>
        <v>EC</v>
      </c>
      <c r="AH54" s="92" t="str">
        <f t="shared" si="15"/>
        <v>"%USERPROFILE%\Documents\GitHub\eaglep3\Utilities\RefineRTDCRunTimes.py" --tripid 139-22 --locoid 4011 --swversion DE.1.0.8.0 --startMP 204:453 --initTime 2016-11-22T08:22:17 --startdatetime 2016-11-22T08:30:16 --delay 5 --endMP 204:233299 --enddatetime 2016-11-22T09:05:01 --enforcementcount 0 &gt;&gt;C:\Users\stu\Documents\GitHub\eaglep3-reporting\EC\2016-11-22-refined-times.txt</v>
      </c>
      <c r="AI54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{"issue":{"subject":"","project_id":79,"tracker_id":40,"status_id":1,"priority_id":2,"assigned_to_id":23,"start_date":"2016-11-22","description":"","custom_fields":[{"id":1,"name":"Subdivision","value":"EC"},{"id":4,"name":"Milepost","value":"23.3299"},{"id":17,"name":"Train ID","value":"139-22"},{"id":16,"name":"Locomotive ID","value":"4011"},{"id":130,"name":"Impact","value":""},{"id":150,"name":"Time of Event (Mountain Time)","value":"09:05:01"},{"id":151,"name":"Denver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497</v>
      </c>
      <c r="B55" s="7">
        <v>4012</v>
      </c>
      <c r="C55" s="22" t="s">
        <v>217</v>
      </c>
      <c r="D55" s="22" t="s">
        <v>210</v>
      </c>
      <c r="E55" s="13">
        <v>42696.388969907406</v>
      </c>
      <c r="F55" s="13">
        <v>42696.393240740741</v>
      </c>
      <c r="G55" s="7">
        <v>1</v>
      </c>
      <c r="H55" s="22" t="s">
        <v>196</v>
      </c>
      <c r="I55" s="13">
        <v>42696.419259259259</v>
      </c>
      <c r="J55" s="7">
        <v>0</v>
      </c>
      <c r="K55" s="109" t="str">
        <f t="shared" si="0"/>
        <v>4011/4012</v>
      </c>
      <c r="L55" s="22" t="str">
        <f>VLOOKUP(A55,'Trips&amp;Operators'!$C$1:$E$10000,3,FALSE)</f>
        <v>GEBRETEKLE</v>
      </c>
      <c r="M55" s="6">
        <f t="shared" si="21"/>
        <v>2.6018518517958E-2</v>
      </c>
      <c r="N55" s="7">
        <f t="shared" si="19"/>
        <v>37.46666666585952</v>
      </c>
      <c r="O55" s="7"/>
      <c r="P55" s="7"/>
      <c r="Q55" s="23"/>
      <c r="R55" s="23"/>
      <c r="S55" s="35">
        <f t="shared" si="20"/>
        <v>1</v>
      </c>
      <c r="T55" s="50" t="str">
        <f t="shared" si="2"/>
        <v>Southbound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08:20:07-700',mode:absolute,to:'2016-11-22 11:03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5" s="52" t="str">
        <f t="shared" si="4"/>
        <v>N</v>
      </c>
      <c r="X55" s="177">
        <f t="shared" si="22"/>
        <v>1</v>
      </c>
      <c r="Y55" s="67">
        <f t="shared" si="23"/>
        <v>23.297699999999999</v>
      </c>
      <c r="Z55" s="67">
        <f t="shared" si="24"/>
        <v>1.49E-2</v>
      </c>
      <c r="AA55" s="67">
        <f t="shared" si="8"/>
        <v>23.282799999999998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9"/>
        <v>0140-22</v>
      </c>
      <c r="AE55" s="91" t="str">
        <f t="shared" si="10"/>
        <v>aws s3 cp s3://rtdc.mdm.uploadarchive.raw/RTDC4012/ "%USERPROFILE%\AppData\Local\Temp\OnboardLogs"\RTDC4012\2016-11-22 --exclude "*" --recursive --include "*20161122*" &amp; "%USERPROFILE%\Documents\GitHub\mrs-test-scripts\Headless Mode &amp; Sideloading\WalkAndUnGZ.bat" "%USERPROFILE%\AppData\Local\Temp\OnboardLogs"\RTDC4012\2016-11-22 &amp; aws s3 cp s3://rtdc.mdm.uploadarchive.raw/RTDC4012/ "%USERPROFILE%\AppData\Local\Temp\OnboardLogs"\RTDC4012\2016-11-23 --exclude "*" --recursive --include "*20161123*" &amp; "%USERPROFILE%\Documents\GitHub\mrs-test-scripts\Headless Mode &amp; Sideloading\WalkAndUnGZ.bat" "%USERPROFILE%\AppData\Local\Temp\OnboardLogs"\RTDC4012\2016-11-23</v>
      </c>
      <c r="AF55" s="88" t="str">
        <f t="shared" si="11"/>
        <v>"C:\Program Files (x86)\AstroGrep\AstroGrep.exe" /spath="%USERPROFILE%\AppData\Local\Temp\OnboardLogs" /stypes="app*4012*20161122*" /stext=" 17:.+((SYSTEM_STATE.+slice.+state.+changed )|(ment ac)|(system.+state.+changed )|(\[timeout)|(PRM\|1\|D)|(kpr)|(kdp)|(\|lc)|(penalty))" /e /r /s</v>
      </c>
      <c r="AG55" s="1" t="str">
        <f t="shared" si="12"/>
        <v>EC</v>
      </c>
      <c r="AH55" s="92" t="str">
        <f t="shared" si="15"/>
        <v>"%USERPROFILE%\Documents\GitHub\eaglep3\Utilities\RefineRTDCRunTimes.py" --tripid 140-22 --locoid 4012 --swversion DE.1.0.8.0 --startMP 204:232977 --initTime 2016-11-22T09:20:07 --startdatetime 2016-11-22T09:26:16 --delay 1 --endMP 204:149 --enddatetime 2016-11-22T10:03:44 --enforcementcount 0 &gt;&gt;C:\Users\stu\Documents\GitHub\eaglep3-reporting\EC\2016-11-22-refined-times.txt</v>
      </c>
      <c r="AI55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{"issue":{"subject":"","project_id":79,"tracker_id":40,"status_id":1,"priority_id":2,"assigned_to_id":23,"start_date":"2016-11-22","description":"","custom_fields":[{"id":1,"name":"Subdivision","value":"EC"},{"id":4,"name":"Milepost","value":"0.0149"},{"id":17,"name":"Train ID","value":"140-22"},{"id":16,"name":"Locomotive ID","value":"4012"},{"id":130,"name":"Impact","value":""},{"id":150,"name":"Time of Event (Mountain Time)","value":"10:03:44"},{"id":151,"name":"Denver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29" customFormat="1" x14ac:dyDescent="0.25">
      <c r="A56" s="37" t="s">
        <v>491</v>
      </c>
      <c r="B56" s="7">
        <v>4022</v>
      </c>
      <c r="C56" s="22" t="s">
        <v>217</v>
      </c>
      <c r="D56" s="22" t="s">
        <v>201</v>
      </c>
      <c r="E56" s="13">
        <v>42696.362256944441</v>
      </c>
      <c r="F56" s="13">
        <v>42696.364872685182</v>
      </c>
      <c r="G56" s="7">
        <v>1</v>
      </c>
      <c r="H56" s="22" t="s">
        <v>223</v>
      </c>
      <c r="I56" s="13">
        <v>42696.389687499999</v>
      </c>
      <c r="J56" s="7">
        <v>0</v>
      </c>
      <c r="K56" s="109" t="str">
        <f t="shared" si="0"/>
        <v>4021/4022</v>
      </c>
      <c r="L56" s="22" t="str">
        <f>VLOOKUP(A56,'Trips&amp;Operators'!$C$1:$E$10000,3,FALSE)</f>
        <v>BADERTSCHER</v>
      </c>
      <c r="M56" s="6">
        <f t="shared" si="21"/>
        <v>2.4814814816636499E-2</v>
      </c>
      <c r="N56" s="7">
        <f t="shared" si="19"/>
        <v>35.733333335956559</v>
      </c>
      <c r="O56" s="7"/>
      <c r="P56" s="7"/>
      <c r="Q56" s="23"/>
      <c r="R56" s="23"/>
      <c r="S56" s="35">
        <f t="shared" si="20"/>
        <v>1</v>
      </c>
      <c r="T56" s="50" t="str">
        <f t="shared" si="2"/>
        <v>NorthBound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07:41:39-700',mode:absolute,to:'2016-11-22 10:21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56" s="52" t="str">
        <f t="shared" si="4"/>
        <v>N</v>
      </c>
      <c r="X56" s="177">
        <f t="shared" si="22"/>
        <v>1</v>
      </c>
      <c r="Y56" s="67">
        <f t="shared" si="23"/>
        <v>4.5100000000000001E-2</v>
      </c>
      <c r="Z56" s="67">
        <f t="shared" si="24"/>
        <v>23.331199999999999</v>
      </c>
      <c r="AA56" s="67">
        <f t="shared" si="8"/>
        <v>23.286099999999998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 t="shared" si="9"/>
        <v>0141-22</v>
      </c>
      <c r="AE56" s="91" t="str">
        <f t="shared" si="10"/>
        <v>aws s3 cp s3://rtdc.mdm.uploadarchive.raw/RTDC4022/ "%USERPROFILE%\AppData\Local\Temp\OnboardLogs"\RTDC4022\2016-11-22 --exclude "*" --recursive --include "*20161122*" &amp; "%USERPROFILE%\Documents\GitHub\mrs-test-scripts\Headless Mode &amp; Sideloading\WalkAndUnGZ.bat" "%USERPROFILE%\AppData\Local\Temp\OnboardLogs"\RTDC4022\2016-11-22 &amp; aws s3 cp s3://rtdc.mdm.uploadarchive.raw/RTDC4022/ "%USERPROFILE%\AppData\Local\Temp\OnboardLogs"\RTDC4022\2016-11-23 --exclude "*" --recursive --include "*20161123*" &amp; "%USERPROFILE%\Documents\GitHub\mrs-test-scripts\Headless Mode &amp; Sideloading\WalkAndUnGZ.bat" "%USERPROFILE%\AppData\Local\Temp\OnboardLogs"\RTDC4022\2016-11-23</v>
      </c>
      <c r="AF56" s="88" t="str">
        <f t="shared" si="11"/>
        <v>"C:\Program Files (x86)\AstroGrep\AstroGrep.exe" /spath="%USERPROFILE%\AppData\Local\Temp\OnboardLogs" /stypes="app*4022*20161122*" /stext=" 16:.+((SYSTEM_STATE.+slice.+state.+changed )|(ment ac)|(system.+state.+changed )|(\[timeout)|(PRM\|1\|D)|(kpr)|(kdp)|(\|lc)|(penalty))" /e /r /s</v>
      </c>
      <c r="AG56" s="1" t="str">
        <f t="shared" si="12"/>
        <v>EC</v>
      </c>
      <c r="AH56" s="92" t="str">
        <f t="shared" si="15"/>
        <v>"%USERPROFILE%\Documents\GitHub\eaglep3\Utilities\RefineRTDCRunTimes.py" --tripid 141-22 --locoid 4022 --swversion DE.1.0.8.0 --startMP 204:451 --initTime 2016-11-22T08:41:39 --startdatetime 2016-11-22T08:45:25 --delay 1 --endMP 204:233312 --enddatetime 2016-11-22T09:21:09 --enforcementcount 0 &gt;&gt;C:\Users\stu\Documents\GitHub\eaglep3-reporting\EC\2016-11-22-refined-times.txt</v>
      </c>
      <c r="AI56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{"issue":{"subject":"","project_id":79,"tracker_id":40,"status_id":1,"priority_id":2,"assigned_to_id":23,"start_date":"2016-11-22","description":"","custom_fields":[{"id":1,"name":"Subdivision","value":"EC"},{"id":4,"name":"Milepost","value":"23.3312"},{"id":17,"name":"Train ID","value":"141-22"},{"id":16,"name":"Locomotive ID","value":"4022"},{"id":130,"name":"Impact","value":""},{"id":150,"name":"Time of Event (Mountain Time)","value":"09:21:09"},{"id":151,"name":"Denver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427</v>
      </c>
      <c r="B57" s="7">
        <v>4021</v>
      </c>
      <c r="C57" s="22" t="s">
        <v>217</v>
      </c>
      <c r="D57" s="22" t="s">
        <v>670</v>
      </c>
      <c r="E57" s="13">
        <v>42696.398344907408</v>
      </c>
      <c r="F57" s="13">
        <v>42696.403958333336</v>
      </c>
      <c r="G57" s="7">
        <v>1</v>
      </c>
      <c r="H57" s="22" t="s">
        <v>300</v>
      </c>
      <c r="I57" s="13">
        <v>42696.431168981479</v>
      </c>
      <c r="J57" s="7">
        <v>1</v>
      </c>
      <c r="K57" s="109" t="str">
        <f t="shared" si="0"/>
        <v>4021/4022</v>
      </c>
      <c r="L57" s="22" t="str">
        <f>VLOOKUP(A57,'Trips&amp;Operators'!$C$1:$E$10000,3,FALSE)</f>
        <v>BADERTSCHER</v>
      </c>
      <c r="M57" s="6">
        <f t="shared" si="21"/>
        <v>2.7210648142499849E-2</v>
      </c>
      <c r="N57" s="7">
        <f t="shared" si="19"/>
        <v>39.183333325199783</v>
      </c>
      <c r="O57" s="7"/>
      <c r="P57" s="7"/>
      <c r="Q57" s="23"/>
      <c r="R57" s="23"/>
      <c r="S57" s="35">
        <f t="shared" si="20"/>
        <v>1</v>
      </c>
      <c r="T57" s="50" t="str">
        <f t="shared" si="2"/>
        <v>Southbound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08:33:37-700',mode:absolute,to:'2016-11-22 11:20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57" s="52" t="str">
        <f t="shared" si="4"/>
        <v>N</v>
      </c>
      <c r="X57" s="177">
        <f t="shared" si="22"/>
        <v>1</v>
      </c>
      <c r="Y57" s="67">
        <f t="shared" si="23"/>
        <v>23.3004</v>
      </c>
      <c r="Z57" s="67">
        <f t="shared" si="24"/>
        <v>1.3599999999999999E-2</v>
      </c>
      <c r="AA57" s="67">
        <f t="shared" si="8"/>
        <v>23.286799999999999</v>
      </c>
      <c r="AB57" s="64" t="str">
        <f>VLOOKUP(A57,Enforcements!$C$7:$K$20,8,0)</f>
        <v>Bulletin (2)</v>
      </c>
      <c r="AC57" s="60" t="str">
        <f>VLOOKUP(A57,Enforcements!$C$7:$E$20,3,0)</f>
        <v>TEMPORARY SPEED RESTRICTION</v>
      </c>
      <c r="AD57" s="61" t="str">
        <f t="shared" si="9"/>
        <v>0142-22</v>
      </c>
      <c r="AE57" s="91" t="str">
        <f t="shared" si="10"/>
        <v>aws s3 cp s3://rtdc.mdm.uploadarchive.raw/RTDC4021/ "%USERPROFILE%\AppData\Local\Temp\OnboardLogs"\RTDC4021\2016-11-22 --exclude "*" --recursive --include "*20161122*" &amp; "%USERPROFILE%\Documents\GitHub\mrs-test-scripts\Headless Mode &amp; Sideloading\WalkAndUnGZ.bat" "%USERPROFILE%\AppData\Local\Temp\OnboardLogs"\RTDC4021\2016-11-22 &amp; aws s3 cp s3://rtdc.mdm.uploadarchive.raw/RTDC4021/ "%USERPROFILE%\AppData\Local\Temp\OnboardLogs"\RTDC4021\2016-11-23 --exclude "*" --recursive --include "*20161123*" &amp; "%USERPROFILE%\Documents\GitHub\mrs-test-scripts\Headless Mode &amp; Sideloading\WalkAndUnGZ.bat" "%USERPROFILE%\AppData\Local\Temp\OnboardLogs"\RTDC4021\2016-11-23</v>
      </c>
      <c r="AF57" s="88" t="str">
        <f t="shared" si="11"/>
        <v>"C:\Program Files (x86)\AstroGrep\AstroGrep.exe" /spath="%USERPROFILE%\AppData\Local\Temp\OnboardLogs" /stypes="app*4021*20161122*" /stext=" 17:.+((SYSTEM_STATE.+slice.+state.+changed )|(ment ac)|(system.+state.+changed )|(\[timeout)|(PRM\|1\|D)|(kpr)|(kdp)|(\|lc)|(penalty))" /e /r /s</v>
      </c>
      <c r="AG57" s="1" t="str">
        <f t="shared" si="12"/>
        <v>EC</v>
      </c>
      <c r="AH57" s="92" t="str">
        <f t="shared" si="15"/>
        <v>"%USERPROFILE%\Documents\GitHub\eaglep3\Utilities\RefineRTDCRunTimes.py" --tripid 142-22 --locoid 4021 --swversion DE.1.0.8.0 --startMP 204:233004 --initTime 2016-11-22T09:33:37 --startdatetime 2016-11-22T09:41:42 --delay 1 --endMP 204:136 --enddatetime 2016-11-22T10:20:53 --enforcementcount 1 &gt;&gt;C:\Users\stu\Documents\GitHub\eaglep3-reporting\EC\2016-11-22-refined-times.txt</v>
      </c>
      <c r="AI57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{"issue":{"subject":"","project_id":79,"tracker_id":40,"status_id":1,"priority_id":2,"assigned_to_id":23,"start_date":"2016-11-22","description":"","custom_fields":[{"id":1,"name":"Subdivision","value":"EC"},{"id":4,"name":"Milepost","value":"0.0136"},{"id":17,"name":"Train ID","value":"142-22"},{"id":16,"name":"Locomotive ID","value":"4021"},{"id":130,"name":"Impact","value":""},{"id":150,"name":"Time of Event (Mountain Time)","value":"10:20:53"},{"id":151,"name":"Denver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493</v>
      </c>
      <c r="B58" s="7">
        <v>4031</v>
      </c>
      <c r="C58" s="22" t="s">
        <v>217</v>
      </c>
      <c r="D58" s="22" t="s">
        <v>367</v>
      </c>
      <c r="E58" s="13">
        <v>42696.371701388889</v>
      </c>
      <c r="F58" s="13">
        <v>42696.375486111108</v>
      </c>
      <c r="G58" s="7">
        <v>1</v>
      </c>
      <c r="H58" s="22" t="s">
        <v>263</v>
      </c>
      <c r="I58" s="13">
        <v>42696.401331018518</v>
      </c>
      <c r="J58" s="7">
        <v>0</v>
      </c>
      <c r="K58" s="109" t="str">
        <f t="shared" si="0"/>
        <v>4031/4032</v>
      </c>
      <c r="L58" s="22" t="str">
        <f>VLOOKUP(A58,'Trips&amp;Operators'!$C$1:$E$10000,3,FALSE)</f>
        <v>JOHNSON</v>
      </c>
      <c r="M58" s="6">
        <f t="shared" si="21"/>
        <v>2.584490740991896E-2</v>
      </c>
      <c r="N58" s="7">
        <f t="shared" si="19"/>
        <v>37.216666670283303</v>
      </c>
      <c r="O58" s="7"/>
      <c r="P58" s="7"/>
      <c r="Q58" s="23"/>
      <c r="R58" s="23"/>
      <c r="S58" s="35">
        <f t="shared" si="20"/>
        <v>1</v>
      </c>
      <c r="T58" s="50" t="str">
        <f t="shared" si="2"/>
        <v>NorthBound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07:55:15-700',mode:absolute,to:'2016-11-22 10:37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8" s="52" t="str">
        <f t="shared" si="4"/>
        <v>N</v>
      </c>
      <c r="X58" s="177">
        <f t="shared" si="22"/>
        <v>1</v>
      </c>
      <c r="Y58" s="67">
        <f t="shared" si="23"/>
        <v>4.4400000000000002E-2</v>
      </c>
      <c r="Z58" s="67">
        <f t="shared" si="24"/>
        <v>23.328900000000001</v>
      </c>
      <c r="AA58" s="67">
        <f t="shared" si="8"/>
        <v>23.284500000000001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9"/>
        <v>0143-22</v>
      </c>
      <c r="AE58" s="91" t="str">
        <f t="shared" si="10"/>
        <v>aws s3 cp s3://rtdc.mdm.uploadarchive.raw/RTDC4031/ "%USERPROFILE%\AppData\Local\Temp\OnboardLogs"\RTDC4031\2016-11-22 --exclude "*" --recursive --include "*20161122*" &amp; "%USERPROFILE%\Documents\GitHub\mrs-test-scripts\Headless Mode &amp; Sideloading\WalkAndUnGZ.bat" "%USERPROFILE%\AppData\Local\Temp\OnboardLogs"\RTDC4031\2016-11-22 &amp; aws s3 cp s3://rtdc.mdm.uploadarchive.raw/RTDC4031/ "%USERPROFILE%\AppData\Local\Temp\OnboardLogs"\RTDC4031\2016-11-23 --exclude "*" --recursive --include "*20161123*" &amp; "%USERPROFILE%\Documents\GitHub\mrs-test-scripts\Headless Mode &amp; Sideloading\WalkAndUnGZ.bat" "%USERPROFILE%\AppData\Local\Temp\OnboardLogs"\RTDC4031\2016-11-23</v>
      </c>
      <c r="AF58" s="88" t="str">
        <f t="shared" si="11"/>
        <v>"C:\Program Files (x86)\AstroGrep\AstroGrep.exe" /spath="%USERPROFILE%\AppData\Local\Temp\OnboardLogs" /stypes="app*4031*20161122*" /stext=" 16:.+((SYSTEM_STATE.+slice.+state.+changed )|(ment ac)|(system.+state.+changed )|(\[timeout)|(PRM\|1\|D)|(kpr)|(kdp)|(\|lc)|(penalty))" /e /r /s</v>
      </c>
      <c r="AG58" s="1" t="str">
        <f t="shared" si="12"/>
        <v>EC</v>
      </c>
      <c r="AH58" s="92" t="str">
        <f t="shared" si="15"/>
        <v>"%USERPROFILE%\Documents\GitHub\eaglep3\Utilities\RefineRTDCRunTimes.py" --tripid 143-22 --locoid 4031 --swversion DE.1.0.8.0 --startMP 204:444 --initTime 2016-11-22T08:55:15 --startdatetime 2016-11-22T09:00:42 --delay 1 --endMP 204:233289 --enddatetime 2016-11-22T09:37:55 --enforcementcount 0 &gt;&gt;C:\Users\stu\Documents\GitHub\eaglep3-reporting\EC\2016-11-22-refined-times.txt</v>
      </c>
      <c r="AI58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{"issue":{"subject":"","project_id":79,"tracker_id":40,"status_id":1,"priority_id":2,"assigned_to_id":23,"start_date":"2016-11-22","description":"","custom_fields":[{"id":1,"name":"Subdivision","value":"EC"},{"id":4,"name":"Milepost","value":"23.3289"},{"id":17,"name":"Train ID","value":"143-22"},{"id":16,"name":"Locomotive ID","value":"4031"},{"id":130,"name":"Impact","value":""},{"id":150,"name":"Time of Event (Mountain Time)","value":"09:37:55"},{"id":151,"name":"Denver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501</v>
      </c>
      <c r="B59" s="7">
        <v>4032</v>
      </c>
      <c r="C59" s="22" t="s">
        <v>217</v>
      </c>
      <c r="D59" s="22" t="s">
        <v>253</v>
      </c>
      <c r="E59" s="13">
        <v>42696.403356481482</v>
      </c>
      <c r="F59" s="13">
        <v>42696.414375</v>
      </c>
      <c r="G59" s="7">
        <v>1</v>
      </c>
      <c r="H59" s="22" t="s">
        <v>304</v>
      </c>
      <c r="I59" s="13">
        <v>42696.441238425927</v>
      </c>
      <c r="J59" s="7">
        <v>0</v>
      </c>
      <c r="K59" s="109" t="str">
        <f t="shared" si="0"/>
        <v>4031/4032</v>
      </c>
      <c r="L59" s="22" t="str">
        <f>VLOOKUP(A59,'Trips&amp;Operators'!$C$1:$E$10000,3,FALSE)</f>
        <v>JOHNSON</v>
      </c>
      <c r="M59" s="6">
        <f t="shared" si="21"/>
        <v>2.6863425926421769E-2</v>
      </c>
      <c r="N59" s="7">
        <f t="shared" si="19"/>
        <v>38.683333334047347</v>
      </c>
      <c r="O59" s="7"/>
      <c r="P59" s="7"/>
      <c r="Q59" s="23"/>
      <c r="R59" s="23"/>
      <c r="S59" s="35">
        <f t="shared" si="20"/>
        <v>1</v>
      </c>
      <c r="T59" s="50" t="str">
        <f t="shared" si="2"/>
        <v>Southbound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08:40:50-700',mode:absolute,to:'2016-11-22 11:35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9" s="52" t="str">
        <f t="shared" si="4"/>
        <v>N</v>
      </c>
      <c r="X59" s="177">
        <f t="shared" si="22"/>
        <v>1</v>
      </c>
      <c r="Y59" s="67">
        <f t="shared" si="23"/>
        <v>23.297999999999998</v>
      </c>
      <c r="Z59" s="67">
        <f t="shared" si="24"/>
        <v>1.6299999999999999E-2</v>
      </c>
      <c r="AA59" s="67">
        <f t="shared" si="8"/>
        <v>23.281699999999997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 t="shared" si="9"/>
        <v>0144-22</v>
      </c>
      <c r="AE59" s="91" t="str">
        <f t="shared" si="10"/>
        <v>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 &amp; aws s3 cp s3://rtdc.mdm.uploadarchive.raw/RTDC4032/ "%USERPROFILE%\AppData\Local\Temp\OnboardLogs"\RTDC4032\2016-11-23 --exclude "*" --recursive --include "*20161123*" &amp; "%USERPROFILE%\Documents\GitHub\mrs-test-scripts\Headless Mode &amp; Sideloading\WalkAndUnGZ.bat" "%USERPROFILE%\AppData\Local\Temp\OnboardLogs"\RTDC4032\2016-11-23</v>
      </c>
      <c r="AF59" s="88" t="str">
        <f t="shared" si="11"/>
        <v>"C:\Program Files (x86)\AstroGrep\AstroGrep.exe" /spath="%USERPROFILE%\AppData\Local\Temp\OnboardLogs" /stypes="app*4032*20161122*" /stext=" 17:.+((SYSTEM_STATE.+slice.+state.+changed )|(ment ac)|(system.+state.+changed )|(\[timeout)|(PRM\|1\|D)|(kpr)|(kdp)|(\|lc)|(penalty))" /e /r /s</v>
      </c>
      <c r="AG59" s="1" t="str">
        <f t="shared" si="12"/>
        <v>EC</v>
      </c>
      <c r="AH59" s="92" t="str">
        <f t="shared" si="15"/>
        <v>"%USERPROFILE%\Documents\GitHub\eaglep3\Utilities\RefineRTDCRunTimes.py" --tripid 144-22 --locoid 4032 --swversion DE.1.0.8.0 --startMP 204:232980 --initTime 2016-11-22T09:40:50 --startdatetime 2016-11-22T09:56:42 --delay 1 --endMP 204:163 --enddatetime 2016-11-22T10:35:23 --enforcementcount 0 &gt;&gt;C:\Users\stu\Documents\GitHub\eaglep3-reporting\EC\2016-11-22-refined-times.txt</v>
      </c>
      <c r="AI59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{"issue":{"subject":"","project_id":79,"tracker_id":40,"status_id":1,"priority_id":2,"assigned_to_id":23,"start_date":"2016-11-22","description":"","custom_fields":[{"id":1,"name":"Subdivision","value":"EC"},{"id":4,"name":"Milepost","value":"0.0163"},{"id":17,"name":"Train ID","value":"144-22"},{"id":16,"name":"Locomotive ID","value":"4032"},{"id":130,"name":"Impact","value":""},{"id":150,"name":"Time of Event (Mountain Time)","value":"10:35:23"},{"id":151,"name":"Denver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494</v>
      </c>
      <c r="B60" s="7">
        <v>4046</v>
      </c>
      <c r="C60" s="22" t="s">
        <v>217</v>
      </c>
      <c r="D60" s="22" t="s">
        <v>278</v>
      </c>
      <c r="E60" s="13">
        <v>42696.382280092592</v>
      </c>
      <c r="F60" s="13">
        <v>42696.385717592595</v>
      </c>
      <c r="G60" s="7">
        <v>1</v>
      </c>
      <c r="H60" s="22" t="s">
        <v>332</v>
      </c>
      <c r="I60" s="13">
        <v>42696.410763888889</v>
      </c>
      <c r="J60" s="7">
        <v>0</v>
      </c>
      <c r="K60" s="109" t="str">
        <f t="shared" si="0"/>
        <v>4045/4046</v>
      </c>
      <c r="L60" s="22" t="str">
        <f>VLOOKUP(A60,'Trips&amp;Operators'!$C$1:$E$10000,3,FALSE)</f>
        <v>MCREYNOLDS</v>
      </c>
      <c r="M60" s="6">
        <f t="shared" si="21"/>
        <v>2.5046296294021886E-2</v>
      </c>
      <c r="N60" s="7">
        <f t="shared" si="19"/>
        <v>36.066666663391516</v>
      </c>
      <c r="O60" s="7"/>
      <c r="P60" s="7"/>
      <c r="Q60" s="23"/>
      <c r="R60" s="23"/>
      <c r="S60" s="35">
        <f t="shared" si="20"/>
        <v>1</v>
      </c>
      <c r="T60" s="50" t="str">
        <f t="shared" si="2"/>
        <v>NorthBound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08:10:29-700',mode:absolute,to:'2016-11-22 10:51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0" s="52" t="str">
        <f t="shared" si="4"/>
        <v>N</v>
      </c>
      <c r="X60" s="177">
        <f t="shared" si="22"/>
        <v>1</v>
      </c>
      <c r="Y60" s="67">
        <f t="shared" si="23"/>
        <v>4.6699999999999998E-2</v>
      </c>
      <c r="Z60" s="67">
        <f t="shared" si="24"/>
        <v>23.332100000000001</v>
      </c>
      <c r="AA60" s="67">
        <f t="shared" si="8"/>
        <v>23.285399999999999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 t="shared" si="9"/>
        <v>0145-22</v>
      </c>
      <c r="AE60" s="91" t="str">
        <f t="shared" si="10"/>
        <v>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 &amp; 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</v>
      </c>
      <c r="AF60" s="88" t="str">
        <f t="shared" si="11"/>
        <v>"C:\Program Files (x86)\AstroGrep\AstroGrep.exe" /spath="%USERPROFILE%\AppData\Local\Temp\OnboardLogs" /stypes="app*4046*20161122*" /stext=" 16:.+((SYSTEM_STATE.+slice.+state.+changed )|(ment ac)|(system.+state.+changed )|(\[timeout)|(PRM\|1\|D)|(kpr)|(kdp)|(\|lc)|(penalty))" /e /r /s</v>
      </c>
      <c r="AG60" s="1" t="str">
        <f t="shared" si="12"/>
        <v>EC</v>
      </c>
      <c r="AH60" s="92" t="str">
        <f t="shared" si="15"/>
        <v>"%USERPROFILE%\Documents\GitHub\eaglep3\Utilities\RefineRTDCRunTimes.py" --tripid 145-22 --locoid 4046 --swversion DE.1.0.8.0 --startMP 204:467 --initTime 2016-11-22T09:10:29 --startdatetime 2016-11-22T09:15:26 --delay 1 --endMP 204:233321 --enddatetime 2016-11-22T09:51:30 --enforcementcount 0 &gt;&gt;C:\Users\stu\Documents\GitHub\eaglep3-reporting\EC\2016-11-22-refined-times.txt</v>
      </c>
      <c r="AI60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{"issue":{"subject":"","project_id":79,"tracker_id":40,"status_id":1,"priority_id":2,"assigned_to_id":23,"start_date":"2016-11-22","description":"","custom_fields":[{"id":1,"name":"Subdivision","value":"EC"},{"id":4,"name":"Milepost","value":"23.3321"},{"id":17,"name":"Train ID","value":"145-22"},{"id":16,"name":"Locomotive ID","value":"4046"},{"id":130,"name":"Impact","value":""},{"id":150,"name":"Time of Event (Mountain Time)","value":"09:51:30"},{"id":151,"name":"Denver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503</v>
      </c>
      <c r="B61" s="7">
        <v>4045</v>
      </c>
      <c r="C61" s="22" t="s">
        <v>217</v>
      </c>
      <c r="D61" s="22" t="s">
        <v>287</v>
      </c>
      <c r="E61" s="13">
        <v>42696.417916666665</v>
      </c>
      <c r="F61" s="13">
        <v>42696.424537037034</v>
      </c>
      <c r="G61" s="7">
        <v>1</v>
      </c>
      <c r="H61" s="22" t="s">
        <v>339</v>
      </c>
      <c r="I61" s="13">
        <v>42696.451319444444</v>
      </c>
      <c r="J61" s="7">
        <v>0</v>
      </c>
      <c r="K61" s="109" t="str">
        <f t="shared" si="0"/>
        <v>4045/4046</v>
      </c>
      <c r="L61" s="22" t="str">
        <f>VLOOKUP(A61,'Trips&amp;Operators'!$C$1:$E$10000,3,FALSE)</f>
        <v>MCREYNOLDS</v>
      </c>
      <c r="M61" s="6">
        <f t="shared" si="21"/>
        <v>2.6782407410792075E-2</v>
      </c>
      <c r="N61" s="7">
        <f t="shared" si="19"/>
        <v>38.566666671540588</v>
      </c>
      <c r="O61" s="7"/>
      <c r="P61" s="7"/>
      <c r="Q61" s="23"/>
      <c r="R61" s="23"/>
      <c r="S61" s="35">
        <f t="shared" si="20"/>
        <v>1</v>
      </c>
      <c r="T61" s="50" t="str">
        <f t="shared" si="2"/>
        <v>Southbound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09:01:48-700',mode:absolute,to:'2016-11-22 11:49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1" s="52" t="str">
        <f t="shared" si="4"/>
        <v>N</v>
      </c>
      <c r="X61" s="177">
        <f t="shared" si="22"/>
        <v>1</v>
      </c>
      <c r="Y61" s="67">
        <f t="shared" si="23"/>
        <v>23.299099999999999</v>
      </c>
      <c r="Z61" s="67">
        <f t="shared" si="24"/>
        <v>1.67E-2</v>
      </c>
      <c r="AA61" s="67">
        <f t="shared" si="8"/>
        <v>23.282399999999999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 t="shared" si="9"/>
        <v>0146-22</v>
      </c>
      <c r="AE61" s="91" t="str">
        <f t="shared" si="10"/>
        <v>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 &amp; aws s3 cp s3://rtdc.mdm.uploadarchive.raw/RTDC4045/ "%USERPROFILE%\AppData\Local\Temp\OnboardLogs"\RTDC4045\2016-11-23 --exclude "*" --recursive --include "*20161123*" &amp; "%USERPROFILE%\Documents\GitHub\mrs-test-scripts\Headless Mode &amp; Sideloading\WalkAndUnGZ.bat" "%USERPROFILE%\AppData\Local\Temp\OnboardLogs"\RTDC4045\2016-11-23</v>
      </c>
      <c r="AF61" s="88" t="str">
        <f t="shared" si="11"/>
        <v>"C:\Program Files (x86)\AstroGrep\AstroGrep.exe" /spath="%USERPROFILE%\AppData\Local\Temp\OnboardLogs" /stypes="app*4045*20161122*" /stext=" 17:.+((SYSTEM_STATE.+slice.+state.+changed )|(ment ac)|(system.+state.+changed )|(\[timeout)|(PRM\|1\|D)|(kpr)|(kdp)|(\|lc)|(penalty))" /e /r /s</v>
      </c>
      <c r="AG61" s="1" t="str">
        <f t="shared" si="12"/>
        <v>EC</v>
      </c>
      <c r="AH61" s="92" t="str">
        <f t="shared" si="15"/>
        <v>"%USERPROFILE%\Documents\GitHub\eaglep3\Utilities\RefineRTDCRunTimes.py" --tripid 146-22 --locoid 4045 --swversion DE.1.0.8.0 --startMP 204:232991 --initTime 2016-11-22T10:01:48 --startdatetime 2016-11-22T10:11:20 --delay 1 --endMP 204:167 --enddatetime 2016-11-22T10:49:54 --enforcementcount 0 &gt;&gt;C:\Users\stu\Documents\GitHub\eaglep3-reporting\EC\2016-11-22-refined-times.txt</v>
      </c>
      <c r="AI61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{"issue":{"subject":"","project_id":79,"tracker_id":40,"status_id":1,"priority_id":2,"assigned_to_id":23,"start_date":"2016-11-22","description":"","custom_fields":[{"id":1,"name":"Subdivision","value":"EC"},{"id":4,"name":"Milepost","value":"0.0167"},{"id":17,"name":"Train ID","value":"146-22"},{"id":16,"name":"Locomotive ID","value":"4045"},{"id":130,"name":"Impact","value":""},{"id":150,"name":"Time of Event (Mountain Time)","value":"10:49:54"},{"id":151,"name":"Denver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498</v>
      </c>
      <c r="B62" s="7">
        <v>4038</v>
      </c>
      <c r="C62" s="22" t="s">
        <v>217</v>
      </c>
      <c r="D62" s="22" t="s">
        <v>254</v>
      </c>
      <c r="E62" s="13">
        <v>42696.390613425923</v>
      </c>
      <c r="F62" s="13">
        <v>42696.396006944444</v>
      </c>
      <c r="G62" s="7">
        <v>6</v>
      </c>
      <c r="H62" s="22" t="s">
        <v>377</v>
      </c>
      <c r="I62" s="13">
        <v>42696.420405092591</v>
      </c>
      <c r="J62" s="7">
        <v>0</v>
      </c>
      <c r="K62" s="109" t="str">
        <f t="shared" si="0"/>
        <v>4037/4038</v>
      </c>
      <c r="L62" s="22" t="str">
        <f>VLOOKUP(A62,'Trips&amp;Operators'!$C$1:$E$10000,3,FALSE)</f>
        <v>RICHARDSON</v>
      </c>
      <c r="M62" s="6">
        <f t="shared" si="21"/>
        <v>2.4398148147156462E-2</v>
      </c>
      <c r="N62" s="7">
        <f t="shared" si="19"/>
        <v>35.133333331905305</v>
      </c>
      <c r="O62" s="7"/>
      <c r="P62" s="7"/>
      <c r="Q62" s="23"/>
      <c r="R62" s="23"/>
      <c r="S62" s="35">
        <f t="shared" si="20"/>
        <v>1</v>
      </c>
      <c r="T62" s="50" t="str">
        <f t="shared" si="2"/>
        <v>NorthBound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08:22:29-700',mode:absolute,to:'2016-11-22 11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62" s="52" t="str">
        <f t="shared" si="4"/>
        <v>N</v>
      </c>
      <c r="X62" s="177">
        <f t="shared" si="22"/>
        <v>1</v>
      </c>
      <c r="Y62" s="67">
        <f t="shared" si="23"/>
        <v>4.4900000000000002E-2</v>
      </c>
      <c r="Z62" s="67">
        <f t="shared" si="24"/>
        <v>23.331099999999999</v>
      </c>
      <c r="AA62" s="67">
        <f t="shared" si="8"/>
        <v>23.286200000000001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 t="shared" si="9"/>
        <v>0147-22</v>
      </c>
      <c r="AE62" s="91" t="str">
        <f t="shared" si="10"/>
        <v>aws s3 cp s3://rtdc.mdm.uploadarchive.raw/RTDC4038/ "%USERPROFILE%\AppData\Local\Temp\OnboardLogs"\RTDC4038\2016-11-22 --exclude "*" --recursive --include "*20161122*" &amp; "%USERPROFILE%\Documents\GitHub\mrs-test-scripts\Headless Mode &amp; Sideloading\WalkAndUnGZ.bat" "%USERPROFILE%\AppData\Local\Temp\OnboardLogs"\RTDC4038\2016-11-22 &amp; aws s3 cp s3://rtdc.mdm.uploadarchive.raw/RTDC4038/ "%USERPROFILE%\AppData\Local\Temp\OnboardLogs"\RTDC4038\2016-11-23 --exclude "*" --recursive --include "*20161123*" &amp; "%USERPROFILE%\Documents\GitHub\mrs-test-scripts\Headless Mode &amp; Sideloading\WalkAndUnGZ.bat" "%USERPROFILE%\AppData\Local\Temp\OnboardLogs"\RTDC4038\2016-11-23</v>
      </c>
      <c r="AF62" s="88" t="str">
        <f t="shared" si="11"/>
        <v>"C:\Program Files (x86)\AstroGrep\AstroGrep.exe" /spath="%USERPROFILE%\AppData\Local\Temp\OnboardLogs" /stypes="app*4038*20161122*" /stext=" 17:.+((SYSTEM_STATE.+slice.+state.+changed )|(ment ac)|(system.+state.+changed )|(\[timeout)|(PRM\|1\|D)|(kpr)|(kdp)|(\|lc)|(penalty))" /e /r /s</v>
      </c>
      <c r="AG62" s="1" t="str">
        <f t="shared" si="12"/>
        <v>EC</v>
      </c>
      <c r="AH62" s="92" t="str">
        <f t="shared" si="15"/>
        <v>"%USERPROFILE%\Documents\GitHub\eaglep3\Utilities\RefineRTDCRunTimes.py" --tripid 147-22 --locoid 4038 --swversion DE.1.0.8.0 --startMP 204:449 --initTime 2016-11-22T09:22:29 --startdatetime 2016-11-22T09:30:15 --delay 6 --endMP 204:233311 --enddatetime 2016-11-22T10:05:23 --enforcementcount 0 &gt;&gt;C:\Users\stu\Documents\GitHub\eaglep3-reporting\EC\2016-11-22-refined-times.txt</v>
      </c>
      <c r="AI62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{"issue":{"subject":"","project_id":79,"tracker_id":40,"status_id":1,"priority_id":2,"assigned_to_id":23,"start_date":"2016-11-22","description":"","custom_fields":[{"id":1,"name":"Subdivision","value":"EC"},{"id":4,"name":"Milepost","value":"23.3311"},{"id":17,"name":"Train ID","value":"147-22"},{"id":16,"name":"Locomotive ID","value":"4038"},{"id":130,"name":"Impact","value":""},{"id":150,"name":"Time of Event (Mountain Time)","value":"10:05:23"},{"id":151,"name":"Denver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506</v>
      </c>
      <c r="B63" s="7">
        <v>4037</v>
      </c>
      <c r="C63" s="22" t="s">
        <v>217</v>
      </c>
      <c r="D63" s="22" t="s">
        <v>261</v>
      </c>
      <c r="E63" s="13">
        <v>42696.431423611109</v>
      </c>
      <c r="F63" s="13">
        <v>42696.434884259259</v>
      </c>
      <c r="G63" s="7">
        <v>1</v>
      </c>
      <c r="H63" s="22" t="s">
        <v>300</v>
      </c>
      <c r="I63" s="13">
        <v>42696.460659722223</v>
      </c>
      <c r="J63" s="7">
        <v>0</v>
      </c>
      <c r="K63" s="109" t="str">
        <f t="shared" si="0"/>
        <v>4037/4038</v>
      </c>
      <c r="L63" s="22" t="str">
        <f>VLOOKUP(A63,'Trips&amp;Operators'!$C$1:$E$10000,3,FALSE)</f>
        <v>RICHARDSON</v>
      </c>
      <c r="M63" s="6">
        <f t="shared" si="21"/>
        <v>2.5775462963792961E-2</v>
      </c>
      <c r="N63" s="7">
        <f t="shared" si="19"/>
        <v>37.116666667861864</v>
      </c>
      <c r="O63" s="7"/>
      <c r="P63" s="7"/>
      <c r="Q63" s="23"/>
      <c r="R63" s="23"/>
      <c r="S63" s="35">
        <f t="shared" si="20"/>
        <v>1</v>
      </c>
      <c r="T63" s="50" t="str">
        <f t="shared" si="2"/>
        <v>Southbound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09:21:15-700',mode:absolute,to:'2016-11-22 12:03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63" s="52" t="str">
        <f t="shared" si="4"/>
        <v>N</v>
      </c>
      <c r="X63" s="177">
        <f t="shared" si="22"/>
        <v>1</v>
      </c>
      <c r="Y63" s="67">
        <f t="shared" si="23"/>
        <v>23.297499999999999</v>
      </c>
      <c r="Z63" s="67">
        <f t="shared" si="24"/>
        <v>1.3599999999999999E-2</v>
      </c>
      <c r="AA63" s="67">
        <f t="shared" si="8"/>
        <v>23.283899999999999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9"/>
        <v>0148-22</v>
      </c>
      <c r="AE63" s="91" t="str">
        <f t="shared" si="10"/>
        <v>aws s3 cp s3://rtdc.mdm.uploadarchive.raw/RTDC4037/ "%USERPROFILE%\AppData\Local\Temp\OnboardLogs"\RTDC4037\2016-11-22 --exclude "*" --recursive --include "*20161122*" &amp; "%USERPROFILE%\Documents\GitHub\mrs-test-scripts\Headless Mode &amp; Sideloading\WalkAndUnGZ.bat" "%USERPROFILE%\AppData\Local\Temp\OnboardLogs"\RTDC4037\2016-11-22 &amp; aws s3 cp s3://rtdc.mdm.uploadarchive.raw/RTDC4037/ "%USERPROFILE%\AppData\Local\Temp\OnboardLogs"\RTDC4037\2016-11-23 --exclude "*" --recursive --include "*20161123*" &amp; "%USERPROFILE%\Documents\GitHub\mrs-test-scripts\Headless Mode &amp; Sideloading\WalkAndUnGZ.bat" "%USERPROFILE%\AppData\Local\Temp\OnboardLogs"\RTDC4037\2016-11-23</v>
      </c>
      <c r="AF63" s="88" t="str">
        <f t="shared" si="11"/>
        <v>"C:\Program Files (x86)\AstroGrep\AstroGrep.exe" /spath="%USERPROFILE%\AppData\Local\Temp\OnboardLogs" /stypes="app*4037*20161122*" /stext=" 18:.+((SYSTEM_STATE.+slice.+state.+changed )|(ment ac)|(system.+state.+changed )|(\[timeout)|(PRM\|1\|D)|(kpr)|(kdp)|(\|lc)|(penalty))" /e /r /s</v>
      </c>
      <c r="AG63" s="1" t="str">
        <f t="shared" si="12"/>
        <v>EC</v>
      </c>
      <c r="AH63" s="92" t="str">
        <f t="shared" si="15"/>
        <v>"%USERPROFILE%\Documents\GitHub\eaglep3\Utilities\RefineRTDCRunTimes.py" --tripid 148-22 --locoid 4037 --swversion DE.1.0.8.0 --startMP 204:232975 --initTime 2016-11-22T10:21:15 --startdatetime 2016-11-22T10:26:14 --delay 1 --endMP 204:136 --enddatetime 2016-11-22T11:03:21 --enforcementcount 0 &gt;&gt;C:\Users\stu\Documents\GitHub\eaglep3-reporting\EC\2016-11-22-refined-times.txt</v>
      </c>
      <c r="AI63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{"issue":{"subject":"","project_id":79,"tracker_id":40,"status_id":1,"priority_id":2,"assigned_to_id":23,"start_date":"2016-11-22","description":"","custom_fields":[{"id":1,"name":"Subdivision","value":"EC"},{"id":4,"name":"Milepost","value":"0.0136"},{"id":17,"name":"Train ID","value":"148-22"},{"id":16,"name":"Locomotive ID","value":"4037"},{"id":130,"name":"Impact","value":""},{"id":150,"name":"Time of Event (Mountain Time)","value":"11:03:21"},{"id":151,"name":"Denver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499</v>
      </c>
      <c r="B64" s="7">
        <v>4002</v>
      </c>
      <c r="C64" s="22" t="s">
        <v>217</v>
      </c>
      <c r="D64" s="22" t="s">
        <v>201</v>
      </c>
      <c r="E64" s="13">
        <v>42696.400671296295</v>
      </c>
      <c r="F64" s="13">
        <v>42696.406435185185</v>
      </c>
      <c r="G64" s="7">
        <v>1</v>
      </c>
      <c r="H64" s="22" t="s">
        <v>332</v>
      </c>
      <c r="I64" s="13">
        <v>42696.431608796294</v>
      </c>
      <c r="J64" s="7">
        <v>0</v>
      </c>
      <c r="K64" s="109" t="str">
        <f t="shared" si="0"/>
        <v>4001/4002</v>
      </c>
      <c r="L64" s="22" t="str">
        <f>VLOOKUP(A64,'Trips&amp;Operators'!$C$1:$E$10000,3,FALSE)</f>
        <v>SPECTOR</v>
      </c>
      <c r="M64" s="6">
        <f t="shared" si="21"/>
        <v>2.5173611109494232E-2</v>
      </c>
      <c r="N64" s="7">
        <f t="shared" si="19"/>
        <v>36.249999997671694</v>
      </c>
      <c r="O64" s="7"/>
      <c r="P64" s="7"/>
      <c r="Q64" s="23"/>
      <c r="R64" s="23"/>
      <c r="S64" s="35">
        <f t="shared" si="20"/>
        <v>1</v>
      </c>
      <c r="T64" s="50" t="str">
        <f t="shared" si="2"/>
        <v>NorthBound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08:36:58-700',mode:absolute,to:'2016-11-22 11:21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4" s="52" t="str">
        <f t="shared" si="4"/>
        <v>N</v>
      </c>
      <c r="X64" s="177">
        <f t="shared" si="22"/>
        <v>1</v>
      </c>
      <c r="Y64" s="67">
        <f t="shared" si="23"/>
        <v>4.5100000000000001E-2</v>
      </c>
      <c r="Z64" s="67">
        <f t="shared" si="24"/>
        <v>23.332100000000001</v>
      </c>
      <c r="AA64" s="67">
        <f t="shared" si="8"/>
        <v>23.286999999999999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 t="shared" si="9"/>
        <v>0149-22</v>
      </c>
      <c r="AE64" s="91" t="str">
        <f t="shared" si="10"/>
        <v>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 &amp; aws s3 cp s3://rtdc.mdm.uploadarchive.raw/RTDC4002/ "%USERPROFILE%\AppData\Local\Temp\OnboardLogs"\RTDC4002\2016-11-23 --exclude "*" --recursive --include "*20161123*" &amp; "%USERPROFILE%\Documents\GitHub\mrs-test-scripts\Headless Mode &amp; Sideloading\WalkAndUnGZ.bat" "%USERPROFILE%\AppData\Local\Temp\OnboardLogs"\RTDC4002\2016-11-23</v>
      </c>
      <c r="AF64" s="88" t="str">
        <f t="shared" si="11"/>
        <v>"C:\Program Files (x86)\AstroGrep\AstroGrep.exe" /spath="%USERPROFILE%\AppData\Local\Temp\OnboardLogs" /stypes="app*4002*20161122*" /stext=" 17:.+((SYSTEM_STATE.+slice.+state.+changed )|(ment ac)|(system.+state.+changed )|(\[timeout)|(PRM\|1\|D)|(kpr)|(kdp)|(\|lc)|(penalty))" /e /r /s</v>
      </c>
      <c r="AG64" s="1" t="str">
        <f t="shared" si="12"/>
        <v>EC</v>
      </c>
      <c r="AH64" s="92" t="str">
        <f t="shared" si="15"/>
        <v>"%USERPROFILE%\Documents\GitHub\eaglep3\Utilities\RefineRTDCRunTimes.py" --tripid 149-22 --locoid 4002 --swversion DE.1.0.8.0 --startMP 204:451 --initTime 2016-11-22T09:36:58 --startdatetime 2016-11-22T09:45:16 --delay 1 --endMP 204:233321 --enddatetime 2016-11-22T10:21:31 --enforcementcount 0 &gt;&gt;C:\Users\stu\Documents\GitHub\eaglep3-reporting\EC\2016-11-22-refined-times.txt</v>
      </c>
      <c r="AI64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{"issue":{"subject":"","project_id":79,"tracker_id":40,"status_id":1,"priority_id":2,"assigned_to_id":23,"start_date":"2016-11-22","description":"","custom_fields":[{"id":1,"name":"Subdivision","value":"EC"},{"id":4,"name":"Milepost","value":"23.3321"},{"id":17,"name":"Train ID","value":"149-22"},{"id":16,"name":"Locomotive ID","value":"4002"},{"id":130,"name":"Impact","value":""},{"id":150,"name":"Time of Event (Mountain Time)","value":"10:21:31"},{"id":151,"name":"Denver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508</v>
      </c>
      <c r="B65" s="7">
        <v>4001</v>
      </c>
      <c r="C65" s="22" t="s">
        <v>217</v>
      </c>
      <c r="D65" s="22" t="s">
        <v>297</v>
      </c>
      <c r="E65" s="13">
        <v>42696.438611111109</v>
      </c>
      <c r="F65" s="13">
        <v>42696.446273148147</v>
      </c>
      <c r="G65" s="7">
        <v>1</v>
      </c>
      <c r="H65" s="22" t="s">
        <v>368</v>
      </c>
      <c r="I65" s="13">
        <v>42696.472453703704</v>
      </c>
      <c r="J65" s="7">
        <v>0</v>
      </c>
      <c r="K65" s="109" t="str">
        <f t="shared" si="0"/>
        <v>4001/4002</v>
      </c>
      <c r="L65" s="22" t="str">
        <f>VLOOKUP(A65,'Trips&amp;Operators'!$C$1:$E$10000,3,FALSE)</f>
        <v>SPECTOR</v>
      </c>
      <c r="M65" s="6">
        <f t="shared" si="21"/>
        <v>2.6180555556493346E-2</v>
      </c>
      <c r="N65" s="7">
        <f t="shared" si="19"/>
        <v>37.700000001350418</v>
      </c>
      <c r="O65" s="7"/>
      <c r="P65" s="7"/>
      <c r="Q65" s="23"/>
      <c r="R65" s="23"/>
      <c r="S65" s="35">
        <f t="shared" si="20"/>
        <v>1</v>
      </c>
      <c r="T65" s="50" t="str">
        <f t="shared" si="2"/>
        <v>Southbound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09:31:36-700',mode:absolute,to:'2016-11-22 12:20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65" s="52" t="str">
        <f t="shared" si="4"/>
        <v>N</v>
      </c>
      <c r="X65" s="177">
        <f t="shared" si="22"/>
        <v>1</v>
      </c>
      <c r="Y65" s="67">
        <f t="shared" si="23"/>
        <v>23.301300000000001</v>
      </c>
      <c r="Z65" s="67">
        <f t="shared" si="24"/>
        <v>1.34E-2</v>
      </c>
      <c r="AA65" s="67">
        <f t="shared" si="8"/>
        <v>23.2879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9"/>
        <v>0150-22</v>
      </c>
      <c r="AE65" s="91" t="str">
        <f t="shared" si="10"/>
        <v>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 &amp; aws s3 cp s3://rtdc.mdm.uploadarchive.raw/RTDC4001/ "%USERPROFILE%\AppData\Local\Temp\OnboardLogs"\RTDC4001\2016-11-23 --exclude "*" --recursive --include "*20161123*" &amp; "%USERPROFILE%\Documents\GitHub\mrs-test-scripts\Headless Mode &amp; Sideloading\WalkAndUnGZ.bat" "%USERPROFILE%\AppData\Local\Temp\OnboardLogs"\RTDC4001\2016-11-23</v>
      </c>
      <c r="AF65" s="88" t="str">
        <f t="shared" si="11"/>
        <v>"C:\Program Files (x86)\AstroGrep\AstroGrep.exe" /spath="%USERPROFILE%\AppData\Local\Temp\OnboardLogs" /stypes="app*4001*20161122*" /stext=" 18:.+((SYSTEM_STATE.+slice.+state.+changed )|(ment ac)|(system.+state.+changed )|(\[timeout)|(PRM\|1\|D)|(kpr)|(kdp)|(\|lc)|(penalty))" /e /r /s</v>
      </c>
      <c r="AG65" s="1" t="str">
        <f t="shared" si="12"/>
        <v>EC</v>
      </c>
      <c r="AH65" s="92" t="str">
        <f t="shared" si="15"/>
        <v>"%USERPROFILE%\Documents\GitHub\eaglep3\Utilities\RefineRTDCRunTimes.py" --tripid 150-22 --locoid 4001 --swversion DE.1.0.8.0 --startMP 204:233013 --initTime 2016-11-22T10:31:36 --startdatetime 2016-11-22T10:42:38 --delay 1 --endMP 204:134 --enddatetime 2016-11-22T11:20:20 --enforcementcount 0 &gt;&gt;C:\Users\stu\Documents\GitHub\eaglep3-reporting\EC\2016-11-22-refined-times.txt</v>
      </c>
      <c r="AI65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{"issue":{"subject":"","project_id":79,"tracker_id":40,"status_id":1,"priority_id":2,"assigned_to_id":23,"start_date":"2016-11-22","description":"","custom_fields":[{"id":1,"name":"Subdivision","value":"EC"},{"id":4,"name":"Milepost","value":"0.0134"},{"id":17,"name":"Train ID","value":"150-22"},{"id":16,"name":"Locomotive ID","value":"4001"},{"id":130,"name":"Impact","value":""},{"id":150,"name":"Time of Event (Mountain Time)","value":"11:20:20"},{"id":151,"name":"Denver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502</v>
      </c>
      <c r="B66" s="7">
        <v>4027</v>
      </c>
      <c r="C66" s="22" t="s">
        <v>217</v>
      </c>
      <c r="D66" s="22" t="s">
        <v>379</v>
      </c>
      <c r="E66" s="13">
        <v>42696.411006944443</v>
      </c>
      <c r="F66" s="13">
        <v>42696.416828703703</v>
      </c>
      <c r="G66" s="7">
        <v>1</v>
      </c>
      <c r="H66" s="22" t="s">
        <v>320</v>
      </c>
      <c r="I66" s="13">
        <v>42696.442349537036</v>
      </c>
      <c r="J66" s="7">
        <v>0</v>
      </c>
      <c r="K66" s="109" t="str">
        <f t="shared" si="0"/>
        <v>4027/4028</v>
      </c>
      <c r="L66" s="22" t="str">
        <f>VLOOKUP(A66,'Trips&amp;Operators'!$C$1:$E$10000,3,FALSE)</f>
        <v>DAVIS</v>
      </c>
      <c r="M66" s="6">
        <f t="shared" si="21"/>
        <v>2.5520833332848269E-2</v>
      </c>
      <c r="N66" s="7">
        <f t="shared" si="19"/>
        <v>36.749999999301508</v>
      </c>
      <c r="O66" s="7"/>
      <c r="P66" s="7"/>
      <c r="Q66" s="23"/>
      <c r="R66" s="23"/>
      <c r="S66" s="35">
        <f t="shared" si="20"/>
        <v>1</v>
      </c>
      <c r="T66" s="50" t="str">
        <f t="shared" si="2"/>
        <v>NorthBound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08:51:51-700',mode:absolute,to:'2016-11-22 11:36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6" s="52" t="str">
        <f t="shared" si="4"/>
        <v>N</v>
      </c>
      <c r="X66" s="177">
        <f t="shared" si="22"/>
        <v>1</v>
      </c>
      <c r="Y66" s="67">
        <f t="shared" si="23"/>
        <v>4.3299999999999998E-2</v>
      </c>
      <c r="Z66" s="67">
        <f t="shared" si="24"/>
        <v>23.3291</v>
      </c>
      <c r="AA66" s="67">
        <f t="shared" si="8"/>
        <v>23.285800000000002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 t="shared" si="9"/>
        <v>0151-22</v>
      </c>
      <c r="AE66" s="91" t="str">
        <f t="shared" si="10"/>
        <v>aws s3 cp s3://rtdc.mdm.uploadarchive.raw/RTDC4027/ "%USERPROFILE%\AppData\Local\Temp\OnboardLogs"\RTDC4027\2016-11-22 --exclude "*" --recursive --include "*20161122*" &amp; "%USERPROFILE%\Documents\GitHub\mrs-test-scripts\Headless Mode &amp; Sideloading\WalkAndUnGZ.bat" "%USERPROFILE%\AppData\Local\Temp\OnboardLogs"\RTDC4027\2016-11-22 &amp; aws s3 cp s3://rtdc.mdm.uploadarchive.raw/RTDC4027/ "%USERPROFILE%\AppData\Local\Temp\OnboardLogs"\RTDC4027\2016-11-23 --exclude "*" --recursive --include "*20161123*" &amp; "%USERPROFILE%\Documents\GitHub\mrs-test-scripts\Headless Mode &amp; Sideloading\WalkAndUnGZ.bat" "%USERPROFILE%\AppData\Local\Temp\OnboardLogs"\RTDC4027\2016-11-23</v>
      </c>
      <c r="AF66" s="88" t="str">
        <f t="shared" si="11"/>
        <v>"C:\Program Files (x86)\AstroGrep\AstroGrep.exe" /spath="%USERPROFILE%\AppData\Local\Temp\OnboardLogs" /stypes="app*4027*20161122*" /stext=" 17:.+((SYSTEM_STATE.+slice.+state.+changed )|(ment ac)|(system.+state.+changed )|(\[timeout)|(PRM\|1\|D)|(kpr)|(kdp)|(\|lc)|(penalty))" /e /r /s</v>
      </c>
      <c r="AG66" s="1" t="str">
        <f t="shared" si="12"/>
        <v>EC</v>
      </c>
      <c r="AH66" s="92" t="str">
        <f t="shared" si="15"/>
        <v>"%USERPROFILE%\Documents\GitHub\eaglep3\Utilities\RefineRTDCRunTimes.py" --tripid 151-22 --locoid 4027 --swversion DE.1.0.8.0 --startMP 204:433 --initTime 2016-11-22T09:51:51 --startdatetime 2016-11-22T10:00:14 --delay 1 --endMP 204:233291 --enddatetime 2016-11-22T10:36:59 --enforcementcount 0 &gt;&gt;C:\Users\stu\Documents\GitHub\eaglep3-reporting\EC\2016-11-22-refined-times.txt</v>
      </c>
      <c r="AI66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{"issue":{"subject":"","project_id":79,"tracker_id":40,"status_id":1,"priority_id":2,"assigned_to_id":23,"start_date":"2016-11-22","description":"","custom_fields":[{"id":1,"name":"Subdivision","value":"EC"},{"id":4,"name":"Milepost","value":"23.3291"},{"id":17,"name":"Train ID","value":"151-22"},{"id":16,"name":"Locomotive ID","value":"4027"},{"id":130,"name":"Impact","value":""},{"id":150,"name":"Time of Event (Mountain Time)","value":"10:36:59"},{"id":151,"name":"Denver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510</v>
      </c>
      <c r="B67" s="7">
        <v>4028</v>
      </c>
      <c r="C67" s="22" t="s">
        <v>217</v>
      </c>
      <c r="D67" s="22" t="s">
        <v>274</v>
      </c>
      <c r="E67" s="13">
        <v>42696.451493055552</v>
      </c>
      <c r="F67" s="13">
        <v>42696.455740740741</v>
      </c>
      <c r="G67" s="7">
        <v>1</v>
      </c>
      <c r="H67" s="22" t="s">
        <v>327</v>
      </c>
      <c r="I67" s="13">
        <v>42696.483518518522</v>
      </c>
      <c r="J67" s="7">
        <v>0</v>
      </c>
      <c r="K67" s="109" t="str">
        <f t="shared" si="0"/>
        <v>4027/4028</v>
      </c>
      <c r="L67" s="22" t="str">
        <f>VLOOKUP(A67,'Trips&amp;Operators'!$C$1:$E$10000,3,FALSE)</f>
        <v>DAVIS</v>
      </c>
      <c r="M67" s="6">
        <f t="shared" si="21"/>
        <v>2.7777777781011537E-2</v>
      </c>
      <c r="N67" s="7">
        <f t="shared" si="19"/>
        <v>40.000000004656613</v>
      </c>
      <c r="O67" s="7"/>
      <c r="P67" s="7"/>
      <c r="Q67" s="23"/>
      <c r="R67" s="23"/>
      <c r="S67" s="35">
        <f t="shared" si="20"/>
        <v>1</v>
      </c>
      <c r="T67" s="50" t="str">
        <f t="shared" si="2"/>
        <v>Southbound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09:50:09-700',mode:absolute,to:'2016-11-22 12:36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7" s="52" t="str">
        <f t="shared" si="4"/>
        <v>N</v>
      </c>
      <c r="X67" s="177">
        <f t="shared" si="22"/>
        <v>1</v>
      </c>
      <c r="Y67" s="67">
        <f t="shared" si="23"/>
        <v>23.299600000000002</v>
      </c>
      <c r="Z67" s="67">
        <f t="shared" si="24"/>
        <v>1.38E-2</v>
      </c>
      <c r="AA67" s="67">
        <f t="shared" si="8"/>
        <v>23.285800000000002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 t="shared" si="9"/>
        <v>0152-22</v>
      </c>
      <c r="AE67" s="91" t="str">
        <f t="shared" si="10"/>
        <v>aws s3 cp s3://rtdc.mdm.uploadarchive.raw/RTDC4028/ "%USERPROFILE%\AppData\Local\Temp\OnboardLogs"\RTDC4028\2016-11-22 --exclude "*" --recursive --include "*20161122*" &amp; "%USERPROFILE%\Documents\GitHub\mrs-test-scripts\Headless Mode &amp; Sideloading\WalkAndUnGZ.bat" "%USERPROFILE%\AppData\Local\Temp\OnboardLogs"\RTDC4028\2016-11-22 &amp; aws s3 cp s3://rtdc.mdm.uploadarchive.raw/RTDC4028/ "%USERPROFILE%\AppData\Local\Temp\OnboardLogs"\RTDC4028\2016-11-23 --exclude "*" --recursive --include "*20161123*" &amp; "%USERPROFILE%\Documents\GitHub\mrs-test-scripts\Headless Mode &amp; Sideloading\WalkAndUnGZ.bat" "%USERPROFILE%\AppData\Local\Temp\OnboardLogs"\RTDC4028\2016-11-23</v>
      </c>
      <c r="AF67" s="88" t="str">
        <f t="shared" si="11"/>
        <v>"C:\Program Files (x86)\AstroGrep\AstroGrep.exe" /spath="%USERPROFILE%\AppData\Local\Temp\OnboardLogs" /stypes="app*4028*20161122*" /stext=" 18:.+((SYSTEM_STATE.+slice.+state.+changed )|(ment ac)|(system.+state.+changed )|(\[timeout)|(PRM\|1\|D)|(kpr)|(kdp)|(\|lc)|(penalty))" /e /r /s</v>
      </c>
      <c r="AG67" s="1" t="str">
        <f t="shared" si="12"/>
        <v>EC</v>
      </c>
      <c r="AH67" s="92" t="str">
        <f t="shared" si="15"/>
        <v>"%USERPROFILE%\Documents\GitHub\eaglep3\Utilities\RefineRTDCRunTimes.py" --tripid 152-22 --locoid 4028 --swversion DE.1.0.8.0 --startMP 204:232996 --initTime 2016-11-22T10:50:09 --startdatetime 2016-11-22T10:56:16 --delay 1 --endMP 204:138 --enddatetime 2016-11-22T11:36:16 --enforcementcount 0 &gt;&gt;C:\Users\stu\Documents\GitHub\eaglep3-reporting\EC\2016-11-22-refined-times.txt</v>
      </c>
      <c r="AI67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{"issue":{"subject":"","project_id":79,"tracker_id":40,"status_id":1,"priority_id":2,"assigned_to_id":23,"start_date":"2016-11-22","description":"","custom_fields":[{"id":1,"name":"Subdivision","value":"EC"},{"id":4,"name":"Milepost","value":"0.0138"},{"id":17,"name":"Train ID","value":"152-22"},{"id":16,"name":"Locomotive ID","value":"4028"},{"id":130,"name":"Impact","value":""},{"id":150,"name":"Time of Event (Mountain Time)","value":"11:36:16"},{"id":151,"name":"Denver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504</v>
      </c>
      <c r="B68" s="7">
        <v>4011</v>
      </c>
      <c r="C68" s="22" t="s">
        <v>217</v>
      </c>
      <c r="D68" s="22" t="s">
        <v>371</v>
      </c>
      <c r="E68" s="13">
        <v>42696.42386574074</v>
      </c>
      <c r="F68" s="13">
        <v>42696.42732638889</v>
      </c>
      <c r="G68" s="7">
        <v>4</v>
      </c>
      <c r="H68" s="22" t="s">
        <v>298</v>
      </c>
      <c r="I68" s="13">
        <v>42696.454745370371</v>
      </c>
      <c r="J68" s="7">
        <v>0</v>
      </c>
      <c r="K68" s="109" t="str">
        <f t="shared" si="0"/>
        <v>4011/4012</v>
      </c>
      <c r="L68" s="22" t="str">
        <f>VLOOKUP(A68,'Trips&amp;Operators'!$C$1:$E$10000,3,FALSE)</f>
        <v>NELSON</v>
      </c>
      <c r="M68" s="6">
        <f t="shared" si="21"/>
        <v>2.7418981480877846E-2</v>
      </c>
      <c r="N68" s="7">
        <f t="shared" si="19"/>
        <v>39.483333332464099</v>
      </c>
      <c r="O68" s="7"/>
      <c r="P68" s="7"/>
      <c r="Q68" s="23"/>
      <c r="R68" s="23"/>
      <c r="S68" s="35">
        <f t="shared" si="20"/>
        <v>1</v>
      </c>
      <c r="T68" s="50" t="str">
        <f t="shared" si="2"/>
        <v>NorthBound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09:10:22-700',mode:absolute,to:'2016-11-22 11:54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8" s="52" t="str">
        <f t="shared" si="4"/>
        <v>N</v>
      </c>
      <c r="X68" s="177">
        <f t="shared" si="22"/>
        <v>1</v>
      </c>
      <c r="Y68" s="67">
        <f t="shared" si="23"/>
        <v>4.3799999999999999E-2</v>
      </c>
      <c r="Z68" s="67">
        <f t="shared" si="24"/>
        <v>23.331</v>
      </c>
      <c r="AA68" s="67">
        <f t="shared" si="8"/>
        <v>23.287199999999999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9"/>
        <v>0153-22</v>
      </c>
      <c r="AE68" s="91" t="str">
        <f t="shared" si="10"/>
        <v>aws s3 cp s3://rtdc.mdm.uploadarchive.raw/RTDC4011/ "%USERPROFILE%\AppData\Local\Temp\OnboardLogs"\RTDC4011\2016-11-22 --exclude "*" --recursive --include "*20161122*" &amp; "%USERPROFILE%\Documents\GitHub\mrs-test-scripts\Headless Mode &amp; Sideloading\WalkAndUnGZ.bat" "%USERPROFILE%\AppData\Local\Temp\OnboardLogs"\RTDC4011\2016-11-22 &amp; aws s3 cp s3://rtdc.mdm.uploadarchive.raw/RTDC4011/ "%USERPROFILE%\AppData\Local\Temp\OnboardLogs"\RTDC4011\2016-11-23 --exclude "*" --recursive --include "*20161123*" &amp; "%USERPROFILE%\Documents\GitHub\mrs-test-scripts\Headless Mode &amp; Sideloading\WalkAndUnGZ.bat" "%USERPROFILE%\AppData\Local\Temp\OnboardLogs"\RTDC4011\2016-11-23</v>
      </c>
      <c r="AF68" s="88" t="str">
        <f t="shared" si="11"/>
        <v>"C:\Program Files (x86)\AstroGrep\AstroGrep.exe" /spath="%USERPROFILE%\AppData\Local\Temp\OnboardLogs" /stypes="app*4011*20161122*" /stext=" 17:.+((SYSTEM_STATE.+slice.+state.+changed )|(ment ac)|(system.+state.+changed )|(\[timeout)|(PRM\|1\|D)|(kpr)|(kdp)|(\|lc)|(penalty))" /e /r /s</v>
      </c>
      <c r="AG68" s="1" t="str">
        <f t="shared" si="12"/>
        <v>EC</v>
      </c>
      <c r="AH68" s="92" t="str">
        <f t="shared" si="15"/>
        <v>"%USERPROFILE%\Documents\GitHub\eaglep3\Utilities\RefineRTDCRunTimes.py" --tripid 153-22 --locoid 4011 --swversion DE.1.0.8.0 --startMP 204:438 --initTime 2016-11-22T10:10:22 --startdatetime 2016-11-22T10:15:21 --delay 4 --endMP 204:233310 --enddatetime 2016-11-22T10:54:50 --enforcementcount 0 &gt;&gt;C:\Users\stu\Documents\GitHub\eaglep3-reporting\EC\2016-11-22-refined-times.txt</v>
      </c>
      <c r="AI68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{"issue":{"subject":"","project_id":79,"tracker_id":40,"status_id":1,"priority_id":2,"assigned_to_id":23,"start_date":"2016-11-22","description":"","custom_fields":[{"id":1,"name":"Subdivision","value":"EC"},{"id":4,"name":"Milepost","value":"23.331"},{"id":17,"name":"Train ID","value":"153-22"},{"id":16,"name":"Locomotive ID","value":"4011"},{"id":130,"name":"Impact","value":""},{"id":150,"name":"Time of Event (Mountain Time)","value":"10:54:50"},{"id":151,"name":"Denver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430</v>
      </c>
      <c r="B69" s="7">
        <v>4012</v>
      </c>
      <c r="C69" s="22" t="s">
        <v>217</v>
      </c>
      <c r="D69" s="22" t="s">
        <v>262</v>
      </c>
      <c r="E69" s="13">
        <v>42696.459166666667</v>
      </c>
      <c r="F69" s="13">
        <v>42696.466192129628</v>
      </c>
      <c r="G69" s="7">
        <v>1</v>
      </c>
      <c r="H69" s="22" t="s">
        <v>321</v>
      </c>
      <c r="I69" s="13">
        <v>42696.494085648148</v>
      </c>
      <c r="J69" s="7">
        <v>1</v>
      </c>
      <c r="K69" s="109" t="str">
        <f t="shared" si="0"/>
        <v>4011/4012</v>
      </c>
      <c r="L69" s="22" t="str">
        <f>VLOOKUP(A69,'Trips&amp;Operators'!$C$1:$E$10000,3,FALSE)</f>
        <v>NELSON</v>
      </c>
      <c r="M69" s="6">
        <f t="shared" si="21"/>
        <v>2.789351851970423E-2</v>
      </c>
      <c r="N69" s="7">
        <f t="shared" si="19"/>
        <v>40.166666668374091</v>
      </c>
      <c r="O69" s="7"/>
      <c r="P69" s="7"/>
      <c r="Q69" s="23"/>
      <c r="R69" s="23"/>
      <c r="S69" s="35">
        <f t="shared" ref="S69:S105" si="25">SUM(U69:U69)/IF(AG69="EC",12,1)</f>
        <v>1</v>
      </c>
      <c r="T69" s="50" t="str">
        <f t="shared" si="2"/>
        <v>Southbound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10:01:12-700',mode:absolute,to:'2016-11-22 12:51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9" s="52" t="str">
        <f t="shared" si="4"/>
        <v>N</v>
      </c>
      <c r="X69" s="177">
        <f t="shared" si="22"/>
        <v>1</v>
      </c>
      <c r="Y69" s="67">
        <f t="shared" si="23"/>
        <v>23.299399999999999</v>
      </c>
      <c r="Z69" s="67">
        <f t="shared" si="24"/>
        <v>1.7000000000000001E-2</v>
      </c>
      <c r="AA69" s="67">
        <f t="shared" si="8"/>
        <v>23.282399999999999</v>
      </c>
      <c r="AB69" s="64" t="str">
        <f>VLOOKUP(A69,Enforcements!$C$7:$K$20,8,0)</f>
        <v>Form based authority (4)</v>
      </c>
      <c r="AC69" s="60" t="str">
        <f>VLOOKUP(A69,Enforcements!$C$7:$E$20,3,0)</f>
        <v>TRACK WARRANT AUTHORITY</v>
      </c>
      <c r="AD69" s="61" t="str">
        <f t="shared" si="9"/>
        <v>0154-22</v>
      </c>
      <c r="AE69" s="91" t="str">
        <f t="shared" si="10"/>
        <v>aws s3 cp s3://rtdc.mdm.uploadarchive.raw/RTDC4012/ "%USERPROFILE%\AppData\Local\Temp\OnboardLogs"\RTDC4012\2016-11-22 --exclude "*" --recursive --include "*20161122*" &amp; "%USERPROFILE%\Documents\GitHub\mrs-test-scripts\Headless Mode &amp; Sideloading\WalkAndUnGZ.bat" "%USERPROFILE%\AppData\Local\Temp\OnboardLogs"\RTDC4012\2016-11-22 &amp; aws s3 cp s3://rtdc.mdm.uploadarchive.raw/RTDC4012/ "%USERPROFILE%\AppData\Local\Temp\OnboardLogs"\RTDC4012\2016-11-23 --exclude "*" --recursive --include "*20161123*" &amp; "%USERPROFILE%\Documents\GitHub\mrs-test-scripts\Headless Mode &amp; Sideloading\WalkAndUnGZ.bat" "%USERPROFILE%\AppData\Local\Temp\OnboardLogs"\RTDC4012\2016-11-23</v>
      </c>
      <c r="AF69" s="88" t="str">
        <f t="shared" si="11"/>
        <v>"C:\Program Files (x86)\AstroGrep\AstroGrep.exe" /spath="%USERPROFILE%\AppData\Local\Temp\OnboardLogs" /stypes="app*4012*20161122*" /stext=" 18:.+((SYSTEM_STATE.+slice.+state.+changed )|(ment ac)|(system.+state.+changed )|(\[timeout)|(PRM\|1\|D)|(kpr)|(kdp)|(\|lc)|(penalty))" /e /r /s</v>
      </c>
      <c r="AG69" s="1" t="str">
        <f t="shared" si="12"/>
        <v>EC</v>
      </c>
      <c r="AH69" s="92" t="str">
        <f t="shared" si="15"/>
        <v>"%USERPROFILE%\Documents\GitHub\eaglep3\Utilities\RefineRTDCRunTimes.py" --tripid 154-22 --locoid 4012 --swversion DE.1.0.8.0 --startMP 204:232994 --initTime 2016-11-22T11:01:12 --startdatetime 2016-11-22T11:11:19 --delay 1 --endMP 204:170 --enddatetime 2016-11-22T11:51:29 --enforcementcount 1 &gt;&gt;C:\Users\stu\Documents\GitHub\eaglep3-reporting\EC\2016-11-22-refined-times.txt</v>
      </c>
      <c r="AI69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{"issue":{"subject":"","project_id":79,"tracker_id":40,"status_id":1,"priority_id":2,"assigned_to_id":23,"start_date":"2016-11-22","description":"","custom_fields":[{"id":1,"name":"Subdivision","value":"EC"},{"id":4,"name":"Milepost","value":"0.017"},{"id":17,"name":"Train ID","value":"154-22"},{"id":16,"name":"Locomotive ID","value":"4012"},{"id":130,"name":"Impact","value":""},{"id":150,"name":"Time of Event (Mountain Time)","value":"11:51:29"},{"id":151,"name":"Denver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507</v>
      </c>
      <c r="B70" s="7">
        <v>4022</v>
      </c>
      <c r="C70" s="22" t="s">
        <v>217</v>
      </c>
      <c r="D70" s="22" t="s">
        <v>672</v>
      </c>
      <c r="E70" s="13">
        <v>42696.433877314812</v>
      </c>
      <c r="F70" s="13">
        <v>42696.437719907408</v>
      </c>
      <c r="G70" s="7">
        <v>3</v>
      </c>
      <c r="H70" s="22" t="s">
        <v>320</v>
      </c>
      <c r="I70" s="13">
        <v>42696.463750000003</v>
      </c>
      <c r="J70" s="7">
        <v>0</v>
      </c>
      <c r="K70" s="109" t="str">
        <f t="shared" si="0"/>
        <v>4021/4022</v>
      </c>
      <c r="L70" s="22" t="str">
        <f>VLOOKUP(A70,'Trips&amp;Operators'!$C$1:$E$10000,3,FALSE)</f>
        <v>STARKS</v>
      </c>
      <c r="M70" s="6">
        <f t="shared" si="21"/>
        <v>2.6030092594737653E-2</v>
      </c>
      <c r="N70" s="7">
        <f t="shared" si="19"/>
        <v>37.48333333642222</v>
      </c>
      <c r="O70" s="7"/>
      <c r="P70" s="7"/>
      <c r="Q70" s="23"/>
      <c r="R70" s="23"/>
      <c r="S70" s="35">
        <f t="shared" si="25"/>
        <v>1</v>
      </c>
      <c r="T70" s="50" t="str">
        <f t="shared" si="2"/>
        <v>NorthBound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09:24:47-700',mode:absolute,to:'2016-11-22 12:07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70" s="52" t="str">
        <f t="shared" si="4"/>
        <v>N</v>
      </c>
      <c r="X70" s="177">
        <f t="shared" si="22"/>
        <v>1</v>
      </c>
      <c r="Y70" s="67">
        <f t="shared" si="23"/>
        <v>4.7800000000000002E-2</v>
      </c>
      <c r="Z70" s="67">
        <f t="shared" si="24"/>
        <v>23.3291</v>
      </c>
      <c r="AA70" s="67">
        <f t="shared" si="8"/>
        <v>23.281300000000002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 t="shared" si="9"/>
        <v>0155-22</v>
      </c>
      <c r="AE70" s="91" t="str">
        <f t="shared" si="10"/>
        <v>aws s3 cp s3://rtdc.mdm.uploadarchive.raw/RTDC4022/ "%USERPROFILE%\AppData\Local\Temp\OnboardLogs"\RTDC4022\2016-11-22 --exclude "*" --recursive --include "*20161122*" &amp; "%USERPROFILE%\Documents\GitHub\mrs-test-scripts\Headless Mode &amp; Sideloading\WalkAndUnGZ.bat" "%USERPROFILE%\AppData\Local\Temp\OnboardLogs"\RTDC4022\2016-11-22 &amp; aws s3 cp s3://rtdc.mdm.uploadarchive.raw/RTDC4022/ "%USERPROFILE%\AppData\Local\Temp\OnboardLogs"\RTDC4022\2016-11-23 --exclude "*" --recursive --include "*20161123*" &amp; "%USERPROFILE%\Documents\GitHub\mrs-test-scripts\Headless Mode &amp; Sideloading\WalkAndUnGZ.bat" "%USERPROFILE%\AppData\Local\Temp\OnboardLogs"\RTDC4022\2016-11-23</v>
      </c>
      <c r="AF70" s="88" t="str">
        <f t="shared" si="11"/>
        <v>"C:\Program Files (x86)\AstroGrep\AstroGrep.exe" /spath="%USERPROFILE%\AppData\Local\Temp\OnboardLogs" /stypes="app*4022*20161122*" /stext=" 18:.+((SYSTEM_STATE.+slice.+state.+changed )|(ment ac)|(system.+state.+changed )|(\[timeout)|(PRM\|1\|D)|(kpr)|(kdp)|(\|lc)|(penalty))" /e /r /s</v>
      </c>
      <c r="AG70" s="1" t="str">
        <f t="shared" si="12"/>
        <v>EC</v>
      </c>
      <c r="AH70" s="92" t="str">
        <f t="shared" si="15"/>
        <v>"%USERPROFILE%\Documents\GitHub\eaglep3\Utilities\RefineRTDCRunTimes.py" --tripid 155-22 --locoid 4022 --swversion DE.1.0.8.0 --startMP 204:478 --initTime 2016-11-22T10:24:47 --startdatetime 2016-11-22T10:30:19 --delay 3 --endMP 204:233291 --enddatetime 2016-11-22T11:07:48 --enforcementcount 0 &gt;&gt;C:\Users\stu\Documents\GitHub\eaglep3-reporting\EC\2016-11-22-refined-times.txt</v>
      </c>
      <c r="AI70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{"issue":{"subject":"","project_id":79,"tracker_id":40,"status_id":1,"priority_id":2,"assigned_to_id":23,"start_date":"2016-11-22","description":"","custom_fields":[{"id":1,"name":"Subdivision","value":"EC"},{"id":4,"name":"Milepost","value":"23.3291"},{"id":17,"name":"Train ID","value":"155-22"},{"id":16,"name":"Locomotive ID","value":"4022"},{"id":130,"name":"Impact","value":""},{"id":150,"name":"Time of Event (Mountain Time)","value":"11:07:48"},{"id":151,"name":"Denver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517</v>
      </c>
      <c r="B71" s="7">
        <v>4021</v>
      </c>
      <c r="C71" s="22" t="s">
        <v>217</v>
      </c>
      <c r="D71" s="22" t="s">
        <v>302</v>
      </c>
      <c r="E71" s="13">
        <v>42696.474131944444</v>
      </c>
      <c r="F71" s="13">
        <v>42696.476539351854</v>
      </c>
      <c r="G71" s="7">
        <v>2</v>
      </c>
      <c r="H71" s="22" t="s">
        <v>196</v>
      </c>
      <c r="I71" s="13">
        <v>42696.503576388888</v>
      </c>
      <c r="J71" s="7">
        <v>0</v>
      </c>
      <c r="K71" s="109" t="str">
        <f t="shared" si="0"/>
        <v>4021/4022</v>
      </c>
      <c r="L71" s="22" t="str">
        <f>VLOOKUP(A71,'Trips&amp;Operators'!$C$1:$E$10000,3,FALSE)</f>
        <v>STARKS</v>
      </c>
      <c r="M71" s="6">
        <f t="shared" si="21"/>
        <v>2.7037037034460809E-2</v>
      </c>
      <c r="N71" s="7">
        <f t="shared" si="19"/>
        <v>38.933333329623565</v>
      </c>
      <c r="O71" s="7"/>
      <c r="P71" s="7"/>
      <c r="Q71" s="23"/>
      <c r="R71" s="23"/>
      <c r="S71" s="35">
        <f t="shared" si="25"/>
        <v>1</v>
      </c>
      <c r="T71" s="50" t="str">
        <f t="shared" si="2"/>
        <v>Southbound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10:22:45-700',mode:absolute,to:'2016-11-22 13:05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71" s="52" t="str">
        <f t="shared" si="4"/>
        <v>N</v>
      </c>
      <c r="X71" s="177">
        <f t="shared" si="22"/>
        <v>1</v>
      </c>
      <c r="Y71" s="67">
        <f t="shared" si="23"/>
        <v>23.2973</v>
      </c>
      <c r="Z71" s="67">
        <f t="shared" si="24"/>
        <v>1.49E-2</v>
      </c>
      <c r="AA71" s="67">
        <f t="shared" si="8"/>
        <v>23.282399999999999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9"/>
        <v>0156-22</v>
      </c>
      <c r="AE71" s="91" t="str">
        <f t="shared" si="10"/>
        <v>aws s3 cp s3://rtdc.mdm.uploadarchive.raw/RTDC4021/ "%USERPROFILE%\AppData\Local\Temp\OnboardLogs"\RTDC4021\2016-11-22 --exclude "*" --recursive --include "*20161122*" &amp; "%USERPROFILE%\Documents\GitHub\mrs-test-scripts\Headless Mode &amp; Sideloading\WalkAndUnGZ.bat" "%USERPROFILE%\AppData\Local\Temp\OnboardLogs"\RTDC4021\2016-11-22 &amp; aws s3 cp s3://rtdc.mdm.uploadarchive.raw/RTDC4021/ "%USERPROFILE%\AppData\Local\Temp\OnboardLogs"\RTDC4021\2016-11-23 --exclude "*" --recursive --include "*20161123*" &amp; "%USERPROFILE%\Documents\GitHub\mrs-test-scripts\Headless Mode &amp; Sideloading\WalkAndUnGZ.bat" "%USERPROFILE%\AppData\Local\Temp\OnboardLogs"\RTDC4021\2016-11-23</v>
      </c>
      <c r="AF71" s="88" t="str">
        <f t="shared" si="11"/>
        <v>"C:\Program Files (x86)\AstroGrep\AstroGrep.exe" /spath="%USERPROFILE%\AppData\Local\Temp\OnboardLogs" /stypes="app*4021*20161122*" /stext=" 19:.+((SYSTEM_STATE.+slice.+state.+changed )|(ment ac)|(system.+state.+changed )|(\[timeout)|(PRM\|1\|D)|(kpr)|(kdp)|(\|lc)|(penalty))" /e /r /s</v>
      </c>
      <c r="AG71" s="1" t="str">
        <f t="shared" si="12"/>
        <v>EC</v>
      </c>
      <c r="AH71" s="92" t="str">
        <f t="shared" si="15"/>
        <v>"%USERPROFILE%\Documents\GitHub\eaglep3\Utilities\RefineRTDCRunTimes.py" --tripid 156-22 --locoid 4021 --swversion DE.1.0.8.0 --startMP 204:232973 --initTime 2016-11-22T11:22:45 --startdatetime 2016-11-22T11:26:13 --delay 2 --endMP 204:149 --enddatetime 2016-11-22T12:05:09 --enforcementcount 0 &gt;&gt;C:\Users\stu\Documents\GitHub\eaglep3-reporting\EC\2016-11-22-refined-times.txt</v>
      </c>
      <c r="AI71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{"issue":{"subject":"","project_id":79,"tracker_id":40,"status_id":1,"priority_id":2,"assigned_to_id":23,"start_date":"2016-11-22","description":"","custom_fields":[{"id":1,"name":"Subdivision","value":"EC"},{"id":4,"name":"Milepost","value":"0.0149"},{"id":17,"name":"Train ID","value":"156-22"},{"id":16,"name":"Locomotive ID","value":"4021"},{"id":130,"name":"Impact","value":""},{"id":150,"name":"Time of Event (Mountain Time)","value":"12:05:09"},{"id":151,"name":"Denver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509</v>
      </c>
      <c r="B72" s="7">
        <v>4031</v>
      </c>
      <c r="C72" s="22" t="s">
        <v>217</v>
      </c>
      <c r="D72" s="22" t="s">
        <v>214</v>
      </c>
      <c r="E72" s="13">
        <v>42696.446053240739</v>
      </c>
      <c r="F72" s="13">
        <v>42696.448171296295</v>
      </c>
      <c r="G72" s="7">
        <v>1</v>
      </c>
      <c r="H72" s="22" t="s">
        <v>313</v>
      </c>
      <c r="I72" s="13">
        <v>42696.472280092596</v>
      </c>
      <c r="J72" s="7">
        <v>0</v>
      </c>
      <c r="K72" s="109" t="str">
        <f t="shared" si="0"/>
        <v>4031/4032</v>
      </c>
      <c r="L72" s="22" t="str">
        <f>VLOOKUP(A72,'Trips&amp;Operators'!$C$1:$E$10000,3,FALSE)</f>
        <v>JOHNSON</v>
      </c>
      <c r="M72" s="6">
        <f t="shared" si="21"/>
        <v>2.4108796300424729E-2</v>
      </c>
      <c r="N72" s="7">
        <f t="shared" si="19"/>
        <v>34.716666672611609</v>
      </c>
      <c r="O72" s="7"/>
      <c r="P72" s="7"/>
      <c r="Q72" s="23"/>
      <c r="R72" s="23"/>
      <c r="S72" s="35">
        <f t="shared" si="25"/>
        <v>1</v>
      </c>
      <c r="T72" s="50" t="str">
        <f t="shared" si="2"/>
        <v>NorthBound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09:42:19-700',mode:absolute,to:'2016-11-22 12:20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2" s="52" t="str">
        <f t="shared" si="4"/>
        <v>N</v>
      </c>
      <c r="X72" s="177">
        <f t="shared" si="22"/>
        <v>1</v>
      </c>
      <c r="Y72" s="67">
        <f t="shared" si="23"/>
        <v>4.6199999999999998E-2</v>
      </c>
      <c r="Z72" s="67">
        <f t="shared" si="24"/>
        <v>23.330200000000001</v>
      </c>
      <c r="AA72" s="67">
        <f t="shared" si="8"/>
        <v>23.284000000000002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9"/>
        <v>0157-22</v>
      </c>
      <c r="AE72" s="91" t="str">
        <f t="shared" si="10"/>
        <v>aws s3 cp s3://rtdc.mdm.uploadarchive.raw/RTDC4031/ "%USERPROFILE%\AppData\Local\Temp\OnboardLogs"\RTDC4031\2016-11-22 --exclude "*" --recursive --include "*20161122*" &amp; "%USERPROFILE%\Documents\GitHub\mrs-test-scripts\Headless Mode &amp; Sideloading\WalkAndUnGZ.bat" "%USERPROFILE%\AppData\Local\Temp\OnboardLogs"\RTDC4031\2016-11-22 &amp; aws s3 cp s3://rtdc.mdm.uploadarchive.raw/RTDC4031/ "%USERPROFILE%\AppData\Local\Temp\OnboardLogs"\RTDC4031\2016-11-23 --exclude "*" --recursive --include "*20161123*" &amp; "%USERPROFILE%\Documents\GitHub\mrs-test-scripts\Headless Mode &amp; Sideloading\WalkAndUnGZ.bat" "%USERPROFILE%\AppData\Local\Temp\OnboardLogs"\RTDC4031\2016-11-23</v>
      </c>
      <c r="AF72" s="88" t="str">
        <f t="shared" si="11"/>
        <v>"C:\Program Files (x86)\AstroGrep\AstroGrep.exe" /spath="%USERPROFILE%\AppData\Local\Temp\OnboardLogs" /stypes="app*4031*20161122*" /stext=" 18:.+((SYSTEM_STATE.+slice.+state.+changed )|(ment ac)|(system.+state.+changed )|(\[timeout)|(PRM\|1\|D)|(kpr)|(kdp)|(\|lc)|(penalty))" /e /r /s</v>
      </c>
      <c r="AG72" s="1" t="str">
        <f t="shared" si="12"/>
        <v>EC</v>
      </c>
      <c r="AH72" s="92" t="str">
        <f t="shared" si="15"/>
        <v>"%USERPROFILE%\Documents\GitHub\eaglep3\Utilities\RefineRTDCRunTimes.py" --tripid 157-22 --locoid 4031 --swversion DE.1.0.8.0 --startMP 204:462 --initTime 2016-11-22T10:42:19 --startdatetime 2016-11-22T10:45:22 --delay 1 --endMP 204:233302 --enddatetime 2016-11-22T11:20:05 --enforcementcount 0 &gt;&gt;C:\Users\stu\Documents\GitHub\eaglep3-reporting\EC\2016-11-22-refined-times.txt</v>
      </c>
      <c r="AI72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{"issue":{"subject":"","project_id":79,"tracker_id":40,"status_id":1,"priority_id":2,"assigned_to_id":23,"start_date":"2016-11-22","description":"","custom_fields":[{"id":1,"name":"Subdivision","value":"EC"},{"id":4,"name":"Milepost","value":"23.3302"},{"id":17,"name":"Train ID","value":"157-22"},{"id":16,"name":"Locomotive ID","value":"4031"},{"id":130,"name":"Impact","value":""},{"id":150,"name":"Time of Event (Mountain Time)","value":"11:20:05"},{"id":151,"name":"Denver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432</v>
      </c>
      <c r="B73" s="7">
        <v>4032</v>
      </c>
      <c r="C73" s="22" t="s">
        <v>217</v>
      </c>
      <c r="D73" s="22" t="s">
        <v>287</v>
      </c>
      <c r="E73" s="13">
        <v>42696.484571759262</v>
      </c>
      <c r="F73" s="13">
        <v>42696.48704861111</v>
      </c>
      <c r="G73" s="7">
        <v>1</v>
      </c>
      <c r="H73" s="22" t="s">
        <v>300</v>
      </c>
      <c r="I73" s="13">
        <v>42696.51425925926</v>
      </c>
      <c r="J73" s="7">
        <v>1</v>
      </c>
      <c r="K73" s="109" t="str">
        <f t="shared" si="0"/>
        <v>4031/4032</v>
      </c>
      <c r="L73" s="22" t="str">
        <f>VLOOKUP(A73,'Trips&amp;Operators'!$C$1:$E$10000,3,FALSE)</f>
        <v>JOHNSON</v>
      </c>
      <c r="M73" s="6">
        <f t="shared" si="21"/>
        <v>2.7210648149775807E-2</v>
      </c>
      <c r="N73" s="7">
        <f t="shared" si="19"/>
        <v>39.183333335677162</v>
      </c>
      <c r="O73" s="7"/>
      <c r="P73" s="7"/>
      <c r="Q73" s="23"/>
      <c r="R73" s="23"/>
      <c r="S73" s="35">
        <f t="shared" si="25"/>
        <v>1</v>
      </c>
      <c r="T73" s="50" t="str">
        <f t="shared" si="2"/>
        <v>Southbound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10:37:47-700',mode:absolute,to:'2016-11-22 13:20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3" s="52" t="str">
        <f t="shared" si="4"/>
        <v>N</v>
      </c>
      <c r="X73" s="177">
        <f t="shared" si="22"/>
        <v>1</v>
      </c>
      <c r="Y73" s="67">
        <f t="shared" si="23"/>
        <v>23.299099999999999</v>
      </c>
      <c r="Z73" s="67">
        <f t="shared" si="24"/>
        <v>1.3599999999999999E-2</v>
      </c>
      <c r="AA73" s="67">
        <f t="shared" si="8"/>
        <v>23.285499999999999</v>
      </c>
      <c r="AB73" s="64" t="str">
        <f>VLOOKUP(A73,Enforcements!$C$7:$K$20,8,0)</f>
        <v>Bulletin (2)</v>
      </c>
      <c r="AC73" s="60" t="str">
        <f>VLOOKUP(A73,Enforcements!$C$7:$E$20,3,0)</f>
        <v>TEMPORARY SPEED RESTRICTION</v>
      </c>
      <c r="AD73" s="61" t="str">
        <f t="shared" si="9"/>
        <v>0158-22</v>
      </c>
      <c r="AE73" s="91" t="str">
        <f t="shared" si="10"/>
        <v>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 &amp; aws s3 cp s3://rtdc.mdm.uploadarchive.raw/RTDC4032/ "%USERPROFILE%\AppData\Local\Temp\OnboardLogs"\RTDC4032\2016-11-23 --exclude "*" --recursive --include "*20161123*" &amp; "%USERPROFILE%\Documents\GitHub\mrs-test-scripts\Headless Mode &amp; Sideloading\WalkAndUnGZ.bat" "%USERPROFILE%\AppData\Local\Temp\OnboardLogs"\RTDC4032\2016-11-23</v>
      </c>
      <c r="AF73" s="88" t="str">
        <f t="shared" si="11"/>
        <v>"C:\Program Files (x86)\AstroGrep\AstroGrep.exe" /spath="%USERPROFILE%\AppData\Local\Temp\OnboardLogs" /stypes="app*4032*20161122*" /stext=" 19:.+((SYSTEM_STATE.+slice.+state.+changed )|(ment ac)|(system.+state.+changed )|(\[timeout)|(PRM\|1\|D)|(kpr)|(kdp)|(\|lc)|(penalty))" /e /r /s</v>
      </c>
      <c r="AG73" s="1" t="str">
        <f t="shared" si="12"/>
        <v>EC</v>
      </c>
      <c r="AH73" s="92" t="str">
        <f t="shared" si="15"/>
        <v>"%USERPROFILE%\Documents\GitHub\eaglep3\Utilities\RefineRTDCRunTimes.py" --tripid 158-22 --locoid 4032 --swversion DE.1.0.8.0 --startMP 204:232991 --initTime 2016-11-22T11:37:47 --startdatetime 2016-11-22T11:41:21 --delay 1 --endMP 204:136 --enddatetime 2016-11-22T12:20:32 --enforcementcount 1 &gt;&gt;C:\Users\stu\Documents\GitHub\eaglep3-reporting\EC\2016-11-22-refined-times.txt</v>
      </c>
      <c r="AI73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{"issue":{"subject":"","project_id":79,"tracker_id":40,"status_id":1,"priority_id":2,"assigned_to_id":23,"start_date":"2016-11-22","description":"","custom_fields":[{"id":1,"name":"Subdivision","value":"EC"},{"id":4,"name":"Milepost","value":"0.0136"},{"id":17,"name":"Train ID","value":"158-22"},{"id":16,"name":"Locomotive ID","value":"4032"},{"id":130,"name":"Impact","value":""},{"id":150,"name":"Time of Event (Mountain Time)","value":"12:20:32"},{"id":151,"name":"Denver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511</v>
      </c>
      <c r="B74" s="7">
        <v>4046</v>
      </c>
      <c r="C74" s="22" t="s">
        <v>217</v>
      </c>
      <c r="D74" s="22" t="s">
        <v>219</v>
      </c>
      <c r="E74" s="13">
        <v>42696.4531712963</v>
      </c>
      <c r="F74" s="13">
        <v>42696.45853009259</v>
      </c>
      <c r="G74" s="7">
        <v>1</v>
      </c>
      <c r="H74" s="22" t="s">
        <v>658</v>
      </c>
      <c r="I74" s="13">
        <v>42696.483020833337</v>
      </c>
      <c r="J74" s="7">
        <v>0</v>
      </c>
      <c r="K74" s="109" t="str">
        <f t="shared" si="0"/>
        <v>4045/4046</v>
      </c>
      <c r="L74" s="22" t="str">
        <f>VLOOKUP(A74,'Trips&amp;Operators'!$C$1:$E$10000,3,FALSE)</f>
        <v>BARTLETT</v>
      </c>
      <c r="M74" s="6">
        <f t="shared" si="21"/>
        <v>2.4490740746841766E-2</v>
      </c>
      <c r="N74" s="7">
        <f t="shared" si="19"/>
        <v>35.266666675452143</v>
      </c>
      <c r="O74" s="7"/>
      <c r="P74" s="7"/>
      <c r="Q74" s="23"/>
      <c r="R74" s="23"/>
      <c r="S74" s="35">
        <f t="shared" si="25"/>
        <v>1</v>
      </c>
      <c r="T74" s="50" t="str">
        <f t="shared" si="2"/>
        <v>NorthBound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09:52:34-700',mode:absolute,to:'2016-11-22 12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4" s="52" t="str">
        <f t="shared" si="4"/>
        <v>N</v>
      </c>
      <c r="X74" s="177">
        <f t="shared" si="22"/>
        <v>1</v>
      </c>
      <c r="Y74" s="67">
        <f t="shared" si="23"/>
        <v>4.58E-2</v>
      </c>
      <c r="Z74" s="67">
        <f t="shared" si="24"/>
        <v>23.3307</v>
      </c>
      <c r="AA74" s="67">
        <f t="shared" si="8"/>
        <v>23.2849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9"/>
        <v>0159-22</v>
      </c>
      <c r="AE74" s="91" t="str">
        <f t="shared" si="10"/>
        <v>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 &amp; 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</v>
      </c>
      <c r="AF74" s="88" t="str">
        <f t="shared" si="11"/>
        <v>"C:\Program Files (x86)\AstroGrep\AstroGrep.exe" /spath="%USERPROFILE%\AppData\Local\Temp\OnboardLogs" /stypes="app*4046*20161122*" /stext=" 18:.+((SYSTEM_STATE.+slice.+state.+changed )|(ment ac)|(system.+state.+changed )|(\[timeout)|(PRM\|1\|D)|(kpr)|(kdp)|(\|lc)|(penalty))" /e /r /s</v>
      </c>
      <c r="AG74" s="1" t="str">
        <f t="shared" si="12"/>
        <v>EC</v>
      </c>
      <c r="AH74" s="92" t="str">
        <f t="shared" si="15"/>
        <v>"%USERPROFILE%\Documents\GitHub\eaglep3\Utilities\RefineRTDCRunTimes.py" --tripid 159-22 --locoid 4046 --swversion DE.1.0.8.0 --startMP 204:458 --initTime 2016-11-22T10:52:34 --startdatetime 2016-11-22T11:00:17 --delay 1 --endMP 204:233307 --enddatetime 2016-11-22T11:35:33 --enforcementcount 0 &gt;&gt;C:\Users\stu\Documents\GitHub\eaglep3-reporting\EC\2016-11-22-refined-times.txt</v>
      </c>
      <c r="AI74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{"issue":{"subject":"","project_id":79,"tracker_id":40,"status_id":1,"priority_id":2,"assigned_to_id":23,"start_date":"2016-11-22","description":"","custom_fields":[{"id":1,"name":"Subdivision","value":"EC"},{"id":4,"name":"Milepost","value":"23.3307"},{"id":17,"name":"Train ID","value":"159-22"},{"id":16,"name":"Locomotive ID","value":"4046"},{"id":130,"name":"Impact","value":""},{"id":150,"name":"Time of Event (Mountain Time)","value":"11:35:33"},{"id":151,"name":"Denver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521</v>
      </c>
      <c r="B75" s="7">
        <v>4045</v>
      </c>
      <c r="C75" s="22" t="s">
        <v>217</v>
      </c>
      <c r="D75" s="22" t="s">
        <v>299</v>
      </c>
      <c r="E75" s="13">
        <v>42696.486585648148</v>
      </c>
      <c r="F75" s="13">
        <v>42696.49763888889</v>
      </c>
      <c r="G75" s="7">
        <v>2</v>
      </c>
      <c r="H75" s="22" t="s">
        <v>275</v>
      </c>
      <c r="I75" s="13">
        <v>42696.525277777779</v>
      </c>
      <c r="J75" s="7">
        <v>0</v>
      </c>
      <c r="K75" s="109" t="str">
        <f t="shared" si="0"/>
        <v>4045/4046</v>
      </c>
      <c r="L75" s="22" t="str">
        <f>VLOOKUP(A75,'Trips&amp;Operators'!$C$1:$E$10000,3,FALSE)</f>
        <v>BARTLETT</v>
      </c>
      <c r="M75" s="6">
        <f t="shared" si="21"/>
        <v>2.7638888888759539E-2</v>
      </c>
      <c r="N75" s="7">
        <f t="shared" si="19"/>
        <v>39.799999999813735</v>
      </c>
      <c r="O75" s="7"/>
      <c r="P75" s="7"/>
      <c r="Q75" s="23"/>
      <c r="R75" s="23"/>
      <c r="S75" s="35">
        <f t="shared" si="25"/>
        <v>1</v>
      </c>
      <c r="T75" s="50" t="str">
        <f t="shared" si="2"/>
        <v>Southbound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10:40:41-700',mode:absolute,to:'2016-11-22 13:36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5" s="52" t="str">
        <f t="shared" si="4"/>
        <v>N</v>
      </c>
      <c r="X75" s="177">
        <f t="shared" si="22"/>
        <v>1</v>
      </c>
      <c r="Y75" s="67">
        <f t="shared" si="23"/>
        <v>23.2988</v>
      </c>
      <c r="Z75" s="67">
        <f t="shared" si="24"/>
        <v>1.47E-2</v>
      </c>
      <c r="AA75" s="67">
        <f t="shared" si="8"/>
        <v>23.284099999999999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9"/>
        <v>0160-22</v>
      </c>
      <c r="AE75" s="91" t="str">
        <f t="shared" si="10"/>
        <v>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 &amp; aws s3 cp s3://rtdc.mdm.uploadarchive.raw/RTDC4045/ "%USERPROFILE%\AppData\Local\Temp\OnboardLogs"\RTDC4045\2016-11-23 --exclude "*" --recursive --include "*20161123*" &amp; "%USERPROFILE%\Documents\GitHub\mrs-test-scripts\Headless Mode &amp; Sideloading\WalkAndUnGZ.bat" "%USERPROFILE%\AppData\Local\Temp\OnboardLogs"\RTDC4045\2016-11-23</v>
      </c>
      <c r="AF75" s="88" t="str">
        <f t="shared" si="11"/>
        <v>"C:\Program Files (x86)\AstroGrep\AstroGrep.exe" /spath="%USERPROFILE%\AppData\Local\Temp\OnboardLogs" /stypes="app*4045*20161122*" /stext=" 19:.+((SYSTEM_STATE.+slice.+state.+changed )|(ment ac)|(system.+state.+changed )|(\[timeout)|(PRM\|1\|D)|(kpr)|(kdp)|(\|lc)|(penalty))" /e /r /s</v>
      </c>
      <c r="AG75" s="1" t="str">
        <f t="shared" si="12"/>
        <v>EC</v>
      </c>
      <c r="AH75" s="92" t="str">
        <f t="shared" si="15"/>
        <v>"%USERPROFILE%\Documents\GitHub\eaglep3\Utilities\RefineRTDCRunTimes.py" --tripid 160-22 --locoid 4045 --swversion DE.1.0.8.0 --startMP 204:232988 --initTime 2016-11-22T11:40:41 --startdatetime 2016-11-22T11:56:36 --delay 2 --endMP 204:147 --enddatetime 2016-11-22T12:36:24 --enforcementcount 0 &gt;&gt;C:\Users\stu\Documents\GitHub\eaglep3-reporting\EC\2016-11-22-refined-times.txt</v>
      </c>
      <c r="AI75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{"issue":{"subject":"","project_id":79,"tracker_id":40,"status_id":1,"priority_id":2,"assigned_to_id":23,"start_date":"2016-11-22","description":"","custom_fields":[{"id":1,"name":"Subdivision","value":"EC"},{"id":4,"name":"Milepost","value":"0.0147"},{"id":17,"name":"Train ID","value":"160-22"},{"id":16,"name":"Locomotive ID","value":"4045"},{"id":130,"name":"Impact","value":""},{"id":150,"name":"Time of Event (Mountain Time)","value":"12:36:24"},{"id":151,"name":"Denver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514</v>
      </c>
      <c r="B76" s="7">
        <v>4038</v>
      </c>
      <c r="C76" s="22" t="s">
        <v>217</v>
      </c>
      <c r="D76" s="22" t="s">
        <v>282</v>
      </c>
      <c r="E76" s="13">
        <v>42696.462939814817</v>
      </c>
      <c r="F76" s="13">
        <v>42696.464780092596</v>
      </c>
      <c r="G76" s="7">
        <v>2</v>
      </c>
      <c r="H76" s="22" t="s">
        <v>673</v>
      </c>
      <c r="I76" s="13">
        <v>42696.493703703702</v>
      </c>
      <c r="J76" s="7">
        <v>0</v>
      </c>
      <c r="K76" s="109" t="str">
        <f t="shared" si="0"/>
        <v>4037/4038</v>
      </c>
      <c r="L76" s="22" t="str">
        <f>VLOOKUP(A76,'Trips&amp;Operators'!$C$1:$E$10000,3,FALSE)</f>
        <v>STEWART</v>
      </c>
      <c r="M76" s="6">
        <f t="shared" si="21"/>
        <v>2.8923611105710734E-2</v>
      </c>
      <c r="N76" s="7"/>
      <c r="O76" s="7"/>
      <c r="P76" s="7">
        <f>24*60*SUM($M76:$M76)</f>
        <v>41.649999992223457</v>
      </c>
      <c r="Q76" s="23"/>
      <c r="R76" s="23" t="s">
        <v>810</v>
      </c>
      <c r="S76" s="35">
        <f t="shared" si="25"/>
        <v>1</v>
      </c>
      <c r="T76" s="50" t="str">
        <f t="shared" si="2"/>
        <v>NorthBound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https://search-rtdc-monitor-bjffxe2xuh6vdkpspy63sjmuny.us-east-1.es.amazonaws.com/_plugin/kibana/#/discover/Steve-Slow-Train-Analysis-(2080s-and-2083s)?_g=(refreshInterval:(display:Off,section:0,value:0),time:(from:'2016-11-22 10:06:38-700',mode:absolute,to:'2016-11-22 12:50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76" s="52" t="str">
        <f t="shared" si="4"/>
        <v>Y</v>
      </c>
      <c r="X76" s="177">
        <f t="shared" si="22"/>
        <v>1</v>
      </c>
      <c r="Y76" s="67">
        <f t="shared" si="23"/>
        <v>4.5499999999999999E-2</v>
      </c>
      <c r="Z76" s="67">
        <f t="shared" si="24"/>
        <v>22.792200000000001</v>
      </c>
      <c r="AA76" s="67">
        <f t="shared" si="8"/>
        <v>22.746700000000001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9"/>
        <v>0161-22</v>
      </c>
      <c r="AE76" s="91" t="str">
        <f t="shared" si="10"/>
        <v>aws s3 cp s3://rtdc.mdm.uploadarchive.raw/RTDC4038/ "%USERPROFILE%\AppData\Local\Temp\OnboardLogs"\RTDC4038\2016-11-22 --exclude "*" --recursive --include "*20161122*" &amp; "%USERPROFILE%\Documents\GitHub\mrs-test-scripts\Headless Mode &amp; Sideloading\WalkAndUnGZ.bat" "%USERPROFILE%\AppData\Local\Temp\OnboardLogs"\RTDC4038\2016-11-22 &amp; aws s3 cp s3://rtdc.mdm.uploadarchive.raw/RTDC4038/ "%USERPROFILE%\AppData\Local\Temp\OnboardLogs"\RTDC4038\2016-11-23 --exclude "*" --recursive --include "*20161123*" &amp; "%USERPROFILE%\Documents\GitHub\mrs-test-scripts\Headless Mode &amp; Sideloading\WalkAndUnGZ.bat" "%USERPROFILE%\AppData\Local\Temp\OnboardLogs"\RTDC4038\2016-11-23</v>
      </c>
      <c r="AF76" s="88" t="str">
        <f t="shared" si="11"/>
        <v>"C:\Program Files (x86)\AstroGrep\AstroGrep.exe" /spath="%USERPROFILE%\AppData\Local\Temp\OnboardLogs" /stypes="app*4038*20161122*" /stext=" 18:.+((SYSTEM_STATE.+slice.+state.+changed )|(ment ac)|(system.+state.+changed )|(\[timeout)|(PRM\|1\|D)|(kpr)|(kdp)|(\|lc)|(penalty))" /e /r /s</v>
      </c>
      <c r="AG76" s="1" t="str">
        <f t="shared" si="12"/>
        <v>EC</v>
      </c>
      <c r="AH76" s="92" t="str">
        <f t="shared" si="15"/>
        <v>"%USERPROFILE%\Documents\GitHub\eaglep3\Utilities\RefineRTDCRunTimes.py" --tripid 161-22 --locoid 4038 --swversion DE.1.0.8.0 --startMP 204:455 --initTime 2016-11-22T11:06:38 --startdatetime 2016-11-22T11:09:17 --delay 2 --endMP 204:227922 --enddatetime 2016-11-22T11:50:56 --enforcementcount 0 &gt;&gt;C:\Users\stu\Documents\GitHub\eaglep3-reporting\EC\2016-11-22-refined-times.txt</v>
      </c>
      <c r="AI76" s="119" t="str">
        <f t="shared" si="16"/>
        <v>echo {"issue":{"subject":"DIA 2N stuck at STOP","project_id":79,"tracker_id":40,"status_id":1,"priority_id":2,"assigned_to_id":23,"start_date":"2016-11-22","description":"","custom_fields":[{"id":1,"name":"Subdivision","value":"EC"},{"id":4,"name":"Milepost","value":"22.7922"},{"id":17,"name":"Train ID","value":"161-22"},{"id":16,"name":"Locomotive ID","value":"4038"},{"id":130,"name":"Impact","value":""},{"id":150,"name":"Time of Event (Mountain Time)","value":"11:50:56"},{"id":151,"name":"Denver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523</v>
      </c>
      <c r="B77" s="7">
        <v>4037</v>
      </c>
      <c r="C77" s="22" t="s">
        <v>217</v>
      </c>
      <c r="D77" s="22" t="s">
        <v>674</v>
      </c>
      <c r="E77" s="13">
        <v>42696.505335648151</v>
      </c>
      <c r="F77" s="13">
        <v>42696.507928240739</v>
      </c>
      <c r="G77" s="7">
        <v>1</v>
      </c>
      <c r="H77" s="22" t="s">
        <v>228</v>
      </c>
      <c r="I77" s="13">
        <v>42696.534942129627</v>
      </c>
      <c r="J77" s="7">
        <v>0</v>
      </c>
      <c r="K77" s="109" t="str">
        <f t="shared" ref="K77:K140" si="26">IF(ISEVEN(B77),(B77-1)&amp;"/"&amp;B77,B77&amp;"/"&amp;(B77+1))</f>
        <v>4037/4038</v>
      </c>
      <c r="L77" s="22" t="str">
        <f>VLOOKUP(A77,'Trips&amp;Operators'!$C$1:$E$10000,3,FALSE)</f>
        <v>STEWART</v>
      </c>
      <c r="M77" s="6">
        <f t="shared" ref="M77:M106" si="27">I77-F77</f>
        <v>2.7013888888177462E-2</v>
      </c>
      <c r="N77" s="7">
        <f t="shared" ref="N77:N105" si="28">24*60*SUM($M77:$M77)</f>
        <v>38.899999998975545</v>
      </c>
      <c r="O77" s="7"/>
      <c r="P77" s="7"/>
      <c r="Q77" s="23"/>
      <c r="R77" s="23"/>
      <c r="S77" s="35">
        <f t="shared" si="25"/>
        <v>1</v>
      </c>
      <c r="T77" s="50" t="str">
        <f t="shared" ref="T77:T140" si="29">IF(ISEVEN(LEFT(AD77,4)),"Southbound","NorthBound")</f>
        <v>Southbound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30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https://search-rtdc-monitor-bjffxe2xuh6vdkpspy63sjmuny.us-east-1.es.amazonaws.com/_plugin/kibana/#/discover/Steve-Slow-Train-Analysis-(2080s-and-2083s)?_g=(refreshInterval:(display:Off,section:0,value:0),time:(from:'2016-11-22 11:07:41-700',mode:absolute,to:'2016-11-22 13:50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77" s="52" t="str">
        <f t="shared" ref="W77:W140" si="31">IF(AA77&lt;IF(AG77="EC",23,5.65),"Y","N")</f>
        <v>N</v>
      </c>
      <c r="X77" s="177">
        <f t="shared" ref="X77:X108" si="32">VALUE(LEFT(AD77,4))-VALUE(LEFT(AD76,4))</f>
        <v>1</v>
      </c>
      <c r="Y77" s="67">
        <f t="shared" ref="Y77:Y108" si="33">RIGHT(D77,LEN(D77)-4)/10000</f>
        <v>23.300599999999999</v>
      </c>
      <c r="Z77" s="67">
        <f t="shared" ref="Z77:Z108" si="34">RIGHT(H77,LEN(H77)-4)/10000</f>
        <v>1.4999999999999999E-2</v>
      </c>
      <c r="AA77" s="67">
        <f t="shared" ref="AA77:AA140" si="35">ABS(Z77-Y77)</f>
        <v>23.285599999999999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ref="AD77:AD140" si="36">IF(LEN(A77)=6,"0"&amp;A77,A77)</f>
        <v>0162-22</v>
      </c>
      <c r="AE77" s="91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s3://rtdc.mdm.uploadarchive.raw/RTDC4037/ "%USERPROFILE%\AppData\Local\Temp\OnboardLogs"\RTDC4037\2016-11-22 --exclude "*" --recursive --include "*20161122*" &amp; "%USERPROFILE%\Documents\GitHub\mrs-test-scripts\Headless Mode &amp; Sideloading\WalkAndUnGZ.bat" "%USERPROFILE%\AppData\Local\Temp\OnboardLogs"\RTDC4037\2016-11-22 &amp; aws s3 cp s3://rtdc.mdm.uploadarchive.raw/RTDC4037/ "%USERPROFILE%\AppData\Local\Temp\OnboardLogs"\RTDC4037\2016-11-23 --exclude "*" --recursive --include "*20161123*" &amp; "%USERPROFILE%\Documents\GitHub\mrs-test-scripts\Headless Mode &amp; Sideloading\WalkAndUnGZ.bat" "%USERPROFILE%\AppData\Local\Temp\OnboardLogs"\RTDC4037\2016-11-23</v>
      </c>
      <c r="AF77" s="88" t="str">
        <f t="shared" ref="AF77:AF140" si="38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/stypes="app*4037*20161122*" /stext=" 19:.+((SYSTEM_STATE.+slice.+state.+changed )|(ment ac)|(system.+state.+changed )|(\[timeout)|(PRM\|1\|D)|(kpr)|(kdp)|(\|lc)|(penalty))" /e /r /s</v>
      </c>
      <c r="AG77" s="1" t="str">
        <f t="shared" ref="AG77:AG140" si="39">IFERROR(IF(VALUE(LEFT(AD77,2))&lt;=2,"EC",IF(OR(VALUE(LEFT(AD77,2))=8,VALUE(LEFT(AD77,2))=18),"NW","Other")),"Other")</f>
        <v>EC</v>
      </c>
      <c r="AH77" s="92" t="str">
        <f t="shared" si="15"/>
        <v>"%USERPROFILE%\Documents\GitHub\eaglep3\Utilities\RefineRTDCRunTimes.py" --tripid 162-22 --locoid 4037 --swversion DE.1.0.8.0 --startMP 204:233006 --initTime 2016-11-22T12:07:41 --startdatetime 2016-11-22T12:11:25 --delay 1 --endMP 204:150 --enddatetime 2016-11-22T12:50:19 --enforcementcount 0 &gt;&gt;C:\Users\stu\Documents\GitHub\eaglep3-reporting\EC\2016-11-22-refined-times.txt</v>
      </c>
      <c r="AI77" s="119" t="str">
        <f t="shared" si="16"/>
        <v>echo {"issue":{"subject":"","project_id":79,"tracker_id":40,"status_id":1,"priority_id":2,"assigned_to_id":23,"start_date":"2016-11-22","description":"","custom_fields":[{"id":1,"name":"Subdivision","value":"EC"},{"id":4,"name":"Milepost","value":"0.015"},{"id":17,"name":"Train ID","value":"162-22"},{"id":16,"name":"Locomotive ID","value":"4037"},{"id":130,"name":"Impact","value":""},{"id":150,"name":"Time of Event (Mountain Time)","value":"12:50:19"},{"id":151,"name":"Denver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518</v>
      </c>
      <c r="B78" s="7">
        <v>4002</v>
      </c>
      <c r="C78" s="22" t="s">
        <v>217</v>
      </c>
      <c r="D78" s="22" t="s">
        <v>252</v>
      </c>
      <c r="E78" s="13">
        <v>42696.475266203706</v>
      </c>
      <c r="F78" s="13">
        <v>42696.479907407411</v>
      </c>
      <c r="G78" s="7">
        <v>2</v>
      </c>
      <c r="H78" s="22" t="s">
        <v>320</v>
      </c>
      <c r="I78" s="13">
        <v>42696.506423611114</v>
      </c>
      <c r="J78" s="7">
        <v>0</v>
      </c>
      <c r="K78" s="109" t="str">
        <f t="shared" si="26"/>
        <v>4001/4002</v>
      </c>
      <c r="L78" s="22" t="str">
        <f>VLOOKUP(A78,'Trips&amp;Operators'!$C$1:$E$10000,3,FALSE)</f>
        <v>HELVIE</v>
      </c>
      <c r="M78" s="6">
        <f t="shared" si="27"/>
        <v>2.6516203703067731E-2</v>
      </c>
      <c r="N78" s="7">
        <f t="shared" si="28"/>
        <v>38.183333332417533</v>
      </c>
      <c r="O78" s="7"/>
      <c r="P78" s="7"/>
      <c r="Q78" s="23"/>
      <c r="R78" s="23"/>
      <c r="S78" s="35">
        <f t="shared" si="25"/>
        <v>1</v>
      </c>
      <c r="T78" s="50" t="str">
        <f t="shared" si="29"/>
        <v>NorthBound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10:24:23-700',mode:absolute,to:'2016-11-22 13:09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8" s="52" t="str">
        <f t="shared" si="31"/>
        <v>N</v>
      </c>
      <c r="X78" s="177">
        <f t="shared" si="32"/>
        <v>1</v>
      </c>
      <c r="Y78" s="67">
        <f t="shared" si="33"/>
        <v>4.6600000000000003E-2</v>
      </c>
      <c r="Z78" s="67">
        <f t="shared" si="34"/>
        <v>23.3291</v>
      </c>
      <c r="AA78" s="67">
        <f t="shared" si="35"/>
        <v>23.282499999999999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si="36"/>
        <v>0163-22</v>
      </c>
      <c r="AE78" s="91" t="str">
        <f t="shared" si="37"/>
        <v>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 &amp; aws s3 cp s3://rtdc.mdm.uploadarchive.raw/RTDC4002/ "%USERPROFILE%\AppData\Local\Temp\OnboardLogs"\RTDC4002\2016-11-23 --exclude "*" --recursive --include "*20161123*" &amp; "%USERPROFILE%\Documents\GitHub\mrs-test-scripts\Headless Mode &amp; Sideloading\WalkAndUnGZ.bat" "%USERPROFILE%\AppData\Local\Temp\OnboardLogs"\RTDC4002\2016-11-23</v>
      </c>
      <c r="AF78" s="88" t="str">
        <f t="shared" si="38"/>
        <v>"C:\Program Files (x86)\AstroGrep\AstroGrep.exe" /spath="%USERPROFILE%\AppData\Local\Temp\OnboardLogs" /stypes="app*4002*20161122*" /stext=" 19:.+((SYSTEM_STATE.+slice.+state.+changed )|(ment ac)|(system.+state.+changed )|(\[timeout)|(PRM\|1\|D)|(kpr)|(kdp)|(\|lc)|(penalty))" /e /r /s</v>
      </c>
      <c r="AG78" s="1" t="str">
        <f t="shared" si="39"/>
        <v>EC</v>
      </c>
      <c r="AH78" s="92" t="str">
        <f t="shared" ref="AH78:AH141" si="4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163-22 --locoid 4002 --swversion DE.1.0.8.0 --startMP 204:466 --initTime 2016-11-22T11:24:23 --startdatetime 2016-11-22T11:31:04 --delay 2 --endMP 204:233291 --enddatetime 2016-11-22T12:09:15 --enforcementcount 0 &gt;&gt;C:\Users\stu\Documents\GitHub\eaglep3-reporting\EC\2016-11-22-refined-times.txt</v>
      </c>
      <c r="AI78" s="119" t="str">
        <f t="shared" ref="AI78:AI141" si="4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{"issue":{"subject":"","project_id":79,"tracker_id":40,"status_id":1,"priority_id":2,"assigned_to_id":23,"start_date":"2016-11-22","description":"","custom_fields":[{"id":1,"name":"Subdivision","value":"EC"},{"id":4,"name":"Milepost","value":"23.3291"},{"id":17,"name":"Train ID","value":"163-22"},{"id":16,"name":"Locomotive ID","value":"4002"},{"id":130,"name":"Impact","value":""},{"id":150,"name":"Time of Event (Mountain Time)","value":"12:09:15"},{"id":151,"name":"Denver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527</v>
      </c>
      <c r="B79" s="7">
        <v>4001</v>
      </c>
      <c r="C79" s="22" t="s">
        <v>217</v>
      </c>
      <c r="D79" s="22" t="s">
        <v>253</v>
      </c>
      <c r="E79" s="13">
        <v>42696.515104166669</v>
      </c>
      <c r="F79" s="13">
        <v>42696.518518518518</v>
      </c>
      <c r="G79" s="7">
        <v>1</v>
      </c>
      <c r="H79" s="22" t="s">
        <v>304</v>
      </c>
      <c r="I79" s="13">
        <v>42696.546157407407</v>
      </c>
      <c r="J79" s="7">
        <v>0</v>
      </c>
      <c r="K79" s="109" t="str">
        <f t="shared" si="26"/>
        <v>4001/4002</v>
      </c>
      <c r="L79" s="22" t="str">
        <f>VLOOKUP(A79,'Trips&amp;Operators'!$C$1:$E$10000,3,FALSE)</f>
        <v>HELVIE</v>
      </c>
      <c r="M79" s="6">
        <f t="shared" si="27"/>
        <v>2.7638888888759539E-2</v>
      </c>
      <c r="N79" s="7">
        <f t="shared" si="28"/>
        <v>39.799999999813735</v>
      </c>
      <c r="O79" s="7"/>
      <c r="P79" s="7"/>
      <c r="Q79" s="23"/>
      <c r="R79" s="23"/>
      <c r="S79" s="35">
        <f t="shared" si="25"/>
        <v>1</v>
      </c>
      <c r="T79" s="50" t="str">
        <f t="shared" si="29"/>
        <v>Southbound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11:21:45-700',mode:absolute,to:'2016-11-22 14:06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9" s="52" t="str">
        <f t="shared" si="31"/>
        <v>N</v>
      </c>
      <c r="X79" s="177">
        <f t="shared" si="32"/>
        <v>1</v>
      </c>
      <c r="Y79" s="67">
        <f t="shared" si="33"/>
        <v>23.297999999999998</v>
      </c>
      <c r="Z79" s="67">
        <f t="shared" si="34"/>
        <v>1.6299999999999999E-2</v>
      </c>
      <c r="AA79" s="67">
        <f t="shared" si="35"/>
        <v>23.281699999999997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36"/>
        <v>0164-22</v>
      </c>
      <c r="AE79" s="91" t="str">
        <f t="shared" si="37"/>
        <v>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 &amp; aws s3 cp s3://rtdc.mdm.uploadarchive.raw/RTDC4001/ "%USERPROFILE%\AppData\Local\Temp\OnboardLogs"\RTDC4001\2016-11-23 --exclude "*" --recursive --include "*20161123*" &amp; "%USERPROFILE%\Documents\GitHub\mrs-test-scripts\Headless Mode &amp; Sideloading\WalkAndUnGZ.bat" "%USERPROFILE%\AppData\Local\Temp\OnboardLogs"\RTDC4001\2016-11-23</v>
      </c>
      <c r="AF79" s="88" t="str">
        <f t="shared" si="38"/>
        <v>"C:\Program Files (x86)\AstroGrep\AstroGrep.exe" /spath="%USERPROFILE%\AppData\Local\Temp\OnboardLogs" /stypes="app*4001*20161122*" /stext=" 20:.+((SYSTEM_STATE.+slice.+state.+changed )|(ment ac)|(system.+state.+changed )|(\[timeout)|(PRM\|1\|D)|(kpr)|(kdp)|(\|lc)|(penalty))" /e /r /s</v>
      </c>
      <c r="AG79" s="1" t="str">
        <f t="shared" si="39"/>
        <v>EC</v>
      </c>
      <c r="AH79" s="92" t="str">
        <f t="shared" si="40"/>
        <v>"%USERPROFILE%\Documents\GitHub\eaglep3\Utilities\RefineRTDCRunTimes.py" --tripid 164-22 --locoid 4001 --swversion DE.1.0.8.0 --startMP 204:232980 --initTime 2016-11-22T12:21:45 --startdatetime 2016-11-22T12:26:40 --delay 1 --endMP 204:163 --enddatetime 2016-11-22T13:06:28 --enforcementcount 0 &gt;&gt;C:\Users\stu\Documents\GitHub\eaglep3-reporting\EC\2016-11-22-refined-times.txt</v>
      </c>
      <c r="AI79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{"issue":{"subject":"","project_id":79,"tracker_id":40,"status_id":1,"priority_id":2,"assigned_to_id":23,"start_date":"2016-11-22","description":"","custom_fields":[{"id":1,"name":"Subdivision","value":"EC"},{"id":4,"name":"Milepost","value":"0.0163"},{"id":17,"name":"Train ID","value":"164-22"},{"id":16,"name":"Locomotive ID","value":"4001"},{"id":130,"name":"Impact","value":""},{"id":150,"name":"Time of Event (Mountain Time)","value":"13:06:28"},{"id":151,"name":"Denver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520</v>
      </c>
      <c r="B80" s="7">
        <v>4027</v>
      </c>
      <c r="C80" s="22" t="s">
        <v>217</v>
      </c>
      <c r="D80" s="22" t="s">
        <v>289</v>
      </c>
      <c r="E80" s="13">
        <v>42696.485208333332</v>
      </c>
      <c r="F80" s="13">
        <v>42696.49019675926</v>
      </c>
      <c r="G80" s="7">
        <v>1</v>
      </c>
      <c r="H80" s="22" t="s">
        <v>310</v>
      </c>
      <c r="I80" s="13">
        <v>42696.515277777777</v>
      </c>
      <c r="J80" s="7">
        <v>0</v>
      </c>
      <c r="K80" s="109" t="str">
        <f t="shared" si="26"/>
        <v>4027/4028</v>
      </c>
      <c r="L80" s="22" t="str">
        <f>VLOOKUP(A80,'Trips&amp;Operators'!$C$1:$E$10000,3,FALSE)</f>
        <v>PERKINS</v>
      </c>
      <c r="M80" s="6">
        <f t="shared" si="27"/>
        <v>2.5081018517084885E-2</v>
      </c>
      <c r="N80" s="7">
        <f t="shared" si="28"/>
        <v>36.116666664602235</v>
      </c>
      <c r="O80" s="7"/>
      <c r="P80" s="7"/>
      <c r="Q80" s="23"/>
      <c r="R80" s="23"/>
      <c r="S80" s="35">
        <f t="shared" si="25"/>
        <v>1</v>
      </c>
      <c r="T80" s="50" t="str">
        <f t="shared" si="29"/>
        <v>NorthBound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10:38:42-700',mode:absolute,to:'2016-11-22 13:22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80" s="52" t="str">
        <f t="shared" si="31"/>
        <v>N</v>
      </c>
      <c r="X80" s="177">
        <f t="shared" si="32"/>
        <v>1</v>
      </c>
      <c r="Y80" s="67">
        <f t="shared" si="33"/>
        <v>4.4600000000000001E-2</v>
      </c>
      <c r="Z80" s="67">
        <f t="shared" si="34"/>
        <v>23.329799999999999</v>
      </c>
      <c r="AA80" s="67">
        <f t="shared" si="35"/>
        <v>23.2852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36"/>
        <v>0165-22</v>
      </c>
      <c r="AE80" s="91" t="str">
        <f t="shared" si="37"/>
        <v>aws s3 cp s3://rtdc.mdm.uploadarchive.raw/RTDC4027/ "%USERPROFILE%\AppData\Local\Temp\OnboardLogs"\RTDC4027\2016-11-22 --exclude "*" --recursive --include "*20161122*" &amp; "%USERPROFILE%\Documents\GitHub\mrs-test-scripts\Headless Mode &amp; Sideloading\WalkAndUnGZ.bat" "%USERPROFILE%\AppData\Local\Temp\OnboardLogs"\RTDC4027\2016-11-22 &amp; aws s3 cp s3://rtdc.mdm.uploadarchive.raw/RTDC4027/ "%USERPROFILE%\AppData\Local\Temp\OnboardLogs"\RTDC4027\2016-11-23 --exclude "*" --recursive --include "*20161123*" &amp; "%USERPROFILE%\Documents\GitHub\mrs-test-scripts\Headless Mode &amp; Sideloading\WalkAndUnGZ.bat" "%USERPROFILE%\AppData\Local\Temp\OnboardLogs"\RTDC4027\2016-11-23</v>
      </c>
      <c r="AF80" s="88" t="str">
        <f t="shared" si="38"/>
        <v>"C:\Program Files (x86)\AstroGrep\AstroGrep.exe" /spath="%USERPROFILE%\AppData\Local\Temp\OnboardLogs" /stypes="app*4027*20161122*" /stext=" 19:.+((SYSTEM_STATE.+slice.+state.+changed )|(ment ac)|(system.+state.+changed )|(\[timeout)|(PRM\|1\|D)|(kpr)|(kdp)|(\|lc)|(penalty))" /e /r /s</v>
      </c>
      <c r="AG80" s="1" t="str">
        <f t="shared" si="39"/>
        <v>EC</v>
      </c>
      <c r="AH80" s="92" t="str">
        <f t="shared" si="40"/>
        <v>"%USERPROFILE%\Documents\GitHub\eaglep3\Utilities\RefineRTDCRunTimes.py" --tripid 165-22 --locoid 4027 --swversion DE.1.0.8.0 --startMP 204:446 --initTime 2016-11-22T11:38:42 --startdatetime 2016-11-22T11:45:53 --delay 1 --endMP 204:233298 --enddatetime 2016-11-22T12:22:00 --enforcementcount 0 &gt;&gt;C:\Users\stu\Documents\GitHub\eaglep3-reporting\EC\2016-11-22-refined-times.txt</v>
      </c>
      <c r="AI80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{"issue":{"subject":"","project_id":79,"tracker_id":40,"status_id":1,"priority_id":2,"assigned_to_id":23,"start_date":"2016-11-22","description":"","custom_fields":[{"id":1,"name":"Subdivision","value":"EC"},{"id":4,"name":"Milepost","value":"23.3298"},{"id":17,"name":"Train ID","value":"165-22"},{"id":16,"name":"Locomotive ID","value":"4027"},{"id":130,"name":"Impact","value":""},{"id":150,"name":"Time of Event (Mountain Time)","value":"12:22:00"},{"id":151,"name":"Denver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529</v>
      </c>
      <c r="B81" s="7">
        <v>4028</v>
      </c>
      <c r="C81" s="22" t="s">
        <v>217</v>
      </c>
      <c r="D81" s="22" t="s">
        <v>674</v>
      </c>
      <c r="E81" s="13">
        <v>42696.520925925928</v>
      </c>
      <c r="F81" s="13">
        <v>42696.528935185182</v>
      </c>
      <c r="G81" s="7">
        <v>1</v>
      </c>
      <c r="H81" s="22" t="s">
        <v>675</v>
      </c>
      <c r="I81" s="13">
        <v>42696.555</v>
      </c>
      <c r="J81" s="7">
        <v>0</v>
      </c>
      <c r="K81" s="109" t="str">
        <f t="shared" si="26"/>
        <v>4027/4028</v>
      </c>
      <c r="L81" s="22" t="str">
        <f>VLOOKUP(A81,'Trips&amp;Operators'!$C$1:$E$10000,3,FALSE)</f>
        <v>PERKINS</v>
      </c>
      <c r="M81" s="6">
        <f t="shared" si="27"/>
        <v>2.6064814817800652E-2</v>
      </c>
      <c r="N81" s="7">
        <f t="shared" si="28"/>
        <v>37.533333337632939</v>
      </c>
      <c r="O81" s="7"/>
      <c r="P81" s="7"/>
      <c r="Q81" s="23"/>
      <c r="R81" s="23"/>
      <c r="S81" s="35">
        <f t="shared" si="25"/>
        <v>1</v>
      </c>
      <c r="T81" s="50" t="str">
        <f t="shared" si="29"/>
        <v>Southbound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11:30:08-700',mode:absolute,to:'2016-11-22 14:19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81" s="52" t="str">
        <f t="shared" si="31"/>
        <v>N</v>
      </c>
      <c r="X81" s="177">
        <f t="shared" si="32"/>
        <v>1</v>
      </c>
      <c r="Y81" s="67">
        <f t="shared" si="33"/>
        <v>23.300599999999999</v>
      </c>
      <c r="Z81" s="67">
        <f t="shared" si="34"/>
        <v>1.2699999999999999E-2</v>
      </c>
      <c r="AA81" s="67">
        <f t="shared" si="35"/>
        <v>23.2879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 t="shared" si="36"/>
        <v>0166-22</v>
      </c>
      <c r="AE81" s="91" t="str">
        <f t="shared" si="37"/>
        <v>aws s3 cp s3://rtdc.mdm.uploadarchive.raw/RTDC4028/ "%USERPROFILE%\AppData\Local\Temp\OnboardLogs"\RTDC4028\2016-11-22 --exclude "*" --recursive --include "*20161122*" &amp; "%USERPROFILE%\Documents\GitHub\mrs-test-scripts\Headless Mode &amp; Sideloading\WalkAndUnGZ.bat" "%USERPROFILE%\AppData\Local\Temp\OnboardLogs"\RTDC4028\2016-11-22 &amp; aws s3 cp s3://rtdc.mdm.uploadarchive.raw/RTDC4028/ "%USERPROFILE%\AppData\Local\Temp\OnboardLogs"\RTDC4028\2016-11-23 --exclude "*" --recursive --include "*20161123*" &amp; "%USERPROFILE%\Documents\GitHub\mrs-test-scripts\Headless Mode &amp; Sideloading\WalkAndUnGZ.bat" "%USERPROFILE%\AppData\Local\Temp\OnboardLogs"\RTDC4028\2016-11-23</v>
      </c>
      <c r="AF81" s="88" t="str">
        <f t="shared" si="38"/>
        <v>"C:\Program Files (x86)\AstroGrep\AstroGrep.exe" /spath="%USERPROFILE%\AppData\Local\Temp\OnboardLogs" /stypes="app*4028*20161122*" /stext=" 20:.+((SYSTEM_STATE.+slice.+state.+changed )|(ment ac)|(system.+state.+changed )|(\[timeout)|(PRM\|1\|D)|(kpr)|(kdp)|(\|lc)|(penalty))" /e /r /s</v>
      </c>
      <c r="AG81" s="1" t="str">
        <f t="shared" si="39"/>
        <v>EC</v>
      </c>
      <c r="AH81" s="92" t="str">
        <f t="shared" si="40"/>
        <v>"%USERPROFILE%\Documents\GitHub\eaglep3\Utilities\RefineRTDCRunTimes.py" --tripid 166-22 --locoid 4028 --swversion DE.1.0.8.0 --startMP 204:233006 --initTime 2016-11-22T12:30:08 --startdatetime 2016-11-22T12:41:40 --delay 1 --endMP 204:127 --enddatetime 2016-11-22T13:19:12 --enforcementcount 0 &gt;&gt;C:\Users\stu\Documents\GitHub\eaglep3-reporting\EC\2016-11-22-refined-times.txt</v>
      </c>
      <c r="AI81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{"issue":{"subject":"","project_id":79,"tracker_id":40,"status_id":1,"priority_id":2,"assigned_to_id":23,"start_date":"2016-11-22","description":"","custom_fields":[{"id":1,"name":"Subdivision","value":"EC"},{"id":4,"name":"Milepost","value":"0.0127"},{"id":17,"name":"Train ID","value":"166-22"},{"id":16,"name":"Locomotive ID","value":"4028"},{"id":130,"name":"Impact","value":""},{"id":150,"name":"Time of Event (Mountain Time)","value":"13:19:12"},{"id":151,"name":"Denver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431</v>
      </c>
      <c r="B82" s="7">
        <v>4011</v>
      </c>
      <c r="C82" s="22" t="s">
        <v>217</v>
      </c>
      <c r="D82" s="22" t="s">
        <v>373</v>
      </c>
      <c r="E82" s="13">
        <v>42696.498148148145</v>
      </c>
      <c r="F82" s="13">
        <v>42696.500439814816</v>
      </c>
      <c r="G82" s="7">
        <v>2</v>
      </c>
      <c r="H82" s="22" t="s">
        <v>676</v>
      </c>
      <c r="I82" s="13">
        <v>42696.528275462966</v>
      </c>
      <c r="J82" s="7">
        <v>1</v>
      </c>
      <c r="K82" s="109" t="str">
        <f t="shared" si="26"/>
        <v>4011/4012</v>
      </c>
      <c r="L82" s="22" t="str">
        <f>VLOOKUP(A82,'Trips&amp;Operators'!$C$1:$E$10000,3,FALSE)</f>
        <v>YOUNG</v>
      </c>
      <c r="M82" s="6">
        <f t="shared" si="27"/>
        <v>2.7835648150357883E-2</v>
      </c>
      <c r="N82" s="7">
        <f t="shared" si="28"/>
        <v>40.083333336515352</v>
      </c>
      <c r="O82" s="7"/>
      <c r="P82" s="7"/>
      <c r="Q82" s="23"/>
      <c r="R82" s="23"/>
      <c r="S82" s="35">
        <f t="shared" si="25"/>
        <v>1</v>
      </c>
      <c r="T82" s="50" t="str">
        <f t="shared" si="29"/>
        <v>NorthBound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10:57:20-700',mode:absolute,to:'2016-11-22 13:40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2" s="52" t="str">
        <f t="shared" si="31"/>
        <v>N</v>
      </c>
      <c r="X82" s="177">
        <f t="shared" si="32"/>
        <v>1</v>
      </c>
      <c r="Y82" s="67">
        <f t="shared" si="33"/>
        <v>4.6899999999999997E-2</v>
      </c>
      <c r="Z82" s="67">
        <f t="shared" si="34"/>
        <v>23.3337</v>
      </c>
      <c r="AA82" s="67">
        <f t="shared" si="35"/>
        <v>23.286799999999999</v>
      </c>
      <c r="AB82" s="64" t="str">
        <f>VLOOKUP(A82,Enforcements!$C$7:$K$20,8,0)</f>
        <v>Bulletin (2)</v>
      </c>
      <c r="AC82" s="60" t="str">
        <f>VLOOKUP(A82,Enforcements!$C$7:$E$20,3,0)</f>
        <v>GRADE CROSSING</v>
      </c>
      <c r="AD82" s="61" t="str">
        <f t="shared" si="36"/>
        <v>0167-22</v>
      </c>
      <c r="AE82" s="91" t="str">
        <f t="shared" si="37"/>
        <v>aws s3 cp s3://rtdc.mdm.uploadarchive.raw/RTDC4011/ "%USERPROFILE%\AppData\Local\Temp\OnboardLogs"\RTDC4011\2016-11-22 --exclude "*" --recursive --include "*20161122*" &amp; "%USERPROFILE%\Documents\GitHub\mrs-test-scripts\Headless Mode &amp; Sideloading\WalkAndUnGZ.bat" "%USERPROFILE%\AppData\Local\Temp\OnboardLogs"\RTDC4011\2016-11-22 &amp; aws s3 cp s3://rtdc.mdm.uploadarchive.raw/RTDC4011/ "%USERPROFILE%\AppData\Local\Temp\OnboardLogs"\RTDC4011\2016-11-23 --exclude "*" --recursive --include "*20161123*" &amp; "%USERPROFILE%\Documents\GitHub\mrs-test-scripts\Headless Mode &amp; Sideloading\WalkAndUnGZ.bat" "%USERPROFILE%\AppData\Local\Temp\OnboardLogs"\RTDC4011\2016-11-23</v>
      </c>
      <c r="AF82" s="88" t="str">
        <f t="shared" si="38"/>
        <v>"C:\Program Files (x86)\AstroGrep\AstroGrep.exe" /spath="%USERPROFILE%\AppData\Local\Temp\OnboardLogs" /stypes="app*4011*20161122*" /stext=" 19:.+((SYSTEM_STATE.+slice.+state.+changed )|(ment ac)|(system.+state.+changed )|(\[timeout)|(PRM\|1\|D)|(kpr)|(kdp)|(\|lc)|(penalty))" /e /r /s</v>
      </c>
      <c r="AG82" s="1" t="str">
        <f t="shared" si="39"/>
        <v>EC</v>
      </c>
      <c r="AH82" s="92" t="str">
        <f t="shared" si="40"/>
        <v>"%USERPROFILE%\Documents\GitHub\eaglep3\Utilities\RefineRTDCRunTimes.py" --tripid 167-22 --locoid 4011 --swversion DE.1.0.8.0 --startMP 204:469 --initTime 2016-11-22T11:57:20 --startdatetime 2016-11-22T12:00:38 --delay 2 --endMP 204:233337 --enddatetime 2016-11-22T12:40:43 --enforcementcount 1 &gt;&gt;C:\Users\stu\Documents\GitHub\eaglep3-reporting\EC\2016-11-22-refined-times.txt</v>
      </c>
      <c r="AI82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{"issue":{"subject":"","project_id":79,"tracker_id":40,"status_id":1,"priority_id":2,"assigned_to_id":23,"start_date":"2016-11-22","description":"","custom_fields":[{"id":1,"name":"Subdivision","value":"EC"},{"id":4,"name":"Milepost","value":"23.3337"},{"id":17,"name":"Train ID","value":"167-22"},{"id":16,"name":"Locomotive ID","value":"4011"},{"id":130,"name":"Impact","value":""},{"id":150,"name":"Time of Event (Mountain Time)","value":"12:40:43"},{"id":151,"name":"Denver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532</v>
      </c>
      <c r="B83" s="7">
        <v>4012</v>
      </c>
      <c r="C83" s="22" t="s">
        <v>217</v>
      </c>
      <c r="D83" s="22" t="s">
        <v>280</v>
      </c>
      <c r="E83" s="13">
        <v>42696.531851851854</v>
      </c>
      <c r="F83" s="13">
        <v>42696.539131944446</v>
      </c>
      <c r="G83" s="7">
        <v>2</v>
      </c>
      <c r="H83" s="22" t="s">
        <v>677</v>
      </c>
      <c r="I83" s="13">
        <v>42696.567384259259</v>
      </c>
      <c r="J83" s="7">
        <v>0</v>
      </c>
      <c r="K83" s="109" t="str">
        <f t="shared" si="26"/>
        <v>4011/4012</v>
      </c>
      <c r="L83" s="22" t="str">
        <f>VLOOKUP(A83,'Trips&amp;Operators'!$C$1:$E$10000,3,FALSE)</f>
        <v>YOUNG</v>
      </c>
      <c r="M83" s="6">
        <f t="shared" si="27"/>
        <v>2.8252314812561963E-2</v>
      </c>
      <c r="N83" s="7">
        <f t="shared" si="28"/>
        <v>40.683333330089226</v>
      </c>
      <c r="O83" s="7"/>
      <c r="P83" s="7"/>
      <c r="Q83" s="23"/>
      <c r="R83" s="23"/>
      <c r="S83" s="35">
        <f t="shared" si="25"/>
        <v>1</v>
      </c>
      <c r="T83" s="50" t="str">
        <f t="shared" si="29"/>
        <v>Southbound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11:45:52-700',mode:absolute,to:'2016-11-22 14:37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3" s="52" t="str">
        <f t="shared" si="31"/>
        <v>N</v>
      </c>
      <c r="X83" s="177">
        <f t="shared" si="32"/>
        <v>1</v>
      </c>
      <c r="Y83" s="67">
        <f t="shared" si="33"/>
        <v>23.298200000000001</v>
      </c>
      <c r="Z83" s="67">
        <f t="shared" si="34"/>
        <v>1.9599999999999999E-2</v>
      </c>
      <c r="AA83" s="67">
        <f t="shared" si="35"/>
        <v>23.278600000000001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36"/>
        <v>0168-22</v>
      </c>
      <c r="AE83" s="91" t="str">
        <f t="shared" si="37"/>
        <v>aws s3 cp s3://rtdc.mdm.uploadarchive.raw/RTDC4012/ "%USERPROFILE%\AppData\Local\Temp\OnboardLogs"\RTDC4012\2016-11-22 --exclude "*" --recursive --include "*20161122*" &amp; "%USERPROFILE%\Documents\GitHub\mrs-test-scripts\Headless Mode &amp; Sideloading\WalkAndUnGZ.bat" "%USERPROFILE%\AppData\Local\Temp\OnboardLogs"\RTDC4012\2016-11-22 &amp; aws s3 cp s3://rtdc.mdm.uploadarchive.raw/RTDC4012/ "%USERPROFILE%\AppData\Local\Temp\OnboardLogs"\RTDC4012\2016-11-23 --exclude "*" --recursive --include "*20161123*" &amp; "%USERPROFILE%\Documents\GitHub\mrs-test-scripts\Headless Mode &amp; Sideloading\WalkAndUnGZ.bat" "%USERPROFILE%\AppData\Local\Temp\OnboardLogs"\RTDC4012\2016-11-23</v>
      </c>
      <c r="AF83" s="88" t="str">
        <f t="shared" si="38"/>
        <v>"C:\Program Files (x86)\AstroGrep\AstroGrep.exe" /spath="%USERPROFILE%\AppData\Local\Temp\OnboardLogs" /stypes="app*4012*20161122*" /stext=" 20:.+((SYSTEM_STATE.+slice.+state.+changed )|(ment ac)|(system.+state.+changed )|(\[timeout)|(PRM\|1\|D)|(kpr)|(kdp)|(\|lc)|(penalty))" /e /r /s</v>
      </c>
      <c r="AG83" s="1" t="str">
        <f t="shared" si="39"/>
        <v>EC</v>
      </c>
      <c r="AH83" s="92" t="str">
        <f t="shared" si="40"/>
        <v>"%USERPROFILE%\Documents\GitHub\eaglep3\Utilities\RefineRTDCRunTimes.py" --tripid 168-22 --locoid 4012 --swversion DE.1.0.8.0 --startMP 204:232982 --initTime 2016-11-22T12:45:52 --startdatetime 2016-11-22T12:56:21 --delay 2 --endMP 204:196 --enddatetime 2016-11-22T13:37:02 --enforcementcount 0 &gt;&gt;C:\Users\stu\Documents\GitHub\eaglep3-reporting\EC\2016-11-22-refined-times.txt</v>
      </c>
      <c r="AI83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{"issue":{"subject":"","project_id":79,"tracker_id":40,"status_id":1,"priority_id":2,"assigned_to_id":23,"start_date":"2016-11-22","description":"","custom_fields":[{"id":1,"name":"Subdivision","value":"EC"},{"id":4,"name":"Milepost","value":"0.0196"},{"id":17,"name":"Train ID","value":"168-22"},{"id":16,"name":"Locomotive ID","value":"4012"},{"id":130,"name":"Impact","value":""},{"id":150,"name":"Time of Event (Mountain Time)","value":"13:37:02"},{"id":151,"name":"Denver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524</v>
      </c>
      <c r="B84" s="7">
        <v>4022</v>
      </c>
      <c r="C84" s="22" t="s">
        <v>217</v>
      </c>
      <c r="D84" s="22" t="s">
        <v>301</v>
      </c>
      <c r="E84" s="13">
        <v>42696.505925925929</v>
      </c>
      <c r="F84" s="13">
        <v>42696.510613425926</v>
      </c>
      <c r="G84" s="7">
        <v>1</v>
      </c>
      <c r="H84" s="22" t="s">
        <v>365</v>
      </c>
      <c r="I84" s="13">
        <v>42696.536956018521</v>
      </c>
      <c r="J84" s="7">
        <v>0</v>
      </c>
      <c r="K84" s="109" t="str">
        <f t="shared" si="26"/>
        <v>4021/4022</v>
      </c>
      <c r="L84" s="22" t="str">
        <f>VLOOKUP(A84,'Trips&amp;Operators'!$C$1:$E$10000,3,FALSE)</f>
        <v>CLARK</v>
      </c>
      <c r="M84" s="6">
        <f t="shared" si="27"/>
        <v>2.6342592595028691E-2</v>
      </c>
      <c r="N84" s="7">
        <f t="shared" si="28"/>
        <v>37.933333336841315</v>
      </c>
      <c r="O84" s="7"/>
      <c r="P84" s="7"/>
      <c r="Q84" s="23"/>
      <c r="R84" s="23"/>
      <c r="S84" s="35">
        <f t="shared" si="25"/>
        <v>1</v>
      </c>
      <c r="T84" s="50" t="str">
        <f t="shared" si="29"/>
        <v>NorthBound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11:08:32-700',mode:absolute,to:'2016-11-22 13:53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84" s="52" t="str">
        <f t="shared" si="31"/>
        <v>N</v>
      </c>
      <c r="X84" s="177">
        <f t="shared" si="32"/>
        <v>1</v>
      </c>
      <c r="Y84" s="67">
        <f t="shared" si="33"/>
        <v>4.5999999999999999E-2</v>
      </c>
      <c r="Z84" s="67">
        <f t="shared" si="34"/>
        <v>23.3306</v>
      </c>
      <c r="AA84" s="67">
        <f t="shared" si="35"/>
        <v>23.284600000000001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36"/>
        <v>0169-22</v>
      </c>
      <c r="AE84" s="91" t="str">
        <f t="shared" si="37"/>
        <v>aws s3 cp s3://rtdc.mdm.uploadarchive.raw/RTDC4022/ "%USERPROFILE%\AppData\Local\Temp\OnboardLogs"\RTDC4022\2016-11-22 --exclude "*" --recursive --include "*20161122*" &amp; "%USERPROFILE%\Documents\GitHub\mrs-test-scripts\Headless Mode &amp; Sideloading\WalkAndUnGZ.bat" "%USERPROFILE%\AppData\Local\Temp\OnboardLogs"\RTDC4022\2016-11-22 &amp; aws s3 cp s3://rtdc.mdm.uploadarchive.raw/RTDC4022/ "%USERPROFILE%\AppData\Local\Temp\OnboardLogs"\RTDC4022\2016-11-23 --exclude "*" --recursive --include "*20161123*" &amp; "%USERPROFILE%\Documents\GitHub\mrs-test-scripts\Headless Mode &amp; Sideloading\WalkAndUnGZ.bat" "%USERPROFILE%\AppData\Local\Temp\OnboardLogs"\RTDC4022\2016-11-23</v>
      </c>
      <c r="AF84" s="88" t="str">
        <f t="shared" si="38"/>
        <v>"C:\Program Files (x86)\AstroGrep\AstroGrep.exe" /spath="%USERPROFILE%\AppData\Local\Temp\OnboardLogs" /stypes="app*4022*20161122*" /stext=" 19:.+((SYSTEM_STATE.+slice.+state.+changed )|(ment ac)|(system.+state.+changed )|(\[timeout)|(PRM\|1\|D)|(kpr)|(kdp)|(\|lc)|(penalty))" /e /r /s</v>
      </c>
      <c r="AG84" s="1" t="str">
        <f t="shared" si="39"/>
        <v>EC</v>
      </c>
      <c r="AH84" s="92" t="str">
        <f t="shared" si="40"/>
        <v>"%USERPROFILE%\Documents\GitHub\eaglep3\Utilities\RefineRTDCRunTimes.py" --tripid 169-22 --locoid 4022 --swversion DE.1.0.8.0 --startMP 204:460 --initTime 2016-11-22T12:08:32 --startdatetime 2016-11-22T12:15:17 --delay 1 --endMP 204:233306 --enddatetime 2016-11-22T12:53:13 --enforcementcount 0 &gt;&gt;C:\Users\stu\Documents\GitHub\eaglep3-reporting\EC\2016-11-22-refined-times.txt</v>
      </c>
      <c r="AI84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{"issue":{"subject":"","project_id":79,"tracker_id":40,"status_id":1,"priority_id":2,"assigned_to_id":23,"start_date":"2016-11-22","description":"","custom_fields":[{"id":1,"name":"Subdivision","value":"EC"},{"id":4,"name":"Milepost","value":"23.3306"},{"id":17,"name":"Train ID","value":"169-22"},{"id":16,"name":"Locomotive ID","value":"4022"},{"id":130,"name":"Impact","value":""},{"id":150,"name":"Time of Event (Mountain Time)","value":"12:53:13"},{"id":151,"name":"Denver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534</v>
      </c>
      <c r="B85" s="7">
        <v>4021</v>
      </c>
      <c r="C85" s="22" t="s">
        <v>217</v>
      </c>
      <c r="D85" s="22" t="s">
        <v>319</v>
      </c>
      <c r="E85" s="13">
        <v>42696.545416666668</v>
      </c>
      <c r="F85" s="13">
        <v>42696.549525462964</v>
      </c>
      <c r="G85" s="7">
        <v>1</v>
      </c>
      <c r="H85" s="22" t="s">
        <v>227</v>
      </c>
      <c r="I85" s="13">
        <v>42696.576979166668</v>
      </c>
      <c r="J85" s="7">
        <v>0</v>
      </c>
      <c r="K85" s="109" t="str">
        <f t="shared" si="26"/>
        <v>4021/4022</v>
      </c>
      <c r="L85" s="22" t="str">
        <f>VLOOKUP(A85,'Trips&amp;Operators'!$C$1:$E$10000,3,FALSE)</f>
        <v>CLARK</v>
      </c>
      <c r="M85" s="6">
        <f t="shared" si="27"/>
        <v>2.7453703703940846E-2</v>
      </c>
      <c r="N85" s="7">
        <f t="shared" si="28"/>
        <v>39.533333333674818</v>
      </c>
      <c r="O85" s="7"/>
      <c r="P85" s="7"/>
      <c r="Q85" s="23"/>
      <c r="R85" s="23"/>
      <c r="S85" s="35">
        <f t="shared" si="25"/>
        <v>1</v>
      </c>
      <c r="T85" s="50" t="str">
        <f t="shared" si="29"/>
        <v>Southbound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12:05:24-700',mode:absolute,to:'2016-11-22 14:50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85" s="52" t="str">
        <f t="shared" si="31"/>
        <v>N</v>
      </c>
      <c r="X85" s="177">
        <f t="shared" si="32"/>
        <v>1</v>
      </c>
      <c r="Y85" s="67">
        <f t="shared" si="33"/>
        <v>23.3002</v>
      </c>
      <c r="Z85" s="67">
        <f t="shared" si="34"/>
        <v>1.6E-2</v>
      </c>
      <c r="AA85" s="67">
        <f t="shared" si="35"/>
        <v>23.284200000000002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36"/>
        <v>0170-22</v>
      </c>
      <c r="AE85" s="91" t="str">
        <f t="shared" si="37"/>
        <v>aws s3 cp s3://rtdc.mdm.uploadarchive.raw/RTDC4021/ "%USERPROFILE%\AppData\Local\Temp\OnboardLogs"\RTDC4021\2016-11-22 --exclude "*" --recursive --include "*20161122*" &amp; "%USERPROFILE%\Documents\GitHub\mrs-test-scripts\Headless Mode &amp; Sideloading\WalkAndUnGZ.bat" "%USERPROFILE%\AppData\Local\Temp\OnboardLogs"\RTDC4021\2016-11-22 &amp; aws s3 cp s3://rtdc.mdm.uploadarchive.raw/RTDC4021/ "%USERPROFILE%\AppData\Local\Temp\OnboardLogs"\RTDC4021\2016-11-23 --exclude "*" --recursive --include "*20161123*" &amp; "%USERPROFILE%\Documents\GitHub\mrs-test-scripts\Headless Mode &amp; Sideloading\WalkAndUnGZ.bat" "%USERPROFILE%\AppData\Local\Temp\OnboardLogs"\RTDC4021\2016-11-23</v>
      </c>
      <c r="AF85" s="88" t="str">
        <f t="shared" si="38"/>
        <v>"C:\Program Files (x86)\AstroGrep\AstroGrep.exe" /spath="%USERPROFILE%\AppData\Local\Temp\OnboardLogs" /stypes="app*4021*20161122*" /stext=" 20:.+((SYSTEM_STATE.+slice.+state.+changed )|(ment ac)|(system.+state.+changed )|(\[timeout)|(PRM\|1\|D)|(kpr)|(kdp)|(\|lc)|(penalty))" /e /r /s</v>
      </c>
      <c r="AG85" s="1" t="str">
        <f t="shared" si="39"/>
        <v>EC</v>
      </c>
      <c r="AH85" s="92" t="str">
        <f t="shared" si="40"/>
        <v>"%USERPROFILE%\Documents\GitHub\eaglep3\Utilities\RefineRTDCRunTimes.py" --tripid 170-22 --locoid 4021 --swversion DE.1.0.8.0 --startMP 204:233002 --initTime 2016-11-22T13:05:24 --startdatetime 2016-11-22T13:11:19 --delay 1 --endMP 204:160 --enddatetime 2016-11-22T13:50:51 --enforcementcount 0 &gt;&gt;C:\Users\stu\Documents\GitHub\eaglep3-reporting\EC\2016-11-22-refined-times.txt</v>
      </c>
      <c r="AI85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{"issue":{"subject":"","project_id":79,"tracker_id":40,"status_id":1,"priority_id":2,"assigned_to_id":23,"start_date":"2016-11-22","description":"","custom_fields":[{"id":1,"name":"Subdivision","value":"EC"},{"id":4,"name":"Milepost","value":"0.016"},{"id":17,"name":"Train ID","value":"170-22"},{"id":16,"name":"Locomotive ID","value":"4021"},{"id":130,"name":"Impact","value":""},{"id":150,"name":"Time of Event (Mountain Time)","value":"13:50:51"},{"id":151,"name":"Denver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528</v>
      </c>
      <c r="B86" s="7">
        <v>4031</v>
      </c>
      <c r="C86" s="22" t="s">
        <v>217</v>
      </c>
      <c r="D86" s="22" t="s">
        <v>201</v>
      </c>
      <c r="E86" s="13">
        <v>42696.517824074072</v>
      </c>
      <c r="F86" s="13">
        <v>42696.521157407406</v>
      </c>
      <c r="G86" s="7">
        <v>2</v>
      </c>
      <c r="H86" s="22" t="s">
        <v>366</v>
      </c>
      <c r="I86" s="13">
        <v>42696.546655092592</v>
      </c>
      <c r="J86" s="7">
        <v>0</v>
      </c>
      <c r="K86" s="109" t="str">
        <f t="shared" si="26"/>
        <v>4031/4032</v>
      </c>
      <c r="L86" s="22" t="str">
        <f>VLOOKUP(A86,'Trips&amp;Operators'!$C$1:$E$10000,3,FALSE)</f>
        <v>BRANDNER</v>
      </c>
      <c r="M86" s="6">
        <f t="shared" si="27"/>
        <v>2.5497685186564922E-2</v>
      </c>
      <c r="N86" s="7">
        <f t="shared" si="28"/>
        <v>36.716666668653488</v>
      </c>
      <c r="O86" s="7"/>
      <c r="P86" s="7"/>
      <c r="Q86" s="23"/>
      <c r="R86" s="23"/>
      <c r="S86" s="35">
        <f t="shared" si="25"/>
        <v>1</v>
      </c>
      <c r="T86" s="50" t="str">
        <f t="shared" si="29"/>
        <v>NorthBound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11:25:40-700',mode:absolute,to:'2016-11-22 14:07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6" s="52" t="str">
        <f t="shared" si="31"/>
        <v>N</v>
      </c>
      <c r="X86" s="177">
        <f t="shared" si="32"/>
        <v>1</v>
      </c>
      <c r="Y86" s="67">
        <f t="shared" si="33"/>
        <v>4.5100000000000001E-2</v>
      </c>
      <c r="Z86" s="67">
        <f t="shared" si="34"/>
        <v>23.328600000000002</v>
      </c>
      <c r="AA86" s="67">
        <f t="shared" si="35"/>
        <v>23.2835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36"/>
        <v>0171-22</v>
      </c>
      <c r="AE86" s="91" t="str">
        <f t="shared" si="37"/>
        <v>aws s3 cp s3://rtdc.mdm.uploadarchive.raw/RTDC4031/ "%USERPROFILE%\AppData\Local\Temp\OnboardLogs"\RTDC4031\2016-11-22 --exclude "*" --recursive --include "*20161122*" &amp; "%USERPROFILE%\Documents\GitHub\mrs-test-scripts\Headless Mode &amp; Sideloading\WalkAndUnGZ.bat" "%USERPROFILE%\AppData\Local\Temp\OnboardLogs"\RTDC4031\2016-11-22 &amp; aws s3 cp s3://rtdc.mdm.uploadarchive.raw/RTDC4031/ "%USERPROFILE%\AppData\Local\Temp\OnboardLogs"\RTDC4031\2016-11-23 --exclude "*" --recursive --include "*20161123*" &amp; "%USERPROFILE%\Documents\GitHub\mrs-test-scripts\Headless Mode &amp; Sideloading\WalkAndUnGZ.bat" "%USERPROFILE%\AppData\Local\Temp\OnboardLogs"\RTDC4031\2016-11-23</v>
      </c>
      <c r="AF86" s="88" t="str">
        <f t="shared" si="38"/>
        <v>"C:\Program Files (x86)\AstroGrep\AstroGrep.exe" /spath="%USERPROFILE%\AppData\Local\Temp\OnboardLogs" /stypes="app*4031*20161122*" /stext=" 20:.+((SYSTEM_STATE.+slice.+state.+changed )|(ment ac)|(system.+state.+changed )|(\[timeout)|(PRM\|1\|D)|(kpr)|(kdp)|(\|lc)|(penalty))" /e /r /s</v>
      </c>
      <c r="AG86" s="1" t="str">
        <f t="shared" si="39"/>
        <v>EC</v>
      </c>
      <c r="AH86" s="92" t="str">
        <f t="shared" si="40"/>
        <v>"%USERPROFILE%\Documents\GitHub\eaglep3\Utilities\RefineRTDCRunTimes.py" --tripid 171-22 --locoid 4031 --swversion DE.1.0.8.0 --startMP 204:451 --initTime 2016-11-22T12:25:40 --startdatetime 2016-11-22T12:30:28 --delay 2 --endMP 204:233286 --enddatetime 2016-11-22T13:07:11 --enforcementcount 0 &gt;&gt;C:\Users\stu\Documents\GitHub\eaglep3-reporting\EC\2016-11-22-refined-times.txt</v>
      </c>
      <c r="AI86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{"issue":{"subject":"","project_id":79,"tracker_id":40,"status_id":1,"priority_id":2,"assigned_to_id":23,"start_date":"2016-11-22","description":"","custom_fields":[{"id":1,"name":"Subdivision","value":"EC"},{"id":4,"name":"Milepost","value":"23.3286"},{"id":17,"name":"Train ID","value":"171-22"},{"id":16,"name":"Locomotive ID","value":"4031"},{"id":130,"name":"Impact","value":""},{"id":150,"name":"Time of Event (Mountain Time)","value":"13:07:11"},{"id":151,"name":"Denver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433</v>
      </c>
      <c r="B87" s="7">
        <v>4032</v>
      </c>
      <c r="C87" s="22" t="s">
        <v>217</v>
      </c>
      <c r="D87" s="22" t="s">
        <v>253</v>
      </c>
      <c r="E87" s="13">
        <v>42696.552141203705</v>
      </c>
      <c r="F87" s="13">
        <v>42696.559884259259</v>
      </c>
      <c r="G87" s="7">
        <v>1</v>
      </c>
      <c r="H87" s="22" t="s">
        <v>678</v>
      </c>
      <c r="I87" s="13">
        <v>42696.586516203701</v>
      </c>
      <c r="J87" s="7">
        <v>1</v>
      </c>
      <c r="K87" s="109" t="str">
        <f t="shared" si="26"/>
        <v>4031/4032</v>
      </c>
      <c r="L87" s="22" t="str">
        <f>VLOOKUP(A87,'Trips&amp;Operators'!$C$1:$E$10000,3,FALSE)</f>
        <v>BRANDNER</v>
      </c>
      <c r="M87" s="6">
        <f t="shared" si="27"/>
        <v>2.6631944441760425E-2</v>
      </c>
      <c r="N87" s="7">
        <f t="shared" si="28"/>
        <v>38.349999996135011</v>
      </c>
      <c r="O87" s="7"/>
      <c r="P87" s="7"/>
      <c r="Q87" s="23"/>
      <c r="R87" s="23"/>
      <c r="S87" s="35">
        <f t="shared" si="25"/>
        <v>1</v>
      </c>
      <c r="T87" s="50" t="str">
        <f t="shared" si="29"/>
        <v>Southbound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12:15:05-700',mode:absolute,to:'2016-11-22 15:04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7" s="52" t="str">
        <f t="shared" si="31"/>
        <v>N</v>
      </c>
      <c r="X87" s="177">
        <f t="shared" si="32"/>
        <v>1</v>
      </c>
      <c r="Y87" s="67">
        <f t="shared" si="33"/>
        <v>23.297999999999998</v>
      </c>
      <c r="Z87" s="67">
        <f t="shared" si="34"/>
        <v>1.83E-2</v>
      </c>
      <c r="AA87" s="67">
        <f t="shared" si="35"/>
        <v>23.279699999999998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36"/>
        <v>0172-22</v>
      </c>
      <c r="AE87" s="91" t="str">
        <f t="shared" si="37"/>
        <v>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 &amp; aws s3 cp s3://rtdc.mdm.uploadarchive.raw/RTDC4032/ "%USERPROFILE%\AppData\Local\Temp\OnboardLogs"\RTDC4032\2016-11-23 --exclude "*" --recursive --include "*20161123*" &amp; "%USERPROFILE%\Documents\GitHub\mrs-test-scripts\Headless Mode &amp; Sideloading\WalkAndUnGZ.bat" "%USERPROFILE%\AppData\Local\Temp\OnboardLogs"\RTDC4032\2016-11-23</v>
      </c>
      <c r="AF87" s="88" t="str">
        <f t="shared" si="38"/>
        <v>"C:\Program Files (x86)\AstroGrep\AstroGrep.exe" /spath="%USERPROFILE%\AppData\Local\Temp\OnboardLogs" /stypes="app*4032*20161122*" /stext=" 21:.+((SYSTEM_STATE.+slice.+state.+changed )|(ment ac)|(system.+state.+changed )|(\[timeout)|(PRM\|1\|D)|(kpr)|(kdp)|(\|lc)|(penalty))" /e /r /s</v>
      </c>
      <c r="AG87" s="1" t="str">
        <f t="shared" si="39"/>
        <v>EC</v>
      </c>
      <c r="AH87" s="92" t="str">
        <f t="shared" si="40"/>
        <v>"%USERPROFILE%\Documents\GitHub\eaglep3\Utilities\RefineRTDCRunTimes.py" --tripid 172-22 --locoid 4032 --swversion DE.1.0.8.0 --startMP 204:232980 --initTime 2016-11-22T13:15:05 --startdatetime 2016-11-22T13:26:14 --delay 1 --endMP 204:183 --enddatetime 2016-11-22T14:04:35 --enforcementcount 1 &gt;&gt;C:\Users\stu\Documents\GitHub\eaglep3-reporting\EC\2016-11-22-refined-times.txt</v>
      </c>
      <c r="AI87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{"issue":{"subject":"","project_id":79,"tracker_id":40,"status_id":1,"priority_id":2,"assigned_to_id":23,"start_date":"2016-11-22","description":"","custom_fields":[{"id":1,"name":"Subdivision","value":"EC"},{"id":4,"name":"Milepost","value":"0.0183"},{"id":17,"name":"Train ID","value":"172-22"},{"id":16,"name":"Locomotive ID","value":"4032"},{"id":130,"name":"Impact","value":""},{"id":150,"name":"Time of Event (Mountain Time)","value":"14:04:35"},{"id":151,"name":"Denver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531</v>
      </c>
      <c r="B88" s="7">
        <v>4046</v>
      </c>
      <c r="C88" s="22" t="s">
        <v>217</v>
      </c>
      <c r="D88" s="22" t="s">
        <v>254</v>
      </c>
      <c r="E88" s="13">
        <v>42696.526817129627</v>
      </c>
      <c r="F88" s="13">
        <v>42696.531435185185</v>
      </c>
      <c r="G88" s="7">
        <v>1</v>
      </c>
      <c r="H88" s="22" t="s">
        <v>331</v>
      </c>
      <c r="I88" s="13">
        <v>42696.556504629632</v>
      </c>
      <c r="J88" s="7">
        <v>0</v>
      </c>
      <c r="K88" s="109" t="str">
        <f t="shared" si="26"/>
        <v>4045/4046</v>
      </c>
      <c r="L88" s="22" t="str">
        <f>VLOOKUP(A88,'Trips&amp;Operators'!$C$1:$E$10000,3,FALSE)</f>
        <v>BARTLETT</v>
      </c>
      <c r="M88" s="6">
        <f t="shared" si="27"/>
        <v>2.5069444447581191E-2</v>
      </c>
      <c r="N88" s="7">
        <f t="shared" si="28"/>
        <v>36.100000004516914</v>
      </c>
      <c r="O88" s="7"/>
      <c r="P88" s="7"/>
      <c r="Q88" s="23"/>
      <c r="R88" s="23"/>
      <c r="S88" s="35">
        <f t="shared" si="25"/>
        <v>1</v>
      </c>
      <c r="T88" s="50" t="str">
        <f t="shared" si="29"/>
        <v>NorthBound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11:38:37-700',mode:absolute,to:'2016-11-22 14:21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8" s="52" t="str">
        <f t="shared" si="31"/>
        <v>N</v>
      </c>
      <c r="X88" s="177">
        <f t="shared" si="32"/>
        <v>1</v>
      </c>
      <c r="Y88" s="67">
        <f t="shared" si="33"/>
        <v>4.4900000000000002E-2</v>
      </c>
      <c r="Z88" s="67">
        <f t="shared" si="34"/>
        <v>23.331700000000001</v>
      </c>
      <c r="AA88" s="67">
        <f t="shared" si="35"/>
        <v>23.286800000000003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36"/>
        <v>0173-22</v>
      </c>
      <c r="AE88" s="91" t="str">
        <f t="shared" si="37"/>
        <v>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 &amp; 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</v>
      </c>
      <c r="AF88" s="88" t="str">
        <f t="shared" si="38"/>
        <v>"C:\Program Files (x86)\AstroGrep\AstroGrep.exe" /spath="%USERPROFILE%\AppData\Local\Temp\OnboardLogs" /stypes="app*4046*20161122*" /stext=" 20:.+((SYSTEM_STATE.+slice.+state.+changed )|(ment ac)|(system.+state.+changed )|(\[timeout)|(PRM\|1\|D)|(kpr)|(kdp)|(\|lc)|(penalty))" /e /r /s</v>
      </c>
      <c r="AG88" s="1" t="str">
        <f t="shared" si="39"/>
        <v>EC</v>
      </c>
      <c r="AH88" s="92" t="str">
        <f t="shared" si="40"/>
        <v>"%USERPROFILE%\Documents\GitHub\eaglep3\Utilities\RefineRTDCRunTimes.py" --tripid 173-22 --locoid 4046 --swversion DE.1.0.8.0 --startMP 204:449 --initTime 2016-11-22T12:38:37 --startdatetime 2016-11-22T12:45:16 --delay 1 --endMP 204:233317 --enddatetime 2016-11-22T13:21:22 --enforcementcount 0 &gt;&gt;C:\Users\stu\Documents\GitHub\eaglep3-reporting\EC\2016-11-22-refined-times.txt</v>
      </c>
      <c r="AI88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{"issue":{"subject":"","project_id":79,"tracker_id":40,"status_id":1,"priority_id":2,"assigned_to_id":23,"start_date":"2016-11-22","description":"","custom_fields":[{"id":1,"name":"Subdivision","value":"EC"},{"id":4,"name":"Milepost","value":"23.3317"},{"id":17,"name":"Train ID","value":"173-22"},{"id":16,"name":"Locomotive ID","value":"4046"},{"id":130,"name":"Impact","value":""},{"id":150,"name":"Time of Event (Mountain Time)","value":"13:21:22"},{"id":151,"name":"Denver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538</v>
      </c>
      <c r="B89" s="7">
        <v>4045</v>
      </c>
      <c r="C89" s="22" t="s">
        <v>217</v>
      </c>
      <c r="D89" s="22" t="s">
        <v>270</v>
      </c>
      <c r="E89" s="13">
        <v>42696.562326388892</v>
      </c>
      <c r="F89" s="13">
        <v>42696.5703125</v>
      </c>
      <c r="G89" s="7">
        <v>1</v>
      </c>
      <c r="H89" s="22" t="s">
        <v>196</v>
      </c>
      <c r="I89" s="13">
        <v>42696.596446759257</v>
      </c>
      <c r="J89" s="7">
        <v>0</v>
      </c>
      <c r="K89" s="109" t="str">
        <f t="shared" si="26"/>
        <v>4045/4046</v>
      </c>
      <c r="L89" s="22" t="str">
        <f>VLOOKUP(A89,'Trips&amp;Operators'!$C$1:$E$10000,3,FALSE)</f>
        <v>BARTLETT</v>
      </c>
      <c r="M89" s="6">
        <f t="shared" si="27"/>
        <v>2.6134259256650694E-2</v>
      </c>
      <c r="N89" s="7">
        <f t="shared" si="28"/>
        <v>37.633333329576999</v>
      </c>
      <c r="O89" s="7"/>
      <c r="P89" s="7"/>
      <c r="Q89" s="23"/>
      <c r="R89" s="23"/>
      <c r="S89" s="35">
        <f t="shared" si="25"/>
        <v>1</v>
      </c>
      <c r="T89" s="50" t="str">
        <f t="shared" si="29"/>
        <v>Southbound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12:29:45-700',mode:absolute,to:'2016-11-22 15:18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9" s="52" t="str">
        <f t="shared" si="31"/>
        <v>N</v>
      </c>
      <c r="X89" s="177">
        <f t="shared" si="32"/>
        <v>1</v>
      </c>
      <c r="Y89" s="67">
        <f t="shared" si="33"/>
        <v>23.299800000000001</v>
      </c>
      <c r="Z89" s="67">
        <f t="shared" si="34"/>
        <v>1.49E-2</v>
      </c>
      <c r="AA89" s="67">
        <f t="shared" si="35"/>
        <v>23.2849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 t="shared" si="36"/>
        <v>0174-22</v>
      </c>
      <c r="AE89" s="91" t="str">
        <f t="shared" si="37"/>
        <v>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 &amp; aws s3 cp s3://rtdc.mdm.uploadarchive.raw/RTDC4045/ "%USERPROFILE%\AppData\Local\Temp\OnboardLogs"\RTDC4045\2016-11-23 --exclude "*" --recursive --include "*20161123*" &amp; "%USERPROFILE%\Documents\GitHub\mrs-test-scripts\Headless Mode &amp; Sideloading\WalkAndUnGZ.bat" "%USERPROFILE%\AppData\Local\Temp\OnboardLogs"\RTDC4045\2016-11-23</v>
      </c>
      <c r="AF89" s="88" t="str">
        <f t="shared" si="38"/>
        <v>"C:\Program Files (x86)\AstroGrep\AstroGrep.exe" /spath="%USERPROFILE%\AppData\Local\Temp\OnboardLogs" /stypes="app*4045*20161122*" /stext=" 21:.+((SYSTEM_STATE.+slice.+state.+changed )|(ment ac)|(system.+state.+changed )|(\[timeout)|(PRM\|1\|D)|(kpr)|(kdp)|(\|lc)|(penalty))" /e /r /s</v>
      </c>
      <c r="AG89" s="1" t="str">
        <f t="shared" si="39"/>
        <v>EC</v>
      </c>
      <c r="AH89" s="92" t="str">
        <f t="shared" si="40"/>
        <v>"%USERPROFILE%\Documents\GitHub\eaglep3\Utilities\RefineRTDCRunTimes.py" --tripid 174-22 --locoid 4045 --swversion DE.1.0.8.0 --startMP 204:232998 --initTime 2016-11-22T13:29:45 --startdatetime 2016-11-22T13:41:15 --delay 1 --endMP 204:149 --enddatetime 2016-11-22T14:18:53 --enforcementcount 0 &gt;&gt;C:\Users\stu\Documents\GitHub\eaglep3-reporting\EC\2016-11-22-refined-times.txt</v>
      </c>
      <c r="AI89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{"issue":{"subject":"","project_id":79,"tracker_id":40,"status_id":1,"priority_id":2,"assigned_to_id":23,"start_date":"2016-11-22","description":"","custom_fields":[{"id":1,"name":"Subdivision","value":"EC"},{"id":4,"name":"Milepost","value":"0.0149"},{"id":17,"name":"Train ID","value":"174-22"},{"id":16,"name":"Locomotive ID","value":"4045"},{"id":130,"name":"Impact","value":""},{"id":150,"name":"Time of Event (Mountain Time)","value":"14:18:53"},{"id":151,"name":"Denver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533</v>
      </c>
      <c r="B90" s="7">
        <v>4038</v>
      </c>
      <c r="C90" s="22" t="s">
        <v>217</v>
      </c>
      <c r="D90" s="22" t="s">
        <v>216</v>
      </c>
      <c r="E90" s="13">
        <v>42696.538356481484</v>
      </c>
      <c r="F90" s="13">
        <v>42696.541967592595</v>
      </c>
      <c r="G90" s="7">
        <v>1</v>
      </c>
      <c r="H90" s="22" t="s">
        <v>370</v>
      </c>
      <c r="I90" s="13">
        <v>42696.56659722222</v>
      </c>
      <c r="J90" s="7">
        <v>0</v>
      </c>
      <c r="K90" s="109" t="str">
        <f t="shared" si="26"/>
        <v>4037/4038</v>
      </c>
      <c r="L90" s="22" t="str">
        <f>VLOOKUP(A90,'Trips&amp;Operators'!$C$1:$E$10000,3,FALSE)</f>
        <v>STEWART</v>
      </c>
      <c r="M90" s="6">
        <f t="shared" si="27"/>
        <v>2.4629629624541849E-2</v>
      </c>
      <c r="N90" s="7">
        <f t="shared" si="28"/>
        <v>35.466666659340262</v>
      </c>
      <c r="O90" s="7"/>
      <c r="P90" s="7"/>
      <c r="Q90" s="23"/>
      <c r="R90" s="23"/>
      <c r="S90" s="35">
        <f t="shared" si="25"/>
        <v>1</v>
      </c>
      <c r="T90" s="50" t="str">
        <f t="shared" si="29"/>
        <v>NorthBound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11:55:14-700',mode:absolute,to:'2016-11-22 14:35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90" s="52" t="str">
        <f t="shared" si="31"/>
        <v>N</v>
      </c>
      <c r="X90" s="177">
        <f t="shared" si="32"/>
        <v>1</v>
      </c>
      <c r="Y90" s="67">
        <f t="shared" si="33"/>
        <v>4.6399999999999997E-2</v>
      </c>
      <c r="Z90" s="67">
        <f t="shared" si="34"/>
        <v>23.329899999999999</v>
      </c>
      <c r="AA90" s="67">
        <f t="shared" si="35"/>
        <v>23.2835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36"/>
        <v>0175-22</v>
      </c>
      <c r="AE90" s="91" t="str">
        <f t="shared" si="37"/>
        <v>aws s3 cp s3://rtdc.mdm.uploadarchive.raw/RTDC4038/ "%USERPROFILE%\AppData\Local\Temp\OnboardLogs"\RTDC4038\2016-11-22 --exclude "*" --recursive --include "*20161122*" &amp; "%USERPROFILE%\Documents\GitHub\mrs-test-scripts\Headless Mode &amp; Sideloading\WalkAndUnGZ.bat" "%USERPROFILE%\AppData\Local\Temp\OnboardLogs"\RTDC4038\2016-11-22 &amp; aws s3 cp s3://rtdc.mdm.uploadarchive.raw/RTDC4038/ "%USERPROFILE%\AppData\Local\Temp\OnboardLogs"\RTDC4038\2016-11-23 --exclude "*" --recursive --include "*20161123*" &amp; "%USERPROFILE%\Documents\GitHub\mrs-test-scripts\Headless Mode &amp; Sideloading\WalkAndUnGZ.bat" "%USERPROFILE%\AppData\Local\Temp\OnboardLogs"\RTDC4038\2016-11-23</v>
      </c>
      <c r="AF90" s="88" t="str">
        <f t="shared" si="38"/>
        <v>"C:\Program Files (x86)\AstroGrep\AstroGrep.exe" /spath="%USERPROFILE%\AppData\Local\Temp\OnboardLogs" /stypes="app*4038*20161122*" /stext=" 20:.+((SYSTEM_STATE.+slice.+state.+changed )|(ment ac)|(system.+state.+changed )|(\[timeout)|(PRM\|1\|D)|(kpr)|(kdp)|(\|lc)|(penalty))" /e /r /s</v>
      </c>
      <c r="AG90" s="1" t="str">
        <f t="shared" si="39"/>
        <v>EC</v>
      </c>
      <c r="AH90" s="92" t="str">
        <f t="shared" si="40"/>
        <v>"%USERPROFILE%\Documents\GitHub\eaglep3\Utilities\RefineRTDCRunTimes.py" --tripid 175-22 --locoid 4038 --swversion DE.1.0.8.0 --startMP 204:464 --initTime 2016-11-22T12:55:14 --startdatetime 2016-11-22T13:00:26 --delay 1 --endMP 204:233299 --enddatetime 2016-11-22T13:35:54 --enforcementcount 0 &gt;&gt;C:\Users\stu\Documents\GitHub\eaglep3-reporting\EC\2016-11-22-refined-times.txt</v>
      </c>
      <c r="AI90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{"issue":{"subject":"","project_id":79,"tracker_id":40,"status_id":1,"priority_id":2,"assigned_to_id":23,"start_date":"2016-11-22","description":"","custom_fields":[{"id":1,"name":"Subdivision","value":"EC"},{"id":4,"name":"Milepost","value":"23.3299"},{"id":17,"name":"Train ID","value":"175-22"},{"id":16,"name":"Locomotive ID","value":"4038"},{"id":130,"name":"Impact","value":""},{"id":150,"name":"Time of Event (Mountain Time)","value":"13:35:54"},{"id":151,"name":"Denver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541</v>
      </c>
      <c r="B91" s="7">
        <v>4037</v>
      </c>
      <c r="C91" s="22" t="s">
        <v>217</v>
      </c>
      <c r="D91" s="22" t="s">
        <v>659</v>
      </c>
      <c r="E91" s="13">
        <v>42696.576527777775</v>
      </c>
      <c r="F91" s="13">
        <v>42696.58116898148</v>
      </c>
      <c r="G91" s="7">
        <v>2</v>
      </c>
      <c r="H91" s="22" t="s">
        <v>339</v>
      </c>
      <c r="I91" s="13">
        <v>42696.607638888891</v>
      </c>
      <c r="J91" s="7">
        <v>0</v>
      </c>
      <c r="K91" s="109" t="str">
        <f t="shared" si="26"/>
        <v>4037/4038</v>
      </c>
      <c r="L91" s="22" t="str">
        <f>VLOOKUP(A91,'Trips&amp;Operators'!$C$1:$E$10000,3,FALSE)</f>
        <v>STEWART</v>
      </c>
      <c r="M91" s="6">
        <f t="shared" si="27"/>
        <v>2.6469907410501037E-2</v>
      </c>
      <c r="N91" s="7">
        <f t="shared" si="28"/>
        <v>38.116666671121493</v>
      </c>
      <c r="O91" s="7"/>
      <c r="P91" s="7"/>
      <c r="Q91" s="23"/>
      <c r="R91" s="23"/>
      <c r="S91" s="35">
        <f t="shared" si="25"/>
        <v>1</v>
      </c>
      <c r="T91" s="50" t="str">
        <f t="shared" si="29"/>
        <v>Southbound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12:50:12-700',mode:absolute,to:'2016-11-22 15:35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91" s="52" t="str">
        <f t="shared" si="31"/>
        <v>N</v>
      </c>
      <c r="X91" s="177">
        <f t="shared" si="32"/>
        <v>1</v>
      </c>
      <c r="Y91" s="67">
        <f t="shared" si="33"/>
        <v>23.2957</v>
      </c>
      <c r="Z91" s="67">
        <f t="shared" si="34"/>
        <v>1.67E-2</v>
      </c>
      <c r="AA91" s="67">
        <f t="shared" si="35"/>
        <v>23.279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36"/>
        <v>0176-22</v>
      </c>
      <c r="AE91" s="91" t="str">
        <f t="shared" si="37"/>
        <v>aws s3 cp s3://rtdc.mdm.uploadarchive.raw/RTDC4037/ "%USERPROFILE%\AppData\Local\Temp\OnboardLogs"\RTDC4037\2016-11-22 --exclude "*" --recursive --include "*20161122*" &amp; "%USERPROFILE%\Documents\GitHub\mrs-test-scripts\Headless Mode &amp; Sideloading\WalkAndUnGZ.bat" "%USERPROFILE%\AppData\Local\Temp\OnboardLogs"\RTDC4037\2016-11-22 &amp; aws s3 cp s3://rtdc.mdm.uploadarchive.raw/RTDC4037/ "%USERPROFILE%\AppData\Local\Temp\OnboardLogs"\RTDC4037\2016-11-23 --exclude "*" --recursive --include "*20161123*" &amp; "%USERPROFILE%\Documents\GitHub\mrs-test-scripts\Headless Mode &amp; Sideloading\WalkAndUnGZ.bat" "%USERPROFILE%\AppData\Local\Temp\OnboardLogs"\RTDC4037\2016-11-23</v>
      </c>
      <c r="AF91" s="88" t="str">
        <f t="shared" si="38"/>
        <v>"C:\Program Files (x86)\AstroGrep\AstroGrep.exe" /spath="%USERPROFILE%\AppData\Local\Temp\OnboardLogs" /stypes="app*4037*20161122*" /stext=" 21:.+((SYSTEM_STATE.+slice.+state.+changed )|(ment ac)|(system.+state.+changed )|(\[timeout)|(PRM\|1\|D)|(kpr)|(kdp)|(\|lc)|(penalty))" /e /r /s</v>
      </c>
      <c r="AG91" s="1" t="str">
        <f t="shared" si="39"/>
        <v>EC</v>
      </c>
      <c r="AH91" s="92" t="str">
        <f t="shared" si="40"/>
        <v>"%USERPROFILE%\Documents\GitHub\eaglep3\Utilities\RefineRTDCRunTimes.py" --tripid 176-22 --locoid 4037 --swversion DE.1.0.8.0 --startMP 204:232957 --initTime 2016-11-22T13:50:12 --startdatetime 2016-11-22T13:56:53 --delay 2 --endMP 204:167 --enddatetime 2016-11-22T14:35:00 --enforcementcount 0 &gt;&gt;C:\Users\stu\Documents\GitHub\eaglep3-reporting\EC\2016-11-22-refined-times.txt</v>
      </c>
      <c r="AI91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{"issue":{"subject":"","project_id":79,"tracker_id":40,"status_id":1,"priority_id":2,"assigned_to_id":23,"start_date":"2016-11-22","description":"","custom_fields":[{"id":1,"name":"Subdivision","value":"EC"},{"id":4,"name":"Milepost","value":"0.0167"},{"id":17,"name":"Train ID","value":"176-22"},{"id":16,"name":"Locomotive ID","value":"4037"},{"id":130,"name":"Impact","value":""},{"id":150,"name":"Time of Event (Mountain Time)","value":"14:35:00"},{"id":151,"name":"Denver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536</v>
      </c>
      <c r="B92" s="7">
        <v>4002</v>
      </c>
      <c r="C92" s="22" t="s">
        <v>217</v>
      </c>
      <c r="D92" s="22" t="s">
        <v>252</v>
      </c>
      <c r="E92" s="13">
        <v>42696.549293981479</v>
      </c>
      <c r="F92" s="13">
        <v>42696.552268518521</v>
      </c>
      <c r="G92" s="7">
        <v>1</v>
      </c>
      <c r="H92" s="22" t="s">
        <v>200</v>
      </c>
      <c r="I92" s="13">
        <v>42696.577118055553</v>
      </c>
      <c r="J92" s="7">
        <v>0</v>
      </c>
      <c r="K92" s="109" t="str">
        <f t="shared" si="26"/>
        <v>4001/4002</v>
      </c>
      <c r="L92" s="22" t="str">
        <f>VLOOKUP(A92,'Trips&amp;Operators'!$C$1:$E$10000,3,FALSE)</f>
        <v>HELVIE</v>
      </c>
      <c r="M92" s="6">
        <f t="shared" si="27"/>
        <v>2.4849537032423541E-2</v>
      </c>
      <c r="N92" s="7">
        <f t="shared" si="28"/>
        <v>35.783333326689899</v>
      </c>
      <c r="O92" s="7"/>
      <c r="P92" s="7"/>
      <c r="Q92" s="23"/>
      <c r="R92" s="23"/>
      <c r="S92" s="35">
        <f t="shared" si="25"/>
        <v>1</v>
      </c>
      <c r="T92" s="50" t="str">
        <f t="shared" si="29"/>
        <v>NorthBound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12:10:59-700',mode:absolute,to:'2016-11-22 14:51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92" s="52" t="str">
        <f t="shared" si="31"/>
        <v>N</v>
      </c>
      <c r="X92" s="177">
        <f t="shared" si="32"/>
        <v>1</v>
      </c>
      <c r="Y92" s="67">
        <f t="shared" si="33"/>
        <v>4.6600000000000003E-2</v>
      </c>
      <c r="Z92" s="67">
        <f t="shared" si="34"/>
        <v>23.329499999999999</v>
      </c>
      <c r="AA92" s="67">
        <f t="shared" si="35"/>
        <v>23.282899999999998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36"/>
        <v>0177-22</v>
      </c>
      <c r="AE92" s="91" t="str">
        <f t="shared" si="37"/>
        <v>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 &amp; aws s3 cp s3://rtdc.mdm.uploadarchive.raw/RTDC4002/ "%USERPROFILE%\AppData\Local\Temp\OnboardLogs"\RTDC4002\2016-11-23 --exclude "*" --recursive --include "*20161123*" &amp; "%USERPROFILE%\Documents\GitHub\mrs-test-scripts\Headless Mode &amp; Sideloading\WalkAndUnGZ.bat" "%USERPROFILE%\AppData\Local\Temp\OnboardLogs"\RTDC4002\2016-11-23</v>
      </c>
      <c r="AF92" s="88" t="str">
        <f t="shared" si="38"/>
        <v>"C:\Program Files (x86)\AstroGrep\AstroGrep.exe" /spath="%USERPROFILE%\AppData\Local\Temp\OnboardLogs" /stypes="app*4002*20161122*" /stext=" 20:.+((SYSTEM_STATE.+slice.+state.+changed )|(ment ac)|(system.+state.+changed )|(\[timeout)|(PRM\|1\|D)|(kpr)|(kdp)|(\|lc)|(penalty))" /e /r /s</v>
      </c>
      <c r="AG92" s="1" t="str">
        <f t="shared" si="39"/>
        <v>EC</v>
      </c>
      <c r="AH92" s="92" t="str">
        <f t="shared" si="40"/>
        <v>"%USERPROFILE%\Documents\GitHub\eaglep3\Utilities\RefineRTDCRunTimes.py" --tripid 177-22 --locoid 4002 --swversion DE.1.0.8.0 --startMP 204:466 --initTime 2016-11-22T13:10:59 --startdatetime 2016-11-22T13:15:16 --delay 1 --endMP 204:233295 --enddatetime 2016-11-22T13:51:03 --enforcementcount 0 &gt;&gt;C:\Users\stu\Documents\GitHub\eaglep3-reporting\EC\2016-11-22-refined-times.txt</v>
      </c>
      <c r="AI92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{"issue":{"subject":"","project_id":79,"tracker_id":40,"status_id":1,"priority_id":2,"assigned_to_id":23,"start_date":"2016-11-22","description":"","custom_fields":[{"id":1,"name":"Subdivision","value":"EC"},{"id":4,"name":"Milepost","value":"23.3295"},{"id":17,"name":"Train ID","value":"177-22"},{"id":16,"name":"Locomotive ID","value":"4002"},{"id":130,"name":"Impact","value":""},{"id":150,"name":"Time of Event (Mountain Time)","value":"13:51:03"},{"id":151,"name":"Denver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7" t="s">
        <v>543</v>
      </c>
      <c r="B93" s="7">
        <v>4001</v>
      </c>
      <c r="C93" s="22" t="s">
        <v>217</v>
      </c>
      <c r="D93" s="22" t="s">
        <v>303</v>
      </c>
      <c r="E93" s="13">
        <v>42696.587708333333</v>
      </c>
      <c r="F93" s="13">
        <v>42696.591458333336</v>
      </c>
      <c r="G93" s="7">
        <v>1</v>
      </c>
      <c r="H93" s="22" t="s">
        <v>227</v>
      </c>
      <c r="I93" s="13">
        <v>42696.617268518516</v>
      </c>
      <c r="J93" s="7">
        <v>0</v>
      </c>
      <c r="K93" s="109" t="str">
        <f t="shared" si="26"/>
        <v>4001/4002</v>
      </c>
      <c r="L93" s="22" t="str">
        <f>VLOOKUP(A93,'Trips&amp;Operators'!$C$1:$E$10000,3,FALSE)</f>
        <v>HELVIE</v>
      </c>
      <c r="M93" s="6">
        <f t="shared" si="27"/>
        <v>2.5810185179580003E-2</v>
      </c>
      <c r="N93" s="7">
        <f t="shared" si="28"/>
        <v>37.166666658595204</v>
      </c>
      <c r="O93" s="7"/>
      <c r="P93" s="7"/>
      <c r="Q93" s="23"/>
      <c r="R93" s="23"/>
      <c r="S93" s="35">
        <f t="shared" si="25"/>
        <v>1</v>
      </c>
      <c r="T93" s="50" t="str">
        <f t="shared" si="29"/>
        <v>Southbound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13:06:18-700',mode:absolute,to:'2016-11-22 15:48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3" s="52" t="str">
        <f t="shared" si="31"/>
        <v>N</v>
      </c>
      <c r="X93" s="177">
        <f t="shared" si="32"/>
        <v>1</v>
      </c>
      <c r="Y93" s="67">
        <f t="shared" si="33"/>
        <v>23.297899999999998</v>
      </c>
      <c r="Z93" s="67">
        <f t="shared" si="34"/>
        <v>1.6E-2</v>
      </c>
      <c r="AA93" s="67">
        <f t="shared" si="35"/>
        <v>23.2819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36"/>
        <v>0178-22</v>
      </c>
      <c r="AE93" s="91" t="str">
        <f t="shared" si="37"/>
        <v>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 &amp; aws s3 cp s3://rtdc.mdm.uploadarchive.raw/RTDC4001/ "%USERPROFILE%\AppData\Local\Temp\OnboardLogs"\RTDC4001\2016-11-23 --exclude "*" --recursive --include "*20161123*" &amp; "%USERPROFILE%\Documents\GitHub\mrs-test-scripts\Headless Mode &amp; Sideloading\WalkAndUnGZ.bat" "%USERPROFILE%\AppData\Local\Temp\OnboardLogs"\RTDC4001\2016-11-23</v>
      </c>
      <c r="AF93" s="88" t="str">
        <f t="shared" si="38"/>
        <v>"C:\Program Files (x86)\AstroGrep\AstroGrep.exe" /spath="%USERPROFILE%\AppData\Local\Temp\OnboardLogs" /stypes="app*4001*20161122*" /stext=" 21:.+((SYSTEM_STATE.+slice.+state.+changed )|(ment ac)|(system.+state.+changed )|(\[timeout)|(PRM\|1\|D)|(kpr)|(kdp)|(\|lc)|(penalty))" /e /r /s</v>
      </c>
      <c r="AG93" s="1" t="str">
        <f t="shared" si="39"/>
        <v>EC</v>
      </c>
      <c r="AH93" s="92" t="str">
        <f t="shared" si="40"/>
        <v>"%USERPROFILE%\Documents\GitHub\eaglep3\Utilities\RefineRTDCRunTimes.py" --tripid 178-22 --locoid 4001 --swversion DE.1.0.8.0 --startMP 204:232979 --initTime 2016-11-22T14:06:18 --startdatetime 2016-11-22T14:11:42 --delay 1 --endMP 204:160 --enddatetime 2016-11-22T14:48:52 --enforcementcount 0 &gt;&gt;C:\Users\stu\Documents\GitHub\eaglep3-reporting\EC\2016-11-22-refined-times.txt</v>
      </c>
      <c r="AI93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{"issue":{"subject":"","project_id":79,"tracker_id":40,"status_id":1,"priority_id":2,"assigned_to_id":23,"start_date":"2016-11-22","description":"","custom_fields":[{"id":1,"name":"Subdivision","value":"EC"},{"id":4,"name":"Milepost","value":"0.016"},{"id":17,"name":"Train ID","value":"178-22"},{"id":16,"name":"Locomotive ID","value":"4001"},{"id":130,"name":"Impact","value":""},{"id":150,"name":"Time of Event (Mountain Time)","value":"14:48:52"},{"id":151,"name":"Denver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537</v>
      </c>
      <c r="B94" s="7">
        <v>4027</v>
      </c>
      <c r="C94" s="22" t="s">
        <v>217</v>
      </c>
      <c r="D94" s="22" t="s">
        <v>201</v>
      </c>
      <c r="E94" s="13">
        <v>42696.556203703702</v>
      </c>
      <c r="F94" s="13">
        <v>42696.562800925924</v>
      </c>
      <c r="G94" s="7">
        <v>1</v>
      </c>
      <c r="H94" s="22" t="s">
        <v>377</v>
      </c>
      <c r="I94" s="13">
        <v>42696.589143518519</v>
      </c>
      <c r="J94" s="7">
        <v>0</v>
      </c>
      <c r="K94" s="109" t="str">
        <f t="shared" si="26"/>
        <v>4027/4028</v>
      </c>
      <c r="L94" s="22" t="str">
        <f>VLOOKUP(A94,'Trips&amp;Operators'!$C$1:$E$10000,3,FALSE)</f>
        <v>PERKINS</v>
      </c>
      <c r="M94" s="6">
        <f t="shared" si="27"/>
        <v>2.6342592595028691E-2</v>
      </c>
      <c r="N94" s="7">
        <f t="shared" si="28"/>
        <v>37.933333336841315</v>
      </c>
      <c r="O94" s="7"/>
      <c r="P94" s="7"/>
      <c r="Q94" s="23"/>
      <c r="R94" s="23"/>
      <c r="S94" s="35">
        <f t="shared" si="25"/>
        <v>1</v>
      </c>
      <c r="T94" s="50" t="str">
        <f t="shared" si="29"/>
        <v>NorthBound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12:20:56-700',mode:absolute,to:'2016-11-22 15:08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94" s="52" t="str">
        <f t="shared" si="31"/>
        <v>N</v>
      </c>
      <c r="X94" s="177">
        <f t="shared" si="32"/>
        <v>1</v>
      </c>
      <c r="Y94" s="67">
        <f t="shared" si="33"/>
        <v>4.5100000000000001E-2</v>
      </c>
      <c r="Z94" s="67">
        <f t="shared" si="34"/>
        <v>23.331099999999999</v>
      </c>
      <c r="AA94" s="67">
        <f t="shared" si="35"/>
        <v>23.285999999999998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36"/>
        <v>0179-22</v>
      </c>
      <c r="AE94" s="91" t="str">
        <f t="shared" si="37"/>
        <v>aws s3 cp s3://rtdc.mdm.uploadarchive.raw/RTDC4027/ "%USERPROFILE%\AppData\Local\Temp\OnboardLogs"\RTDC4027\2016-11-22 --exclude "*" --recursive --include "*20161122*" &amp; "%USERPROFILE%\Documents\GitHub\mrs-test-scripts\Headless Mode &amp; Sideloading\WalkAndUnGZ.bat" "%USERPROFILE%\AppData\Local\Temp\OnboardLogs"\RTDC4027\2016-11-22 &amp; aws s3 cp s3://rtdc.mdm.uploadarchive.raw/RTDC4027/ "%USERPROFILE%\AppData\Local\Temp\OnboardLogs"\RTDC4027\2016-11-23 --exclude "*" --recursive --include "*20161123*" &amp; "%USERPROFILE%\Documents\GitHub\mrs-test-scripts\Headless Mode &amp; Sideloading\WalkAndUnGZ.bat" "%USERPROFILE%\AppData\Local\Temp\OnboardLogs"\RTDC4027\2016-11-23</v>
      </c>
      <c r="AF94" s="88" t="str">
        <f t="shared" si="38"/>
        <v>"C:\Program Files (x86)\AstroGrep\AstroGrep.exe" /spath="%USERPROFILE%\AppData\Local\Temp\OnboardLogs" /stypes="app*4027*20161122*" /stext=" 21:.+((SYSTEM_STATE.+slice.+state.+changed )|(ment ac)|(system.+state.+changed )|(\[timeout)|(PRM\|1\|D)|(kpr)|(kdp)|(\|lc)|(penalty))" /e /r /s</v>
      </c>
      <c r="AG94" s="1" t="str">
        <f t="shared" si="39"/>
        <v>EC</v>
      </c>
      <c r="AH94" s="92" t="str">
        <f t="shared" si="40"/>
        <v>"%USERPROFILE%\Documents\GitHub\eaglep3\Utilities\RefineRTDCRunTimes.py" --tripid 179-22 --locoid 4027 --swversion DE.1.0.8.0 --startMP 204:451 --initTime 2016-11-22T13:20:56 --startdatetime 2016-11-22T13:30:26 --delay 1 --endMP 204:233311 --enddatetime 2016-11-22T14:08:22 --enforcementcount 0 &gt;&gt;C:\Users\stu\Documents\GitHub\eaglep3-reporting\EC\2016-11-22-refined-times.txt</v>
      </c>
      <c r="AI94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{"issue":{"subject":"","project_id":79,"tracker_id":40,"status_id":1,"priority_id":2,"assigned_to_id":23,"start_date":"2016-11-22","description":"","custom_fields":[{"id":1,"name":"Subdivision","value":"EC"},{"id":4,"name":"Milepost","value":"23.3311"},{"id":17,"name":"Train ID","value":"179-22"},{"id":16,"name":"Locomotive ID","value":"4027"},{"id":130,"name":"Impact","value":""},{"id":150,"name":"Time of Event (Mountain Time)","value":"14:08:22"},{"id":151,"name":"Denver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545</v>
      </c>
      <c r="B95" s="7">
        <v>4028</v>
      </c>
      <c r="C95" s="22" t="s">
        <v>217</v>
      </c>
      <c r="D95" s="22" t="s">
        <v>210</v>
      </c>
      <c r="E95" s="13">
        <v>42696.5934837963</v>
      </c>
      <c r="F95" s="13">
        <v>42696.601840277777</v>
      </c>
      <c r="G95" s="7">
        <v>0</v>
      </c>
      <c r="H95" s="22" t="s">
        <v>197</v>
      </c>
      <c r="I95" s="13">
        <v>42696.628229166665</v>
      </c>
      <c r="J95" s="7">
        <v>0</v>
      </c>
      <c r="K95" s="109" t="str">
        <f t="shared" si="26"/>
        <v>4027/4028</v>
      </c>
      <c r="L95" s="22" t="str">
        <f>VLOOKUP(A95,'Trips&amp;Operators'!$C$1:$E$10000,3,FALSE)</f>
        <v>PERKINS</v>
      </c>
      <c r="M95" s="6">
        <f t="shared" si="27"/>
        <v>2.6388888887595385E-2</v>
      </c>
      <c r="N95" s="7">
        <f t="shared" si="28"/>
        <v>37.999999998137355</v>
      </c>
      <c r="O95" s="7"/>
      <c r="P95" s="7"/>
      <c r="Q95" s="23"/>
      <c r="R95" s="23"/>
      <c r="S95" s="35">
        <f t="shared" si="25"/>
        <v>1</v>
      </c>
      <c r="T95" s="50" t="str">
        <f t="shared" si="29"/>
        <v>Southbound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13:14:37-700',mode:absolute,to:'2016-11-22 16:04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5" s="52" t="str">
        <f t="shared" si="31"/>
        <v>N</v>
      </c>
      <c r="X95" s="177">
        <f t="shared" si="32"/>
        <v>1</v>
      </c>
      <c r="Y95" s="67">
        <f t="shared" si="33"/>
        <v>23.297699999999999</v>
      </c>
      <c r="Z95" s="67">
        <f t="shared" si="34"/>
        <v>1.43E-2</v>
      </c>
      <c r="AA95" s="67">
        <f t="shared" si="35"/>
        <v>23.2834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36"/>
        <v>0180-22</v>
      </c>
      <c r="AE95" s="91" t="str">
        <f t="shared" si="37"/>
        <v>aws s3 cp s3://rtdc.mdm.uploadarchive.raw/RTDC4028/ "%USERPROFILE%\AppData\Local\Temp\OnboardLogs"\RTDC4028\2016-11-22 --exclude "*" --recursive --include "*20161122*" &amp; "%USERPROFILE%\Documents\GitHub\mrs-test-scripts\Headless Mode &amp; Sideloading\WalkAndUnGZ.bat" "%USERPROFILE%\AppData\Local\Temp\OnboardLogs"\RTDC4028\2016-11-22 &amp; aws s3 cp s3://rtdc.mdm.uploadarchive.raw/RTDC4028/ "%USERPROFILE%\AppData\Local\Temp\OnboardLogs"\RTDC4028\2016-11-23 --exclude "*" --recursive --include "*20161123*" &amp; "%USERPROFILE%\Documents\GitHub\mrs-test-scripts\Headless Mode &amp; Sideloading\WalkAndUnGZ.bat" "%USERPROFILE%\AppData\Local\Temp\OnboardLogs"\RTDC4028\2016-11-23</v>
      </c>
      <c r="AF95" s="88" t="str">
        <f t="shared" si="38"/>
        <v>"C:\Program Files (x86)\AstroGrep\AstroGrep.exe" /spath="%USERPROFILE%\AppData\Local\Temp\OnboardLogs" /stypes="app*4028*20161122*" /stext=" 22:.+((SYSTEM_STATE.+slice.+state.+changed )|(ment ac)|(system.+state.+changed )|(\[timeout)|(PRM\|1\|D)|(kpr)|(kdp)|(\|lc)|(penalty))" /e /r /s</v>
      </c>
      <c r="AG95" s="1" t="str">
        <f t="shared" si="39"/>
        <v>EC</v>
      </c>
      <c r="AH95" s="92" t="str">
        <f t="shared" si="40"/>
        <v>"%USERPROFILE%\Documents\GitHub\eaglep3\Utilities\RefineRTDCRunTimes.py" --tripid 180-22 --locoid 4028 --swversion DE.1.0.8.0 --startMP 204:232977 --initTime 2016-11-22T14:14:37 --startdatetime 2016-11-22T14:26:39 --delay 0 --endMP 204:143 --enddatetime 2016-11-22T15:04:39 --enforcementcount 0 &gt;&gt;C:\Users\stu\Documents\GitHub\eaglep3-reporting\EC\2016-11-22-refined-times.txt</v>
      </c>
      <c r="AI95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{"issue":{"subject":"","project_id":79,"tracker_id":40,"status_id":1,"priority_id":2,"assigned_to_id":23,"start_date":"2016-11-22","description":"","custom_fields":[{"id":1,"name":"Subdivision","value":"EC"},{"id":4,"name":"Milepost","value":"0.0143"},{"id":17,"name":"Train ID","value":"180-22"},{"id":16,"name":"Locomotive ID","value":"4028"},{"id":130,"name":"Impact","value":""},{"id":150,"name":"Time of Event (Mountain Time)","value":"15:04:39"},{"id":151,"name":"Denver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540</v>
      </c>
      <c r="B96" s="7">
        <v>4011</v>
      </c>
      <c r="C96" s="22" t="s">
        <v>217</v>
      </c>
      <c r="D96" s="22" t="s">
        <v>679</v>
      </c>
      <c r="E96" s="13">
        <v>42696.569479166668</v>
      </c>
      <c r="F96" s="13">
        <v>42696.573125000003</v>
      </c>
      <c r="G96" s="7">
        <v>1</v>
      </c>
      <c r="H96" s="22" t="s">
        <v>223</v>
      </c>
      <c r="I96" s="13">
        <v>42696.599664351852</v>
      </c>
      <c r="J96" s="7">
        <v>0</v>
      </c>
      <c r="K96" s="109" t="str">
        <f t="shared" si="26"/>
        <v>4011/4012</v>
      </c>
      <c r="L96" s="22" t="str">
        <f>VLOOKUP(A96,'Trips&amp;Operators'!$C$1:$E$10000,3,FALSE)</f>
        <v>YOUNG</v>
      </c>
      <c r="M96" s="6">
        <f t="shared" si="27"/>
        <v>2.6539351849351078E-2</v>
      </c>
      <c r="N96" s="7">
        <f t="shared" si="28"/>
        <v>38.216666663065553</v>
      </c>
      <c r="O96" s="7"/>
      <c r="P96" s="7"/>
      <c r="Q96" s="23"/>
      <c r="R96" s="23"/>
      <c r="S96" s="35">
        <f t="shared" si="25"/>
        <v>1</v>
      </c>
      <c r="T96" s="50" t="str">
        <f t="shared" si="29"/>
        <v>NorthBound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12:40:03-700',mode:absolute,to:'2016-11-22 15:23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6" s="52" t="str">
        <f t="shared" si="31"/>
        <v>N</v>
      </c>
      <c r="X96" s="177">
        <f t="shared" si="32"/>
        <v>1</v>
      </c>
      <c r="Y96" s="67">
        <f t="shared" si="33"/>
        <v>5.0599999999999999E-2</v>
      </c>
      <c r="Z96" s="67">
        <f t="shared" si="34"/>
        <v>23.331199999999999</v>
      </c>
      <c r="AA96" s="67">
        <f t="shared" si="35"/>
        <v>23.2806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36"/>
        <v>0181-22</v>
      </c>
      <c r="AE96" s="91" t="str">
        <f t="shared" si="37"/>
        <v>aws s3 cp s3://rtdc.mdm.uploadarchive.raw/RTDC4011/ "%USERPROFILE%\AppData\Local\Temp\OnboardLogs"\RTDC4011\2016-11-22 --exclude "*" --recursive --include "*20161122*" &amp; "%USERPROFILE%\Documents\GitHub\mrs-test-scripts\Headless Mode &amp; Sideloading\WalkAndUnGZ.bat" "%USERPROFILE%\AppData\Local\Temp\OnboardLogs"\RTDC4011\2016-11-22 &amp; aws s3 cp s3://rtdc.mdm.uploadarchive.raw/RTDC4011/ "%USERPROFILE%\AppData\Local\Temp\OnboardLogs"\RTDC4011\2016-11-23 --exclude "*" --recursive --include "*20161123*" &amp; "%USERPROFILE%\Documents\GitHub\mrs-test-scripts\Headless Mode &amp; Sideloading\WalkAndUnGZ.bat" "%USERPROFILE%\AppData\Local\Temp\OnboardLogs"\RTDC4011\2016-11-23</v>
      </c>
      <c r="AF96" s="88" t="str">
        <f t="shared" si="38"/>
        <v>"C:\Program Files (x86)\AstroGrep\AstroGrep.exe" /spath="%USERPROFILE%\AppData\Local\Temp\OnboardLogs" /stypes="app*4011*20161122*" /stext=" 21:.+((SYSTEM_STATE.+slice.+state.+changed )|(ment ac)|(system.+state.+changed )|(\[timeout)|(PRM\|1\|D)|(kpr)|(kdp)|(\|lc)|(penalty))" /e /r /s</v>
      </c>
      <c r="AG96" s="1" t="str">
        <f t="shared" si="39"/>
        <v>EC</v>
      </c>
      <c r="AH96" s="92" t="str">
        <f t="shared" si="40"/>
        <v>"%USERPROFILE%\Documents\GitHub\eaglep3\Utilities\RefineRTDCRunTimes.py" --tripid 181-22 --locoid 4011 --swversion DE.1.0.8.0 --startMP 204:506 --initTime 2016-11-22T13:40:03 --startdatetime 2016-11-22T13:45:18 --delay 1 --endMP 204:233312 --enddatetime 2016-11-22T14:23:31 --enforcementcount 0 &gt;&gt;C:\Users\stu\Documents\GitHub\eaglep3-reporting\EC\2016-11-22-refined-times.txt</v>
      </c>
      <c r="AI96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{"issue":{"subject":"","project_id":79,"tracker_id":40,"status_id":1,"priority_id":2,"assigned_to_id":23,"start_date":"2016-11-22","description":"","custom_fields":[{"id":1,"name":"Subdivision","value":"EC"},{"id":4,"name":"Milepost","value":"23.3312"},{"id":17,"name":"Train ID","value":"181-22"},{"id":16,"name":"Locomotive ID","value":"4011"},{"id":130,"name":"Impact","value":""},{"id":150,"name":"Time of Event (Mountain Time)","value":"14:23:31"},{"id":151,"name":"Denver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547</v>
      </c>
      <c r="B97" s="7">
        <v>4012</v>
      </c>
      <c r="C97" s="22" t="s">
        <v>217</v>
      </c>
      <c r="D97" s="22" t="s">
        <v>277</v>
      </c>
      <c r="E97" s="13">
        <v>42696.602870370371</v>
      </c>
      <c r="F97" s="13">
        <v>42696.61215277778</v>
      </c>
      <c r="G97" s="7">
        <v>1</v>
      </c>
      <c r="H97" s="22" t="s">
        <v>175</v>
      </c>
      <c r="I97" s="13">
        <v>42696.640405092592</v>
      </c>
      <c r="J97" s="7">
        <v>0</v>
      </c>
      <c r="K97" s="109" t="str">
        <f t="shared" si="26"/>
        <v>4011/4012</v>
      </c>
      <c r="L97" s="22" t="str">
        <f>VLOOKUP(A97,'Trips&amp;Operators'!$C$1:$E$10000,3,FALSE)</f>
        <v>YOUNG</v>
      </c>
      <c r="M97" s="6">
        <f t="shared" si="27"/>
        <v>2.8252314812561963E-2</v>
      </c>
      <c r="N97" s="7">
        <f t="shared" si="28"/>
        <v>40.683333330089226</v>
      </c>
      <c r="O97" s="7"/>
      <c r="P97" s="7"/>
      <c r="Q97" s="23"/>
      <c r="R97" s="23"/>
      <c r="S97" s="35">
        <f t="shared" si="25"/>
        <v>1</v>
      </c>
      <c r="T97" s="50" t="str">
        <f t="shared" si="29"/>
        <v>Southbound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13:28:08-700',mode:absolute,to:'2016-11-22 16:22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7" s="52" t="str">
        <f t="shared" si="31"/>
        <v>N</v>
      </c>
      <c r="X97" s="177">
        <f t="shared" si="32"/>
        <v>1</v>
      </c>
      <c r="Y97" s="67">
        <f t="shared" si="33"/>
        <v>23.299299999999999</v>
      </c>
      <c r="Z97" s="67">
        <f t="shared" si="34"/>
        <v>1.52E-2</v>
      </c>
      <c r="AA97" s="67">
        <f t="shared" si="35"/>
        <v>23.284099999999999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36"/>
        <v>0182-22</v>
      </c>
      <c r="AE97" s="91" t="str">
        <f t="shared" si="37"/>
        <v>aws s3 cp s3://rtdc.mdm.uploadarchive.raw/RTDC4012/ "%USERPROFILE%\AppData\Local\Temp\OnboardLogs"\RTDC4012\2016-11-22 --exclude "*" --recursive --include "*20161122*" &amp; "%USERPROFILE%\Documents\GitHub\mrs-test-scripts\Headless Mode &amp; Sideloading\WalkAndUnGZ.bat" "%USERPROFILE%\AppData\Local\Temp\OnboardLogs"\RTDC4012\2016-11-22 &amp; aws s3 cp s3://rtdc.mdm.uploadarchive.raw/RTDC4012/ "%USERPROFILE%\AppData\Local\Temp\OnboardLogs"\RTDC4012\2016-11-23 --exclude "*" --recursive --include "*20161123*" &amp; "%USERPROFILE%\Documents\GitHub\mrs-test-scripts\Headless Mode &amp; Sideloading\WalkAndUnGZ.bat" "%USERPROFILE%\AppData\Local\Temp\OnboardLogs"\RTDC4012\2016-11-23</v>
      </c>
      <c r="AF97" s="88" t="str">
        <f t="shared" si="38"/>
        <v>"C:\Program Files (x86)\AstroGrep\AstroGrep.exe" /spath="%USERPROFILE%\AppData\Local\Temp\OnboardLogs" /stypes="app*4012*20161122*" /stext=" 22:.+((SYSTEM_STATE.+slice.+state.+changed )|(ment ac)|(system.+state.+changed )|(\[timeout)|(PRM\|1\|D)|(kpr)|(kdp)|(\|lc)|(penalty))" /e /r /s</v>
      </c>
      <c r="AG97" s="1" t="str">
        <f t="shared" si="39"/>
        <v>EC</v>
      </c>
      <c r="AH97" s="92" t="str">
        <f t="shared" si="40"/>
        <v>"%USERPROFILE%\Documents\GitHub\eaglep3\Utilities\RefineRTDCRunTimes.py" --tripid 182-22 --locoid 4012 --swversion DE.1.0.8.0 --startMP 204:232993 --initTime 2016-11-22T14:28:08 --startdatetime 2016-11-22T14:41:30 --delay 1 --endMP 204:152 --enddatetime 2016-11-22T15:22:11 --enforcementcount 0 &gt;&gt;C:\Users\stu\Documents\GitHub\eaglep3-reporting\EC\2016-11-22-refined-times.txt</v>
      </c>
      <c r="AI97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{"issue":{"subject":"","project_id":79,"tracker_id":40,"status_id":1,"priority_id":2,"assigned_to_id":23,"start_date":"2016-11-22","description":"","custom_fields":[{"id":1,"name":"Subdivision","value":"EC"},{"id":4,"name":"Milepost","value":"0.0152"},{"id":17,"name":"Train ID","value":"182-22"},{"id":16,"name":"Locomotive ID","value":"4012"},{"id":130,"name":"Impact","value":""},{"id":150,"name":"Time of Event (Mountain Time)","value":"15:22:11"},{"id":151,"name":"Denver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7" t="s">
        <v>542</v>
      </c>
      <c r="B98" s="7">
        <v>4022</v>
      </c>
      <c r="C98" s="22" t="s">
        <v>217</v>
      </c>
      <c r="D98" s="22" t="s">
        <v>278</v>
      </c>
      <c r="E98" s="13">
        <v>42696.578472222223</v>
      </c>
      <c r="F98" s="13">
        <v>42696.583506944444</v>
      </c>
      <c r="G98" s="7">
        <v>1</v>
      </c>
      <c r="H98" s="22" t="s">
        <v>200</v>
      </c>
      <c r="I98" s="13">
        <v>42696.609201388892</v>
      </c>
      <c r="J98" s="7">
        <v>0</v>
      </c>
      <c r="K98" s="109" t="str">
        <f t="shared" si="26"/>
        <v>4021/4022</v>
      </c>
      <c r="L98" s="22" t="str">
        <f>VLOOKUP(A98,'Trips&amp;Operators'!$C$1:$E$10000,3,FALSE)</f>
        <v>CLARK</v>
      </c>
      <c r="M98" s="6">
        <f t="shared" si="27"/>
        <v>2.5694444448163267E-2</v>
      </c>
      <c r="N98" s="7">
        <f t="shared" si="28"/>
        <v>37.000000005355105</v>
      </c>
      <c r="O98" s="7"/>
      <c r="P98" s="7"/>
      <c r="Q98" s="23"/>
      <c r="R98" s="23"/>
      <c r="S98" s="35">
        <f t="shared" si="25"/>
        <v>1</v>
      </c>
      <c r="T98" s="50" t="str">
        <f t="shared" si="29"/>
        <v>NorthBound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12:53:00-700',mode:absolute,to:'2016-11-22 15:37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98" s="52" t="str">
        <f t="shared" si="31"/>
        <v>N</v>
      </c>
      <c r="X98" s="177">
        <f t="shared" si="32"/>
        <v>1</v>
      </c>
      <c r="Y98" s="67">
        <f t="shared" si="33"/>
        <v>4.6699999999999998E-2</v>
      </c>
      <c r="Z98" s="67">
        <f t="shared" si="34"/>
        <v>23.329499999999999</v>
      </c>
      <c r="AA98" s="67">
        <f t="shared" si="35"/>
        <v>23.282799999999998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36"/>
        <v>0183-22</v>
      </c>
      <c r="AE98" s="91" t="str">
        <f t="shared" si="37"/>
        <v>aws s3 cp s3://rtdc.mdm.uploadarchive.raw/RTDC4022/ "%USERPROFILE%\AppData\Local\Temp\OnboardLogs"\RTDC4022\2016-11-22 --exclude "*" --recursive --include "*20161122*" &amp; "%USERPROFILE%\Documents\GitHub\mrs-test-scripts\Headless Mode &amp; Sideloading\WalkAndUnGZ.bat" "%USERPROFILE%\AppData\Local\Temp\OnboardLogs"\RTDC4022\2016-11-22 &amp; aws s3 cp s3://rtdc.mdm.uploadarchive.raw/RTDC4022/ "%USERPROFILE%\AppData\Local\Temp\OnboardLogs"\RTDC4022\2016-11-23 --exclude "*" --recursive --include "*20161123*" &amp; "%USERPROFILE%\Documents\GitHub\mrs-test-scripts\Headless Mode &amp; Sideloading\WalkAndUnGZ.bat" "%USERPROFILE%\AppData\Local\Temp\OnboardLogs"\RTDC4022\2016-11-23</v>
      </c>
      <c r="AF98" s="88" t="str">
        <f t="shared" si="38"/>
        <v>"C:\Program Files (x86)\AstroGrep\AstroGrep.exe" /spath="%USERPROFILE%\AppData\Local\Temp\OnboardLogs" /stypes="app*4022*20161122*" /stext=" 21:.+((SYSTEM_STATE.+slice.+state.+changed )|(ment ac)|(system.+state.+changed )|(\[timeout)|(PRM\|1\|D)|(kpr)|(kdp)|(\|lc)|(penalty))" /e /r /s</v>
      </c>
      <c r="AG98" s="1" t="str">
        <f t="shared" si="39"/>
        <v>EC</v>
      </c>
      <c r="AH98" s="92" t="str">
        <f t="shared" si="40"/>
        <v>"%USERPROFILE%\Documents\GitHub\eaglep3\Utilities\RefineRTDCRunTimes.py" --tripid 183-22 --locoid 4022 --swversion DE.1.0.8.0 --startMP 204:467 --initTime 2016-11-22T13:53:00 --startdatetime 2016-11-22T14:00:15 --delay 1 --endMP 204:233295 --enddatetime 2016-11-22T14:37:15 --enforcementcount 0 &gt;&gt;C:\Users\stu\Documents\GitHub\eaglep3-reporting\EC\2016-11-22-refined-times.txt</v>
      </c>
      <c r="AI98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{"issue":{"subject":"","project_id":79,"tracker_id":40,"status_id":1,"priority_id":2,"assigned_to_id":23,"start_date":"2016-11-22","description":"","custom_fields":[{"id":1,"name":"Subdivision","value":"EC"},{"id":4,"name":"Milepost","value":"23.3295"},{"id":17,"name":"Train ID","value":"183-22"},{"id":16,"name":"Locomotive ID","value":"4022"},{"id":130,"name":"Impact","value":""},{"id":150,"name":"Time of Event (Mountain Time)","value":"14:37:15"},{"id":151,"name":"Denver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91" x14ac:dyDescent="0.25">
      <c r="A99" s="37" t="s">
        <v>550</v>
      </c>
      <c r="B99" s="7">
        <v>4021</v>
      </c>
      <c r="C99" s="22" t="s">
        <v>217</v>
      </c>
      <c r="D99" s="22" t="s">
        <v>302</v>
      </c>
      <c r="E99" s="13">
        <v>42696.618495370371</v>
      </c>
      <c r="F99" s="13">
        <v>42696.622395833336</v>
      </c>
      <c r="G99" s="7">
        <v>1</v>
      </c>
      <c r="H99" s="22" t="s">
        <v>251</v>
      </c>
      <c r="I99" s="13">
        <v>42696.650416666664</v>
      </c>
      <c r="J99" s="7">
        <v>0</v>
      </c>
      <c r="K99" s="109" t="str">
        <f t="shared" si="26"/>
        <v>4021/4022</v>
      </c>
      <c r="L99" s="22" t="str">
        <f>VLOOKUP(A99,'Trips&amp;Operators'!$C$1:$E$10000,3,FALSE)</f>
        <v>CLARK</v>
      </c>
      <c r="M99" s="6">
        <f t="shared" si="27"/>
        <v>2.8020833327900618E-2</v>
      </c>
      <c r="N99" s="7">
        <f t="shared" si="28"/>
        <v>40.34999999217689</v>
      </c>
      <c r="O99" s="7"/>
      <c r="P99" s="7"/>
      <c r="Q99" s="23"/>
      <c r="R99" s="23"/>
      <c r="S99" s="35">
        <f t="shared" si="25"/>
        <v>1</v>
      </c>
      <c r="T99" s="50" t="str">
        <f t="shared" si="29"/>
        <v>Southbound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13:50:38-700',mode:absolute,to:'2016-11-22 16:36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99" s="52" t="str">
        <f t="shared" si="31"/>
        <v>N</v>
      </c>
      <c r="X99" s="177">
        <f t="shared" si="32"/>
        <v>1</v>
      </c>
      <c r="Y99" s="67">
        <f t="shared" si="33"/>
        <v>23.2973</v>
      </c>
      <c r="Z99" s="67">
        <f t="shared" si="34"/>
        <v>1.54E-2</v>
      </c>
      <c r="AA99" s="67">
        <f t="shared" si="35"/>
        <v>23.2819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36"/>
        <v>0184-22</v>
      </c>
      <c r="AE99" s="91" t="str">
        <f t="shared" si="37"/>
        <v>aws s3 cp s3://rtdc.mdm.uploadarchive.raw/RTDC4021/ "%USERPROFILE%\AppData\Local\Temp\OnboardLogs"\RTDC4021\2016-11-22 --exclude "*" --recursive --include "*20161122*" &amp; "%USERPROFILE%\Documents\GitHub\mrs-test-scripts\Headless Mode &amp; Sideloading\WalkAndUnGZ.bat" "%USERPROFILE%\AppData\Local\Temp\OnboardLogs"\RTDC4021\2016-11-22 &amp; aws s3 cp s3://rtdc.mdm.uploadarchive.raw/RTDC4021/ "%USERPROFILE%\AppData\Local\Temp\OnboardLogs"\RTDC4021\2016-11-23 --exclude "*" --recursive --include "*20161123*" &amp; "%USERPROFILE%\Documents\GitHub\mrs-test-scripts\Headless Mode &amp; Sideloading\WalkAndUnGZ.bat" "%USERPROFILE%\AppData\Local\Temp\OnboardLogs"\RTDC4021\2016-11-23</v>
      </c>
      <c r="AF99" s="88" t="str">
        <f t="shared" si="38"/>
        <v>"C:\Program Files (x86)\AstroGrep\AstroGrep.exe" /spath="%USERPROFILE%\AppData\Local\Temp\OnboardLogs" /stypes="app*4021*20161122*" /stext=" 22:.+((SYSTEM_STATE.+slice.+state.+changed )|(ment ac)|(system.+state.+changed )|(\[timeout)|(PRM\|1\|D)|(kpr)|(kdp)|(\|lc)|(penalty))" /e /r /s</v>
      </c>
      <c r="AG99" s="1" t="str">
        <f t="shared" si="39"/>
        <v>EC</v>
      </c>
      <c r="AH99" s="92" t="str">
        <f t="shared" si="40"/>
        <v>"%USERPROFILE%\Documents\GitHub\eaglep3\Utilities\RefineRTDCRunTimes.py" --tripid 184-22 --locoid 4021 --swversion DE.1.0.8.0 --startMP 204:232973 --initTime 2016-11-22T14:50:38 --startdatetime 2016-11-22T14:56:15 --delay 1 --endMP 204:154 --enddatetime 2016-11-22T15:36:36 --enforcementcount 0 &gt;&gt;C:\Users\stu\Documents\GitHub\eaglep3-reporting\EC\2016-11-22-refined-times.txt</v>
      </c>
      <c r="AI99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{"issue":{"subject":"","project_id":79,"tracker_id":40,"status_id":1,"priority_id":2,"assigned_to_id":23,"start_date":"2016-11-22","description":"","custom_fields":[{"id":1,"name":"Subdivision","value":"EC"},{"id":4,"name":"Milepost","value":"0.0154"},{"id":17,"name":"Train ID","value":"184-22"},{"id":16,"name":"Locomotive ID","value":"4021"},{"id":130,"name":"Impact","value":""},{"id":150,"name":"Time of Event (Mountain Time)","value":"15:36:36"},{"id":151,"name":"Denver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x14ac:dyDescent="0.25">
      <c r="A100" s="37" t="s">
        <v>544</v>
      </c>
      <c r="B100" s="7">
        <v>4031</v>
      </c>
      <c r="C100" s="22" t="s">
        <v>217</v>
      </c>
      <c r="D100" s="22" t="s">
        <v>316</v>
      </c>
      <c r="E100" s="13">
        <v>42696.58834490741</v>
      </c>
      <c r="F100" s="13">
        <v>42696.593981481485</v>
      </c>
      <c r="G100" s="7">
        <v>1</v>
      </c>
      <c r="H100" s="22" t="s">
        <v>283</v>
      </c>
      <c r="I100" s="13">
        <v>42696.618750000001</v>
      </c>
      <c r="J100" s="7">
        <v>0</v>
      </c>
      <c r="K100" s="109" t="str">
        <f t="shared" si="26"/>
        <v>4031/4032</v>
      </c>
      <c r="L100" s="22" t="str">
        <f>VLOOKUP(A100,'Trips&amp;Operators'!$C$1:$E$10000,3,FALSE)</f>
        <v>BRANDNER</v>
      </c>
      <c r="M100" s="6">
        <f t="shared" si="27"/>
        <v>2.4768518516793847E-2</v>
      </c>
      <c r="N100" s="7">
        <f t="shared" si="28"/>
        <v>35.66666666418314</v>
      </c>
      <c r="O100" s="7"/>
      <c r="P100" s="7"/>
      <c r="Q100" s="23"/>
      <c r="R100" s="23"/>
      <c r="S100" s="35">
        <f t="shared" si="25"/>
        <v>1</v>
      </c>
      <c r="T100" s="50" t="str">
        <f t="shared" si="29"/>
        <v>NorthBound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13:07:13-700',mode:absolute,to:'2016-11-22 15:51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0" s="52" t="str">
        <f t="shared" si="31"/>
        <v>N</v>
      </c>
      <c r="X100" s="177">
        <f t="shared" si="32"/>
        <v>1</v>
      </c>
      <c r="Y100" s="67">
        <f t="shared" si="33"/>
        <v>4.7100000000000003E-2</v>
      </c>
      <c r="Z100" s="67">
        <f t="shared" si="34"/>
        <v>23.33</v>
      </c>
      <c r="AA100" s="67">
        <f t="shared" si="35"/>
        <v>23.282899999999998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36"/>
        <v>0185-22</v>
      </c>
      <c r="AE100" s="91" t="str">
        <f t="shared" si="37"/>
        <v>aws s3 cp s3://rtdc.mdm.uploadarchive.raw/RTDC4031/ "%USERPROFILE%\AppData\Local\Temp\OnboardLogs"\RTDC4031\2016-11-22 --exclude "*" --recursive --include "*20161122*" &amp; "%USERPROFILE%\Documents\GitHub\mrs-test-scripts\Headless Mode &amp; Sideloading\WalkAndUnGZ.bat" "%USERPROFILE%\AppData\Local\Temp\OnboardLogs"\RTDC4031\2016-11-22 &amp; aws s3 cp s3://rtdc.mdm.uploadarchive.raw/RTDC4031/ "%USERPROFILE%\AppData\Local\Temp\OnboardLogs"\RTDC4031\2016-11-23 --exclude "*" --recursive --include "*20161123*" &amp; "%USERPROFILE%\Documents\GitHub\mrs-test-scripts\Headless Mode &amp; Sideloading\WalkAndUnGZ.bat" "%USERPROFILE%\AppData\Local\Temp\OnboardLogs"\RTDC4031\2016-11-23</v>
      </c>
      <c r="AF100" s="88" t="str">
        <f t="shared" si="38"/>
        <v>"C:\Program Files (x86)\AstroGrep\AstroGrep.exe" /spath="%USERPROFILE%\AppData\Local\Temp\OnboardLogs" /stypes="app*4031*20161122*" /stext=" 21:.+((SYSTEM_STATE.+slice.+state.+changed )|(ment ac)|(system.+state.+changed )|(\[timeout)|(PRM\|1\|D)|(kpr)|(kdp)|(\|lc)|(penalty))" /e /r /s</v>
      </c>
      <c r="AG100" s="1" t="str">
        <f t="shared" si="39"/>
        <v>EC</v>
      </c>
      <c r="AH100" s="92" t="str">
        <f t="shared" si="40"/>
        <v>"%USERPROFILE%\Documents\GitHub\eaglep3\Utilities\RefineRTDCRunTimes.py" --tripid 185-22 --locoid 4031 --swversion DE.1.0.8.0 --startMP 204:471 --initTime 2016-11-22T14:07:13 --startdatetime 2016-11-22T14:15:20 --delay 1 --endMP 204:233300 --enddatetime 2016-11-22T14:51:00 --enforcementcount 0 &gt;&gt;C:\Users\stu\Documents\GitHub\eaglep3-reporting\EC\2016-11-22-refined-times.txt</v>
      </c>
      <c r="AI100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{"issue":{"subject":"","project_id":79,"tracker_id":40,"status_id":1,"priority_id":2,"assigned_to_id":23,"start_date":"2016-11-22","description":"","custom_fields":[{"id":1,"name":"Subdivision","value":"EC"},{"id":4,"name":"Milepost","value":"23.33"},{"id":17,"name":"Train ID","value":"185-22"},{"id":16,"name":"Locomotive ID","value":"4031"},{"id":130,"name":"Impact","value":""},{"id":150,"name":"Time of Event (Mountain Time)","value":"14:51:00"},{"id":151,"name":"Denver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s="21" customFormat="1" x14ac:dyDescent="0.25">
      <c r="A101" s="37" t="s">
        <v>552</v>
      </c>
      <c r="B101" s="7">
        <v>4032</v>
      </c>
      <c r="C101" s="22" t="s">
        <v>217</v>
      </c>
      <c r="D101" s="22" t="s">
        <v>311</v>
      </c>
      <c r="E101" s="13">
        <v>42696.626921296294</v>
      </c>
      <c r="F101" s="13">
        <v>42696.633125</v>
      </c>
      <c r="G101" s="7">
        <v>1</v>
      </c>
      <c r="H101" s="22" t="s">
        <v>212</v>
      </c>
      <c r="I101" s="13">
        <v>42696.660162037035</v>
      </c>
      <c r="J101" s="7">
        <v>0</v>
      </c>
      <c r="K101" s="109" t="str">
        <f t="shared" si="26"/>
        <v>4031/4032</v>
      </c>
      <c r="L101" s="22" t="str">
        <f>VLOOKUP(A101,'Trips&amp;Operators'!$C$1:$E$10000,3,FALSE)</f>
        <v>BRANDNER</v>
      </c>
      <c r="M101" s="6">
        <f t="shared" si="27"/>
        <v>2.7037037034460809E-2</v>
      </c>
      <c r="N101" s="7">
        <f t="shared" si="28"/>
        <v>38.933333329623565</v>
      </c>
      <c r="O101" s="7"/>
      <c r="P101" s="7"/>
      <c r="Q101" s="23"/>
      <c r="R101" s="23"/>
      <c r="S101" s="35">
        <f t="shared" si="25"/>
        <v>1</v>
      </c>
      <c r="T101" s="50" t="str">
        <f t="shared" si="29"/>
        <v>Southbound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14:02:46-700',mode:absolute,to:'2016-11-22 16:50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1" s="52" t="str">
        <f t="shared" si="31"/>
        <v>N</v>
      </c>
      <c r="X101" s="177">
        <f t="shared" si="32"/>
        <v>1</v>
      </c>
      <c r="Y101" s="67">
        <f t="shared" si="33"/>
        <v>23.298500000000001</v>
      </c>
      <c r="Z101" s="67">
        <f t="shared" si="34"/>
        <v>1.5599999999999999E-2</v>
      </c>
      <c r="AA101" s="67">
        <f t="shared" si="35"/>
        <v>23.282900000000001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36"/>
        <v>0186-22</v>
      </c>
      <c r="AE101" s="91" t="str">
        <f t="shared" si="37"/>
        <v>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 &amp; aws s3 cp s3://rtdc.mdm.uploadarchive.raw/RTDC4032/ "%USERPROFILE%\AppData\Local\Temp\OnboardLogs"\RTDC4032\2016-11-23 --exclude "*" --recursive --include "*20161123*" &amp; "%USERPROFILE%\Documents\GitHub\mrs-test-scripts\Headless Mode &amp; Sideloading\WalkAndUnGZ.bat" "%USERPROFILE%\AppData\Local\Temp\OnboardLogs"\RTDC4032\2016-11-23</v>
      </c>
      <c r="AF101" s="88" t="str">
        <f t="shared" si="38"/>
        <v>"C:\Program Files (x86)\AstroGrep\AstroGrep.exe" /spath="%USERPROFILE%\AppData\Local\Temp\OnboardLogs" /stypes="app*4032*20161122*" /stext=" 22:.+((SYSTEM_STATE.+slice.+state.+changed )|(ment ac)|(system.+state.+changed )|(\[timeout)|(PRM\|1\|D)|(kpr)|(kdp)|(\|lc)|(penalty))" /e /r /s</v>
      </c>
      <c r="AG101" s="1" t="str">
        <f t="shared" si="39"/>
        <v>EC</v>
      </c>
      <c r="AH101" s="92" t="str">
        <f t="shared" si="40"/>
        <v>"%USERPROFILE%\Documents\GitHub\eaglep3\Utilities\RefineRTDCRunTimes.py" --tripid 186-22 --locoid 4032 --swversion DE.1.0.8.0 --startMP 204:232985 --initTime 2016-11-22T15:02:46 --startdatetime 2016-11-22T15:11:42 --delay 1 --endMP 204:156 --enddatetime 2016-11-22T15:50:38 --enforcementcount 0 &gt;&gt;C:\Users\stu\Documents\GitHub\eaglep3-reporting\EC\2016-11-22-refined-times.txt</v>
      </c>
      <c r="AI101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{"issue":{"subject":"","project_id":79,"tracker_id":40,"status_id":1,"priority_id":2,"assigned_to_id":23,"start_date":"2016-11-22","description":"","custom_fields":[{"id":1,"name":"Subdivision","value":"EC"},{"id":4,"name":"Milepost","value":"0.0156"},{"id":17,"name":"Train ID","value":"186-22"},{"id":16,"name":"Locomotive ID","value":"4032"},{"id":130,"name":"Impact","value":""},{"id":150,"name":"Time of Event (Mountain Time)","value":"15:50:38"},{"id":151,"name":"Denver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546</v>
      </c>
      <c r="B102" s="7">
        <v>4046</v>
      </c>
      <c r="C102" s="22" t="s">
        <v>217</v>
      </c>
      <c r="D102" s="22" t="s">
        <v>282</v>
      </c>
      <c r="E102" s="13">
        <v>42696.598136574074</v>
      </c>
      <c r="F102" s="13">
        <v>42696.604525462964</v>
      </c>
      <c r="G102" s="7">
        <v>1</v>
      </c>
      <c r="H102" s="22" t="s">
        <v>320</v>
      </c>
      <c r="I102" s="13">
        <v>42696.62939814815</v>
      </c>
      <c r="J102" s="7">
        <v>0</v>
      </c>
      <c r="K102" s="109" t="str">
        <f t="shared" si="26"/>
        <v>4045/4046</v>
      </c>
      <c r="L102" s="22" t="str">
        <f>VLOOKUP(A102,'Trips&amp;Operators'!$C$1:$E$10000,3,FALSE)</f>
        <v>BARTLETT</v>
      </c>
      <c r="M102" s="6">
        <f t="shared" si="27"/>
        <v>2.4872685185982846E-2</v>
      </c>
      <c r="N102" s="7">
        <f t="shared" si="28"/>
        <v>35.816666667815298</v>
      </c>
      <c r="O102" s="7"/>
      <c r="P102" s="7"/>
      <c r="Q102" s="23"/>
      <c r="R102" s="23"/>
      <c r="S102" s="35">
        <f t="shared" si="25"/>
        <v>1</v>
      </c>
      <c r="T102" s="50" t="str">
        <f t="shared" si="29"/>
        <v>NorthBound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13:21:19-700',mode:absolute,to:'2016-11-22 16:06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2" s="52" t="str">
        <f t="shared" si="31"/>
        <v>N</v>
      </c>
      <c r="X102" s="177">
        <f t="shared" si="32"/>
        <v>1</v>
      </c>
      <c r="Y102" s="67">
        <f t="shared" si="33"/>
        <v>4.5499999999999999E-2</v>
      </c>
      <c r="Z102" s="67">
        <f t="shared" si="34"/>
        <v>23.3291</v>
      </c>
      <c r="AA102" s="67">
        <f t="shared" si="35"/>
        <v>23.2836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36"/>
        <v>0187-22</v>
      </c>
      <c r="AE102" s="91" t="str">
        <f t="shared" si="37"/>
        <v>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 &amp; 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</v>
      </c>
      <c r="AF102" s="88" t="str">
        <f t="shared" si="38"/>
        <v>"C:\Program Files (x86)\AstroGrep\AstroGrep.exe" /spath="%USERPROFILE%\AppData\Local\Temp\OnboardLogs" /stypes="app*4046*20161122*" /stext=" 22:.+((SYSTEM_STATE.+slice.+state.+changed )|(ment ac)|(system.+state.+changed )|(\[timeout)|(PRM\|1\|D)|(kpr)|(kdp)|(\|lc)|(penalty))" /e /r /s</v>
      </c>
      <c r="AG102" s="1" t="str">
        <f t="shared" si="39"/>
        <v>EC</v>
      </c>
      <c r="AH102" s="92" t="str">
        <f t="shared" si="40"/>
        <v>"%USERPROFILE%\Documents\GitHub\eaglep3\Utilities\RefineRTDCRunTimes.py" --tripid 187-22 --locoid 4046 --swversion DE.1.0.8.0 --startMP 204:455 --initTime 2016-11-22T14:21:19 --startdatetime 2016-11-22T14:30:31 --delay 1 --endMP 204:233291 --enddatetime 2016-11-22T15:06:20 --enforcementcount 0 &gt;&gt;C:\Users\stu\Documents\GitHub\eaglep3-reporting\EC\2016-11-22-refined-times.txt</v>
      </c>
      <c r="AI102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{"issue":{"subject":"","project_id":79,"tracker_id":40,"status_id":1,"priority_id":2,"assigned_to_id":23,"start_date":"2016-11-22","description":"","custom_fields":[{"id":1,"name":"Subdivision","value":"EC"},{"id":4,"name":"Milepost","value":"23.3291"},{"id":17,"name":"Train ID","value":"187-22"},{"id":16,"name":"Locomotive ID","value":"4046"},{"id":130,"name":"Impact","value":""},{"id":150,"name":"Time of Event (Mountain Time)","value":"15:06:20"},{"id":151,"name":"Denver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554</v>
      </c>
      <c r="B103" s="7">
        <v>4045</v>
      </c>
      <c r="C103" s="22" t="s">
        <v>217</v>
      </c>
      <c r="D103" s="22" t="s">
        <v>274</v>
      </c>
      <c r="E103" s="13">
        <v>42696.631689814814</v>
      </c>
      <c r="F103" s="13">
        <v>42696.643252314818</v>
      </c>
      <c r="G103" s="7">
        <v>1</v>
      </c>
      <c r="H103" s="22" t="s">
        <v>221</v>
      </c>
      <c r="I103" s="13">
        <v>42696.670405092591</v>
      </c>
      <c r="J103" s="7">
        <v>0</v>
      </c>
      <c r="K103" s="109" t="str">
        <f t="shared" si="26"/>
        <v>4045/4046</v>
      </c>
      <c r="L103" s="22" t="str">
        <f>VLOOKUP(A103,'Trips&amp;Operators'!$C$1:$E$10000,3,FALSE)</f>
        <v>BARTLETT</v>
      </c>
      <c r="M103" s="6">
        <f t="shared" si="27"/>
        <v>2.7152777773153502E-2</v>
      </c>
      <c r="N103" s="7">
        <f t="shared" si="28"/>
        <v>39.099999993341044</v>
      </c>
      <c r="O103" s="7"/>
      <c r="P103" s="7"/>
      <c r="Q103" s="23"/>
      <c r="R103" s="23"/>
      <c r="S103" s="35">
        <f t="shared" si="25"/>
        <v>1</v>
      </c>
      <c r="T103" s="50" t="str">
        <f t="shared" si="29"/>
        <v>Southbound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14:09:38-700',mode:absolute,to:'2016-11-22 17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3" s="52" t="str">
        <f t="shared" si="31"/>
        <v>N</v>
      </c>
      <c r="X103" s="177">
        <f t="shared" si="32"/>
        <v>1</v>
      </c>
      <c r="Y103" s="67">
        <f t="shared" si="33"/>
        <v>23.299600000000002</v>
      </c>
      <c r="Z103" s="67">
        <f t="shared" si="34"/>
        <v>1.5800000000000002E-2</v>
      </c>
      <c r="AA103" s="67">
        <f t="shared" si="35"/>
        <v>23.283800000000003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36"/>
        <v>0188-22</v>
      </c>
      <c r="AE103" s="91" t="str">
        <f t="shared" si="37"/>
        <v>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 &amp; aws s3 cp s3://rtdc.mdm.uploadarchive.raw/RTDC4045/ "%USERPROFILE%\AppData\Local\Temp\OnboardLogs"\RTDC4045\2016-11-23 --exclude "*" --recursive --include "*20161123*" &amp; "%USERPROFILE%\Documents\GitHub\mrs-test-scripts\Headless Mode &amp; Sideloading\WalkAndUnGZ.bat" "%USERPROFILE%\AppData\Local\Temp\OnboardLogs"\RTDC4045\2016-11-23</v>
      </c>
      <c r="AF103" s="88" t="str">
        <f t="shared" si="38"/>
        <v>"C:\Program Files (x86)\AstroGrep\AstroGrep.exe" /spath="%USERPROFILE%\AppData\Local\Temp\OnboardLogs" /stypes="app*4045*20161122*" /stext=" 23:.+((SYSTEM_STATE.+slice.+state.+changed )|(ment ac)|(system.+state.+changed )|(\[timeout)|(PRM\|1\|D)|(kpr)|(kdp)|(\|lc)|(penalty))" /e /r /s</v>
      </c>
      <c r="AG103" s="1" t="str">
        <f t="shared" si="39"/>
        <v>EC</v>
      </c>
      <c r="AH103" s="92" t="str">
        <f t="shared" si="40"/>
        <v>"%USERPROFILE%\Documents\GitHub\eaglep3\Utilities\RefineRTDCRunTimes.py" --tripid 188-22 --locoid 4045 --swversion DE.1.0.8.0 --startMP 204:232996 --initTime 2016-11-22T15:09:38 --startdatetime 2016-11-22T15:26:17 --delay 1 --endMP 204:158 --enddatetime 2016-11-22T16:05:23 --enforcementcount 0 &gt;&gt;C:\Users\stu\Documents\GitHub\eaglep3-reporting\EC\2016-11-22-refined-times.txt</v>
      </c>
      <c r="AI103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{"issue":{"subject":"","project_id":79,"tracker_id":40,"status_id":1,"priority_id":2,"assigned_to_id":23,"start_date":"2016-11-22","description":"","custom_fields":[{"id":1,"name":"Subdivision","value":"EC"},{"id":4,"name":"Milepost","value":"0.0158"},{"id":17,"name":"Train ID","value":"188-22"},{"id":16,"name":"Locomotive ID","value":"4045"},{"id":130,"name":"Impact","value":""},{"id":150,"name":"Time of Event (Mountain Time)","value":"16:05:23"},{"id":151,"name":"Denver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549</v>
      </c>
      <c r="B104" s="7">
        <v>4038</v>
      </c>
      <c r="C104" s="22" t="s">
        <v>217</v>
      </c>
      <c r="D104" s="22" t="s">
        <v>278</v>
      </c>
      <c r="E104" s="13">
        <v>42696.610266203701</v>
      </c>
      <c r="F104" s="13">
        <v>42696.614803240744</v>
      </c>
      <c r="G104" s="7">
        <v>2</v>
      </c>
      <c r="H104" s="22" t="s">
        <v>680</v>
      </c>
      <c r="I104" s="13">
        <v>42696.639826388891</v>
      </c>
      <c r="J104" s="7">
        <v>0</v>
      </c>
      <c r="K104" s="109" t="str">
        <f t="shared" si="26"/>
        <v>4037/4038</v>
      </c>
      <c r="L104" s="22" t="str">
        <f>VLOOKUP(A104,'Trips&amp;Operators'!$C$1:$E$10000,3,FALSE)</f>
        <v>STEWART</v>
      </c>
      <c r="M104" s="6">
        <f t="shared" si="27"/>
        <v>2.5023148147738539E-2</v>
      </c>
      <c r="N104" s="7">
        <f t="shared" si="28"/>
        <v>36.033333332743496</v>
      </c>
      <c r="O104" s="7"/>
      <c r="P104" s="7"/>
      <c r="Q104" s="23"/>
      <c r="R104" s="23"/>
      <c r="S104" s="35">
        <f t="shared" si="25"/>
        <v>1</v>
      </c>
      <c r="T104" s="50" t="str">
        <f t="shared" si="29"/>
        <v>NorthBound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13:38:47-700',mode:absolute,to:'2016-11-22 16:21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04" s="52" t="str">
        <f t="shared" si="31"/>
        <v>N</v>
      </c>
      <c r="X104" s="177">
        <f t="shared" si="32"/>
        <v>1</v>
      </c>
      <c r="Y104" s="67">
        <f t="shared" si="33"/>
        <v>4.6699999999999998E-2</v>
      </c>
      <c r="Z104" s="67">
        <f t="shared" si="34"/>
        <v>23.328700000000001</v>
      </c>
      <c r="AA104" s="67">
        <f t="shared" si="35"/>
        <v>23.282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36"/>
        <v>0189-22</v>
      </c>
      <c r="AE104" s="91" t="str">
        <f t="shared" si="37"/>
        <v>aws s3 cp s3://rtdc.mdm.uploadarchive.raw/RTDC4038/ "%USERPROFILE%\AppData\Local\Temp\OnboardLogs"\RTDC4038\2016-11-22 --exclude "*" --recursive --include "*20161122*" &amp; "%USERPROFILE%\Documents\GitHub\mrs-test-scripts\Headless Mode &amp; Sideloading\WalkAndUnGZ.bat" "%USERPROFILE%\AppData\Local\Temp\OnboardLogs"\RTDC4038\2016-11-22 &amp; aws s3 cp s3://rtdc.mdm.uploadarchive.raw/RTDC4038/ "%USERPROFILE%\AppData\Local\Temp\OnboardLogs"\RTDC4038\2016-11-23 --exclude "*" --recursive --include "*20161123*" &amp; "%USERPROFILE%\Documents\GitHub\mrs-test-scripts\Headless Mode &amp; Sideloading\WalkAndUnGZ.bat" "%USERPROFILE%\AppData\Local\Temp\OnboardLogs"\RTDC4038\2016-11-23</v>
      </c>
      <c r="AF104" s="88" t="str">
        <f t="shared" si="38"/>
        <v>"C:\Program Files (x86)\AstroGrep\AstroGrep.exe" /spath="%USERPROFILE%\AppData\Local\Temp\OnboardLogs" /stypes="app*4038*20161122*" /stext=" 22:.+((SYSTEM_STATE.+slice.+state.+changed )|(ment ac)|(system.+state.+changed )|(\[timeout)|(PRM\|1\|D)|(kpr)|(kdp)|(\|lc)|(penalty))" /e /r /s</v>
      </c>
      <c r="AG104" s="1" t="str">
        <f t="shared" si="39"/>
        <v>EC</v>
      </c>
      <c r="AH104" s="92" t="str">
        <f t="shared" si="40"/>
        <v>"%USERPROFILE%\Documents\GitHub\eaglep3\Utilities\RefineRTDCRunTimes.py" --tripid 189-22 --locoid 4038 --swversion DE.1.0.8.0 --startMP 204:467 --initTime 2016-11-22T14:38:47 --startdatetime 2016-11-22T14:45:19 --delay 2 --endMP 204:233287 --enddatetime 2016-11-22T15:21:21 --enforcementcount 0 &gt;&gt;C:\Users\stu\Documents\GitHub\eaglep3-reporting\EC\2016-11-22-refined-times.txt</v>
      </c>
      <c r="AI104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{"issue":{"subject":"","project_id":79,"tracker_id":40,"status_id":1,"priority_id":2,"assigned_to_id":23,"start_date":"2016-11-22","description":"","custom_fields":[{"id":1,"name":"Subdivision","value":"EC"},{"id":4,"name":"Milepost","value":"23.3287"},{"id":17,"name":"Train ID","value":"189-22"},{"id":16,"name":"Locomotive ID","value":"4038"},{"id":130,"name":"Impact","value":""},{"id":150,"name":"Time of Event (Mountain Time)","value":"15:21:21"},{"id":151,"name":"Denver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559</v>
      </c>
      <c r="B105" s="7">
        <v>4037</v>
      </c>
      <c r="C105" s="22" t="s">
        <v>217</v>
      </c>
      <c r="D105" s="22" t="s">
        <v>210</v>
      </c>
      <c r="E105" s="13">
        <v>42696.651192129626</v>
      </c>
      <c r="F105" s="13">
        <v>42696.653680555559</v>
      </c>
      <c r="G105" s="7">
        <v>1</v>
      </c>
      <c r="H105" s="22" t="s">
        <v>296</v>
      </c>
      <c r="I105" s="13">
        <v>42696.680358796293</v>
      </c>
      <c r="J105" s="7">
        <v>0</v>
      </c>
      <c r="K105" s="109" t="str">
        <f t="shared" si="26"/>
        <v>4037/4038</v>
      </c>
      <c r="L105" s="22" t="str">
        <f>VLOOKUP(A105,'Trips&amp;Operators'!$C$1:$E$10000,3,FALSE)</f>
        <v>STEWART</v>
      </c>
      <c r="M105" s="6">
        <f t="shared" si="27"/>
        <v>2.6678240734327119E-2</v>
      </c>
      <c r="N105" s="7">
        <f t="shared" si="28"/>
        <v>38.416666657431051</v>
      </c>
      <c r="O105" s="7"/>
      <c r="P105" s="7"/>
      <c r="Q105" s="23"/>
      <c r="R105" s="23"/>
      <c r="S105" s="35">
        <f t="shared" si="25"/>
        <v>1</v>
      </c>
      <c r="T105" s="50" t="str">
        <f t="shared" si="29"/>
        <v>Southbound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14:37:43-700',mode:absolute,to:'2016-11-22 17:19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05" s="52" t="str">
        <f t="shared" si="31"/>
        <v>N</v>
      </c>
      <c r="X105" s="177">
        <f t="shared" si="32"/>
        <v>1</v>
      </c>
      <c r="Y105" s="67">
        <f t="shared" si="33"/>
        <v>23.297699999999999</v>
      </c>
      <c r="Z105" s="67">
        <f t="shared" si="34"/>
        <v>1.61E-2</v>
      </c>
      <c r="AA105" s="67">
        <f t="shared" si="35"/>
        <v>23.281599999999997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36"/>
        <v>0190-22</v>
      </c>
      <c r="AE105" s="91" t="str">
        <f t="shared" si="37"/>
        <v>aws s3 cp s3://rtdc.mdm.uploadarchive.raw/RTDC4037/ "%USERPROFILE%\AppData\Local\Temp\OnboardLogs"\RTDC4037\2016-11-22 --exclude "*" --recursive --include "*20161122*" &amp; "%USERPROFILE%\Documents\GitHub\mrs-test-scripts\Headless Mode &amp; Sideloading\WalkAndUnGZ.bat" "%USERPROFILE%\AppData\Local\Temp\OnboardLogs"\RTDC4037\2016-11-22 &amp; aws s3 cp s3://rtdc.mdm.uploadarchive.raw/RTDC4037/ "%USERPROFILE%\AppData\Local\Temp\OnboardLogs"\RTDC4037\2016-11-23 --exclude "*" --recursive --include "*20161123*" &amp; "%USERPROFILE%\Documents\GitHub\mrs-test-scripts\Headless Mode &amp; Sideloading\WalkAndUnGZ.bat" "%USERPROFILE%\AppData\Local\Temp\OnboardLogs"\RTDC4037\2016-11-23</v>
      </c>
      <c r="AF105" s="88" t="str">
        <f t="shared" si="38"/>
        <v>"C:\Program Files (x86)\AstroGrep\AstroGrep.exe" /spath="%USERPROFILE%\AppData\Local\Temp\OnboardLogs" /stypes="app*4037*20161122*" /stext=" 23:.+((SYSTEM_STATE.+slice.+state.+changed )|(ment ac)|(system.+state.+changed )|(\[timeout)|(PRM\|1\|D)|(kpr)|(kdp)|(\|lc)|(penalty))" /e /r /s</v>
      </c>
      <c r="AG105" s="1" t="str">
        <f t="shared" si="39"/>
        <v>EC</v>
      </c>
      <c r="AH105" s="92" t="str">
        <f t="shared" si="40"/>
        <v>"%USERPROFILE%\Documents\GitHub\eaglep3\Utilities\RefineRTDCRunTimes.py" --tripid 190-22 --locoid 4037 --swversion DE.1.0.8.0 --startMP 204:232977 --initTime 2016-11-22T15:37:43 --startdatetime 2016-11-22T15:41:18 --delay 1 --endMP 204:161 --enddatetime 2016-11-22T16:19:43 --enforcementcount 0 &gt;&gt;C:\Users\stu\Documents\GitHub\eaglep3-reporting\EC\2016-11-22-refined-times.txt</v>
      </c>
      <c r="AI105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{"issue":{"subject":"","project_id":79,"tracker_id":40,"status_id":1,"priority_id":2,"assigned_to_id":23,"start_date":"2016-11-22","description":"","custom_fields":[{"id":1,"name":"Subdivision","value":"EC"},{"id":4,"name":"Milepost","value":"0.0161"},{"id":17,"name":"Train ID","value":"190-22"},{"id":16,"name":"Locomotive ID","value":"4037"},{"id":130,"name":"Impact","value":""},{"id":150,"name":"Time of Event (Mountain Time)","value":"16:19:43"},{"id":151,"name":"Denver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551</v>
      </c>
      <c r="B106" s="7">
        <v>4002</v>
      </c>
      <c r="C106" s="22" t="s">
        <v>217</v>
      </c>
      <c r="D106" s="22" t="s">
        <v>681</v>
      </c>
      <c r="E106" s="13">
        <v>42696.63113425926</v>
      </c>
      <c r="F106" s="13">
        <v>42696.632407407407</v>
      </c>
      <c r="G106" s="7">
        <v>1</v>
      </c>
      <c r="H106" s="22" t="s">
        <v>682</v>
      </c>
      <c r="I106" s="13">
        <v>42696.65697916667</v>
      </c>
      <c r="J106" s="7">
        <v>0</v>
      </c>
      <c r="K106" s="109" t="str">
        <f t="shared" si="26"/>
        <v>4001/4002</v>
      </c>
      <c r="L106" s="22" t="str">
        <f>VLOOKUP(A106,'Trips&amp;Operators'!$C$1:$E$10000,3,FALSE)</f>
        <v>HELVIE</v>
      </c>
      <c r="M106" s="6">
        <f t="shared" si="27"/>
        <v>2.457175926247146E-2</v>
      </c>
      <c r="N106" s="7"/>
      <c r="O106" s="7"/>
      <c r="P106" s="7">
        <f>24*60*SUM($M106:$M107)</f>
        <v>35.383333337958902</v>
      </c>
      <c r="Q106" s="23"/>
      <c r="R106" s="23" t="s">
        <v>407</v>
      </c>
      <c r="S106" s="35">
        <f>SUM(U106:U107)/IF(AG106="EC",12,1)</f>
        <v>1</v>
      </c>
      <c r="T106" s="50" t="str">
        <f t="shared" si="29"/>
        <v>NorthBound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14:08:50-700',mode:absolute,to:'2016-11-22 16:46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6" s="52" t="str">
        <f t="shared" si="31"/>
        <v>Y</v>
      </c>
      <c r="X106" s="177">
        <f t="shared" si="32"/>
        <v>1</v>
      </c>
      <c r="Y106" s="67">
        <f t="shared" si="33"/>
        <v>1.9125000000000001</v>
      </c>
      <c r="Z106" s="67">
        <f t="shared" si="34"/>
        <v>23.327000000000002</v>
      </c>
      <c r="AA106" s="67">
        <f t="shared" si="35"/>
        <v>21.4145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36"/>
        <v>0191-22</v>
      </c>
      <c r="AE106" s="91" t="str">
        <f t="shared" si="37"/>
        <v>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 &amp; aws s3 cp s3://rtdc.mdm.uploadarchive.raw/RTDC4002/ "%USERPROFILE%\AppData\Local\Temp\OnboardLogs"\RTDC4002\2016-11-23 --exclude "*" --recursive --include "*20161123*" &amp; "%USERPROFILE%\Documents\GitHub\mrs-test-scripts\Headless Mode &amp; Sideloading\WalkAndUnGZ.bat" "%USERPROFILE%\AppData\Local\Temp\OnboardLogs"\RTDC4002\2016-11-23</v>
      </c>
      <c r="AF106" s="88" t="str">
        <f t="shared" si="38"/>
        <v>"C:\Program Files (x86)\AstroGrep\AstroGrep.exe" /spath="%USERPROFILE%\AppData\Local\Temp\OnboardLogs" /stypes="app*4002*20161122*" /stext=" 22:.+((SYSTEM_STATE.+slice.+state.+changed )|(ment ac)|(system.+state.+changed )|(\[timeout)|(PRM\|1\|D)|(kpr)|(kdp)|(\|lc)|(penalty))" /e /r /s</v>
      </c>
      <c r="AG106" s="1" t="str">
        <f t="shared" si="39"/>
        <v>EC</v>
      </c>
      <c r="AH106" s="92" t="str">
        <f t="shared" si="40"/>
        <v>"%USERPROFILE%\Documents\GitHub\eaglep3\Utilities\RefineRTDCRunTimes.py" --tripid 191-22 --locoid 4002 --swversion DE.1.0.8.0 --startMP 204:19125 --initTime 2016-11-22T15:08:50 --startdatetime 2016-11-22T15:10:40 --delay 1 --endMP 204:233270 --enddatetime 2016-11-22T15:46:03 --enforcementcount 0 &gt;&gt;C:\Users\stu\Documents\GitHub\eaglep3-reporting\EC\2016-11-22-refined-times.txt</v>
      </c>
      <c r="AI106" s="119" t="str">
        <f t="shared" si="41"/>
        <v>echo {"issue":{"subject":"Onboard in-route failure","project_id":79,"tracker_id":40,"status_id":1,"priority_id":2,"assigned_to_id":23,"start_date":"2016-11-22","description":"","custom_fields":[{"id":1,"name":"Subdivision","value":"EC"},{"id":4,"name":"Milepost","value":"23.327"},{"id":17,"name":"Train ID","value":"191-22"},{"id":16,"name":"Locomotive ID","value":"4002"},{"id":130,"name":"Impact","value":""},{"id":150,"name":"Time of Event (Mountain Time)","value":"15:46:03"},{"id":151,"name":"Denver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551</v>
      </c>
      <c r="B107" s="7">
        <v>4002</v>
      </c>
      <c r="C107" s="22" t="s">
        <v>217</v>
      </c>
      <c r="D107" s="22" t="s">
        <v>289</v>
      </c>
      <c r="E107" s="13">
        <v>42696.622731481482</v>
      </c>
      <c r="F107" s="13">
        <v>42696.624722222223</v>
      </c>
      <c r="G107" s="7">
        <v>2</v>
      </c>
      <c r="H107" s="22" t="s">
        <v>198</v>
      </c>
      <c r="I107" s="13">
        <v>42696.624224537038</v>
      </c>
      <c r="J107" s="7">
        <v>0</v>
      </c>
      <c r="K107" s="109" t="str">
        <f t="shared" si="26"/>
        <v>4001/4002</v>
      </c>
      <c r="L107" s="22" t="str">
        <f>VLOOKUP(A107,'Trips&amp;Operators'!$C$1:$E$10000,3,FALSE)</f>
        <v>HELVIE</v>
      </c>
      <c r="M107" s="6"/>
      <c r="N107" s="7"/>
      <c r="O107" s="7"/>
      <c r="P107" s="7"/>
      <c r="Q107" s="23"/>
      <c r="R107" s="23"/>
      <c r="S107" s="35"/>
      <c r="T107" s="50" t="str">
        <f t="shared" si="29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0</v>
      </c>
      <c r="V107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13:56:44-700',mode:absolute,to:'2016-11-22 15:58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7" s="52" t="str">
        <f t="shared" si="31"/>
        <v>Y</v>
      </c>
      <c r="X107" s="177">
        <f t="shared" si="32"/>
        <v>0</v>
      </c>
      <c r="Y107" s="67">
        <f t="shared" si="33"/>
        <v>4.4600000000000001E-2</v>
      </c>
      <c r="Z107" s="67">
        <f t="shared" si="34"/>
        <v>4.4699999999999997E-2</v>
      </c>
      <c r="AA107" s="67">
        <f t="shared" si="35"/>
        <v>9.9999999999995925E-5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 t="shared" si="36"/>
        <v>0191-22</v>
      </c>
      <c r="AE107" s="91" t="str">
        <f t="shared" si="37"/>
        <v>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 &amp; aws s3 cp s3://rtdc.mdm.uploadarchive.raw/RTDC4002/ "%USERPROFILE%\AppData\Local\Temp\OnboardLogs"\RTDC4002\2016-11-23 --exclude "*" --recursive --include "*20161123*" &amp; "%USERPROFILE%\Documents\GitHub\mrs-test-scripts\Headless Mode &amp; Sideloading\WalkAndUnGZ.bat" "%USERPROFILE%\AppData\Local\Temp\OnboardLogs"\RTDC4002\2016-11-23</v>
      </c>
      <c r="AF107" s="88" t="str">
        <f t="shared" si="38"/>
        <v>"C:\Program Files (x86)\AstroGrep\AstroGrep.exe" /spath="%USERPROFILE%\AppData\Local\Temp\OnboardLogs" /stypes="app*4002*20161122*" /stext=" 21:.+((SYSTEM_STATE.+slice.+state.+changed )|(ment ac)|(system.+state.+changed )|(\[timeout)|(PRM\|1\|D)|(kpr)|(kdp)|(\|lc)|(penalty))" /e /r /s</v>
      </c>
      <c r="AG107" s="1" t="str">
        <f t="shared" si="39"/>
        <v>EC</v>
      </c>
      <c r="AH107" s="92" t="str">
        <f t="shared" si="40"/>
        <v>"%USERPROFILE%\Documents\GitHub\eaglep3\Utilities\RefineRTDCRunTimes.py" --tripid 191-22 --locoid 4002 --swversion DE.1.0.8.0 --startMP 204:446 --initTime 2016-11-22T14:56:44 --startdatetime 2016-11-22T14:59:36 --delay 2 --endMP 204:447 --enddatetime 2016-11-22T14:58:53 --enforcementcount 0 &gt;&gt;C:\Users\stu\Documents\GitHub\eaglep3-reporting\EC\2016-11-22-refined-times.txt</v>
      </c>
      <c r="AI107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{"issue":{"subject":"","project_id":79,"tracker_id":40,"status_id":1,"priority_id":2,"assigned_to_id":23,"start_date":"2016-11-22","description":"","custom_fields":[{"id":1,"name":"Subdivision","value":"EC"},{"id":4,"name":"Milepost","value":"0.0447"},{"id":17,"name":"Train ID","value":"191-22"},{"id":16,"name":"Locomotive ID","value":"4002"},{"id":130,"name":"Impact","value":""},{"id":150,"name":"Time of Event (Mountain Time)","value":"14:58:53"},{"id":151,"name":"Denver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7" t="s">
        <v>562</v>
      </c>
      <c r="B108" s="7">
        <v>4001</v>
      </c>
      <c r="C108" s="22" t="s">
        <v>217</v>
      </c>
      <c r="D108" s="22" t="s">
        <v>302</v>
      </c>
      <c r="E108" s="13">
        <v>42696.660844907405</v>
      </c>
      <c r="F108" s="13">
        <v>42696.664293981485</v>
      </c>
      <c r="G108" s="7">
        <v>1</v>
      </c>
      <c r="H108" s="22" t="s">
        <v>251</v>
      </c>
      <c r="I108" s="13">
        <v>42696.690694444442</v>
      </c>
      <c r="J108" s="7">
        <v>0</v>
      </c>
      <c r="K108" s="109" t="str">
        <f t="shared" si="26"/>
        <v>4001/4002</v>
      </c>
      <c r="L108" s="22" t="str">
        <f>VLOOKUP(A108,'Trips&amp;Operators'!$C$1:$E$10000,3,FALSE)</f>
        <v>HELVIE</v>
      </c>
      <c r="M108" s="6">
        <f t="shared" ref="M108:M139" si="42">I108-F108</f>
        <v>2.640046295709908E-2</v>
      </c>
      <c r="N108" s="7">
        <f t="shared" ref="N108:N116" si="43">24*60*SUM($M108:$M108)</f>
        <v>38.016666658222675</v>
      </c>
      <c r="O108" s="7"/>
      <c r="P108" s="7"/>
      <c r="Q108" s="23"/>
      <c r="R108" s="23"/>
      <c r="S108" s="35">
        <f t="shared" ref="S108:S116" si="44">SUM(U108:U108)/IF(AG108="EC",12,1)</f>
        <v>1</v>
      </c>
      <c r="T108" s="50" t="str">
        <f t="shared" si="29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14:51:37-700',mode:absolute,to:'2016-11-22 17:34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8" s="52" t="str">
        <f t="shared" si="31"/>
        <v>N</v>
      </c>
      <c r="X108" s="177">
        <f t="shared" si="32"/>
        <v>1</v>
      </c>
      <c r="Y108" s="67">
        <f t="shared" si="33"/>
        <v>23.2973</v>
      </c>
      <c r="Z108" s="67">
        <f t="shared" si="34"/>
        <v>1.54E-2</v>
      </c>
      <c r="AA108" s="67">
        <f t="shared" si="35"/>
        <v>23.2819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36"/>
        <v>0192-22</v>
      </c>
      <c r="AE108" s="91" t="str">
        <f t="shared" si="37"/>
        <v>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 &amp; aws s3 cp s3://rtdc.mdm.uploadarchive.raw/RTDC4001/ "%USERPROFILE%\AppData\Local\Temp\OnboardLogs"\RTDC4001\2016-11-23 --exclude "*" --recursive --include "*20161123*" &amp; "%USERPROFILE%\Documents\GitHub\mrs-test-scripts\Headless Mode &amp; Sideloading\WalkAndUnGZ.bat" "%USERPROFILE%\AppData\Local\Temp\OnboardLogs"\RTDC4001\2016-11-23</v>
      </c>
      <c r="AF108" s="88" t="str">
        <f t="shared" si="38"/>
        <v>"C:\Program Files (x86)\AstroGrep\AstroGrep.exe" /spath="%USERPROFILE%\AppData\Local\Temp\OnboardLogs" /stypes="app*4001*20161122*" /stext=" 23:.+((SYSTEM_STATE.+slice.+state.+changed )|(ment ac)|(system.+state.+changed )|(\[timeout)|(PRM\|1\|D)|(kpr)|(kdp)|(\|lc)|(penalty))" /e /r /s</v>
      </c>
      <c r="AG108" s="1" t="str">
        <f t="shared" si="39"/>
        <v>EC</v>
      </c>
      <c r="AH108" s="92" t="str">
        <f t="shared" si="40"/>
        <v>"%USERPROFILE%\Documents\GitHub\eaglep3\Utilities\RefineRTDCRunTimes.py" --tripid 192-22 --locoid 4001 --swversion DE.1.0.8.0 --startMP 204:232973 --initTime 2016-11-22T15:51:37 --startdatetime 2016-11-22T15:56:35 --delay 1 --endMP 204:154 --enddatetime 2016-11-22T16:34:36 --enforcementcount 0 &gt;&gt;C:\Users\stu\Documents\GitHub\eaglep3-reporting\EC\2016-11-22-refined-times.txt</v>
      </c>
      <c r="AI108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{"issue":{"subject":"","project_id":79,"tracker_id":40,"status_id":1,"priority_id":2,"assigned_to_id":23,"start_date":"2016-11-22","description":"","custom_fields":[{"id":1,"name":"Subdivision","value":"EC"},{"id":4,"name":"Milepost","value":"0.0154"},{"id":17,"name":"Train ID","value":"192-22"},{"id":16,"name":"Locomotive ID","value":"4001"},{"id":130,"name":"Impact","value":""},{"id":150,"name":"Time of Event (Mountain Time)","value":"16:34:36"},{"id":151,"name":"Denver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</row>
    <row r="109" spans="1:91" s="21" customFormat="1" x14ac:dyDescent="0.25">
      <c r="A109" s="37" t="s">
        <v>553</v>
      </c>
      <c r="B109" s="7">
        <v>4027</v>
      </c>
      <c r="C109" s="22" t="s">
        <v>217</v>
      </c>
      <c r="D109" s="22" t="s">
        <v>379</v>
      </c>
      <c r="E109" s="13">
        <v>42696.629918981482</v>
      </c>
      <c r="F109" s="13">
        <v>42696.635694444441</v>
      </c>
      <c r="G109" s="7">
        <v>1</v>
      </c>
      <c r="H109" s="22" t="s">
        <v>365</v>
      </c>
      <c r="I109" s="13">
        <v>42696.660960648151</v>
      </c>
      <c r="J109" s="7">
        <v>0</v>
      </c>
      <c r="K109" s="109" t="str">
        <f t="shared" si="26"/>
        <v>4027/4028</v>
      </c>
      <c r="L109" s="22" t="str">
        <f>VLOOKUP(A109,'Trips&amp;Operators'!$C$1:$E$10000,3,FALSE)</f>
        <v>PERKINS</v>
      </c>
      <c r="M109" s="6">
        <f t="shared" si="42"/>
        <v>2.5266203709179536E-2</v>
      </c>
      <c r="N109" s="7">
        <f t="shared" si="43"/>
        <v>36.383333341218531</v>
      </c>
      <c r="O109" s="7"/>
      <c r="P109" s="7"/>
      <c r="Q109" s="23"/>
      <c r="R109" s="23"/>
      <c r="S109" s="35">
        <f t="shared" si="44"/>
        <v>1</v>
      </c>
      <c r="T109" s="50" t="str">
        <f t="shared" si="29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14:07:05-700',mode:absolute,to:'2016-11-22 16:51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09" s="52" t="str">
        <f t="shared" si="31"/>
        <v>N</v>
      </c>
      <c r="X109" s="177">
        <f t="shared" ref="X109:X140" si="45">VALUE(LEFT(AD109,4))-VALUE(LEFT(AD108,4))</f>
        <v>1</v>
      </c>
      <c r="Y109" s="67">
        <f t="shared" ref="Y109:Y140" si="46">RIGHT(D109,LEN(D109)-4)/10000</f>
        <v>4.3299999999999998E-2</v>
      </c>
      <c r="Z109" s="67">
        <f t="shared" ref="Z109:Z140" si="47">RIGHT(H109,LEN(H109)-4)/10000</f>
        <v>23.3306</v>
      </c>
      <c r="AA109" s="67">
        <f t="shared" si="35"/>
        <v>23.287300000000002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36"/>
        <v>0193-22</v>
      </c>
      <c r="AE109" s="91" t="str">
        <f t="shared" si="37"/>
        <v>aws s3 cp s3://rtdc.mdm.uploadarchive.raw/RTDC4027/ "%USERPROFILE%\AppData\Local\Temp\OnboardLogs"\RTDC4027\2016-11-22 --exclude "*" --recursive --include "*20161122*" &amp; "%USERPROFILE%\Documents\GitHub\mrs-test-scripts\Headless Mode &amp; Sideloading\WalkAndUnGZ.bat" "%USERPROFILE%\AppData\Local\Temp\OnboardLogs"\RTDC4027\2016-11-22 &amp; aws s3 cp s3://rtdc.mdm.uploadarchive.raw/RTDC4027/ "%USERPROFILE%\AppData\Local\Temp\OnboardLogs"\RTDC4027\2016-11-23 --exclude "*" --recursive --include "*20161123*" &amp; "%USERPROFILE%\Documents\GitHub\mrs-test-scripts\Headless Mode &amp; Sideloading\WalkAndUnGZ.bat" "%USERPROFILE%\AppData\Local\Temp\OnboardLogs"\RTDC4027\2016-11-23</v>
      </c>
      <c r="AF109" s="88" t="str">
        <f t="shared" si="38"/>
        <v>"C:\Program Files (x86)\AstroGrep\AstroGrep.exe" /spath="%USERPROFILE%\AppData\Local\Temp\OnboardLogs" /stypes="app*4027*20161122*" /stext=" 22:.+((SYSTEM_STATE.+slice.+state.+changed )|(ment ac)|(system.+state.+changed )|(\[timeout)|(PRM\|1\|D)|(kpr)|(kdp)|(\|lc)|(penalty))" /e /r /s</v>
      </c>
      <c r="AG109" s="1" t="str">
        <f t="shared" si="39"/>
        <v>EC</v>
      </c>
      <c r="AH109" s="92" t="str">
        <f t="shared" si="40"/>
        <v>"%USERPROFILE%\Documents\GitHub\eaglep3\Utilities\RefineRTDCRunTimes.py" --tripid 193-22 --locoid 4027 --swversion DE.1.0.8.0 --startMP 204:433 --initTime 2016-11-22T15:07:05 --startdatetime 2016-11-22T15:15:24 --delay 1 --endMP 204:233306 --enddatetime 2016-11-22T15:51:47 --enforcementcount 0 &gt;&gt;C:\Users\stu\Documents\GitHub\eaglep3-reporting\EC\2016-11-22-refined-times.txt</v>
      </c>
      <c r="AI109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{"issue":{"subject":"","project_id":79,"tracker_id":40,"status_id":1,"priority_id":2,"assigned_to_id":23,"start_date":"2016-11-22","description":"","custom_fields":[{"id":1,"name":"Subdivision","value":"EC"},{"id":4,"name":"Milepost","value":"23.3306"},{"id":17,"name":"Train ID","value":"193-22"},{"id":16,"name":"Locomotive ID","value":"4027"},{"id":130,"name":"Impact","value":""},{"id":150,"name":"Time of Event (Mountain Time)","value":"15:51:47"},{"id":151,"name":"Denver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564</v>
      </c>
      <c r="B110" s="7">
        <v>4028</v>
      </c>
      <c r="C110" s="22" t="s">
        <v>217</v>
      </c>
      <c r="D110" s="22" t="s">
        <v>277</v>
      </c>
      <c r="E110" s="13">
        <v>42696.665752314817</v>
      </c>
      <c r="F110" s="13">
        <v>42696.674537037034</v>
      </c>
      <c r="G110" s="7">
        <v>1</v>
      </c>
      <c r="H110" s="22" t="s">
        <v>314</v>
      </c>
      <c r="I110" s="13">
        <v>42696.700995370367</v>
      </c>
      <c r="J110" s="7">
        <v>0</v>
      </c>
      <c r="K110" s="109" t="str">
        <f t="shared" si="26"/>
        <v>4027/4028</v>
      </c>
      <c r="L110" s="22" t="str">
        <f>VLOOKUP(A110,'Trips&amp;Operators'!$C$1:$E$10000,3,FALSE)</f>
        <v>PERKINS</v>
      </c>
      <c r="M110" s="6">
        <f t="shared" si="42"/>
        <v>2.6458333333721384E-2</v>
      </c>
      <c r="N110" s="7">
        <f t="shared" si="43"/>
        <v>38.100000000558794</v>
      </c>
      <c r="O110" s="7"/>
      <c r="P110" s="7"/>
      <c r="Q110" s="23"/>
      <c r="R110" s="23"/>
      <c r="S110" s="35">
        <f t="shared" si="44"/>
        <v>1</v>
      </c>
      <c r="T110" s="50" t="str">
        <f t="shared" si="29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14:58:41-700',mode:absolute,to:'2016-11-22 17:49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10" s="52" t="str">
        <f t="shared" si="31"/>
        <v>N</v>
      </c>
      <c r="X110" s="177">
        <f t="shared" si="45"/>
        <v>1</v>
      </c>
      <c r="Y110" s="67">
        <f t="shared" si="46"/>
        <v>23.299299999999999</v>
      </c>
      <c r="Z110" s="67">
        <f t="shared" si="47"/>
        <v>1.3899999999999999E-2</v>
      </c>
      <c r="AA110" s="67">
        <f t="shared" si="35"/>
        <v>23.285399999999999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36"/>
        <v>0194-22</v>
      </c>
      <c r="AE110" s="91" t="str">
        <f t="shared" si="37"/>
        <v>aws s3 cp s3://rtdc.mdm.uploadarchive.raw/RTDC4028/ "%USERPROFILE%\AppData\Local\Temp\OnboardLogs"\RTDC4028\2016-11-22 --exclude "*" --recursive --include "*20161122*" &amp; "%USERPROFILE%\Documents\GitHub\mrs-test-scripts\Headless Mode &amp; Sideloading\WalkAndUnGZ.bat" "%USERPROFILE%\AppData\Local\Temp\OnboardLogs"\RTDC4028\2016-11-22 &amp; aws s3 cp s3://rtdc.mdm.uploadarchive.raw/RTDC4028/ "%USERPROFILE%\AppData\Local\Temp\OnboardLogs"\RTDC4028\2016-11-23 --exclude "*" --recursive --include "*20161123*" &amp; "%USERPROFILE%\Documents\GitHub\mrs-test-scripts\Headless Mode &amp; Sideloading\WalkAndUnGZ.bat" "%USERPROFILE%\AppData\Local\Temp\OnboardLogs"\RTDC4028\2016-11-23</v>
      </c>
      <c r="AF110" s="88" t="str">
        <f t="shared" si="38"/>
        <v>"C:\Program Files (x86)\AstroGrep\AstroGrep.exe" /spath="%USERPROFILE%\AppData\Local\Temp\OnboardLogs" /stypes="app*4028*20161122*" /stext=" 23:.+((SYSTEM_STATE.+slice.+state.+changed )|(ment ac)|(system.+state.+changed )|(\[timeout)|(PRM\|1\|D)|(kpr)|(kdp)|(\|lc)|(penalty))" /e /r /s</v>
      </c>
      <c r="AG110" s="1" t="str">
        <f t="shared" si="39"/>
        <v>EC</v>
      </c>
      <c r="AH110" s="92" t="str">
        <f t="shared" si="40"/>
        <v>"%USERPROFILE%\Documents\GitHub\eaglep3\Utilities\RefineRTDCRunTimes.py" --tripid 194-22 --locoid 4028 --swversion DE.1.0.8.0 --startMP 204:232993 --initTime 2016-11-22T15:58:41 --startdatetime 2016-11-22T16:11:20 --delay 1 --endMP 204:139 --enddatetime 2016-11-22T16:49:26 --enforcementcount 0 &gt;&gt;C:\Users\stu\Documents\GitHub\eaglep3-reporting\EC\2016-11-22-refined-times.txt</v>
      </c>
      <c r="AI110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{"issue":{"subject":"","project_id":79,"tracker_id":40,"status_id":1,"priority_id":2,"assigned_to_id":23,"start_date":"2016-11-22","description":"","custom_fields":[{"id":1,"name":"Subdivision","value":"EC"},{"id":4,"name":"Milepost","value":"0.0139"},{"id":17,"name":"Train ID","value":"194-22"},{"id":16,"name":"Locomotive ID","value":"4028"},{"id":130,"name":"Impact","value":""},{"id":150,"name":"Time of Event (Mountain Time)","value":"16:49:26"},{"id":151,"name":"Denver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556</v>
      </c>
      <c r="B111" s="7">
        <v>4011</v>
      </c>
      <c r="C111" s="22" t="s">
        <v>217</v>
      </c>
      <c r="D111" s="22" t="s">
        <v>267</v>
      </c>
      <c r="E111" s="13">
        <v>42696.641909722224</v>
      </c>
      <c r="F111" s="13">
        <v>42696.646145833336</v>
      </c>
      <c r="G111" s="7">
        <v>1</v>
      </c>
      <c r="H111" s="22" t="s">
        <v>682</v>
      </c>
      <c r="I111" s="13">
        <v>42696.673148148147</v>
      </c>
      <c r="J111" s="7">
        <v>0</v>
      </c>
      <c r="K111" s="109" t="str">
        <f t="shared" si="26"/>
        <v>4011/4012</v>
      </c>
      <c r="L111" s="22" t="str">
        <f>VLOOKUP(A111,'Trips&amp;Operators'!$C$1:$E$10000,3,FALSE)</f>
        <v>YOUNG</v>
      </c>
      <c r="M111" s="6">
        <f t="shared" si="42"/>
        <v>2.700231481139781E-2</v>
      </c>
      <c r="N111" s="7">
        <f t="shared" si="43"/>
        <v>38.883333328412846</v>
      </c>
      <c r="O111" s="7"/>
      <c r="P111" s="7"/>
      <c r="Q111" s="23"/>
      <c r="R111" s="23"/>
      <c r="S111" s="35">
        <f t="shared" si="44"/>
        <v>1</v>
      </c>
      <c r="T111" s="50" t="str">
        <f t="shared" si="29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14:24:21-700',mode:absolute,to:'2016-11-22 17:09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1" s="52" t="str">
        <f t="shared" si="31"/>
        <v>N</v>
      </c>
      <c r="X111" s="177">
        <f t="shared" si="45"/>
        <v>1</v>
      </c>
      <c r="Y111" s="67">
        <f t="shared" si="46"/>
        <v>4.3999999999999997E-2</v>
      </c>
      <c r="Z111" s="67">
        <f t="shared" si="47"/>
        <v>23.327000000000002</v>
      </c>
      <c r="AA111" s="67">
        <f t="shared" si="35"/>
        <v>23.283000000000001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36"/>
        <v>0195-22</v>
      </c>
      <c r="AE111" s="91" t="str">
        <f t="shared" si="37"/>
        <v>aws s3 cp s3://rtdc.mdm.uploadarchive.raw/RTDC4011/ "%USERPROFILE%\AppData\Local\Temp\OnboardLogs"\RTDC4011\2016-11-22 --exclude "*" --recursive --include "*20161122*" &amp; "%USERPROFILE%\Documents\GitHub\mrs-test-scripts\Headless Mode &amp; Sideloading\WalkAndUnGZ.bat" "%USERPROFILE%\AppData\Local\Temp\OnboardLogs"\RTDC4011\2016-11-22 &amp; aws s3 cp s3://rtdc.mdm.uploadarchive.raw/RTDC4011/ "%USERPROFILE%\AppData\Local\Temp\OnboardLogs"\RTDC4011\2016-11-23 --exclude "*" --recursive --include "*20161123*" &amp; "%USERPROFILE%\Documents\GitHub\mrs-test-scripts\Headless Mode &amp; Sideloading\WalkAndUnGZ.bat" "%USERPROFILE%\AppData\Local\Temp\OnboardLogs"\RTDC4011\2016-11-23</v>
      </c>
      <c r="AF111" s="88" t="str">
        <f t="shared" si="38"/>
        <v>"C:\Program Files (x86)\AstroGrep\AstroGrep.exe" /spath="%USERPROFILE%\AppData\Local\Temp\OnboardLogs" /stypes="app*4011*20161122*" /stext=" 23:.+((SYSTEM_STATE.+slice.+state.+changed )|(ment ac)|(system.+state.+changed )|(\[timeout)|(PRM\|1\|D)|(kpr)|(kdp)|(\|lc)|(penalty))" /e /r /s</v>
      </c>
      <c r="AG111" s="1" t="str">
        <f t="shared" si="39"/>
        <v>EC</v>
      </c>
      <c r="AH111" s="92" t="str">
        <f t="shared" si="40"/>
        <v>"%USERPROFILE%\Documents\GitHub\eaglep3\Utilities\RefineRTDCRunTimes.py" --tripid 195-22 --locoid 4011 --swversion DE.1.0.8.0 --startMP 204:440 --initTime 2016-11-22T15:24:21 --startdatetime 2016-11-22T15:30:27 --delay 1 --endMP 204:233270 --enddatetime 2016-11-22T16:09:20 --enforcementcount 0 &gt;&gt;C:\Users\stu\Documents\GitHub\eaglep3-reporting\EC\2016-11-22-refined-times.txt</v>
      </c>
      <c r="AI111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{"issue":{"subject":"","project_id":79,"tracker_id":40,"status_id":1,"priority_id":2,"assigned_to_id":23,"start_date":"2016-11-22","description":"","custom_fields":[{"id":1,"name":"Subdivision","value":"EC"},{"id":4,"name":"Milepost","value":"23.327"},{"id":17,"name":"Train ID","value":"195-22"},{"id":16,"name":"Locomotive ID","value":"4011"},{"id":130,"name":"Impact","value":""},{"id":150,"name":"Time of Event (Mountain Time)","value":"16:09:20"},{"id":151,"name":"Denver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568</v>
      </c>
      <c r="B112" s="7">
        <v>4012</v>
      </c>
      <c r="C112" s="22" t="s">
        <v>217</v>
      </c>
      <c r="D112" s="22" t="s">
        <v>274</v>
      </c>
      <c r="E112" s="13">
        <v>42696.678668981483</v>
      </c>
      <c r="F112" s="13">
        <v>42696.684942129628</v>
      </c>
      <c r="G112" s="7">
        <v>1</v>
      </c>
      <c r="H112" s="22" t="s">
        <v>321</v>
      </c>
      <c r="I112" s="13">
        <v>42696.713333333333</v>
      </c>
      <c r="J112" s="7">
        <v>0</v>
      </c>
      <c r="K112" s="109" t="str">
        <f t="shared" si="26"/>
        <v>4011/4012</v>
      </c>
      <c r="L112" s="22" t="str">
        <f>VLOOKUP(A112,'Trips&amp;Operators'!$C$1:$E$10000,3,FALSE)</f>
        <v>YOUNG</v>
      </c>
      <c r="M112" s="6">
        <f t="shared" si="42"/>
        <v>2.8391203704813961E-2</v>
      </c>
      <c r="N112" s="7">
        <f t="shared" si="43"/>
        <v>40.883333334932104</v>
      </c>
      <c r="O112" s="7"/>
      <c r="P112" s="7"/>
      <c r="Q112" s="23"/>
      <c r="R112" s="23"/>
      <c r="S112" s="35">
        <f t="shared" si="44"/>
        <v>1</v>
      </c>
      <c r="T112" s="50" t="str">
        <f t="shared" si="29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15:17:17-700',mode:absolute,to:'2016-11-22 18:07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2" s="52" t="str">
        <f t="shared" si="31"/>
        <v>N</v>
      </c>
      <c r="X112" s="177">
        <f t="shared" si="45"/>
        <v>1</v>
      </c>
      <c r="Y112" s="67">
        <f t="shared" si="46"/>
        <v>23.299600000000002</v>
      </c>
      <c r="Z112" s="67">
        <f t="shared" si="47"/>
        <v>1.7000000000000001E-2</v>
      </c>
      <c r="AA112" s="67">
        <f t="shared" si="35"/>
        <v>23.282600000000002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36"/>
        <v>0196-22</v>
      </c>
      <c r="AE112" s="91" t="str">
        <f t="shared" si="37"/>
        <v>aws s3 cp s3://rtdc.mdm.uploadarchive.raw/RTDC4012/ "%USERPROFILE%\AppData\Local\Temp\OnboardLogs"\RTDC4012\2016-11-22 --exclude "*" --recursive --include "*20161122*" &amp; "%USERPROFILE%\Documents\GitHub\mrs-test-scripts\Headless Mode &amp; Sideloading\WalkAndUnGZ.bat" "%USERPROFILE%\AppData\Local\Temp\OnboardLogs"\RTDC4012\2016-11-22 &amp; aws s3 cp s3://rtdc.mdm.uploadarchive.raw/RTDC4012/ "%USERPROFILE%\AppData\Local\Temp\OnboardLogs"\RTDC4012\2016-11-23 --exclude "*" --recursive --include "*20161123*" &amp; "%USERPROFILE%\Documents\GitHub\mrs-test-scripts\Headless Mode &amp; Sideloading\WalkAndUnGZ.bat" "%USERPROFILE%\AppData\Local\Temp\OnboardLogs"\RTDC4012\2016-11-23</v>
      </c>
      <c r="AF112" s="88" t="str">
        <f t="shared" si="38"/>
        <v>"C:\Program Files (x86)\AstroGrep\AstroGrep.exe" /spath="%USERPROFILE%\AppData\Local\Temp\OnboardLogs" /stypes="app*4012*20161123*" /stext=" 00:.+((SYSTEM_STATE.+slice.+state.+changed )|(ment ac)|(system.+state.+changed )|(\[timeout)|(PRM\|1\|D)|(kpr)|(kdp)|(\|lc)|(penalty))" /e /r /s</v>
      </c>
      <c r="AG112" s="1" t="str">
        <f t="shared" si="39"/>
        <v>EC</v>
      </c>
      <c r="AH112" s="92" t="str">
        <f t="shared" si="40"/>
        <v>"%USERPROFILE%\Documents\GitHub\eaglep3\Utilities\RefineRTDCRunTimes.py" --tripid 196-22 --locoid 4012 --swversion DE.1.0.8.0 --startMP 204:232996 --initTime 2016-11-22T16:17:17 --startdatetime 2016-11-22T16:26:19 --delay 1 --endMP 204:170 --enddatetime 2016-11-22T17:07:12 --enforcementcount 0 &gt;&gt;C:\Users\stu\Documents\GitHub\eaglep3-reporting\EC\2016-11-22-refined-times.txt</v>
      </c>
      <c r="AI112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{"issue":{"subject":"","project_id":79,"tracker_id":40,"status_id":1,"priority_id":2,"assigned_to_id":23,"start_date":"2016-11-22","description":"","custom_fields":[{"id":1,"name":"Subdivision","value":"EC"},{"id":4,"name":"Milepost","value":"0.017"},{"id":17,"name":"Train ID","value":"196-22"},{"id":16,"name":"Locomotive ID","value":"4012"},{"id":130,"name":"Impact","value":""},{"id":150,"name":"Time of Event (Mountain Time)","value":"17:07:12"},{"id":151,"name":"Denver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560</v>
      </c>
      <c r="B113" s="7">
        <v>4022</v>
      </c>
      <c r="C113" s="22" t="s">
        <v>217</v>
      </c>
      <c r="D113" s="22" t="s">
        <v>372</v>
      </c>
      <c r="E113" s="13">
        <v>42696.652060185188</v>
      </c>
      <c r="F113" s="13">
        <v>42696.656469907408</v>
      </c>
      <c r="G113" s="7">
        <v>1</v>
      </c>
      <c r="H113" s="22" t="s">
        <v>376</v>
      </c>
      <c r="I113" s="13">
        <v>42696.682326388887</v>
      </c>
      <c r="J113" s="7">
        <v>0</v>
      </c>
      <c r="K113" s="109" t="str">
        <f t="shared" si="26"/>
        <v>4021/4022</v>
      </c>
      <c r="L113" s="22" t="str">
        <f>VLOOKUP(A113,'Trips&amp;Operators'!$C$1:$E$10000,3,FALSE)</f>
        <v>CLARK</v>
      </c>
      <c r="M113" s="6">
        <f t="shared" si="42"/>
        <v>2.5856481479422655E-2</v>
      </c>
      <c r="N113" s="7">
        <f t="shared" si="43"/>
        <v>37.233333330368623</v>
      </c>
      <c r="O113" s="7"/>
      <c r="P113" s="7"/>
      <c r="Q113" s="23"/>
      <c r="R113" s="23"/>
      <c r="S113" s="35">
        <f t="shared" si="44"/>
        <v>1</v>
      </c>
      <c r="T113" s="50" t="str">
        <f t="shared" si="29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14:38:58-700',mode:absolute,to:'2016-11-22 17:22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13" s="52" t="str">
        <f t="shared" si="31"/>
        <v>N</v>
      </c>
      <c r="X113" s="177">
        <f t="shared" si="45"/>
        <v>1</v>
      </c>
      <c r="Y113" s="67">
        <f t="shared" si="46"/>
        <v>4.3499999999999997E-2</v>
      </c>
      <c r="Z113" s="67">
        <f t="shared" si="47"/>
        <v>23.331900000000001</v>
      </c>
      <c r="AA113" s="67">
        <f t="shared" si="35"/>
        <v>23.288399999999999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36"/>
        <v>0197-22</v>
      </c>
      <c r="AE113" s="91" t="str">
        <f t="shared" si="37"/>
        <v>aws s3 cp s3://rtdc.mdm.uploadarchive.raw/RTDC4022/ "%USERPROFILE%\AppData\Local\Temp\OnboardLogs"\RTDC4022\2016-11-22 --exclude "*" --recursive --include "*20161122*" &amp; "%USERPROFILE%\Documents\GitHub\mrs-test-scripts\Headless Mode &amp; Sideloading\WalkAndUnGZ.bat" "%USERPROFILE%\AppData\Local\Temp\OnboardLogs"\RTDC4022\2016-11-22 &amp; aws s3 cp s3://rtdc.mdm.uploadarchive.raw/RTDC4022/ "%USERPROFILE%\AppData\Local\Temp\OnboardLogs"\RTDC4022\2016-11-23 --exclude "*" --recursive --include "*20161123*" &amp; "%USERPROFILE%\Documents\GitHub\mrs-test-scripts\Headless Mode &amp; Sideloading\WalkAndUnGZ.bat" "%USERPROFILE%\AppData\Local\Temp\OnboardLogs"\RTDC4022\2016-11-23</v>
      </c>
      <c r="AF113" s="88" t="str">
        <f t="shared" si="38"/>
        <v>"C:\Program Files (x86)\AstroGrep\AstroGrep.exe" /spath="%USERPROFILE%\AppData\Local\Temp\OnboardLogs" /stypes="app*4022*20161122*" /stext=" 23:.+((SYSTEM_STATE.+slice.+state.+changed )|(ment ac)|(system.+state.+changed )|(\[timeout)|(PRM\|1\|D)|(kpr)|(kdp)|(\|lc)|(penalty))" /e /r /s</v>
      </c>
      <c r="AG113" s="1" t="str">
        <f t="shared" si="39"/>
        <v>EC</v>
      </c>
      <c r="AH113" s="92" t="str">
        <f t="shared" si="40"/>
        <v>"%USERPROFILE%\Documents\GitHub\eaglep3\Utilities\RefineRTDCRunTimes.py" --tripid 197-22 --locoid 4022 --swversion DE.1.0.8.0 --startMP 204:435 --initTime 2016-11-22T15:38:58 --startdatetime 2016-11-22T15:45:19 --delay 1 --endMP 204:233319 --enddatetime 2016-11-22T16:22:33 --enforcementcount 0 &gt;&gt;C:\Users\stu\Documents\GitHub\eaglep3-reporting\EC\2016-11-22-refined-times.txt</v>
      </c>
      <c r="AI113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{"issue":{"subject":"","project_id":79,"tracker_id":40,"status_id":1,"priority_id":2,"assigned_to_id":23,"start_date":"2016-11-22","description":"","custom_fields":[{"id":1,"name":"Subdivision","value":"EC"},{"id":4,"name":"Milepost","value":"23.3319"},{"id":17,"name":"Train ID","value":"197-22"},{"id":16,"name":"Locomotive ID","value":"4022"},{"id":130,"name":"Impact","value":""},{"id":150,"name":"Time of Event (Mountain Time)","value":"16:22:33"},{"id":151,"name":"Denver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571</v>
      </c>
      <c r="B114" s="7">
        <v>4021</v>
      </c>
      <c r="C114" s="22" t="s">
        <v>217</v>
      </c>
      <c r="D114" s="22" t="s">
        <v>670</v>
      </c>
      <c r="E114" s="13">
        <v>42696.69127314815</v>
      </c>
      <c r="F114" s="13">
        <v>42696.695324074077</v>
      </c>
      <c r="G114" s="7">
        <v>1</v>
      </c>
      <c r="H114" s="22" t="s">
        <v>227</v>
      </c>
      <c r="I114" s="13">
        <v>42696.723310185182</v>
      </c>
      <c r="J114" s="7">
        <v>0</v>
      </c>
      <c r="K114" s="109" t="str">
        <f t="shared" si="26"/>
        <v>4021/4022</v>
      </c>
      <c r="L114" s="22" t="str">
        <f>VLOOKUP(A114,'Trips&amp;Operators'!$C$1:$E$10000,3,FALSE)</f>
        <v>CLARK</v>
      </c>
      <c r="M114" s="6">
        <f t="shared" si="42"/>
        <v>2.7986111104837619E-2</v>
      </c>
      <c r="N114" s="7">
        <f t="shared" si="43"/>
        <v>40.299999990966171</v>
      </c>
      <c r="O114" s="7"/>
      <c r="P114" s="7"/>
      <c r="Q114" s="23"/>
      <c r="R114" s="23"/>
      <c r="S114" s="35">
        <f t="shared" si="44"/>
        <v>1</v>
      </c>
      <c r="T114" s="50" t="str">
        <f t="shared" si="29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15:35:26-700',mode:absolute,to:'2016-11-22 18:21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4" s="52" t="str">
        <f t="shared" si="31"/>
        <v>N</v>
      </c>
      <c r="X114" s="177">
        <f t="shared" si="45"/>
        <v>1</v>
      </c>
      <c r="Y114" s="67">
        <f t="shared" si="46"/>
        <v>23.3004</v>
      </c>
      <c r="Z114" s="67">
        <f t="shared" si="47"/>
        <v>1.6E-2</v>
      </c>
      <c r="AA114" s="67">
        <f t="shared" si="35"/>
        <v>23.284400000000002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36"/>
        <v>0198-22</v>
      </c>
      <c r="AE114" s="91" t="str">
        <f t="shared" si="37"/>
        <v>aws s3 cp s3://rtdc.mdm.uploadarchive.raw/RTDC4021/ "%USERPROFILE%\AppData\Local\Temp\OnboardLogs"\RTDC4021\2016-11-22 --exclude "*" --recursive --include "*20161122*" &amp; "%USERPROFILE%\Documents\GitHub\mrs-test-scripts\Headless Mode &amp; Sideloading\WalkAndUnGZ.bat" "%USERPROFILE%\AppData\Local\Temp\OnboardLogs"\RTDC4021\2016-11-22 &amp; aws s3 cp s3://rtdc.mdm.uploadarchive.raw/RTDC4021/ "%USERPROFILE%\AppData\Local\Temp\OnboardLogs"\RTDC4021\2016-11-23 --exclude "*" --recursive --include "*20161123*" &amp; "%USERPROFILE%\Documents\GitHub\mrs-test-scripts\Headless Mode &amp; Sideloading\WalkAndUnGZ.bat" "%USERPROFILE%\AppData\Local\Temp\OnboardLogs"\RTDC4021\2016-11-23</v>
      </c>
      <c r="AF114" s="88" t="str">
        <f t="shared" si="38"/>
        <v>"C:\Program Files (x86)\AstroGrep\AstroGrep.exe" /spath="%USERPROFILE%\AppData\Local\Temp\OnboardLogs" /stypes="app*4021*20161123*" /stext=" 00:.+((SYSTEM_STATE.+slice.+state.+changed )|(ment ac)|(system.+state.+changed )|(\[timeout)|(PRM\|1\|D)|(kpr)|(kdp)|(\|lc)|(penalty))" /e /r /s</v>
      </c>
      <c r="AG114" s="1" t="str">
        <f t="shared" si="39"/>
        <v>EC</v>
      </c>
      <c r="AH114" s="92" t="str">
        <f t="shared" si="40"/>
        <v>"%USERPROFILE%\Documents\GitHub\eaglep3\Utilities\RefineRTDCRunTimes.py" --tripid 198-22 --locoid 4021 --swversion DE.1.0.8.0 --startMP 204:233004 --initTime 2016-11-22T16:35:26 --startdatetime 2016-11-22T16:41:16 --delay 1 --endMP 204:160 --enddatetime 2016-11-22T17:21:34 --enforcementcount 0 &gt;&gt;C:\Users\stu\Documents\GitHub\eaglep3-reporting\EC\2016-11-22-refined-times.txt</v>
      </c>
      <c r="AI114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{"issue":{"subject":"","project_id":79,"tracker_id":40,"status_id":1,"priority_id":2,"assigned_to_id":23,"start_date":"2016-11-22","description":"","custom_fields":[{"id":1,"name":"Subdivision","value":"EC"},{"id":4,"name":"Milepost","value":"0.016"},{"id":17,"name":"Train ID","value":"198-22"},{"id":16,"name":"Locomotive ID","value":"4021"},{"id":130,"name":"Impact","value":""},{"id":150,"name":"Time of Event (Mountain Time)","value":"17:21:34"},{"id":151,"name":"Denver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563</v>
      </c>
      <c r="B115" s="7">
        <v>4031</v>
      </c>
      <c r="C115" s="22" t="s">
        <v>217</v>
      </c>
      <c r="D115" s="22" t="s">
        <v>380</v>
      </c>
      <c r="E115" s="13">
        <v>42696.66300925926</v>
      </c>
      <c r="F115" s="13">
        <v>42696.66684027778</v>
      </c>
      <c r="G115" s="7">
        <v>1</v>
      </c>
      <c r="H115" s="22" t="s">
        <v>312</v>
      </c>
      <c r="I115" s="13">
        <v>42696.69259259259</v>
      </c>
      <c r="J115" s="7">
        <v>0</v>
      </c>
      <c r="K115" s="109" t="str">
        <f t="shared" si="26"/>
        <v>4031/4032</v>
      </c>
      <c r="L115" s="22" t="str">
        <f>VLOOKUP(A115,'Trips&amp;Operators'!$C$1:$E$10000,3,FALSE)</f>
        <v>BRANDNER</v>
      </c>
      <c r="M115" s="6">
        <f t="shared" si="42"/>
        <v>2.5752314810233656E-2</v>
      </c>
      <c r="N115" s="7">
        <f t="shared" si="43"/>
        <v>37.083333326736465</v>
      </c>
      <c r="O115" s="7"/>
      <c r="P115" s="7"/>
      <c r="Q115" s="23"/>
      <c r="R115" s="23"/>
      <c r="S115" s="35">
        <f t="shared" si="44"/>
        <v>1</v>
      </c>
      <c r="T115" s="50" t="str">
        <f t="shared" si="29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14:54:44-700',mode:absolute,to:'2016-11-22 17:37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5" s="52" t="str">
        <f t="shared" si="31"/>
        <v>N</v>
      </c>
      <c r="X115" s="177">
        <f t="shared" si="45"/>
        <v>1</v>
      </c>
      <c r="Y115" s="67">
        <f t="shared" si="46"/>
        <v>4.7300000000000002E-2</v>
      </c>
      <c r="Z115" s="67">
        <f t="shared" si="47"/>
        <v>23.328399999999998</v>
      </c>
      <c r="AA115" s="67">
        <f t="shared" si="35"/>
        <v>23.281099999999999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36"/>
        <v>0199-22</v>
      </c>
      <c r="AE115" s="91" t="str">
        <f t="shared" si="37"/>
        <v>aws s3 cp s3://rtdc.mdm.uploadarchive.raw/RTDC4031/ "%USERPROFILE%\AppData\Local\Temp\OnboardLogs"\RTDC4031\2016-11-22 --exclude "*" --recursive --include "*20161122*" &amp; "%USERPROFILE%\Documents\GitHub\mrs-test-scripts\Headless Mode &amp; Sideloading\WalkAndUnGZ.bat" "%USERPROFILE%\AppData\Local\Temp\OnboardLogs"\RTDC4031\2016-11-22 &amp; aws s3 cp s3://rtdc.mdm.uploadarchive.raw/RTDC4031/ "%USERPROFILE%\AppData\Local\Temp\OnboardLogs"\RTDC4031\2016-11-23 --exclude "*" --recursive --include "*20161123*" &amp; "%USERPROFILE%\Documents\GitHub\mrs-test-scripts\Headless Mode &amp; Sideloading\WalkAndUnGZ.bat" "%USERPROFILE%\AppData\Local\Temp\OnboardLogs"\RTDC4031\2016-11-23</v>
      </c>
      <c r="AF115" s="88" t="str">
        <f t="shared" si="38"/>
        <v>"C:\Program Files (x86)\AstroGrep\AstroGrep.exe" /spath="%USERPROFILE%\AppData\Local\Temp\OnboardLogs" /stypes="app*4031*20161122*" /stext=" 23:.+((SYSTEM_STATE.+slice.+state.+changed )|(ment ac)|(system.+state.+changed )|(\[timeout)|(PRM\|1\|D)|(kpr)|(kdp)|(\|lc)|(penalty))" /e /r /s</v>
      </c>
      <c r="AG115" s="1" t="str">
        <f t="shared" si="39"/>
        <v>EC</v>
      </c>
      <c r="AH115" s="92" t="str">
        <f t="shared" si="40"/>
        <v>"%USERPROFILE%\Documents\GitHub\eaglep3\Utilities\RefineRTDCRunTimes.py" --tripid 199-22 --locoid 4031 --swversion DE.1.0.8.0 --startMP 204:473 --initTime 2016-11-22T15:54:44 --startdatetime 2016-11-22T16:00:15 --delay 1 --endMP 204:233284 --enddatetime 2016-11-22T16:37:20 --enforcementcount 0 &gt;&gt;C:\Users\stu\Documents\GitHub\eaglep3-reporting\EC\2016-11-22-refined-times.txt</v>
      </c>
      <c r="AI115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{"issue":{"subject":"","project_id":79,"tracker_id":40,"status_id":1,"priority_id":2,"assigned_to_id":23,"start_date":"2016-11-22","description":"","custom_fields":[{"id":1,"name":"Subdivision","value":"EC"},{"id":4,"name":"Milepost","value":"23.3284"},{"id":17,"name":"Train ID","value":"199-22"},{"id":16,"name":"Locomotive ID","value":"4031"},{"id":130,"name":"Impact","value":""},{"id":150,"name":"Time of Event (Mountain Time)","value":"16:37:20"},{"id":151,"name":"Denver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574</v>
      </c>
      <c r="B116" s="7">
        <v>4032</v>
      </c>
      <c r="C116" s="22" t="s">
        <v>217</v>
      </c>
      <c r="D116" s="22" t="s">
        <v>683</v>
      </c>
      <c r="E116" s="13">
        <v>42696.701018518521</v>
      </c>
      <c r="F116" s="13">
        <v>42696.705868055556</v>
      </c>
      <c r="G116" s="7">
        <v>1</v>
      </c>
      <c r="H116" s="22" t="s">
        <v>275</v>
      </c>
      <c r="I116" s="13">
        <v>42696.734166666669</v>
      </c>
      <c r="J116" s="7">
        <v>0</v>
      </c>
      <c r="K116" s="109" t="str">
        <f t="shared" si="26"/>
        <v>4031/4032</v>
      </c>
      <c r="L116" s="22" t="str">
        <f>VLOOKUP(A116,'Trips&amp;Operators'!$C$1:$E$10000,3,FALSE)</f>
        <v>BRANDNER</v>
      </c>
      <c r="M116" s="6">
        <f t="shared" si="42"/>
        <v>2.8298611112404615E-2</v>
      </c>
      <c r="N116" s="7">
        <f t="shared" si="43"/>
        <v>40.750000001862645</v>
      </c>
      <c r="O116" s="7"/>
      <c r="P116" s="7"/>
      <c r="Q116" s="23"/>
      <c r="R116" s="23"/>
      <c r="S116" s="35">
        <f t="shared" si="44"/>
        <v>1</v>
      </c>
      <c r="T116" s="50" t="str">
        <f t="shared" si="29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15:49:28-700',mode:absolute,to:'2016-11-22 18:37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6" s="52" t="str">
        <f t="shared" si="31"/>
        <v>N</v>
      </c>
      <c r="X116" s="177">
        <f t="shared" si="45"/>
        <v>1</v>
      </c>
      <c r="Y116" s="67">
        <f t="shared" si="46"/>
        <v>23.296299999999999</v>
      </c>
      <c r="Z116" s="67">
        <f t="shared" si="47"/>
        <v>1.47E-2</v>
      </c>
      <c r="AA116" s="67">
        <f t="shared" si="35"/>
        <v>23.281599999999997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36"/>
        <v>0200-22</v>
      </c>
      <c r="AE116" s="91" t="str">
        <f t="shared" si="37"/>
        <v>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 &amp; aws s3 cp s3://rtdc.mdm.uploadarchive.raw/RTDC4032/ "%USERPROFILE%\AppData\Local\Temp\OnboardLogs"\RTDC4032\2016-11-23 --exclude "*" --recursive --include "*20161123*" &amp; "%USERPROFILE%\Documents\GitHub\mrs-test-scripts\Headless Mode &amp; Sideloading\WalkAndUnGZ.bat" "%USERPROFILE%\AppData\Local\Temp\OnboardLogs"\RTDC4032\2016-11-23</v>
      </c>
      <c r="AF116" s="88" t="str">
        <f t="shared" si="38"/>
        <v>"C:\Program Files (x86)\AstroGrep\AstroGrep.exe" /spath="%USERPROFILE%\AppData\Local\Temp\OnboardLogs" /stypes="app*4032*20161123*" /stext=" 00:.+((SYSTEM_STATE.+slice.+state.+changed )|(ment ac)|(system.+state.+changed )|(\[timeout)|(PRM\|1\|D)|(kpr)|(kdp)|(\|lc)|(penalty))" /e /r /s</v>
      </c>
      <c r="AG116" s="1" t="str">
        <f t="shared" si="39"/>
        <v>EC</v>
      </c>
      <c r="AH116" s="92" t="str">
        <f t="shared" si="40"/>
        <v>"%USERPROFILE%\Documents\GitHub\eaglep3\Utilities\RefineRTDCRunTimes.py" --tripid 200-22 --locoid 4032 --swversion DE.1.0.8.0 --startMP 204:232963 --initTime 2016-11-22T16:49:28 --startdatetime 2016-11-22T16:56:27 --delay 1 --endMP 204:147 --enddatetime 2016-11-22T17:37:12 --enforcementcount 0 &gt;&gt;C:\Users\stu\Documents\GitHub\eaglep3-reporting\EC\2016-11-22-refined-times.txt</v>
      </c>
      <c r="AI116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{"issue":{"subject":"","project_id":79,"tracker_id":40,"status_id":1,"priority_id":2,"assigned_to_id":23,"start_date":"2016-11-22","description":"","custom_fields":[{"id":1,"name":"Subdivision","value":"EC"},{"id":4,"name":"Milepost","value":"0.0147"},{"id":17,"name":"Train ID","value":"200-22"},{"id":16,"name":"Locomotive ID","value":"4032"},{"id":130,"name":"Impact","value":""},{"id":150,"name":"Time of Event (Mountain Time)","value":"17:37:12"},{"id":151,"name":"Denver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566</v>
      </c>
      <c r="B117" s="7">
        <v>4046</v>
      </c>
      <c r="C117" s="22" t="s">
        <v>217</v>
      </c>
      <c r="D117" s="22" t="s">
        <v>198</v>
      </c>
      <c r="E117" s="13">
        <v>42696.673090277778</v>
      </c>
      <c r="F117" s="13">
        <v>42696.674583333333</v>
      </c>
      <c r="G117" s="7">
        <v>2</v>
      </c>
      <c r="H117" s="22" t="s">
        <v>684</v>
      </c>
      <c r="I117" s="13">
        <v>42696.703113425923</v>
      </c>
      <c r="J117" s="7">
        <v>0</v>
      </c>
      <c r="K117" s="109" t="str">
        <f t="shared" si="26"/>
        <v>4045/4046</v>
      </c>
      <c r="L117" s="22" t="str">
        <f>VLOOKUP(A117,'Trips&amp;Operators'!$C$1:$E$10000,3,FALSE)</f>
        <v>BARTLETT</v>
      </c>
      <c r="M117" s="6">
        <f t="shared" si="42"/>
        <v>2.8530092589790002E-2</v>
      </c>
      <c r="N117" s="7"/>
      <c r="O117" s="7"/>
      <c r="P117" s="7"/>
      <c r="Q117" s="23"/>
      <c r="R117" s="23"/>
      <c r="S117" s="35"/>
      <c r="T117" s="50" t="str">
        <f t="shared" si="29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15:09:15-700',mode:absolute,to:'2016-11-22 17:52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7" s="52" t="str">
        <f t="shared" si="31"/>
        <v>N</v>
      </c>
      <c r="X117" s="177">
        <f t="shared" si="45"/>
        <v>1</v>
      </c>
      <c r="Y117" s="67">
        <f t="shared" si="46"/>
        <v>4.4699999999999997E-2</v>
      </c>
      <c r="Z117" s="67">
        <f t="shared" si="47"/>
        <v>23.333200000000001</v>
      </c>
      <c r="AA117" s="67">
        <f t="shared" si="35"/>
        <v>23.288500000000003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36"/>
        <v>0201-22</v>
      </c>
      <c r="AE117" s="91" t="str">
        <f t="shared" si="37"/>
        <v>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 &amp; 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</v>
      </c>
      <c r="AF117" s="88" t="str">
        <f t="shared" si="38"/>
        <v>"C:\Program Files (x86)\AstroGrep\AstroGrep.exe" /spath="%USERPROFILE%\AppData\Local\Temp\OnboardLogs" /stypes="app*4046*20161122*" /stext=" 23:.+((SYSTEM_STATE.+slice.+state.+changed )|(ment ac)|(system.+state.+changed )|(\[timeout)|(PRM\|1\|D)|(kpr)|(kdp)|(\|lc)|(penalty))" /e /r /s</v>
      </c>
      <c r="AG117" s="1" t="str">
        <f t="shared" si="39"/>
        <v>EC</v>
      </c>
      <c r="AH117" s="92" t="str">
        <f t="shared" si="40"/>
        <v>"%USERPROFILE%\Documents\GitHub\eaglep3\Utilities\RefineRTDCRunTimes.py" --tripid 201-22 --locoid 4046 --swversion DE.1.0.8.0 --startMP 204:447 --initTime 2016-11-22T16:09:15 --startdatetime 2016-11-22T16:11:24 --delay 2 --endMP 204:233332 --enddatetime 2016-11-22T16:52:29 --enforcementcount 0 &gt;&gt;C:\Users\stu\Documents\GitHub\eaglep3-reporting\EC\2016-11-22-refined-times.txt</v>
      </c>
      <c r="AI117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{"issue":{"subject":"","project_id":79,"tracker_id":40,"status_id":1,"priority_id":2,"assigned_to_id":23,"start_date":"2016-11-22","description":"","custom_fields":[{"id":1,"name":"Subdivision","value":"EC"},{"id":4,"name":"Milepost","value":"23.3332"},{"id":17,"name":"Train ID","value":"201-22"},{"id":16,"name":"Locomotive ID","value":"4046"},{"id":130,"name":"Impact","value":""},{"id":150,"name":"Time of Event (Mountain Time)","value":"16:52:29"},{"id":151,"name":"Denver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566</v>
      </c>
      <c r="B118" s="7">
        <v>4046</v>
      </c>
      <c r="C118" s="22" t="s">
        <v>217</v>
      </c>
      <c r="D118" s="22" t="s">
        <v>685</v>
      </c>
      <c r="E118" s="13">
        <v>42696.687037037038</v>
      </c>
      <c r="F118" s="13">
        <v>42696.688055555554</v>
      </c>
      <c r="G118" s="7">
        <v>1</v>
      </c>
      <c r="H118" s="22" t="s">
        <v>684</v>
      </c>
      <c r="I118" s="13">
        <v>42696.703113425923</v>
      </c>
      <c r="J118" s="7">
        <v>0</v>
      </c>
      <c r="K118" s="109" t="str">
        <f t="shared" si="26"/>
        <v>4045/4046</v>
      </c>
      <c r="L118" s="22" t="str">
        <f>VLOOKUP(A118,'Trips&amp;Operators'!$C$1:$E$10000,3,FALSE)</f>
        <v>BARTLETT</v>
      </c>
      <c r="M118" s="6">
        <f t="shared" si="42"/>
        <v>1.505787036876427E-2</v>
      </c>
      <c r="N118" s="7"/>
      <c r="O118" s="7"/>
      <c r="P118" s="7">
        <f>24*60*SUM($M118:$M118)</f>
        <v>21.683333331020549</v>
      </c>
      <c r="Q118" s="23"/>
      <c r="R118" s="23" t="s">
        <v>407</v>
      </c>
      <c r="S118" s="35">
        <f t="shared" ref="S118:S159" si="48">SUM(U118:U118)/IF(AG118="EC",12,1)</f>
        <v>0.25</v>
      </c>
      <c r="T118" s="50" t="str">
        <f t="shared" si="29"/>
        <v>NorthBound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3</v>
      </c>
      <c r="V118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15:29:20-700',mode:absolute,to:'2016-11-22 17:52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8" s="52" t="str">
        <f t="shared" si="31"/>
        <v>Y</v>
      </c>
      <c r="X118" s="177">
        <f t="shared" si="45"/>
        <v>0</v>
      </c>
      <c r="Y118" s="67">
        <f t="shared" si="46"/>
        <v>6.4679000000000002</v>
      </c>
      <c r="Z118" s="67">
        <f t="shared" si="47"/>
        <v>23.333200000000001</v>
      </c>
      <c r="AA118" s="67">
        <f t="shared" si="35"/>
        <v>16.865300000000001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36"/>
        <v>0201-22</v>
      </c>
      <c r="AE118" s="91" t="str">
        <f t="shared" si="37"/>
        <v>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 &amp; 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</v>
      </c>
      <c r="AF118" s="88" t="str">
        <f t="shared" si="38"/>
        <v>"C:\Program Files (x86)\AstroGrep\AstroGrep.exe" /spath="%USERPROFILE%\AppData\Local\Temp\OnboardLogs" /stypes="app*4046*20161122*" /stext=" 23:.+((SYSTEM_STATE.+slice.+state.+changed )|(ment ac)|(system.+state.+changed )|(\[timeout)|(PRM\|1\|D)|(kpr)|(kdp)|(\|lc)|(penalty))" /e /r /s</v>
      </c>
      <c r="AG118" s="1" t="str">
        <f t="shared" si="39"/>
        <v>EC</v>
      </c>
      <c r="AH118" s="92" t="str">
        <f t="shared" si="40"/>
        <v>"%USERPROFILE%\Documents\GitHub\eaglep3\Utilities\RefineRTDCRunTimes.py" --tripid 201-22 --locoid 4046 --swversion DE.1.0.8.0 --startMP 204:64679 --initTime 2016-11-22T16:29:20 --startdatetime 2016-11-22T16:30:48 --delay 1 --endMP 204:233332 --enddatetime 2016-11-22T16:52:29 --enforcementcount 0 &gt;&gt;C:\Users\stu\Documents\GitHub\eaglep3-reporting\EC\2016-11-22-refined-times.txt</v>
      </c>
      <c r="AI118" s="119" t="str">
        <f t="shared" si="41"/>
        <v>echo {"issue":{"subject":"Onboard in-route failure","project_id":79,"tracker_id":40,"status_id":1,"priority_id":2,"assigned_to_id":23,"start_date":"2016-11-22","description":"Slice 2 was primary, and seems like something went wrong after operator selected track location. Slice 2 failed to load location, rebooted itself. Slice 1 takes over, but something goes wrong in the handoff and the system stays disengaged despite movement","custom_fields":[{"id":1,"name":"Subdivision","value":"EC"},{"id":4,"name":"Milepost","value":"23.3332"},{"id":17,"name":"Train ID","value":"201-22"},{"id":16,"name":"Locomotive ID","value":"4046"},{"id":130,"name":"Impact","value":"Unexpected Cut-Out or Disengaged"},{"id":150,"name":"Time of Event (Mountain Time)","value":"16:52:29"},{"id":151,"name":"Denver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18" s="53" t="s">
        <v>811</v>
      </c>
      <c r="AK118" s="53" t="s">
        <v>131</v>
      </c>
      <c r="AL118" s="53" t="s">
        <v>177</v>
      </c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576</v>
      </c>
      <c r="B119" s="7">
        <v>4045</v>
      </c>
      <c r="C119" s="22" t="s">
        <v>217</v>
      </c>
      <c r="D119" s="22" t="s">
        <v>322</v>
      </c>
      <c r="E119" s="13">
        <v>42696.705671296295</v>
      </c>
      <c r="F119" s="13">
        <v>42696.716249999998</v>
      </c>
      <c r="G119" s="7">
        <v>1</v>
      </c>
      <c r="H119" s="22" t="s">
        <v>175</v>
      </c>
      <c r="I119" s="13">
        <v>42696.743055555555</v>
      </c>
      <c r="J119" s="7">
        <v>0</v>
      </c>
      <c r="K119" s="109" t="str">
        <f t="shared" si="26"/>
        <v>4045/4046</v>
      </c>
      <c r="L119" s="22" t="str">
        <f>VLOOKUP(A119,'Trips&amp;Operators'!$C$1:$E$10000,3,FALSE)</f>
        <v>BARTLETT</v>
      </c>
      <c r="M119" s="6">
        <f t="shared" si="42"/>
        <v>2.6805555557075422E-2</v>
      </c>
      <c r="N119" s="7">
        <f t="shared" ref="N119:N159" si="49">24*60*SUM($M119:$M119)</f>
        <v>38.600000002188608</v>
      </c>
      <c r="O119" s="7"/>
      <c r="P119" s="7"/>
      <c r="Q119" s="23"/>
      <c r="R119" s="23"/>
      <c r="S119" s="35">
        <f t="shared" si="48"/>
        <v>1</v>
      </c>
      <c r="T119" s="50" t="str">
        <f t="shared" si="29"/>
        <v>Southbound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15:56:10-700',mode:absolute,to:'2016-11-22 18:50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9" s="52" t="str">
        <f t="shared" si="31"/>
        <v>N</v>
      </c>
      <c r="X119" s="177">
        <f t="shared" si="45"/>
        <v>1</v>
      </c>
      <c r="Y119" s="67">
        <f t="shared" si="46"/>
        <v>23.301100000000002</v>
      </c>
      <c r="Z119" s="67">
        <f t="shared" si="47"/>
        <v>1.52E-2</v>
      </c>
      <c r="AA119" s="67">
        <f t="shared" si="35"/>
        <v>23.285900000000002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36"/>
        <v>0202-22</v>
      </c>
      <c r="AE119" s="91" t="str">
        <f t="shared" si="37"/>
        <v>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 &amp; aws s3 cp s3://rtdc.mdm.uploadarchive.raw/RTDC4045/ "%USERPROFILE%\AppData\Local\Temp\OnboardLogs"\RTDC4045\2016-11-23 --exclude "*" --recursive --include "*20161123*" &amp; "%USERPROFILE%\Documents\GitHub\mrs-test-scripts\Headless Mode &amp; Sideloading\WalkAndUnGZ.bat" "%USERPROFILE%\AppData\Local\Temp\OnboardLogs"\RTDC4045\2016-11-23</v>
      </c>
      <c r="AF119" s="88" t="str">
        <f t="shared" si="38"/>
        <v>"C:\Program Files (x86)\AstroGrep\AstroGrep.exe" /spath="%USERPROFILE%\AppData\Local\Temp\OnboardLogs" /stypes="app*4045*20161123*" /stext=" 00:.+((SYSTEM_STATE.+slice.+state.+changed )|(ment ac)|(system.+state.+changed )|(\[timeout)|(PRM\|1\|D)|(kpr)|(kdp)|(\|lc)|(penalty))" /e /r /s</v>
      </c>
      <c r="AG119" s="1" t="str">
        <f t="shared" si="39"/>
        <v>EC</v>
      </c>
      <c r="AH119" s="92" t="str">
        <f t="shared" si="40"/>
        <v>"%USERPROFILE%\Documents\GitHub\eaglep3\Utilities\RefineRTDCRunTimes.py" --tripid 202-22 --locoid 4045 --swversion DE.1.0.8.0 --startMP 204:233011 --initTime 2016-11-22T16:56:10 --startdatetime 2016-11-22T17:11:24 --delay 1 --endMP 204:152 --enddatetime 2016-11-22T17:50:00 --enforcementcount 0 &gt;&gt;C:\Users\stu\Documents\GitHub\eaglep3-reporting\EC\2016-11-22-refined-times.txt</v>
      </c>
      <c r="AI119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{"issue":{"subject":"","project_id":79,"tracker_id":40,"status_id":1,"priority_id":2,"assigned_to_id":23,"start_date":"2016-11-22","description":"","custom_fields":[{"id":1,"name":"Subdivision","value":"EC"},{"id":4,"name":"Milepost","value":"0.0152"},{"id":17,"name":"Train ID","value":"202-22"},{"id":16,"name":"Locomotive ID","value":"4045"},{"id":130,"name":"Impact","value":""},{"id":150,"name":"Time of Event (Mountain Time)","value":"17:50:00"},{"id":151,"name":"Denver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569</v>
      </c>
      <c r="B120" s="7">
        <v>4038</v>
      </c>
      <c r="C120" s="22" t="s">
        <v>217</v>
      </c>
      <c r="D120" s="22" t="s">
        <v>371</v>
      </c>
      <c r="E120" s="13">
        <v>42696.682696759257</v>
      </c>
      <c r="F120" s="13">
        <v>42696.687754629631</v>
      </c>
      <c r="G120" s="7">
        <v>1</v>
      </c>
      <c r="H120" s="22" t="s">
        <v>260</v>
      </c>
      <c r="I120" s="13">
        <v>42696.713275462964</v>
      </c>
      <c r="J120" s="7">
        <v>0</v>
      </c>
      <c r="K120" s="109" t="str">
        <f t="shared" si="26"/>
        <v>4037/4038</v>
      </c>
      <c r="L120" s="22" t="str">
        <f>VLOOKUP(A120,'Trips&amp;Operators'!$C$1:$E$10000,3,FALSE)</f>
        <v>STEWART</v>
      </c>
      <c r="M120" s="6">
        <f t="shared" si="42"/>
        <v>2.5520833332848269E-2</v>
      </c>
      <c r="N120" s="7">
        <f t="shared" si="49"/>
        <v>36.749999999301508</v>
      </c>
      <c r="O120" s="7"/>
      <c r="P120" s="7"/>
      <c r="Q120" s="23"/>
      <c r="R120" s="23"/>
      <c r="S120" s="35">
        <f t="shared" si="48"/>
        <v>1</v>
      </c>
      <c r="T120" s="50" t="str">
        <f t="shared" si="29"/>
        <v>NorthBound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15:23:05-700',mode:absolute,to:'2016-11-22 18:07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0" s="52" t="str">
        <f t="shared" si="31"/>
        <v>N</v>
      </c>
      <c r="X120" s="177">
        <f t="shared" si="45"/>
        <v>1</v>
      </c>
      <c r="Y120" s="67">
        <f t="shared" si="46"/>
        <v>4.3799999999999999E-2</v>
      </c>
      <c r="Z120" s="67">
        <f t="shared" si="47"/>
        <v>23.330100000000002</v>
      </c>
      <c r="AA120" s="67">
        <f t="shared" si="35"/>
        <v>23.286300000000001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36"/>
        <v>0203-22</v>
      </c>
      <c r="AE120" s="91" t="str">
        <f t="shared" si="37"/>
        <v>aws s3 cp s3://rtdc.mdm.uploadarchive.raw/RTDC4038/ "%USERPROFILE%\AppData\Local\Temp\OnboardLogs"\RTDC4038\2016-11-22 --exclude "*" --recursive --include "*20161122*" &amp; "%USERPROFILE%\Documents\GitHub\mrs-test-scripts\Headless Mode &amp; Sideloading\WalkAndUnGZ.bat" "%USERPROFILE%\AppData\Local\Temp\OnboardLogs"\RTDC4038\2016-11-22 &amp; aws s3 cp s3://rtdc.mdm.uploadarchive.raw/RTDC4038/ "%USERPROFILE%\AppData\Local\Temp\OnboardLogs"\RTDC4038\2016-11-23 --exclude "*" --recursive --include "*20161123*" &amp; "%USERPROFILE%\Documents\GitHub\mrs-test-scripts\Headless Mode &amp; Sideloading\WalkAndUnGZ.bat" "%USERPROFILE%\AppData\Local\Temp\OnboardLogs"\RTDC4038\2016-11-23</v>
      </c>
      <c r="AF120" s="88" t="str">
        <f t="shared" si="38"/>
        <v>"C:\Program Files (x86)\AstroGrep\AstroGrep.exe" /spath="%USERPROFILE%\AppData\Local\Temp\OnboardLogs" /stypes="app*4038*20161123*" /stext=" 00:.+((SYSTEM_STATE.+slice.+state.+changed )|(ment ac)|(system.+state.+changed )|(\[timeout)|(PRM\|1\|D)|(kpr)|(kdp)|(\|lc)|(penalty))" /e /r /s</v>
      </c>
      <c r="AG120" s="1" t="str">
        <f t="shared" si="39"/>
        <v>EC</v>
      </c>
      <c r="AH120" s="92" t="str">
        <f t="shared" si="40"/>
        <v>"%USERPROFILE%\Documents\GitHub\eaglep3\Utilities\RefineRTDCRunTimes.py" --tripid 203-22 --locoid 4038 --swversion DE.1.0.8.0 --startMP 204:438 --initTime 2016-11-22T16:23:05 --startdatetime 2016-11-22T16:30:22 --delay 1 --endMP 204:233301 --enddatetime 2016-11-22T17:07:07 --enforcementcount 0 &gt;&gt;C:\Users\stu\Documents\GitHub\eaglep3-reporting\EC\2016-11-22-refined-times.txt</v>
      </c>
      <c r="AI120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{"issue":{"subject":"","project_id":79,"tracker_id":40,"status_id":1,"priority_id":2,"assigned_to_id":23,"start_date":"2016-11-22","description":"","custom_fields":[{"id":1,"name":"Subdivision","value":"EC"},{"id":4,"name":"Milepost","value":"23.3301"},{"id":17,"name":"Train ID","value":"203-22"},{"id":16,"name":"Locomotive ID","value":"4038"},{"id":130,"name":"Impact","value":""},{"id":150,"name":"Time of Event (Mountain Time)","value":"17:07:07"},{"id":151,"name":"Denver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582</v>
      </c>
      <c r="B121" s="7">
        <v>4037</v>
      </c>
      <c r="C121" s="22" t="s">
        <v>217</v>
      </c>
      <c r="D121" s="22" t="s">
        <v>261</v>
      </c>
      <c r="E121" s="13">
        <v>42696.722731481481</v>
      </c>
      <c r="F121" s="13">
        <v>42696.7266087963</v>
      </c>
      <c r="G121" s="7">
        <v>2</v>
      </c>
      <c r="H121" s="22" t="s">
        <v>251</v>
      </c>
      <c r="I121" s="13">
        <v>42696.753958333335</v>
      </c>
      <c r="J121" s="7">
        <v>0</v>
      </c>
      <c r="K121" s="109" t="str">
        <f t="shared" si="26"/>
        <v>4037/4038</v>
      </c>
      <c r="L121" s="22" t="str">
        <f>VLOOKUP(A121,'Trips&amp;Operators'!$C$1:$E$10000,3,FALSE)</f>
        <v>STEWART</v>
      </c>
      <c r="M121" s="6">
        <f t="shared" si="42"/>
        <v>2.7349537034751847E-2</v>
      </c>
      <c r="N121" s="7">
        <f t="shared" si="49"/>
        <v>39.38333333004266</v>
      </c>
      <c r="O121" s="7"/>
      <c r="P121" s="7"/>
      <c r="Q121" s="23"/>
      <c r="R121" s="23"/>
      <c r="S121" s="35">
        <f t="shared" si="48"/>
        <v>1</v>
      </c>
      <c r="T121" s="50" t="str">
        <f t="shared" si="29"/>
        <v>Southbound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16:20:44-700',mode:absolute,to:'2016-11-22 19:05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21" s="52" t="str">
        <f t="shared" si="31"/>
        <v>N</v>
      </c>
      <c r="X121" s="177">
        <f t="shared" si="45"/>
        <v>1</v>
      </c>
      <c r="Y121" s="67">
        <f t="shared" si="46"/>
        <v>23.297499999999999</v>
      </c>
      <c r="Z121" s="67">
        <f t="shared" si="47"/>
        <v>1.54E-2</v>
      </c>
      <c r="AA121" s="67">
        <f t="shared" si="35"/>
        <v>23.2821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36"/>
        <v>0204-22</v>
      </c>
      <c r="AE121" s="91" t="str">
        <f t="shared" si="37"/>
        <v>aws s3 cp s3://rtdc.mdm.uploadarchive.raw/RTDC4037/ "%USERPROFILE%\AppData\Local\Temp\OnboardLogs"\RTDC4037\2016-11-22 --exclude "*" --recursive --include "*20161122*" &amp; "%USERPROFILE%\Documents\GitHub\mrs-test-scripts\Headless Mode &amp; Sideloading\WalkAndUnGZ.bat" "%USERPROFILE%\AppData\Local\Temp\OnboardLogs"\RTDC4037\2016-11-22 &amp; aws s3 cp s3://rtdc.mdm.uploadarchive.raw/RTDC4037/ "%USERPROFILE%\AppData\Local\Temp\OnboardLogs"\RTDC4037\2016-11-23 --exclude "*" --recursive --include "*20161123*" &amp; "%USERPROFILE%\Documents\GitHub\mrs-test-scripts\Headless Mode &amp; Sideloading\WalkAndUnGZ.bat" "%USERPROFILE%\AppData\Local\Temp\OnboardLogs"\RTDC4037\2016-11-23</v>
      </c>
      <c r="AF121" s="88" t="str">
        <f t="shared" si="38"/>
        <v>"C:\Program Files (x86)\AstroGrep\AstroGrep.exe" /spath="%USERPROFILE%\AppData\Local\Temp\OnboardLogs" /stypes="app*4037*20161123*" /stext=" 01:.+((SYSTEM_STATE.+slice.+state.+changed )|(ment ac)|(system.+state.+changed )|(\[timeout)|(PRM\|1\|D)|(kpr)|(kdp)|(\|lc)|(penalty))" /e /r /s</v>
      </c>
      <c r="AG121" s="1" t="str">
        <f t="shared" si="39"/>
        <v>EC</v>
      </c>
      <c r="AH121" s="92" t="str">
        <f t="shared" si="40"/>
        <v>"%USERPROFILE%\Documents\GitHub\eaglep3\Utilities\RefineRTDCRunTimes.py" --tripid 204-22 --locoid 4037 --swversion DE.1.0.8.0 --startMP 204:232975 --initTime 2016-11-22T17:20:44 --startdatetime 2016-11-22T17:26:19 --delay 2 --endMP 204:154 --enddatetime 2016-11-22T18:05:42 --enforcementcount 0 &gt;&gt;C:\Users\stu\Documents\GitHub\eaglep3-reporting\EC\2016-11-22-refined-times.txt</v>
      </c>
      <c r="AI121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{"issue":{"subject":"","project_id":79,"tracker_id":40,"status_id":1,"priority_id":2,"assigned_to_id":23,"start_date":"2016-11-22","description":"","custom_fields":[{"id":1,"name":"Subdivision","value":"EC"},{"id":4,"name":"Milepost","value":"0.0154"},{"id":17,"name":"Train ID","value":"204-22"},{"id":16,"name":"Locomotive ID","value":"4037"},{"id":130,"name":"Impact","value":""},{"id":150,"name":"Time of Event (Mountain Time)","value":"18:05:42"},{"id":151,"name":"Denver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573</v>
      </c>
      <c r="B122" s="7">
        <v>4002</v>
      </c>
      <c r="C122" s="22" t="s">
        <v>217</v>
      </c>
      <c r="D122" s="22" t="s">
        <v>198</v>
      </c>
      <c r="E122" s="13">
        <v>42696.694861111115</v>
      </c>
      <c r="F122" s="13">
        <v>42696.698136574072</v>
      </c>
      <c r="G122" s="7">
        <v>1</v>
      </c>
      <c r="H122" s="22" t="s">
        <v>686</v>
      </c>
      <c r="I122" s="13">
        <v>42696.722430555557</v>
      </c>
      <c r="J122" s="7">
        <v>0</v>
      </c>
      <c r="K122" s="109" t="str">
        <f t="shared" si="26"/>
        <v>4001/4002</v>
      </c>
      <c r="L122" s="22" t="str">
        <f>VLOOKUP(A122,'Trips&amp;Operators'!$C$1:$E$10000,3,FALSE)</f>
        <v>HELVIE</v>
      </c>
      <c r="M122" s="6">
        <f t="shared" si="42"/>
        <v>2.4293981485243421E-2</v>
      </c>
      <c r="N122" s="7">
        <f t="shared" si="49"/>
        <v>34.983333338750526</v>
      </c>
      <c r="O122" s="7"/>
      <c r="P122" s="7"/>
      <c r="Q122" s="23"/>
      <c r="R122" s="23"/>
      <c r="S122" s="35">
        <f t="shared" si="48"/>
        <v>1</v>
      </c>
      <c r="T122" s="50" t="str">
        <f t="shared" si="29"/>
        <v>NorthBound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15:40:36-700',mode:absolute,to:'2016-11-22 18:20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2" s="52" t="str">
        <f t="shared" si="31"/>
        <v>N</v>
      </c>
      <c r="X122" s="177">
        <f t="shared" si="45"/>
        <v>1</v>
      </c>
      <c r="Y122" s="67">
        <f t="shared" si="46"/>
        <v>4.4699999999999997E-2</v>
      </c>
      <c r="Z122" s="67">
        <f t="shared" si="47"/>
        <v>23.326599999999999</v>
      </c>
      <c r="AA122" s="67">
        <f t="shared" si="35"/>
        <v>23.2819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36"/>
        <v>0205-22</v>
      </c>
      <c r="AE122" s="91" t="str">
        <f t="shared" si="37"/>
        <v>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 &amp; aws s3 cp s3://rtdc.mdm.uploadarchive.raw/RTDC4002/ "%USERPROFILE%\AppData\Local\Temp\OnboardLogs"\RTDC4002\2016-11-23 --exclude "*" --recursive --include "*20161123*" &amp; "%USERPROFILE%\Documents\GitHub\mrs-test-scripts\Headless Mode &amp; Sideloading\WalkAndUnGZ.bat" "%USERPROFILE%\AppData\Local\Temp\OnboardLogs"\RTDC4002\2016-11-23</v>
      </c>
      <c r="AF122" s="88" t="str">
        <f t="shared" si="38"/>
        <v>"C:\Program Files (x86)\AstroGrep\AstroGrep.exe" /spath="%USERPROFILE%\AppData\Local\Temp\OnboardLogs" /stypes="app*4002*20161123*" /stext=" 00:.+((SYSTEM_STATE.+slice.+state.+changed )|(ment ac)|(system.+state.+changed )|(\[timeout)|(PRM\|1\|D)|(kpr)|(kdp)|(\|lc)|(penalty))" /e /r /s</v>
      </c>
      <c r="AG122" s="1" t="str">
        <f t="shared" si="39"/>
        <v>EC</v>
      </c>
      <c r="AH122" s="92" t="str">
        <f t="shared" si="40"/>
        <v>"%USERPROFILE%\Documents\GitHub\eaglep3\Utilities\RefineRTDCRunTimes.py" --tripid 205-22 --locoid 4002 --swversion DE.1.0.8.0 --startMP 204:447 --initTime 2016-11-22T16:40:36 --startdatetime 2016-11-22T16:45:19 --delay 1 --endMP 204:233266 --enddatetime 2016-11-22T17:20:18 --enforcementcount 0 &gt;&gt;C:\Users\stu\Documents\GitHub\eaglep3-reporting\EC\2016-11-22-refined-times.txt</v>
      </c>
      <c r="AI122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{"issue":{"subject":"","project_id":79,"tracker_id":40,"status_id":1,"priority_id":2,"assigned_to_id":23,"start_date":"2016-11-22","description":"","custom_fields":[{"id":1,"name":"Subdivision","value":"EC"},{"id":4,"name":"Milepost","value":"23.3266"},{"id":17,"name":"Train ID","value":"205-22"},{"id":16,"name":"Locomotive ID","value":"4002"},{"id":130,"name":"Impact","value":""},{"id":150,"name":"Time of Event (Mountain Time)","value":"17:20:18"},{"id":151,"name":"Denver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585</v>
      </c>
      <c r="B123" s="7">
        <v>4001</v>
      </c>
      <c r="C123" s="22" t="s">
        <v>217</v>
      </c>
      <c r="D123" s="22" t="s">
        <v>659</v>
      </c>
      <c r="E123" s="13">
        <v>42696.733506944445</v>
      </c>
      <c r="F123" s="13">
        <v>42696.736979166664</v>
      </c>
      <c r="G123" s="7">
        <v>1</v>
      </c>
      <c r="H123" s="22" t="s">
        <v>196</v>
      </c>
      <c r="I123" s="13">
        <v>42696.76462962963</v>
      </c>
      <c r="J123" s="7">
        <v>0</v>
      </c>
      <c r="K123" s="109" t="str">
        <f t="shared" si="26"/>
        <v>4001/4002</v>
      </c>
      <c r="L123" s="22" t="str">
        <f>VLOOKUP(A123,'Trips&amp;Operators'!$C$1:$E$10000,3,FALSE)</f>
        <v>HELVIE</v>
      </c>
      <c r="M123" s="6">
        <f t="shared" si="42"/>
        <v>2.7650462965539191E-2</v>
      </c>
      <c r="N123" s="7">
        <f t="shared" si="49"/>
        <v>39.816666670376435</v>
      </c>
      <c r="O123" s="7"/>
      <c r="P123" s="7"/>
      <c r="Q123" s="23"/>
      <c r="R123" s="23"/>
      <c r="S123" s="35">
        <f t="shared" si="48"/>
        <v>1</v>
      </c>
      <c r="T123" s="50" t="str">
        <f t="shared" si="29"/>
        <v>Southbound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16:36:15-700',mode:absolute,to:'2016-11-22 19:21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3" s="52" t="str">
        <f t="shared" si="31"/>
        <v>N</v>
      </c>
      <c r="X123" s="177">
        <f t="shared" si="45"/>
        <v>1</v>
      </c>
      <c r="Y123" s="67">
        <f t="shared" si="46"/>
        <v>23.2957</v>
      </c>
      <c r="Z123" s="67">
        <f t="shared" si="47"/>
        <v>1.49E-2</v>
      </c>
      <c r="AA123" s="67">
        <f t="shared" si="35"/>
        <v>23.280799999999999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36"/>
        <v>0206-22</v>
      </c>
      <c r="AE123" s="91" t="str">
        <f t="shared" si="37"/>
        <v>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 &amp; aws s3 cp s3://rtdc.mdm.uploadarchive.raw/RTDC4001/ "%USERPROFILE%\AppData\Local\Temp\OnboardLogs"\RTDC4001\2016-11-23 --exclude "*" --recursive --include "*20161123*" &amp; "%USERPROFILE%\Documents\GitHub\mrs-test-scripts\Headless Mode &amp; Sideloading\WalkAndUnGZ.bat" "%USERPROFILE%\AppData\Local\Temp\OnboardLogs"\RTDC4001\2016-11-23</v>
      </c>
      <c r="AF123" s="88" t="str">
        <f t="shared" si="38"/>
        <v>"C:\Program Files (x86)\AstroGrep\AstroGrep.exe" /spath="%USERPROFILE%\AppData\Local\Temp\OnboardLogs" /stypes="app*4001*20161123*" /stext=" 01:.+((SYSTEM_STATE.+slice.+state.+changed )|(ment ac)|(system.+state.+changed )|(\[timeout)|(PRM\|1\|D)|(kpr)|(kdp)|(\|lc)|(penalty))" /e /r /s</v>
      </c>
      <c r="AG123" s="1" t="str">
        <f t="shared" si="39"/>
        <v>EC</v>
      </c>
      <c r="AH123" s="92" t="str">
        <f t="shared" si="40"/>
        <v>"%USERPROFILE%\Documents\GitHub\eaglep3\Utilities\RefineRTDCRunTimes.py" --tripid 206-22 --locoid 4001 --swversion DE.1.0.8.0 --startMP 204:232957 --initTime 2016-11-22T17:36:15 --startdatetime 2016-11-22T17:41:15 --delay 1 --endMP 204:149 --enddatetime 2016-11-22T18:21:04 --enforcementcount 0 &gt;&gt;C:\Users\stu\Documents\GitHub\eaglep3-reporting\EC\2016-11-22-refined-times.txt</v>
      </c>
      <c r="AI123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{"issue":{"subject":"","project_id":79,"tracker_id":40,"status_id":1,"priority_id":2,"assigned_to_id":23,"start_date":"2016-11-22","description":"","custom_fields":[{"id":1,"name":"Subdivision","value":"EC"},{"id":4,"name":"Milepost","value":"0.0149"},{"id":17,"name":"Train ID","value":"206-22"},{"id":16,"name":"Locomotive ID","value":"4001"},{"id":130,"name":"Impact","value":""},{"id":150,"name":"Time of Event (Mountain Time)","value":"18:21:04"},{"id":151,"name":"Denver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575</v>
      </c>
      <c r="B124" s="7">
        <v>4027</v>
      </c>
      <c r="C124" s="22" t="s">
        <v>217</v>
      </c>
      <c r="D124" s="22" t="s">
        <v>198</v>
      </c>
      <c r="E124" s="13">
        <v>42696.7028587963</v>
      </c>
      <c r="F124" s="13">
        <v>42696.708460648151</v>
      </c>
      <c r="G124" s="7">
        <v>1</v>
      </c>
      <c r="H124" s="22" t="s">
        <v>330</v>
      </c>
      <c r="I124" s="13">
        <v>42696.734699074077</v>
      </c>
      <c r="J124" s="7">
        <v>0</v>
      </c>
      <c r="K124" s="109" t="str">
        <f t="shared" si="26"/>
        <v>4027/4028</v>
      </c>
      <c r="L124" s="22" t="str">
        <f>VLOOKUP(A124,'Trips&amp;Operators'!$C$1:$E$10000,3,FALSE)</f>
        <v>PERKINS</v>
      </c>
      <c r="M124" s="6">
        <f t="shared" si="42"/>
        <v>2.6238425925839692E-2</v>
      </c>
      <c r="N124" s="7">
        <f t="shared" si="49"/>
        <v>37.783333333209157</v>
      </c>
      <c r="O124" s="7"/>
      <c r="P124" s="7"/>
      <c r="Q124" s="23"/>
      <c r="R124" s="23"/>
      <c r="S124" s="35">
        <f t="shared" si="48"/>
        <v>1</v>
      </c>
      <c r="T124" s="50" t="str">
        <f t="shared" si="29"/>
        <v>NorthBound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15:52:07-700',mode:absolute,to:'2016-11-22 18:37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24" s="52" t="str">
        <f t="shared" si="31"/>
        <v>N</v>
      </c>
      <c r="X124" s="177">
        <f t="shared" si="45"/>
        <v>1</v>
      </c>
      <c r="Y124" s="67">
        <f t="shared" si="46"/>
        <v>4.4699999999999997E-2</v>
      </c>
      <c r="Z124" s="67">
        <f t="shared" si="47"/>
        <v>23.3293</v>
      </c>
      <c r="AA124" s="67">
        <f t="shared" si="35"/>
        <v>23.284600000000001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36"/>
        <v>0207-22</v>
      </c>
      <c r="AE124" s="91" t="str">
        <f t="shared" si="37"/>
        <v>aws s3 cp s3://rtdc.mdm.uploadarchive.raw/RTDC4027/ "%USERPROFILE%\AppData\Local\Temp\OnboardLogs"\RTDC4027\2016-11-22 --exclude "*" --recursive --include "*20161122*" &amp; "%USERPROFILE%\Documents\GitHub\mrs-test-scripts\Headless Mode &amp; Sideloading\WalkAndUnGZ.bat" "%USERPROFILE%\AppData\Local\Temp\OnboardLogs"\RTDC4027\2016-11-22 &amp; aws s3 cp s3://rtdc.mdm.uploadarchive.raw/RTDC4027/ "%USERPROFILE%\AppData\Local\Temp\OnboardLogs"\RTDC4027\2016-11-23 --exclude "*" --recursive --include "*20161123*" &amp; "%USERPROFILE%\Documents\GitHub\mrs-test-scripts\Headless Mode &amp; Sideloading\WalkAndUnGZ.bat" "%USERPROFILE%\AppData\Local\Temp\OnboardLogs"\RTDC4027\2016-11-23</v>
      </c>
      <c r="AF124" s="88" t="str">
        <f t="shared" si="38"/>
        <v>"C:\Program Files (x86)\AstroGrep\AstroGrep.exe" /spath="%USERPROFILE%\AppData\Local\Temp\OnboardLogs" /stypes="app*4027*20161123*" /stext=" 00:.+((SYSTEM_STATE.+slice.+state.+changed )|(ment ac)|(system.+state.+changed )|(\[timeout)|(PRM\|1\|D)|(kpr)|(kdp)|(\|lc)|(penalty))" /e /r /s</v>
      </c>
      <c r="AG124" s="1" t="str">
        <f t="shared" si="39"/>
        <v>EC</v>
      </c>
      <c r="AH124" s="92" t="str">
        <f t="shared" si="40"/>
        <v>"%USERPROFILE%\Documents\GitHub\eaglep3\Utilities\RefineRTDCRunTimes.py" --tripid 207-22 --locoid 4027 --swversion DE.1.0.8.0 --startMP 204:447 --initTime 2016-11-22T16:52:07 --startdatetime 2016-11-22T17:00:11 --delay 1 --endMP 204:233293 --enddatetime 2016-11-22T17:37:58 --enforcementcount 0 &gt;&gt;C:\Users\stu\Documents\GitHub\eaglep3-reporting\EC\2016-11-22-refined-times.txt</v>
      </c>
      <c r="AI124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{"issue":{"subject":"","project_id":79,"tracker_id":40,"status_id":1,"priority_id":2,"assigned_to_id":23,"start_date":"2016-11-22","description":"","custom_fields":[{"id":1,"name":"Subdivision","value":"EC"},{"id":4,"name":"Milepost","value":"23.3293"},{"id":17,"name":"Train ID","value":"207-22"},{"id":16,"name":"Locomotive ID","value":"4027"},{"id":130,"name":"Impact","value":""},{"id":150,"name":"Time of Event (Mountain Time)","value":"17:37:58"},{"id":151,"name":"Denver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x14ac:dyDescent="0.25">
      <c r="A125" s="37" t="s">
        <v>589</v>
      </c>
      <c r="B125" s="7">
        <v>4028</v>
      </c>
      <c r="C125" s="22" t="s">
        <v>217</v>
      </c>
      <c r="D125" s="22" t="s">
        <v>253</v>
      </c>
      <c r="E125" s="13">
        <v>42696.740069444444</v>
      </c>
      <c r="F125" s="13">
        <v>42696.747569444444</v>
      </c>
      <c r="G125" s="7">
        <v>2</v>
      </c>
      <c r="H125" s="22" t="s">
        <v>304</v>
      </c>
      <c r="I125" s="13">
        <v>42696.77747685185</v>
      </c>
      <c r="J125" s="7">
        <v>0</v>
      </c>
      <c r="K125" s="109" t="str">
        <f t="shared" si="26"/>
        <v>4027/4028</v>
      </c>
      <c r="L125" s="22" t="str">
        <f>VLOOKUP(A125,'Trips&amp;Operators'!$C$1:$E$10000,3,FALSE)</f>
        <v>PERKINS</v>
      </c>
      <c r="M125" s="6">
        <f t="shared" si="42"/>
        <v>2.9907407406426501E-2</v>
      </c>
      <c r="N125" s="7">
        <f t="shared" si="49"/>
        <v>43.066666665254161</v>
      </c>
      <c r="O125" s="7"/>
      <c r="P125" s="7"/>
      <c r="Q125" s="23"/>
      <c r="R125" s="23"/>
      <c r="S125" s="35">
        <f t="shared" si="48"/>
        <v>1</v>
      </c>
      <c r="T125" s="50" t="str">
        <f t="shared" si="29"/>
        <v>Southbound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16:45:42-700',mode:absolute,to:'2016-11-22 19:39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25" s="52" t="str">
        <f t="shared" si="31"/>
        <v>N</v>
      </c>
      <c r="X125" s="177">
        <f t="shared" si="45"/>
        <v>1</v>
      </c>
      <c r="Y125" s="67">
        <f t="shared" si="46"/>
        <v>23.297999999999998</v>
      </c>
      <c r="Z125" s="67">
        <f t="shared" si="47"/>
        <v>1.6299999999999999E-2</v>
      </c>
      <c r="AA125" s="67">
        <f t="shared" si="35"/>
        <v>23.281699999999997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36"/>
        <v>0208-22</v>
      </c>
      <c r="AE125" s="91" t="str">
        <f t="shared" si="37"/>
        <v>aws s3 cp s3://rtdc.mdm.uploadarchive.raw/RTDC4028/ "%USERPROFILE%\AppData\Local\Temp\OnboardLogs"\RTDC4028\2016-11-22 --exclude "*" --recursive --include "*20161122*" &amp; "%USERPROFILE%\Documents\GitHub\mrs-test-scripts\Headless Mode &amp; Sideloading\WalkAndUnGZ.bat" "%USERPROFILE%\AppData\Local\Temp\OnboardLogs"\RTDC4028\2016-11-22 &amp; aws s3 cp s3://rtdc.mdm.uploadarchive.raw/RTDC4028/ "%USERPROFILE%\AppData\Local\Temp\OnboardLogs"\RTDC4028\2016-11-23 --exclude "*" --recursive --include "*20161123*" &amp; "%USERPROFILE%\Documents\GitHub\mrs-test-scripts\Headless Mode &amp; Sideloading\WalkAndUnGZ.bat" "%USERPROFILE%\AppData\Local\Temp\OnboardLogs"\RTDC4028\2016-11-23</v>
      </c>
      <c r="AF125" s="88" t="str">
        <f t="shared" si="38"/>
        <v>"C:\Program Files (x86)\AstroGrep\AstroGrep.exe" /spath="%USERPROFILE%\AppData\Local\Temp\OnboardLogs" /stypes="app*4028*20161123*" /stext=" 01:.+((SYSTEM_STATE.+slice.+state.+changed )|(ment ac)|(system.+state.+changed )|(\[timeout)|(PRM\|1\|D)|(kpr)|(kdp)|(\|lc)|(penalty))" /e /r /s</v>
      </c>
      <c r="AG125" s="1" t="str">
        <f t="shared" si="39"/>
        <v>EC</v>
      </c>
      <c r="AH125" s="92" t="str">
        <f t="shared" si="40"/>
        <v>"%USERPROFILE%\Documents\GitHub\eaglep3\Utilities\RefineRTDCRunTimes.py" --tripid 208-22 --locoid 4028 --swversion DE.1.0.8.0 --startMP 204:232980 --initTime 2016-11-22T17:45:42 --startdatetime 2016-11-22T17:56:30 --delay 2 --endMP 204:163 --enddatetime 2016-11-22T18:39:34 --enforcementcount 0 &gt;&gt;C:\Users\stu\Documents\GitHub\eaglep3-reporting\EC\2016-11-22-refined-times.txt</v>
      </c>
      <c r="AI125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{"issue":{"subject":"","project_id":79,"tracker_id":40,"status_id":1,"priority_id":2,"assigned_to_id":23,"start_date":"2016-11-22","description":"","custom_fields":[{"id":1,"name":"Subdivision","value":"EC"},{"id":4,"name":"Milepost","value":"0.0163"},{"id":17,"name":"Train ID","value":"208-22"},{"id":16,"name":"Locomotive ID","value":"4028"},{"id":130,"name":"Impact","value":""},{"id":150,"name":"Time of Event (Mountain Time)","value":"18:39:34"},{"id":151,"name":"Denver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</row>
    <row r="126" spans="1:91" s="21" customFormat="1" x14ac:dyDescent="0.25">
      <c r="A126" s="37" t="s">
        <v>577</v>
      </c>
      <c r="B126" s="7">
        <v>4011</v>
      </c>
      <c r="C126" s="22" t="s">
        <v>217</v>
      </c>
      <c r="D126" s="22" t="s">
        <v>380</v>
      </c>
      <c r="E126" s="13">
        <v>42696.716493055559</v>
      </c>
      <c r="F126" s="13">
        <v>42696.718993055554</v>
      </c>
      <c r="G126" s="7">
        <v>2</v>
      </c>
      <c r="H126" s="22" t="s">
        <v>283</v>
      </c>
      <c r="I126" s="13">
        <v>42696.745983796296</v>
      </c>
      <c r="J126" s="7">
        <v>0</v>
      </c>
      <c r="K126" s="109" t="str">
        <f t="shared" si="26"/>
        <v>4011/4012</v>
      </c>
      <c r="L126" s="22" t="str">
        <f>VLOOKUP(A126,'Trips&amp;Operators'!$C$1:$E$10000,3,FALSE)</f>
        <v>DAVIDSON</v>
      </c>
      <c r="M126" s="6">
        <f t="shared" si="42"/>
        <v>2.6990740741894115E-2</v>
      </c>
      <c r="N126" s="7">
        <f t="shared" si="49"/>
        <v>38.866666668327525</v>
      </c>
      <c r="O126" s="7"/>
      <c r="P126" s="7"/>
      <c r="Q126" s="23"/>
      <c r="R126" s="23"/>
      <c r="S126" s="35">
        <f t="shared" si="48"/>
        <v>1</v>
      </c>
      <c r="T126" s="50" t="str">
        <f t="shared" si="29"/>
        <v>NorthBound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16:11:45-700',mode:absolute,to:'2016-11-22 18:54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6" s="52" t="str">
        <f t="shared" si="31"/>
        <v>N</v>
      </c>
      <c r="X126" s="177">
        <f t="shared" si="45"/>
        <v>1</v>
      </c>
      <c r="Y126" s="67">
        <f t="shared" si="46"/>
        <v>4.7300000000000002E-2</v>
      </c>
      <c r="Z126" s="67">
        <f t="shared" si="47"/>
        <v>23.33</v>
      </c>
      <c r="AA126" s="67">
        <f t="shared" si="35"/>
        <v>23.282699999999998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36"/>
        <v>0209-22</v>
      </c>
      <c r="AE126" s="91" t="str">
        <f t="shared" si="37"/>
        <v>aws s3 cp s3://rtdc.mdm.uploadarchive.raw/RTDC4011/ "%USERPROFILE%\AppData\Local\Temp\OnboardLogs"\RTDC4011\2016-11-22 --exclude "*" --recursive --include "*20161122*" &amp; "%USERPROFILE%\Documents\GitHub\mrs-test-scripts\Headless Mode &amp; Sideloading\WalkAndUnGZ.bat" "%USERPROFILE%\AppData\Local\Temp\OnboardLogs"\RTDC4011\2016-11-22 &amp; aws s3 cp s3://rtdc.mdm.uploadarchive.raw/RTDC4011/ "%USERPROFILE%\AppData\Local\Temp\OnboardLogs"\RTDC4011\2016-11-23 --exclude "*" --recursive --include "*20161123*" &amp; "%USERPROFILE%\Documents\GitHub\mrs-test-scripts\Headless Mode &amp; Sideloading\WalkAndUnGZ.bat" "%USERPROFILE%\AppData\Local\Temp\OnboardLogs"\RTDC4011\2016-11-23</v>
      </c>
      <c r="AF126" s="88" t="str">
        <f t="shared" si="38"/>
        <v>"C:\Program Files (x86)\AstroGrep\AstroGrep.exe" /spath="%USERPROFILE%\AppData\Local\Temp\OnboardLogs" /stypes="app*4011*20161123*" /stext=" 00:.+((SYSTEM_STATE.+slice.+state.+changed )|(ment ac)|(system.+state.+changed )|(\[timeout)|(PRM\|1\|D)|(kpr)|(kdp)|(\|lc)|(penalty))" /e /r /s</v>
      </c>
      <c r="AG126" s="1" t="str">
        <f t="shared" si="39"/>
        <v>EC</v>
      </c>
      <c r="AH126" s="92" t="str">
        <f t="shared" si="40"/>
        <v>"%USERPROFILE%\Documents\GitHub\eaglep3\Utilities\RefineRTDCRunTimes.py" --tripid 209-22 --locoid 4011 --swversion DE.1.0.8.0 --startMP 204:473 --initTime 2016-11-22T17:11:45 --startdatetime 2016-11-22T17:15:21 --delay 2 --endMP 204:233300 --enddatetime 2016-11-22T17:54:13 --enforcementcount 0 &gt;&gt;C:\Users\stu\Documents\GitHub\eaglep3-reporting\EC\2016-11-22-refined-times.txt</v>
      </c>
      <c r="AI126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{"issue":{"subject":"","project_id":79,"tracker_id":40,"status_id":1,"priority_id":2,"assigned_to_id":23,"start_date":"2016-11-22","description":"","custom_fields":[{"id":1,"name":"Subdivision","value":"EC"},{"id":4,"name":"Milepost","value":"23.33"},{"id":17,"name":"Train ID","value":"209-22"},{"id":16,"name":"Locomotive ID","value":"4011"},{"id":130,"name":"Impact","value":""},{"id":150,"name":"Time of Event (Mountain Time)","value":"17:54:13"},{"id":151,"name":"Denver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596</v>
      </c>
      <c r="B127" s="7">
        <v>4012</v>
      </c>
      <c r="C127" s="22" t="s">
        <v>217</v>
      </c>
      <c r="D127" s="22" t="s">
        <v>284</v>
      </c>
      <c r="E127" s="13">
        <v>42696.752638888887</v>
      </c>
      <c r="F127" s="13">
        <v>42696.758298611108</v>
      </c>
      <c r="G127" s="7">
        <v>2</v>
      </c>
      <c r="H127" s="22" t="s">
        <v>255</v>
      </c>
      <c r="I127" s="13">
        <v>42696.785914351851</v>
      </c>
      <c r="J127" s="7">
        <v>0</v>
      </c>
      <c r="K127" s="109" t="str">
        <f t="shared" si="26"/>
        <v>4011/4012</v>
      </c>
      <c r="L127" s="22" t="str">
        <f>VLOOKUP(A127,'Trips&amp;Operators'!$C$1:$E$10000,3,FALSE)</f>
        <v>DAVIDSON</v>
      </c>
      <c r="M127" s="6">
        <f t="shared" si="42"/>
        <v>2.7615740742476191E-2</v>
      </c>
      <c r="N127" s="7">
        <f t="shared" si="49"/>
        <v>39.766666669165716</v>
      </c>
      <c r="O127" s="7"/>
      <c r="P127" s="7"/>
      <c r="Q127" s="23"/>
      <c r="R127" s="23"/>
      <c r="S127" s="35">
        <f t="shared" si="48"/>
        <v>1</v>
      </c>
      <c r="T127" s="50" t="str">
        <f t="shared" si="29"/>
        <v>Southbound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17:03:48-700',mode:absolute,to:'2016-11-22 19:51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7" s="52" t="str">
        <f t="shared" si="31"/>
        <v>N</v>
      </c>
      <c r="X127" s="177">
        <f t="shared" si="45"/>
        <v>1</v>
      </c>
      <c r="Y127" s="67">
        <f t="shared" si="46"/>
        <v>23.298300000000001</v>
      </c>
      <c r="Z127" s="67">
        <f t="shared" si="47"/>
        <v>1.41E-2</v>
      </c>
      <c r="AA127" s="67">
        <f t="shared" si="35"/>
        <v>23.284200000000002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36"/>
        <v>0210-22</v>
      </c>
      <c r="AE127" s="91" t="str">
        <f t="shared" si="37"/>
        <v>aws s3 cp s3://rtdc.mdm.uploadarchive.raw/RTDC4012/ "%USERPROFILE%\AppData\Local\Temp\OnboardLogs"\RTDC4012\2016-11-22 --exclude "*" --recursive --include "*20161122*" &amp; "%USERPROFILE%\Documents\GitHub\mrs-test-scripts\Headless Mode &amp; Sideloading\WalkAndUnGZ.bat" "%USERPROFILE%\AppData\Local\Temp\OnboardLogs"\RTDC4012\2016-11-22 &amp; aws s3 cp s3://rtdc.mdm.uploadarchive.raw/RTDC4012/ "%USERPROFILE%\AppData\Local\Temp\OnboardLogs"\RTDC4012\2016-11-23 --exclude "*" --recursive --include "*20161123*" &amp; "%USERPROFILE%\Documents\GitHub\mrs-test-scripts\Headless Mode &amp; Sideloading\WalkAndUnGZ.bat" "%USERPROFILE%\AppData\Local\Temp\OnboardLogs"\RTDC4012\2016-11-23</v>
      </c>
      <c r="AF127" s="88" t="str">
        <f t="shared" si="38"/>
        <v>"C:\Program Files (x86)\AstroGrep\AstroGrep.exe" /spath="%USERPROFILE%\AppData\Local\Temp\OnboardLogs" /stypes="app*4012*20161123*" /stext=" 01:.+((SYSTEM_STATE.+slice.+state.+changed )|(ment ac)|(system.+state.+changed )|(\[timeout)|(PRM\|1\|D)|(kpr)|(kdp)|(\|lc)|(penalty))" /e /r /s</v>
      </c>
      <c r="AG127" s="1" t="str">
        <f t="shared" si="39"/>
        <v>EC</v>
      </c>
      <c r="AH127" s="92" t="str">
        <f t="shared" si="40"/>
        <v>"%USERPROFILE%\Documents\GitHub\eaglep3\Utilities\RefineRTDCRunTimes.py" --tripid 210-22 --locoid 4012 --swversion DE.1.0.8.0 --startMP 204:232983 --initTime 2016-11-22T18:03:48 --startdatetime 2016-11-22T18:11:57 --delay 2 --endMP 204:141 --enddatetime 2016-11-22T18:51:43 --enforcementcount 0 &gt;&gt;C:\Users\stu\Documents\GitHub\eaglep3-reporting\EC\2016-11-22-refined-times.txt</v>
      </c>
      <c r="AI127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{"issue":{"subject":"","project_id":79,"tracker_id":40,"status_id":1,"priority_id":2,"assigned_to_id":23,"start_date":"2016-11-22","description":"","custom_fields":[{"id":1,"name":"Subdivision","value":"EC"},{"id":4,"name":"Milepost","value":"0.0141"},{"id":17,"name":"Train ID","value":"210-22"},{"id":16,"name":"Locomotive ID","value":"4012"},{"id":130,"name":"Impact","value":""},{"id":150,"name":"Time of Event (Mountain Time)","value":"18:51:43"},{"id":151,"name":"Denver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583</v>
      </c>
      <c r="B128" s="7">
        <v>4022</v>
      </c>
      <c r="C128" s="22" t="s">
        <v>217</v>
      </c>
      <c r="D128" s="22" t="s">
        <v>216</v>
      </c>
      <c r="E128" s="13">
        <v>42696.727766203701</v>
      </c>
      <c r="F128" s="13">
        <v>42696.729664351849</v>
      </c>
      <c r="G128" s="7">
        <v>1</v>
      </c>
      <c r="H128" s="22" t="s">
        <v>187</v>
      </c>
      <c r="I128" s="13">
        <v>42696.758657407408</v>
      </c>
      <c r="J128" s="7">
        <v>0</v>
      </c>
      <c r="K128" s="109" t="str">
        <f t="shared" si="26"/>
        <v>4021/4022</v>
      </c>
      <c r="L128" s="22" t="str">
        <f>VLOOKUP(A128,'Trips&amp;Operators'!$C$1:$E$10000,3,FALSE)</f>
        <v>YOUNG</v>
      </c>
      <c r="M128" s="6">
        <f t="shared" si="42"/>
        <v>2.899305555911269E-2</v>
      </c>
      <c r="N128" s="7">
        <f t="shared" si="49"/>
        <v>41.750000005122274</v>
      </c>
      <c r="O128" s="7"/>
      <c r="P128" s="7"/>
      <c r="Q128" s="23"/>
      <c r="R128" s="23"/>
      <c r="S128" s="35">
        <f t="shared" si="48"/>
        <v>1</v>
      </c>
      <c r="T128" s="50" t="str">
        <f t="shared" si="29"/>
        <v>NorthBound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16:27:59-700',mode:absolute,to:'2016-11-22 19:12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28" s="52" t="str">
        <f t="shared" si="31"/>
        <v>N</v>
      </c>
      <c r="X128" s="177">
        <f t="shared" si="45"/>
        <v>1</v>
      </c>
      <c r="Y128" s="67">
        <f t="shared" si="46"/>
        <v>4.6399999999999997E-2</v>
      </c>
      <c r="Z128" s="67">
        <f t="shared" si="47"/>
        <v>23.329699999999999</v>
      </c>
      <c r="AA128" s="67">
        <f t="shared" si="35"/>
        <v>23.283300000000001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36"/>
        <v>0211-22</v>
      </c>
      <c r="AE128" s="91" t="str">
        <f t="shared" si="37"/>
        <v>aws s3 cp s3://rtdc.mdm.uploadarchive.raw/RTDC4022/ "%USERPROFILE%\AppData\Local\Temp\OnboardLogs"\RTDC4022\2016-11-22 --exclude "*" --recursive --include "*20161122*" &amp; "%USERPROFILE%\Documents\GitHub\mrs-test-scripts\Headless Mode &amp; Sideloading\WalkAndUnGZ.bat" "%USERPROFILE%\AppData\Local\Temp\OnboardLogs"\RTDC4022\2016-11-22 &amp; aws s3 cp s3://rtdc.mdm.uploadarchive.raw/RTDC4022/ "%USERPROFILE%\AppData\Local\Temp\OnboardLogs"\RTDC4022\2016-11-23 --exclude "*" --recursive --include "*20161123*" &amp; "%USERPROFILE%\Documents\GitHub\mrs-test-scripts\Headless Mode &amp; Sideloading\WalkAndUnGZ.bat" "%USERPROFILE%\AppData\Local\Temp\OnboardLogs"\RTDC4022\2016-11-23</v>
      </c>
      <c r="AF128" s="88" t="str">
        <f t="shared" si="38"/>
        <v>"C:\Program Files (x86)\AstroGrep\AstroGrep.exe" /spath="%USERPROFILE%\AppData\Local\Temp\OnboardLogs" /stypes="app*4022*20161123*" /stext=" 01:.+((SYSTEM_STATE.+slice.+state.+changed )|(ment ac)|(system.+state.+changed )|(\[timeout)|(PRM\|1\|D)|(kpr)|(kdp)|(\|lc)|(penalty))" /e /r /s</v>
      </c>
      <c r="AG128" s="1" t="str">
        <f t="shared" si="39"/>
        <v>EC</v>
      </c>
      <c r="AH128" s="92" t="str">
        <f t="shared" si="40"/>
        <v>"%USERPROFILE%\Documents\GitHub\eaglep3\Utilities\RefineRTDCRunTimes.py" --tripid 211-22 --locoid 4022 --swversion DE.1.0.8.0 --startMP 204:464 --initTime 2016-11-22T17:27:59 --startdatetime 2016-11-22T17:30:43 --delay 1 --endMP 204:233297 --enddatetime 2016-11-22T18:12:28 --enforcementcount 0 &gt;&gt;C:\Users\stu\Documents\GitHub\eaglep3-reporting\EC\2016-11-22-refined-times.txt</v>
      </c>
      <c r="AI128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{"issue":{"subject":"","project_id":79,"tracker_id":40,"status_id":1,"priority_id":2,"assigned_to_id":23,"start_date":"2016-11-22","description":"","custom_fields":[{"id":1,"name":"Subdivision","value":"EC"},{"id":4,"name":"Milepost","value":"23.3297"},{"id":17,"name":"Train ID","value":"211-22"},{"id":16,"name":"Locomotive ID","value":"4022"},{"id":130,"name":"Impact","value":""},{"id":150,"name":"Time of Event (Mountain Time)","value":"18:12:28"},{"id":151,"name":"Denver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599</v>
      </c>
      <c r="B129" s="7">
        <v>4021</v>
      </c>
      <c r="C129" s="22" t="s">
        <v>217</v>
      </c>
      <c r="D129" s="22" t="s">
        <v>340</v>
      </c>
      <c r="E129" s="13">
        <v>42696.761712962965</v>
      </c>
      <c r="F129" s="13">
        <v>42696.76835648148</v>
      </c>
      <c r="G129" s="7">
        <v>2</v>
      </c>
      <c r="H129" s="22" t="s">
        <v>687</v>
      </c>
      <c r="I129" s="13">
        <v>42696.798333333332</v>
      </c>
      <c r="J129" s="7">
        <v>0</v>
      </c>
      <c r="K129" s="109" t="str">
        <f t="shared" si="26"/>
        <v>4021/4022</v>
      </c>
      <c r="L129" s="22" t="str">
        <f>VLOOKUP(A129,'Trips&amp;Operators'!$C$1:$E$10000,3,FALSE)</f>
        <v>YOUNG</v>
      </c>
      <c r="M129" s="6">
        <f t="shared" si="42"/>
        <v>2.99768518525525E-2</v>
      </c>
      <c r="N129" s="7">
        <f t="shared" si="49"/>
        <v>43.166666667675599</v>
      </c>
      <c r="O129" s="7"/>
      <c r="P129" s="7"/>
      <c r="Q129" s="23"/>
      <c r="R129" s="23"/>
      <c r="S129" s="35">
        <f t="shared" si="48"/>
        <v>1</v>
      </c>
      <c r="T129" s="50" t="str">
        <f t="shared" si="29"/>
        <v>Southbound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17:16:52-700',mode:absolute,to:'2016-11-22 20:09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29" s="52" t="str">
        <f t="shared" si="31"/>
        <v>N</v>
      </c>
      <c r="X129" s="177">
        <f t="shared" si="45"/>
        <v>1</v>
      </c>
      <c r="Y129" s="67">
        <f t="shared" si="46"/>
        <v>23.296700000000001</v>
      </c>
      <c r="Z129" s="67">
        <f t="shared" si="47"/>
        <v>1.0999999999999999E-2</v>
      </c>
      <c r="AA129" s="67">
        <f t="shared" si="35"/>
        <v>23.285700000000002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36"/>
        <v>0212-22</v>
      </c>
      <c r="AE129" s="91" t="str">
        <f t="shared" si="37"/>
        <v>aws s3 cp s3://rtdc.mdm.uploadarchive.raw/RTDC4021/ "%USERPROFILE%\AppData\Local\Temp\OnboardLogs"\RTDC4021\2016-11-22 --exclude "*" --recursive --include "*20161122*" &amp; "%USERPROFILE%\Documents\GitHub\mrs-test-scripts\Headless Mode &amp; Sideloading\WalkAndUnGZ.bat" "%USERPROFILE%\AppData\Local\Temp\OnboardLogs"\RTDC4021\2016-11-22 &amp; aws s3 cp s3://rtdc.mdm.uploadarchive.raw/RTDC4021/ "%USERPROFILE%\AppData\Local\Temp\OnboardLogs"\RTDC4021\2016-11-23 --exclude "*" --recursive --include "*20161123*" &amp; "%USERPROFILE%\Documents\GitHub\mrs-test-scripts\Headless Mode &amp; Sideloading\WalkAndUnGZ.bat" "%USERPROFILE%\AppData\Local\Temp\OnboardLogs"\RTDC4021\2016-11-23</v>
      </c>
      <c r="AF129" s="88" t="str">
        <f t="shared" si="38"/>
        <v>"C:\Program Files (x86)\AstroGrep\AstroGrep.exe" /spath="%USERPROFILE%\AppData\Local\Temp\OnboardLogs" /stypes="app*4021*20161123*" /stext=" 02:.+((SYSTEM_STATE.+slice.+state.+changed )|(ment ac)|(system.+state.+changed )|(\[timeout)|(PRM\|1\|D)|(kpr)|(kdp)|(\|lc)|(penalty))" /e /r /s</v>
      </c>
      <c r="AG129" s="1" t="str">
        <f t="shared" si="39"/>
        <v>EC</v>
      </c>
      <c r="AH129" s="92" t="str">
        <f t="shared" si="40"/>
        <v>"%USERPROFILE%\Documents\GitHub\eaglep3\Utilities\RefineRTDCRunTimes.py" --tripid 212-22 --locoid 4021 --swversion DE.1.0.8.0 --startMP 204:232967 --initTime 2016-11-22T18:16:52 --startdatetime 2016-11-22T18:26:26 --delay 2 --endMP 204:110 --enddatetime 2016-11-22T19:09:36 --enforcementcount 0 &gt;&gt;C:\Users\stu\Documents\GitHub\eaglep3-reporting\EC\2016-11-22-refined-times.txt</v>
      </c>
      <c r="AI129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{"issue":{"subject":"","project_id":79,"tracker_id":40,"status_id":1,"priority_id":2,"assigned_to_id":23,"start_date":"2016-11-22","description":"","custom_fields":[{"id":1,"name":"Subdivision","value":"EC"},{"id":4,"name":"Milepost","value":"0.011"},{"id":17,"name":"Train ID","value":"212-22"},{"id":16,"name":"Locomotive ID","value":"4021"},{"id":130,"name":"Impact","value":""},{"id":150,"name":"Time of Event (Mountain Time)","value":"19:09:36"},{"id":151,"name":"Denver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588</v>
      </c>
      <c r="B130" s="7">
        <v>4031</v>
      </c>
      <c r="C130" s="22" t="s">
        <v>217</v>
      </c>
      <c r="D130" s="22" t="s">
        <v>315</v>
      </c>
      <c r="E130" s="13">
        <v>42696.736585648148</v>
      </c>
      <c r="F130" s="13">
        <v>42696.739768518521</v>
      </c>
      <c r="G130" s="7">
        <v>1</v>
      </c>
      <c r="H130" s="22" t="s">
        <v>223</v>
      </c>
      <c r="I130" s="13">
        <v>42696.764537037037</v>
      </c>
      <c r="J130" s="7">
        <v>0</v>
      </c>
      <c r="K130" s="109" t="str">
        <f t="shared" si="26"/>
        <v>4031/4032</v>
      </c>
      <c r="L130" s="22" t="str">
        <f>VLOOKUP(A130,'Trips&amp;Operators'!$C$1:$E$10000,3,FALSE)</f>
        <v>COOLAHAN</v>
      </c>
      <c r="M130" s="6">
        <f t="shared" si="42"/>
        <v>2.4768518516793847E-2</v>
      </c>
      <c r="N130" s="7">
        <f t="shared" si="49"/>
        <v>35.66666666418314</v>
      </c>
      <c r="O130" s="7"/>
      <c r="P130" s="7"/>
      <c r="Q130" s="23"/>
      <c r="R130" s="23"/>
      <c r="S130" s="35">
        <f t="shared" si="48"/>
        <v>1</v>
      </c>
      <c r="T130" s="50" t="str">
        <f t="shared" si="29"/>
        <v>NorthBound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16:40:41-700',mode:absolute,to:'2016-11-22 19:20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0" s="52" t="str">
        <f t="shared" si="31"/>
        <v>N</v>
      </c>
      <c r="X130" s="177">
        <f t="shared" si="45"/>
        <v>1</v>
      </c>
      <c r="Y130" s="67">
        <f t="shared" si="46"/>
        <v>4.5699999999999998E-2</v>
      </c>
      <c r="Z130" s="67">
        <f t="shared" si="47"/>
        <v>23.331199999999999</v>
      </c>
      <c r="AA130" s="67">
        <f t="shared" si="35"/>
        <v>23.285499999999999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36"/>
        <v>0213-22</v>
      </c>
      <c r="AE130" s="91" t="str">
        <f t="shared" si="37"/>
        <v>aws s3 cp s3://rtdc.mdm.uploadarchive.raw/RTDC4031/ "%USERPROFILE%\AppData\Local\Temp\OnboardLogs"\RTDC4031\2016-11-22 --exclude "*" --recursive --include "*20161122*" &amp; "%USERPROFILE%\Documents\GitHub\mrs-test-scripts\Headless Mode &amp; Sideloading\WalkAndUnGZ.bat" "%USERPROFILE%\AppData\Local\Temp\OnboardLogs"\RTDC4031\2016-11-22 &amp; aws s3 cp s3://rtdc.mdm.uploadarchive.raw/RTDC4031/ "%USERPROFILE%\AppData\Local\Temp\OnboardLogs"\RTDC4031\2016-11-23 --exclude "*" --recursive --include "*20161123*" &amp; "%USERPROFILE%\Documents\GitHub\mrs-test-scripts\Headless Mode &amp; Sideloading\WalkAndUnGZ.bat" "%USERPROFILE%\AppData\Local\Temp\OnboardLogs"\RTDC4031\2016-11-23</v>
      </c>
      <c r="AF130" s="88" t="str">
        <f t="shared" si="38"/>
        <v>"C:\Program Files (x86)\AstroGrep\AstroGrep.exe" /spath="%USERPROFILE%\AppData\Local\Temp\OnboardLogs" /stypes="app*4031*20161123*" /stext=" 01:.+((SYSTEM_STATE.+slice.+state.+changed )|(ment ac)|(system.+state.+changed )|(\[timeout)|(PRM\|1\|D)|(kpr)|(kdp)|(\|lc)|(penalty))" /e /r /s</v>
      </c>
      <c r="AG130" s="1" t="str">
        <f t="shared" si="39"/>
        <v>EC</v>
      </c>
      <c r="AH130" s="92" t="str">
        <f t="shared" si="40"/>
        <v>"%USERPROFILE%\Documents\GitHub\eaglep3\Utilities\RefineRTDCRunTimes.py" --tripid 213-22 --locoid 4031 --swversion DE.1.0.8.0 --startMP 204:457 --initTime 2016-11-22T17:40:41 --startdatetime 2016-11-22T17:45:16 --delay 1 --endMP 204:233312 --enddatetime 2016-11-22T18:20:56 --enforcementcount 0 &gt;&gt;C:\Users\stu\Documents\GitHub\eaglep3-reporting\EC\2016-11-22-refined-times.txt</v>
      </c>
      <c r="AI130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{"issue":{"subject":"","project_id":79,"tracker_id":40,"status_id":1,"priority_id":2,"assigned_to_id":23,"start_date":"2016-11-22","description":"","custom_fields":[{"id":1,"name":"Subdivision","value":"EC"},{"id":4,"name":"Milepost","value":"23.3312"},{"id":17,"name":"Train ID","value":"213-22"},{"id":16,"name":"Locomotive ID","value":"4031"},{"id":130,"name":"Impact","value":""},{"id":150,"name":"Time of Event (Mountain Time)","value":"18:20:56"},{"id":151,"name":"Denver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603</v>
      </c>
      <c r="B131" s="7">
        <v>4032</v>
      </c>
      <c r="C131" s="22" t="s">
        <v>217</v>
      </c>
      <c r="D131" s="22" t="s">
        <v>660</v>
      </c>
      <c r="E131" s="13">
        <v>42696.774212962962</v>
      </c>
      <c r="F131" s="13">
        <v>42696.778703703705</v>
      </c>
      <c r="G131" s="7">
        <v>2</v>
      </c>
      <c r="H131" s="22" t="s">
        <v>228</v>
      </c>
      <c r="I131" s="13">
        <v>42696.804884259262</v>
      </c>
      <c r="J131" s="7">
        <v>0</v>
      </c>
      <c r="K131" s="109" t="str">
        <f t="shared" si="26"/>
        <v>4031/4032</v>
      </c>
      <c r="L131" s="22" t="str">
        <f>VLOOKUP(A131,'Trips&amp;Operators'!$C$1:$E$10000,3,FALSE)</f>
        <v>COOLAHAN</v>
      </c>
      <c r="M131" s="6">
        <f t="shared" si="42"/>
        <v>2.6180555556493346E-2</v>
      </c>
      <c r="N131" s="7">
        <f t="shared" si="49"/>
        <v>37.700000001350418</v>
      </c>
      <c r="O131" s="7"/>
      <c r="P131" s="7"/>
      <c r="Q131" s="23"/>
      <c r="R131" s="23"/>
      <c r="S131" s="35">
        <f t="shared" si="48"/>
        <v>1</v>
      </c>
      <c r="T131" s="50" t="str">
        <f t="shared" si="29"/>
        <v>Southbound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17:34:52-700',mode:absolute,to:'2016-11-22 20:19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31" s="52" t="str">
        <f t="shared" si="31"/>
        <v>N</v>
      </c>
      <c r="X131" s="177">
        <f t="shared" si="45"/>
        <v>1</v>
      </c>
      <c r="Y131" s="67">
        <f t="shared" si="46"/>
        <v>23.3</v>
      </c>
      <c r="Z131" s="67">
        <f t="shared" si="47"/>
        <v>1.4999999999999999E-2</v>
      </c>
      <c r="AA131" s="67">
        <f t="shared" si="35"/>
        <v>23.285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36"/>
        <v>0214-22</v>
      </c>
      <c r="AE131" s="91" t="str">
        <f t="shared" si="37"/>
        <v>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 &amp; aws s3 cp s3://rtdc.mdm.uploadarchive.raw/RTDC4032/ "%USERPROFILE%\AppData\Local\Temp\OnboardLogs"\RTDC4032\2016-11-23 --exclude "*" --recursive --include "*20161123*" &amp; "%USERPROFILE%\Documents\GitHub\mrs-test-scripts\Headless Mode &amp; Sideloading\WalkAndUnGZ.bat" "%USERPROFILE%\AppData\Local\Temp\OnboardLogs"\RTDC4032\2016-11-23</v>
      </c>
      <c r="AF131" s="88" t="str">
        <f t="shared" si="38"/>
        <v>"C:\Program Files (x86)\AstroGrep\AstroGrep.exe" /spath="%USERPROFILE%\AppData\Local\Temp\OnboardLogs" /stypes="app*4032*20161123*" /stext=" 02:.+((SYSTEM_STATE.+slice.+state.+changed )|(ment ac)|(system.+state.+changed )|(\[timeout)|(PRM\|1\|D)|(kpr)|(kdp)|(\|lc)|(penalty))" /e /r /s</v>
      </c>
      <c r="AG131" s="1" t="str">
        <f t="shared" si="39"/>
        <v>EC</v>
      </c>
      <c r="AH131" s="92" t="str">
        <f t="shared" si="40"/>
        <v>"%USERPROFILE%\Documents\GitHub\eaglep3\Utilities\RefineRTDCRunTimes.py" --tripid 214-22 --locoid 4032 --swversion DE.1.0.8.0 --startMP 204:233000 --initTime 2016-11-22T18:34:52 --startdatetime 2016-11-22T18:41:20 --delay 2 --endMP 204:150 --enddatetime 2016-11-22T19:19:02 --enforcementcount 0 &gt;&gt;C:\Users\stu\Documents\GitHub\eaglep3-reporting\EC\2016-11-22-refined-times.txt</v>
      </c>
      <c r="AI131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{"issue":{"subject":"","project_id":79,"tracker_id":40,"status_id":1,"priority_id":2,"assigned_to_id":23,"start_date":"2016-11-22","description":"","custom_fields":[{"id":1,"name":"Subdivision","value":"EC"},{"id":4,"name":"Milepost","value":"0.015"},{"id":17,"name":"Train ID","value":"214-22"},{"id":16,"name":"Locomotive ID","value":"4032"},{"id":130,"name":"Impact","value":""},{"id":150,"name":"Time of Event (Mountain Time)","value":"19:19:02"},{"id":151,"name":"Denver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593</v>
      </c>
      <c r="B132" s="7">
        <v>4046</v>
      </c>
      <c r="C132" s="22" t="s">
        <v>217</v>
      </c>
      <c r="D132" s="22" t="s">
        <v>373</v>
      </c>
      <c r="E132" s="13">
        <v>42696.745208333334</v>
      </c>
      <c r="F132" s="13">
        <v>42696.750162037039</v>
      </c>
      <c r="G132" s="7">
        <v>2</v>
      </c>
      <c r="H132" s="22" t="s">
        <v>200</v>
      </c>
      <c r="I132" s="13">
        <v>42696.777766203704</v>
      </c>
      <c r="J132" s="7">
        <v>0</v>
      </c>
      <c r="K132" s="109" t="str">
        <f t="shared" si="26"/>
        <v>4045/4046</v>
      </c>
      <c r="L132" s="22" t="str">
        <f>VLOOKUP(A132,'Trips&amp;Operators'!$C$1:$E$10000,3,FALSE)</f>
        <v>BRANDNER</v>
      </c>
      <c r="M132" s="6">
        <f t="shared" si="42"/>
        <v>2.7604166665696539E-2</v>
      </c>
      <c r="N132" s="7">
        <f t="shared" si="49"/>
        <v>39.749999998603016</v>
      </c>
      <c r="O132" s="7"/>
      <c r="P132" s="7"/>
      <c r="Q132" s="23"/>
      <c r="R132" s="23"/>
      <c r="S132" s="35">
        <f t="shared" si="48"/>
        <v>1</v>
      </c>
      <c r="T132" s="50" t="str">
        <f t="shared" si="29"/>
        <v>NorthBound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16:53:06-700',mode:absolute,to:'2016-11-22 19:39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2" s="52" t="str">
        <f t="shared" si="31"/>
        <v>N</v>
      </c>
      <c r="X132" s="177">
        <f t="shared" si="45"/>
        <v>1</v>
      </c>
      <c r="Y132" s="67">
        <f t="shared" si="46"/>
        <v>4.6899999999999997E-2</v>
      </c>
      <c r="Z132" s="67">
        <f t="shared" si="47"/>
        <v>23.329499999999999</v>
      </c>
      <c r="AA132" s="67">
        <f t="shared" si="35"/>
        <v>23.282599999999999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36"/>
        <v>0215-22</v>
      </c>
      <c r="AE132" s="91" t="str">
        <f t="shared" si="37"/>
        <v>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 &amp; 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</v>
      </c>
      <c r="AF132" s="88" t="str">
        <f t="shared" si="38"/>
        <v>"C:\Program Files (x86)\AstroGrep\AstroGrep.exe" /spath="%USERPROFILE%\AppData\Local\Temp\OnboardLogs" /stypes="app*4046*20161123*" /stext=" 01:.+((SYSTEM_STATE.+slice.+state.+changed )|(ment ac)|(system.+state.+changed )|(\[timeout)|(PRM\|1\|D)|(kpr)|(kdp)|(\|lc)|(penalty))" /e /r /s</v>
      </c>
      <c r="AG132" s="1" t="str">
        <f t="shared" si="39"/>
        <v>EC</v>
      </c>
      <c r="AH132" s="92" t="str">
        <f t="shared" si="40"/>
        <v>"%USERPROFILE%\Documents\GitHub\eaglep3\Utilities\RefineRTDCRunTimes.py" --tripid 215-22 --locoid 4046 --swversion DE.1.0.8.0 --startMP 204:469 --initTime 2016-11-22T17:53:06 --startdatetime 2016-11-22T18:00:14 --delay 2 --endMP 204:233295 --enddatetime 2016-11-22T18:39:59 --enforcementcount 0 &gt;&gt;C:\Users\stu\Documents\GitHub\eaglep3-reporting\EC\2016-11-22-refined-times.txt</v>
      </c>
      <c r="AI132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{"issue":{"subject":"","project_id":79,"tracker_id":40,"status_id":1,"priority_id":2,"assigned_to_id":23,"start_date":"2016-11-22","description":"","custom_fields":[{"id":1,"name":"Subdivision","value":"EC"},{"id":4,"name":"Milepost","value":"23.3295"},{"id":17,"name":"Train ID","value":"215-22"},{"id":16,"name":"Locomotive ID","value":"4046"},{"id":130,"name":"Impact","value":""},{"id":150,"name":"Time of Event (Mountain Time)","value":"18:39:59"},{"id":151,"name":"Denver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440</v>
      </c>
      <c r="B133" s="7">
        <v>4045</v>
      </c>
      <c r="C133" s="22" t="s">
        <v>217</v>
      </c>
      <c r="D133" s="22" t="s">
        <v>341</v>
      </c>
      <c r="E133" s="13">
        <v>42696.783738425926</v>
      </c>
      <c r="F133" s="13">
        <v>42696.789097222223</v>
      </c>
      <c r="G133" s="7">
        <v>2</v>
      </c>
      <c r="H133" s="22" t="s">
        <v>269</v>
      </c>
      <c r="I133" s="13">
        <v>42696.817118055558</v>
      </c>
      <c r="J133" s="7">
        <v>1</v>
      </c>
      <c r="K133" s="109" t="str">
        <f t="shared" si="26"/>
        <v>4045/4046</v>
      </c>
      <c r="L133" s="22" t="str">
        <f>VLOOKUP(A133,'Trips&amp;Operators'!$C$1:$E$10000,3,FALSE)</f>
        <v>BRANDNER</v>
      </c>
      <c r="M133" s="6">
        <f t="shared" si="42"/>
        <v>2.8020833335176576E-2</v>
      </c>
      <c r="N133" s="7">
        <f t="shared" si="49"/>
        <v>40.350000002654269</v>
      </c>
      <c r="O133" s="7"/>
      <c r="P133" s="7"/>
      <c r="Q133" s="23"/>
      <c r="R133" s="23"/>
      <c r="S133" s="35">
        <f t="shared" si="48"/>
        <v>1</v>
      </c>
      <c r="T133" s="50" t="str">
        <f t="shared" si="29"/>
        <v>Southbound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17:48:35-700',mode:absolute,to:'2016-11-22 20:36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3" s="52" t="str">
        <f t="shared" si="31"/>
        <v>N</v>
      </c>
      <c r="X133" s="177">
        <f t="shared" si="45"/>
        <v>1</v>
      </c>
      <c r="Y133" s="67">
        <f t="shared" si="46"/>
        <v>23.296500000000002</v>
      </c>
      <c r="Z133" s="67">
        <f t="shared" si="47"/>
        <v>1.4500000000000001E-2</v>
      </c>
      <c r="AA133" s="67">
        <f t="shared" si="35"/>
        <v>23.282</v>
      </c>
      <c r="AB133" s="64" t="str">
        <f>VLOOKUP(A133,Enforcements!$C$7:$K$20,8,0)</f>
        <v>Speed (6)</v>
      </c>
      <c r="AC133" s="60" t="str">
        <f>VLOOKUP(A133,Enforcements!$C$7:$E$20,3,0)</f>
        <v>PERMANENT SPEED RESTRICTION</v>
      </c>
      <c r="AD133" s="61" t="str">
        <f t="shared" si="36"/>
        <v>0216-22</v>
      </c>
      <c r="AE133" s="91" t="str">
        <f t="shared" si="37"/>
        <v>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 &amp; aws s3 cp s3://rtdc.mdm.uploadarchive.raw/RTDC4045/ "%USERPROFILE%\AppData\Local\Temp\OnboardLogs"\RTDC4045\2016-11-23 --exclude "*" --recursive --include "*20161123*" &amp; "%USERPROFILE%\Documents\GitHub\mrs-test-scripts\Headless Mode &amp; Sideloading\WalkAndUnGZ.bat" "%USERPROFILE%\AppData\Local\Temp\OnboardLogs"\RTDC4045\2016-11-23</v>
      </c>
      <c r="AF133" s="88" t="str">
        <f t="shared" si="38"/>
        <v>"C:\Program Files (x86)\AstroGrep\AstroGrep.exe" /spath="%USERPROFILE%\AppData\Local\Temp\OnboardLogs" /stypes="app*4045*20161123*" /stext=" 02:.+((SYSTEM_STATE.+slice.+state.+changed )|(ment ac)|(system.+state.+changed )|(\[timeout)|(PRM\|1\|D)|(kpr)|(kdp)|(\|lc)|(penalty))" /e /r /s</v>
      </c>
      <c r="AG133" s="1" t="str">
        <f t="shared" si="39"/>
        <v>EC</v>
      </c>
      <c r="AH133" s="92" t="str">
        <f t="shared" si="40"/>
        <v>"%USERPROFILE%\Documents\GitHub\eaglep3\Utilities\RefineRTDCRunTimes.py" --tripid 216-22 --locoid 4045 --swversion DE.1.0.8.0 --startMP 204:232965 --initTime 2016-11-22T18:48:35 --startdatetime 2016-11-22T18:56:18 --delay 2 --endMP 204:145 --enddatetime 2016-11-22T19:36:39 --enforcementcount 1 &gt;&gt;C:\Users\stu\Documents\GitHub\eaglep3-reporting\EC\2016-11-22-refined-times.txt</v>
      </c>
      <c r="AI133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{"issue":{"subject":"","project_id":79,"tracker_id":40,"status_id":1,"priority_id":2,"assigned_to_id":23,"start_date":"2016-11-22","description":"","custom_fields":[{"id":1,"name":"Subdivision","value":"EC"},{"id":4,"name":"Milepost","value":"0.0145"},{"id":17,"name":"Train ID","value":"216-22"},{"id":16,"name":"Locomotive ID","value":"4045"},{"id":130,"name":"Impact","value":""},{"id":150,"name":"Time of Event (Mountain Time)","value":"19:36:39"},{"id":151,"name":"Denver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597</v>
      </c>
      <c r="B134" s="7">
        <v>4038</v>
      </c>
      <c r="C134" s="22" t="s">
        <v>217</v>
      </c>
      <c r="D134" s="22" t="s">
        <v>380</v>
      </c>
      <c r="E134" s="13">
        <v>42696.755810185183</v>
      </c>
      <c r="F134" s="13">
        <v>42696.760833333334</v>
      </c>
      <c r="G134" s="7">
        <v>1</v>
      </c>
      <c r="H134" s="22" t="s">
        <v>276</v>
      </c>
      <c r="I134" s="13">
        <v>42696.786087962966</v>
      </c>
      <c r="J134" s="7">
        <v>0</v>
      </c>
      <c r="K134" s="109" t="str">
        <f t="shared" si="26"/>
        <v>4037/4038</v>
      </c>
      <c r="L134" s="22" t="str">
        <f>VLOOKUP(A134,'Trips&amp;Operators'!$C$1:$E$10000,3,FALSE)</f>
        <v>SAFIEF</v>
      </c>
      <c r="M134" s="6">
        <f t="shared" si="42"/>
        <v>2.5254629632399883E-2</v>
      </c>
      <c r="N134" s="7">
        <f t="shared" si="49"/>
        <v>36.366666670655832</v>
      </c>
      <c r="O134" s="7"/>
      <c r="P134" s="7"/>
      <c r="Q134" s="23"/>
      <c r="R134" s="23"/>
      <c r="S134" s="35">
        <f t="shared" si="48"/>
        <v>1</v>
      </c>
      <c r="T134" s="50" t="str">
        <f t="shared" si="29"/>
        <v>NorthBound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17:08:22-700',mode:absolute,to:'2016-11-22 19:51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4" s="52" t="str">
        <f t="shared" si="31"/>
        <v>N</v>
      </c>
      <c r="X134" s="177">
        <f t="shared" si="45"/>
        <v>1</v>
      </c>
      <c r="Y134" s="67">
        <f t="shared" si="46"/>
        <v>4.7300000000000002E-2</v>
      </c>
      <c r="Z134" s="67">
        <f t="shared" si="47"/>
        <v>23.330400000000001</v>
      </c>
      <c r="AA134" s="67">
        <f t="shared" si="35"/>
        <v>23.283100000000001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36"/>
        <v>0217-22</v>
      </c>
      <c r="AE134" s="91" t="str">
        <f t="shared" si="37"/>
        <v>aws s3 cp s3://rtdc.mdm.uploadarchive.raw/RTDC4038/ "%USERPROFILE%\AppData\Local\Temp\OnboardLogs"\RTDC4038\2016-11-22 --exclude "*" --recursive --include "*20161122*" &amp; "%USERPROFILE%\Documents\GitHub\mrs-test-scripts\Headless Mode &amp; Sideloading\WalkAndUnGZ.bat" "%USERPROFILE%\AppData\Local\Temp\OnboardLogs"\RTDC4038\2016-11-22 &amp; aws s3 cp s3://rtdc.mdm.uploadarchive.raw/RTDC4038/ "%USERPROFILE%\AppData\Local\Temp\OnboardLogs"\RTDC4038\2016-11-23 --exclude "*" --recursive --include "*20161123*" &amp; "%USERPROFILE%\Documents\GitHub\mrs-test-scripts\Headless Mode &amp; Sideloading\WalkAndUnGZ.bat" "%USERPROFILE%\AppData\Local\Temp\OnboardLogs"\RTDC4038\2016-11-23</v>
      </c>
      <c r="AF134" s="88" t="str">
        <f t="shared" si="38"/>
        <v>"C:\Program Files (x86)\AstroGrep\AstroGrep.exe" /spath="%USERPROFILE%\AppData\Local\Temp\OnboardLogs" /stypes="app*4038*20161123*" /stext=" 01:.+((SYSTEM_STATE.+slice.+state.+changed )|(ment ac)|(system.+state.+changed )|(\[timeout)|(PRM\|1\|D)|(kpr)|(kdp)|(\|lc)|(penalty))" /e /r /s</v>
      </c>
      <c r="AG134" s="1" t="str">
        <f t="shared" si="39"/>
        <v>EC</v>
      </c>
      <c r="AH134" s="92" t="str">
        <f t="shared" si="40"/>
        <v>"%USERPROFILE%\Documents\GitHub\eaglep3\Utilities\RefineRTDCRunTimes.py" --tripid 217-22 --locoid 4038 --swversion DE.1.0.8.0 --startMP 204:473 --initTime 2016-11-22T18:08:22 --startdatetime 2016-11-22T18:15:36 --delay 1 --endMP 204:233304 --enddatetime 2016-11-22T18:51:58 --enforcementcount 0 &gt;&gt;C:\Users\stu\Documents\GitHub\eaglep3-reporting\EC\2016-11-22-refined-times.txt</v>
      </c>
      <c r="AI134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{"issue":{"subject":"","project_id":79,"tracker_id":40,"status_id":1,"priority_id":2,"assigned_to_id":23,"start_date":"2016-11-22","description":"","custom_fields":[{"id":1,"name":"Subdivision","value":"EC"},{"id":4,"name":"Milepost","value":"23.3304"},{"id":17,"name":"Train ID","value":"217-22"},{"id":16,"name":"Locomotive ID","value":"4038"},{"id":130,"name":"Impact","value":""},{"id":150,"name":"Time of Event (Mountain Time)","value":"18:51:58"},{"id":151,"name":"Denver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x14ac:dyDescent="0.25">
      <c r="A135" s="37" t="s">
        <v>606</v>
      </c>
      <c r="B135" s="7">
        <v>4037</v>
      </c>
      <c r="C135" s="22" t="s">
        <v>217</v>
      </c>
      <c r="D135" s="22" t="s">
        <v>311</v>
      </c>
      <c r="E135" s="13">
        <v>42696.793587962966</v>
      </c>
      <c r="F135" s="13">
        <v>42696.79954861111</v>
      </c>
      <c r="G135" s="7">
        <v>2</v>
      </c>
      <c r="H135" s="22" t="s">
        <v>300</v>
      </c>
      <c r="I135" s="13">
        <v>42696.825821759259</v>
      </c>
      <c r="J135" s="7">
        <v>0</v>
      </c>
      <c r="K135" s="109" t="str">
        <f t="shared" si="26"/>
        <v>4037/4038</v>
      </c>
      <c r="L135" s="22" t="str">
        <f>VLOOKUP(A135,'Trips&amp;Operators'!$C$1:$E$10000,3,FALSE)</f>
        <v>SAFIEF</v>
      </c>
      <c r="M135" s="6">
        <f t="shared" si="42"/>
        <v>2.6273148148902692E-2</v>
      </c>
      <c r="N135" s="7">
        <f t="shared" si="49"/>
        <v>37.833333334419876</v>
      </c>
      <c r="O135" s="7"/>
      <c r="P135" s="7"/>
      <c r="Q135" s="23"/>
      <c r="R135" s="23"/>
      <c r="S135" s="35">
        <f t="shared" si="48"/>
        <v>1</v>
      </c>
      <c r="T135" s="50" t="str">
        <f t="shared" si="29"/>
        <v>Southbound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18:02:46-700',mode:absolute,to:'2016-11-22 20:49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5" s="52" t="str">
        <f t="shared" si="31"/>
        <v>N</v>
      </c>
      <c r="X135" s="177">
        <f t="shared" si="45"/>
        <v>1</v>
      </c>
      <c r="Y135" s="67">
        <f t="shared" si="46"/>
        <v>23.298500000000001</v>
      </c>
      <c r="Z135" s="67">
        <f t="shared" si="47"/>
        <v>1.3599999999999999E-2</v>
      </c>
      <c r="AA135" s="67">
        <f t="shared" si="35"/>
        <v>23.2849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 t="shared" si="36"/>
        <v>0218-22</v>
      </c>
      <c r="AE135" s="91" t="str">
        <f t="shared" si="37"/>
        <v>aws s3 cp s3://rtdc.mdm.uploadarchive.raw/RTDC4037/ "%USERPROFILE%\AppData\Local\Temp\OnboardLogs"\RTDC4037\2016-11-22 --exclude "*" --recursive --include "*20161122*" &amp; "%USERPROFILE%\Documents\GitHub\mrs-test-scripts\Headless Mode &amp; Sideloading\WalkAndUnGZ.bat" "%USERPROFILE%\AppData\Local\Temp\OnboardLogs"\RTDC4037\2016-11-22 &amp; aws s3 cp s3://rtdc.mdm.uploadarchive.raw/RTDC4037/ "%USERPROFILE%\AppData\Local\Temp\OnboardLogs"\RTDC4037\2016-11-23 --exclude "*" --recursive --include "*20161123*" &amp; "%USERPROFILE%\Documents\GitHub\mrs-test-scripts\Headless Mode &amp; Sideloading\WalkAndUnGZ.bat" "%USERPROFILE%\AppData\Local\Temp\OnboardLogs"\RTDC4037\2016-11-23</v>
      </c>
      <c r="AF135" s="88" t="str">
        <f t="shared" si="38"/>
        <v>"C:\Program Files (x86)\AstroGrep\AstroGrep.exe" /spath="%USERPROFILE%\AppData\Local\Temp\OnboardLogs" /stypes="app*4037*20161123*" /stext=" 02:.+((SYSTEM_STATE.+slice.+state.+changed )|(ment ac)|(system.+state.+changed )|(\[timeout)|(PRM\|1\|D)|(kpr)|(kdp)|(\|lc)|(penalty))" /e /r /s</v>
      </c>
      <c r="AG135" s="1" t="str">
        <f t="shared" si="39"/>
        <v>EC</v>
      </c>
      <c r="AH135" s="92" t="str">
        <f t="shared" si="40"/>
        <v>"%USERPROFILE%\Documents\GitHub\eaglep3\Utilities\RefineRTDCRunTimes.py" --tripid 218-22 --locoid 4037 --swversion DE.1.0.8.0 --startMP 204:232985 --initTime 2016-11-22T19:02:46 --startdatetime 2016-11-22T19:11:21 --delay 2 --endMP 204:136 --enddatetime 2016-11-22T19:49:11 --enforcementcount 0 &gt;&gt;C:\Users\stu\Documents\GitHub\eaglep3-reporting\EC\2016-11-22-refined-times.txt</v>
      </c>
      <c r="AI135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{"issue":{"subject":"","project_id":79,"tracker_id":40,"status_id":1,"priority_id":2,"assigned_to_id":23,"start_date":"2016-11-22","description":"","custom_fields":[{"id":1,"name":"Subdivision","value":"EC"},{"id":4,"name":"Milepost","value":"0.0136"},{"id":17,"name":"Train ID","value":"218-22"},{"id":16,"name":"Locomotive ID","value":"4037"},{"id":130,"name":"Impact","value":""},{"id":150,"name":"Time of Event (Mountain Time)","value":"19:49:11"},{"id":151,"name":"Denver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</row>
    <row r="136" spans="1:91" x14ac:dyDescent="0.25">
      <c r="A136" s="37" t="s">
        <v>600</v>
      </c>
      <c r="B136" s="7">
        <v>4002</v>
      </c>
      <c r="C136" s="22" t="s">
        <v>217</v>
      </c>
      <c r="D136" s="22" t="s">
        <v>219</v>
      </c>
      <c r="E136" s="13">
        <v>42696.767812500002</v>
      </c>
      <c r="F136" s="13">
        <v>42696.771412037036</v>
      </c>
      <c r="G136" s="7">
        <v>2</v>
      </c>
      <c r="H136" s="22" t="s">
        <v>688</v>
      </c>
      <c r="I136" s="13">
        <v>42696.804664351854</v>
      </c>
      <c r="J136" s="7">
        <v>0</v>
      </c>
      <c r="K136" s="109" t="str">
        <f t="shared" si="26"/>
        <v>4001/4002</v>
      </c>
      <c r="L136" s="22" t="str">
        <f>VLOOKUP(A136,'Trips&amp;Operators'!$C$1:$E$10000,3,FALSE)</f>
        <v>NICHOLSON</v>
      </c>
      <c r="M136" s="6">
        <f t="shared" si="42"/>
        <v>3.3252314817218576E-2</v>
      </c>
      <c r="N136" s="7">
        <f t="shared" si="49"/>
        <v>47.883333336794749</v>
      </c>
      <c r="O136" s="7"/>
      <c r="P136" s="7"/>
      <c r="Q136" s="23"/>
      <c r="R136" s="23"/>
      <c r="S136" s="35">
        <f t="shared" si="48"/>
        <v>1</v>
      </c>
      <c r="T136" s="50" t="str">
        <f t="shared" si="29"/>
        <v>NorthBound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17:25:39-700',mode:absolute,to:'2016-11-22 20:18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6" s="52" t="str">
        <f t="shared" si="31"/>
        <v>N</v>
      </c>
      <c r="X136" s="177">
        <f t="shared" si="45"/>
        <v>1</v>
      </c>
      <c r="Y136" s="67">
        <f t="shared" si="46"/>
        <v>4.58E-2</v>
      </c>
      <c r="Z136" s="67">
        <f t="shared" si="47"/>
        <v>23.331499999999998</v>
      </c>
      <c r="AA136" s="67">
        <f t="shared" si="35"/>
        <v>23.285699999999999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36"/>
        <v>0219-22</v>
      </c>
      <c r="AE136" s="91" t="str">
        <f t="shared" si="37"/>
        <v>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 &amp; aws s3 cp s3://rtdc.mdm.uploadarchive.raw/RTDC4002/ "%USERPROFILE%\AppData\Local\Temp\OnboardLogs"\RTDC4002\2016-11-23 --exclude "*" --recursive --include "*20161123*" &amp; "%USERPROFILE%\Documents\GitHub\mrs-test-scripts\Headless Mode &amp; Sideloading\WalkAndUnGZ.bat" "%USERPROFILE%\AppData\Local\Temp\OnboardLogs"\RTDC4002\2016-11-23</v>
      </c>
      <c r="AF136" s="88" t="str">
        <f t="shared" si="38"/>
        <v>"C:\Program Files (x86)\AstroGrep\AstroGrep.exe" /spath="%USERPROFILE%\AppData\Local\Temp\OnboardLogs" /stypes="app*4002*20161123*" /stext=" 02:.+((SYSTEM_STATE.+slice.+state.+changed )|(ment ac)|(system.+state.+changed )|(\[timeout)|(PRM\|1\|D)|(kpr)|(kdp)|(\|lc)|(penalty))" /e /r /s</v>
      </c>
      <c r="AG136" s="1" t="str">
        <f t="shared" si="39"/>
        <v>EC</v>
      </c>
      <c r="AH136" s="92" t="str">
        <f t="shared" si="40"/>
        <v>"%USERPROFILE%\Documents\GitHub\eaglep3\Utilities\RefineRTDCRunTimes.py" --tripid 219-22 --locoid 4002 --swversion DE.1.0.8.0 --startMP 204:458 --initTime 2016-11-22T18:25:39 --startdatetime 2016-11-22T18:30:50 --delay 2 --endMP 204:233315 --enddatetime 2016-11-22T19:18:43 --enforcementcount 0 &gt;&gt;C:\Users\stu\Documents\GitHub\eaglep3-reporting\EC\2016-11-22-refined-times.txt</v>
      </c>
      <c r="AI136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{"issue":{"subject":"","project_id":79,"tracker_id":40,"status_id":1,"priority_id":2,"assigned_to_id":23,"start_date":"2016-11-22","description":"","custom_fields":[{"id":1,"name":"Subdivision","value":"EC"},{"id":4,"name":"Milepost","value":"23.3315"},{"id":17,"name":"Train ID","value":"219-22"},{"id":16,"name":"Locomotive ID","value":"4002"},{"id":130,"name":"Impact","value":""},{"id":150,"name":"Time of Event (Mountain Time)","value":"19:18:43"},{"id":151,"name":"Denver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</row>
    <row r="137" spans="1:91" x14ac:dyDescent="0.25">
      <c r="A137" s="37" t="s">
        <v>441</v>
      </c>
      <c r="B137" s="7">
        <v>4001</v>
      </c>
      <c r="C137" s="22" t="s">
        <v>217</v>
      </c>
      <c r="D137" s="22" t="s">
        <v>666</v>
      </c>
      <c r="E137" s="13">
        <v>42696.80636574074</v>
      </c>
      <c r="F137" s="13">
        <v>42696.810219907406</v>
      </c>
      <c r="G137" s="7">
        <v>1</v>
      </c>
      <c r="H137" s="22" t="s">
        <v>255</v>
      </c>
      <c r="I137" s="13">
        <v>42696.838761574072</v>
      </c>
      <c r="J137" s="7">
        <v>1</v>
      </c>
      <c r="K137" s="109" t="str">
        <f t="shared" si="26"/>
        <v>4001/4002</v>
      </c>
      <c r="L137" s="22" t="str">
        <f>VLOOKUP(A137,'Trips&amp;Operators'!$C$1:$E$10000,3,FALSE)</f>
        <v>NICHOLSON</v>
      </c>
      <c r="M137" s="6">
        <f t="shared" si="42"/>
        <v>2.8541666666569654E-2</v>
      </c>
      <c r="N137" s="7">
        <f t="shared" si="49"/>
        <v>41.099999999860302</v>
      </c>
      <c r="O137" s="7"/>
      <c r="P137" s="7"/>
      <c r="Q137" s="23"/>
      <c r="R137" s="23"/>
      <c r="S137" s="35">
        <f t="shared" si="48"/>
        <v>1</v>
      </c>
      <c r="T137" s="50" t="str">
        <f t="shared" si="29"/>
        <v>Southbound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18:21:10-700',mode:absolute,to:'2016-11-22 21:07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7" s="52" t="str">
        <f t="shared" si="31"/>
        <v>N</v>
      </c>
      <c r="X137" s="177">
        <f t="shared" si="45"/>
        <v>1</v>
      </c>
      <c r="Y137" s="67">
        <f t="shared" si="46"/>
        <v>23.300799999999999</v>
      </c>
      <c r="Z137" s="67">
        <f t="shared" si="47"/>
        <v>1.41E-2</v>
      </c>
      <c r="AA137" s="67">
        <f t="shared" si="35"/>
        <v>23.2867</v>
      </c>
      <c r="AB137" s="64" t="str">
        <f>VLOOKUP(A137,Enforcements!$C$7:$K$20,8,0)</f>
        <v>Speed (6)</v>
      </c>
      <c r="AC137" s="60" t="str">
        <f>VLOOKUP(A137,Enforcements!$C$7:$E$20,3,0)</f>
        <v>PERMANENT SPEED RESTRICTION</v>
      </c>
      <c r="AD137" s="61" t="str">
        <f t="shared" si="36"/>
        <v>0220-22</v>
      </c>
      <c r="AE137" s="91" t="str">
        <f t="shared" si="37"/>
        <v>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 &amp; aws s3 cp s3://rtdc.mdm.uploadarchive.raw/RTDC4001/ "%USERPROFILE%\AppData\Local\Temp\OnboardLogs"\RTDC4001\2016-11-23 --exclude "*" --recursive --include "*20161123*" &amp; "%USERPROFILE%\Documents\GitHub\mrs-test-scripts\Headless Mode &amp; Sideloading\WalkAndUnGZ.bat" "%USERPROFILE%\AppData\Local\Temp\OnboardLogs"\RTDC4001\2016-11-23</v>
      </c>
      <c r="AF137" s="88" t="str">
        <f t="shared" si="38"/>
        <v>"C:\Program Files (x86)\AstroGrep\AstroGrep.exe" /spath="%USERPROFILE%\AppData\Local\Temp\OnboardLogs" /stypes="app*4001*20161123*" /stext=" 03:.+((SYSTEM_STATE.+slice.+state.+changed )|(ment ac)|(system.+state.+changed )|(\[timeout)|(PRM\|1\|D)|(kpr)|(kdp)|(\|lc)|(penalty))" /e /r /s</v>
      </c>
      <c r="AG137" s="1" t="str">
        <f t="shared" si="39"/>
        <v>EC</v>
      </c>
      <c r="AH137" s="92" t="str">
        <f t="shared" si="40"/>
        <v>"%USERPROFILE%\Documents\GitHub\eaglep3\Utilities\RefineRTDCRunTimes.py" --tripid 220-22 --locoid 4001 --swversion DE.1.0.8.0 --startMP 204:233008 --initTime 2016-11-22T19:21:10 --startdatetime 2016-11-22T19:26:43 --delay 1 --endMP 204:141 --enddatetime 2016-11-22T20:07:49 --enforcementcount 1 &gt;&gt;C:\Users\stu\Documents\GitHub\eaglep3-reporting\EC\2016-11-22-refined-times.txt</v>
      </c>
      <c r="AI137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{"issue":{"subject":"","project_id":79,"tracker_id":40,"status_id":1,"priority_id":2,"assigned_to_id":23,"start_date":"2016-11-22","description":"","custom_fields":[{"id":1,"name":"Subdivision","value":"EC"},{"id":4,"name":"Milepost","value":"0.0141"},{"id":17,"name":"Train ID","value":"220-22"},{"id":16,"name":"Locomotive ID","value":"4001"},{"id":130,"name":"Impact","value":""},{"id":150,"name":"Time of Event (Mountain Time)","value":"20:07:49"},{"id":151,"name":"Denver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</row>
    <row r="138" spans="1:91" s="21" customFormat="1" x14ac:dyDescent="0.25">
      <c r="A138" s="37" t="s">
        <v>605</v>
      </c>
      <c r="B138" s="7">
        <v>4011</v>
      </c>
      <c r="C138" s="22" t="s">
        <v>217</v>
      </c>
      <c r="D138" s="22" t="s">
        <v>301</v>
      </c>
      <c r="E138" s="13">
        <v>42696.787708333337</v>
      </c>
      <c r="F138" s="13">
        <v>42696.791909722226</v>
      </c>
      <c r="G138" s="7">
        <v>1</v>
      </c>
      <c r="H138" s="22" t="s">
        <v>331</v>
      </c>
      <c r="I138" s="13">
        <v>42696.818194444444</v>
      </c>
      <c r="J138" s="7">
        <v>0</v>
      </c>
      <c r="K138" s="109" t="str">
        <f t="shared" si="26"/>
        <v>4011/4012</v>
      </c>
      <c r="L138" s="22" t="str">
        <f>VLOOKUP(A138,'Trips&amp;Operators'!$C$1:$E$10000,3,FALSE)</f>
        <v>DAVIDSON</v>
      </c>
      <c r="M138" s="6">
        <f t="shared" si="42"/>
        <v>2.6284722218406387E-2</v>
      </c>
      <c r="N138" s="7">
        <f t="shared" si="49"/>
        <v>37.849999994505197</v>
      </c>
      <c r="O138" s="7"/>
      <c r="P138" s="7"/>
      <c r="Q138" s="23"/>
      <c r="R138" s="23"/>
      <c r="S138" s="35">
        <f t="shared" si="48"/>
        <v>1</v>
      </c>
      <c r="T138" s="50" t="str">
        <f t="shared" si="29"/>
        <v>NorthBound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17:54:18-700',mode:absolute,to:'2016-11-22 20:38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8" s="52" t="str">
        <f t="shared" si="31"/>
        <v>N</v>
      </c>
      <c r="X138" s="177">
        <f t="shared" si="45"/>
        <v>1</v>
      </c>
      <c r="Y138" s="67">
        <f t="shared" si="46"/>
        <v>4.5999999999999999E-2</v>
      </c>
      <c r="Z138" s="67">
        <f t="shared" si="47"/>
        <v>23.331700000000001</v>
      </c>
      <c r="AA138" s="67">
        <f t="shared" si="35"/>
        <v>23.285700000000002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36"/>
        <v>0221-22</v>
      </c>
      <c r="AE138" s="91" t="str">
        <f t="shared" si="37"/>
        <v>aws s3 cp s3://rtdc.mdm.uploadarchive.raw/RTDC4011/ "%USERPROFILE%\AppData\Local\Temp\OnboardLogs"\RTDC4011\2016-11-22 --exclude "*" --recursive --include "*20161122*" &amp; "%USERPROFILE%\Documents\GitHub\mrs-test-scripts\Headless Mode &amp; Sideloading\WalkAndUnGZ.bat" "%USERPROFILE%\AppData\Local\Temp\OnboardLogs"\RTDC4011\2016-11-22 &amp; aws s3 cp s3://rtdc.mdm.uploadarchive.raw/RTDC4011/ "%USERPROFILE%\AppData\Local\Temp\OnboardLogs"\RTDC4011\2016-11-23 --exclude "*" --recursive --include "*20161123*" &amp; "%USERPROFILE%\Documents\GitHub\mrs-test-scripts\Headless Mode &amp; Sideloading\WalkAndUnGZ.bat" "%USERPROFILE%\AppData\Local\Temp\OnboardLogs"\RTDC4011\2016-11-23</v>
      </c>
      <c r="AF138" s="88" t="str">
        <f t="shared" si="38"/>
        <v>"C:\Program Files (x86)\AstroGrep\AstroGrep.exe" /spath="%USERPROFILE%\AppData\Local\Temp\OnboardLogs" /stypes="app*4011*20161123*" /stext=" 02:.+((SYSTEM_STATE.+slice.+state.+changed )|(ment ac)|(system.+state.+changed )|(\[timeout)|(PRM\|1\|D)|(kpr)|(kdp)|(\|lc)|(penalty))" /e /r /s</v>
      </c>
      <c r="AG138" s="1" t="str">
        <f t="shared" si="39"/>
        <v>EC</v>
      </c>
      <c r="AH138" s="92" t="str">
        <f t="shared" si="40"/>
        <v>"%USERPROFILE%\Documents\GitHub\eaglep3\Utilities\RefineRTDCRunTimes.py" --tripid 221-22 --locoid 4011 --swversion DE.1.0.8.0 --startMP 204:460 --initTime 2016-11-22T18:54:18 --startdatetime 2016-11-22T19:00:21 --delay 1 --endMP 204:233317 --enddatetime 2016-11-22T19:38:12 --enforcementcount 0 &gt;&gt;C:\Users\stu\Documents\GitHub\eaglep3-reporting\EC\2016-11-22-refined-times.txt</v>
      </c>
      <c r="AI138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{"issue":{"subject":"","project_id":79,"tracker_id":40,"status_id":1,"priority_id":2,"assigned_to_id":23,"start_date":"2016-11-22","description":"","custom_fields":[{"id":1,"name":"Subdivision","value":"EC"},{"id":4,"name":"Milepost","value":"23.3317"},{"id":17,"name":"Train ID","value":"221-22"},{"id":16,"name":"Locomotive ID","value":"4011"},{"id":130,"name":"Impact","value":""},{"id":150,"name":"Time of Event (Mountain Time)","value":"19:38:12"},{"id":151,"name":"Denver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613</v>
      </c>
      <c r="B139" s="7">
        <v>4012</v>
      </c>
      <c r="C139" s="22" t="s">
        <v>217</v>
      </c>
      <c r="D139" s="22" t="s">
        <v>277</v>
      </c>
      <c r="E139" s="13">
        <v>42696.824803240743</v>
      </c>
      <c r="F139" s="13">
        <v>42696.830879629626</v>
      </c>
      <c r="G139" s="7">
        <v>1</v>
      </c>
      <c r="H139" s="22" t="s">
        <v>689</v>
      </c>
      <c r="I139" s="13">
        <v>42696.857812499999</v>
      </c>
      <c r="J139" s="7">
        <v>0</v>
      </c>
      <c r="K139" s="109" t="str">
        <f t="shared" si="26"/>
        <v>4011/4012</v>
      </c>
      <c r="L139" s="22" t="str">
        <f>VLOOKUP(A139,'Trips&amp;Operators'!$C$1:$E$10000,3,FALSE)</f>
        <v>DAVIDSON</v>
      </c>
      <c r="M139" s="6">
        <f t="shared" si="42"/>
        <v>2.6932870372547768E-2</v>
      </c>
      <c r="N139" s="7">
        <f t="shared" si="49"/>
        <v>38.783333336468786</v>
      </c>
      <c r="O139" s="7"/>
      <c r="P139" s="7"/>
      <c r="Q139" s="23"/>
      <c r="R139" s="23"/>
      <c r="S139" s="35">
        <f t="shared" si="48"/>
        <v>1</v>
      </c>
      <c r="T139" s="50" t="str">
        <f t="shared" si="29"/>
        <v>Southbound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18:47:43-700',mode:absolute,to:'2016-11-22 21:35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9" s="52" t="str">
        <f t="shared" si="31"/>
        <v>N</v>
      </c>
      <c r="X139" s="177">
        <f t="shared" si="45"/>
        <v>1</v>
      </c>
      <c r="Y139" s="67">
        <f t="shared" si="46"/>
        <v>23.299299999999999</v>
      </c>
      <c r="Z139" s="67">
        <f t="shared" si="47"/>
        <v>1.78E-2</v>
      </c>
      <c r="AA139" s="67">
        <f t="shared" si="35"/>
        <v>23.281499999999998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36"/>
        <v>0222-22</v>
      </c>
      <c r="AE139" s="91" t="str">
        <f t="shared" si="37"/>
        <v>aws s3 cp s3://rtdc.mdm.uploadarchive.raw/RTDC4012/ "%USERPROFILE%\AppData\Local\Temp\OnboardLogs"\RTDC4012\2016-11-22 --exclude "*" --recursive --include "*20161122*" &amp; "%USERPROFILE%\Documents\GitHub\mrs-test-scripts\Headless Mode &amp; Sideloading\WalkAndUnGZ.bat" "%USERPROFILE%\AppData\Local\Temp\OnboardLogs"\RTDC4012\2016-11-22 &amp; aws s3 cp s3://rtdc.mdm.uploadarchive.raw/RTDC4012/ "%USERPROFILE%\AppData\Local\Temp\OnboardLogs"\RTDC4012\2016-11-23 --exclude "*" --recursive --include "*20161123*" &amp; "%USERPROFILE%\Documents\GitHub\mrs-test-scripts\Headless Mode &amp; Sideloading\WalkAndUnGZ.bat" "%USERPROFILE%\AppData\Local\Temp\OnboardLogs"\RTDC4012\2016-11-23</v>
      </c>
      <c r="AF139" s="88" t="str">
        <f t="shared" si="38"/>
        <v>"C:\Program Files (x86)\AstroGrep\AstroGrep.exe" /spath="%USERPROFILE%\AppData\Local\Temp\OnboardLogs" /stypes="app*4012*20161123*" /stext=" 03:.+((SYSTEM_STATE.+slice.+state.+changed )|(ment ac)|(system.+state.+changed )|(\[timeout)|(PRM\|1\|D)|(kpr)|(kdp)|(\|lc)|(penalty))" /e /r /s</v>
      </c>
      <c r="AG139" s="1" t="str">
        <f t="shared" si="39"/>
        <v>EC</v>
      </c>
      <c r="AH139" s="92" t="str">
        <f t="shared" si="40"/>
        <v>"%USERPROFILE%\Documents\GitHub\eaglep3\Utilities\RefineRTDCRunTimes.py" --tripid 222-22 --locoid 4012 --swversion DE.1.0.8.0 --startMP 204:232993 --initTime 2016-11-22T19:47:43 --startdatetime 2016-11-22T19:56:28 --delay 1 --endMP 204:178 --enddatetime 2016-11-22T20:35:15 --enforcementcount 0 &gt;&gt;C:\Users\stu\Documents\GitHub\eaglep3-reporting\EC\2016-11-22-refined-times.txt</v>
      </c>
      <c r="AI139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{"issue":{"subject":"","project_id":79,"tracker_id":40,"status_id":1,"priority_id":2,"assigned_to_id":23,"start_date":"2016-11-22","description":"","custom_fields":[{"id":1,"name":"Subdivision","value":"EC"},{"id":4,"name":"Milepost","value":"0.0178"},{"id":17,"name":"Train ID","value":"222-22"},{"id":16,"name":"Locomotive ID","value":"4012"},{"id":130,"name":"Impact","value":""},{"id":150,"name":"Time of Event (Mountain Time)","value":"20:35:15"},{"id":151,"name":"Denver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610</v>
      </c>
      <c r="B140" s="7">
        <v>4031</v>
      </c>
      <c r="C140" s="22" t="s">
        <v>217</v>
      </c>
      <c r="D140" s="22" t="s">
        <v>289</v>
      </c>
      <c r="E140" s="13">
        <v>42696.807662037034</v>
      </c>
      <c r="F140" s="13">
        <v>42696.812685185185</v>
      </c>
      <c r="G140" s="7">
        <v>2</v>
      </c>
      <c r="H140" s="22" t="s">
        <v>318</v>
      </c>
      <c r="I140" s="13">
        <v>42696.837291666663</v>
      </c>
      <c r="J140" s="7">
        <v>0</v>
      </c>
      <c r="K140" s="109" t="str">
        <f t="shared" si="26"/>
        <v>4031/4032</v>
      </c>
      <c r="L140" s="22" t="str">
        <f>VLOOKUP(A140,'Trips&amp;Operators'!$C$1:$E$10000,3,FALSE)</f>
        <v>COOLAHAN</v>
      </c>
      <c r="M140" s="6">
        <f t="shared" ref="M140:M171" si="50">I140-F140</f>
        <v>2.4606481478258502E-2</v>
      </c>
      <c r="N140" s="7">
        <f t="shared" si="49"/>
        <v>35.433333328692243</v>
      </c>
      <c r="O140" s="7"/>
      <c r="P140" s="7"/>
      <c r="Q140" s="23"/>
      <c r="R140" s="23"/>
      <c r="S140" s="35">
        <f t="shared" si="48"/>
        <v>1</v>
      </c>
      <c r="T140" s="50" t="str">
        <f t="shared" si="29"/>
        <v>NorthBound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https://search-rtdc-monitor-bjffxe2xuh6vdkpspy63sjmuny.us-east-1.es.amazonaws.com/_plugin/kibana/#/discover/Steve-Slow-Train-Analysis-(2080s-and-2083s)?_g=(refreshInterval:(display:Off,section:0,value:0),time:(from:'2016-11-22 18:23:02-700',mode:absolute,to:'2016-11-22 21:05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40" s="52" t="str">
        <f t="shared" si="31"/>
        <v>N</v>
      </c>
      <c r="X140" s="177">
        <f t="shared" si="45"/>
        <v>1</v>
      </c>
      <c r="Y140" s="67">
        <f t="shared" si="46"/>
        <v>4.4600000000000001E-2</v>
      </c>
      <c r="Z140" s="67">
        <f t="shared" si="47"/>
        <v>23.333100000000002</v>
      </c>
      <c r="AA140" s="67">
        <f t="shared" si="35"/>
        <v>23.288500000000003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si="36"/>
        <v>0223-22</v>
      </c>
      <c r="AE140" s="91" t="str">
        <f t="shared" si="37"/>
        <v>aws s3 cp s3://rtdc.mdm.uploadarchive.raw/RTDC4031/ "%USERPROFILE%\AppData\Local\Temp\OnboardLogs"\RTDC4031\2016-11-22 --exclude "*" --recursive --include "*20161122*" &amp; "%USERPROFILE%\Documents\GitHub\mrs-test-scripts\Headless Mode &amp; Sideloading\WalkAndUnGZ.bat" "%USERPROFILE%\AppData\Local\Temp\OnboardLogs"\RTDC4031\2016-11-22 &amp; aws s3 cp s3://rtdc.mdm.uploadarchive.raw/RTDC4031/ "%USERPROFILE%\AppData\Local\Temp\OnboardLogs"\RTDC4031\2016-11-23 --exclude "*" --recursive --include "*20161123*" &amp; "%USERPROFILE%\Documents\GitHub\mrs-test-scripts\Headless Mode &amp; Sideloading\WalkAndUnGZ.bat" "%USERPROFILE%\AppData\Local\Temp\OnboardLogs"\RTDC4031\2016-11-23</v>
      </c>
      <c r="AF140" s="88" t="str">
        <f t="shared" si="38"/>
        <v>"C:\Program Files (x86)\AstroGrep\AstroGrep.exe" /spath="%USERPROFILE%\AppData\Local\Temp\OnboardLogs" /stypes="app*4031*20161123*" /stext=" 03:.+((SYSTEM_STATE.+slice.+state.+changed )|(ment ac)|(system.+state.+changed )|(\[timeout)|(PRM\|1\|D)|(kpr)|(kdp)|(\|lc)|(penalty))" /e /r /s</v>
      </c>
      <c r="AG140" s="1" t="str">
        <f t="shared" si="39"/>
        <v>EC</v>
      </c>
      <c r="AH140" s="92" t="str">
        <f t="shared" si="40"/>
        <v>"%USERPROFILE%\Documents\GitHub\eaglep3\Utilities\RefineRTDCRunTimes.py" --tripid 223-22 --locoid 4031 --swversion DE.1.0.8.0 --startMP 204:446 --initTime 2016-11-22T19:23:02 --startdatetime 2016-11-22T19:30:16 --delay 2 --endMP 204:233331 --enddatetime 2016-11-22T20:05:42 --enforcementcount 0 &gt;&gt;C:\Users\stu\Documents\GitHub\eaglep3-reporting\EC\2016-11-22-refined-times.txt</v>
      </c>
      <c r="AI140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{"issue":{"subject":"","project_id":79,"tracker_id":40,"status_id":1,"priority_id":2,"assigned_to_id":23,"start_date":"2016-11-22","description":"","custom_fields":[{"id":1,"name":"Subdivision","value":"EC"},{"id":4,"name":"Milepost","value":"23.3331"},{"id":17,"name":"Train ID","value":"223-22"},{"id":16,"name":"Locomotive ID","value":"4031"},{"id":130,"name":"Impact","value":""},{"id":150,"name":"Time of Event (Mountain Time)","value":"20:05:42"},{"id":151,"name":"Denver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443</v>
      </c>
      <c r="B141" s="7">
        <v>4032</v>
      </c>
      <c r="C141" s="22" t="s">
        <v>217</v>
      </c>
      <c r="D141" s="22" t="s">
        <v>670</v>
      </c>
      <c r="E141" s="13">
        <v>42696.848680555559</v>
      </c>
      <c r="F141" s="13">
        <v>42696.85193287037</v>
      </c>
      <c r="G141" s="7">
        <v>4</v>
      </c>
      <c r="H141" s="22" t="s">
        <v>690</v>
      </c>
      <c r="I141" s="13">
        <v>42696.87777777778</v>
      </c>
      <c r="J141" s="7">
        <v>1</v>
      </c>
      <c r="K141" s="109" t="str">
        <f t="shared" ref="K141:K204" si="51">IF(ISEVEN(B141),(B141-1)&amp;"/"&amp;B141,B141&amp;"/"&amp;(B141+1))</f>
        <v>4031/4032</v>
      </c>
      <c r="L141" s="22" t="str">
        <f>VLOOKUP(A141,'Trips&amp;Operators'!$C$1:$E$10000,3,FALSE)</f>
        <v>COOLAHAN</v>
      </c>
      <c r="M141" s="6">
        <f t="shared" si="50"/>
        <v>2.584490740991896E-2</v>
      </c>
      <c r="N141" s="7">
        <f t="shared" si="49"/>
        <v>37.216666670283303</v>
      </c>
      <c r="O141" s="7"/>
      <c r="P141" s="7"/>
      <c r="Q141" s="23"/>
      <c r="R141" s="23"/>
      <c r="S141" s="35">
        <f t="shared" si="48"/>
        <v>1</v>
      </c>
      <c r="T141" s="50" t="str">
        <f t="shared" ref="T141:T204" si="52">IF(ISEVEN(LEFT(AD141,4)),"Southbound","NorthBound")</f>
        <v>Southbound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53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https://search-rtdc-monitor-bjffxe2xuh6vdkpspy63sjmuny.us-east-1.es.amazonaws.com/_plugin/kibana/#/discover/Steve-Slow-Train-Analysis-(2080s-and-2083s)?_g=(refreshInterval:(display:Off,section:0,value:0),time:(from:'2016-11-22 19:22:06-700',mode:absolute,to:'2016-11-22 22:04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1" s="52" t="str">
        <f t="shared" ref="W141:W204" si="54">IF(AA141&lt;IF(AG141="EC",23,5.65),"Y","N")</f>
        <v>N</v>
      </c>
      <c r="X141" s="177">
        <f t="shared" ref="X141:X158" si="55">VALUE(LEFT(AD141,4))-VALUE(LEFT(AD140,4))</f>
        <v>1</v>
      </c>
      <c r="Y141" s="67">
        <f t="shared" ref="Y141:Y159" si="56">RIGHT(D141,LEN(D141)-4)/10000</f>
        <v>23.3004</v>
      </c>
      <c r="Z141" s="67">
        <f t="shared" ref="Z141:Z159" si="57">RIGHT(H141,LEN(H141)-4)/10000</f>
        <v>1.8499999999999999E-2</v>
      </c>
      <c r="AA141" s="67">
        <f t="shared" ref="AA141:AA204" si="58">ABS(Z141-Y141)</f>
        <v>23.2819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ref="AD141:AD204" si="59">IF(LEN(A141)=6,"0"&amp;A141,A141)</f>
        <v>0224-22</v>
      </c>
      <c r="AE141" s="91" t="str">
        <f t="shared" ref="AE141:AE204" si="6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 &amp; aws s3 cp s3://rtdc.mdm.uploadarchive.raw/RTDC4032/ "%USERPROFILE%\AppData\Local\Temp\OnboardLogs"\RTDC4032\2016-11-23 --exclude "*" --recursive --include "*20161123*" &amp; "%USERPROFILE%\Documents\GitHub\mrs-test-scripts\Headless Mode &amp; Sideloading\WalkAndUnGZ.bat" "%USERPROFILE%\AppData\Local\Temp\OnboardLogs"\RTDC4032\2016-11-23</v>
      </c>
      <c r="AF141" s="88" t="str">
        <f t="shared" ref="AF141:AF204" si="61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/stypes="app*4032*20161123*" /stext=" 04:.+((SYSTEM_STATE.+slice.+state.+changed )|(ment ac)|(system.+state.+changed )|(\[timeout)|(PRM\|1\|D)|(kpr)|(kdp)|(\|lc)|(penalty))" /e /r /s</v>
      </c>
      <c r="AG141" s="1" t="str">
        <f t="shared" ref="AG141:AG204" si="62">IFERROR(IF(VALUE(LEFT(AD141,2))&lt;=2,"EC",IF(OR(VALUE(LEFT(AD141,2))=8,VALUE(LEFT(AD141,2))=18),"NW","Other")),"Other")</f>
        <v>EC</v>
      </c>
      <c r="AH141" s="92" t="str">
        <f t="shared" si="40"/>
        <v>"%USERPROFILE%\Documents\GitHub\eaglep3\Utilities\RefineRTDCRunTimes.py" --tripid 224-22 --locoid 4032 --swversion DE.1.0.8.0 --startMP 204:233004 --initTime 2016-11-22T20:22:06 --startdatetime 2016-11-22T20:26:47 --delay 4 --endMP 204:185 --enddatetime 2016-11-22T21:04:00 --enforcementcount 1 &gt;&gt;C:\Users\stu\Documents\GitHub\eaglep3-reporting\EC\2016-11-22-refined-times.txt</v>
      </c>
      <c r="AI141" s="119" t="str">
        <f t="shared" si="41"/>
        <v>echo {"issue":{"subject":"","project_id":79,"tracker_id":40,"status_id":1,"priority_id":2,"assigned_to_id":23,"start_date":"2016-11-22","description":"","custom_fields":[{"id":1,"name":"Subdivision","value":"EC"},{"id":4,"name":"Milepost","value":"0.0185"},{"id":17,"name":"Train ID","value":"224-22"},{"id":16,"name":"Locomotive ID","value":"4032"},{"id":130,"name":"Impact","value":""},{"id":150,"name":"Time of Event (Mountain Time)","value":"21:04:00"},{"id":151,"name":"Denver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615</v>
      </c>
      <c r="B142" s="7">
        <v>4038</v>
      </c>
      <c r="C142" s="22" t="s">
        <v>217</v>
      </c>
      <c r="D142" s="22" t="s">
        <v>199</v>
      </c>
      <c r="E142" s="13">
        <v>42696.82916666667</v>
      </c>
      <c r="F142" s="13">
        <v>42696.833599537036</v>
      </c>
      <c r="G142" s="7">
        <v>1</v>
      </c>
      <c r="H142" s="22" t="s">
        <v>691</v>
      </c>
      <c r="I142" s="13">
        <v>42696.858553240738</v>
      </c>
      <c r="J142" s="7">
        <v>0</v>
      </c>
      <c r="K142" s="109" t="str">
        <f t="shared" si="51"/>
        <v>4037/4038</v>
      </c>
      <c r="L142" s="22" t="str">
        <f>VLOOKUP(A142,'Trips&amp;Operators'!$C$1:$E$10000,3,FALSE)</f>
        <v>SAFIEF</v>
      </c>
      <c r="M142" s="6">
        <f t="shared" si="50"/>
        <v>2.495370370161254E-2</v>
      </c>
      <c r="N142" s="7">
        <f t="shared" si="49"/>
        <v>35.933333330322057</v>
      </c>
      <c r="O142" s="7"/>
      <c r="P142" s="7"/>
      <c r="Q142" s="23"/>
      <c r="R142" s="23"/>
      <c r="S142" s="35">
        <f t="shared" si="48"/>
        <v>1</v>
      </c>
      <c r="T142" s="50" t="str">
        <f t="shared" si="52"/>
        <v>NorthBound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18:54:00-700',mode:absolute,to:'2016-11-22 21:36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2" s="52" t="str">
        <f t="shared" si="54"/>
        <v>N</v>
      </c>
      <c r="X142" s="177">
        <f t="shared" si="55"/>
        <v>1</v>
      </c>
      <c r="Y142" s="67">
        <f t="shared" si="56"/>
        <v>4.53E-2</v>
      </c>
      <c r="Z142" s="67">
        <f t="shared" si="57"/>
        <v>23.3338</v>
      </c>
      <c r="AA142" s="67">
        <f t="shared" si="58"/>
        <v>23.288499999999999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59"/>
        <v>0225-22</v>
      </c>
      <c r="AE142" s="91" t="str">
        <f t="shared" si="60"/>
        <v>aws s3 cp s3://rtdc.mdm.uploadarchive.raw/RTDC4038/ "%USERPROFILE%\AppData\Local\Temp\OnboardLogs"\RTDC4038\2016-11-22 --exclude "*" --recursive --include "*20161122*" &amp; "%USERPROFILE%\Documents\GitHub\mrs-test-scripts\Headless Mode &amp; Sideloading\WalkAndUnGZ.bat" "%USERPROFILE%\AppData\Local\Temp\OnboardLogs"\RTDC4038\2016-11-22 &amp; aws s3 cp s3://rtdc.mdm.uploadarchive.raw/RTDC4038/ "%USERPROFILE%\AppData\Local\Temp\OnboardLogs"\RTDC4038\2016-11-23 --exclude "*" --recursive --include "*20161123*" &amp; "%USERPROFILE%\Documents\GitHub\mrs-test-scripts\Headless Mode &amp; Sideloading\WalkAndUnGZ.bat" "%USERPROFILE%\AppData\Local\Temp\OnboardLogs"\RTDC4038\2016-11-23</v>
      </c>
      <c r="AF142" s="88" t="str">
        <f t="shared" si="61"/>
        <v>"C:\Program Files (x86)\AstroGrep\AstroGrep.exe" /spath="%USERPROFILE%\AppData\Local\Temp\OnboardLogs" /stypes="app*4038*20161123*" /stext=" 03:.+((SYSTEM_STATE.+slice.+state.+changed )|(ment ac)|(system.+state.+changed )|(\[timeout)|(PRM\|1\|D)|(kpr)|(kdp)|(\|lc)|(penalty))" /e /r /s</v>
      </c>
      <c r="AG142" s="1" t="str">
        <f t="shared" si="62"/>
        <v>EC</v>
      </c>
      <c r="AH142" s="92" t="str">
        <f t="shared" ref="AH142:AH203" si="63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225-22 --locoid 4038 --swversion DE.1.0.8.0 --startMP 204:453 --initTime 2016-11-22T19:54:00 --startdatetime 2016-11-22T20:00:23 --delay 1 --endMP 204:233338 --enddatetime 2016-11-22T20:36:19 --enforcementcount 0 &gt;&gt;C:\Users\stu\Documents\GitHub\eaglep3-reporting\EC\2016-11-22-refined-times.txt</v>
      </c>
      <c r="AI142" s="119" t="str">
        <f t="shared" ref="AI142:AI203" si="64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{"issue":{"subject":"","project_id":79,"tracker_id":40,"status_id":1,"priority_id":2,"assigned_to_id":23,"start_date":"2016-11-22","description":"","custom_fields":[{"id":1,"name":"Subdivision","value":"EC"},{"id":4,"name":"Milepost","value":"23.3338"},{"id":17,"name":"Train ID","value":"225-22"},{"id":16,"name":"Locomotive ID","value":"4038"},{"id":130,"name":"Impact","value":""},{"id":150,"name":"Time of Event (Mountain Time)","value":"20:36:19"},{"id":151,"name":"Denver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619</v>
      </c>
      <c r="B143" s="7">
        <v>4037</v>
      </c>
      <c r="C143" s="22" t="s">
        <v>217</v>
      </c>
      <c r="D143" s="22" t="s">
        <v>692</v>
      </c>
      <c r="E143" s="13">
        <v>42696.865636574075</v>
      </c>
      <c r="F143" s="13">
        <v>42696.872407407405</v>
      </c>
      <c r="G143" s="7">
        <v>1</v>
      </c>
      <c r="H143" s="22" t="s">
        <v>275</v>
      </c>
      <c r="I143" s="13">
        <v>42696.900335648148</v>
      </c>
      <c r="J143" s="7">
        <v>0</v>
      </c>
      <c r="K143" s="109" t="str">
        <f t="shared" si="51"/>
        <v>4037/4038</v>
      </c>
      <c r="L143" s="22" t="str">
        <f>VLOOKUP(A143,'Trips&amp;Operators'!$C$1:$E$10000,3,FALSE)</f>
        <v>SAFIEF</v>
      </c>
      <c r="M143" s="6">
        <f t="shared" si="50"/>
        <v>2.792824074276723E-2</v>
      </c>
      <c r="N143" s="7">
        <f t="shared" si="49"/>
        <v>40.216666669584811</v>
      </c>
      <c r="O143" s="7"/>
      <c r="P143" s="7"/>
      <c r="Q143" s="23"/>
      <c r="R143" s="23"/>
      <c r="S143" s="35">
        <f t="shared" si="48"/>
        <v>1</v>
      </c>
      <c r="T143" s="50" t="str">
        <f t="shared" si="52"/>
        <v>Southbound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19:46:31-700',mode:absolute,to:'2016-11-22 22:36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3" s="52" t="str">
        <f t="shared" si="54"/>
        <v>N</v>
      </c>
      <c r="X143" s="177">
        <f t="shared" si="55"/>
        <v>1</v>
      </c>
      <c r="Y143" s="67">
        <f t="shared" si="56"/>
        <v>23.300999999999998</v>
      </c>
      <c r="Z143" s="67">
        <f t="shared" si="57"/>
        <v>1.47E-2</v>
      </c>
      <c r="AA143" s="67">
        <f t="shared" si="58"/>
        <v>23.286299999999997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59"/>
        <v>0226-22</v>
      </c>
      <c r="AE143" s="91" t="str">
        <f t="shared" si="60"/>
        <v>aws s3 cp s3://rtdc.mdm.uploadarchive.raw/RTDC4037/ "%USERPROFILE%\AppData\Local\Temp\OnboardLogs"\RTDC4037\2016-11-22 --exclude "*" --recursive --include "*20161122*" &amp; "%USERPROFILE%\Documents\GitHub\mrs-test-scripts\Headless Mode &amp; Sideloading\WalkAndUnGZ.bat" "%USERPROFILE%\AppData\Local\Temp\OnboardLogs"\RTDC4037\2016-11-22 &amp; aws s3 cp s3://rtdc.mdm.uploadarchive.raw/RTDC4037/ "%USERPROFILE%\AppData\Local\Temp\OnboardLogs"\RTDC4037\2016-11-23 --exclude "*" --recursive --include "*20161123*" &amp; "%USERPROFILE%\Documents\GitHub\mrs-test-scripts\Headless Mode &amp; Sideloading\WalkAndUnGZ.bat" "%USERPROFILE%\AppData\Local\Temp\OnboardLogs"\RTDC4037\2016-11-23</v>
      </c>
      <c r="AF143" s="88" t="str">
        <f t="shared" si="61"/>
        <v>"C:\Program Files (x86)\AstroGrep\AstroGrep.exe" /spath="%USERPROFILE%\AppData\Local\Temp\OnboardLogs" /stypes="app*4037*20161123*" /stext=" 04:.+((SYSTEM_STATE.+slice.+state.+changed )|(ment ac)|(system.+state.+changed )|(\[timeout)|(PRM\|1\|D)|(kpr)|(kdp)|(\|lc)|(penalty))" /e /r /s</v>
      </c>
      <c r="AG143" s="1" t="str">
        <f t="shared" si="62"/>
        <v>EC</v>
      </c>
      <c r="AH143" s="92" t="str">
        <f t="shared" si="63"/>
        <v>"%USERPROFILE%\Documents\GitHub\eaglep3\Utilities\RefineRTDCRunTimes.py" --tripid 226-22 --locoid 4037 --swversion DE.1.0.8.0 --startMP 204:233010 --initTime 2016-11-22T20:46:31 --startdatetime 2016-11-22T20:56:16 --delay 1 --endMP 204:147 --enddatetime 2016-11-22T21:36:29 --enforcementcount 0 &gt;&gt;C:\Users\stu\Documents\GitHub\eaglep3-reporting\EC\2016-11-22-refined-times.txt</v>
      </c>
      <c r="AI143" s="119" t="str">
        <f t="shared" si="64"/>
        <v>echo {"issue":{"subject":"","project_id":79,"tracker_id":40,"status_id":1,"priority_id":2,"assigned_to_id":23,"start_date":"2016-11-22","description":"","custom_fields":[{"id":1,"name":"Subdivision","value":"EC"},{"id":4,"name":"Milepost","value":"0.0147"},{"id":17,"name":"Train ID","value":"226-22"},{"id":16,"name":"Locomotive ID","value":"4037"},{"id":130,"name":"Impact","value":""},{"id":150,"name":"Time of Event (Mountain Time)","value":"21:36:29"},{"id":151,"name":"Denver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616</v>
      </c>
      <c r="B144" s="7">
        <v>4002</v>
      </c>
      <c r="C144" s="22" t="s">
        <v>217</v>
      </c>
      <c r="D144" s="22" t="s">
        <v>367</v>
      </c>
      <c r="E144" s="13">
        <v>42696.840543981481</v>
      </c>
      <c r="F144" s="13">
        <v>42696.937719907408</v>
      </c>
      <c r="G144" s="7">
        <v>1</v>
      </c>
      <c r="H144" s="22" t="s">
        <v>365</v>
      </c>
      <c r="I144" s="13">
        <v>42696.964756944442</v>
      </c>
      <c r="J144" s="7">
        <v>0</v>
      </c>
      <c r="K144" s="109" t="str">
        <f t="shared" si="51"/>
        <v>4001/4002</v>
      </c>
      <c r="L144" s="22" t="str">
        <f>VLOOKUP(A144,'Trips&amp;Operators'!$C$1:$E$10000,3,FALSE)</f>
        <v>NICHOLSON</v>
      </c>
      <c r="M144" s="6">
        <f t="shared" si="50"/>
        <v>2.7037037034460809E-2</v>
      </c>
      <c r="N144" s="7">
        <f t="shared" si="49"/>
        <v>38.933333329623565</v>
      </c>
      <c r="O144" s="7"/>
      <c r="P144" s="7"/>
      <c r="Q144" s="23"/>
      <c r="R144" s="23"/>
      <c r="S144" s="35">
        <f t="shared" si="48"/>
        <v>1</v>
      </c>
      <c r="T144" s="50" t="str">
        <f t="shared" si="52"/>
        <v>NorthBound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19:10:23-700',mode:absolute,to:'2016-11-23 00:09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4" s="52" t="str">
        <f t="shared" si="54"/>
        <v>N</v>
      </c>
      <c r="X144" s="177">
        <f t="shared" si="55"/>
        <v>1</v>
      </c>
      <c r="Y144" s="67">
        <f t="shared" si="56"/>
        <v>4.4400000000000002E-2</v>
      </c>
      <c r="Z144" s="67">
        <f t="shared" si="57"/>
        <v>23.3306</v>
      </c>
      <c r="AA144" s="67">
        <f t="shared" si="58"/>
        <v>23.286200000000001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59"/>
        <v>0227-22</v>
      </c>
      <c r="AE144" s="91" t="str">
        <f t="shared" si="60"/>
        <v>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 &amp; aws s3 cp s3://rtdc.mdm.uploadarchive.raw/RTDC4002/ "%USERPROFILE%\AppData\Local\Temp\OnboardLogs"\RTDC4002\2016-11-23 --exclude "*" --recursive --include "*20161123*" &amp; "%USERPROFILE%\Documents\GitHub\mrs-test-scripts\Headless Mode &amp; Sideloading\WalkAndUnGZ.bat" "%USERPROFILE%\AppData\Local\Temp\OnboardLogs"\RTDC4002\2016-11-23</v>
      </c>
      <c r="AF144" s="88" t="str">
        <f t="shared" si="61"/>
        <v>"C:\Program Files (x86)\AstroGrep\AstroGrep.exe" /spath="%USERPROFILE%\AppData\Local\Temp\OnboardLogs" /stypes="app*4002*20161123*" /stext=" 06:.+((SYSTEM_STATE.+slice.+state.+changed )|(ment ac)|(system.+state.+changed )|(\[timeout)|(PRM\|1\|D)|(kpr)|(kdp)|(\|lc)|(penalty))" /e /r /s</v>
      </c>
      <c r="AG144" s="1" t="str">
        <f t="shared" si="62"/>
        <v>EC</v>
      </c>
      <c r="AH144" s="92" t="str">
        <f t="shared" si="63"/>
        <v>"%USERPROFILE%\Documents\GitHub\eaglep3\Utilities\RefineRTDCRunTimes.py" --tripid 227-22 --locoid 4002 --swversion DE.1.0.8.0 --startMP 204:444 --initTime 2016-11-22T20:10:23 --startdatetime 2016-11-22T22:30:19 --delay 1 --endMP 204:233306 --enddatetime 2016-11-22T23:09:15 --enforcementcount 0 &gt;&gt;C:\Users\stu\Documents\GitHub\eaglep3-reporting\EC\2016-11-22-refined-times.txt</v>
      </c>
      <c r="AI144" s="119" t="str">
        <f t="shared" si="64"/>
        <v>echo {"issue":{"subject":"","project_id":79,"tracker_id":40,"status_id":1,"priority_id":2,"assigned_to_id":23,"start_date":"2016-11-22","description":"","custom_fields":[{"id":1,"name":"Subdivision","value":"EC"},{"id":4,"name":"Milepost","value":"23.3306"},{"id":17,"name":"Train ID","value":"227-22"},{"id":16,"name":"Locomotive ID","value":"4002"},{"id":130,"name":"Impact","value":""},{"id":150,"name":"Time of Event (Mountain Time)","value":"23:09:15"},{"id":151,"name":"Denver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623</v>
      </c>
      <c r="B145" s="7">
        <v>4001</v>
      </c>
      <c r="C145" s="22" t="s">
        <v>217</v>
      </c>
      <c r="D145" s="22" t="s">
        <v>311</v>
      </c>
      <c r="E145" s="13">
        <v>42696.889652777776</v>
      </c>
      <c r="F145" s="13">
        <v>42696.9766087963</v>
      </c>
      <c r="G145" s="7">
        <v>1</v>
      </c>
      <c r="H145" s="22" t="s">
        <v>275</v>
      </c>
      <c r="I145" s="13">
        <v>42697.004305555558</v>
      </c>
      <c r="J145" s="7">
        <v>0</v>
      </c>
      <c r="K145" s="109" t="str">
        <f t="shared" si="51"/>
        <v>4001/4002</v>
      </c>
      <c r="L145" s="22" t="str">
        <f>VLOOKUP(A145,'Trips&amp;Operators'!$C$1:$E$10000,3,FALSE)</f>
        <v>NICHOLSON</v>
      </c>
      <c r="M145" s="6">
        <f t="shared" si="50"/>
        <v>2.7696759258105885E-2</v>
      </c>
      <c r="N145" s="7">
        <f t="shared" si="49"/>
        <v>39.883333331672475</v>
      </c>
      <c r="O145" s="7"/>
      <c r="P145" s="7"/>
      <c r="Q145" s="23"/>
      <c r="R145" s="23"/>
      <c r="S145" s="35">
        <f t="shared" si="48"/>
        <v>1</v>
      </c>
      <c r="T145" s="50" t="str">
        <f t="shared" si="52"/>
        <v>Southbound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20:21:06-700',mode:absolute,to:'2016-11-23 01:06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5" s="52" t="str">
        <f t="shared" si="54"/>
        <v>N</v>
      </c>
      <c r="X145" s="177">
        <f t="shared" si="55"/>
        <v>1</v>
      </c>
      <c r="Y145" s="67">
        <f t="shared" si="56"/>
        <v>23.298500000000001</v>
      </c>
      <c r="Z145" s="67">
        <f t="shared" si="57"/>
        <v>1.47E-2</v>
      </c>
      <c r="AA145" s="67">
        <f t="shared" si="58"/>
        <v>23.283799999999999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59"/>
        <v>0228-22</v>
      </c>
      <c r="AE145" s="91" t="str">
        <f t="shared" si="60"/>
        <v>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 &amp; aws s3 cp s3://rtdc.mdm.uploadarchive.raw/RTDC4001/ "%USERPROFILE%\AppData\Local\Temp\OnboardLogs"\RTDC4001\2016-11-23 --exclude "*" --recursive --include "*20161123*" &amp; "%USERPROFILE%\Documents\GitHub\mrs-test-scripts\Headless Mode &amp; Sideloading\WalkAndUnGZ.bat" "%USERPROFILE%\AppData\Local\Temp\OnboardLogs"\RTDC4001\2016-11-23</v>
      </c>
      <c r="AF145" s="88" t="str">
        <f t="shared" si="61"/>
        <v>"C:\Program Files (x86)\AstroGrep\AstroGrep.exe" /spath="%USERPROFILE%\AppData\Local\Temp\OnboardLogs" /stypes="app*4001*20161123*" /stext=" 07:.+((SYSTEM_STATE.+slice.+state.+changed )|(ment ac)|(system.+state.+changed )|(\[timeout)|(PRM\|1\|D)|(kpr)|(kdp)|(\|lc)|(penalty))" /e /r /s</v>
      </c>
      <c r="AG145" s="1" t="str">
        <f t="shared" si="62"/>
        <v>EC</v>
      </c>
      <c r="AH145" s="92" t="str">
        <f t="shared" si="63"/>
        <v>"%USERPROFILE%\Documents\GitHub\eaglep3\Utilities\RefineRTDCRunTimes.py" --tripid 228-22 --locoid 4001 --swversion DE.1.0.8.0 --startMP 204:232985 --initTime 2016-11-22T21:21:06 --startdatetime 2016-11-22T23:26:19 --delay 1 --endMP 204:147 --enddatetime 2016-11-23T00:06:12 --enforcementcount 0 &gt;&gt;C:\Users\stu\Documents\GitHub\eaglep3-reporting\EC\2016-11-22-refined-times.txt</v>
      </c>
      <c r="AI145" s="119" t="str">
        <f t="shared" si="64"/>
        <v>echo {"issue":{"subject":"","project_id":79,"tracker_id":40,"status_id":1,"priority_id":2,"assigned_to_id":23,"start_date":"2016-11-23","description":"","custom_fields":[{"id":1,"name":"Subdivision","value":"EC"},{"id":4,"name":"Milepost","value":"0.0147"},{"id":17,"name":"Train ID","value":"228-22"},{"id":16,"name":"Locomotive ID","value":"4001"},{"id":130,"name":"Impact","value":""},{"id":150,"name":"Time of Event (Mountain Time)","value":"00:06:12"},{"id":151,"name":"Denver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620</v>
      </c>
      <c r="B146" s="7">
        <v>4011</v>
      </c>
      <c r="C146" s="22" t="s">
        <v>217</v>
      </c>
      <c r="D146" s="22" t="s">
        <v>693</v>
      </c>
      <c r="E146" s="13">
        <v>42696.868958333333</v>
      </c>
      <c r="F146" s="13">
        <v>42696.875543981485</v>
      </c>
      <c r="G146" s="7">
        <v>1</v>
      </c>
      <c r="H146" s="22" t="s">
        <v>376</v>
      </c>
      <c r="I146" s="13">
        <v>42696.900196759256</v>
      </c>
      <c r="J146" s="7">
        <v>0</v>
      </c>
      <c r="K146" s="109" t="str">
        <f t="shared" si="51"/>
        <v>4011/4012</v>
      </c>
      <c r="L146" s="22" t="str">
        <f>VLOOKUP(A146,'Trips&amp;Operators'!$C$1:$E$10000,3,FALSE)</f>
        <v>DAVIDSON</v>
      </c>
      <c r="M146" s="6">
        <f t="shared" si="50"/>
        <v>2.4652777770825196E-2</v>
      </c>
      <c r="N146" s="7">
        <f t="shared" si="49"/>
        <v>35.499999989988282</v>
      </c>
      <c r="O146" s="7"/>
      <c r="P146" s="7"/>
      <c r="Q146" s="23"/>
      <c r="R146" s="23"/>
      <c r="S146" s="35">
        <f t="shared" si="48"/>
        <v>1</v>
      </c>
      <c r="T146" s="50" t="str">
        <f t="shared" si="52"/>
        <v>NorthBound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19:51:18-700',mode:absolute,to:'2016-11-22 22:36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6" s="52" t="str">
        <f t="shared" si="54"/>
        <v>N</v>
      </c>
      <c r="X146" s="177">
        <f t="shared" si="55"/>
        <v>1</v>
      </c>
      <c r="Y146" s="67">
        <f t="shared" si="56"/>
        <v>4.9099999999999998E-2</v>
      </c>
      <c r="Z146" s="67">
        <f t="shared" si="57"/>
        <v>23.331900000000001</v>
      </c>
      <c r="AA146" s="67">
        <f t="shared" si="58"/>
        <v>23.282800000000002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59"/>
        <v>0229-22</v>
      </c>
      <c r="AE146" s="91" t="str">
        <f t="shared" si="60"/>
        <v>aws s3 cp s3://rtdc.mdm.uploadarchive.raw/RTDC4011/ "%USERPROFILE%\AppData\Local\Temp\OnboardLogs"\RTDC4011\2016-11-22 --exclude "*" --recursive --include "*20161122*" &amp; "%USERPROFILE%\Documents\GitHub\mrs-test-scripts\Headless Mode &amp; Sideloading\WalkAndUnGZ.bat" "%USERPROFILE%\AppData\Local\Temp\OnboardLogs"\RTDC4011\2016-11-22 &amp; aws s3 cp s3://rtdc.mdm.uploadarchive.raw/RTDC4011/ "%USERPROFILE%\AppData\Local\Temp\OnboardLogs"\RTDC4011\2016-11-23 --exclude "*" --recursive --include "*20161123*" &amp; "%USERPROFILE%\Documents\GitHub\mrs-test-scripts\Headless Mode &amp; Sideloading\WalkAndUnGZ.bat" "%USERPROFILE%\AppData\Local\Temp\OnboardLogs"\RTDC4011\2016-11-23</v>
      </c>
      <c r="AF146" s="88" t="str">
        <f t="shared" si="61"/>
        <v>"C:\Program Files (x86)\AstroGrep\AstroGrep.exe" /spath="%USERPROFILE%\AppData\Local\Temp\OnboardLogs" /stypes="app*4011*20161123*" /stext=" 04:.+((SYSTEM_STATE.+slice.+state.+changed )|(ment ac)|(system.+state.+changed )|(\[timeout)|(PRM\|1\|D)|(kpr)|(kdp)|(\|lc)|(penalty))" /e /r /s</v>
      </c>
      <c r="AG146" s="1" t="str">
        <f t="shared" si="62"/>
        <v>EC</v>
      </c>
      <c r="AH146" s="92" t="str">
        <f t="shared" si="63"/>
        <v>"%USERPROFILE%\Documents\GitHub\eaglep3\Utilities\RefineRTDCRunTimes.py" --tripid 229-22 --locoid 4011 --swversion DE.1.0.8.0 --startMP 204:491 --initTime 2016-11-22T20:51:18 --startdatetime 2016-11-22T21:00:47 --delay 1 --endMP 204:233319 --enddatetime 2016-11-22T21:36:17 --enforcementcount 0 &gt;&gt;C:\Users\stu\Documents\GitHub\eaglep3-reporting\EC\2016-11-22-refined-times.txt</v>
      </c>
      <c r="AI146" s="119" t="str">
        <f t="shared" si="64"/>
        <v>echo {"issue":{"subject":"","project_id":79,"tracker_id":40,"status_id":1,"priority_id":2,"assigned_to_id":23,"start_date":"2016-11-22","description":"","custom_fields":[{"id":1,"name":"Subdivision","value":"EC"},{"id":4,"name":"Milepost","value":"23.3319"},{"id":17,"name":"Train ID","value":"229-22"},{"id":16,"name":"Locomotive ID","value":"4011"},{"id":130,"name":"Impact","value":""},{"id":150,"name":"Time of Event (Mountain Time)","value":"21:36:17"},{"id":151,"name":"Denver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626</v>
      </c>
      <c r="B147" s="7">
        <v>4012</v>
      </c>
      <c r="C147" s="22" t="s">
        <v>217</v>
      </c>
      <c r="D147" s="22" t="s">
        <v>287</v>
      </c>
      <c r="E147" s="13">
        <v>42696.907881944448</v>
      </c>
      <c r="F147" s="13">
        <v>42696.914097222223</v>
      </c>
      <c r="G147" s="7">
        <v>1</v>
      </c>
      <c r="H147" s="22" t="s">
        <v>251</v>
      </c>
      <c r="I147" s="13">
        <v>42696.940613425926</v>
      </c>
      <c r="J147" s="7">
        <v>0</v>
      </c>
      <c r="K147" s="109" t="str">
        <f t="shared" si="51"/>
        <v>4011/4012</v>
      </c>
      <c r="L147" s="22" t="str">
        <f>VLOOKUP(A147,'Trips&amp;Operators'!$C$1:$E$10000,3,FALSE)</f>
        <v>DAVIDSON</v>
      </c>
      <c r="M147" s="6">
        <f t="shared" si="50"/>
        <v>2.6516203703067731E-2</v>
      </c>
      <c r="N147" s="7">
        <f t="shared" si="49"/>
        <v>38.183333332417533</v>
      </c>
      <c r="O147" s="7"/>
      <c r="P147" s="7"/>
      <c r="Q147" s="23"/>
      <c r="R147" s="23"/>
      <c r="S147" s="35">
        <f t="shared" si="48"/>
        <v>1</v>
      </c>
      <c r="T147" s="50" t="str">
        <f t="shared" si="52"/>
        <v>Southbound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20:47:21-700',mode:absolute,to:'2016-11-22 23:34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7" s="52" t="str">
        <f t="shared" si="54"/>
        <v>N</v>
      </c>
      <c r="X147" s="177">
        <f t="shared" si="55"/>
        <v>1</v>
      </c>
      <c r="Y147" s="67">
        <f t="shared" si="56"/>
        <v>23.299099999999999</v>
      </c>
      <c r="Z147" s="67">
        <f t="shared" si="57"/>
        <v>1.54E-2</v>
      </c>
      <c r="AA147" s="67">
        <f t="shared" si="58"/>
        <v>23.2837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59"/>
        <v>0230-22</v>
      </c>
      <c r="AE147" s="91" t="str">
        <f t="shared" si="60"/>
        <v>aws s3 cp s3://rtdc.mdm.uploadarchive.raw/RTDC4012/ "%USERPROFILE%\AppData\Local\Temp\OnboardLogs"\RTDC4012\2016-11-22 --exclude "*" --recursive --include "*20161122*" &amp; "%USERPROFILE%\Documents\GitHub\mrs-test-scripts\Headless Mode &amp; Sideloading\WalkAndUnGZ.bat" "%USERPROFILE%\AppData\Local\Temp\OnboardLogs"\RTDC4012\2016-11-22 &amp; aws s3 cp s3://rtdc.mdm.uploadarchive.raw/RTDC4012/ "%USERPROFILE%\AppData\Local\Temp\OnboardLogs"\RTDC4012\2016-11-23 --exclude "*" --recursive --include "*20161123*" &amp; "%USERPROFILE%\Documents\GitHub\mrs-test-scripts\Headless Mode &amp; Sideloading\WalkAndUnGZ.bat" "%USERPROFILE%\AppData\Local\Temp\OnboardLogs"\RTDC4012\2016-11-23</v>
      </c>
      <c r="AF147" s="88" t="str">
        <f t="shared" si="61"/>
        <v>"C:\Program Files (x86)\AstroGrep\AstroGrep.exe" /spath="%USERPROFILE%\AppData\Local\Temp\OnboardLogs" /stypes="app*4012*20161123*" /stext=" 05:.+((SYSTEM_STATE.+slice.+state.+changed )|(ment ac)|(system.+state.+changed )|(\[timeout)|(PRM\|1\|D)|(kpr)|(kdp)|(\|lc)|(penalty))" /e /r /s</v>
      </c>
      <c r="AG147" s="1" t="str">
        <f t="shared" si="62"/>
        <v>EC</v>
      </c>
      <c r="AH147" s="92" t="str">
        <f t="shared" si="63"/>
        <v>"%USERPROFILE%\Documents\GitHub\eaglep3\Utilities\RefineRTDCRunTimes.py" --tripid 230-22 --locoid 4012 --swversion DE.1.0.8.0 --startMP 204:232991 --initTime 2016-11-22T21:47:21 --startdatetime 2016-11-22T21:56:18 --delay 1 --endMP 204:154 --enddatetime 2016-11-22T22:34:29 --enforcementcount 0 &gt;&gt;C:\Users\stu\Documents\GitHub\eaglep3-reporting\EC\2016-11-22-refined-times.txt</v>
      </c>
      <c r="AI147" s="119" t="str">
        <f t="shared" si="64"/>
        <v>echo {"issue":{"subject":"","project_id":79,"tracker_id":40,"status_id":1,"priority_id":2,"assigned_to_id":23,"start_date":"2016-11-22","description":"","custom_fields":[{"id":1,"name":"Subdivision","value":"EC"},{"id":4,"name":"Milepost","value":"0.0154"},{"id":17,"name":"Train ID","value":"230-22"},{"id":16,"name":"Locomotive ID","value":"4012"},{"id":130,"name":"Impact","value":""},{"id":150,"name":"Time of Event (Mountain Time)","value":"22:34:29"},{"id":151,"name":"Denver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622</v>
      </c>
      <c r="B148" s="7">
        <v>4031</v>
      </c>
      <c r="C148" s="22" t="s">
        <v>217</v>
      </c>
      <c r="D148" s="22" t="s">
        <v>679</v>
      </c>
      <c r="E148" s="13">
        <v>42696.879282407404</v>
      </c>
      <c r="F148" s="13">
        <v>42696.896157407406</v>
      </c>
      <c r="G148" s="7">
        <v>1</v>
      </c>
      <c r="H148" s="22" t="s">
        <v>332</v>
      </c>
      <c r="I148" s="13">
        <v>42696.92082175926</v>
      </c>
      <c r="J148" s="7">
        <v>0</v>
      </c>
      <c r="K148" s="109" t="str">
        <f t="shared" si="51"/>
        <v>4031/4032</v>
      </c>
      <c r="L148" s="22" t="str">
        <f>VLOOKUP(A148,'Trips&amp;Operators'!$C$1:$E$10000,3,FALSE)</f>
        <v>COOLAHAN</v>
      </c>
      <c r="M148" s="6">
        <f t="shared" si="50"/>
        <v>2.4664351854880806E-2</v>
      </c>
      <c r="N148" s="7">
        <f t="shared" si="49"/>
        <v>35.516666671028361</v>
      </c>
      <c r="O148" s="7"/>
      <c r="P148" s="7"/>
      <c r="Q148" s="23"/>
      <c r="R148" s="23"/>
      <c r="S148" s="35">
        <f t="shared" si="48"/>
        <v>1</v>
      </c>
      <c r="T148" s="50" t="str">
        <f t="shared" si="52"/>
        <v>NorthBound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20:06:10-700',mode:absolute,to:'2016-11-22 23:05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48" s="52" t="str">
        <f t="shared" si="54"/>
        <v>N</v>
      </c>
      <c r="X148" s="177">
        <f t="shared" si="55"/>
        <v>1</v>
      </c>
      <c r="Y148" s="67">
        <f t="shared" si="56"/>
        <v>5.0599999999999999E-2</v>
      </c>
      <c r="Z148" s="67">
        <f t="shared" si="57"/>
        <v>23.332100000000001</v>
      </c>
      <c r="AA148" s="67">
        <f t="shared" si="58"/>
        <v>23.281500000000001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59"/>
        <v>0231-22</v>
      </c>
      <c r="AE148" s="91" t="str">
        <f t="shared" si="60"/>
        <v>aws s3 cp s3://rtdc.mdm.uploadarchive.raw/RTDC4031/ "%USERPROFILE%\AppData\Local\Temp\OnboardLogs"\RTDC4031\2016-11-22 --exclude "*" --recursive --include "*20161122*" &amp; "%USERPROFILE%\Documents\GitHub\mrs-test-scripts\Headless Mode &amp; Sideloading\WalkAndUnGZ.bat" "%USERPROFILE%\AppData\Local\Temp\OnboardLogs"\RTDC4031\2016-11-22 &amp; aws s3 cp s3://rtdc.mdm.uploadarchive.raw/RTDC4031/ "%USERPROFILE%\AppData\Local\Temp\OnboardLogs"\RTDC4031\2016-11-23 --exclude "*" --recursive --include "*20161123*" &amp; "%USERPROFILE%\Documents\GitHub\mrs-test-scripts\Headless Mode &amp; Sideloading\WalkAndUnGZ.bat" "%USERPROFILE%\AppData\Local\Temp\OnboardLogs"\RTDC4031\2016-11-23</v>
      </c>
      <c r="AF148" s="88" t="str">
        <f t="shared" si="61"/>
        <v>"C:\Program Files (x86)\AstroGrep\AstroGrep.exe" /spath="%USERPROFILE%\AppData\Local\Temp\OnboardLogs" /stypes="app*4031*20161123*" /stext=" 05:.+((SYSTEM_STATE.+slice.+state.+changed )|(ment ac)|(system.+state.+changed )|(\[timeout)|(PRM\|1\|D)|(kpr)|(kdp)|(\|lc)|(penalty))" /e /r /s</v>
      </c>
      <c r="AG148" s="1" t="str">
        <f t="shared" si="62"/>
        <v>EC</v>
      </c>
      <c r="AH148" s="92" t="str">
        <f t="shared" si="63"/>
        <v>"%USERPROFILE%\Documents\GitHub\eaglep3\Utilities\RefineRTDCRunTimes.py" --tripid 231-22 --locoid 4031 --swversion DE.1.0.8.0 --startMP 204:506 --initTime 2016-11-22T21:06:10 --startdatetime 2016-11-22T21:30:28 --delay 1 --endMP 204:233321 --enddatetime 2016-11-22T22:05:59 --enforcementcount 0 &gt;&gt;C:\Users\stu\Documents\GitHub\eaglep3-reporting\EC\2016-11-22-refined-times.txt</v>
      </c>
      <c r="AI148" s="119" t="str">
        <f t="shared" si="64"/>
        <v>echo {"issue":{"subject":"","project_id":79,"tracker_id":40,"status_id":1,"priority_id":2,"assigned_to_id":23,"start_date":"2016-11-22","description":"","custom_fields":[{"id":1,"name":"Subdivision","value":"EC"},{"id":4,"name":"Milepost","value":"23.3321"},{"id":17,"name":"Train ID","value":"231-22"},{"id":16,"name":"Locomotive ID","value":"4031"},{"id":130,"name":"Impact","value":""},{"id":150,"name":"Time of Event (Mountain Time)","value":"22:05:59"},{"id":151,"name":"Denver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7" t="s">
        <v>628</v>
      </c>
      <c r="B149" s="7">
        <v>4032</v>
      </c>
      <c r="C149" s="22" t="s">
        <v>217</v>
      </c>
      <c r="D149" s="22" t="s">
        <v>670</v>
      </c>
      <c r="E149" s="13">
        <v>42696.930474537039</v>
      </c>
      <c r="F149" s="13">
        <v>42696.935081018521</v>
      </c>
      <c r="G149" s="7">
        <v>1</v>
      </c>
      <c r="H149" s="22" t="s">
        <v>675</v>
      </c>
      <c r="I149" s="13">
        <v>42696.960879629631</v>
      </c>
      <c r="J149" s="7">
        <v>0</v>
      </c>
      <c r="K149" s="109" t="str">
        <f t="shared" si="51"/>
        <v>4031/4032</v>
      </c>
      <c r="L149" s="22" t="str">
        <f>VLOOKUP(A149,'Trips&amp;Operators'!$C$1:$E$10000,3,FALSE)</f>
        <v>COOLAHAN</v>
      </c>
      <c r="M149" s="6">
        <f t="shared" si="50"/>
        <v>2.5798611110076308E-2</v>
      </c>
      <c r="N149" s="7">
        <f t="shared" si="49"/>
        <v>37.149999998509884</v>
      </c>
      <c r="O149" s="7"/>
      <c r="P149" s="7"/>
      <c r="Q149" s="23"/>
      <c r="R149" s="23"/>
      <c r="S149" s="35">
        <f t="shared" si="48"/>
        <v>1</v>
      </c>
      <c r="T149" s="50" t="str">
        <f t="shared" si="52"/>
        <v>Southbound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21:19:53-700',mode:absolute,to:'2016-11-23 00:03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9" s="52" t="str">
        <f t="shared" si="54"/>
        <v>N</v>
      </c>
      <c r="X149" s="177">
        <f t="shared" si="55"/>
        <v>1</v>
      </c>
      <c r="Y149" s="67">
        <f t="shared" si="56"/>
        <v>23.3004</v>
      </c>
      <c r="Z149" s="67">
        <f t="shared" si="57"/>
        <v>1.2699999999999999E-2</v>
      </c>
      <c r="AA149" s="67">
        <f t="shared" si="58"/>
        <v>23.287700000000001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59"/>
        <v>0232-22</v>
      </c>
      <c r="AE149" s="91" t="str">
        <f t="shared" si="60"/>
        <v>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 &amp; aws s3 cp s3://rtdc.mdm.uploadarchive.raw/RTDC4032/ "%USERPROFILE%\AppData\Local\Temp\OnboardLogs"\RTDC4032\2016-11-23 --exclude "*" --recursive --include "*20161123*" &amp; "%USERPROFILE%\Documents\GitHub\mrs-test-scripts\Headless Mode &amp; Sideloading\WalkAndUnGZ.bat" "%USERPROFILE%\AppData\Local\Temp\OnboardLogs"\RTDC4032\2016-11-23</v>
      </c>
      <c r="AF149" s="88" t="str">
        <f t="shared" si="61"/>
        <v>"C:\Program Files (x86)\AstroGrep\AstroGrep.exe" /spath="%USERPROFILE%\AppData\Local\Temp\OnboardLogs" /stypes="app*4032*20161123*" /stext=" 06:.+((SYSTEM_STATE.+slice.+state.+changed )|(ment ac)|(system.+state.+changed )|(\[timeout)|(PRM\|1\|D)|(kpr)|(kdp)|(\|lc)|(penalty))" /e /r /s</v>
      </c>
      <c r="AG149" s="1" t="str">
        <f t="shared" si="62"/>
        <v>EC</v>
      </c>
      <c r="AH149" s="92" t="str">
        <f t="shared" si="63"/>
        <v>"%USERPROFILE%\Documents\GitHub\eaglep3\Utilities\RefineRTDCRunTimes.py" --tripid 232-22 --locoid 4032 --swversion DE.1.0.8.0 --startMP 204:233004 --initTime 2016-11-22T22:19:53 --startdatetime 2016-11-22T22:26:31 --delay 1 --endMP 204:127 --enddatetime 2016-11-22T23:03:40 --enforcementcount 0 &gt;&gt;C:\Users\stu\Documents\GitHub\eaglep3-reporting\EC\2016-11-22-refined-times.txt</v>
      </c>
      <c r="AI149" s="119" t="str">
        <f t="shared" si="64"/>
        <v>echo {"issue":{"subject":"","project_id":79,"tracker_id":40,"status_id":1,"priority_id":2,"assigned_to_id":23,"start_date":"2016-11-22","description":"","custom_fields":[{"id":1,"name":"Subdivision","value":"EC"},{"id":4,"name":"Milepost","value":"0.0127"},{"id":17,"name":"Train ID","value":"232-22"},{"id":16,"name":"Locomotive ID","value":"4032"},{"id":130,"name":"Impact","value":""},{"id":150,"name":"Time of Event (Mountain Time)","value":"23:03:40"},{"id":151,"name":"Denver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</row>
    <row r="150" spans="1:91" s="21" customFormat="1" x14ac:dyDescent="0.25">
      <c r="A150" s="37" t="s">
        <v>625</v>
      </c>
      <c r="B150" s="7">
        <v>4038</v>
      </c>
      <c r="C150" s="22" t="s">
        <v>217</v>
      </c>
      <c r="D150" s="22" t="s">
        <v>288</v>
      </c>
      <c r="E150" s="13">
        <v>42696.901747685188</v>
      </c>
      <c r="F150" s="13">
        <v>42696.916828703703</v>
      </c>
      <c r="G150" s="7">
        <v>1</v>
      </c>
      <c r="H150" s="22" t="s">
        <v>376</v>
      </c>
      <c r="I150" s="13">
        <v>42696.941041666665</v>
      </c>
      <c r="J150" s="7">
        <v>0</v>
      </c>
      <c r="K150" s="109" t="str">
        <f t="shared" si="51"/>
        <v>4037/4038</v>
      </c>
      <c r="L150" s="22" t="str">
        <f>VLOOKUP(A150,'Trips&amp;Operators'!$C$1:$E$10000,3,FALSE)</f>
        <v>SAFIEF</v>
      </c>
      <c r="M150" s="6">
        <f t="shared" si="50"/>
        <v>2.421296296233777E-2</v>
      </c>
      <c r="N150" s="7">
        <f t="shared" si="49"/>
        <v>34.866666665766388</v>
      </c>
      <c r="O150" s="7"/>
      <c r="P150" s="7"/>
      <c r="Q150" s="23"/>
      <c r="R150" s="23"/>
      <c r="S150" s="35">
        <f t="shared" si="48"/>
        <v>1</v>
      </c>
      <c r="T150" s="50" t="str">
        <f t="shared" si="52"/>
        <v>NorthBound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20:38:31-700',mode:absolute,to:'2016-11-22 23:35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0" s="52" t="str">
        <f t="shared" si="54"/>
        <v>N</v>
      </c>
      <c r="X150" s="177">
        <f t="shared" si="55"/>
        <v>1</v>
      </c>
      <c r="Y150" s="67">
        <f t="shared" si="56"/>
        <v>4.4200000000000003E-2</v>
      </c>
      <c r="Z150" s="67">
        <f t="shared" si="57"/>
        <v>23.331900000000001</v>
      </c>
      <c r="AA150" s="67">
        <f t="shared" si="58"/>
        <v>23.287700000000001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si="59"/>
        <v>0233-22</v>
      </c>
      <c r="AE150" s="91" t="str">
        <f t="shared" si="60"/>
        <v>aws s3 cp s3://rtdc.mdm.uploadarchive.raw/RTDC4038/ "%USERPROFILE%\AppData\Local\Temp\OnboardLogs"\RTDC4038\2016-11-22 --exclude "*" --recursive --include "*20161122*" &amp; "%USERPROFILE%\Documents\GitHub\mrs-test-scripts\Headless Mode &amp; Sideloading\WalkAndUnGZ.bat" "%USERPROFILE%\AppData\Local\Temp\OnboardLogs"\RTDC4038\2016-11-22 &amp; aws s3 cp s3://rtdc.mdm.uploadarchive.raw/RTDC4038/ "%USERPROFILE%\AppData\Local\Temp\OnboardLogs"\RTDC4038\2016-11-23 --exclude "*" --recursive --include "*20161123*" &amp; "%USERPROFILE%\Documents\GitHub\mrs-test-scripts\Headless Mode &amp; Sideloading\WalkAndUnGZ.bat" "%USERPROFILE%\AppData\Local\Temp\OnboardLogs"\RTDC4038\2016-11-23</v>
      </c>
      <c r="AF150" s="88" t="str">
        <f t="shared" si="61"/>
        <v>"C:\Program Files (x86)\AstroGrep\AstroGrep.exe" /spath="%USERPROFILE%\AppData\Local\Temp\OnboardLogs" /stypes="app*4038*20161123*" /stext=" 05:.+((SYSTEM_STATE.+slice.+state.+changed )|(ment ac)|(system.+state.+changed )|(\[timeout)|(PRM\|1\|D)|(kpr)|(kdp)|(\|lc)|(penalty))" /e /r /s</v>
      </c>
      <c r="AG150" s="1" t="str">
        <f t="shared" si="62"/>
        <v>EC</v>
      </c>
      <c r="AH150" s="92" t="str">
        <f t="shared" si="63"/>
        <v>"%USERPROFILE%\Documents\GitHub\eaglep3\Utilities\RefineRTDCRunTimes.py" --tripid 233-22 --locoid 4038 --swversion DE.1.0.8.0 --startMP 204:442 --initTime 2016-11-22T21:38:31 --startdatetime 2016-11-22T22:00:14 --delay 1 --endMP 204:233319 --enddatetime 2016-11-22T22:35:06 --enforcementcount 0 &gt;&gt;C:\Users\stu\Documents\GitHub\eaglep3-reporting\EC\2016-11-22-refined-times.txt</v>
      </c>
      <c r="AI150" s="119" t="str">
        <f t="shared" si="64"/>
        <v>echo {"issue":{"subject":"","project_id":79,"tracker_id":40,"status_id":1,"priority_id":2,"assigned_to_id":23,"start_date":"2016-11-22","description":"","custom_fields":[{"id":1,"name":"Subdivision","value":"EC"},{"id":4,"name":"Milepost","value":"23.3319"},{"id":17,"name":"Train ID","value":"233-22"},{"id":16,"name":"Locomotive ID","value":"4038"},{"id":130,"name":"Impact","value":""},{"id":150,"name":"Time of Event (Mountain Time)","value":"22:35:06"},{"id":151,"name":"Denver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7" t="s">
        <v>631</v>
      </c>
      <c r="B151" s="7">
        <v>4037</v>
      </c>
      <c r="C151" s="22" t="s">
        <v>217</v>
      </c>
      <c r="D151" s="22" t="s">
        <v>660</v>
      </c>
      <c r="E151" s="13">
        <v>42696.942650462966</v>
      </c>
      <c r="F151" s="13">
        <v>42696.955706018518</v>
      </c>
      <c r="G151" s="7">
        <v>1</v>
      </c>
      <c r="H151" s="22" t="s">
        <v>175</v>
      </c>
      <c r="I151" s="13">
        <v>42696.982569444444</v>
      </c>
      <c r="J151" s="7">
        <v>0</v>
      </c>
      <c r="K151" s="109" t="str">
        <f t="shared" si="51"/>
        <v>4037/4038</v>
      </c>
      <c r="L151" s="22" t="str">
        <f>VLOOKUP(A151,'Trips&amp;Operators'!$C$1:$E$10000,3,FALSE)</f>
        <v>SAFIEF</v>
      </c>
      <c r="M151" s="6">
        <f t="shared" si="50"/>
        <v>2.6863425926421769E-2</v>
      </c>
      <c r="N151" s="7">
        <f t="shared" si="49"/>
        <v>38.683333334047347</v>
      </c>
      <c r="O151" s="7"/>
      <c r="P151" s="7"/>
      <c r="Q151" s="23"/>
      <c r="R151" s="23"/>
      <c r="S151" s="35">
        <f t="shared" si="48"/>
        <v>1</v>
      </c>
      <c r="T151" s="50" t="str">
        <f t="shared" si="52"/>
        <v>Southbound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21:37:25-700',mode:absolute,to:'2016-11-23 00:34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1" s="52" t="str">
        <f t="shared" si="54"/>
        <v>N</v>
      </c>
      <c r="X151" s="177">
        <f t="shared" si="55"/>
        <v>1</v>
      </c>
      <c r="Y151" s="67">
        <f t="shared" si="56"/>
        <v>23.3</v>
      </c>
      <c r="Z151" s="67">
        <f t="shared" si="57"/>
        <v>1.52E-2</v>
      </c>
      <c r="AA151" s="67">
        <f t="shared" si="58"/>
        <v>23.284800000000001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59"/>
        <v>0234-22</v>
      </c>
      <c r="AE151" s="91" t="str">
        <f t="shared" si="60"/>
        <v>aws s3 cp s3://rtdc.mdm.uploadarchive.raw/RTDC4037/ "%USERPROFILE%\AppData\Local\Temp\OnboardLogs"\RTDC4037\2016-11-22 --exclude "*" --recursive --include "*20161122*" &amp; "%USERPROFILE%\Documents\GitHub\mrs-test-scripts\Headless Mode &amp; Sideloading\WalkAndUnGZ.bat" "%USERPROFILE%\AppData\Local\Temp\OnboardLogs"\RTDC4037\2016-11-22 &amp; aws s3 cp s3://rtdc.mdm.uploadarchive.raw/RTDC4037/ "%USERPROFILE%\AppData\Local\Temp\OnboardLogs"\RTDC4037\2016-11-23 --exclude "*" --recursive --include "*20161123*" &amp; "%USERPROFILE%\Documents\GitHub\mrs-test-scripts\Headless Mode &amp; Sideloading\WalkAndUnGZ.bat" "%USERPROFILE%\AppData\Local\Temp\OnboardLogs"\RTDC4037\2016-11-23</v>
      </c>
      <c r="AF151" s="88" t="str">
        <f t="shared" si="61"/>
        <v>"C:\Program Files (x86)\AstroGrep\AstroGrep.exe" /spath="%USERPROFILE%\AppData\Local\Temp\OnboardLogs" /stypes="app*4037*20161123*" /stext=" 06:.+((SYSTEM_STATE.+slice.+state.+changed )|(ment ac)|(system.+state.+changed )|(\[timeout)|(PRM\|1\|D)|(kpr)|(kdp)|(\|lc)|(penalty))" /e /r /s</v>
      </c>
      <c r="AG151" s="1" t="str">
        <f t="shared" si="62"/>
        <v>EC</v>
      </c>
      <c r="AH151" s="92" t="str">
        <f t="shared" si="63"/>
        <v>"%USERPROFILE%\Documents\GitHub\eaglep3\Utilities\RefineRTDCRunTimes.py" --tripid 234-22 --locoid 4037 --swversion DE.1.0.8.0 --startMP 204:233000 --initTime 2016-11-22T22:37:25 --startdatetime 2016-11-22T22:56:13 --delay 1 --endMP 204:152 --enddatetime 2016-11-22T23:34:54 --enforcementcount 0 &gt;&gt;C:\Users\stu\Documents\GitHub\eaglep3-reporting\EC\2016-11-22-refined-times.txt</v>
      </c>
      <c r="AI151" s="119" t="str">
        <f t="shared" si="64"/>
        <v>echo {"issue":{"subject":"","project_id":79,"tracker_id":40,"status_id":1,"priority_id":2,"assigned_to_id":23,"start_date":"2016-11-22","description":"","custom_fields":[{"id":1,"name":"Subdivision","value":"EC"},{"id":4,"name":"Milepost","value":"0.0152"},{"id":17,"name":"Train ID","value":"234-22"},{"id":16,"name":"Locomotive ID","value":"4037"},{"id":130,"name":"Impact","value":""},{"id":150,"name":"Time of Event (Mountain Time)","value":"23:34:54"},{"id":151,"name":"Denver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</row>
    <row r="152" spans="1:91" x14ac:dyDescent="0.25">
      <c r="A152" s="37" t="s">
        <v>629</v>
      </c>
      <c r="B152" s="7">
        <v>4002</v>
      </c>
      <c r="C152" s="22" t="s">
        <v>217</v>
      </c>
      <c r="D152" s="22" t="s">
        <v>199</v>
      </c>
      <c r="E152" s="13">
        <v>42696.931446759256</v>
      </c>
      <c r="F152" s="13">
        <v>42696.937719907408</v>
      </c>
      <c r="G152" s="7">
        <v>1</v>
      </c>
      <c r="H152" s="22" t="s">
        <v>276</v>
      </c>
      <c r="I152" s="13">
        <v>42696.964756944442</v>
      </c>
      <c r="J152" s="7">
        <v>0</v>
      </c>
      <c r="K152" s="109" t="str">
        <f t="shared" si="51"/>
        <v>4001/4002</v>
      </c>
      <c r="L152" s="22" t="str">
        <f>VLOOKUP(A152,'Trips&amp;Operators'!$C$1:$E$10000,3,FALSE)</f>
        <v>NICHOLSON</v>
      </c>
      <c r="M152" s="6">
        <f t="shared" si="50"/>
        <v>2.7037037034460809E-2</v>
      </c>
      <c r="N152" s="7">
        <f t="shared" si="49"/>
        <v>38.933333329623565</v>
      </c>
      <c r="O152" s="7"/>
      <c r="P152" s="7"/>
      <c r="Q152" s="23"/>
      <c r="R152" s="23"/>
      <c r="S152" s="35">
        <f t="shared" si="48"/>
        <v>1</v>
      </c>
      <c r="T152" s="50" t="str">
        <f t="shared" si="52"/>
        <v>NorthBound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21:21:17-700',mode:absolute,to:'2016-11-23 00:09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2" s="52" t="str">
        <f t="shared" si="54"/>
        <v>N</v>
      </c>
      <c r="X152" s="177">
        <f t="shared" si="55"/>
        <v>1</v>
      </c>
      <c r="Y152" s="67">
        <f t="shared" si="56"/>
        <v>4.53E-2</v>
      </c>
      <c r="Z152" s="67">
        <f t="shared" si="57"/>
        <v>23.330400000000001</v>
      </c>
      <c r="AA152" s="67">
        <f t="shared" si="58"/>
        <v>23.2851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59"/>
        <v>0235-22</v>
      </c>
      <c r="AE152" s="91" t="str">
        <f t="shared" si="60"/>
        <v>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 &amp; aws s3 cp s3://rtdc.mdm.uploadarchive.raw/RTDC4002/ "%USERPROFILE%\AppData\Local\Temp\OnboardLogs"\RTDC4002\2016-11-23 --exclude "*" --recursive --include "*20161123*" &amp; "%USERPROFILE%\Documents\GitHub\mrs-test-scripts\Headless Mode &amp; Sideloading\WalkAndUnGZ.bat" "%USERPROFILE%\AppData\Local\Temp\OnboardLogs"\RTDC4002\2016-11-23</v>
      </c>
      <c r="AF152" s="88" t="str">
        <f t="shared" si="61"/>
        <v>"C:\Program Files (x86)\AstroGrep\AstroGrep.exe" /spath="%USERPROFILE%\AppData\Local\Temp\OnboardLogs" /stypes="app*4002*20161123*" /stext=" 06:.+((SYSTEM_STATE.+slice.+state.+changed )|(ment ac)|(system.+state.+changed )|(\[timeout)|(PRM\|1\|D)|(kpr)|(kdp)|(\|lc)|(penalty))" /e /r /s</v>
      </c>
      <c r="AG152" s="1" t="str">
        <f t="shared" si="62"/>
        <v>EC</v>
      </c>
      <c r="AH152" s="92" t="str">
        <f t="shared" si="63"/>
        <v>"%USERPROFILE%\Documents\GitHub\eaglep3\Utilities\RefineRTDCRunTimes.py" --tripid 235-22 --locoid 4002 --swversion DE.1.0.8.0 --startMP 204:453 --initTime 2016-11-22T22:21:17 --startdatetime 2016-11-22T22:30:19 --delay 1 --endMP 204:233304 --enddatetime 2016-11-22T23:09:15 --enforcementcount 0 &gt;&gt;C:\Users\stu\Documents\GitHub\eaglep3-reporting\EC\2016-11-22-refined-times.txt</v>
      </c>
      <c r="AI152" s="119" t="str">
        <f t="shared" si="64"/>
        <v>echo {"issue":{"subject":"","project_id":79,"tracker_id":40,"status_id":1,"priority_id":2,"assigned_to_id":23,"start_date":"2016-11-22","description":"","custom_fields":[{"id":1,"name":"Subdivision","value":"EC"},{"id":4,"name":"Milepost","value":"23.3304"},{"id":17,"name":"Train ID","value":"235-22"},{"id":16,"name":"Locomotive ID","value":"4002"},{"id":130,"name":"Impact","value":""},{"id":150,"name":"Time of Event (Mountain Time)","value":"23:09:15"},{"id":151,"name":"Denver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91" s="21" customFormat="1" x14ac:dyDescent="0.25">
      <c r="A153" s="37" t="s">
        <v>633</v>
      </c>
      <c r="B153" s="7">
        <v>4001</v>
      </c>
      <c r="C153" s="22" t="s">
        <v>217</v>
      </c>
      <c r="D153" s="22" t="s">
        <v>270</v>
      </c>
      <c r="E153" s="13">
        <v>42696.96979166667</v>
      </c>
      <c r="F153" s="13">
        <v>42696.9766087963</v>
      </c>
      <c r="G153" s="7">
        <v>1</v>
      </c>
      <c r="H153" s="22" t="s">
        <v>378</v>
      </c>
      <c r="I153" s="13">
        <v>42697.004305555558</v>
      </c>
      <c r="J153" s="7">
        <v>0</v>
      </c>
      <c r="K153" s="109" t="str">
        <f t="shared" si="51"/>
        <v>4001/4002</v>
      </c>
      <c r="L153" s="22" t="str">
        <f>VLOOKUP(A153,'Trips&amp;Operators'!$C$1:$E$10000,3,FALSE)</f>
        <v>NICHOLSON</v>
      </c>
      <c r="M153" s="6">
        <f t="shared" si="50"/>
        <v>2.7696759258105885E-2</v>
      </c>
      <c r="N153" s="7">
        <f t="shared" si="49"/>
        <v>39.883333331672475</v>
      </c>
      <c r="O153" s="7"/>
      <c r="P153" s="7"/>
      <c r="Q153" s="23"/>
      <c r="R153" s="23"/>
      <c r="S153" s="35">
        <f t="shared" si="48"/>
        <v>1</v>
      </c>
      <c r="T153" s="50" t="str">
        <f t="shared" si="52"/>
        <v>Southbound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22:16:30-700',mode:absolute,to:'2016-11-23 01:06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3" s="52" t="str">
        <f t="shared" si="54"/>
        <v>N</v>
      </c>
      <c r="X153" s="177">
        <f t="shared" si="55"/>
        <v>1</v>
      </c>
      <c r="Y153" s="67">
        <f t="shared" si="56"/>
        <v>23.299800000000001</v>
      </c>
      <c r="Z153" s="67">
        <f t="shared" si="57"/>
        <v>1.6899999999999998E-2</v>
      </c>
      <c r="AA153" s="67">
        <f t="shared" si="58"/>
        <v>23.282900000000001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59"/>
        <v>0236-22</v>
      </c>
      <c r="AE153" s="91" t="str">
        <f t="shared" si="60"/>
        <v>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 &amp; aws s3 cp s3://rtdc.mdm.uploadarchive.raw/RTDC4001/ "%USERPROFILE%\AppData\Local\Temp\OnboardLogs"\RTDC4001\2016-11-23 --exclude "*" --recursive --include "*20161123*" &amp; "%USERPROFILE%\Documents\GitHub\mrs-test-scripts\Headless Mode &amp; Sideloading\WalkAndUnGZ.bat" "%USERPROFILE%\AppData\Local\Temp\OnboardLogs"\RTDC4001\2016-11-23</v>
      </c>
      <c r="AF153" s="88" t="str">
        <f t="shared" si="61"/>
        <v>"C:\Program Files (x86)\AstroGrep\AstroGrep.exe" /spath="%USERPROFILE%\AppData\Local\Temp\OnboardLogs" /stypes="app*4001*20161123*" /stext=" 07:.+((SYSTEM_STATE.+slice.+state.+changed )|(ment ac)|(system.+state.+changed )|(\[timeout)|(PRM\|1\|D)|(kpr)|(kdp)|(\|lc)|(penalty))" /e /r /s</v>
      </c>
      <c r="AG153" s="1" t="str">
        <f t="shared" si="62"/>
        <v>EC</v>
      </c>
      <c r="AH153" s="92" t="str">
        <f t="shared" si="63"/>
        <v>"%USERPROFILE%\Documents\GitHub\eaglep3\Utilities\RefineRTDCRunTimes.py" --tripid 236-22 --locoid 4001 --swversion DE.1.0.8.0 --startMP 204:232998 --initTime 2016-11-22T23:16:30 --startdatetime 2016-11-22T23:26:19 --delay 1 --endMP 204:169 --enddatetime 2016-11-23T00:06:12 --enforcementcount 0 &gt;&gt;C:\Users\stu\Documents\GitHub\eaglep3-reporting\EC\2016-11-22-refined-times.txt</v>
      </c>
      <c r="AI153" s="119" t="str">
        <f t="shared" si="64"/>
        <v>echo {"issue":{"subject":"","project_id":79,"tracker_id":40,"status_id":1,"priority_id":2,"assigned_to_id":23,"start_date":"2016-11-23","description":"","custom_fields":[{"id":1,"name":"Subdivision","value":"EC"},{"id":4,"name":"Milepost","value":"0.0169"},{"id":17,"name":"Train ID","value":"236-22"},{"id":16,"name":"Locomotive ID","value":"4001"},{"id":130,"name":"Impact","value":""},{"id":150,"name":"Time of Event (Mountain Time)","value":"00:06:12"},{"id":151,"name":"Denver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632</v>
      </c>
      <c r="B154" s="7">
        <v>4011</v>
      </c>
      <c r="C154" s="22" t="s">
        <v>217</v>
      </c>
      <c r="D154" s="22" t="s">
        <v>315</v>
      </c>
      <c r="E154" s="13">
        <v>42696.951122685183</v>
      </c>
      <c r="F154" s="13">
        <v>42696.958611111113</v>
      </c>
      <c r="G154" s="7">
        <v>1</v>
      </c>
      <c r="H154" s="22" t="s">
        <v>694</v>
      </c>
      <c r="I154" s="13">
        <v>42696.984548611108</v>
      </c>
      <c r="J154" s="7">
        <v>0</v>
      </c>
      <c r="K154" s="109" t="str">
        <f t="shared" si="51"/>
        <v>4011/4012</v>
      </c>
      <c r="L154" s="22" t="str">
        <f>VLOOKUP(A154,'Trips&amp;Operators'!$C$1:$E$10000,3,FALSE)</f>
        <v>DAVIDSON</v>
      </c>
      <c r="M154" s="6">
        <f t="shared" si="50"/>
        <v>2.5937499995052349E-2</v>
      </c>
      <c r="N154" s="7">
        <f t="shared" si="49"/>
        <v>37.349999992875382</v>
      </c>
      <c r="O154" s="7"/>
      <c r="P154" s="7"/>
      <c r="Q154" s="23"/>
      <c r="R154" s="23"/>
      <c r="S154" s="35">
        <f t="shared" si="48"/>
        <v>1</v>
      </c>
      <c r="T154" s="50" t="str">
        <f t="shared" si="52"/>
        <v>NorthBound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21:49:37-700',mode:absolute,to:'2016-11-23 00:37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4" s="52" t="str">
        <f t="shared" si="54"/>
        <v>N</v>
      </c>
      <c r="X154" s="177">
        <f t="shared" si="55"/>
        <v>1</v>
      </c>
      <c r="Y154" s="67">
        <f t="shared" si="56"/>
        <v>4.5699999999999998E-2</v>
      </c>
      <c r="Z154" s="67">
        <f t="shared" si="57"/>
        <v>23.336099999999998</v>
      </c>
      <c r="AA154" s="67">
        <f t="shared" si="58"/>
        <v>23.290399999999998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59"/>
        <v>0237-22</v>
      </c>
      <c r="AE154" s="91" t="str">
        <f t="shared" si="60"/>
        <v>aws s3 cp s3://rtdc.mdm.uploadarchive.raw/RTDC4011/ "%USERPROFILE%\AppData\Local\Temp\OnboardLogs"\RTDC4011\2016-11-22 --exclude "*" --recursive --include "*20161122*" &amp; "%USERPROFILE%\Documents\GitHub\mrs-test-scripts\Headless Mode &amp; Sideloading\WalkAndUnGZ.bat" "%USERPROFILE%\AppData\Local\Temp\OnboardLogs"\RTDC4011\2016-11-22 &amp; aws s3 cp s3://rtdc.mdm.uploadarchive.raw/RTDC4011/ "%USERPROFILE%\AppData\Local\Temp\OnboardLogs"\RTDC4011\2016-11-23 --exclude "*" --recursive --include "*20161123*" &amp; "%USERPROFILE%\Documents\GitHub\mrs-test-scripts\Headless Mode &amp; Sideloading\WalkAndUnGZ.bat" "%USERPROFILE%\AppData\Local\Temp\OnboardLogs"\RTDC4011\2016-11-23</v>
      </c>
      <c r="AF154" s="88" t="str">
        <f t="shared" si="61"/>
        <v>"C:\Program Files (x86)\AstroGrep\AstroGrep.exe" /spath="%USERPROFILE%\AppData\Local\Temp\OnboardLogs" /stypes="app*4011*20161123*" /stext=" 06:.+((SYSTEM_STATE.+slice.+state.+changed )|(ment ac)|(system.+state.+changed )|(\[timeout)|(PRM\|1\|D)|(kpr)|(kdp)|(\|lc)|(penalty))" /e /r /s</v>
      </c>
      <c r="AG154" s="1" t="str">
        <f t="shared" si="62"/>
        <v>EC</v>
      </c>
      <c r="AH154" s="92" t="str">
        <f t="shared" si="63"/>
        <v>"%USERPROFILE%\Documents\GitHub\eaglep3\Utilities\RefineRTDCRunTimes.py" --tripid 237-22 --locoid 4011 --swversion DE.1.0.8.0 --startMP 204:457 --initTime 2016-11-22T22:49:37 --startdatetime 2016-11-22T23:00:24 --delay 1 --endMP 204:233361 --enddatetime 2016-11-22T23:37:45 --enforcementcount 0 &gt;&gt;C:\Users\stu\Documents\GitHub\eaglep3-reporting\EC\2016-11-22-refined-times.txt</v>
      </c>
      <c r="AI154" s="119" t="str">
        <f t="shared" si="64"/>
        <v>echo {"issue":{"subject":"","project_id":79,"tracker_id":40,"status_id":1,"priority_id":2,"assigned_to_id":23,"start_date":"2016-11-22","description":"","custom_fields":[{"id":1,"name":"Subdivision","value":"EC"},{"id":4,"name":"Milepost","value":"23.3361"},{"id":17,"name":"Train ID","value":"237-22"},{"id":16,"name":"Locomotive ID","value":"4011"},{"id":130,"name":"Impact","value":""},{"id":150,"name":"Time of Event (Mountain Time)","value":"23:37:45"},{"id":151,"name":"Denver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636</v>
      </c>
      <c r="B155" s="7">
        <v>4012</v>
      </c>
      <c r="C155" s="22" t="s">
        <v>217</v>
      </c>
      <c r="D155" s="22" t="s">
        <v>257</v>
      </c>
      <c r="E155" s="13">
        <v>42696.991793981484</v>
      </c>
      <c r="F155" s="13">
        <v>42696.997488425928</v>
      </c>
      <c r="G155" s="7">
        <v>1</v>
      </c>
      <c r="H155" s="22" t="s">
        <v>279</v>
      </c>
      <c r="I155" s="13">
        <v>42697.025821759256</v>
      </c>
      <c r="J155" s="7">
        <v>0</v>
      </c>
      <c r="K155" s="109" t="str">
        <f t="shared" si="51"/>
        <v>4011/4012</v>
      </c>
      <c r="L155" s="22" t="str">
        <f>VLOOKUP(A155,'Trips&amp;Operators'!$C$1:$E$10000,3,FALSE)</f>
        <v>DAVIDSON</v>
      </c>
      <c r="M155" s="6">
        <f t="shared" si="50"/>
        <v>2.8333333328191657E-2</v>
      </c>
      <c r="N155" s="7">
        <f t="shared" si="49"/>
        <v>40.799999992595986</v>
      </c>
      <c r="O155" s="7"/>
      <c r="P155" s="7"/>
      <c r="Q155" s="23"/>
      <c r="R155" s="23"/>
      <c r="S155" s="35">
        <f t="shared" si="48"/>
        <v>1</v>
      </c>
      <c r="T155" s="50" t="str">
        <f t="shared" si="52"/>
        <v>Southbound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22:48:11-700',mode:absolute,to:'2016-11-23 01:37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5" s="52" t="str">
        <f t="shared" si="54"/>
        <v>N</v>
      </c>
      <c r="X155" s="177">
        <f t="shared" si="55"/>
        <v>1</v>
      </c>
      <c r="Y155" s="67">
        <f t="shared" si="56"/>
        <v>23.2987</v>
      </c>
      <c r="Z155" s="67">
        <f t="shared" si="57"/>
        <v>1.6500000000000001E-2</v>
      </c>
      <c r="AA155" s="67">
        <f t="shared" si="58"/>
        <v>23.2822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59"/>
        <v>0238-22</v>
      </c>
      <c r="AE155" s="91" t="str">
        <f t="shared" si="60"/>
        <v>aws s3 cp s3://rtdc.mdm.uploadarchive.raw/RTDC4012/ "%USERPROFILE%\AppData\Local\Temp\OnboardLogs"\RTDC4012\2016-11-22 --exclude "*" --recursive --include "*20161122*" &amp; "%USERPROFILE%\Documents\GitHub\mrs-test-scripts\Headless Mode &amp; Sideloading\WalkAndUnGZ.bat" "%USERPROFILE%\AppData\Local\Temp\OnboardLogs"\RTDC4012\2016-11-22 &amp; aws s3 cp s3://rtdc.mdm.uploadarchive.raw/RTDC4012/ "%USERPROFILE%\AppData\Local\Temp\OnboardLogs"\RTDC4012\2016-11-23 --exclude "*" --recursive --include "*20161123*" &amp; "%USERPROFILE%\Documents\GitHub\mrs-test-scripts\Headless Mode &amp; Sideloading\WalkAndUnGZ.bat" "%USERPROFILE%\AppData\Local\Temp\OnboardLogs"\RTDC4012\2016-11-23</v>
      </c>
      <c r="AF155" s="88" t="str">
        <f t="shared" si="61"/>
        <v>"C:\Program Files (x86)\AstroGrep\AstroGrep.exe" /spath="%USERPROFILE%\AppData\Local\Temp\OnboardLogs" /stypes="app*4012*20161123*" /stext=" 07:.+((SYSTEM_STATE.+slice.+state.+changed )|(ment ac)|(system.+state.+changed )|(\[timeout)|(PRM\|1\|D)|(kpr)|(kdp)|(\|lc)|(penalty))" /e /r /s</v>
      </c>
      <c r="AG155" s="1" t="str">
        <f t="shared" si="62"/>
        <v>EC</v>
      </c>
      <c r="AH155" s="92" t="str">
        <f t="shared" si="63"/>
        <v>"%USERPROFILE%\Documents\GitHub\eaglep3\Utilities\RefineRTDCRunTimes.py" --tripid 238-22 --locoid 4012 --swversion DE.1.0.8.0 --startMP 204:232987 --initTime 2016-11-22T23:48:11 --startdatetime 2016-11-22T23:56:23 --delay 1 --endMP 204:165 --enddatetime 2016-11-23T00:37:11 --enforcementcount 0 &gt;&gt;C:\Users\stu\Documents\GitHub\eaglep3-reporting\EC\2016-11-22-refined-times.txt</v>
      </c>
      <c r="AI155" s="119" t="str">
        <f t="shared" si="64"/>
        <v>echo {"issue":{"subject":"","project_id":79,"tracker_id":40,"status_id":1,"priority_id":2,"assigned_to_id":23,"start_date":"2016-11-23","description":"","custom_fields":[{"id":1,"name":"Subdivision","value":"EC"},{"id":4,"name":"Milepost","value":"0.0165"},{"id":17,"name":"Train ID","value":"238-22"},{"id":16,"name":"Locomotive ID","value":"4012"},{"id":130,"name":"Impact","value":""},{"id":150,"name":"Time of Event (Mountain Time)","value":"00:37:11"},{"id":151,"name":"Denver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634</v>
      </c>
      <c r="B156" s="7">
        <v>4031</v>
      </c>
      <c r="C156" s="22" t="s">
        <v>217</v>
      </c>
      <c r="D156" s="22" t="s">
        <v>379</v>
      </c>
      <c r="E156" s="13">
        <v>42696.972800925927</v>
      </c>
      <c r="F156" s="13">
        <v>42696.980127314811</v>
      </c>
      <c r="G156" s="7">
        <v>1</v>
      </c>
      <c r="H156" s="22" t="s">
        <v>369</v>
      </c>
      <c r="I156" s="13">
        <v>42697.004282407404</v>
      </c>
      <c r="J156" s="7">
        <v>0</v>
      </c>
      <c r="K156" s="109" t="str">
        <f t="shared" si="51"/>
        <v>4031/4032</v>
      </c>
      <c r="L156" s="22" t="str">
        <f>VLOOKUP(A156,'Trips&amp;Operators'!$C$1:$E$10000,3,FALSE)</f>
        <v>COOLAHAN</v>
      </c>
      <c r="M156" s="6">
        <f t="shared" si="50"/>
        <v>2.4155092592991423E-2</v>
      </c>
      <c r="N156" s="7">
        <f t="shared" si="49"/>
        <v>34.783333333907649</v>
      </c>
      <c r="O156" s="7"/>
      <c r="P156" s="7"/>
      <c r="Q156" s="23"/>
      <c r="R156" s="23"/>
      <c r="S156" s="35">
        <f t="shared" si="48"/>
        <v>1</v>
      </c>
      <c r="T156" s="50" t="str">
        <f t="shared" si="52"/>
        <v>NorthBound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22:20:50-700',mode:absolute,to:'2016-11-23 01:06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6" s="52" t="str">
        <f t="shared" si="54"/>
        <v>N</v>
      </c>
      <c r="X156" s="177">
        <f t="shared" si="55"/>
        <v>1</v>
      </c>
      <c r="Y156" s="67">
        <f t="shared" si="56"/>
        <v>4.3299999999999998E-2</v>
      </c>
      <c r="Z156" s="67">
        <f t="shared" si="57"/>
        <v>23.3323</v>
      </c>
      <c r="AA156" s="67">
        <f t="shared" si="58"/>
        <v>23.289000000000001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59"/>
        <v>0239-22</v>
      </c>
      <c r="AE156" s="91" t="str">
        <f t="shared" si="60"/>
        <v>aws s3 cp s3://rtdc.mdm.uploadarchive.raw/RTDC4031/ "%USERPROFILE%\AppData\Local\Temp\OnboardLogs"\RTDC4031\2016-11-22 --exclude "*" --recursive --include "*20161122*" &amp; "%USERPROFILE%\Documents\GitHub\mrs-test-scripts\Headless Mode &amp; Sideloading\WalkAndUnGZ.bat" "%USERPROFILE%\AppData\Local\Temp\OnboardLogs"\RTDC4031\2016-11-22 &amp; aws s3 cp s3://rtdc.mdm.uploadarchive.raw/RTDC4031/ "%USERPROFILE%\AppData\Local\Temp\OnboardLogs"\RTDC4031\2016-11-23 --exclude "*" --recursive --include "*20161123*" &amp; "%USERPROFILE%\Documents\GitHub\mrs-test-scripts\Headless Mode &amp; Sideloading\WalkAndUnGZ.bat" "%USERPROFILE%\AppData\Local\Temp\OnboardLogs"\RTDC4031\2016-11-23</v>
      </c>
      <c r="AF156" s="88" t="str">
        <f t="shared" si="61"/>
        <v>"C:\Program Files (x86)\AstroGrep\AstroGrep.exe" /spath="%USERPROFILE%\AppData\Local\Temp\OnboardLogs" /stypes="app*4031*20161123*" /stext=" 07:.+((SYSTEM_STATE.+slice.+state.+changed )|(ment ac)|(system.+state.+changed )|(\[timeout)|(PRM\|1\|D)|(kpr)|(kdp)|(\|lc)|(penalty))" /e /r /s</v>
      </c>
      <c r="AG156" s="1" t="str">
        <f t="shared" si="62"/>
        <v>EC</v>
      </c>
      <c r="AH156" s="92" t="str">
        <f t="shared" si="63"/>
        <v>"%USERPROFILE%\Documents\GitHub\eaglep3\Utilities\RefineRTDCRunTimes.py" --tripid 239-22 --locoid 4031 --swversion DE.1.0.8.0 --startMP 204:433 --initTime 2016-11-22T23:20:50 --startdatetime 2016-11-22T23:31:23 --delay 1 --endMP 204:233323 --enddatetime 2016-11-23T00:06:10 --enforcementcount 0 &gt;&gt;C:\Users\stu\Documents\GitHub\eaglep3-reporting\EC\2016-11-22-refined-times.txt</v>
      </c>
      <c r="AI156" s="119" t="str">
        <f t="shared" si="64"/>
        <v>echo {"issue":{"subject":"","project_id":79,"tracker_id":40,"status_id":1,"priority_id":2,"assigned_to_id":23,"start_date":"2016-11-23","description":"","custom_fields":[{"id":1,"name":"Subdivision","value":"EC"},{"id":4,"name":"Milepost","value":"23.3323"},{"id":17,"name":"Train ID","value":"239-22"},{"id":16,"name":"Locomotive ID","value":"4031"},{"id":130,"name":"Impact","value":""},{"id":150,"name":"Time of Event (Mountain Time)","value":"00:06:10"},{"id":151,"name":"Denver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638</v>
      </c>
      <c r="B157" s="7">
        <v>4032</v>
      </c>
      <c r="C157" s="22" t="s">
        <v>217</v>
      </c>
      <c r="D157" s="22" t="s">
        <v>297</v>
      </c>
      <c r="E157" s="13">
        <v>42697.013773148145</v>
      </c>
      <c r="F157" s="13">
        <v>42697.01840277778</v>
      </c>
      <c r="G157" s="7">
        <v>1</v>
      </c>
      <c r="H157" s="22" t="s">
        <v>175</v>
      </c>
      <c r="I157" s="13">
        <v>42697.044189814813</v>
      </c>
      <c r="J157" s="7">
        <v>0</v>
      </c>
      <c r="K157" s="109" t="str">
        <f t="shared" si="51"/>
        <v>4031/4032</v>
      </c>
      <c r="L157" s="22" t="str">
        <f>VLOOKUP(A157,'Trips&amp;Operators'!$C$1:$E$10000,3,FALSE)</f>
        <v>COOLAHAN</v>
      </c>
      <c r="M157" s="6">
        <f t="shared" si="50"/>
        <v>2.5787037033296656E-2</v>
      </c>
      <c r="N157" s="7">
        <f t="shared" si="49"/>
        <v>37.133333327947184</v>
      </c>
      <c r="O157" s="7"/>
      <c r="P157" s="7"/>
      <c r="Q157" s="23"/>
      <c r="R157" s="23"/>
      <c r="S157" s="35">
        <f t="shared" si="48"/>
        <v>1</v>
      </c>
      <c r="T157" s="50" t="str">
        <f t="shared" si="52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23:19:50-700',mode:absolute,to:'2016-11-23 02:03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7" s="52" t="str">
        <f t="shared" si="54"/>
        <v>N</v>
      </c>
      <c r="X157" s="177">
        <f t="shared" si="55"/>
        <v>1</v>
      </c>
      <c r="Y157" s="67">
        <f t="shared" si="56"/>
        <v>23.301300000000001</v>
      </c>
      <c r="Z157" s="67">
        <f t="shared" si="57"/>
        <v>1.52E-2</v>
      </c>
      <c r="AA157" s="67">
        <f t="shared" si="58"/>
        <v>23.286100000000001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59"/>
        <v>0240-22</v>
      </c>
      <c r="AE157" s="91" t="str">
        <f t="shared" si="60"/>
        <v>aws s3 cp s3://rtdc.mdm.uploadarchive.raw/RTDC4032/ "%USERPROFILE%\AppData\Local\Temp\OnboardLogs"\RTDC4032\2016-11-23 --exclude "*" --recursive --include "*20161123*" &amp; "%USERPROFILE%\Documents\GitHub\mrs-test-scripts\Headless Mode &amp; Sideloading\WalkAndUnGZ.bat" "%USERPROFILE%\AppData\Local\Temp\OnboardLogs"\RTDC4032\2016-11-23 &amp; aws s3 cp s3://rtdc.mdm.uploadarchive.raw/RTDC4032/ "%USERPROFILE%\AppData\Local\Temp\OnboardLogs"\RTDC4032\2016-11-24 --exclude "*" --recursive --include "*20161124*" &amp; "%USERPROFILE%\Documents\GitHub\mrs-test-scripts\Headless Mode &amp; Sideloading\WalkAndUnGZ.bat" "%USERPROFILE%\AppData\Local\Temp\OnboardLogs"\RTDC4032\2016-11-24</v>
      </c>
      <c r="AF157" s="88" t="str">
        <f t="shared" si="61"/>
        <v>"C:\Program Files (x86)\AstroGrep\AstroGrep.exe" /spath="%USERPROFILE%\AppData\Local\Temp\OnboardLogs" /stypes="app*4032*20161123*" /stext=" 08:.+((SYSTEM_STATE.+slice.+state.+changed )|(ment ac)|(system.+state.+changed )|(\[timeout)|(PRM\|1\|D)|(kpr)|(kdp)|(\|lc)|(penalty))" /e /r /s</v>
      </c>
      <c r="AG157" s="1" t="str">
        <f t="shared" si="62"/>
        <v>EC</v>
      </c>
      <c r="AH157" s="92" t="str">
        <f t="shared" si="63"/>
        <v>"%USERPROFILE%\Documents\GitHub\eaglep3\Utilities\RefineRTDCRunTimes.py" --tripid 240-22 --locoid 4032 --swversion DE.1.0.8.0 --startMP 204:233013 --initTime 2016-11-23T00:19:50 --startdatetime 2016-11-23T00:26:30 --delay 1 --endMP 204:152 --enddatetime 2016-11-23T01:03:38 --enforcementcount 0 &gt;&gt;C:\Users\stu\Documents\GitHub\eaglep3-reporting\EC\2016-11-22-refined-times.txt</v>
      </c>
      <c r="AI157" s="119" t="str">
        <f t="shared" si="64"/>
        <v>echo {"issue":{"subject":"","project_id":79,"tracker_id":40,"status_id":1,"priority_id":2,"assigned_to_id":23,"start_date":"2016-11-23","description":"","custom_fields":[{"id":1,"name":"Subdivision","value":"EC"},{"id":4,"name":"Milepost","value":"0.0152"},{"id":17,"name":"Train ID","value":"240-22"},{"id":16,"name":"Locomotive ID","value":"4032"},{"id":130,"name":"Impact","value":""},{"id":150,"name":"Time of Event (Mountain Time)","value":"01:03:38"},{"id":151,"name":"Denver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635</v>
      </c>
      <c r="B158" s="7">
        <v>4038</v>
      </c>
      <c r="C158" s="22" t="s">
        <v>217</v>
      </c>
      <c r="D158" s="22" t="s">
        <v>372</v>
      </c>
      <c r="E158" s="13">
        <v>42696.983796296299</v>
      </c>
      <c r="F158" s="13">
        <v>42697.000162037039</v>
      </c>
      <c r="G158" s="7">
        <v>1</v>
      </c>
      <c r="H158" s="22" t="s">
        <v>695</v>
      </c>
      <c r="I158" s="13">
        <v>42697.02443287037</v>
      </c>
      <c r="J158" s="7">
        <v>0</v>
      </c>
      <c r="K158" s="109" t="str">
        <f t="shared" si="51"/>
        <v>4037/4038</v>
      </c>
      <c r="L158" s="22" t="str">
        <f>VLOOKUP(A158,'Trips&amp;Operators'!$C$1:$E$10000,3,FALSE)</f>
        <v>SAFIEF</v>
      </c>
      <c r="M158" s="6">
        <f t="shared" si="50"/>
        <v>2.4270833331684116E-2</v>
      </c>
      <c r="N158" s="7">
        <f t="shared" si="49"/>
        <v>34.949999997625127</v>
      </c>
      <c r="O158" s="7"/>
      <c r="P158" s="7"/>
      <c r="Q158" s="23"/>
      <c r="R158" s="23"/>
      <c r="S158" s="35">
        <f t="shared" si="48"/>
        <v>1</v>
      </c>
      <c r="T158" s="50" t="str">
        <f t="shared" si="52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22:36:40-700',mode:absolute,to:'2016-11-23 01:35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8" s="52" t="str">
        <f t="shared" si="54"/>
        <v>N</v>
      </c>
      <c r="X158" s="177">
        <f t="shared" si="55"/>
        <v>1</v>
      </c>
      <c r="Y158" s="67">
        <f t="shared" si="56"/>
        <v>4.3499999999999997E-2</v>
      </c>
      <c r="Z158" s="67">
        <f t="shared" si="57"/>
        <v>23.3308</v>
      </c>
      <c r="AA158" s="67">
        <f t="shared" si="58"/>
        <v>23.287299999999998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59"/>
        <v>0241-22</v>
      </c>
      <c r="AE158" s="91" t="str">
        <f t="shared" si="60"/>
        <v>aws s3 cp s3://rtdc.mdm.uploadarchive.raw/RTDC4038/ "%USERPROFILE%\AppData\Local\Temp\OnboardLogs"\RTDC4038\2016-11-23 --exclude "*" --recursive --include "*20161123*" &amp; "%USERPROFILE%\Documents\GitHub\mrs-test-scripts\Headless Mode &amp; Sideloading\WalkAndUnGZ.bat" "%USERPROFILE%\AppData\Local\Temp\OnboardLogs"\RTDC4038\2016-11-23 &amp; aws s3 cp s3://rtdc.mdm.uploadarchive.raw/RTDC4038/ "%USERPROFILE%\AppData\Local\Temp\OnboardLogs"\RTDC4038\2016-11-24 --exclude "*" --recursive --include "*20161124*" &amp; "%USERPROFILE%\Documents\GitHub\mrs-test-scripts\Headless Mode &amp; Sideloading\WalkAndUnGZ.bat" "%USERPROFILE%\AppData\Local\Temp\OnboardLogs"\RTDC4038\2016-11-24</v>
      </c>
      <c r="AF158" s="88" t="str">
        <f t="shared" si="61"/>
        <v>"C:\Program Files (x86)\AstroGrep\AstroGrep.exe" /spath="%USERPROFILE%\AppData\Local\Temp\OnboardLogs" /stypes="app*4038*20161123*" /stext=" 07:.+((SYSTEM_STATE.+slice.+state.+changed )|(ment ac)|(system.+state.+changed )|(\[timeout)|(PRM\|1\|D)|(kpr)|(kdp)|(\|lc)|(penalty))" /e /r /s</v>
      </c>
      <c r="AG158" s="1" t="str">
        <f t="shared" si="62"/>
        <v>EC</v>
      </c>
      <c r="AH158" s="92" t="str">
        <f t="shared" si="63"/>
        <v>"%USERPROFILE%\Documents\GitHub\eaglep3\Utilities\RefineRTDCRunTimes.py" --tripid 241-22 --locoid 4038 --swversion DE.1.0.8.0 --startMP 204:435 --initTime 2016-11-22T23:36:40 --startdatetime 2016-11-23T00:00:14 --delay 1 --endMP 204:233308 --enddatetime 2016-11-23T00:35:11 --enforcementcount 0 &gt;&gt;C:\Users\stu\Documents\GitHub\eaglep3-reporting\EC\2016-11-22-refined-times.txt</v>
      </c>
      <c r="AI158" s="119" t="str">
        <f t="shared" si="64"/>
        <v>echo {"issue":{"subject":"","project_id":79,"tracker_id":40,"status_id":1,"priority_id":2,"assigned_to_id":23,"start_date":"2016-11-23","description":"","custom_fields":[{"id":1,"name":"Subdivision","value":"EC"},{"id":4,"name":"Milepost","value":"23.3308"},{"id":17,"name":"Train ID","value":"241-22"},{"id":16,"name":"Locomotive ID","value":"4038"},{"id":130,"name":"Impact","value":""},{"id":150,"name":"Time of Event (Mountain Time)","value":"00:35:11"},{"id":151,"name":"Denver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639</v>
      </c>
      <c r="B159" s="7">
        <v>4037</v>
      </c>
      <c r="C159" s="22" t="s">
        <v>217</v>
      </c>
      <c r="D159" s="22" t="s">
        <v>277</v>
      </c>
      <c r="E159" s="13">
        <v>42697.025972222225</v>
      </c>
      <c r="F159" s="13">
        <v>42697.039039351854</v>
      </c>
      <c r="G159" s="7">
        <v>1</v>
      </c>
      <c r="H159" s="22" t="s">
        <v>251</v>
      </c>
      <c r="I159" s="13">
        <v>42697.06622685185</v>
      </c>
      <c r="J159" s="7">
        <v>0</v>
      </c>
      <c r="K159" s="109" t="str">
        <f t="shared" si="51"/>
        <v>4037/4038</v>
      </c>
      <c r="L159" s="22" t="str">
        <f>VLOOKUP(A159,'Trips&amp;Operators'!$C$1:$E$10000,3,FALSE)</f>
        <v>SAFIEF</v>
      </c>
      <c r="M159" s="6">
        <f t="shared" si="50"/>
        <v>2.7187499996216502E-2</v>
      </c>
      <c r="N159" s="7">
        <f t="shared" si="49"/>
        <v>39.149999994551763</v>
      </c>
      <c r="O159" s="7"/>
      <c r="P159" s="7"/>
      <c r="Q159" s="23"/>
      <c r="R159" s="23"/>
      <c r="S159" s="35">
        <f t="shared" si="48"/>
        <v>1</v>
      </c>
      <c r="T159" s="50" t="str">
        <f t="shared" si="52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23:37:24-700',mode:absolute,to:'2016-11-23 02:35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9" s="52" t="str">
        <f t="shared" si="54"/>
        <v>N</v>
      </c>
      <c r="X159" s="177">
        <f t="shared" ref="X159:X170" si="65">VALUE(LEFT(AD159,4))-VALUE(LEFT(AD158,4))</f>
        <v>1</v>
      </c>
      <c r="Y159" s="67">
        <f t="shared" si="56"/>
        <v>23.299299999999999</v>
      </c>
      <c r="Z159" s="67">
        <f t="shared" si="57"/>
        <v>1.54E-2</v>
      </c>
      <c r="AA159" s="67">
        <f t="shared" si="58"/>
        <v>23.283899999999999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59"/>
        <v>0242-22</v>
      </c>
      <c r="AE159" s="91" t="str">
        <f t="shared" si="60"/>
        <v>aws s3 cp s3://rtdc.mdm.uploadarchive.raw/RTDC4037/ "%USERPROFILE%\AppData\Local\Temp\OnboardLogs"\RTDC4037\2016-11-23 --exclude "*" --recursive --include "*20161123*" &amp; "%USERPROFILE%\Documents\GitHub\mrs-test-scripts\Headless Mode &amp; Sideloading\WalkAndUnGZ.bat" "%USERPROFILE%\AppData\Local\Temp\OnboardLogs"\RTDC4037\2016-11-23 &amp; aws s3 cp s3://rtdc.mdm.uploadarchive.raw/RTDC4037/ "%USERPROFILE%\AppData\Local\Temp\OnboardLogs"\RTDC4037\2016-11-24 --exclude "*" --recursive --include "*20161124*" &amp; "%USERPROFILE%\Documents\GitHub\mrs-test-scripts\Headless Mode &amp; Sideloading\WalkAndUnGZ.bat" "%USERPROFILE%\AppData\Local\Temp\OnboardLogs"\RTDC4037\2016-11-24</v>
      </c>
      <c r="AF159" s="88" t="str">
        <f t="shared" si="61"/>
        <v>"C:\Program Files (x86)\AstroGrep\AstroGrep.exe" /spath="%USERPROFILE%\AppData\Local\Temp\OnboardLogs" /stypes="app*4037*20161123*" /stext=" 08:.+((SYSTEM_STATE.+slice.+state.+changed )|(ment ac)|(system.+state.+changed )|(\[timeout)|(PRM\|1\|D)|(kpr)|(kdp)|(\|lc)|(penalty))" /e /r /s</v>
      </c>
      <c r="AG159" s="1" t="str">
        <f t="shared" si="62"/>
        <v>EC</v>
      </c>
      <c r="AH159" s="92" t="str">
        <f t="shared" si="63"/>
        <v>"%USERPROFILE%\Documents\GitHub\eaglep3\Utilities\RefineRTDCRunTimes.py" --tripid 242-22 --locoid 4037 --swversion DE.1.0.8.0 --startMP 204:232993 --initTime 2016-11-23T00:37:24 --startdatetime 2016-11-23T00:56:13 --delay 1 --endMP 204:154 --enddatetime 2016-11-23T01:35:22 --enforcementcount 0 &gt;&gt;C:\Users\stu\Documents\GitHub\eaglep3-reporting\EC\2016-11-22-refined-times.txt</v>
      </c>
      <c r="AI159" s="119" t="str">
        <f t="shared" si="64"/>
        <v>echo {"issue":{"subject":"","project_id":79,"tracker_id":40,"status_id":1,"priority_id":2,"assigned_to_id":23,"start_date":"2016-11-23","description":"","custom_fields":[{"id":1,"name":"Subdivision","value":"EC"},{"id":4,"name":"Milepost","value":"0.0154"},{"id":17,"name":"Train ID","value":"242-22"},{"id":16,"name":"Locomotive ID","value":"4037"},{"id":130,"name":"Impact","value":""},{"id":150,"name":"Time of Event (Mountain Time)","value":"01:35:22"},{"id":151,"name":"Denver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637</v>
      </c>
      <c r="B160" s="7">
        <v>4002</v>
      </c>
      <c r="C160" s="22" t="s">
        <v>217</v>
      </c>
      <c r="D160" s="22" t="s">
        <v>696</v>
      </c>
      <c r="E160" s="13">
        <v>42697.040520833332</v>
      </c>
      <c r="F160" s="13">
        <v>42697.021041666667</v>
      </c>
      <c r="G160" s="7">
        <v>1</v>
      </c>
      <c r="H160" s="22" t="s">
        <v>281</v>
      </c>
      <c r="I160" s="13">
        <v>42697.039398148147</v>
      </c>
      <c r="J160" s="7">
        <v>0</v>
      </c>
      <c r="K160" s="109" t="str">
        <f t="shared" si="51"/>
        <v>4001/4002</v>
      </c>
      <c r="L160" s="22" t="str">
        <f>VLOOKUP(A160,'Trips&amp;Operators'!$C$1:$E$10000,3,FALSE)</f>
        <v>NICHOLSON</v>
      </c>
      <c r="M160" s="6">
        <f t="shared" si="50"/>
        <v>1.8356481479713693E-2</v>
      </c>
      <c r="N160" s="7"/>
      <c r="O160" s="7"/>
      <c r="P160" s="7">
        <f>24*60*SUM($M160:$M161)</f>
        <v>35.416666658129543</v>
      </c>
      <c r="Q160" s="23"/>
      <c r="R160" s="23" t="s">
        <v>812</v>
      </c>
      <c r="S160" s="35">
        <f>SUM(U160:U161)/IF(AG160="EC",12,1)</f>
        <v>1</v>
      </c>
      <c r="T160" s="50" t="str">
        <f t="shared" si="52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23:58:21-700',mode:absolute,to:'2016-11-23 01:56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60" s="52" t="str">
        <f t="shared" si="54"/>
        <v>Y</v>
      </c>
      <c r="X160" s="177">
        <f t="shared" si="65"/>
        <v>1</v>
      </c>
      <c r="Y160" s="67">
        <v>0.06</v>
      </c>
      <c r="Z160" s="67">
        <v>14.5</v>
      </c>
      <c r="AA160" s="67">
        <f t="shared" si="58"/>
        <v>14.44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59"/>
        <v>0243-22</v>
      </c>
      <c r="AE160" s="91" t="str">
        <f t="shared" si="60"/>
        <v>aws s3 cp s3://rtdc.mdm.uploadarchive.raw/RTDC4002/ "%USERPROFILE%\AppData\Local\Temp\OnboardLogs"\RTDC4002\2016-11-23 --exclude "*" --recursive --include "*20161123*" &amp; "%USERPROFILE%\Documents\GitHub\mrs-test-scripts\Headless Mode &amp; Sideloading\WalkAndUnGZ.bat" "%USERPROFILE%\AppData\Local\Temp\OnboardLogs"\RTDC4002\2016-11-23 &amp; aws s3 cp s3://rtdc.mdm.uploadarchive.raw/RTDC4002/ "%USERPROFILE%\AppData\Local\Temp\OnboardLogs"\RTDC4002\2016-11-24 --exclude "*" --recursive --include "*20161124*" &amp; "%USERPROFILE%\Documents\GitHub\mrs-test-scripts\Headless Mode &amp; Sideloading\WalkAndUnGZ.bat" "%USERPROFILE%\AppData\Local\Temp\OnboardLogs"\RTDC4002\2016-11-24</v>
      </c>
      <c r="AF160" s="88" t="str">
        <f t="shared" si="61"/>
        <v>"C:\Program Files (x86)\AstroGrep\AstroGrep.exe" /spath="%USERPROFILE%\AppData\Local\Temp\OnboardLogs" /stypes="app*4002*20161123*" /stext=" 07:.+((SYSTEM_STATE.+slice.+state.+changed )|(ment ac)|(system.+state.+changed )|(\[timeout)|(PRM\|1\|D)|(kpr)|(kdp)|(\|lc)|(penalty))" /e /r /s</v>
      </c>
      <c r="AG160" s="1" t="str">
        <f t="shared" si="62"/>
        <v>EC</v>
      </c>
      <c r="AH160" s="92" t="str">
        <f t="shared" si="63"/>
        <v>"%USERPROFILE%\Documents\GitHub\eaglep3\Utilities\RefineRTDCRunTimes.py" --tripid 243-22 --locoid 4002 --swversion DE.1.0.8.0 --startMP 204:154413 --initTime 2016-11-23T00:58:21 --startdatetime 2016-11-23T00:30:18 --delay 1 --endMP 204:233314 --enddatetime 2016-11-23T00:56:44 --enforcementcount 0 &gt;&gt;C:\Users\stu\Documents\GitHub\eaglep3-reporting\EC\2016-11-22-refined-times.txt</v>
      </c>
      <c r="AI160" s="119" t="str">
        <f t="shared" si="64"/>
        <v>echo {"issue":{"subject":"Wheel tach slip","project_id":79,"tracker_id":40,"status_id":1,"priority_id":2,"assigned_to_id":23,"start_date":"2016-11-23","description":"At 2016-11-23 00:57:43, received 2087 message with Wheel Tach Slip faults, this explains why the system went disengaged","custom_fields":[{"id":1,"name":"Subdivision","value":"EC"},{"id":4,"name":"Milepost","value":"14.5"},{"id":17,"name":"Train ID","value":"243-22"},{"id":16,"name":"Locomotive ID","value":"4002"},{"id":130,"name":"Impact","value":"Unexpected Cut-Out or Disengaged"},{"id":150,"name":"Time of Event (Mountain Time)","value":"00:56:44"},{"id":151,"name":"Denver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60" s="53" t="s">
        <v>813</v>
      </c>
      <c r="AK160" s="53" t="s">
        <v>131</v>
      </c>
      <c r="AL160" s="53" t="s">
        <v>177</v>
      </c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637</v>
      </c>
      <c r="B161" s="7">
        <v>4002</v>
      </c>
      <c r="C161" s="22" t="s">
        <v>217</v>
      </c>
      <c r="D161" s="22" t="s">
        <v>214</v>
      </c>
      <c r="E161" s="13">
        <v>42697.007893518516</v>
      </c>
      <c r="F161" s="13">
        <v>42697.041620370372</v>
      </c>
      <c r="G161" s="7">
        <v>1</v>
      </c>
      <c r="H161" s="22" t="s">
        <v>281</v>
      </c>
      <c r="I161" s="13">
        <v>42697.047858796293</v>
      </c>
      <c r="J161" s="7">
        <v>0</v>
      </c>
      <c r="K161" s="109" t="str">
        <f t="shared" si="51"/>
        <v>4001/4002</v>
      </c>
      <c r="L161" s="22" t="str">
        <f>VLOOKUP(A161,'Trips&amp;Operators'!$C$1:$E$10000,3,FALSE)</f>
        <v>NICHOLSON</v>
      </c>
      <c r="M161" s="6">
        <f t="shared" si="50"/>
        <v>6.2384259217651561E-3</v>
      </c>
      <c r="N161" s="7"/>
      <c r="O161" s="7"/>
      <c r="P161" s="7"/>
      <c r="Q161" s="23"/>
      <c r="R161" s="23"/>
      <c r="S161" s="35"/>
      <c r="T161" s="50" t="str">
        <f t="shared" si="52"/>
        <v>NorthBound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0</v>
      </c>
      <c r="V161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23:11:22-700',mode:absolute,to:'2016-11-23 02:08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61" s="52" t="str">
        <f t="shared" si="54"/>
        <v>Y</v>
      </c>
      <c r="X161" s="177">
        <f t="shared" si="65"/>
        <v>0</v>
      </c>
      <c r="Y161" s="67">
        <v>15.4</v>
      </c>
      <c r="Z161" s="67">
        <f t="shared" ref="Z161:Z192" si="66">RIGHT(H161,LEN(H161)-4)/10000</f>
        <v>23.331399999999999</v>
      </c>
      <c r="AA161" s="67">
        <f t="shared" si="58"/>
        <v>7.9313999999999982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59"/>
        <v>0243-22</v>
      </c>
      <c r="AE161" s="91" t="str">
        <f t="shared" si="60"/>
        <v>aws s3 cp s3://rtdc.mdm.uploadarchive.raw/RTDC4002/ "%USERPROFILE%\AppData\Local\Temp\OnboardLogs"\RTDC4002\2016-11-23 --exclude "*" --recursive --include "*20161123*" &amp; "%USERPROFILE%\Documents\GitHub\mrs-test-scripts\Headless Mode &amp; Sideloading\WalkAndUnGZ.bat" "%USERPROFILE%\AppData\Local\Temp\OnboardLogs"\RTDC4002\2016-11-23 &amp; aws s3 cp s3://rtdc.mdm.uploadarchive.raw/RTDC4002/ "%USERPROFILE%\AppData\Local\Temp\OnboardLogs"\RTDC4002\2016-11-24 --exclude "*" --recursive --include "*20161124*" &amp; "%USERPROFILE%\Documents\GitHub\mrs-test-scripts\Headless Mode &amp; Sideloading\WalkAndUnGZ.bat" "%USERPROFILE%\AppData\Local\Temp\OnboardLogs"\RTDC4002\2016-11-24</v>
      </c>
      <c r="AF161" s="88" t="str">
        <f t="shared" si="61"/>
        <v>"C:\Program Files (x86)\AstroGrep\AstroGrep.exe" /spath="%USERPROFILE%\AppData\Local\Temp\OnboardLogs" /stypes="app*4002*20161123*" /stext=" 08:.+((SYSTEM_STATE.+slice.+state.+changed )|(ment ac)|(system.+state.+changed )|(\[timeout)|(PRM\|1\|D)|(kpr)|(kdp)|(\|lc)|(penalty))" /e /r /s</v>
      </c>
      <c r="AG161" s="1" t="str">
        <f t="shared" si="62"/>
        <v>EC</v>
      </c>
      <c r="AH161" s="92" t="str">
        <f t="shared" si="63"/>
        <v>"%USERPROFILE%\Documents\GitHub\eaglep3\Utilities\RefineRTDCRunTimes.py" --tripid 243-22 --locoid 4002 --swversion DE.1.0.8.0 --startMP 204:462 --initTime 2016-11-23T00:11:22 --startdatetime 2016-11-23T00:59:56 --delay 1 --endMP 204:233314 --enddatetime 2016-11-23T01:08:55 --enforcementcount 0 &gt;&gt;C:\Users\stu\Documents\GitHub\eaglep3-reporting\EC\2016-11-22-refined-times.txt</v>
      </c>
      <c r="AI161" s="119" t="str">
        <f t="shared" si="64"/>
        <v>echo {"issue":{"subject":"","project_id":79,"tracker_id":40,"status_id":1,"priority_id":2,"assigned_to_id":23,"start_date":"2016-11-23","description":"","custom_fields":[{"id":1,"name":"Subdivision","value":"EC"},{"id":4,"name":"Milepost","value":"23.3314"},{"id":17,"name":"Train ID","value":"243-22"},{"id":16,"name":"Locomotive ID","value":"4002"},{"id":130,"name":"Impact","value":""},{"id":150,"name":"Time of Event (Mountain Time)","value":"01:08:55"},{"id":151,"name":"Denver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642</v>
      </c>
      <c r="B162" s="7">
        <v>4001</v>
      </c>
      <c r="C162" s="22" t="s">
        <v>217</v>
      </c>
      <c r="D162" s="22" t="s">
        <v>660</v>
      </c>
      <c r="E162" s="13">
        <v>42697.050937499997</v>
      </c>
      <c r="F162" s="13">
        <v>42697.059930555559</v>
      </c>
      <c r="G162" s="7">
        <v>1</v>
      </c>
      <c r="H162" s="22" t="s">
        <v>314</v>
      </c>
      <c r="I162" s="13">
        <v>42697.087546296294</v>
      </c>
      <c r="J162" s="7">
        <v>0</v>
      </c>
      <c r="K162" s="109" t="str">
        <f t="shared" si="51"/>
        <v>4001/4002</v>
      </c>
      <c r="L162" s="22" t="str">
        <f>VLOOKUP(A162,'Trips&amp;Operators'!$C$1:$E$10000,3,FALSE)</f>
        <v>NICHOLSON</v>
      </c>
      <c r="M162" s="6">
        <f t="shared" si="50"/>
        <v>2.7615740735200234E-2</v>
      </c>
      <c r="N162" s="7">
        <f t="shared" ref="N162:N193" si="67">24*60*SUM($M162:$M162)</f>
        <v>39.766666658688337</v>
      </c>
      <c r="O162" s="7"/>
      <c r="P162" s="7"/>
      <c r="Q162" s="23"/>
      <c r="R162" s="23"/>
      <c r="S162" s="35">
        <f t="shared" ref="S162:S193" si="68">SUM(U162:U162)/IF(AG162="EC",12,1)</f>
        <v>1</v>
      </c>
      <c r="T162" s="50" t="str">
        <f t="shared" si="52"/>
        <v>Southbound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https://search-rtdc-monitor-bjffxe2xuh6vdkpspy63sjmuny.us-east-1.es.amazonaws.com/_plugin/kibana/#/discover/Steve-Slow-Train-Analysis-(2080s-and-2083s)?_g=(refreshInterval:(display:Off,section:0,value:0),time:(from:'2016-11-23 00:13:21-700',mode:absolute,to:'2016-11-23 03:06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2" s="52" t="str">
        <f t="shared" si="54"/>
        <v>N</v>
      </c>
      <c r="X162" s="177">
        <f t="shared" si="65"/>
        <v>1</v>
      </c>
      <c r="Y162" s="67">
        <f t="shared" ref="Y162:Y193" si="69">RIGHT(D162,LEN(D162)-4)/10000</f>
        <v>23.3</v>
      </c>
      <c r="Z162" s="67">
        <f t="shared" si="66"/>
        <v>1.3899999999999999E-2</v>
      </c>
      <c r="AA162" s="67">
        <f t="shared" si="58"/>
        <v>23.286100000000001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59"/>
        <v>0244-22</v>
      </c>
      <c r="AE162" s="91" t="str">
        <f t="shared" si="60"/>
        <v>aws s3 cp s3://rtdc.mdm.uploadarchive.raw/RTDC4001/ "%USERPROFILE%\AppData\Local\Temp\OnboardLogs"\RTDC4001\2016-11-23 --exclude "*" --recursive --include "*20161123*" &amp; "%USERPROFILE%\Documents\GitHub\mrs-test-scripts\Headless Mode &amp; Sideloading\WalkAndUnGZ.bat" "%USERPROFILE%\AppData\Local\Temp\OnboardLogs"\RTDC4001\2016-11-23 &amp; aws s3 cp s3://rtdc.mdm.uploadarchive.raw/RTDC4001/ "%USERPROFILE%\AppData\Local\Temp\OnboardLogs"\RTDC4001\2016-11-24 --exclude "*" --recursive --include "*20161124*" &amp; "%USERPROFILE%\Documents\GitHub\mrs-test-scripts\Headless Mode &amp; Sideloading\WalkAndUnGZ.bat" "%USERPROFILE%\AppData\Local\Temp\OnboardLogs"\RTDC4001\2016-11-24</v>
      </c>
      <c r="AF162" s="88" t="str">
        <f t="shared" si="61"/>
        <v>"C:\Program Files (x86)\AstroGrep\AstroGrep.exe" /spath="%USERPROFILE%\AppData\Local\Temp\OnboardLogs" /stypes="app*4001*20161123*" /stext=" 09:.+((SYSTEM_STATE.+slice.+state.+changed )|(ment ac)|(system.+state.+changed )|(\[timeout)|(PRM\|1\|D)|(kpr)|(kdp)|(\|lc)|(penalty))" /e /r /s</v>
      </c>
      <c r="AG162" s="1" t="str">
        <f t="shared" si="62"/>
        <v>EC</v>
      </c>
      <c r="AH162" s="92" t="str">
        <f t="shared" si="63"/>
        <v>"%USERPROFILE%\Documents\GitHub\eaglep3\Utilities\RefineRTDCRunTimes.py" --tripid 244-22 --locoid 4001 --swversion DE.1.0.8.0 --startMP 204:233000 --initTime 2016-11-23T01:13:21 --startdatetime 2016-11-23T01:26:18 --delay 1 --endMP 204:139 --enddatetime 2016-11-23T02:06:04 --enforcementcount 0 &gt;&gt;C:\Users\stu\Documents\GitHub\eaglep3-reporting\EC\2016-11-22-refined-times.txt</v>
      </c>
      <c r="AI162" s="119" t="str">
        <f t="shared" si="64"/>
        <v>echo {"issue":{"subject":"","project_id":79,"tracker_id":40,"status_id":1,"priority_id":2,"assigned_to_id":23,"start_date":"2016-11-23","description":"","custom_fields":[{"id":1,"name":"Subdivision","value":"EC"},{"id":4,"name":"Milepost","value":"0.0139"},{"id":17,"name":"Train ID","value":"244-22"},{"id":16,"name":"Locomotive ID","value":"4001"},{"id":130,"name":"Impact","value":""},{"id":150,"name":"Time of Event (Mountain Time)","value":"02:06:04"},{"id":151,"name":"Denver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416</v>
      </c>
      <c r="B163" s="7">
        <v>4013</v>
      </c>
      <c r="C163" s="22" t="s">
        <v>217</v>
      </c>
      <c r="D163" s="22" t="s">
        <v>727</v>
      </c>
      <c r="E163" s="13">
        <v>42696.216689814813</v>
      </c>
      <c r="F163" s="13">
        <v>42696.218043981484</v>
      </c>
      <c r="G163" s="7">
        <v>1</v>
      </c>
      <c r="H163" s="22" t="s">
        <v>728</v>
      </c>
      <c r="I163" s="13">
        <v>42696.227175925924</v>
      </c>
      <c r="J163" s="7">
        <v>1</v>
      </c>
      <c r="K163" s="109" t="str">
        <f t="shared" si="51"/>
        <v>4013/4014</v>
      </c>
      <c r="L163" s="22" t="str">
        <f>VLOOKUP(A163,'Trips&amp;Operators'!$C$1:$E$10000,3,FALSE)</f>
        <v>STARKS</v>
      </c>
      <c r="M163" s="6">
        <f t="shared" si="50"/>
        <v>9.1319444400141947E-3</v>
      </c>
      <c r="N163" s="7">
        <f t="shared" si="67"/>
        <v>13.14999999362044</v>
      </c>
      <c r="O163" s="7"/>
      <c r="P163" s="7"/>
      <c r="Q163" s="23"/>
      <c r="R163" s="23"/>
      <c r="S163" s="35">
        <f t="shared" si="68"/>
        <v>1</v>
      </c>
      <c r="T163" s="50" t="str">
        <f t="shared" si="52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04:12:02-700',mode:absolute,to:'2016-11-22 06:27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3" s="52" t="str">
        <f t="shared" si="54"/>
        <v>N</v>
      </c>
      <c r="X163" s="177">
        <f t="shared" si="65"/>
        <v>556</v>
      </c>
      <c r="Y163" s="67">
        <f t="shared" si="69"/>
        <v>5.8635999999999999</v>
      </c>
      <c r="Z163" s="67">
        <f t="shared" si="66"/>
        <v>7.0599999999999996E-2</v>
      </c>
      <c r="AA163" s="67">
        <f t="shared" si="58"/>
        <v>5.7930000000000001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59"/>
        <v>0800-22</v>
      </c>
      <c r="AE163" s="91" t="str">
        <f t="shared" si="60"/>
        <v>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 &amp; aws s3 cp s3://rtdc.mdm.uploadarchive.raw/RTDC4013/ "%USERPROFILE%\AppData\Local\Temp\OnboardLogs"\RTDC4013\2016-11-23 --exclude "*" --recursive --include "*20161123*" &amp; "%USERPROFILE%\Documents\GitHub\mrs-test-scripts\Headless Mode &amp; Sideloading\WalkAndUnGZ.bat" "%USERPROFILE%\AppData\Local\Temp\OnboardLogs"\RTDC4013\2016-11-23</v>
      </c>
      <c r="AF163" s="88" t="str">
        <f t="shared" si="61"/>
        <v>"C:\Program Files (x86)\AstroGrep\AstroGrep.exe" /spath="%USERPROFILE%\AppData\Local\Temp\OnboardLogs" /stypes="app*4013*20161122*" /stext=" 12:.+((SYSTEM_STATE.+slice.+state.+changed )|(ment ac)|(system.+state.+changed )|(\[timeout)|(PRM\|1\|D)|(kpr)|(kdp)|(\|lc)|(penalty))" /e /r /s</v>
      </c>
      <c r="AG163" s="1" t="str">
        <f t="shared" si="62"/>
        <v>NW</v>
      </c>
      <c r="AH163" s="92" t="str">
        <f t="shared" si="63"/>
        <v>"%USERPROFILE%\Documents\GitHub\eaglep3\Utilities\RefineRTDCRunTimes.py" --tripid 800-22 --locoid 4013 --swversion DE.1.0.8.0 --startMP 300:58636 --initTime 2016-11-22T05:12:02 --startdatetime 2016-11-22T05:13:59 --delay 1 --endMP 204:706 --enddatetime 2016-11-22T05:27:08 --enforcementcount 1 &gt;&gt;C:\Users\stu\Documents\GitHub\eaglep3-reporting\EC\2016-11-22-refined-times.txt</v>
      </c>
      <c r="AI163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{"issue":{"subject":"","project_id":79,"tracker_id":40,"status_id":1,"priority_id":2,"assigned_to_id":23,"start_date":"2016-11-22","description":"","custom_fields":[{"id":1,"name":"Subdivision","value":"NW"},{"id":4,"name":"Milepost","value":"0.0706"},{"id":17,"name":"Train ID","value":"800-22"},{"id":16,"name":"Locomotive ID","value":"4013"},{"id":130,"name":"Impact","value":""},{"id":150,"name":"Time of Event (Mountain Time)","value":"05:27:08"},{"id":151,"name":"Denver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463</v>
      </c>
      <c r="B164" s="7">
        <v>4014</v>
      </c>
      <c r="C164" s="22" t="s">
        <v>217</v>
      </c>
      <c r="D164" s="22" t="s">
        <v>729</v>
      </c>
      <c r="E164" s="13">
        <v>42696.240115740744</v>
      </c>
      <c r="F164" s="13">
        <v>42696.244143518517</v>
      </c>
      <c r="G164" s="7">
        <v>3</v>
      </c>
      <c r="H164" s="22" t="s">
        <v>730</v>
      </c>
      <c r="I164" s="13">
        <v>42696.253564814811</v>
      </c>
      <c r="J164" s="7">
        <v>0</v>
      </c>
      <c r="K164" s="109" t="str">
        <f t="shared" si="51"/>
        <v>4013/4014</v>
      </c>
      <c r="L164" s="22" t="str">
        <f>VLOOKUP(A164,'Trips&amp;Operators'!$C$1:$E$10000,3,FALSE)</f>
        <v>STARKS</v>
      </c>
      <c r="M164" s="6">
        <f t="shared" si="50"/>
        <v>9.4212962940218858E-3</v>
      </c>
      <c r="N164" s="7">
        <f t="shared" si="67"/>
        <v>13.566666663391516</v>
      </c>
      <c r="O164" s="7"/>
      <c r="P164" s="7"/>
      <c r="Q164" s="23"/>
      <c r="R164" s="23"/>
      <c r="S164" s="35">
        <f t="shared" si="68"/>
        <v>1</v>
      </c>
      <c r="T164" s="50" t="str">
        <f t="shared" si="52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04:45:46-700',mode:absolute,to:'2016-11-22 07:05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4" s="52" t="str">
        <f t="shared" si="54"/>
        <v>N</v>
      </c>
      <c r="X164" s="177">
        <f t="shared" si="65"/>
        <v>1</v>
      </c>
      <c r="Y164" s="67">
        <f t="shared" si="69"/>
        <v>0.1027</v>
      </c>
      <c r="Z164" s="67">
        <f t="shared" si="66"/>
        <v>5.8944000000000001</v>
      </c>
      <c r="AA164" s="67">
        <f t="shared" si="58"/>
        <v>5.7917000000000005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59"/>
        <v>0801-22</v>
      </c>
      <c r="AE164" s="91" t="str">
        <f t="shared" si="60"/>
        <v>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 &amp; aws s3 cp s3://rtdc.mdm.uploadarchive.raw/RTDC4014/ "%USERPROFILE%\AppData\Local\Temp\OnboardLogs"\RTDC4014\2016-11-23 --exclude "*" --recursive --include "*20161123*" &amp; "%USERPROFILE%\Documents\GitHub\mrs-test-scripts\Headless Mode &amp; Sideloading\WalkAndUnGZ.bat" "%USERPROFILE%\AppData\Local\Temp\OnboardLogs"\RTDC4014\2016-11-23</v>
      </c>
      <c r="AF164" s="88" t="str">
        <f t="shared" si="61"/>
        <v>"C:\Program Files (x86)\AstroGrep\AstroGrep.exe" /spath="%USERPROFILE%\AppData\Local\Temp\OnboardLogs" /stypes="app*4014*20161122*" /stext=" 13:.+((SYSTEM_STATE.+slice.+state.+changed )|(ment ac)|(system.+state.+changed )|(\[timeout)|(PRM\|1\|D)|(kpr)|(kdp)|(\|lc)|(penalty))" /e /r /s</v>
      </c>
      <c r="AG164" s="1" t="str">
        <f t="shared" si="62"/>
        <v>NW</v>
      </c>
      <c r="AH164" s="92" t="str">
        <f t="shared" si="63"/>
        <v>"%USERPROFILE%\Documents\GitHub\eaglep3\Utilities\RefineRTDCRunTimes.py" --tripid 801-22 --locoid 4014 --swversion DE.1.0.8.0 --startMP 204:1027 --initTime 2016-11-22T05:45:46 --startdatetime 2016-11-22T05:51:34 --delay 3 --endMP 300:58944 --enddatetime 2016-11-22T06:05:08 --enforcementcount 0 &gt;&gt;C:\Users\stu\Documents\GitHub\eaglep3-reporting\EC\2016-11-22-refined-times.txt</v>
      </c>
      <c r="AI164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{"issue":{"subject":"","project_id":79,"tracker_id":40,"status_id":1,"priority_id":2,"assigned_to_id":23,"start_date":"2016-11-22","description":"","custom_fields":[{"id":1,"name":"Subdivision","value":"NW"},{"id":4,"name":"Milepost","value":"5.8944"},{"id":17,"name":"Train ID","value":"801-22"},{"id":16,"name":"Locomotive ID","value":"4014"},{"id":130,"name":"Impact","value":""},{"id":150,"name":"Time of Event (Mountain Time)","value":"06:05:08"},{"id":151,"name":"Denver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417</v>
      </c>
      <c r="B165" s="7">
        <v>4013</v>
      </c>
      <c r="C165" s="22" t="s">
        <v>217</v>
      </c>
      <c r="D165" s="22" t="s">
        <v>393</v>
      </c>
      <c r="E165" s="13">
        <v>42696.254502314812</v>
      </c>
      <c r="F165" s="13">
        <v>42696.255752314813</v>
      </c>
      <c r="G165" s="7">
        <v>1</v>
      </c>
      <c r="H165" s="22" t="s">
        <v>731</v>
      </c>
      <c r="I165" s="13">
        <v>42696.268368055556</v>
      </c>
      <c r="J165" s="7">
        <v>1</v>
      </c>
      <c r="K165" s="109" t="str">
        <f t="shared" si="51"/>
        <v>4013/4014</v>
      </c>
      <c r="L165" s="22" t="str">
        <f>VLOOKUP(A165,'Trips&amp;Operators'!$C$1:$E$10000,3,FALSE)</f>
        <v>STARKS</v>
      </c>
      <c r="M165" s="6">
        <f t="shared" si="50"/>
        <v>1.2615740743058268E-2</v>
      </c>
      <c r="N165" s="7">
        <f t="shared" si="67"/>
        <v>18.166666670003906</v>
      </c>
      <c r="O165" s="7"/>
      <c r="P165" s="7"/>
      <c r="Q165" s="23"/>
      <c r="R165" s="23"/>
      <c r="S165" s="35">
        <f t="shared" si="68"/>
        <v>1</v>
      </c>
      <c r="T165" s="50" t="str">
        <f t="shared" si="52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05:06:29-700',mode:absolute,to:'2016-11-22 07:26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5" s="52" t="str">
        <f t="shared" si="54"/>
        <v>N</v>
      </c>
      <c r="X165" s="177">
        <f t="shared" si="65"/>
        <v>1</v>
      </c>
      <c r="Y165" s="67">
        <f t="shared" si="69"/>
        <v>5.8638000000000003</v>
      </c>
      <c r="Z165" s="67">
        <f t="shared" si="66"/>
        <v>7.9200000000000007E-2</v>
      </c>
      <c r="AA165" s="67">
        <f t="shared" si="58"/>
        <v>5.7846000000000002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59"/>
        <v>0802-22</v>
      </c>
      <c r="AE165" s="91" t="str">
        <f t="shared" si="60"/>
        <v>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 &amp; aws s3 cp s3://rtdc.mdm.uploadarchive.raw/RTDC4013/ "%USERPROFILE%\AppData\Local\Temp\OnboardLogs"\RTDC4013\2016-11-23 --exclude "*" --recursive --include "*20161123*" &amp; "%USERPROFILE%\Documents\GitHub\mrs-test-scripts\Headless Mode &amp; Sideloading\WalkAndUnGZ.bat" "%USERPROFILE%\AppData\Local\Temp\OnboardLogs"\RTDC4013\2016-11-23</v>
      </c>
      <c r="AF165" s="88" t="str">
        <f t="shared" si="61"/>
        <v>"C:\Program Files (x86)\AstroGrep\AstroGrep.exe" /spath="%USERPROFILE%\AppData\Local\Temp\OnboardLogs" /stypes="app*4013*20161122*" /stext=" 13:.+((SYSTEM_STATE.+slice.+state.+changed )|(ment ac)|(system.+state.+changed )|(\[timeout)|(PRM\|1\|D)|(kpr)|(kdp)|(\|lc)|(penalty))" /e /r /s</v>
      </c>
      <c r="AG165" s="1" t="str">
        <f t="shared" si="62"/>
        <v>NW</v>
      </c>
      <c r="AH165" s="92" t="str">
        <f t="shared" si="63"/>
        <v>"%USERPROFILE%\Documents\GitHub\eaglep3\Utilities\RefineRTDCRunTimes.py" --tripid 802-22 --locoid 4013 --swversion DE.1.0.8.0 --startMP 300:58638 --initTime 2016-11-22T06:06:29 --startdatetime 2016-11-22T06:08:17 --delay 1 --endMP 204:792 --enddatetime 2016-11-22T06:26:27 --enforcementcount 1 &gt;&gt;C:\Users\stu\Documents\GitHub\eaglep3-reporting\EC\2016-11-22-refined-times.txt</v>
      </c>
      <c r="AI165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{"issue":{"subject":"","project_id":79,"tracker_id":40,"status_id":1,"priority_id":2,"assigned_to_id":23,"start_date":"2016-11-22","description":"","custom_fields":[{"id":1,"name":"Subdivision","value":"NW"},{"id":4,"name":"Milepost","value":"0.0792"},{"id":17,"name":"Train ID","value":"802-22"},{"id":16,"name":"Locomotive ID","value":"4013"},{"id":130,"name":"Impact","value":""},{"id":150,"name":"Time of Event (Mountain Time)","value":"06:26:27"},{"id":151,"name":"Denver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468</v>
      </c>
      <c r="B166" s="7">
        <v>4016</v>
      </c>
      <c r="C166" s="22" t="s">
        <v>217</v>
      </c>
      <c r="D166" s="22" t="s">
        <v>732</v>
      </c>
      <c r="E166" s="13">
        <v>42696.261770833335</v>
      </c>
      <c r="F166" s="13">
        <v>42696.264768518522</v>
      </c>
      <c r="G166" s="7">
        <v>1</v>
      </c>
      <c r="H166" s="22" t="s">
        <v>733</v>
      </c>
      <c r="I166" s="13">
        <v>42696.273865740739</v>
      </c>
      <c r="J166" s="7">
        <v>0</v>
      </c>
      <c r="K166" s="109" t="str">
        <f t="shared" si="51"/>
        <v>4015/4016</v>
      </c>
      <c r="L166" s="22" t="str">
        <f>VLOOKUP(A166,'Trips&amp;Operators'!$C$1:$E$10000,3,FALSE)</f>
        <v>LEVIN</v>
      </c>
      <c r="M166" s="6">
        <f t="shared" si="50"/>
        <v>9.0972222169511952E-3</v>
      </c>
      <c r="N166" s="7">
        <f t="shared" si="67"/>
        <v>13.099999992409721</v>
      </c>
      <c r="O166" s="7"/>
      <c r="P166" s="7"/>
      <c r="Q166" s="23"/>
      <c r="R166" s="23"/>
      <c r="S166" s="35">
        <f t="shared" si="68"/>
        <v>1</v>
      </c>
      <c r="T166" s="50" t="str">
        <f t="shared" si="52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05:16:57-700',mode:absolute,to:'2016-11-22 07:34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6" s="52" t="str">
        <f t="shared" si="54"/>
        <v>N</v>
      </c>
      <c r="X166" s="177">
        <f t="shared" si="65"/>
        <v>1</v>
      </c>
      <c r="Y166" s="67">
        <f t="shared" si="69"/>
        <v>9.9299999999999999E-2</v>
      </c>
      <c r="Z166" s="67">
        <f t="shared" si="66"/>
        <v>5.8925999999999998</v>
      </c>
      <c r="AA166" s="67">
        <f t="shared" si="58"/>
        <v>5.7932999999999995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59"/>
        <v>0803-22</v>
      </c>
      <c r="AE166" s="91" t="str">
        <f t="shared" si="60"/>
        <v>aws s3 cp s3://rtdc.mdm.uploadarchive.raw/RTDC4016/ "%USERPROFILE%\AppData\Local\Temp\OnboardLogs"\RTDC4016\2016-11-22 --exclude "*" --recursive --include "*20161122*" &amp; "%USERPROFILE%\Documents\GitHub\mrs-test-scripts\Headless Mode &amp; Sideloading\WalkAndUnGZ.bat" "%USERPROFILE%\AppData\Local\Temp\OnboardLogs"\RTDC4016\2016-11-22 &amp; aws s3 cp s3://rtdc.mdm.uploadarchive.raw/RTDC4016/ "%USERPROFILE%\AppData\Local\Temp\OnboardLogs"\RTDC4016\2016-11-23 --exclude "*" --recursive --include "*20161123*" &amp; "%USERPROFILE%\Documents\GitHub\mrs-test-scripts\Headless Mode &amp; Sideloading\WalkAndUnGZ.bat" "%USERPROFILE%\AppData\Local\Temp\OnboardLogs"\RTDC4016\2016-11-23</v>
      </c>
      <c r="AF166" s="88" t="str">
        <f t="shared" si="61"/>
        <v>"C:\Program Files (x86)\AstroGrep\AstroGrep.exe" /spath="%USERPROFILE%\AppData\Local\Temp\OnboardLogs" /stypes="app*4016*20161122*" /stext=" 13:.+((SYSTEM_STATE.+slice.+state.+changed )|(ment ac)|(system.+state.+changed )|(\[timeout)|(PRM\|1\|D)|(kpr)|(kdp)|(\|lc)|(penalty))" /e /r /s</v>
      </c>
      <c r="AG166" s="1" t="str">
        <f t="shared" si="62"/>
        <v>NW</v>
      </c>
      <c r="AH166" s="92" t="str">
        <f t="shared" si="63"/>
        <v>"%USERPROFILE%\Documents\GitHub\eaglep3\Utilities\RefineRTDCRunTimes.py" --tripid 803-22 --locoid 4016 --swversion DE.1.0.8.0 --startMP 204:993 --initTime 2016-11-22T06:16:57 --startdatetime 2016-11-22T06:21:16 --delay 1 --endMP 300:58926 --enddatetime 2016-11-22T06:34:22 --enforcementcount 0 &gt;&gt;C:\Users\stu\Documents\GitHub\eaglep3-reporting\EC\2016-11-22-refined-times.txt</v>
      </c>
      <c r="AI166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{"issue":{"subject":"","project_id":79,"tracker_id":40,"status_id":1,"priority_id":2,"assigned_to_id":23,"start_date":"2016-11-22","description":"","custom_fields":[{"id":1,"name":"Subdivision","value":"NW"},{"id":4,"name":"Milepost","value":"5.8926"},{"id":17,"name":"Train ID","value":"803-22"},{"id":16,"name":"Locomotive ID","value":"4016"},{"id":130,"name":"Impact","value":""},{"id":150,"name":"Time of Event (Mountain Time)","value":"06:34:22"},{"id":151,"name":"Denver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471</v>
      </c>
      <c r="B167" s="7">
        <v>4015</v>
      </c>
      <c r="C167" s="22" t="s">
        <v>217</v>
      </c>
      <c r="D167" s="22" t="s">
        <v>734</v>
      </c>
      <c r="E167" s="13">
        <v>42696.275185185186</v>
      </c>
      <c r="F167" s="13">
        <v>42696.276759259257</v>
      </c>
      <c r="G167" s="7">
        <v>1</v>
      </c>
      <c r="H167" s="22" t="s">
        <v>329</v>
      </c>
      <c r="I167" s="13">
        <v>42696.288726851853</v>
      </c>
      <c r="J167" s="7">
        <v>0</v>
      </c>
      <c r="K167" s="109" t="str">
        <f t="shared" si="51"/>
        <v>4015/4016</v>
      </c>
      <c r="L167" s="22" t="str">
        <f>VLOOKUP(A167,'Trips&amp;Operators'!$C$1:$E$10000,3,FALSE)</f>
        <v>LEVIN</v>
      </c>
      <c r="M167" s="6">
        <f t="shared" si="50"/>
        <v>1.1967592596192844E-2</v>
      </c>
      <c r="N167" s="7">
        <f t="shared" si="67"/>
        <v>17.233333338517696</v>
      </c>
      <c r="O167" s="7"/>
      <c r="P167" s="7"/>
      <c r="Q167" s="23"/>
      <c r="R167" s="23"/>
      <c r="S167" s="35">
        <f t="shared" si="68"/>
        <v>1</v>
      </c>
      <c r="T167" s="50" t="str">
        <f t="shared" si="52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05:36:16-700',mode:absolute,to:'2016-11-22 07:55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7" s="52" t="str">
        <f t="shared" si="54"/>
        <v>N</v>
      </c>
      <c r="X167" s="177">
        <f t="shared" si="65"/>
        <v>1</v>
      </c>
      <c r="Y167" s="67">
        <f t="shared" si="69"/>
        <v>5.8615000000000004</v>
      </c>
      <c r="Z167" s="67">
        <f t="shared" si="66"/>
        <v>7.1300000000000002E-2</v>
      </c>
      <c r="AA167" s="67">
        <f t="shared" si="58"/>
        <v>5.7902000000000005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59"/>
        <v>0804-22</v>
      </c>
      <c r="AE167" s="91" t="str">
        <f t="shared" si="60"/>
        <v>aws s3 cp s3://rtdc.mdm.uploadarchive.raw/RTDC4015/ "%USERPROFILE%\AppData\Local\Temp\OnboardLogs"\RTDC4015\2016-11-22 --exclude "*" --recursive --include "*20161122*" &amp; "%USERPROFILE%\Documents\GitHub\mrs-test-scripts\Headless Mode &amp; Sideloading\WalkAndUnGZ.bat" "%USERPROFILE%\AppData\Local\Temp\OnboardLogs"\RTDC4015\2016-11-22 &amp; aws s3 cp s3://rtdc.mdm.uploadarchive.raw/RTDC4015/ "%USERPROFILE%\AppData\Local\Temp\OnboardLogs"\RTDC4015\2016-11-23 --exclude "*" --recursive --include "*20161123*" &amp; "%USERPROFILE%\Documents\GitHub\mrs-test-scripts\Headless Mode &amp; Sideloading\WalkAndUnGZ.bat" "%USERPROFILE%\AppData\Local\Temp\OnboardLogs"\RTDC4015\2016-11-23</v>
      </c>
      <c r="AF167" s="88" t="str">
        <f t="shared" si="61"/>
        <v>"C:\Program Files (x86)\AstroGrep\AstroGrep.exe" /spath="%USERPROFILE%\AppData\Local\Temp\OnboardLogs" /stypes="app*4015*20161122*" /stext=" 13:.+((SYSTEM_STATE.+slice.+state.+changed )|(ment ac)|(system.+state.+changed )|(\[timeout)|(PRM\|1\|D)|(kpr)|(kdp)|(\|lc)|(penalty))" /e /r /s</v>
      </c>
      <c r="AG167" s="1" t="str">
        <f t="shared" si="62"/>
        <v>NW</v>
      </c>
      <c r="AH167" s="92" t="str">
        <f t="shared" si="63"/>
        <v>"%USERPROFILE%\Documents\GitHub\eaglep3\Utilities\RefineRTDCRunTimes.py" --tripid 804-22 --locoid 4015 --swversion DE.1.0.8.0 --startMP 300:58615 --initTime 2016-11-22T06:36:16 --startdatetime 2016-11-22T06:38:32 --delay 1 --endMP 204:713 --enddatetime 2016-11-22T06:55:46 --enforcementcount 0 &gt;&gt;C:\Users\stu\Documents\GitHub\eaglep3-reporting\EC\2016-11-22-refined-times.txt</v>
      </c>
      <c r="AI167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{"issue":{"subject":"","project_id":79,"tracker_id":40,"status_id":1,"priority_id":2,"assigned_to_id":23,"start_date":"2016-11-22","description":"","custom_fields":[{"id":1,"name":"Subdivision","value":"NW"},{"id":4,"name":"Milepost","value":"0.0713"},{"id":17,"name":"Train ID","value":"804-22"},{"id":16,"name":"Locomotive ID","value":"4015"},{"id":130,"name":"Impact","value":""},{"id":150,"name":"Time of Event (Mountain Time)","value":"06:55:46"},{"id":151,"name":"Denver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7" t="s">
        <v>473</v>
      </c>
      <c r="B168" s="7">
        <v>4014</v>
      </c>
      <c r="C168" s="22" t="s">
        <v>217</v>
      </c>
      <c r="D168" s="22" t="s">
        <v>735</v>
      </c>
      <c r="E168" s="13">
        <v>42696.281527777777</v>
      </c>
      <c r="F168" s="13">
        <v>42696.285844907405</v>
      </c>
      <c r="G168" s="7">
        <v>1</v>
      </c>
      <c r="H168" s="22" t="s">
        <v>335</v>
      </c>
      <c r="I168" s="13">
        <v>42696.295046296298</v>
      </c>
      <c r="J168" s="7">
        <v>0</v>
      </c>
      <c r="K168" s="109" t="str">
        <f t="shared" si="51"/>
        <v>4013/4014</v>
      </c>
      <c r="L168" s="22" t="str">
        <f>VLOOKUP(A168,'Trips&amp;Operators'!$C$1:$E$10000,3,FALSE)</f>
        <v>STARKS</v>
      </c>
      <c r="M168" s="6">
        <f t="shared" si="50"/>
        <v>9.2013888934161514E-3</v>
      </c>
      <c r="N168" s="7">
        <f t="shared" si="67"/>
        <v>13.250000006519258</v>
      </c>
      <c r="O168" s="7"/>
      <c r="P168" s="7"/>
      <c r="Q168" s="23"/>
      <c r="R168" s="23"/>
      <c r="S168" s="35">
        <f t="shared" si="68"/>
        <v>1</v>
      </c>
      <c r="T168" s="50" t="str">
        <f t="shared" si="52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05:45:24-700',mode:absolute,to:'2016-11-22 08:04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8" s="52" t="str">
        <f t="shared" si="54"/>
        <v>N</v>
      </c>
      <c r="X168" s="177">
        <f t="shared" si="65"/>
        <v>1</v>
      </c>
      <c r="Y168" s="67">
        <f t="shared" si="69"/>
        <v>0.10829999999999999</v>
      </c>
      <c r="Z168" s="67">
        <f t="shared" si="66"/>
        <v>5.8968999999999996</v>
      </c>
      <c r="AA168" s="67">
        <f t="shared" si="58"/>
        <v>5.7885999999999997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59"/>
        <v>0805-22</v>
      </c>
      <c r="AE168" s="91" t="str">
        <f t="shared" si="60"/>
        <v>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 &amp; aws s3 cp s3://rtdc.mdm.uploadarchive.raw/RTDC4014/ "%USERPROFILE%\AppData\Local\Temp\OnboardLogs"\RTDC4014\2016-11-23 --exclude "*" --recursive --include "*20161123*" &amp; "%USERPROFILE%\Documents\GitHub\mrs-test-scripts\Headless Mode &amp; Sideloading\WalkAndUnGZ.bat" "%USERPROFILE%\AppData\Local\Temp\OnboardLogs"\RTDC4014\2016-11-23</v>
      </c>
      <c r="AF168" s="88" t="str">
        <f t="shared" si="61"/>
        <v>"C:\Program Files (x86)\AstroGrep\AstroGrep.exe" /spath="%USERPROFILE%\AppData\Local\Temp\OnboardLogs" /stypes="app*4014*20161122*" /stext=" 14:.+((SYSTEM_STATE.+slice.+state.+changed )|(ment ac)|(system.+state.+changed )|(\[timeout)|(PRM\|1\|D)|(kpr)|(kdp)|(\|lc)|(penalty))" /e /r /s</v>
      </c>
      <c r="AG168" s="1" t="str">
        <f t="shared" si="62"/>
        <v>NW</v>
      </c>
      <c r="AH168" s="92" t="str">
        <f t="shared" si="63"/>
        <v>"%USERPROFILE%\Documents\GitHub\eaglep3\Utilities\RefineRTDCRunTimes.py" --tripid 805-22 --locoid 4014 --swversion DE.1.0.8.0 --startMP 204:1083 --initTime 2016-11-22T06:45:24 --startdatetime 2016-11-22T06:51:37 --delay 1 --endMP 300:58969 --enddatetime 2016-11-22T07:04:52 --enforcementcount 0 &gt;&gt;C:\Users\stu\Documents\GitHub\eaglep3-reporting\EC\2016-11-22-refined-times.txt</v>
      </c>
      <c r="AI168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{"issue":{"subject":"","project_id":79,"tracker_id":40,"status_id":1,"priority_id":2,"assigned_to_id":23,"start_date":"2016-11-22","description":"","custom_fields":[{"id":1,"name":"Subdivision","value":"NW"},{"id":4,"name":"Milepost","value":"5.8969"},{"id":17,"name":"Train ID","value":"805-22"},{"id":16,"name":"Locomotive ID","value":"4014"},{"id":130,"name":"Impact","value":""},{"id":150,"name":"Time of Event (Mountain Time)","value":"07:04:52"},{"id":151,"name":"Denver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s="21" customFormat="1" x14ac:dyDescent="0.25">
      <c r="A169" s="37" t="s">
        <v>475</v>
      </c>
      <c r="B169" s="7">
        <v>4013</v>
      </c>
      <c r="C169" s="22" t="s">
        <v>217</v>
      </c>
      <c r="D169" s="22" t="s">
        <v>334</v>
      </c>
      <c r="E169" s="13">
        <v>42696.296099537038</v>
      </c>
      <c r="F169" s="13">
        <v>42696.297222222223</v>
      </c>
      <c r="G169" s="7">
        <v>1</v>
      </c>
      <c r="H169" s="22" t="s">
        <v>736</v>
      </c>
      <c r="I169" s="13">
        <v>42696.309629629628</v>
      </c>
      <c r="J169" s="7">
        <v>0</v>
      </c>
      <c r="K169" s="109" t="str">
        <f t="shared" si="51"/>
        <v>4013/4014</v>
      </c>
      <c r="L169" s="22" t="str">
        <f>VLOOKUP(A169,'Trips&amp;Operators'!$C$1:$E$10000,3,FALSE)</f>
        <v>STARKS</v>
      </c>
      <c r="M169" s="6">
        <f t="shared" si="50"/>
        <v>1.2407407404680271E-2</v>
      </c>
      <c r="N169" s="7">
        <f t="shared" si="67"/>
        <v>17.86666666273959</v>
      </c>
      <c r="O169" s="7"/>
      <c r="P169" s="7"/>
      <c r="Q169" s="23"/>
      <c r="R169" s="23"/>
      <c r="S169" s="35">
        <f t="shared" si="68"/>
        <v>1</v>
      </c>
      <c r="T169" s="50" t="str">
        <f t="shared" si="52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06:06:23-700',mode:absolute,to:'2016-11-22 08:25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9" s="52" t="str">
        <f t="shared" si="54"/>
        <v>N</v>
      </c>
      <c r="X169" s="177">
        <f t="shared" si="65"/>
        <v>1</v>
      </c>
      <c r="Y169" s="67">
        <f t="shared" si="69"/>
        <v>5.8651</v>
      </c>
      <c r="Z169" s="67">
        <f t="shared" si="66"/>
        <v>7.8700000000000006E-2</v>
      </c>
      <c r="AA169" s="67">
        <f t="shared" si="58"/>
        <v>5.7863999999999995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59"/>
        <v>0806-22</v>
      </c>
      <c r="AE169" s="91" t="str">
        <f t="shared" si="60"/>
        <v>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 &amp; aws s3 cp s3://rtdc.mdm.uploadarchive.raw/RTDC4013/ "%USERPROFILE%\AppData\Local\Temp\OnboardLogs"\RTDC4013\2016-11-23 --exclude "*" --recursive --include "*20161123*" &amp; "%USERPROFILE%\Documents\GitHub\mrs-test-scripts\Headless Mode &amp; Sideloading\WalkAndUnGZ.bat" "%USERPROFILE%\AppData\Local\Temp\OnboardLogs"\RTDC4013\2016-11-23</v>
      </c>
      <c r="AF169" s="88" t="str">
        <f t="shared" si="61"/>
        <v>"C:\Program Files (x86)\AstroGrep\AstroGrep.exe" /spath="%USERPROFILE%\AppData\Local\Temp\OnboardLogs" /stypes="app*4013*20161122*" /stext=" 14:.+((SYSTEM_STATE.+slice.+state.+changed )|(ment ac)|(system.+state.+changed )|(\[timeout)|(PRM\|1\|D)|(kpr)|(kdp)|(\|lc)|(penalty))" /e /r /s</v>
      </c>
      <c r="AG169" s="1" t="str">
        <f t="shared" si="62"/>
        <v>NW</v>
      </c>
      <c r="AH169" s="92" t="str">
        <f t="shared" si="63"/>
        <v>"%USERPROFILE%\Documents\GitHub\eaglep3\Utilities\RefineRTDCRunTimes.py" --tripid 806-22 --locoid 4013 --swversion DE.1.0.8.0 --startMP 300:58651 --initTime 2016-11-22T07:06:23 --startdatetime 2016-11-22T07:08:00 --delay 1 --endMP 204:787 --enddatetime 2016-11-22T07:25:52 --enforcementcount 0 &gt;&gt;C:\Users\stu\Documents\GitHub\eaglep3-reporting\EC\2016-11-22-refined-times.txt</v>
      </c>
      <c r="AI169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{"issue":{"subject":"","project_id":79,"tracker_id":40,"status_id":1,"priority_id":2,"assigned_to_id":23,"start_date":"2016-11-22","description":"","custom_fields":[{"id":1,"name":"Subdivision","value":"NW"},{"id":4,"name":"Milepost","value":"0.0787"},{"id":17,"name":"Train ID","value":"806-22"},{"id":16,"name":"Locomotive ID","value":"4013"},{"id":130,"name":"Impact","value":""},{"id":150,"name":"Time of Event (Mountain Time)","value":"07:25:52"},{"id":151,"name":"Denver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7" t="s">
        <v>477</v>
      </c>
      <c r="B170" s="7">
        <v>4016</v>
      </c>
      <c r="C170" s="22" t="s">
        <v>217</v>
      </c>
      <c r="D170" s="22" t="s">
        <v>737</v>
      </c>
      <c r="E170" s="13">
        <v>42696.303680555553</v>
      </c>
      <c r="F170" s="13">
        <v>42696.306446759256</v>
      </c>
      <c r="G170" s="7">
        <v>1</v>
      </c>
      <c r="H170" s="22" t="s">
        <v>738</v>
      </c>
      <c r="I170" s="13">
        <v>42696.315439814818</v>
      </c>
      <c r="J170" s="7">
        <v>0</v>
      </c>
      <c r="K170" s="109" t="str">
        <f t="shared" si="51"/>
        <v>4015/4016</v>
      </c>
      <c r="L170" s="22" t="str">
        <f>VLOOKUP(A170,'Trips&amp;Operators'!$C$1:$E$10000,3,FALSE)</f>
        <v>LEVIN</v>
      </c>
      <c r="M170" s="6">
        <f t="shared" si="50"/>
        <v>8.9930555623141117E-3</v>
      </c>
      <c r="N170" s="7">
        <f t="shared" si="67"/>
        <v>12.950000009732321</v>
      </c>
      <c r="O170" s="7"/>
      <c r="P170" s="7"/>
      <c r="Q170" s="23"/>
      <c r="R170" s="23"/>
      <c r="S170" s="35">
        <f t="shared" si="68"/>
        <v>1</v>
      </c>
      <c r="T170" s="50" t="str">
        <f t="shared" si="52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06:17:18-700',mode:absolute,to:'2016-11-22 08:34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70" s="52" t="str">
        <f t="shared" si="54"/>
        <v>N</v>
      </c>
      <c r="X170" s="177">
        <f t="shared" si="65"/>
        <v>1</v>
      </c>
      <c r="Y170" s="67">
        <f t="shared" si="69"/>
        <v>0.1014</v>
      </c>
      <c r="Z170" s="67">
        <f t="shared" si="66"/>
        <v>5.8929</v>
      </c>
      <c r="AA170" s="67">
        <f t="shared" si="58"/>
        <v>5.7915000000000001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59"/>
        <v>0807-22</v>
      </c>
      <c r="AE170" s="91" t="str">
        <f t="shared" si="60"/>
        <v>aws s3 cp s3://rtdc.mdm.uploadarchive.raw/RTDC4016/ "%USERPROFILE%\AppData\Local\Temp\OnboardLogs"\RTDC4016\2016-11-22 --exclude "*" --recursive --include "*20161122*" &amp; "%USERPROFILE%\Documents\GitHub\mrs-test-scripts\Headless Mode &amp; Sideloading\WalkAndUnGZ.bat" "%USERPROFILE%\AppData\Local\Temp\OnboardLogs"\RTDC4016\2016-11-22 &amp; aws s3 cp s3://rtdc.mdm.uploadarchive.raw/RTDC4016/ "%USERPROFILE%\AppData\Local\Temp\OnboardLogs"\RTDC4016\2016-11-23 --exclude "*" --recursive --include "*20161123*" &amp; "%USERPROFILE%\Documents\GitHub\mrs-test-scripts\Headless Mode &amp; Sideloading\WalkAndUnGZ.bat" "%USERPROFILE%\AppData\Local\Temp\OnboardLogs"\RTDC4016\2016-11-23</v>
      </c>
      <c r="AF170" s="88" t="str">
        <f t="shared" si="61"/>
        <v>"C:\Program Files (x86)\AstroGrep\AstroGrep.exe" /spath="%USERPROFILE%\AppData\Local\Temp\OnboardLogs" /stypes="app*4016*20161122*" /stext=" 14:.+((SYSTEM_STATE.+slice.+state.+changed )|(ment ac)|(system.+state.+changed )|(\[timeout)|(PRM\|1\|D)|(kpr)|(kdp)|(\|lc)|(penalty))" /e /r /s</v>
      </c>
      <c r="AG170" s="1" t="str">
        <f t="shared" si="62"/>
        <v>NW</v>
      </c>
      <c r="AH170" s="92" t="str">
        <f t="shared" si="63"/>
        <v>"%USERPROFILE%\Documents\GitHub\eaglep3\Utilities\RefineRTDCRunTimes.py" --tripid 807-22 --locoid 4016 --swversion DE.1.0.8.0 --startMP 204:1014 --initTime 2016-11-22T07:17:18 --startdatetime 2016-11-22T07:21:17 --delay 1 --endMP 300:58929 --enddatetime 2016-11-22T07:34:14 --enforcementcount 0 &gt;&gt;C:\Users\stu\Documents\GitHub\eaglep3-reporting\EC\2016-11-22-refined-times.txt</v>
      </c>
      <c r="AI170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{"issue":{"subject":"","project_id":79,"tracker_id":40,"status_id":1,"priority_id":2,"assigned_to_id":23,"start_date":"2016-11-22","description":"","custom_fields":[{"id":1,"name":"Subdivision","value":"NW"},{"id":4,"name":"Milepost","value":"5.8929"},{"id":17,"name":"Train ID","value":"807-22"},{"id":16,"name":"Locomotive ID","value":"4016"},{"id":130,"name":"Impact","value":""},{"id":150,"name":"Time of Event (Mountain Time)","value":"07:34:14"},{"id":151,"name":"Denver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423</v>
      </c>
      <c r="B171" s="7">
        <v>4015</v>
      </c>
      <c r="C171" s="22" t="s">
        <v>217</v>
      </c>
      <c r="D171" s="22" t="s">
        <v>739</v>
      </c>
      <c r="E171" s="13">
        <v>42696.316516203704</v>
      </c>
      <c r="F171" s="13">
        <v>42696.318043981482</v>
      </c>
      <c r="G171" s="7">
        <v>1</v>
      </c>
      <c r="H171" s="22" t="s">
        <v>661</v>
      </c>
      <c r="I171" s="13">
        <v>42696.330208333333</v>
      </c>
      <c r="J171" s="7">
        <v>1</v>
      </c>
      <c r="K171" s="109" t="str">
        <f t="shared" si="51"/>
        <v>4015/4016</v>
      </c>
      <c r="L171" s="22" t="str">
        <f>VLOOKUP(A171,'Trips&amp;Operators'!$C$1:$E$10000,3,FALSE)</f>
        <v>LEVIN</v>
      </c>
      <c r="M171" s="6">
        <f t="shared" si="50"/>
        <v>1.2164351850515231E-2</v>
      </c>
      <c r="N171" s="7">
        <f t="shared" si="67"/>
        <v>17.516666664741933</v>
      </c>
      <c r="O171" s="7"/>
      <c r="P171" s="7"/>
      <c r="Q171" s="23"/>
      <c r="R171" s="23"/>
      <c r="S171" s="35">
        <f t="shared" si="68"/>
        <v>1</v>
      </c>
      <c r="T171" s="50" t="str">
        <f t="shared" si="52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06:35:47-700',mode:absolute,to:'2016-11-22 08:55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71" s="52" t="str">
        <f t="shared" si="54"/>
        <v>N</v>
      </c>
      <c r="X171" s="177">
        <f t="shared" ref="X171:X202" si="70">VALUE(LEFT(AD171,4))-VALUE(LEFT(AD170,4))</f>
        <v>1</v>
      </c>
      <c r="Y171" s="67">
        <f t="shared" si="69"/>
        <v>5.8604000000000003</v>
      </c>
      <c r="Z171" s="67">
        <f t="shared" si="66"/>
        <v>7.0999999999999994E-2</v>
      </c>
      <c r="AA171" s="67">
        <f t="shared" si="58"/>
        <v>5.7894000000000005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59"/>
        <v>0808-22</v>
      </c>
      <c r="AE171" s="91" t="str">
        <f t="shared" si="60"/>
        <v>aws s3 cp s3://rtdc.mdm.uploadarchive.raw/RTDC4015/ "%USERPROFILE%\AppData\Local\Temp\OnboardLogs"\RTDC4015\2016-11-22 --exclude "*" --recursive --include "*20161122*" &amp; "%USERPROFILE%\Documents\GitHub\mrs-test-scripts\Headless Mode &amp; Sideloading\WalkAndUnGZ.bat" "%USERPROFILE%\AppData\Local\Temp\OnboardLogs"\RTDC4015\2016-11-22 &amp; aws s3 cp s3://rtdc.mdm.uploadarchive.raw/RTDC4015/ "%USERPROFILE%\AppData\Local\Temp\OnboardLogs"\RTDC4015\2016-11-23 --exclude "*" --recursive --include "*20161123*" &amp; "%USERPROFILE%\Documents\GitHub\mrs-test-scripts\Headless Mode &amp; Sideloading\WalkAndUnGZ.bat" "%USERPROFILE%\AppData\Local\Temp\OnboardLogs"\RTDC4015\2016-11-23</v>
      </c>
      <c r="AF171" s="88" t="str">
        <f t="shared" si="61"/>
        <v>"C:\Program Files (x86)\AstroGrep\AstroGrep.exe" /spath="%USERPROFILE%\AppData\Local\Temp\OnboardLogs" /stypes="app*4015*20161122*" /stext=" 14:.+((SYSTEM_STATE.+slice.+state.+changed )|(ment ac)|(system.+state.+changed )|(\[timeout)|(PRM\|1\|D)|(kpr)|(kdp)|(\|lc)|(penalty))" /e /r /s</v>
      </c>
      <c r="AG171" s="1" t="str">
        <f t="shared" si="62"/>
        <v>NW</v>
      </c>
      <c r="AH171" s="92" t="str">
        <f t="shared" si="63"/>
        <v>"%USERPROFILE%\Documents\GitHub\eaglep3\Utilities\RefineRTDCRunTimes.py" --tripid 808-22 --locoid 4015 --swversion DE.1.0.8.0 --startMP 300:58604 --initTime 2016-11-22T07:35:47 --startdatetime 2016-11-22T07:37:59 --delay 1 --endMP 204:710 --enddatetime 2016-11-22T07:55:30 --enforcementcount 1 &gt;&gt;C:\Users\stu\Documents\GitHub\eaglep3-reporting\EC\2016-11-22-refined-times.txt</v>
      </c>
      <c r="AI171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{"issue":{"subject":"","project_id":79,"tracker_id":40,"status_id":1,"priority_id":2,"assigned_to_id":23,"start_date":"2016-11-22","description":"","custom_fields":[{"id":1,"name":"Subdivision","value":"NW"},{"id":4,"name":"Milepost","value":"0.071"},{"id":17,"name":"Train ID","value":"808-22"},{"id":16,"name":"Locomotive ID","value":"4015"},{"id":130,"name":"Impact","value":""},{"id":150,"name":"Time of Event (Mountain Time)","value":"07:55:30"},{"id":151,"name":"Denver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482</v>
      </c>
      <c r="B172" s="7">
        <v>4014</v>
      </c>
      <c r="C172" s="22" t="s">
        <v>217</v>
      </c>
      <c r="D172" s="22" t="s">
        <v>740</v>
      </c>
      <c r="E172" s="13">
        <v>42696.325162037036</v>
      </c>
      <c r="F172" s="13">
        <v>42696.327453703707</v>
      </c>
      <c r="G172" s="7">
        <v>1</v>
      </c>
      <c r="H172" s="22" t="s">
        <v>403</v>
      </c>
      <c r="I172" s="13">
        <v>42696.336527777778</v>
      </c>
      <c r="J172" s="7">
        <v>0</v>
      </c>
      <c r="K172" s="109" t="str">
        <f t="shared" si="51"/>
        <v>4013/4014</v>
      </c>
      <c r="L172" s="22" t="str">
        <f>VLOOKUP(A172,'Trips&amp;Operators'!$C$1:$E$10000,3,FALSE)</f>
        <v>STARKS</v>
      </c>
      <c r="M172" s="6">
        <f t="shared" ref="M172:M203" si="71">I172-F172</f>
        <v>9.074074070667848E-3</v>
      </c>
      <c r="N172" s="7">
        <f t="shared" si="67"/>
        <v>13.066666661761701</v>
      </c>
      <c r="O172" s="7"/>
      <c r="P172" s="7"/>
      <c r="Q172" s="23"/>
      <c r="R172" s="23"/>
      <c r="S172" s="35">
        <f t="shared" si="68"/>
        <v>1</v>
      </c>
      <c r="T172" s="50" t="str">
        <f t="shared" si="52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06:48:14-700',mode:absolute,to:'2016-11-22 09:04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2" s="52" t="str">
        <f t="shared" si="54"/>
        <v>N</v>
      </c>
      <c r="X172" s="177">
        <f t="shared" si="70"/>
        <v>1</v>
      </c>
      <c r="Y172" s="67">
        <f t="shared" si="69"/>
        <v>0.1065</v>
      </c>
      <c r="Z172" s="67">
        <f t="shared" si="66"/>
        <v>5.8964999999999996</v>
      </c>
      <c r="AA172" s="67">
        <f t="shared" si="58"/>
        <v>5.79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59"/>
        <v>0809-22</v>
      </c>
      <c r="AE172" s="91" t="str">
        <f t="shared" si="60"/>
        <v>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 &amp; aws s3 cp s3://rtdc.mdm.uploadarchive.raw/RTDC4014/ "%USERPROFILE%\AppData\Local\Temp\OnboardLogs"\RTDC4014\2016-11-23 --exclude "*" --recursive --include "*20161123*" &amp; "%USERPROFILE%\Documents\GitHub\mrs-test-scripts\Headless Mode &amp; Sideloading\WalkAndUnGZ.bat" "%USERPROFILE%\AppData\Local\Temp\OnboardLogs"\RTDC4014\2016-11-23</v>
      </c>
      <c r="AF172" s="88" t="str">
        <f t="shared" si="61"/>
        <v>"C:\Program Files (x86)\AstroGrep\AstroGrep.exe" /spath="%USERPROFILE%\AppData\Local\Temp\OnboardLogs" /stypes="app*4014*20161122*" /stext=" 15:.+((SYSTEM_STATE.+slice.+state.+changed )|(ment ac)|(system.+state.+changed )|(\[timeout)|(PRM\|1\|D)|(kpr)|(kdp)|(\|lc)|(penalty))" /e /r /s</v>
      </c>
      <c r="AG172" s="1" t="str">
        <f t="shared" si="62"/>
        <v>NW</v>
      </c>
      <c r="AH172" s="92" t="str">
        <f t="shared" si="63"/>
        <v>"%USERPROFILE%\Documents\GitHub\eaglep3\Utilities\RefineRTDCRunTimes.py" --tripid 809-22 --locoid 4014 --swversion DE.1.0.8.0 --startMP 204:1065 --initTime 2016-11-22T07:48:14 --startdatetime 2016-11-22T07:51:32 --delay 1 --endMP 300:58965 --enddatetime 2016-11-22T08:04:36 --enforcementcount 0 &gt;&gt;C:\Users\stu\Documents\GitHub\eaglep3-reporting\EC\2016-11-22-refined-times.txt</v>
      </c>
      <c r="AI172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{"issue":{"subject":"","project_id":79,"tracker_id":40,"status_id":1,"priority_id":2,"assigned_to_id":23,"start_date":"2016-11-22","description":"","custom_fields":[{"id":1,"name":"Subdivision","value":"NW"},{"id":4,"name":"Milepost","value":"5.8965"},{"id":17,"name":"Train ID","value":"809-22"},{"id":16,"name":"Locomotive ID","value":"4014"},{"id":130,"name":"Impact","value":""},{"id":150,"name":"Time of Event (Mountain Time)","value":"08:04:36"},{"id":151,"name":"Denver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s="21" customFormat="1" x14ac:dyDescent="0.25">
      <c r="A173" s="37" t="s">
        <v>424</v>
      </c>
      <c r="B173" s="7">
        <v>4013</v>
      </c>
      <c r="C173" s="22" t="s">
        <v>217</v>
      </c>
      <c r="D173" s="22" t="s">
        <v>741</v>
      </c>
      <c r="E173" s="13">
        <v>42696.337534722225</v>
      </c>
      <c r="F173" s="13">
        <v>42696.338634259257</v>
      </c>
      <c r="G173" s="7">
        <v>1</v>
      </c>
      <c r="H173" s="22" t="s">
        <v>742</v>
      </c>
      <c r="I173" s="13">
        <v>42696.3515625</v>
      </c>
      <c r="J173" s="7">
        <v>1</v>
      </c>
      <c r="K173" s="109" t="str">
        <f t="shared" si="51"/>
        <v>4013/4014</v>
      </c>
      <c r="L173" s="22" t="str">
        <f>VLOOKUP(A173,'Trips&amp;Operators'!$C$1:$E$10000,3,FALSE)</f>
        <v>STARKS</v>
      </c>
      <c r="M173" s="6">
        <f t="shared" si="71"/>
        <v>1.2928240743349306E-2</v>
      </c>
      <c r="N173" s="7">
        <f t="shared" si="67"/>
        <v>18.616666670423001</v>
      </c>
      <c r="O173" s="7"/>
      <c r="P173" s="7"/>
      <c r="Q173" s="23"/>
      <c r="R173" s="23"/>
      <c r="S173" s="35">
        <f t="shared" si="68"/>
        <v>1</v>
      </c>
      <c r="T173" s="50" t="str">
        <f t="shared" si="52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07:06:03-700',mode:absolute,to:'2016-11-22 09:26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3" s="52" t="str">
        <f t="shared" si="54"/>
        <v>N</v>
      </c>
      <c r="X173" s="177">
        <f t="shared" si="70"/>
        <v>1</v>
      </c>
      <c r="Y173" s="67">
        <f t="shared" si="69"/>
        <v>5.8647</v>
      </c>
      <c r="Z173" s="67">
        <f t="shared" si="66"/>
        <v>8.1299999999999997E-2</v>
      </c>
      <c r="AA173" s="67">
        <f t="shared" si="58"/>
        <v>5.7834000000000003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59"/>
        <v>0810-22</v>
      </c>
      <c r="AE173" s="91" t="str">
        <f t="shared" si="60"/>
        <v>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 &amp; aws s3 cp s3://rtdc.mdm.uploadarchive.raw/RTDC4013/ "%USERPROFILE%\AppData\Local\Temp\OnboardLogs"\RTDC4013\2016-11-23 --exclude "*" --recursive --include "*20161123*" &amp; "%USERPROFILE%\Documents\GitHub\mrs-test-scripts\Headless Mode &amp; Sideloading\WalkAndUnGZ.bat" "%USERPROFILE%\AppData\Local\Temp\OnboardLogs"\RTDC4013\2016-11-23</v>
      </c>
      <c r="AF173" s="88" t="str">
        <f t="shared" si="61"/>
        <v>"C:\Program Files (x86)\AstroGrep\AstroGrep.exe" /spath="%USERPROFILE%\AppData\Local\Temp\OnboardLogs" /stypes="app*4013*20161122*" /stext=" 15:.+((SYSTEM_STATE.+slice.+state.+changed )|(ment ac)|(system.+state.+changed )|(\[timeout)|(PRM\|1\|D)|(kpr)|(kdp)|(\|lc)|(penalty))" /e /r /s</v>
      </c>
      <c r="AG173" s="1" t="str">
        <f t="shared" si="62"/>
        <v>NW</v>
      </c>
      <c r="AH173" s="92" t="str">
        <f t="shared" si="63"/>
        <v>"%USERPROFILE%\Documents\GitHub\eaglep3\Utilities\RefineRTDCRunTimes.py" --tripid 810-22 --locoid 4013 --swversion DE.1.0.8.0 --startMP 300:58647 --initTime 2016-11-22T08:06:03 --startdatetime 2016-11-22T08:07:38 --delay 1 --endMP 204:813 --enddatetime 2016-11-22T08:26:15 --enforcementcount 1 &gt;&gt;C:\Users\stu\Documents\GitHub\eaglep3-reporting\EC\2016-11-22-refined-times.txt</v>
      </c>
      <c r="AI173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{"issue":{"subject":"","project_id":79,"tracker_id":40,"status_id":1,"priority_id":2,"assigned_to_id":23,"start_date":"2016-11-22","description":"","custom_fields":[{"id":1,"name":"Subdivision","value":"NW"},{"id":4,"name":"Milepost","value":"0.0813"},{"id":17,"name":"Train ID","value":"810-22"},{"id":16,"name":"Locomotive ID","value":"4013"},{"id":130,"name":"Impact","value":""},{"id":150,"name":"Time of Event (Mountain Time)","value":"08:26:15"},{"id":151,"name":"Denver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488</v>
      </c>
      <c r="B174" s="7">
        <v>4016</v>
      </c>
      <c r="C174" s="22" t="s">
        <v>217</v>
      </c>
      <c r="D174" s="22" t="s">
        <v>732</v>
      </c>
      <c r="E174" s="13">
        <v>42696.344976851855</v>
      </c>
      <c r="F174" s="13">
        <v>42696.348090277781</v>
      </c>
      <c r="G174" s="7">
        <v>1</v>
      </c>
      <c r="H174" s="22" t="s">
        <v>405</v>
      </c>
      <c r="I174" s="13">
        <v>42696.357002314813</v>
      </c>
      <c r="J174" s="7">
        <v>0</v>
      </c>
      <c r="K174" s="109" t="str">
        <f t="shared" si="51"/>
        <v>4015/4016</v>
      </c>
      <c r="L174" s="22" t="str">
        <f>VLOOKUP(A174,'Trips&amp;Operators'!$C$1:$E$10000,3,FALSE)</f>
        <v>LEVIN</v>
      </c>
      <c r="M174" s="6">
        <f t="shared" si="71"/>
        <v>8.9120370321325026E-3</v>
      </c>
      <c r="N174" s="7">
        <f t="shared" si="67"/>
        <v>12.833333326270804</v>
      </c>
      <c r="O174" s="7"/>
      <c r="P174" s="7"/>
      <c r="Q174" s="23"/>
      <c r="R174" s="23"/>
      <c r="S174" s="35">
        <f t="shared" si="68"/>
        <v>1</v>
      </c>
      <c r="T174" s="50" t="str">
        <f t="shared" si="52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07:16:46-700',mode:absolute,to:'2016-11-22 09:34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74" s="52" t="str">
        <f t="shared" si="54"/>
        <v>N</v>
      </c>
      <c r="X174" s="177">
        <f t="shared" si="70"/>
        <v>1</v>
      </c>
      <c r="Y174" s="67">
        <f t="shared" si="69"/>
        <v>9.9299999999999999E-2</v>
      </c>
      <c r="Z174" s="67">
        <f t="shared" si="66"/>
        <v>5.8928000000000003</v>
      </c>
      <c r="AA174" s="67">
        <f t="shared" si="58"/>
        <v>5.7934999999999999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59"/>
        <v>0811-22</v>
      </c>
      <c r="AE174" s="91" t="str">
        <f t="shared" si="60"/>
        <v>aws s3 cp s3://rtdc.mdm.uploadarchive.raw/RTDC4016/ "%USERPROFILE%\AppData\Local\Temp\OnboardLogs"\RTDC4016\2016-11-22 --exclude "*" --recursive --include "*20161122*" &amp; "%USERPROFILE%\Documents\GitHub\mrs-test-scripts\Headless Mode &amp; Sideloading\WalkAndUnGZ.bat" "%USERPROFILE%\AppData\Local\Temp\OnboardLogs"\RTDC4016\2016-11-22 &amp; aws s3 cp s3://rtdc.mdm.uploadarchive.raw/RTDC4016/ "%USERPROFILE%\AppData\Local\Temp\OnboardLogs"\RTDC4016\2016-11-23 --exclude "*" --recursive --include "*20161123*" &amp; "%USERPROFILE%\Documents\GitHub\mrs-test-scripts\Headless Mode &amp; Sideloading\WalkAndUnGZ.bat" "%USERPROFILE%\AppData\Local\Temp\OnboardLogs"\RTDC4016\2016-11-23</v>
      </c>
      <c r="AF174" s="88" t="str">
        <f t="shared" si="61"/>
        <v>"C:\Program Files (x86)\AstroGrep\AstroGrep.exe" /spath="%USERPROFILE%\AppData\Local\Temp\OnboardLogs" /stypes="app*4016*20161122*" /stext=" 15:.+((SYSTEM_STATE.+slice.+state.+changed )|(ment ac)|(system.+state.+changed )|(\[timeout)|(PRM\|1\|D)|(kpr)|(kdp)|(\|lc)|(penalty))" /e /r /s</v>
      </c>
      <c r="AG174" s="1" t="str">
        <f t="shared" si="62"/>
        <v>NW</v>
      </c>
      <c r="AH174" s="92" t="str">
        <f t="shared" si="63"/>
        <v>"%USERPROFILE%\Documents\GitHub\eaglep3\Utilities\RefineRTDCRunTimes.py" --tripid 811-22 --locoid 4016 --swversion DE.1.0.8.0 --startMP 204:993 --initTime 2016-11-22T08:16:46 --startdatetime 2016-11-22T08:21:15 --delay 1 --endMP 300:58928 --enddatetime 2016-11-22T08:34:05 --enforcementcount 0 &gt;&gt;C:\Users\stu\Documents\GitHub\eaglep3-reporting\EC\2016-11-22-refined-times.txt</v>
      </c>
      <c r="AI174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{"issue":{"subject":"","project_id":79,"tracker_id":40,"status_id":1,"priority_id":2,"assigned_to_id":23,"start_date":"2016-11-22","description":"","custom_fields":[{"id":1,"name":"Subdivision","value":"NW"},{"id":4,"name":"Milepost","value":"5.8928"},{"id":17,"name":"Train ID","value":"811-22"},{"id":16,"name":"Locomotive ID","value":"4016"},{"id":130,"name":"Impact","value":""},{"id":150,"name":"Time of Event (Mountain Time)","value":"08:34:05"},{"id":151,"name":"Denver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490</v>
      </c>
      <c r="B175" s="7">
        <v>4015</v>
      </c>
      <c r="C175" s="22" t="s">
        <v>217</v>
      </c>
      <c r="D175" s="22" t="s">
        <v>734</v>
      </c>
      <c r="E175" s="13">
        <v>42696.357939814814</v>
      </c>
      <c r="F175" s="13">
        <v>42696.359247685185</v>
      </c>
      <c r="G175" s="7">
        <v>1</v>
      </c>
      <c r="H175" s="22" t="s">
        <v>743</v>
      </c>
      <c r="I175" s="13">
        <v>42696.371469907404</v>
      </c>
      <c r="J175" s="7">
        <v>0</v>
      </c>
      <c r="K175" s="109" t="str">
        <f t="shared" si="51"/>
        <v>4015/4016</v>
      </c>
      <c r="L175" s="22" t="str">
        <f>VLOOKUP(A175,'Trips&amp;Operators'!$C$1:$E$10000,3,FALSE)</f>
        <v>LEVIN</v>
      </c>
      <c r="M175" s="6">
        <f t="shared" si="71"/>
        <v>1.2222222219861578E-2</v>
      </c>
      <c r="N175" s="7">
        <f t="shared" si="67"/>
        <v>17.599999996600673</v>
      </c>
      <c r="O175" s="7"/>
      <c r="P175" s="7"/>
      <c r="Q175" s="23"/>
      <c r="R175" s="23"/>
      <c r="S175" s="35">
        <f t="shared" si="68"/>
        <v>1</v>
      </c>
      <c r="T175" s="50" t="str">
        <f t="shared" si="52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07:35:26-700',mode:absolute,to:'2016-11-22 09:54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75" s="52" t="str">
        <f t="shared" si="54"/>
        <v>N</v>
      </c>
      <c r="X175" s="177">
        <f t="shared" si="70"/>
        <v>1</v>
      </c>
      <c r="Y175" s="67">
        <f t="shared" si="69"/>
        <v>5.8615000000000004</v>
      </c>
      <c r="Z175" s="67">
        <f t="shared" si="66"/>
        <v>7.3999999999999996E-2</v>
      </c>
      <c r="AA175" s="67">
        <f t="shared" si="58"/>
        <v>5.7875000000000005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59"/>
        <v>0812-22</v>
      </c>
      <c r="AE175" s="91" t="str">
        <f t="shared" si="60"/>
        <v>aws s3 cp s3://rtdc.mdm.uploadarchive.raw/RTDC4015/ "%USERPROFILE%\AppData\Local\Temp\OnboardLogs"\RTDC4015\2016-11-22 --exclude "*" --recursive --include "*20161122*" &amp; "%USERPROFILE%\Documents\GitHub\mrs-test-scripts\Headless Mode &amp; Sideloading\WalkAndUnGZ.bat" "%USERPROFILE%\AppData\Local\Temp\OnboardLogs"\RTDC4015\2016-11-22 &amp; aws s3 cp s3://rtdc.mdm.uploadarchive.raw/RTDC4015/ "%USERPROFILE%\AppData\Local\Temp\OnboardLogs"\RTDC4015\2016-11-23 --exclude "*" --recursive --include "*20161123*" &amp; "%USERPROFILE%\Documents\GitHub\mrs-test-scripts\Headless Mode &amp; Sideloading\WalkAndUnGZ.bat" "%USERPROFILE%\AppData\Local\Temp\OnboardLogs"\RTDC4015\2016-11-23</v>
      </c>
      <c r="AF175" s="88" t="str">
        <f t="shared" si="61"/>
        <v>"C:\Program Files (x86)\AstroGrep\AstroGrep.exe" /spath="%USERPROFILE%\AppData\Local\Temp\OnboardLogs" /stypes="app*4015*20161122*" /stext=" 15:.+((SYSTEM_STATE.+slice.+state.+changed )|(ment ac)|(system.+state.+changed )|(\[timeout)|(PRM\|1\|D)|(kpr)|(kdp)|(\|lc)|(penalty))" /e /r /s</v>
      </c>
      <c r="AG175" s="1" t="str">
        <f t="shared" si="62"/>
        <v>NW</v>
      </c>
      <c r="AH175" s="92" t="str">
        <f t="shared" si="63"/>
        <v>"%USERPROFILE%\Documents\GitHub\eaglep3\Utilities\RefineRTDCRunTimes.py" --tripid 812-22 --locoid 4015 --swversion DE.1.0.8.0 --startMP 300:58615 --initTime 2016-11-22T08:35:26 --startdatetime 2016-11-22T08:37:19 --delay 1 --endMP 204:740 --enddatetime 2016-11-22T08:54:55 --enforcementcount 0 &gt;&gt;C:\Users\stu\Documents\GitHub\eaglep3-reporting\EC\2016-11-22-refined-times.txt</v>
      </c>
      <c r="AI175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{"issue":{"subject":"","project_id":79,"tracker_id":40,"status_id":1,"priority_id":2,"assigned_to_id":23,"start_date":"2016-11-22","description":"","custom_fields":[{"id":1,"name":"Subdivision","value":"NW"},{"id":4,"name":"Milepost","value":"0.074"},{"id":17,"name":"Train ID","value":"812-22"},{"id":16,"name":"Locomotive ID","value":"4015"},{"id":130,"name":"Impact","value":""},{"id":150,"name":"Time of Event (Mountain Time)","value":"08:54:55"},{"id":151,"name":"Denver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7" t="s">
        <v>495</v>
      </c>
      <c r="B176" s="7">
        <v>4016</v>
      </c>
      <c r="C176" s="22" t="s">
        <v>217</v>
      </c>
      <c r="D176" s="22" t="s">
        <v>391</v>
      </c>
      <c r="E176" s="13">
        <v>42696.384074074071</v>
      </c>
      <c r="F176" s="13">
        <v>42696.389826388891</v>
      </c>
      <c r="G176" s="7">
        <v>1</v>
      </c>
      <c r="H176" s="22" t="s">
        <v>744</v>
      </c>
      <c r="I176" s="13">
        <v>42696.40048611111</v>
      </c>
      <c r="J176" s="7">
        <v>0</v>
      </c>
      <c r="K176" s="109" t="str">
        <f t="shared" si="51"/>
        <v>4015/4016</v>
      </c>
      <c r="L176" s="22" t="str">
        <f>VLOOKUP(A176,'Trips&amp;Operators'!$C$1:$E$10000,3,FALSE)</f>
        <v>NELSON</v>
      </c>
      <c r="M176" s="6">
        <f t="shared" si="71"/>
        <v>1.0659722218406387E-2</v>
      </c>
      <c r="N176" s="7">
        <f t="shared" si="67"/>
        <v>15.349999994505197</v>
      </c>
      <c r="O176" s="7"/>
      <c r="P176" s="7"/>
      <c r="Q176" s="23"/>
      <c r="R176" s="23"/>
      <c r="S176" s="35">
        <f t="shared" si="68"/>
        <v>1</v>
      </c>
      <c r="T176" s="50" t="str">
        <f t="shared" si="52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08:13:04-700',mode:absolute,to:'2016-11-22 10:36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76" s="52" t="str">
        <f t="shared" si="54"/>
        <v>N</v>
      </c>
      <c r="X176" s="177">
        <f t="shared" si="70"/>
        <v>1</v>
      </c>
      <c r="Y176" s="67">
        <f t="shared" si="69"/>
        <v>0.10249999999999999</v>
      </c>
      <c r="Z176" s="67">
        <f t="shared" si="66"/>
        <v>5.8959999999999999</v>
      </c>
      <c r="AA176" s="67">
        <f t="shared" si="58"/>
        <v>5.7934999999999999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59"/>
        <v>0813-22</v>
      </c>
      <c r="AE176" s="91" t="str">
        <f t="shared" si="60"/>
        <v>aws s3 cp s3://rtdc.mdm.uploadarchive.raw/RTDC4016/ "%USERPROFILE%\AppData\Local\Temp\OnboardLogs"\RTDC4016\2016-11-22 --exclude "*" --recursive --include "*20161122*" &amp; "%USERPROFILE%\Documents\GitHub\mrs-test-scripts\Headless Mode &amp; Sideloading\WalkAndUnGZ.bat" "%USERPROFILE%\AppData\Local\Temp\OnboardLogs"\RTDC4016\2016-11-22 &amp; aws s3 cp s3://rtdc.mdm.uploadarchive.raw/RTDC4016/ "%USERPROFILE%\AppData\Local\Temp\OnboardLogs"\RTDC4016\2016-11-23 --exclude "*" --recursive --include "*20161123*" &amp; "%USERPROFILE%\Documents\GitHub\mrs-test-scripts\Headless Mode &amp; Sideloading\WalkAndUnGZ.bat" "%USERPROFILE%\AppData\Local\Temp\OnboardLogs"\RTDC4016\2016-11-23</v>
      </c>
      <c r="AF176" s="88" t="str">
        <f t="shared" si="61"/>
        <v>"C:\Program Files (x86)\AstroGrep\AstroGrep.exe" /spath="%USERPROFILE%\AppData\Local\Temp\OnboardLogs" /stypes="app*4016*20161122*" /stext=" 16:.+((SYSTEM_STATE.+slice.+state.+changed )|(ment ac)|(system.+state.+changed )|(\[timeout)|(PRM\|1\|D)|(kpr)|(kdp)|(\|lc)|(penalty))" /e /r /s</v>
      </c>
      <c r="AG176" s="1" t="str">
        <f t="shared" si="62"/>
        <v>NW</v>
      </c>
      <c r="AH176" s="92" t="str">
        <f t="shared" si="63"/>
        <v>"%USERPROFILE%\Documents\GitHub\eaglep3\Utilities\RefineRTDCRunTimes.py" --tripid 813-22 --locoid 4016 --swversion DE.1.0.8.0 --startMP 204:1025 --initTime 2016-11-22T09:13:04 --startdatetime 2016-11-22T09:21:21 --delay 1 --endMP 300:58960 --enddatetime 2016-11-22T09:36:42 --enforcementcount 0 &gt;&gt;C:\Users\stu\Documents\GitHub\eaglep3-reporting\EC\2016-11-22-refined-times.txt</v>
      </c>
      <c r="AI176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{"issue":{"subject":"","project_id":79,"tracker_id":40,"status_id":1,"priority_id":2,"assigned_to_id":23,"start_date":"2016-11-22","description":"","custom_fields":[{"id":1,"name":"Subdivision","value":"NW"},{"id":4,"name":"Milepost","value":"5.896"},{"id":17,"name":"Train ID","value":"813-22"},{"id":16,"name":"Locomotive ID","value":"4016"},{"id":130,"name":"Impact","value":""},{"id":150,"name":"Time of Event (Mountain Time)","value":"09:36:42"},{"id":151,"name":"Denver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500</v>
      </c>
      <c r="B177" s="7">
        <v>4015</v>
      </c>
      <c r="C177" s="22" t="s">
        <v>217</v>
      </c>
      <c r="D177" s="22" t="s">
        <v>336</v>
      </c>
      <c r="E177" s="13">
        <v>42696.402071759258</v>
      </c>
      <c r="F177" s="13">
        <v>42696.404039351852</v>
      </c>
      <c r="G177" s="7">
        <v>2</v>
      </c>
      <c r="H177" s="22" t="s">
        <v>291</v>
      </c>
      <c r="I177" s="13">
        <v>42696.414201388892</v>
      </c>
      <c r="J177" s="7">
        <v>0</v>
      </c>
      <c r="K177" s="109" t="str">
        <f t="shared" si="51"/>
        <v>4015/4016</v>
      </c>
      <c r="L177" s="22" t="str">
        <f>VLOOKUP(A177,'Trips&amp;Operators'!$C$1:$E$10000,3,FALSE)</f>
        <v>NELSON</v>
      </c>
      <c r="M177" s="6">
        <f t="shared" si="71"/>
        <v>1.0162037040572613E-2</v>
      </c>
      <c r="N177" s="7">
        <f t="shared" si="67"/>
        <v>14.633333338424563</v>
      </c>
      <c r="O177" s="7"/>
      <c r="P177" s="7"/>
      <c r="Q177" s="23"/>
      <c r="R177" s="23"/>
      <c r="S177" s="35">
        <f t="shared" si="68"/>
        <v>1</v>
      </c>
      <c r="T177" s="50" t="str">
        <f t="shared" si="52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08:38:59-700',mode:absolute,to:'2016-11-22 10:56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77" s="52" t="str">
        <f t="shared" si="54"/>
        <v>N</v>
      </c>
      <c r="X177" s="177">
        <f t="shared" si="70"/>
        <v>1</v>
      </c>
      <c r="Y177" s="67">
        <f t="shared" si="69"/>
        <v>5.8648999999999996</v>
      </c>
      <c r="Z177" s="67">
        <f t="shared" si="66"/>
        <v>6.8900000000000003E-2</v>
      </c>
      <c r="AA177" s="67">
        <f t="shared" si="58"/>
        <v>5.7959999999999994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59"/>
        <v>0814-22</v>
      </c>
      <c r="AE177" s="91" t="str">
        <f t="shared" si="60"/>
        <v>aws s3 cp s3://rtdc.mdm.uploadarchive.raw/RTDC4015/ "%USERPROFILE%\AppData\Local\Temp\OnboardLogs"\RTDC4015\2016-11-22 --exclude "*" --recursive --include "*20161122*" &amp; "%USERPROFILE%\Documents\GitHub\mrs-test-scripts\Headless Mode &amp; Sideloading\WalkAndUnGZ.bat" "%USERPROFILE%\AppData\Local\Temp\OnboardLogs"\RTDC4015\2016-11-22 &amp; aws s3 cp s3://rtdc.mdm.uploadarchive.raw/RTDC4015/ "%USERPROFILE%\AppData\Local\Temp\OnboardLogs"\RTDC4015\2016-11-23 --exclude "*" --recursive --include "*20161123*" &amp; "%USERPROFILE%\Documents\GitHub\mrs-test-scripts\Headless Mode &amp; Sideloading\WalkAndUnGZ.bat" "%USERPROFILE%\AppData\Local\Temp\OnboardLogs"\RTDC4015\2016-11-23</v>
      </c>
      <c r="AF177" s="88" t="str">
        <f t="shared" si="61"/>
        <v>"C:\Program Files (x86)\AstroGrep\AstroGrep.exe" /spath="%USERPROFILE%\AppData\Local\Temp\OnboardLogs" /stypes="app*4015*20161122*" /stext=" 16:.+((SYSTEM_STATE.+slice.+state.+changed )|(ment ac)|(system.+state.+changed )|(\[timeout)|(PRM\|1\|D)|(kpr)|(kdp)|(\|lc)|(penalty))" /e /r /s</v>
      </c>
      <c r="AG177" s="1" t="str">
        <f t="shared" si="62"/>
        <v>NW</v>
      </c>
      <c r="AH177" s="92" t="str">
        <f t="shared" si="63"/>
        <v>"%USERPROFILE%\Documents\GitHub\eaglep3\Utilities\RefineRTDCRunTimes.py" --tripid 814-22 --locoid 4015 --swversion DE.1.0.8.0 --startMP 300:58649 --initTime 2016-11-22T09:38:59 --startdatetime 2016-11-22T09:41:49 --delay 2 --endMP 204:689 --enddatetime 2016-11-22T09:56:27 --enforcementcount 0 &gt;&gt;C:\Users\stu\Documents\GitHub\eaglep3-reporting\EC\2016-11-22-refined-times.txt</v>
      </c>
      <c r="AI177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{"issue":{"subject":"","project_id":79,"tracker_id":40,"status_id":1,"priority_id":2,"assigned_to_id":23,"start_date":"2016-11-22","description":"","custom_fields":[{"id":1,"name":"Subdivision","value":"NW"},{"id":4,"name":"Milepost","value":"0.0689"},{"id":17,"name":"Train ID","value":"814-22"},{"id":16,"name":"Locomotive ID","value":"4015"},{"id":130,"name":"Impact","value":""},{"id":150,"name":"Time of Event (Mountain Time)","value":"09:56:27"},{"id":151,"name":"Denver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505</v>
      </c>
      <c r="B178" s="7">
        <v>4016</v>
      </c>
      <c r="C178" s="22" t="s">
        <v>217</v>
      </c>
      <c r="D178" s="22" t="s">
        <v>317</v>
      </c>
      <c r="E178" s="13">
        <v>42696.428564814814</v>
      </c>
      <c r="F178" s="13">
        <v>42696.431458333333</v>
      </c>
      <c r="G178" s="7">
        <v>1</v>
      </c>
      <c r="H178" s="22" t="s">
        <v>405</v>
      </c>
      <c r="I178" s="13">
        <v>42696.440393518518</v>
      </c>
      <c r="J178" s="7">
        <v>0</v>
      </c>
      <c r="K178" s="109" t="str">
        <f t="shared" si="51"/>
        <v>4015/4016</v>
      </c>
      <c r="L178" s="22" t="str">
        <f>VLOOKUP(A178,'Trips&amp;Operators'!$C$1:$E$10000,3,FALSE)</f>
        <v>LEVIN</v>
      </c>
      <c r="M178" s="6">
        <f t="shared" si="71"/>
        <v>8.9351851856918074E-3</v>
      </c>
      <c r="N178" s="7">
        <f t="shared" si="67"/>
        <v>12.866666667396203</v>
      </c>
      <c r="O178" s="7"/>
      <c r="P178" s="7"/>
      <c r="Q178" s="23"/>
      <c r="R178" s="23"/>
      <c r="S178" s="35">
        <f t="shared" si="68"/>
        <v>1</v>
      </c>
      <c r="T178" s="50" t="str">
        <f t="shared" si="52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09:17:08-700',mode:absolute,to:'2016-11-22 11:34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78" s="52" t="str">
        <f t="shared" si="54"/>
        <v>N</v>
      </c>
      <c r="X178" s="177">
        <f t="shared" si="70"/>
        <v>1</v>
      </c>
      <c r="Y178" s="67">
        <f t="shared" si="69"/>
        <v>9.7199999999999995E-2</v>
      </c>
      <c r="Z178" s="67">
        <f t="shared" si="66"/>
        <v>5.8928000000000003</v>
      </c>
      <c r="AA178" s="67">
        <f t="shared" si="58"/>
        <v>5.7956000000000003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59"/>
        <v>0815-22</v>
      </c>
      <c r="AE178" s="91" t="str">
        <f t="shared" si="60"/>
        <v>aws s3 cp s3://rtdc.mdm.uploadarchive.raw/RTDC4016/ "%USERPROFILE%\AppData\Local\Temp\OnboardLogs"\RTDC4016\2016-11-22 --exclude "*" --recursive --include "*20161122*" &amp; "%USERPROFILE%\Documents\GitHub\mrs-test-scripts\Headless Mode &amp; Sideloading\WalkAndUnGZ.bat" "%USERPROFILE%\AppData\Local\Temp\OnboardLogs"\RTDC4016\2016-11-22 &amp; aws s3 cp s3://rtdc.mdm.uploadarchive.raw/RTDC4016/ "%USERPROFILE%\AppData\Local\Temp\OnboardLogs"\RTDC4016\2016-11-23 --exclude "*" --recursive --include "*20161123*" &amp; "%USERPROFILE%\Documents\GitHub\mrs-test-scripts\Headless Mode &amp; Sideloading\WalkAndUnGZ.bat" "%USERPROFILE%\AppData\Local\Temp\OnboardLogs"\RTDC4016\2016-11-23</v>
      </c>
      <c r="AF178" s="88" t="str">
        <f t="shared" si="61"/>
        <v>"C:\Program Files (x86)\AstroGrep\AstroGrep.exe" /spath="%USERPROFILE%\AppData\Local\Temp\OnboardLogs" /stypes="app*4016*20161122*" /stext=" 17:.+((SYSTEM_STATE.+slice.+state.+changed )|(ment ac)|(system.+state.+changed )|(\[timeout)|(PRM\|1\|D)|(kpr)|(kdp)|(\|lc)|(penalty))" /e /r /s</v>
      </c>
      <c r="AG178" s="1" t="str">
        <f t="shared" si="62"/>
        <v>NW</v>
      </c>
      <c r="AH178" s="92" t="str">
        <f t="shared" si="63"/>
        <v>"%USERPROFILE%\Documents\GitHub\eaglep3\Utilities\RefineRTDCRunTimes.py" --tripid 815-22 --locoid 4016 --swversion DE.1.0.8.0 --startMP 204:972 --initTime 2016-11-22T10:17:08 --startdatetime 2016-11-22T10:21:18 --delay 1 --endMP 300:58928 --enddatetime 2016-11-22T10:34:10 --enforcementcount 0 &gt;&gt;C:\Users\stu\Documents\GitHub\eaglep3-reporting\EC\2016-11-22-refined-times.txt</v>
      </c>
      <c r="AI178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{"issue":{"subject":"","project_id":79,"tracker_id":40,"status_id":1,"priority_id":2,"assigned_to_id":23,"start_date":"2016-11-22","description":"","custom_fields":[{"id":1,"name":"Subdivision","value":"NW"},{"id":4,"name":"Milepost","value":"5.8928"},{"id":17,"name":"Train ID","value":"815-22"},{"id":16,"name":"Locomotive ID","value":"4016"},{"id":130,"name":"Impact","value":""},{"id":150,"name":"Time of Event (Mountain Time)","value":"10:34:10"},{"id":151,"name":"Denver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429</v>
      </c>
      <c r="B179" s="7">
        <v>4015</v>
      </c>
      <c r="C179" s="22" t="s">
        <v>217</v>
      </c>
      <c r="D179" s="22" t="s">
        <v>745</v>
      </c>
      <c r="E179" s="13">
        <v>42696.441307870373</v>
      </c>
      <c r="F179" s="13">
        <v>42696.442662037036</v>
      </c>
      <c r="G179" s="7">
        <v>1</v>
      </c>
      <c r="H179" s="22" t="s">
        <v>398</v>
      </c>
      <c r="I179" s="13">
        <v>42696.455127314817</v>
      </c>
      <c r="J179" s="7">
        <v>1</v>
      </c>
      <c r="K179" s="109" t="str">
        <f t="shared" si="51"/>
        <v>4015/4016</v>
      </c>
      <c r="L179" s="22" t="str">
        <f>VLOOKUP(A179,'Trips&amp;Operators'!$C$1:$E$10000,3,FALSE)</f>
        <v>LEVIN</v>
      </c>
      <c r="M179" s="6">
        <f t="shared" si="71"/>
        <v>1.2465277781302575E-2</v>
      </c>
      <c r="N179" s="7">
        <f t="shared" si="67"/>
        <v>17.950000005075708</v>
      </c>
      <c r="O179" s="7"/>
      <c r="P179" s="7"/>
      <c r="Q179" s="23"/>
      <c r="R179" s="23"/>
      <c r="S179" s="35">
        <f t="shared" si="68"/>
        <v>1</v>
      </c>
      <c r="T179" s="50" t="str">
        <f t="shared" si="52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09:35:29-700',mode:absolute,to:'2016-11-22 11:55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79" s="52" t="str">
        <f t="shared" si="54"/>
        <v>N</v>
      </c>
      <c r="X179" s="177">
        <f t="shared" si="70"/>
        <v>1</v>
      </c>
      <c r="Y179" s="67">
        <f t="shared" si="69"/>
        <v>5.8605999999999998</v>
      </c>
      <c r="Z179" s="67">
        <f t="shared" si="66"/>
        <v>6.9199999999999998E-2</v>
      </c>
      <c r="AA179" s="67">
        <f t="shared" si="58"/>
        <v>5.7913999999999994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59"/>
        <v>0816-22</v>
      </c>
      <c r="AE179" s="91" t="str">
        <f t="shared" si="60"/>
        <v>aws s3 cp s3://rtdc.mdm.uploadarchive.raw/RTDC4015/ "%USERPROFILE%\AppData\Local\Temp\OnboardLogs"\RTDC4015\2016-11-22 --exclude "*" --recursive --include "*20161122*" &amp; "%USERPROFILE%\Documents\GitHub\mrs-test-scripts\Headless Mode &amp; Sideloading\WalkAndUnGZ.bat" "%USERPROFILE%\AppData\Local\Temp\OnboardLogs"\RTDC4015\2016-11-22 &amp; aws s3 cp s3://rtdc.mdm.uploadarchive.raw/RTDC4015/ "%USERPROFILE%\AppData\Local\Temp\OnboardLogs"\RTDC4015\2016-11-23 --exclude "*" --recursive --include "*20161123*" &amp; "%USERPROFILE%\Documents\GitHub\mrs-test-scripts\Headless Mode &amp; Sideloading\WalkAndUnGZ.bat" "%USERPROFILE%\AppData\Local\Temp\OnboardLogs"\RTDC4015\2016-11-23</v>
      </c>
      <c r="AF179" s="88" t="str">
        <f t="shared" si="61"/>
        <v>"C:\Program Files (x86)\AstroGrep\AstroGrep.exe" /spath="%USERPROFILE%\AppData\Local\Temp\OnboardLogs" /stypes="app*4015*20161122*" /stext=" 17:.+((SYSTEM_STATE.+slice.+state.+changed )|(ment ac)|(system.+state.+changed )|(\[timeout)|(PRM\|1\|D)|(kpr)|(kdp)|(\|lc)|(penalty))" /e /r /s</v>
      </c>
      <c r="AG179" s="1" t="str">
        <f t="shared" si="62"/>
        <v>NW</v>
      </c>
      <c r="AH179" s="92" t="str">
        <f t="shared" si="63"/>
        <v>"%USERPROFILE%\Documents\GitHub\eaglep3\Utilities\RefineRTDCRunTimes.py" --tripid 816-22 --locoid 4015 --swversion DE.1.0.8.0 --startMP 300:58606 --initTime 2016-11-22T10:35:29 --startdatetime 2016-11-22T10:37:26 --delay 1 --endMP 204:692 --enddatetime 2016-11-22T10:55:23 --enforcementcount 1 &gt;&gt;C:\Users\stu\Documents\GitHub\eaglep3-reporting\EC\2016-11-22-refined-times.txt</v>
      </c>
      <c r="AI179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{"issue":{"subject":"","project_id":79,"tracker_id":40,"status_id":1,"priority_id":2,"assigned_to_id":23,"start_date":"2016-11-22","description":"","custom_fields":[{"id":1,"name":"Subdivision","value":"NW"},{"id":4,"name":"Milepost","value":"0.0692"},{"id":17,"name":"Train ID","value":"816-22"},{"id":16,"name":"Locomotive ID","value":"4015"},{"id":130,"name":"Impact","value":""},{"id":150,"name":"Time of Event (Mountain Time)","value":"10:55:23"},{"id":151,"name":"Denver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513</v>
      </c>
      <c r="B180" s="7">
        <v>4016</v>
      </c>
      <c r="C180" s="22" t="s">
        <v>217</v>
      </c>
      <c r="D180" s="22" t="s">
        <v>746</v>
      </c>
      <c r="E180" s="13">
        <v>42696.45925925926</v>
      </c>
      <c r="F180" s="13">
        <v>42696.473124999997</v>
      </c>
      <c r="G180" s="7">
        <v>2</v>
      </c>
      <c r="H180" s="22" t="s">
        <v>747</v>
      </c>
      <c r="I180" s="13">
        <v>42696.483020833337</v>
      </c>
      <c r="J180" s="7">
        <v>0</v>
      </c>
      <c r="K180" s="109" t="str">
        <f t="shared" si="51"/>
        <v>4015/4016</v>
      </c>
      <c r="L180" s="22" t="str">
        <f>VLOOKUP(A180,'Trips&amp;Operators'!$C$1:$E$10000,3,FALSE)</f>
        <v>BADERTSCHER</v>
      </c>
      <c r="M180" s="6">
        <f t="shared" si="71"/>
        <v>9.8958333401242271E-3</v>
      </c>
      <c r="N180" s="7">
        <f t="shared" si="67"/>
        <v>14.250000009778887</v>
      </c>
      <c r="O180" s="7"/>
      <c r="P180" s="7"/>
      <c r="Q180" s="23"/>
      <c r="R180" s="23"/>
      <c r="S180" s="35">
        <f t="shared" si="68"/>
        <v>1</v>
      </c>
      <c r="T180" s="50" t="str">
        <f t="shared" si="52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10:01:20-700',mode:absolute,to:'2016-11-22 12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80" s="52" t="str">
        <f t="shared" si="54"/>
        <v>N</v>
      </c>
      <c r="X180" s="177">
        <f t="shared" si="70"/>
        <v>1</v>
      </c>
      <c r="Y180" s="67">
        <f t="shared" si="69"/>
        <v>9.9199999999999997E-2</v>
      </c>
      <c r="Z180" s="67">
        <f t="shared" si="66"/>
        <v>5.8945999999999996</v>
      </c>
      <c r="AA180" s="67">
        <f t="shared" si="58"/>
        <v>5.7953999999999999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59"/>
        <v>0817-22</v>
      </c>
      <c r="AE180" s="91" t="str">
        <f t="shared" si="60"/>
        <v>aws s3 cp s3://rtdc.mdm.uploadarchive.raw/RTDC4016/ "%USERPROFILE%\AppData\Local\Temp\OnboardLogs"\RTDC4016\2016-11-22 --exclude "*" --recursive --include "*20161122*" &amp; "%USERPROFILE%\Documents\GitHub\mrs-test-scripts\Headless Mode &amp; Sideloading\WalkAndUnGZ.bat" "%USERPROFILE%\AppData\Local\Temp\OnboardLogs"\RTDC4016\2016-11-22 &amp; aws s3 cp s3://rtdc.mdm.uploadarchive.raw/RTDC4016/ "%USERPROFILE%\AppData\Local\Temp\OnboardLogs"\RTDC4016\2016-11-23 --exclude "*" --recursive --include "*20161123*" &amp; "%USERPROFILE%\Documents\GitHub\mrs-test-scripts\Headless Mode &amp; Sideloading\WalkAndUnGZ.bat" "%USERPROFILE%\AppData\Local\Temp\OnboardLogs"\RTDC4016\2016-11-23</v>
      </c>
      <c r="AF180" s="88" t="str">
        <f t="shared" si="61"/>
        <v>"C:\Program Files (x86)\AstroGrep\AstroGrep.exe" /spath="%USERPROFILE%\AppData\Local\Temp\OnboardLogs" /stypes="app*4016*20161122*" /stext=" 18:.+((SYSTEM_STATE.+slice.+state.+changed )|(ment ac)|(system.+state.+changed )|(\[timeout)|(PRM\|1\|D)|(kpr)|(kdp)|(\|lc)|(penalty))" /e /r /s</v>
      </c>
      <c r="AG180" s="1" t="str">
        <f t="shared" si="62"/>
        <v>NW</v>
      </c>
      <c r="AH180" s="92" t="str">
        <f t="shared" si="63"/>
        <v>"%USERPROFILE%\Documents\GitHub\eaglep3\Utilities\RefineRTDCRunTimes.py" --tripid 817-22 --locoid 4016 --swversion DE.1.0.8.0 --startMP 204:992 --initTime 2016-11-22T11:01:20 --startdatetime 2016-11-22T11:21:18 --delay 2 --endMP 300:58946 --enddatetime 2016-11-22T11:35:33 --enforcementcount 0 &gt;&gt;C:\Users\stu\Documents\GitHub\eaglep3-reporting\EC\2016-11-22-refined-times.txt</v>
      </c>
      <c r="AI180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{"issue":{"subject":"","project_id":79,"tracker_id":40,"status_id":1,"priority_id":2,"assigned_to_id":23,"start_date":"2016-11-22","description":"","custom_fields":[{"id":1,"name":"Subdivision","value":"NW"},{"id":4,"name":"Milepost","value":"5.8946"},{"id":17,"name":"Train ID","value":"817-22"},{"id":16,"name":"Locomotive ID","value":"4016"},{"id":130,"name":"Impact","value":""},{"id":150,"name":"Time of Event (Mountain Time)","value":"11:35:33"},{"id":151,"name":"Denver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7" t="s">
        <v>519</v>
      </c>
      <c r="B181" s="7">
        <v>4015</v>
      </c>
      <c r="C181" s="22" t="s">
        <v>217</v>
      </c>
      <c r="D181" s="22" t="s">
        <v>337</v>
      </c>
      <c r="E181" s="13">
        <v>42696.484594907408</v>
      </c>
      <c r="F181" s="13">
        <v>42696.486215277779</v>
      </c>
      <c r="G181" s="7">
        <v>1</v>
      </c>
      <c r="H181" s="22" t="s">
        <v>394</v>
      </c>
      <c r="I181" s="13">
        <v>42696.496747685182</v>
      </c>
      <c r="J181" s="7">
        <v>0</v>
      </c>
      <c r="K181" s="109" t="str">
        <f t="shared" si="51"/>
        <v>4015/4016</v>
      </c>
      <c r="L181" s="22" t="str">
        <f>VLOOKUP(A181,'Trips&amp;Operators'!$C$1:$E$10000,3,FALSE)</f>
        <v>BADERTSCHER</v>
      </c>
      <c r="M181" s="6">
        <f t="shared" si="71"/>
        <v>1.0532407402934041E-2</v>
      </c>
      <c r="N181" s="7">
        <f t="shared" si="67"/>
        <v>15.166666660225019</v>
      </c>
      <c r="O181" s="7"/>
      <c r="P181" s="7"/>
      <c r="Q181" s="23"/>
      <c r="R181" s="23"/>
      <c r="S181" s="35">
        <f t="shared" si="68"/>
        <v>1</v>
      </c>
      <c r="T181" s="50" t="str">
        <f t="shared" si="52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10:37:49-700',mode:absolute,to:'2016-11-22 12:55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81" s="52" t="str">
        <f t="shared" si="54"/>
        <v>N</v>
      </c>
      <c r="X181" s="177">
        <f t="shared" si="70"/>
        <v>1</v>
      </c>
      <c r="Y181" s="67">
        <f t="shared" si="69"/>
        <v>5.8634000000000004</v>
      </c>
      <c r="Z181" s="67">
        <f t="shared" si="66"/>
        <v>7.2400000000000006E-2</v>
      </c>
      <c r="AA181" s="67">
        <f t="shared" si="58"/>
        <v>5.7910000000000004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59"/>
        <v>0818-22</v>
      </c>
      <c r="AE181" s="91" t="str">
        <f t="shared" si="60"/>
        <v>aws s3 cp s3://rtdc.mdm.uploadarchive.raw/RTDC4015/ "%USERPROFILE%\AppData\Local\Temp\OnboardLogs"\RTDC4015\2016-11-22 --exclude "*" --recursive --include "*20161122*" &amp; "%USERPROFILE%\Documents\GitHub\mrs-test-scripts\Headless Mode &amp; Sideloading\WalkAndUnGZ.bat" "%USERPROFILE%\AppData\Local\Temp\OnboardLogs"\RTDC4015\2016-11-22 &amp; aws s3 cp s3://rtdc.mdm.uploadarchive.raw/RTDC4015/ "%USERPROFILE%\AppData\Local\Temp\OnboardLogs"\RTDC4015\2016-11-23 --exclude "*" --recursive --include "*20161123*" &amp; "%USERPROFILE%\Documents\GitHub\mrs-test-scripts\Headless Mode &amp; Sideloading\WalkAndUnGZ.bat" "%USERPROFILE%\AppData\Local\Temp\OnboardLogs"\RTDC4015\2016-11-23</v>
      </c>
      <c r="AF181" s="88" t="str">
        <f t="shared" si="61"/>
        <v>"C:\Program Files (x86)\AstroGrep\AstroGrep.exe" /spath="%USERPROFILE%\AppData\Local\Temp\OnboardLogs" /stypes="app*4015*20161122*" /stext=" 18:.+((SYSTEM_STATE.+slice.+state.+changed )|(ment ac)|(system.+state.+changed )|(\[timeout)|(PRM\|1\|D)|(kpr)|(kdp)|(\|lc)|(penalty))" /e /r /s</v>
      </c>
      <c r="AG181" s="1" t="str">
        <f t="shared" si="62"/>
        <v>NW</v>
      </c>
      <c r="AH181" s="92" t="str">
        <f t="shared" si="63"/>
        <v>"%USERPROFILE%\Documents\GitHub\eaglep3\Utilities\RefineRTDCRunTimes.py" --tripid 818-22 --locoid 4015 --swversion DE.1.0.8.0 --startMP 300:58634 --initTime 2016-11-22T11:37:49 --startdatetime 2016-11-22T11:40:09 --delay 1 --endMP 204:724 --enddatetime 2016-11-22T11:55:19 --enforcementcount 0 &gt;&gt;C:\Users\stu\Documents\GitHub\eaglep3-reporting\EC\2016-11-22-refined-times.txt</v>
      </c>
      <c r="AI181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{"issue":{"subject":"","project_id":79,"tracker_id":40,"status_id":1,"priority_id":2,"assigned_to_id":23,"start_date":"2016-11-22","description":"","custom_fields":[{"id":1,"name":"Subdivision","value":"NW"},{"id":4,"name":"Milepost","value":"0.0724"},{"id":17,"name":"Train ID","value":"818-22"},{"id":16,"name":"Locomotive ID","value":"4015"},{"id":130,"name":"Impact","value":""},{"id":150,"name":"Time of Event (Mountain Time)","value":"11:55:19"},{"id":151,"name":"Denver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s="21" customFormat="1" x14ac:dyDescent="0.25">
      <c r="A182" s="37" t="s">
        <v>526</v>
      </c>
      <c r="B182" s="7">
        <v>4016</v>
      </c>
      <c r="C182" s="22" t="s">
        <v>217</v>
      </c>
      <c r="D182" s="22" t="s">
        <v>737</v>
      </c>
      <c r="E182" s="13">
        <v>42696.512407407405</v>
      </c>
      <c r="F182" s="13">
        <v>42696.514768518522</v>
      </c>
      <c r="G182" s="7">
        <v>1</v>
      </c>
      <c r="H182" s="22" t="s">
        <v>748</v>
      </c>
      <c r="I182" s="13">
        <v>42696.523773148147</v>
      </c>
      <c r="J182" s="7">
        <v>0</v>
      </c>
      <c r="K182" s="109" t="str">
        <f t="shared" si="51"/>
        <v>4015/4016</v>
      </c>
      <c r="L182" s="22" t="str">
        <f>VLOOKUP(A182,'Trips&amp;Operators'!$C$1:$E$10000,3,FALSE)</f>
        <v>LEVIN</v>
      </c>
      <c r="M182" s="6">
        <f t="shared" si="71"/>
        <v>9.0046296245418489E-3</v>
      </c>
      <c r="N182" s="7">
        <f t="shared" si="67"/>
        <v>12.966666659340262</v>
      </c>
      <c r="O182" s="7"/>
      <c r="P182" s="7"/>
      <c r="Q182" s="23"/>
      <c r="R182" s="23"/>
      <c r="S182" s="35">
        <f t="shared" si="68"/>
        <v>1</v>
      </c>
      <c r="T182" s="50" t="str">
        <f t="shared" si="52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11:17:52-700',mode:absolute,to:'2016-11-22 13:34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82" s="52" t="str">
        <f t="shared" si="54"/>
        <v>N</v>
      </c>
      <c r="X182" s="177">
        <f t="shared" si="70"/>
        <v>1</v>
      </c>
      <c r="Y182" s="67">
        <f t="shared" si="69"/>
        <v>0.1014</v>
      </c>
      <c r="Z182" s="67">
        <f t="shared" si="66"/>
        <v>5.8921999999999999</v>
      </c>
      <c r="AA182" s="67">
        <f t="shared" si="58"/>
        <v>5.7907999999999999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59"/>
        <v>0819-22</v>
      </c>
      <c r="AE182" s="91" t="str">
        <f t="shared" si="60"/>
        <v>aws s3 cp s3://rtdc.mdm.uploadarchive.raw/RTDC4016/ "%USERPROFILE%\AppData\Local\Temp\OnboardLogs"\RTDC4016\2016-11-22 --exclude "*" --recursive --include "*20161122*" &amp; "%USERPROFILE%\Documents\GitHub\mrs-test-scripts\Headless Mode &amp; Sideloading\WalkAndUnGZ.bat" "%USERPROFILE%\AppData\Local\Temp\OnboardLogs"\RTDC4016\2016-11-22 &amp; aws s3 cp s3://rtdc.mdm.uploadarchive.raw/RTDC4016/ "%USERPROFILE%\AppData\Local\Temp\OnboardLogs"\RTDC4016\2016-11-23 --exclude "*" --recursive --include "*20161123*" &amp; "%USERPROFILE%\Documents\GitHub\mrs-test-scripts\Headless Mode &amp; Sideloading\WalkAndUnGZ.bat" "%USERPROFILE%\AppData\Local\Temp\OnboardLogs"\RTDC4016\2016-11-23</v>
      </c>
      <c r="AF182" s="88" t="str">
        <f t="shared" si="61"/>
        <v>"C:\Program Files (x86)\AstroGrep\AstroGrep.exe" /spath="%USERPROFILE%\AppData\Local\Temp\OnboardLogs" /stypes="app*4016*20161122*" /stext=" 19:.+((SYSTEM_STATE.+slice.+state.+changed )|(ment ac)|(system.+state.+changed )|(\[timeout)|(PRM\|1\|D)|(kpr)|(kdp)|(\|lc)|(penalty))" /e /r /s</v>
      </c>
      <c r="AG182" s="1" t="str">
        <f t="shared" si="62"/>
        <v>NW</v>
      </c>
      <c r="AH182" s="92" t="str">
        <f t="shared" si="63"/>
        <v>"%USERPROFILE%\Documents\GitHub\eaglep3\Utilities\RefineRTDCRunTimes.py" --tripid 819-22 --locoid 4016 --swversion DE.1.0.8.0 --startMP 204:1014 --initTime 2016-11-22T12:17:52 --startdatetime 2016-11-22T12:21:16 --delay 1 --endMP 300:58922 --enddatetime 2016-11-22T12:34:14 --enforcementcount 0 &gt;&gt;C:\Users\stu\Documents\GitHub\eaglep3-reporting\EC\2016-11-22-refined-times.txt</v>
      </c>
      <c r="AI182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{"issue":{"subject":"","project_id":79,"tracker_id":40,"status_id":1,"priority_id":2,"assigned_to_id":23,"start_date":"2016-11-22","description":"","custom_fields":[{"id":1,"name":"Subdivision","value":"NW"},{"id":4,"name":"Milepost","value":"5.8922"},{"id":17,"name":"Train ID","value":"819-22"},{"id":16,"name":"Locomotive ID","value":"4016"},{"id":130,"name":"Impact","value":""},{"id":150,"name":"Time of Event (Mountain Time)","value":"12:34:14"},{"id":151,"name":"Denver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530</v>
      </c>
      <c r="B183" s="7">
        <v>4015</v>
      </c>
      <c r="C183" s="22" t="s">
        <v>217</v>
      </c>
      <c r="D183" s="22" t="s">
        <v>305</v>
      </c>
      <c r="E183" s="13">
        <v>42696.524664351855</v>
      </c>
      <c r="F183" s="13">
        <v>42696.526273148149</v>
      </c>
      <c r="G183" s="7">
        <v>1</v>
      </c>
      <c r="H183" s="22" t="s">
        <v>394</v>
      </c>
      <c r="I183" s="13">
        <v>42696.538032407407</v>
      </c>
      <c r="J183" s="7">
        <v>0</v>
      </c>
      <c r="K183" s="109" t="str">
        <f t="shared" si="51"/>
        <v>4015/4016</v>
      </c>
      <c r="L183" s="22" t="str">
        <f>VLOOKUP(A183,'Trips&amp;Operators'!$C$1:$E$10000,3,FALSE)</f>
        <v>LEVIN</v>
      </c>
      <c r="M183" s="6">
        <f t="shared" si="71"/>
        <v>1.1759259257814847E-2</v>
      </c>
      <c r="N183" s="7">
        <f t="shared" si="67"/>
        <v>16.93333333125338</v>
      </c>
      <c r="O183" s="7"/>
      <c r="P183" s="7"/>
      <c r="Q183" s="23"/>
      <c r="R183" s="23"/>
      <c r="S183" s="35">
        <f t="shared" si="68"/>
        <v>1</v>
      </c>
      <c r="T183" s="50" t="str">
        <f t="shared" si="52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11:35:31-700',mode:absolute,to:'2016-11-22 13:54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83" s="52" t="str">
        <f t="shared" si="54"/>
        <v>N</v>
      </c>
      <c r="X183" s="177">
        <f t="shared" si="70"/>
        <v>1</v>
      </c>
      <c r="Y183" s="67">
        <f t="shared" si="69"/>
        <v>5.8619000000000003</v>
      </c>
      <c r="Z183" s="67">
        <f t="shared" si="66"/>
        <v>7.2400000000000006E-2</v>
      </c>
      <c r="AA183" s="67">
        <f t="shared" si="58"/>
        <v>5.7895000000000003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59"/>
        <v>0820-22</v>
      </c>
      <c r="AE183" s="91" t="str">
        <f t="shared" si="60"/>
        <v>aws s3 cp s3://rtdc.mdm.uploadarchive.raw/RTDC4015/ "%USERPROFILE%\AppData\Local\Temp\OnboardLogs"\RTDC4015\2016-11-22 --exclude "*" --recursive --include "*20161122*" &amp; "%USERPROFILE%\Documents\GitHub\mrs-test-scripts\Headless Mode &amp; Sideloading\WalkAndUnGZ.bat" "%USERPROFILE%\AppData\Local\Temp\OnboardLogs"\RTDC4015\2016-11-22 &amp; aws s3 cp s3://rtdc.mdm.uploadarchive.raw/RTDC4015/ "%USERPROFILE%\AppData\Local\Temp\OnboardLogs"\RTDC4015\2016-11-23 --exclude "*" --recursive --include "*20161123*" &amp; "%USERPROFILE%\Documents\GitHub\mrs-test-scripts\Headless Mode &amp; Sideloading\WalkAndUnGZ.bat" "%USERPROFILE%\AppData\Local\Temp\OnboardLogs"\RTDC4015\2016-11-23</v>
      </c>
      <c r="AF183" s="88" t="str">
        <f t="shared" si="61"/>
        <v>"C:\Program Files (x86)\AstroGrep\AstroGrep.exe" /spath="%USERPROFILE%\AppData\Local\Temp\OnboardLogs" /stypes="app*4015*20161122*" /stext=" 19:.+((SYSTEM_STATE.+slice.+state.+changed )|(ment ac)|(system.+state.+changed )|(\[timeout)|(PRM\|1\|D)|(kpr)|(kdp)|(\|lc)|(penalty))" /e /r /s</v>
      </c>
      <c r="AG183" s="1" t="str">
        <f t="shared" si="62"/>
        <v>NW</v>
      </c>
      <c r="AH183" s="92" t="str">
        <f t="shared" si="63"/>
        <v>"%USERPROFILE%\Documents\GitHub\eaglep3\Utilities\RefineRTDCRunTimes.py" --tripid 820-22 --locoid 4015 --swversion DE.1.0.8.0 --startMP 300:58619 --initTime 2016-11-22T12:35:31 --startdatetime 2016-11-22T12:37:50 --delay 1 --endMP 204:724 --enddatetime 2016-11-22T12:54:46 --enforcementcount 0 &gt;&gt;C:\Users\stu\Documents\GitHub\eaglep3-reporting\EC\2016-11-22-refined-times.txt</v>
      </c>
      <c r="AI183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{"issue":{"subject":"","project_id":79,"tracker_id":40,"status_id":1,"priority_id":2,"assigned_to_id":23,"start_date":"2016-11-22","description":"","custom_fields":[{"id":1,"name":"Subdivision","value":"NW"},{"id":4,"name":"Milepost","value":"0.0724"},{"id":17,"name":"Train ID","value":"820-22"},{"id":16,"name":"Locomotive ID","value":"4015"},{"id":130,"name":"Impact","value":""},{"id":150,"name":"Time of Event (Mountain Time)","value":"12:54:46"},{"id":151,"name":"Denver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535</v>
      </c>
      <c r="B184" s="7">
        <v>4016</v>
      </c>
      <c r="C184" s="22" t="s">
        <v>217</v>
      </c>
      <c r="D184" s="22" t="s">
        <v>395</v>
      </c>
      <c r="E184" s="13">
        <v>42696.545937499999</v>
      </c>
      <c r="F184" s="13">
        <v>42696.557013888887</v>
      </c>
      <c r="G184" s="7">
        <v>2</v>
      </c>
      <c r="H184" s="22" t="s">
        <v>399</v>
      </c>
      <c r="I184" s="13">
        <v>42696.56622685185</v>
      </c>
      <c r="J184" s="7">
        <v>0</v>
      </c>
      <c r="K184" s="109" t="str">
        <f t="shared" si="51"/>
        <v>4015/4016</v>
      </c>
      <c r="L184" s="22" t="str">
        <f>VLOOKUP(A184,'Trips&amp;Operators'!$C$1:$E$10000,3,FALSE)</f>
        <v>MAGEE</v>
      </c>
      <c r="M184" s="6">
        <f t="shared" si="71"/>
        <v>9.2129629629198462E-3</v>
      </c>
      <c r="N184" s="7">
        <f t="shared" si="67"/>
        <v>13.266666666604578</v>
      </c>
      <c r="O184" s="7"/>
      <c r="P184" s="7"/>
      <c r="Q184" s="23"/>
      <c r="R184" s="23"/>
      <c r="S184" s="35">
        <f t="shared" si="68"/>
        <v>1</v>
      </c>
      <c r="T184" s="50" t="str">
        <f t="shared" si="52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12:06:09-700',mode:absolute,to:'2016-11-22 14:35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84" s="52" t="str">
        <f t="shared" si="54"/>
        <v>N</v>
      </c>
      <c r="X184" s="177">
        <f t="shared" si="70"/>
        <v>1</v>
      </c>
      <c r="Y184" s="67">
        <f t="shared" si="69"/>
        <v>0.1002</v>
      </c>
      <c r="Z184" s="67">
        <f t="shared" si="66"/>
        <v>5.8943000000000003</v>
      </c>
      <c r="AA184" s="67">
        <f t="shared" si="58"/>
        <v>5.7941000000000003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59"/>
        <v>0821-22</v>
      </c>
      <c r="AE184" s="91" t="str">
        <f t="shared" si="60"/>
        <v>aws s3 cp s3://rtdc.mdm.uploadarchive.raw/RTDC4016/ "%USERPROFILE%\AppData\Local\Temp\OnboardLogs"\RTDC4016\2016-11-22 --exclude "*" --recursive --include "*20161122*" &amp; "%USERPROFILE%\Documents\GitHub\mrs-test-scripts\Headless Mode &amp; Sideloading\WalkAndUnGZ.bat" "%USERPROFILE%\AppData\Local\Temp\OnboardLogs"\RTDC4016\2016-11-22 &amp; aws s3 cp s3://rtdc.mdm.uploadarchive.raw/RTDC4016/ "%USERPROFILE%\AppData\Local\Temp\OnboardLogs"\RTDC4016\2016-11-23 --exclude "*" --recursive --include "*20161123*" &amp; "%USERPROFILE%\Documents\GitHub\mrs-test-scripts\Headless Mode &amp; Sideloading\WalkAndUnGZ.bat" "%USERPROFILE%\AppData\Local\Temp\OnboardLogs"\RTDC4016\2016-11-23</v>
      </c>
      <c r="AF184" s="88" t="str">
        <f t="shared" si="61"/>
        <v>"C:\Program Files (x86)\AstroGrep\AstroGrep.exe" /spath="%USERPROFILE%\AppData\Local\Temp\OnboardLogs" /stypes="app*4016*20161122*" /stext=" 20:.+((SYSTEM_STATE.+slice.+state.+changed )|(ment ac)|(system.+state.+changed )|(\[timeout)|(PRM\|1\|D)|(kpr)|(kdp)|(\|lc)|(penalty))" /e /r /s</v>
      </c>
      <c r="AG184" s="1" t="str">
        <f t="shared" si="62"/>
        <v>NW</v>
      </c>
      <c r="AH184" s="92" t="str">
        <f t="shared" si="63"/>
        <v>"%USERPROFILE%\Documents\GitHub\eaglep3\Utilities\RefineRTDCRunTimes.py" --tripid 821-22 --locoid 4016 --swversion DE.1.0.8.0 --startMP 204:1002 --initTime 2016-11-22T13:06:09 --startdatetime 2016-11-22T13:22:06 --delay 2 --endMP 300:58943 --enddatetime 2016-11-22T13:35:22 --enforcementcount 0 &gt;&gt;C:\Users\stu\Documents\GitHub\eaglep3-reporting\EC\2016-11-22-refined-times.txt</v>
      </c>
      <c r="AI184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{"issue":{"subject":"","project_id":79,"tracker_id":40,"status_id":1,"priority_id":2,"assigned_to_id":23,"start_date":"2016-11-22","description":"","custom_fields":[{"id":1,"name":"Subdivision","value":"NW"},{"id":4,"name":"Milepost","value":"5.8943"},{"id":17,"name":"Train ID","value":"821-22"},{"id":16,"name":"Locomotive ID","value":"4016"},{"id":130,"name":"Impact","value":""},{"id":150,"name":"Time of Event (Mountain Time)","value":"13:35:22"},{"id":151,"name":"Denver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539</v>
      </c>
      <c r="B185" s="7">
        <v>4015</v>
      </c>
      <c r="C185" s="22" t="s">
        <v>217</v>
      </c>
      <c r="D185" s="22" t="s">
        <v>749</v>
      </c>
      <c r="E185" s="13">
        <v>42696.567604166667</v>
      </c>
      <c r="F185" s="13">
        <v>42696.569560185184</v>
      </c>
      <c r="G185" s="7">
        <v>1</v>
      </c>
      <c r="H185" s="22" t="s">
        <v>390</v>
      </c>
      <c r="I185" s="13">
        <v>42696.579965277779</v>
      </c>
      <c r="J185" s="7">
        <v>0</v>
      </c>
      <c r="K185" s="109" t="str">
        <f t="shared" si="51"/>
        <v>4015/4016</v>
      </c>
      <c r="L185" s="22" t="str">
        <f>VLOOKUP(A185,'Trips&amp;Operators'!$C$1:$E$10000,3,FALSE)</f>
        <v>MAGEE</v>
      </c>
      <c r="M185" s="6">
        <f t="shared" si="71"/>
        <v>1.0405092594737653E-2</v>
      </c>
      <c r="N185" s="7">
        <f t="shared" si="67"/>
        <v>14.98333333642222</v>
      </c>
      <c r="O185" s="7"/>
      <c r="P185" s="7"/>
      <c r="Q185" s="23"/>
      <c r="R185" s="23"/>
      <c r="S185" s="35">
        <f t="shared" si="68"/>
        <v>1</v>
      </c>
      <c r="T185" s="50" t="str">
        <f t="shared" si="52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12:37:21-700',mode:absolute,to:'2016-11-22 14:55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85" s="52" t="str">
        <f t="shared" si="54"/>
        <v>N</v>
      </c>
      <c r="X185" s="177">
        <f t="shared" si="70"/>
        <v>1</v>
      </c>
      <c r="Y185" s="67">
        <f t="shared" si="69"/>
        <v>5.8628</v>
      </c>
      <c r="Z185" s="67">
        <f t="shared" si="66"/>
        <v>6.7299999999999999E-2</v>
      </c>
      <c r="AA185" s="67">
        <f t="shared" si="58"/>
        <v>5.7954999999999997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59"/>
        <v>0822-22</v>
      </c>
      <c r="AE185" s="91" t="str">
        <f t="shared" si="60"/>
        <v>aws s3 cp s3://rtdc.mdm.uploadarchive.raw/RTDC4015/ "%USERPROFILE%\AppData\Local\Temp\OnboardLogs"\RTDC4015\2016-11-22 --exclude "*" --recursive --include "*20161122*" &amp; "%USERPROFILE%\Documents\GitHub\mrs-test-scripts\Headless Mode &amp; Sideloading\WalkAndUnGZ.bat" "%USERPROFILE%\AppData\Local\Temp\OnboardLogs"\RTDC4015\2016-11-22 &amp; aws s3 cp s3://rtdc.mdm.uploadarchive.raw/RTDC4015/ "%USERPROFILE%\AppData\Local\Temp\OnboardLogs"\RTDC4015\2016-11-23 --exclude "*" --recursive --include "*20161123*" &amp; "%USERPROFILE%\Documents\GitHub\mrs-test-scripts\Headless Mode &amp; Sideloading\WalkAndUnGZ.bat" "%USERPROFILE%\AppData\Local\Temp\OnboardLogs"\RTDC4015\2016-11-23</v>
      </c>
      <c r="AF185" s="88" t="str">
        <f t="shared" si="61"/>
        <v>"C:\Program Files (x86)\AstroGrep\AstroGrep.exe" /spath="%USERPROFILE%\AppData\Local\Temp\OnboardLogs" /stypes="app*4015*20161122*" /stext=" 20:.+((SYSTEM_STATE.+slice.+state.+changed )|(ment ac)|(system.+state.+changed )|(\[timeout)|(PRM\|1\|D)|(kpr)|(kdp)|(\|lc)|(penalty))" /e /r /s</v>
      </c>
      <c r="AG185" s="1" t="str">
        <f t="shared" si="62"/>
        <v>NW</v>
      </c>
      <c r="AH185" s="92" t="str">
        <f t="shared" si="63"/>
        <v>"%USERPROFILE%\Documents\GitHub\eaglep3\Utilities\RefineRTDCRunTimes.py" --tripid 822-22 --locoid 4015 --swversion DE.1.0.8.0 --startMP 300:58628 --initTime 2016-11-22T13:37:21 --startdatetime 2016-11-22T13:40:10 --delay 1 --endMP 204:673 --enddatetime 2016-11-22T13:55:09 --enforcementcount 0 &gt;&gt;C:\Users\stu\Documents\GitHub\eaglep3-reporting\EC\2016-11-22-refined-times.txt</v>
      </c>
      <c r="AI185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{"issue":{"subject":"","project_id":79,"tracker_id":40,"status_id":1,"priority_id":2,"assigned_to_id":23,"start_date":"2016-11-22","description":"","custom_fields":[{"id":1,"name":"Subdivision","value":"NW"},{"id":4,"name":"Milepost","value":"0.0673"},{"id":17,"name":"Train ID","value":"822-22"},{"id":16,"name":"Locomotive ID","value":"4015"},{"id":130,"name":"Impact","value":""},{"id":150,"name":"Time of Event (Mountain Time)","value":"13:55:09"},{"id":151,"name":"Denver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435</v>
      </c>
      <c r="B186" s="7">
        <v>4016</v>
      </c>
      <c r="C186" s="22" t="s">
        <v>217</v>
      </c>
      <c r="D186" s="22" t="s">
        <v>750</v>
      </c>
      <c r="E186" s="13">
        <v>42696.581620370373</v>
      </c>
      <c r="F186" s="13">
        <v>42696.598113425927</v>
      </c>
      <c r="G186" s="7">
        <v>1</v>
      </c>
      <c r="H186" s="22" t="s">
        <v>399</v>
      </c>
      <c r="I186" s="13">
        <v>42696.607488425929</v>
      </c>
      <c r="J186" s="7">
        <v>1</v>
      </c>
      <c r="K186" s="109" t="str">
        <f t="shared" si="51"/>
        <v>4015/4016</v>
      </c>
      <c r="L186" s="22" t="str">
        <f>VLOOKUP(A186,'Trips&amp;Operators'!$C$1:$E$10000,3,FALSE)</f>
        <v>MAGEE</v>
      </c>
      <c r="M186" s="6">
        <f t="shared" si="71"/>
        <v>9.3750000014551915E-3</v>
      </c>
      <c r="N186" s="7">
        <f t="shared" si="67"/>
        <v>13.500000002095476</v>
      </c>
      <c r="O186" s="7"/>
      <c r="P186" s="7"/>
      <c r="Q186" s="23"/>
      <c r="R186" s="23"/>
      <c r="S186" s="35">
        <f t="shared" si="68"/>
        <v>1</v>
      </c>
      <c r="T186" s="50" t="str">
        <f t="shared" si="52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12:57:32-700',mode:absolute,to:'2016-11-22 15:34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86" s="52" t="str">
        <f t="shared" si="54"/>
        <v>N</v>
      </c>
      <c r="X186" s="177">
        <f t="shared" si="70"/>
        <v>1</v>
      </c>
      <c r="Y186" s="67">
        <f t="shared" si="69"/>
        <v>9.69E-2</v>
      </c>
      <c r="Z186" s="67">
        <f t="shared" si="66"/>
        <v>5.8943000000000003</v>
      </c>
      <c r="AA186" s="67">
        <f t="shared" si="58"/>
        <v>5.7974000000000006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59"/>
        <v>0823-22</v>
      </c>
      <c r="AE186" s="91" t="str">
        <f t="shared" si="60"/>
        <v>aws s3 cp s3://rtdc.mdm.uploadarchive.raw/RTDC4016/ "%USERPROFILE%\AppData\Local\Temp\OnboardLogs"\RTDC4016\2016-11-22 --exclude "*" --recursive --include "*20161122*" &amp; "%USERPROFILE%\Documents\GitHub\mrs-test-scripts\Headless Mode &amp; Sideloading\WalkAndUnGZ.bat" "%USERPROFILE%\AppData\Local\Temp\OnboardLogs"\RTDC4016\2016-11-22 &amp; aws s3 cp s3://rtdc.mdm.uploadarchive.raw/RTDC4016/ "%USERPROFILE%\AppData\Local\Temp\OnboardLogs"\RTDC4016\2016-11-23 --exclude "*" --recursive --include "*20161123*" &amp; "%USERPROFILE%\Documents\GitHub\mrs-test-scripts\Headless Mode &amp; Sideloading\WalkAndUnGZ.bat" "%USERPROFILE%\AppData\Local\Temp\OnboardLogs"\RTDC4016\2016-11-23</v>
      </c>
      <c r="AF186" s="88" t="str">
        <f t="shared" si="61"/>
        <v>"C:\Program Files (x86)\AstroGrep\AstroGrep.exe" /spath="%USERPROFILE%\AppData\Local\Temp\OnboardLogs" /stypes="app*4016*20161122*" /stext=" 21:.+((SYSTEM_STATE.+slice.+state.+changed )|(ment ac)|(system.+state.+changed )|(\[timeout)|(PRM\|1\|D)|(kpr)|(kdp)|(\|lc)|(penalty))" /e /r /s</v>
      </c>
      <c r="AG186" s="1" t="str">
        <f t="shared" si="62"/>
        <v>NW</v>
      </c>
      <c r="AH186" s="92" t="str">
        <f t="shared" si="63"/>
        <v>"%USERPROFILE%\Documents\GitHub\eaglep3\Utilities\RefineRTDCRunTimes.py" --tripid 823-22 --locoid 4016 --swversion DE.1.0.8.0 --startMP 204:969 --initTime 2016-11-22T13:57:32 --startdatetime 2016-11-22T14:21:17 --delay 1 --endMP 300:58943 --enddatetime 2016-11-22T14:34:47 --enforcementcount 1 &gt;&gt;C:\Users\stu\Documents\GitHub\eaglep3-reporting\EC\2016-11-22-refined-times.txt</v>
      </c>
      <c r="AI186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{"issue":{"subject":"","project_id":79,"tracker_id":40,"status_id":1,"priority_id":2,"assigned_to_id":23,"start_date":"2016-11-22","description":"","custom_fields":[{"id":1,"name":"Subdivision","value":"NW"},{"id":4,"name":"Milepost","value":"5.8943"},{"id":17,"name":"Train ID","value":"823-22"},{"id":16,"name":"Locomotive ID","value":"4016"},{"id":130,"name":"Impact","value":""},{"id":150,"name":"Time of Event (Mountain Time)","value":"14:34:47"},{"id":151,"name":"Denver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548</v>
      </c>
      <c r="B187" s="7">
        <v>4015</v>
      </c>
      <c r="C187" s="22" t="s">
        <v>217</v>
      </c>
      <c r="D187" s="22" t="s">
        <v>751</v>
      </c>
      <c r="E187" s="13">
        <v>42696.609166666669</v>
      </c>
      <c r="F187" s="13">
        <v>42696.610694444447</v>
      </c>
      <c r="G187" s="7">
        <v>1</v>
      </c>
      <c r="H187" s="22" t="s">
        <v>661</v>
      </c>
      <c r="I187" s="13">
        <v>42696.621400462966</v>
      </c>
      <c r="J187" s="7">
        <v>0</v>
      </c>
      <c r="K187" s="109" t="str">
        <f t="shared" si="51"/>
        <v>4015/4016</v>
      </c>
      <c r="L187" s="22" t="str">
        <f>VLOOKUP(A187,'Trips&amp;Operators'!$C$1:$E$10000,3,FALSE)</f>
        <v>MAGEE</v>
      </c>
      <c r="M187" s="6">
        <f t="shared" si="71"/>
        <v>1.0706018518249039E-2</v>
      </c>
      <c r="N187" s="7">
        <f t="shared" si="67"/>
        <v>15.416666666278616</v>
      </c>
      <c r="O187" s="7"/>
      <c r="P187" s="7"/>
      <c r="Q187" s="23"/>
      <c r="R187" s="23"/>
      <c r="S187" s="35">
        <f t="shared" si="68"/>
        <v>1</v>
      </c>
      <c r="T187" s="50" t="str">
        <f t="shared" si="52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13:37:12-700',mode:absolute,to:'2016-11-22 15:54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87" s="52" t="str">
        <f t="shared" si="54"/>
        <v>N</v>
      </c>
      <c r="X187" s="177">
        <f t="shared" si="70"/>
        <v>1</v>
      </c>
      <c r="Y187" s="67">
        <f t="shared" si="69"/>
        <v>5.8632</v>
      </c>
      <c r="Z187" s="67">
        <f t="shared" si="66"/>
        <v>7.0999999999999994E-2</v>
      </c>
      <c r="AA187" s="67">
        <f t="shared" si="58"/>
        <v>5.7922000000000002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59"/>
        <v>0824-22</v>
      </c>
      <c r="AE187" s="91" t="str">
        <f t="shared" si="60"/>
        <v>aws s3 cp s3://rtdc.mdm.uploadarchive.raw/RTDC4015/ "%USERPROFILE%\AppData\Local\Temp\OnboardLogs"\RTDC4015\2016-11-22 --exclude "*" --recursive --include "*20161122*" &amp; "%USERPROFILE%\Documents\GitHub\mrs-test-scripts\Headless Mode &amp; Sideloading\WalkAndUnGZ.bat" "%USERPROFILE%\AppData\Local\Temp\OnboardLogs"\RTDC4015\2016-11-22 &amp; aws s3 cp s3://rtdc.mdm.uploadarchive.raw/RTDC4015/ "%USERPROFILE%\AppData\Local\Temp\OnboardLogs"\RTDC4015\2016-11-23 --exclude "*" --recursive --include "*20161123*" &amp; "%USERPROFILE%\Documents\GitHub\mrs-test-scripts\Headless Mode &amp; Sideloading\WalkAndUnGZ.bat" "%USERPROFILE%\AppData\Local\Temp\OnboardLogs"\RTDC4015\2016-11-23</v>
      </c>
      <c r="AF187" s="88" t="str">
        <f t="shared" si="61"/>
        <v>"C:\Program Files (x86)\AstroGrep\AstroGrep.exe" /spath="%USERPROFILE%\AppData\Local\Temp\OnboardLogs" /stypes="app*4015*20161122*" /stext=" 21:.+((SYSTEM_STATE.+slice.+state.+changed )|(ment ac)|(system.+state.+changed )|(\[timeout)|(PRM\|1\|D)|(kpr)|(kdp)|(\|lc)|(penalty))" /e /r /s</v>
      </c>
      <c r="AG187" s="1" t="str">
        <f t="shared" si="62"/>
        <v>NW</v>
      </c>
      <c r="AH187" s="92" t="str">
        <f t="shared" si="63"/>
        <v>"%USERPROFILE%\Documents\GitHub\eaglep3\Utilities\RefineRTDCRunTimes.py" --tripid 824-22 --locoid 4015 --swversion DE.1.0.8.0 --startMP 300:58632 --initTime 2016-11-22T14:37:12 --startdatetime 2016-11-22T14:39:24 --delay 1 --endMP 204:710 --enddatetime 2016-11-22T14:54:49 --enforcementcount 0 &gt;&gt;C:\Users\stu\Documents\GitHub\eaglep3-reporting\EC\2016-11-22-refined-times.txt</v>
      </c>
      <c r="AI187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{"issue":{"subject":"","project_id":79,"tracker_id":40,"status_id":1,"priority_id":2,"assigned_to_id":23,"start_date":"2016-11-22","description":"","custom_fields":[{"id":1,"name":"Subdivision","value":"NW"},{"id":4,"name":"Milepost","value":"0.071"},{"id":17,"name":"Train ID","value":"824-22"},{"id":16,"name":"Locomotive ID","value":"4015"},{"id":130,"name":"Impact","value":""},{"id":150,"name":"Time of Event (Mountain Time)","value":"14:54:49"},{"id":151,"name":"Denver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7" t="s">
        <v>555</v>
      </c>
      <c r="B188" s="7">
        <v>4016</v>
      </c>
      <c r="C188" s="22" t="s">
        <v>217</v>
      </c>
      <c r="D188" s="22" t="s">
        <v>752</v>
      </c>
      <c r="E188" s="13">
        <v>42696.633935185186</v>
      </c>
      <c r="F188" s="13">
        <v>42696.639768518522</v>
      </c>
      <c r="G188" s="7">
        <v>1</v>
      </c>
      <c r="H188" s="22" t="s">
        <v>748</v>
      </c>
      <c r="I188" s="13">
        <v>42696.649583333332</v>
      </c>
      <c r="J188" s="7">
        <v>0</v>
      </c>
      <c r="K188" s="109" t="str">
        <f t="shared" si="51"/>
        <v>4015/4016</v>
      </c>
      <c r="L188" s="22" t="str">
        <f>VLOOKUP(A188,'Trips&amp;Operators'!$C$1:$E$10000,3,FALSE)</f>
        <v>MAGEE</v>
      </c>
      <c r="M188" s="6">
        <f t="shared" si="71"/>
        <v>9.814814809942618E-3</v>
      </c>
      <c r="N188" s="7">
        <f t="shared" si="67"/>
        <v>14.13333332631737</v>
      </c>
      <c r="O188" s="7"/>
      <c r="P188" s="7"/>
      <c r="Q188" s="23"/>
      <c r="R188" s="23"/>
      <c r="S188" s="35">
        <f t="shared" si="68"/>
        <v>1</v>
      </c>
      <c r="T188" s="50" t="str">
        <f t="shared" si="52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14:12:52-700',mode:absolute,to:'2016-11-22 16:35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88" s="52" t="str">
        <f t="shared" si="54"/>
        <v>N</v>
      </c>
      <c r="X188" s="177">
        <f t="shared" si="70"/>
        <v>1</v>
      </c>
      <c r="Y188" s="67">
        <f t="shared" si="69"/>
        <v>9.74E-2</v>
      </c>
      <c r="Z188" s="67">
        <f t="shared" si="66"/>
        <v>5.8921999999999999</v>
      </c>
      <c r="AA188" s="67">
        <f t="shared" si="58"/>
        <v>5.7947999999999995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59"/>
        <v>0825-22</v>
      </c>
      <c r="AE188" s="91" t="str">
        <f t="shared" si="60"/>
        <v>aws s3 cp s3://rtdc.mdm.uploadarchive.raw/RTDC4016/ "%USERPROFILE%\AppData\Local\Temp\OnboardLogs"\RTDC4016\2016-11-22 --exclude "*" --recursive --include "*20161122*" &amp; "%USERPROFILE%\Documents\GitHub\mrs-test-scripts\Headless Mode &amp; Sideloading\WalkAndUnGZ.bat" "%USERPROFILE%\AppData\Local\Temp\OnboardLogs"\RTDC4016\2016-11-22 &amp; aws s3 cp s3://rtdc.mdm.uploadarchive.raw/RTDC4016/ "%USERPROFILE%\AppData\Local\Temp\OnboardLogs"\RTDC4016\2016-11-23 --exclude "*" --recursive --include "*20161123*" &amp; "%USERPROFILE%\Documents\GitHub\mrs-test-scripts\Headless Mode &amp; Sideloading\WalkAndUnGZ.bat" "%USERPROFILE%\AppData\Local\Temp\OnboardLogs"\RTDC4016\2016-11-23</v>
      </c>
      <c r="AF188" s="88" t="str">
        <f t="shared" si="61"/>
        <v>"C:\Program Files (x86)\AstroGrep\AstroGrep.exe" /spath="%USERPROFILE%\AppData\Local\Temp\OnboardLogs" /stypes="app*4016*20161122*" /stext=" 22:.+((SYSTEM_STATE.+slice.+state.+changed )|(ment ac)|(system.+state.+changed )|(\[timeout)|(PRM\|1\|D)|(kpr)|(kdp)|(\|lc)|(penalty))" /e /r /s</v>
      </c>
      <c r="AG188" s="1" t="str">
        <f t="shared" si="62"/>
        <v>NW</v>
      </c>
      <c r="AH188" s="92" t="str">
        <f t="shared" si="63"/>
        <v>"%USERPROFILE%\Documents\GitHub\eaglep3\Utilities\RefineRTDCRunTimes.py" --tripid 825-22 --locoid 4016 --swversion DE.1.0.8.0 --startMP 204:974 --initTime 2016-11-22T15:12:52 --startdatetime 2016-11-22T15:21:16 --delay 1 --endMP 300:58922 --enddatetime 2016-11-22T15:35:24 --enforcementcount 0 &gt;&gt;C:\Users\stu\Documents\GitHub\eaglep3-reporting\EC\2016-11-22-refined-times.txt</v>
      </c>
      <c r="AI188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{"issue":{"subject":"","project_id":79,"tracker_id":40,"status_id":1,"priority_id":2,"assigned_to_id":23,"start_date":"2016-11-22","description":"","custom_fields":[{"id":1,"name":"Subdivision","value":"NW"},{"id":4,"name":"Milepost","value":"5.8922"},{"id":17,"name":"Train ID","value":"825-22"},{"id":16,"name":"Locomotive ID","value":"4016"},{"id":130,"name":"Impact","value":""},{"id":150,"name":"Time of Event (Mountain Time)","value":"15:35:24"},{"id":151,"name":"Denver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558</v>
      </c>
      <c r="B189" s="7">
        <v>4015</v>
      </c>
      <c r="C189" s="22" t="s">
        <v>217</v>
      </c>
      <c r="D189" s="22" t="s">
        <v>734</v>
      </c>
      <c r="E189" s="13">
        <v>42696.651469907411</v>
      </c>
      <c r="F189" s="13">
        <v>42696.652905092589</v>
      </c>
      <c r="G189" s="7">
        <v>0</v>
      </c>
      <c r="H189" s="22" t="s">
        <v>396</v>
      </c>
      <c r="I189" s="13">
        <v>42696.663912037038</v>
      </c>
      <c r="J189" s="7">
        <v>0</v>
      </c>
      <c r="K189" s="109" t="str">
        <f t="shared" si="51"/>
        <v>4015/4016</v>
      </c>
      <c r="L189" s="22" t="str">
        <f>VLOOKUP(A189,'Trips&amp;Operators'!$C$1:$E$10000,3,FALSE)</f>
        <v>MAGEE</v>
      </c>
      <c r="M189" s="6">
        <f t="shared" si="71"/>
        <v>1.1006944449036382E-2</v>
      </c>
      <c r="N189" s="7">
        <f t="shared" si="67"/>
        <v>15.85000000661239</v>
      </c>
      <c r="O189" s="7"/>
      <c r="P189" s="7"/>
      <c r="Q189" s="23"/>
      <c r="R189" s="23"/>
      <c r="S189" s="35">
        <f t="shared" si="68"/>
        <v>1</v>
      </c>
      <c r="T189" s="50" t="str">
        <f t="shared" si="52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14:38:07-700',mode:absolute,to:'2016-11-22 16:56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89" s="52" t="str">
        <f t="shared" si="54"/>
        <v>N</v>
      </c>
      <c r="X189" s="177">
        <f t="shared" si="70"/>
        <v>1</v>
      </c>
      <c r="Y189" s="67">
        <f t="shared" si="69"/>
        <v>5.8615000000000004</v>
      </c>
      <c r="Z189" s="67">
        <f t="shared" si="66"/>
        <v>6.8699999999999997E-2</v>
      </c>
      <c r="AA189" s="67">
        <f t="shared" si="58"/>
        <v>5.7928000000000006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59"/>
        <v>0826-22</v>
      </c>
      <c r="AE189" s="91" t="str">
        <f t="shared" si="60"/>
        <v>aws s3 cp s3://rtdc.mdm.uploadarchive.raw/RTDC4015/ "%USERPROFILE%\AppData\Local\Temp\OnboardLogs"\RTDC4015\2016-11-22 --exclude "*" --recursive --include "*20161122*" &amp; "%USERPROFILE%\Documents\GitHub\mrs-test-scripts\Headless Mode &amp; Sideloading\WalkAndUnGZ.bat" "%USERPROFILE%\AppData\Local\Temp\OnboardLogs"\RTDC4015\2016-11-22 &amp; aws s3 cp s3://rtdc.mdm.uploadarchive.raw/RTDC4015/ "%USERPROFILE%\AppData\Local\Temp\OnboardLogs"\RTDC4015\2016-11-23 --exclude "*" --recursive --include "*20161123*" &amp; "%USERPROFILE%\Documents\GitHub\mrs-test-scripts\Headless Mode &amp; Sideloading\WalkAndUnGZ.bat" "%USERPROFILE%\AppData\Local\Temp\OnboardLogs"\RTDC4015\2016-11-23</v>
      </c>
      <c r="AF189" s="88" t="str">
        <f t="shared" si="61"/>
        <v>"C:\Program Files (x86)\AstroGrep\AstroGrep.exe" /spath="%USERPROFILE%\AppData\Local\Temp\OnboardLogs" /stypes="app*4015*20161122*" /stext=" 22:.+((SYSTEM_STATE.+slice.+state.+changed )|(ment ac)|(system.+state.+changed )|(\[timeout)|(PRM\|1\|D)|(kpr)|(kdp)|(\|lc)|(penalty))" /e /r /s</v>
      </c>
      <c r="AG189" s="1" t="str">
        <f t="shared" si="62"/>
        <v>NW</v>
      </c>
      <c r="AH189" s="92" t="str">
        <f t="shared" si="63"/>
        <v>"%USERPROFILE%\Documents\GitHub\eaglep3\Utilities\RefineRTDCRunTimes.py" --tripid 826-22 --locoid 4015 --swversion DE.1.0.8.0 --startMP 300:58615 --initTime 2016-11-22T15:38:07 --startdatetime 2016-11-22T15:40:11 --delay 0 --endMP 204:687 --enddatetime 2016-11-22T15:56:02 --enforcementcount 0 &gt;&gt;C:\Users\stu\Documents\GitHub\eaglep3-reporting\EC\2016-11-22-refined-times.txt</v>
      </c>
      <c r="AI189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{"issue":{"subject":"","project_id":79,"tracker_id":40,"status_id":1,"priority_id":2,"assigned_to_id":23,"start_date":"2016-11-22","description":"","custom_fields":[{"id":1,"name":"Subdivision","value":"NW"},{"id":4,"name":"Milepost","value":"0.0687"},{"id":17,"name":"Train ID","value":"826-22"},{"id":16,"name":"Locomotive ID","value":"4015"},{"id":130,"name":"Impact","value":""},{"id":150,"name":"Time of Event (Mountain Time)","value":"15:56:02"},{"id":151,"name":"Denver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561</v>
      </c>
      <c r="B190" s="7">
        <v>4014</v>
      </c>
      <c r="C190" s="22" t="s">
        <v>217</v>
      </c>
      <c r="D190" s="22" t="s">
        <v>404</v>
      </c>
      <c r="E190" s="13">
        <v>42696.65724537037</v>
      </c>
      <c r="F190" s="13">
        <v>42696.660925925928</v>
      </c>
      <c r="G190" s="7">
        <v>2</v>
      </c>
      <c r="H190" s="22" t="s">
        <v>397</v>
      </c>
      <c r="I190" s="13">
        <v>42696.669965277775</v>
      </c>
      <c r="J190" s="7">
        <v>0</v>
      </c>
      <c r="K190" s="109" t="str">
        <f t="shared" si="51"/>
        <v>4013/4014</v>
      </c>
      <c r="L190" s="22" t="str">
        <f>VLOOKUP(A190,'Trips&amp;Operators'!$C$1:$E$10000,3,FALSE)</f>
        <v>STAMBAUGH</v>
      </c>
      <c r="M190" s="6">
        <f t="shared" si="71"/>
        <v>9.0393518476048484E-3</v>
      </c>
      <c r="N190" s="7">
        <f t="shared" si="67"/>
        <v>13.016666660550982</v>
      </c>
      <c r="O190" s="7"/>
      <c r="P190" s="7"/>
      <c r="Q190" s="23"/>
      <c r="R190" s="23"/>
      <c r="S190" s="35">
        <f t="shared" si="68"/>
        <v>1</v>
      </c>
      <c r="T190" s="50" t="str">
        <f t="shared" si="52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14:46:26-700',mode:absolute,to:'2016-11-22 17:04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0" s="52" t="str">
        <f t="shared" si="54"/>
        <v>N</v>
      </c>
      <c r="X190" s="177">
        <f t="shared" si="70"/>
        <v>1</v>
      </c>
      <c r="Y190" s="67">
        <f t="shared" si="69"/>
        <v>9.8599999999999993E-2</v>
      </c>
      <c r="Z190" s="67">
        <f t="shared" si="66"/>
        <v>5.8940999999999999</v>
      </c>
      <c r="AA190" s="67">
        <f t="shared" si="58"/>
        <v>5.7954999999999997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59"/>
        <v>0827-22</v>
      </c>
      <c r="AE190" s="91" t="str">
        <f t="shared" si="60"/>
        <v>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 &amp; aws s3 cp s3://rtdc.mdm.uploadarchive.raw/RTDC4014/ "%USERPROFILE%\AppData\Local\Temp\OnboardLogs"\RTDC4014\2016-11-23 --exclude "*" --recursive --include "*20161123*" &amp; "%USERPROFILE%\Documents\GitHub\mrs-test-scripts\Headless Mode &amp; Sideloading\WalkAndUnGZ.bat" "%USERPROFILE%\AppData\Local\Temp\OnboardLogs"\RTDC4014\2016-11-23</v>
      </c>
      <c r="AF190" s="88" t="str">
        <f t="shared" si="61"/>
        <v>"C:\Program Files (x86)\AstroGrep\AstroGrep.exe" /spath="%USERPROFILE%\AppData\Local\Temp\OnboardLogs" /stypes="app*4014*20161122*" /stext=" 23:.+((SYSTEM_STATE.+slice.+state.+changed )|(ment ac)|(system.+state.+changed )|(\[timeout)|(PRM\|1\|D)|(kpr)|(kdp)|(\|lc)|(penalty))" /e /r /s</v>
      </c>
      <c r="AG190" s="1" t="str">
        <f t="shared" si="62"/>
        <v>NW</v>
      </c>
      <c r="AH190" s="92" t="str">
        <f t="shared" si="63"/>
        <v>"%USERPROFILE%\Documents\GitHub\eaglep3\Utilities\RefineRTDCRunTimes.py" --tripid 827-22 --locoid 4014 --swversion DE.1.0.8.0 --startMP 204:986 --initTime 2016-11-22T15:46:26 --startdatetime 2016-11-22T15:51:44 --delay 2 --endMP 300:58941 --enddatetime 2016-11-22T16:04:45 --enforcementcount 0 &gt;&gt;C:\Users\stu\Documents\GitHub\eaglep3-reporting\EC\2016-11-22-refined-times.txt</v>
      </c>
      <c r="AI190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{"issue":{"subject":"","project_id":79,"tracker_id":40,"status_id":1,"priority_id":2,"assigned_to_id":23,"start_date":"2016-11-22","description":"","custom_fields":[{"id":1,"name":"Subdivision","value":"NW"},{"id":4,"name":"Milepost","value":"5.8941"},{"id":17,"name":"Train ID","value":"827-22"},{"id":16,"name":"Locomotive ID","value":"4014"},{"id":130,"name":"Impact","value":""},{"id":150,"name":"Time of Event (Mountain Time)","value":"16:04:45"},{"id":151,"name":"Denver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565</v>
      </c>
      <c r="B191" s="7">
        <v>4013</v>
      </c>
      <c r="C191" s="22" t="s">
        <v>217</v>
      </c>
      <c r="D191" s="22" t="s">
        <v>305</v>
      </c>
      <c r="E191" s="13">
        <v>42696.671053240738</v>
      </c>
      <c r="F191" s="13">
        <v>42696.672650462962</v>
      </c>
      <c r="G191" s="7">
        <v>0</v>
      </c>
      <c r="H191" s="22" t="s">
        <v>753</v>
      </c>
      <c r="I191" s="13">
        <v>42696.68408564815</v>
      </c>
      <c r="J191" s="7">
        <v>0</v>
      </c>
      <c r="K191" s="109" t="str">
        <f t="shared" si="51"/>
        <v>4013/4014</v>
      </c>
      <c r="L191" s="22" t="str">
        <f>VLOOKUP(A191,'Trips&amp;Operators'!$C$1:$E$10000,3,FALSE)</f>
        <v>STAMBAUGH</v>
      </c>
      <c r="M191" s="6">
        <f t="shared" si="71"/>
        <v>1.1435185188020114E-2</v>
      </c>
      <c r="N191" s="7">
        <f t="shared" si="67"/>
        <v>16.466666670748964</v>
      </c>
      <c r="O191" s="7"/>
      <c r="P191" s="7"/>
      <c r="Q191" s="23"/>
      <c r="R191" s="23"/>
      <c r="S191" s="35">
        <f t="shared" si="68"/>
        <v>1</v>
      </c>
      <c r="T191" s="50" t="str">
        <f t="shared" si="52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15:06:19-700',mode:absolute,to:'2016-11-22 17:25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1" s="52" t="str">
        <f t="shared" si="54"/>
        <v>N</v>
      </c>
      <c r="X191" s="177">
        <f t="shared" si="70"/>
        <v>1</v>
      </c>
      <c r="Y191" s="67">
        <f t="shared" si="69"/>
        <v>5.8619000000000003</v>
      </c>
      <c r="Z191" s="67">
        <f t="shared" si="66"/>
        <v>6.9599999999999995E-2</v>
      </c>
      <c r="AA191" s="67">
        <f t="shared" si="58"/>
        <v>5.7923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59"/>
        <v>0828-22</v>
      </c>
      <c r="AE191" s="91" t="str">
        <f t="shared" si="60"/>
        <v>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 &amp; aws s3 cp s3://rtdc.mdm.uploadarchive.raw/RTDC4013/ "%USERPROFILE%\AppData\Local\Temp\OnboardLogs"\RTDC4013\2016-11-23 --exclude "*" --recursive --include "*20161123*" &amp; "%USERPROFILE%\Documents\GitHub\mrs-test-scripts\Headless Mode &amp; Sideloading\WalkAndUnGZ.bat" "%USERPROFILE%\AppData\Local\Temp\OnboardLogs"\RTDC4013\2016-11-23</v>
      </c>
      <c r="AF191" s="88" t="str">
        <f t="shared" si="61"/>
        <v>"C:\Program Files (x86)\AstroGrep\AstroGrep.exe" /spath="%USERPROFILE%\AppData\Local\Temp\OnboardLogs" /stypes="app*4013*20161122*" /stext=" 23:.+((SYSTEM_STATE.+slice.+state.+changed )|(ment ac)|(system.+state.+changed )|(\[timeout)|(PRM\|1\|D)|(kpr)|(kdp)|(\|lc)|(penalty))" /e /r /s</v>
      </c>
      <c r="AG191" s="1" t="str">
        <f t="shared" si="62"/>
        <v>NW</v>
      </c>
      <c r="AH191" s="92" t="str">
        <f t="shared" si="63"/>
        <v>"%USERPROFILE%\Documents\GitHub\eaglep3\Utilities\RefineRTDCRunTimes.py" --tripid 828-22 --locoid 4013 --swversion DE.1.0.8.0 --startMP 300:58619 --initTime 2016-11-22T16:06:19 --startdatetime 2016-11-22T16:08:37 --delay 0 --endMP 204:696 --enddatetime 2016-11-22T16:25:05 --enforcementcount 0 &gt;&gt;C:\Users\stu\Documents\GitHub\eaglep3-reporting\EC\2016-11-22-refined-times.txt</v>
      </c>
      <c r="AI191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{"issue":{"subject":"","project_id":79,"tracker_id":40,"status_id":1,"priority_id":2,"assigned_to_id":23,"start_date":"2016-11-22","description":"","custom_fields":[{"id":1,"name":"Subdivision","value":"NW"},{"id":4,"name":"Milepost","value":"0.0696"},{"id":17,"name":"Train ID","value":"828-22"},{"id":16,"name":"Locomotive ID","value":"4013"},{"id":130,"name":"Impact","value":""},{"id":150,"name":"Time of Event (Mountain Time)","value":"16:25:05"},{"id":151,"name":"Denver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567</v>
      </c>
      <c r="B192" s="7">
        <v>4016</v>
      </c>
      <c r="C192" s="22" t="s">
        <v>217</v>
      </c>
      <c r="D192" s="22" t="s">
        <v>752</v>
      </c>
      <c r="E192" s="13">
        <v>42696.678368055553</v>
      </c>
      <c r="F192" s="13">
        <v>42696.681469907409</v>
      </c>
      <c r="G192" s="7">
        <v>1</v>
      </c>
      <c r="H192" s="22" t="s">
        <v>397</v>
      </c>
      <c r="I192" s="13">
        <v>42696.691192129627</v>
      </c>
      <c r="J192" s="7">
        <v>0</v>
      </c>
      <c r="K192" s="109" t="str">
        <f t="shared" si="51"/>
        <v>4015/4016</v>
      </c>
      <c r="L192" s="22" t="str">
        <f>VLOOKUP(A192,'Trips&amp;Operators'!$C$1:$E$10000,3,FALSE)</f>
        <v>MAGEE</v>
      </c>
      <c r="M192" s="6">
        <f t="shared" si="71"/>
        <v>9.7222222175332718E-3</v>
      </c>
      <c r="N192" s="7">
        <f t="shared" si="67"/>
        <v>13.999999993247911</v>
      </c>
      <c r="O192" s="7"/>
      <c r="P192" s="7"/>
      <c r="Q192" s="23"/>
      <c r="R192" s="23"/>
      <c r="S192" s="35">
        <f t="shared" si="68"/>
        <v>1</v>
      </c>
      <c r="T192" s="50" t="str">
        <f t="shared" si="52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15:16:51-700',mode:absolute,to:'2016-11-22 17:35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2" s="52" t="str">
        <f t="shared" si="54"/>
        <v>N</v>
      </c>
      <c r="X192" s="177">
        <f t="shared" si="70"/>
        <v>1</v>
      </c>
      <c r="Y192" s="67">
        <f t="shared" si="69"/>
        <v>9.74E-2</v>
      </c>
      <c r="Z192" s="67">
        <f t="shared" si="66"/>
        <v>5.8940999999999999</v>
      </c>
      <c r="AA192" s="67">
        <f t="shared" si="58"/>
        <v>5.7966999999999995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59"/>
        <v>0829-22</v>
      </c>
      <c r="AE192" s="91" t="str">
        <f t="shared" si="60"/>
        <v>aws s3 cp s3://rtdc.mdm.uploadarchive.raw/RTDC4016/ "%USERPROFILE%\AppData\Local\Temp\OnboardLogs"\RTDC4016\2016-11-22 --exclude "*" --recursive --include "*20161122*" &amp; "%USERPROFILE%\Documents\GitHub\mrs-test-scripts\Headless Mode &amp; Sideloading\WalkAndUnGZ.bat" "%USERPROFILE%\AppData\Local\Temp\OnboardLogs"\RTDC4016\2016-11-22 &amp; aws s3 cp s3://rtdc.mdm.uploadarchive.raw/RTDC4016/ "%USERPROFILE%\AppData\Local\Temp\OnboardLogs"\RTDC4016\2016-11-23 --exclude "*" --recursive --include "*20161123*" &amp; "%USERPROFILE%\Documents\GitHub\mrs-test-scripts\Headless Mode &amp; Sideloading\WalkAndUnGZ.bat" "%USERPROFILE%\AppData\Local\Temp\OnboardLogs"\RTDC4016\2016-11-23</v>
      </c>
      <c r="AF192" s="88" t="str">
        <f t="shared" si="61"/>
        <v>"C:\Program Files (x86)\AstroGrep\AstroGrep.exe" /spath="%USERPROFILE%\AppData\Local\Temp\OnboardLogs" /stypes="app*4016*20161122*" /stext=" 23:.+((SYSTEM_STATE.+slice.+state.+changed )|(ment ac)|(system.+state.+changed )|(\[timeout)|(PRM\|1\|D)|(kpr)|(kdp)|(\|lc)|(penalty))" /e /r /s</v>
      </c>
      <c r="AG192" s="1" t="str">
        <f t="shared" si="62"/>
        <v>NW</v>
      </c>
      <c r="AH192" s="92" t="str">
        <f t="shared" si="63"/>
        <v>"%USERPROFILE%\Documents\GitHub\eaglep3\Utilities\RefineRTDCRunTimes.py" --tripid 829-22 --locoid 4016 --swversion DE.1.0.8.0 --startMP 204:974 --initTime 2016-11-22T16:16:51 --startdatetime 2016-11-22T16:21:19 --delay 1 --endMP 300:58941 --enddatetime 2016-11-22T16:35:19 --enforcementcount 0 &gt;&gt;C:\Users\stu\Documents\GitHub\eaglep3-reporting\EC\2016-11-22-refined-times.txt</v>
      </c>
      <c r="AI192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{"issue":{"subject":"","project_id":79,"tracker_id":40,"status_id":1,"priority_id":2,"assigned_to_id":23,"start_date":"2016-11-22","description":"","custom_fields":[{"id":1,"name":"Subdivision","value":"NW"},{"id":4,"name":"Milepost","value":"5.8941"},{"id":17,"name":"Train ID","value":"829-22"},{"id":16,"name":"Locomotive ID","value":"4016"},{"id":130,"name":"Impact","value":""},{"id":150,"name":"Time of Event (Mountain Time)","value":"16:35:19"},{"id":151,"name":"Denver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s="21" customFormat="1" x14ac:dyDescent="0.25">
      <c r="A193" s="37" t="s">
        <v>572</v>
      </c>
      <c r="B193" s="7">
        <v>4015</v>
      </c>
      <c r="C193" s="22" t="s">
        <v>217</v>
      </c>
      <c r="D193" s="22" t="s">
        <v>754</v>
      </c>
      <c r="E193" s="13">
        <v>42696.692662037036</v>
      </c>
      <c r="F193" s="13">
        <v>42696.694189814814</v>
      </c>
      <c r="G193" s="7">
        <v>1</v>
      </c>
      <c r="H193" s="22" t="s">
        <v>755</v>
      </c>
      <c r="I193" s="13">
        <v>42696.70548611111</v>
      </c>
      <c r="J193" s="7">
        <v>0</v>
      </c>
      <c r="K193" s="109" t="str">
        <f t="shared" si="51"/>
        <v>4015/4016</v>
      </c>
      <c r="L193" s="22" t="str">
        <f>VLOOKUP(A193,'Trips&amp;Operators'!$C$1:$E$10000,3,FALSE)</f>
        <v>MAGEE</v>
      </c>
      <c r="M193" s="6">
        <f t="shared" si="71"/>
        <v>1.1296296295768116E-2</v>
      </c>
      <c r="N193" s="7">
        <f t="shared" si="67"/>
        <v>16.266666665906087</v>
      </c>
      <c r="O193" s="7"/>
      <c r="P193" s="7"/>
      <c r="Q193" s="23"/>
      <c r="R193" s="23"/>
      <c r="S193" s="35">
        <f t="shared" si="68"/>
        <v>1</v>
      </c>
      <c r="T193" s="50" t="str">
        <f t="shared" si="52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15:37:26-700',mode:absolute,to:'2016-11-22 17:55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93" s="52" t="str">
        <f t="shared" si="54"/>
        <v>N</v>
      </c>
      <c r="X193" s="177">
        <f t="shared" si="70"/>
        <v>1</v>
      </c>
      <c r="Y193" s="67">
        <f t="shared" si="69"/>
        <v>5.8624000000000001</v>
      </c>
      <c r="Z193" s="67">
        <f t="shared" ref="Z193:Z224" si="72">RIGHT(H193,LEN(H193)-4)/10000</f>
        <v>6.9400000000000003E-2</v>
      </c>
      <c r="AA193" s="67">
        <f t="shared" si="58"/>
        <v>5.7930000000000001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59"/>
        <v>0830-22</v>
      </c>
      <c r="AE193" s="91" t="str">
        <f t="shared" si="60"/>
        <v>aws s3 cp s3://rtdc.mdm.uploadarchive.raw/RTDC4015/ "%USERPROFILE%\AppData\Local\Temp\OnboardLogs"\RTDC4015\2016-11-22 --exclude "*" --recursive --include "*20161122*" &amp; "%USERPROFILE%\Documents\GitHub\mrs-test-scripts\Headless Mode &amp; Sideloading\WalkAndUnGZ.bat" "%USERPROFILE%\AppData\Local\Temp\OnboardLogs"\RTDC4015\2016-11-22 &amp; aws s3 cp s3://rtdc.mdm.uploadarchive.raw/RTDC4015/ "%USERPROFILE%\AppData\Local\Temp\OnboardLogs"\RTDC4015\2016-11-23 --exclude "*" --recursive --include "*20161123*" &amp; "%USERPROFILE%\Documents\GitHub\mrs-test-scripts\Headless Mode &amp; Sideloading\WalkAndUnGZ.bat" "%USERPROFILE%\AppData\Local\Temp\OnboardLogs"\RTDC4015\2016-11-23</v>
      </c>
      <c r="AF193" s="88" t="str">
        <f t="shared" si="61"/>
        <v>"C:\Program Files (x86)\AstroGrep\AstroGrep.exe" /spath="%USERPROFILE%\AppData\Local\Temp\OnboardLogs" /stypes="app*4015*20161122*" /stext=" 23:.+((SYSTEM_STATE.+slice.+state.+changed )|(ment ac)|(system.+state.+changed )|(\[timeout)|(PRM\|1\|D)|(kpr)|(kdp)|(\|lc)|(penalty))" /e /r /s</v>
      </c>
      <c r="AG193" s="1" t="str">
        <f t="shared" si="62"/>
        <v>NW</v>
      </c>
      <c r="AH193" s="92" t="str">
        <f t="shared" si="63"/>
        <v>"%USERPROFILE%\Documents\GitHub\eaglep3\Utilities\RefineRTDCRunTimes.py" --tripid 830-22 --locoid 4015 --swversion DE.1.0.8.0 --startMP 300:58624 --initTime 2016-11-22T16:37:26 --startdatetime 2016-11-22T16:39:38 --delay 1 --endMP 204:694 --enddatetime 2016-11-22T16:55:54 --enforcementcount 0 &gt;&gt;C:\Users\stu\Documents\GitHub\eaglep3-reporting\EC\2016-11-22-refined-times.txt</v>
      </c>
      <c r="AI193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{"issue":{"subject":"","project_id":79,"tracker_id":40,"status_id":1,"priority_id":2,"assigned_to_id":23,"start_date":"2016-11-22","description":"","custom_fields":[{"id":1,"name":"Subdivision","value":"NW"},{"id":4,"name":"Milepost","value":"0.0694"},{"id":17,"name":"Train ID","value":"830-22"},{"id":16,"name":"Locomotive ID","value":"4015"},{"id":130,"name":"Impact","value":""},{"id":150,"name":"Time of Event (Mountain Time)","value":"16:55:54"},{"id":151,"name":"Denver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7" t="s">
        <v>570</v>
      </c>
      <c r="B194" s="7">
        <v>4014</v>
      </c>
      <c r="C194" s="22" t="s">
        <v>217</v>
      </c>
      <c r="D194" s="22" t="s">
        <v>756</v>
      </c>
      <c r="E194" s="13">
        <v>42696.685347222221</v>
      </c>
      <c r="F194" s="13">
        <v>42696.702673611115</v>
      </c>
      <c r="G194" s="7">
        <v>1</v>
      </c>
      <c r="H194" s="22" t="s">
        <v>757</v>
      </c>
      <c r="I194" s="13">
        <v>42696.711724537039</v>
      </c>
      <c r="J194" s="7">
        <v>0</v>
      </c>
      <c r="K194" s="109" t="str">
        <f t="shared" si="51"/>
        <v>4013/4014</v>
      </c>
      <c r="L194" s="22" t="str">
        <f>VLOOKUP(A194,'Trips&amp;Operators'!$C$1:$E$10000,3,FALSE)</f>
        <v>STAMBAUGH</v>
      </c>
      <c r="M194" s="6">
        <f t="shared" si="71"/>
        <v>9.0509259243845008E-3</v>
      </c>
      <c r="N194" s="7">
        <f t="shared" ref="N194:N225" si="73">24*60*SUM($M194:$M194)</f>
        <v>13.033333331113681</v>
      </c>
      <c r="O194" s="7"/>
      <c r="P194" s="7"/>
      <c r="Q194" s="23"/>
      <c r="R194" s="23"/>
      <c r="S194" s="35">
        <f t="shared" ref="S194:S225" si="74">SUM(U194:U194)/IF(AG194="EC",12,1)</f>
        <v>1</v>
      </c>
      <c r="T194" s="50" t="str">
        <f t="shared" si="52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15:26:54-700',mode:absolute,to:'2016-11-22 18:04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4" s="52" t="str">
        <f t="shared" si="54"/>
        <v>N</v>
      </c>
      <c r="X194" s="177">
        <f t="shared" si="70"/>
        <v>1</v>
      </c>
      <c r="Y194" s="67">
        <f t="shared" ref="Y194:Y225" si="75">RIGHT(D194,LEN(D194)-4)/10000</f>
        <v>9.6699999999999994E-2</v>
      </c>
      <c r="Z194" s="67">
        <f t="shared" si="72"/>
        <v>5.8916000000000004</v>
      </c>
      <c r="AA194" s="67">
        <f t="shared" si="58"/>
        <v>5.7949000000000002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59"/>
        <v>0831-22</v>
      </c>
      <c r="AE194" s="91" t="str">
        <f t="shared" si="60"/>
        <v>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 &amp; aws s3 cp s3://rtdc.mdm.uploadarchive.raw/RTDC4014/ "%USERPROFILE%\AppData\Local\Temp\OnboardLogs"\RTDC4014\2016-11-23 --exclude "*" --recursive --include "*20161123*" &amp; "%USERPROFILE%\Documents\GitHub\mrs-test-scripts\Headless Mode &amp; Sideloading\WalkAndUnGZ.bat" "%USERPROFILE%\AppData\Local\Temp\OnboardLogs"\RTDC4014\2016-11-23</v>
      </c>
      <c r="AF194" s="88" t="str">
        <f t="shared" si="61"/>
        <v>"C:\Program Files (x86)\AstroGrep\AstroGrep.exe" /spath="%USERPROFILE%\AppData\Local\Temp\OnboardLogs" /stypes="app*4014*20161123*" /stext=" 00:.+((SYSTEM_STATE.+slice.+state.+changed )|(ment ac)|(system.+state.+changed )|(\[timeout)|(PRM\|1\|D)|(kpr)|(kdp)|(\|lc)|(penalty))" /e /r /s</v>
      </c>
      <c r="AG194" s="1" t="str">
        <f t="shared" si="62"/>
        <v>NW</v>
      </c>
      <c r="AH194" s="92" t="str">
        <f t="shared" si="63"/>
        <v>"%USERPROFILE%\Documents\GitHub\eaglep3\Utilities\RefineRTDCRunTimes.py" --tripid 831-22 --locoid 4014 --swversion DE.1.0.8.0 --startMP 204:967 --initTime 2016-11-22T16:26:54 --startdatetime 2016-11-22T16:51:51 --delay 1 --endMP 300:58916 --enddatetime 2016-11-22T17:04:53 --enforcementcount 0 &gt;&gt;C:\Users\stu\Documents\GitHub\eaglep3-reporting\EC\2016-11-22-refined-times.txt</v>
      </c>
      <c r="AI194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{"issue":{"subject":"","project_id":79,"tracker_id":40,"status_id":1,"priority_id":2,"assigned_to_id":23,"start_date":"2016-11-22","description":"","custom_fields":[{"id":1,"name":"Subdivision","value":"NW"},{"id":4,"name":"Milepost","value":"5.8916"},{"id":17,"name":"Train ID","value":"831-22"},{"id":16,"name":"Locomotive ID","value":"4014"},{"id":130,"name":"Impact","value":""},{"id":150,"name":"Time of Event (Mountain Time)","value":"17:04:53"},{"id":151,"name":"Denver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x14ac:dyDescent="0.25">
      <c r="A195" s="37" t="s">
        <v>436</v>
      </c>
      <c r="B195" s="7">
        <v>4013</v>
      </c>
      <c r="C195" s="22" t="s">
        <v>217</v>
      </c>
      <c r="D195" s="22" t="s">
        <v>758</v>
      </c>
      <c r="E195" s="13">
        <v>42696.712696759256</v>
      </c>
      <c r="F195" s="13">
        <v>42696.714166666665</v>
      </c>
      <c r="G195" s="7">
        <v>0</v>
      </c>
      <c r="H195" s="22" t="s">
        <v>759</v>
      </c>
      <c r="I195" s="13">
        <v>42696.725590277776</v>
      </c>
      <c r="J195" s="7">
        <v>1</v>
      </c>
      <c r="K195" s="109" t="str">
        <f t="shared" si="51"/>
        <v>4013/4014</v>
      </c>
      <c r="L195" s="22" t="str">
        <f>VLOOKUP(A195,'Trips&amp;Operators'!$C$1:$E$10000,3,FALSE)</f>
        <v>STAMBAUGH</v>
      </c>
      <c r="M195" s="6">
        <f t="shared" si="71"/>
        <v>1.1423611111240461E-2</v>
      </c>
      <c r="N195" s="7">
        <f t="shared" si="73"/>
        <v>16.450000000186265</v>
      </c>
      <c r="O195" s="7"/>
      <c r="P195" s="7"/>
      <c r="Q195" s="23"/>
      <c r="R195" s="23"/>
      <c r="S195" s="35">
        <f t="shared" si="74"/>
        <v>1</v>
      </c>
      <c r="T195" s="50" t="str">
        <f t="shared" si="52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16:06:17-700',mode:absolute,to:'2016-11-22 18:24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5" s="52" t="str">
        <f t="shared" si="54"/>
        <v>N</v>
      </c>
      <c r="X195" s="177">
        <f t="shared" si="70"/>
        <v>1</v>
      </c>
      <c r="Y195" s="67">
        <f t="shared" si="75"/>
        <v>5.8608000000000002</v>
      </c>
      <c r="Z195" s="67">
        <f t="shared" si="72"/>
        <v>6.7000000000000004E-2</v>
      </c>
      <c r="AA195" s="67">
        <f t="shared" si="58"/>
        <v>5.7938000000000001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59"/>
        <v>0832-22</v>
      </c>
      <c r="AE195" s="91" t="str">
        <f t="shared" si="60"/>
        <v>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 &amp; aws s3 cp s3://rtdc.mdm.uploadarchive.raw/RTDC4013/ "%USERPROFILE%\AppData\Local\Temp\OnboardLogs"\RTDC4013\2016-11-23 --exclude "*" --recursive --include "*20161123*" &amp; "%USERPROFILE%\Documents\GitHub\mrs-test-scripts\Headless Mode &amp; Sideloading\WalkAndUnGZ.bat" "%USERPROFILE%\AppData\Local\Temp\OnboardLogs"\RTDC4013\2016-11-23</v>
      </c>
      <c r="AF195" s="88" t="str">
        <f t="shared" si="61"/>
        <v>"C:\Program Files (x86)\AstroGrep\AstroGrep.exe" /spath="%USERPROFILE%\AppData\Local\Temp\OnboardLogs" /stypes="app*4013*20161123*" /stext=" 00:.+((SYSTEM_STATE.+slice.+state.+changed )|(ment ac)|(system.+state.+changed )|(\[timeout)|(PRM\|1\|D)|(kpr)|(kdp)|(\|lc)|(penalty))" /e /r /s</v>
      </c>
      <c r="AG195" s="1" t="str">
        <f t="shared" si="62"/>
        <v>NW</v>
      </c>
      <c r="AH195" s="92" t="str">
        <f t="shared" si="63"/>
        <v>"%USERPROFILE%\Documents\GitHub\eaglep3\Utilities\RefineRTDCRunTimes.py" --tripid 832-22 --locoid 4013 --swversion DE.1.0.8.0 --startMP 300:58608 --initTime 2016-11-22T17:06:17 --startdatetime 2016-11-22T17:08:24 --delay 0 --endMP 204:670 --enddatetime 2016-11-22T17:24:51 --enforcementcount 1 &gt;&gt;C:\Users\stu\Documents\GitHub\eaglep3-reporting\EC\2016-11-22-refined-times.txt</v>
      </c>
      <c r="AI195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{"issue":{"subject":"","project_id":79,"tracker_id":40,"status_id":1,"priority_id":2,"assigned_to_id":23,"start_date":"2016-11-22","description":"","custom_fields":[{"id":1,"name":"Subdivision","value":"NW"},{"id":4,"name":"Milepost","value":"0.067"},{"id":17,"name":"Train ID","value":"832-22"},{"id":16,"name":"Locomotive ID","value":"4013"},{"id":130,"name":"Impact","value":""},{"id":150,"name":"Time of Event (Mountain Time)","value":"17:24:51"},{"id":151,"name":"Denver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x14ac:dyDescent="0.25">
      <c r="A196" s="37" t="s">
        <v>581</v>
      </c>
      <c r="B196" s="7">
        <v>4016</v>
      </c>
      <c r="C196" s="22" t="s">
        <v>217</v>
      </c>
      <c r="D196" s="22" t="s">
        <v>401</v>
      </c>
      <c r="E196" s="13">
        <v>42696.719421296293</v>
      </c>
      <c r="F196" s="13">
        <v>42696.723182870373</v>
      </c>
      <c r="G196" s="7">
        <v>2</v>
      </c>
      <c r="H196" s="22" t="s">
        <v>738</v>
      </c>
      <c r="I196" s="13">
        <v>42696.733425925922</v>
      </c>
      <c r="J196" s="7">
        <v>0</v>
      </c>
      <c r="K196" s="109" t="str">
        <f t="shared" si="51"/>
        <v>4015/4016</v>
      </c>
      <c r="L196" s="22" t="str">
        <f>VLOOKUP(A196,'Trips&amp;Operators'!$C$1:$E$10000,3,FALSE)</f>
        <v>MAGEE</v>
      </c>
      <c r="M196" s="6">
        <f t="shared" si="71"/>
        <v>1.024305554892635E-2</v>
      </c>
      <c r="N196" s="7">
        <f t="shared" si="73"/>
        <v>14.749999990453944</v>
      </c>
      <c r="O196" s="7"/>
      <c r="P196" s="7"/>
      <c r="Q196" s="23"/>
      <c r="R196" s="23"/>
      <c r="S196" s="35">
        <f t="shared" si="74"/>
        <v>1</v>
      </c>
      <c r="T196" s="50" t="str">
        <f t="shared" si="52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16:15:58-700',mode:absolute,to:'2016-11-22 18:36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6" s="52" t="str">
        <f t="shared" si="54"/>
        <v>N</v>
      </c>
      <c r="X196" s="177">
        <f t="shared" si="70"/>
        <v>1</v>
      </c>
      <c r="Y196" s="67">
        <f t="shared" si="75"/>
        <v>9.8100000000000007E-2</v>
      </c>
      <c r="Z196" s="67">
        <f t="shared" si="72"/>
        <v>5.8929</v>
      </c>
      <c r="AA196" s="67">
        <f t="shared" si="58"/>
        <v>5.7948000000000004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59"/>
        <v>0833-22</v>
      </c>
      <c r="AE196" s="91" t="str">
        <f t="shared" si="60"/>
        <v>aws s3 cp s3://rtdc.mdm.uploadarchive.raw/RTDC4016/ "%USERPROFILE%\AppData\Local\Temp\OnboardLogs"\RTDC4016\2016-11-22 --exclude "*" --recursive --include "*20161122*" &amp; "%USERPROFILE%\Documents\GitHub\mrs-test-scripts\Headless Mode &amp; Sideloading\WalkAndUnGZ.bat" "%USERPROFILE%\AppData\Local\Temp\OnboardLogs"\RTDC4016\2016-11-22 &amp; aws s3 cp s3://rtdc.mdm.uploadarchive.raw/RTDC4016/ "%USERPROFILE%\AppData\Local\Temp\OnboardLogs"\RTDC4016\2016-11-23 --exclude "*" --recursive --include "*20161123*" &amp; "%USERPROFILE%\Documents\GitHub\mrs-test-scripts\Headless Mode &amp; Sideloading\WalkAndUnGZ.bat" "%USERPROFILE%\AppData\Local\Temp\OnboardLogs"\RTDC4016\2016-11-23</v>
      </c>
      <c r="AF196" s="88" t="str">
        <f t="shared" si="61"/>
        <v>"C:\Program Files (x86)\AstroGrep\AstroGrep.exe" /spath="%USERPROFILE%\AppData\Local\Temp\OnboardLogs" /stypes="app*4016*20161123*" /stext=" 00:.+((SYSTEM_STATE.+slice.+state.+changed )|(ment ac)|(system.+state.+changed )|(\[timeout)|(PRM\|1\|D)|(kpr)|(kdp)|(\|lc)|(penalty))" /e /r /s</v>
      </c>
      <c r="AG196" s="1" t="str">
        <f t="shared" si="62"/>
        <v>NW</v>
      </c>
      <c r="AH196" s="92" t="str">
        <f t="shared" si="63"/>
        <v>"%USERPROFILE%\Documents\GitHub\eaglep3\Utilities\RefineRTDCRunTimes.py" --tripid 833-22 --locoid 4016 --swversion DE.1.0.8.0 --startMP 204:981 --initTime 2016-11-22T17:15:58 --startdatetime 2016-11-22T17:21:23 --delay 2 --endMP 300:58929 --enddatetime 2016-11-22T17:36:08 --enforcementcount 0 &gt;&gt;C:\Users\stu\Documents\GitHub\eaglep3-reporting\EC\2016-11-22-refined-times.txt</v>
      </c>
      <c r="AI196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{"issue":{"subject":"","project_id":79,"tracker_id":40,"status_id":1,"priority_id":2,"assigned_to_id":23,"start_date":"2016-11-22","description":"","custom_fields":[{"id":1,"name":"Subdivision","value":"NW"},{"id":4,"name":"Milepost","value":"5.8929"},{"id":17,"name":"Train ID","value":"833-22"},{"id":16,"name":"Locomotive ID","value":"4016"},{"id":130,"name":"Impact","value":""},{"id":150,"name":"Time of Event (Mountain Time)","value":"17:36:08"},{"id":151,"name":"Denver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586</v>
      </c>
      <c r="B197" s="7">
        <v>4015</v>
      </c>
      <c r="C197" s="22" t="s">
        <v>217</v>
      </c>
      <c r="D197" s="22" t="s">
        <v>305</v>
      </c>
      <c r="E197" s="13">
        <v>42696.734814814816</v>
      </c>
      <c r="F197" s="13">
        <v>42696.736180555556</v>
      </c>
      <c r="G197" s="7">
        <v>1</v>
      </c>
      <c r="H197" s="22" t="s">
        <v>728</v>
      </c>
      <c r="I197" s="13">
        <v>42696.747939814813</v>
      </c>
      <c r="J197" s="7">
        <v>0</v>
      </c>
      <c r="K197" s="109" t="str">
        <f t="shared" si="51"/>
        <v>4015/4016</v>
      </c>
      <c r="L197" s="22" t="str">
        <f>VLOOKUP(A197,'Trips&amp;Operators'!$C$1:$E$10000,3,FALSE)</f>
        <v>MAGEE</v>
      </c>
      <c r="M197" s="6">
        <f t="shared" si="71"/>
        <v>1.1759259257814847E-2</v>
      </c>
      <c r="N197" s="7">
        <f t="shared" si="73"/>
        <v>16.93333333125338</v>
      </c>
      <c r="O197" s="7"/>
      <c r="P197" s="7"/>
      <c r="Q197" s="23"/>
      <c r="R197" s="23"/>
      <c r="S197" s="35">
        <f t="shared" si="74"/>
        <v>1</v>
      </c>
      <c r="T197" s="50" t="str">
        <f t="shared" si="52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16:38:08-700',mode:absolute,to:'2016-11-22 18:57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97" s="52" t="str">
        <f t="shared" si="54"/>
        <v>N</v>
      </c>
      <c r="X197" s="177">
        <f t="shared" si="70"/>
        <v>1</v>
      </c>
      <c r="Y197" s="67">
        <f t="shared" si="75"/>
        <v>5.8619000000000003</v>
      </c>
      <c r="Z197" s="67">
        <f t="shared" si="72"/>
        <v>7.0599999999999996E-2</v>
      </c>
      <c r="AA197" s="67">
        <f t="shared" si="58"/>
        <v>5.7913000000000006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59"/>
        <v>0834-22</v>
      </c>
      <c r="AE197" s="91" t="str">
        <f t="shared" si="60"/>
        <v>aws s3 cp s3://rtdc.mdm.uploadarchive.raw/RTDC4015/ "%USERPROFILE%\AppData\Local\Temp\OnboardLogs"\RTDC4015\2016-11-22 --exclude "*" --recursive --include "*20161122*" &amp; "%USERPROFILE%\Documents\GitHub\mrs-test-scripts\Headless Mode &amp; Sideloading\WalkAndUnGZ.bat" "%USERPROFILE%\AppData\Local\Temp\OnboardLogs"\RTDC4015\2016-11-22 &amp; aws s3 cp s3://rtdc.mdm.uploadarchive.raw/RTDC4015/ "%USERPROFILE%\AppData\Local\Temp\OnboardLogs"\RTDC4015\2016-11-23 --exclude "*" --recursive --include "*20161123*" &amp; "%USERPROFILE%\Documents\GitHub\mrs-test-scripts\Headless Mode &amp; Sideloading\WalkAndUnGZ.bat" "%USERPROFILE%\AppData\Local\Temp\OnboardLogs"\RTDC4015\2016-11-23</v>
      </c>
      <c r="AF197" s="88" t="str">
        <f t="shared" si="61"/>
        <v>"C:\Program Files (x86)\AstroGrep\AstroGrep.exe" /spath="%USERPROFILE%\AppData\Local\Temp\OnboardLogs" /stypes="app*4015*20161123*" /stext=" 00:.+((SYSTEM_STATE.+slice.+state.+changed )|(ment ac)|(system.+state.+changed )|(\[timeout)|(PRM\|1\|D)|(kpr)|(kdp)|(\|lc)|(penalty))" /e /r /s</v>
      </c>
      <c r="AG197" s="1" t="str">
        <f t="shared" si="62"/>
        <v>NW</v>
      </c>
      <c r="AH197" s="92" t="str">
        <f t="shared" si="63"/>
        <v>"%USERPROFILE%\Documents\GitHub\eaglep3\Utilities\RefineRTDCRunTimes.py" --tripid 834-22 --locoid 4015 --swversion DE.1.0.8.0 --startMP 300:58619 --initTime 2016-11-22T17:38:08 --startdatetime 2016-11-22T17:40:06 --delay 1 --endMP 204:706 --enddatetime 2016-11-22T17:57:02 --enforcementcount 0 &gt;&gt;C:\Users\stu\Documents\GitHub\eaglep3-reporting\EC\2016-11-22-refined-times.txt</v>
      </c>
      <c r="AI197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{"issue":{"subject":"","project_id":79,"tracker_id":40,"status_id":1,"priority_id":2,"assigned_to_id":23,"start_date":"2016-11-22","description":"","custom_fields":[{"id":1,"name":"Subdivision","value":"NW"},{"id":4,"name":"Milepost","value":"0.0706"},{"id":17,"name":"Train ID","value":"834-22"},{"id":16,"name":"Locomotive ID","value":"4015"},{"id":130,"name":"Impact","value":""},{"id":150,"name":"Time of Event (Mountain Time)","value":"17:57:02"},{"id":151,"name":"Denver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584</v>
      </c>
      <c r="B198" s="7">
        <v>4014</v>
      </c>
      <c r="C198" s="22" t="s">
        <v>217</v>
      </c>
      <c r="D198" s="22" t="s">
        <v>338</v>
      </c>
      <c r="E198" s="13">
        <v>42696.727627314816</v>
      </c>
      <c r="F198" s="13">
        <v>42696.744733796295</v>
      </c>
      <c r="G198" s="7">
        <v>2</v>
      </c>
      <c r="H198" s="22" t="s">
        <v>760</v>
      </c>
      <c r="I198" s="13">
        <v>42696.754120370373</v>
      </c>
      <c r="J198" s="7">
        <v>0</v>
      </c>
      <c r="K198" s="109" t="str">
        <f t="shared" si="51"/>
        <v>4013/4014</v>
      </c>
      <c r="L198" s="22" t="str">
        <f>VLOOKUP(A198,'Trips&amp;Operators'!$C$1:$E$10000,3,FALSE)</f>
        <v>STAMBAUGH</v>
      </c>
      <c r="M198" s="6">
        <f t="shared" si="71"/>
        <v>9.3865740782348439E-3</v>
      </c>
      <c r="N198" s="7">
        <f t="shared" si="73"/>
        <v>13.516666672658175</v>
      </c>
      <c r="O198" s="7"/>
      <c r="P198" s="7"/>
      <c r="Q198" s="23"/>
      <c r="R198" s="23"/>
      <c r="S198" s="35">
        <f t="shared" si="74"/>
        <v>1</v>
      </c>
      <c r="T198" s="50" t="str">
        <f t="shared" si="52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16:27:47-700',mode:absolute,to:'2016-11-22 19:05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8" s="52" t="str">
        <f t="shared" si="54"/>
        <v>N</v>
      </c>
      <c r="X198" s="177">
        <f t="shared" si="70"/>
        <v>1</v>
      </c>
      <c r="Y198" s="67">
        <f t="shared" si="75"/>
        <v>9.6000000000000002E-2</v>
      </c>
      <c r="Z198" s="67">
        <f t="shared" si="72"/>
        <v>5.8912000000000004</v>
      </c>
      <c r="AA198" s="67">
        <f t="shared" si="58"/>
        <v>5.7952000000000004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59"/>
        <v>0835-22</v>
      </c>
      <c r="AE198" s="91" t="str">
        <f t="shared" si="60"/>
        <v>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 &amp; aws s3 cp s3://rtdc.mdm.uploadarchive.raw/RTDC4014/ "%USERPROFILE%\AppData\Local\Temp\OnboardLogs"\RTDC4014\2016-11-23 --exclude "*" --recursive --include "*20161123*" &amp; "%USERPROFILE%\Documents\GitHub\mrs-test-scripts\Headless Mode &amp; Sideloading\WalkAndUnGZ.bat" "%USERPROFILE%\AppData\Local\Temp\OnboardLogs"\RTDC4014\2016-11-23</v>
      </c>
      <c r="AF198" s="88" t="str">
        <f t="shared" si="61"/>
        <v>"C:\Program Files (x86)\AstroGrep\AstroGrep.exe" /spath="%USERPROFILE%\AppData\Local\Temp\OnboardLogs" /stypes="app*4014*20161123*" /stext=" 01:.+((SYSTEM_STATE.+slice.+state.+changed )|(ment ac)|(system.+state.+changed )|(\[timeout)|(PRM\|1\|D)|(kpr)|(kdp)|(\|lc)|(penalty))" /e /r /s</v>
      </c>
      <c r="AG198" s="1" t="str">
        <f t="shared" si="62"/>
        <v>NW</v>
      </c>
      <c r="AH198" s="92" t="str">
        <f t="shared" si="63"/>
        <v>"%USERPROFILE%\Documents\GitHub\eaglep3\Utilities\RefineRTDCRunTimes.py" --tripid 835-22 --locoid 4014 --swversion DE.1.0.8.0 --startMP 204:960 --initTime 2016-11-22T17:27:47 --startdatetime 2016-11-22T17:52:25 --delay 2 --endMP 300:58912 --enddatetime 2016-11-22T18:05:56 --enforcementcount 0 &gt;&gt;C:\Users\stu\Documents\GitHub\eaglep3-reporting\EC\2016-11-22-refined-times.txt</v>
      </c>
      <c r="AI198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{"issue":{"subject":"","project_id":79,"tracker_id":40,"status_id":1,"priority_id":2,"assigned_to_id":23,"start_date":"2016-11-22","description":"","custom_fields":[{"id":1,"name":"Subdivision","value":"NW"},{"id":4,"name":"Milepost","value":"5.8912"},{"id":17,"name":"Train ID","value":"835-22"},{"id":16,"name":"Locomotive ID","value":"4014"},{"id":130,"name":"Impact","value":""},{"id":150,"name":"Time of Event (Mountain Time)","value":"18:05:56"},{"id":151,"name":"Denver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s="21" customFormat="1" x14ac:dyDescent="0.25">
      <c r="A199" s="37" t="s">
        <v>438</v>
      </c>
      <c r="B199" s="7">
        <v>4013</v>
      </c>
      <c r="C199" s="22" t="s">
        <v>217</v>
      </c>
      <c r="D199" s="22" t="s">
        <v>761</v>
      </c>
      <c r="E199" s="13">
        <v>42696.755277777775</v>
      </c>
      <c r="F199" s="13">
        <v>42696.785671296297</v>
      </c>
      <c r="G199" s="7">
        <v>1</v>
      </c>
      <c r="H199" s="22" t="s">
        <v>390</v>
      </c>
      <c r="I199" s="13">
        <v>42696.794583333336</v>
      </c>
      <c r="J199" s="7">
        <v>1</v>
      </c>
      <c r="K199" s="109" t="str">
        <f t="shared" si="51"/>
        <v>4013/4014</v>
      </c>
      <c r="L199" s="22" t="str">
        <f>VLOOKUP(A199,'Trips&amp;Operators'!$C$1:$E$10000,3,FALSE)</f>
        <v>STAMBAUGH</v>
      </c>
      <c r="M199" s="6">
        <f t="shared" si="71"/>
        <v>8.9120370394084603E-3</v>
      </c>
      <c r="N199" s="7">
        <f t="shared" si="73"/>
        <v>12.833333336748183</v>
      </c>
      <c r="O199" s="7"/>
      <c r="P199" s="7"/>
      <c r="Q199" s="23"/>
      <c r="R199" s="23"/>
      <c r="S199" s="35">
        <f t="shared" si="74"/>
        <v>1</v>
      </c>
      <c r="T199" s="50" t="str">
        <f t="shared" si="52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17:07:36-700',mode:absolute,to:'2016-11-22 20:04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9" s="52" t="str">
        <f t="shared" si="54"/>
        <v>N</v>
      </c>
      <c r="X199" s="177">
        <f t="shared" si="70"/>
        <v>1</v>
      </c>
      <c r="Y199" s="67">
        <f t="shared" si="75"/>
        <v>5.8596000000000004</v>
      </c>
      <c r="Z199" s="67">
        <f t="shared" si="72"/>
        <v>6.7299999999999999E-2</v>
      </c>
      <c r="AA199" s="67">
        <f t="shared" si="58"/>
        <v>5.7923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59"/>
        <v>0836-22</v>
      </c>
      <c r="AE199" s="91" t="str">
        <f t="shared" si="60"/>
        <v>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 &amp; aws s3 cp s3://rtdc.mdm.uploadarchive.raw/RTDC4013/ "%USERPROFILE%\AppData\Local\Temp\OnboardLogs"\RTDC4013\2016-11-23 --exclude "*" --recursive --include "*20161123*" &amp; "%USERPROFILE%\Documents\GitHub\mrs-test-scripts\Headless Mode &amp; Sideloading\WalkAndUnGZ.bat" "%USERPROFILE%\AppData\Local\Temp\OnboardLogs"\RTDC4013\2016-11-23</v>
      </c>
      <c r="AF199" s="88" t="str">
        <f t="shared" si="61"/>
        <v>"C:\Program Files (x86)\AstroGrep\AstroGrep.exe" /spath="%USERPROFILE%\AppData\Local\Temp\OnboardLogs" /stypes="app*4013*20161123*" /stext=" 02:.+((SYSTEM_STATE.+slice.+state.+changed )|(ment ac)|(system.+state.+changed )|(\[timeout)|(PRM\|1\|D)|(kpr)|(kdp)|(\|lc)|(penalty))" /e /r /s</v>
      </c>
      <c r="AG199" s="1" t="str">
        <f t="shared" si="62"/>
        <v>NW</v>
      </c>
      <c r="AH199" s="92" t="str">
        <f t="shared" si="63"/>
        <v>"%USERPROFILE%\Documents\GitHub\eaglep3\Utilities\RefineRTDCRunTimes.py" --tripid 836-22 --locoid 4013 --swversion DE.1.0.8.0 --startMP 300:58596 --initTime 2016-11-22T18:07:36 --startdatetime 2016-11-22T18:51:22 --delay 1 --endMP 204:673 --enddatetime 2016-11-22T19:04:12 --enforcementcount 1 &gt;&gt;C:\Users\stu\Documents\GitHub\eaglep3-reporting\EC\2016-11-22-refined-times.txt</v>
      </c>
      <c r="AI199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{"issue":{"subject":"","project_id":79,"tracker_id":40,"status_id":1,"priority_id":2,"assigned_to_id":23,"start_date":"2016-11-22","description":"","custom_fields":[{"id":1,"name":"Subdivision","value":"NW"},{"id":4,"name":"Milepost","value":"0.0673"},{"id":17,"name":"Train ID","value":"836-22"},{"id":16,"name":"Locomotive ID","value":"4013"},{"id":130,"name":"Impact","value":""},{"id":150,"name":"Time of Event (Mountain Time)","value":"19:04:12"},{"id":151,"name":"Denver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1" customFormat="1" x14ac:dyDescent="0.25">
      <c r="A200" s="37" t="s">
        <v>595</v>
      </c>
      <c r="B200" s="7">
        <v>4016</v>
      </c>
      <c r="C200" s="22" t="s">
        <v>217</v>
      </c>
      <c r="D200" s="22" t="s">
        <v>762</v>
      </c>
      <c r="E200" s="13">
        <v>42696.749236111114</v>
      </c>
      <c r="F200" s="13">
        <v>42696.764791666668</v>
      </c>
      <c r="G200" s="7">
        <v>1</v>
      </c>
      <c r="H200" s="22" t="s">
        <v>747</v>
      </c>
      <c r="I200" s="13">
        <v>42696.77449074074</v>
      </c>
      <c r="J200" s="7">
        <v>0</v>
      </c>
      <c r="K200" s="109" t="str">
        <f t="shared" si="51"/>
        <v>4015/4016</v>
      </c>
      <c r="L200" s="22" t="str">
        <f>VLOOKUP(A200,'Trips&amp;Operators'!$C$1:$E$10000,3,FALSE)</f>
        <v>MAGEE</v>
      </c>
      <c r="M200" s="6">
        <f t="shared" si="71"/>
        <v>9.6990740712499246E-3</v>
      </c>
      <c r="N200" s="7">
        <f t="shared" si="73"/>
        <v>13.966666662599891</v>
      </c>
      <c r="O200" s="7"/>
      <c r="P200" s="7"/>
      <c r="Q200" s="23"/>
      <c r="R200" s="23"/>
      <c r="S200" s="35">
        <f t="shared" si="74"/>
        <v>1</v>
      </c>
      <c r="T200" s="50" t="str">
        <f t="shared" si="52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16:58:54-700',mode:absolute,to:'2016-11-22 19:35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00" s="52" t="str">
        <f t="shared" si="54"/>
        <v>N</v>
      </c>
      <c r="X200" s="177">
        <f t="shared" si="70"/>
        <v>1</v>
      </c>
      <c r="Y200" s="67">
        <f t="shared" si="75"/>
        <v>9.8500000000000004E-2</v>
      </c>
      <c r="Z200" s="67">
        <f t="shared" si="72"/>
        <v>5.8945999999999996</v>
      </c>
      <c r="AA200" s="67">
        <f t="shared" si="58"/>
        <v>5.7961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59"/>
        <v>0837-22</v>
      </c>
      <c r="AE200" s="91" t="str">
        <f t="shared" si="60"/>
        <v>aws s3 cp s3://rtdc.mdm.uploadarchive.raw/RTDC4016/ "%USERPROFILE%\AppData\Local\Temp\OnboardLogs"\RTDC4016\2016-11-22 --exclude "*" --recursive --include "*20161122*" &amp; "%USERPROFILE%\Documents\GitHub\mrs-test-scripts\Headless Mode &amp; Sideloading\WalkAndUnGZ.bat" "%USERPROFILE%\AppData\Local\Temp\OnboardLogs"\RTDC4016\2016-11-22 &amp; aws s3 cp s3://rtdc.mdm.uploadarchive.raw/RTDC4016/ "%USERPROFILE%\AppData\Local\Temp\OnboardLogs"\RTDC4016\2016-11-23 --exclude "*" --recursive --include "*20161123*" &amp; "%USERPROFILE%\Documents\GitHub\mrs-test-scripts\Headless Mode &amp; Sideloading\WalkAndUnGZ.bat" "%USERPROFILE%\AppData\Local\Temp\OnboardLogs"\RTDC4016\2016-11-23</v>
      </c>
      <c r="AF200" s="88" t="str">
        <f t="shared" si="61"/>
        <v>"C:\Program Files (x86)\AstroGrep\AstroGrep.exe" /spath="%USERPROFILE%\AppData\Local\Temp\OnboardLogs" /stypes="app*4016*20161123*" /stext=" 01:.+((SYSTEM_STATE.+slice.+state.+changed )|(ment ac)|(system.+state.+changed )|(\[timeout)|(PRM\|1\|D)|(kpr)|(kdp)|(\|lc)|(penalty))" /e /r /s</v>
      </c>
      <c r="AG200" s="1" t="str">
        <f t="shared" si="62"/>
        <v>NW</v>
      </c>
      <c r="AH200" s="92" t="str">
        <f t="shared" si="63"/>
        <v>"%USERPROFILE%\Documents\GitHub\eaglep3\Utilities\RefineRTDCRunTimes.py" --tripid 837-22 --locoid 4016 --swversion DE.1.0.8.0 --startMP 204:985 --initTime 2016-11-22T17:58:54 --startdatetime 2016-11-22T18:21:18 --delay 1 --endMP 300:58946 --enddatetime 2016-11-22T18:35:16 --enforcementcount 0 &gt;&gt;C:\Users\stu\Documents\GitHub\eaglep3-reporting\EC\2016-11-22-refined-times.txt</v>
      </c>
      <c r="AI200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{"issue":{"subject":"","project_id":79,"tracker_id":40,"status_id":1,"priority_id":2,"assigned_to_id":23,"start_date":"2016-11-22","description":"","custom_fields":[{"id":1,"name":"Subdivision","value":"NW"},{"id":4,"name":"Milepost","value":"5.8946"},{"id":17,"name":"Train ID","value":"837-22"},{"id":16,"name":"Locomotive ID","value":"4016"},{"id":130,"name":"Impact","value":""},{"id":150,"name":"Time of Event (Mountain Time)","value":"18:35:16"},{"id":151,"name":"Denver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1" customFormat="1" x14ac:dyDescent="0.25">
      <c r="A201" s="37" t="s">
        <v>439</v>
      </c>
      <c r="B201" s="7">
        <v>4015</v>
      </c>
      <c r="C201" s="22" t="s">
        <v>217</v>
      </c>
      <c r="D201" s="22" t="s">
        <v>763</v>
      </c>
      <c r="E201" s="13">
        <v>42696.775891203702</v>
      </c>
      <c r="F201" s="13">
        <v>42696.777812499997</v>
      </c>
      <c r="G201" s="7">
        <v>2</v>
      </c>
      <c r="H201" s="22" t="s">
        <v>755</v>
      </c>
      <c r="I201" s="13">
        <v>42696.789571759262</v>
      </c>
      <c r="J201" s="7">
        <v>1</v>
      </c>
      <c r="K201" s="109" t="str">
        <f t="shared" si="51"/>
        <v>4015/4016</v>
      </c>
      <c r="L201" s="22" t="str">
        <f>VLOOKUP(A201,'Trips&amp;Operators'!$C$1:$E$10000,3,FALSE)</f>
        <v>MAGEE</v>
      </c>
      <c r="M201" s="6">
        <f t="shared" si="71"/>
        <v>1.1759259265090805E-2</v>
      </c>
      <c r="N201" s="7">
        <f t="shared" si="73"/>
        <v>16.933333341730759</v>
      </c>
      <c r="O201" s="7"/>
      <c r="P201" s="7"/>
      <c r="Q201" s="23"/>
      <c r="R201" s="23"/>
      <c r="S201" s="35">
        <f t="shared" si="74"/>
        <v>1</v>
      </c>
      <c r="T201" s="50" t="str">
        <f t="shared" si="52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17:37:17-700',mode:absolute,to:'2016-11-22 19:56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01" s="52" t="str">
        <f t="shared" si="54"/>
        <v>N</v>
      </c>
      <c r="X201" s="177">
        <f t="shared" si="70"/>
        <v>1</v>
      </c>
      <c r="Y201" s="67">
        <f t="shared" si="75"/>
        <v>5.8625999999999996</v>
      </c>
      <c r="Z201" s="67">
        <f t="shared" si="72"/>
        <v>6.9400000000000003E-2</v>
      </c>
      <c r="AA201" s="67">
        <f t="shared" si="58"/>
        <v>5.7931999999999997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59"/>
        <v>0838-22</v>
      </c>
      <c r="AE201" s="91" t="str">
        <f t="shared" si="60"/>
        <v>aws s3 cp s3://rtdc.mdm.uploadarchive.raw/RTDC4015/ "%USERPROFILE%\AppData\Local\Temp\OnboardLogs"\RTDC4015\2016-11-22 --exclude "*" --recursive --include "*20161122*" &amp; "%USERPROFILE%\Documents\GitHub\mrs-test-scripts\Headless Mode &amp; Sideloading\WalkAndUnGZ.bat" "%USERPROFILE%\AppData\Local\Temp\OnboardLogs"\RTDC4015\2016-11-22 &amp; aws s3 cp s3://rtdc.mdm.uploadarchive.raw/RTDC4015/ "%USERPROFILE%\AppData\Local\Temp\OnboardLogs"\RTDC4015\2016-11-23 --exclude "*" --recursive --include "*20161123*" &amp; "%USERPROFILE%\Documents\GitHub\mrs-test-scripts\Headless Mode &amp; Sideloading\WalkAndUnGZ.bat" "%USERPROFILE%\AppData\Local\Temp\OnboardLogs"\RTDC4015\2016-11-23</v>
      </c>
      <c r="AF201" s="88" t="str">
        <f t="shared" si="61"/>
        <v>"C:\Program Files (x86)\AstroGrep\AstroGrep.exe" /spath="%USERPROFILE%\AppData\Local\Temp\OnboardLogs" /stypes="app*4015*20161123*" /stext=" 01:.+((SYSTEM_STATE.+slice.+state.+changed )|(ment ac)|(system.+state.+changed )|(\[timeout)|(PRM\|1\|D)|(kpr)|(kdp)|(\|lc)|(penalty))" /e /r /s</v>
      </c>
      <c r="AG201" s="1" t="str">
        <f t="shared" si="62"/>
        <v>NW</v>
      </c>
      <c r="AH201" s="92" t="str">
        <f t="shared" si="63"/>
        <v>"%USERPROFILE%\Documents\GitHub\eaglep3\Utilities\RefineRTDCRunTimes.py" --tripid 838-22 --locoid 4015 --swversion DE.1.0.8.0 --startMP 300:58626 --initTime 2016-11-22T18:37:17 --startdatetime 2016-11-22T18:40:03 --delay 2 --endMP 204:694 --enddatetime 2016-11-22T18:56:59 --enforcementcount 1 &gt;&gt;C:\Users\stu\Documents\GitHub\eaglep3-reporting\EC\2016-11-22-refined-times.txt</v>
      </c>
      <c r="AI201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{"issue":{"subject":"","project_id":79,"tracker_id":40,"status_id":1,"priority_id":2,"assigned_to_id":23,"start_date":"2016-11-22","description":"","custom_fields":[{"id":1,"name":"Subdivision","value":"NW"},{"id":4,"name":"Milepost","value":"0.0694"},{"id":17,"name":"Train ID","value":"838-22"},{"id":16,"name":"Locomotive ID","value":"4015"},{"id":130,"name":"Impact","value":""},{"id":150,"name":"Time of Event (Mountain Time)","value":"18:56:59"},{"id":151,"name":"Denver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7" t="s">
        <v>602</v>
      </c>
      <c r="B202" s="7">
        <v>4014</v>
      </c>
      <c r="C202" s="22" t="s">
        <v>217</v>
      </c>
      <c r="D202" s="22" t="s">
        <v>402</v>
      </c>
      <c r="E202" s="13">
        <v>42696.770127314812</v>
      </c>
      <c r="F202" s="13">
        <v>42696.785671296297</v>
      </c>
      <c r="G202" s="7">
        <v>1</v>
      </c>
      <c r="H202" s="22" t="s">
        <v>405</v>
      </c>
      <c r="I202" s="13">
        <v>42696.794583333336</v>
      </c>
      <c r="J202" s="7">
        <v>0</v>
      </c>
      <c r="K202" s="109" t="str">
        <f t="shared" si="51"/>
        <v>4013/4014</v>
      </c>
      <c r="L202" s="22" t="str">
        <f>VLOOKUP(A202,'Trips&amp;Operators'!$C$1:$E$10000,3,FALSE)</f>
        <v>STAMBAUGH</v>
      </c>
      <c r="M202" s="6">
        <f t="shared" si="71"/>
        <v>8.9120370394084603E-3</v>
      </c>
      <c r="N202" s="7">
        <f t="shared" si="73"/>
        <v>12.833333336748183</v>
      </c>
      <c r="O202" s="7"/>
      <c r="P202" s="7"/>
      <c r="Q202" s="23"/>
      <c r="R202" s="23"/>
      <c r="S202" s="35">
        <f t="shared" si="74"/>
        <v>1</v>
      </c>
      <c r="T202" s="50" t="str">
        <f t="shared" si="52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17:28:59-700',mode:absolute,to:'2016-11-22 20:04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2" s="52" t="str">
        <f t="shared" si="54"/>
        <v>N</v>
      </c>
      <c r="X202" s="177">
        <f t="shared" si="70"/>
        <v>1</v>
      </c>
      <c r="Y202" s="67">
        <f t="shared" si="75"/>
        <v>9.5799999999999996E-2</v>
      </c>
      <c r="Z202" s="67">
        <f t="shared" si="72"/>
        <v>5.8928000000000003</v>
      </c>
      <c r="AA202" s="67">
        <f t="shared" si="58"/>
        <v>5.7970000000000006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59"/>
        <v>0839-22</v>
      </c>
      <c r="AE202" s="91" t="str">
        <f t="shared" si="60"/>
        <v>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 &amp; aws s3 cp s3://rtdc.mdm.uploadarchive.raw/RTDC4014/ "%USERPROFILE%\AppData\Local\Temp\OnboardLogs"\RTDC4014\2016-11-23 --exclude "*" --recursive --include "*20161123*" &amp; "%USERPROFILE%\Documents\GitHub\mrs-test-scripts\Headless Mode &amp; Sideloading\WalkAndUnGZ.bat" "%USERPROFILE%\AppData\Local\Temp\OnboardLogs"\RTDC4014\2016-11-23</v>
      </c>
      <c r="AF202" s="88" t="str">
        <f t="shared" si="61"/>
        <v>"C:\Program Files (x86)\AstroGrep\AstroGrep.exe" /spath="%USERPROFILE%\AppData\Local\Temp\OnboardLogs" /stypes="app*4014*20161123*" /stext=" 02:.+((SYSTEM_STATE.+slice.+state.+changed )|(ment ac)|(system.+state.+changed )|(\[timeout)|(PRM\|1\|D)|(kpr)|(kdp)|(\|lc)|(penalty))" /e /r /s</v>
      </c>
      <c r="AG202" s="1" t="str">
        <f t="shared" si="62"/>
        <v>NW</v>
      </c>
      <c r="AH202" s="92" t="str">
        <f t="shared" si="63"/>
        <v>"%USERPROFILE%\Documents\GitHub\eaglep3\Utilities\RefineRTDCRunTimes.py" --tripid 839-22 --locoid 4014 --swversion DE.1.0.8.0 --startMP 204:958 --initTime 2016-11-22T18:28:59 --startdatetime 2016-11-22T18:51:22 --delay 1 --endMP 300:58928 --enddatetime 2016-11-22T19:04:12 --enforcementcount 0 &gt;&gt;C:\Users\stu\Documents\GitHub\eaglep3-reporting\EC\2016-11-22-refined-times.txt</v>
      </c>
      <c r="AI202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{"issue":{"subject":"","project_id":79,"tracker_id":40,"status_id":1,"priority_id":2,"assigned_to_id":23,"start_date":"2016-11-22","description":"","custom_fields":[{"id":1,"name":"Subdivision","value":"NW"},{"id":4,"name":"Milepost","value":"5.8928"},{"id":17,"name":"Train ID","value":"839-22"},{"id":16,"name":"Locomotive ID","value":"4014"},{"id":130,"name":"Impact","value":""},{"id":150,"name":"Time of Event (Mountain Time)","value":"19:04:12"},{"id":151,"name":"Denver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611</v>
      </c>
      <c r="B203" s="7">
        <v>4015</v>
      </c>
      <c r="C203" s="22" t="s">
        <v>217</v>
      </c>
      <c r="D203" s="22" t="s">
        <v>764</v>
      </c>
      <c r="E203" s="13">
        <v>42696.818055555559</v>
      </c>
      <c r="F203" s="13">
        <v>42696.819699074076</v>
      </c>
      <c r="G203" s="7">
        <v>1</v>
      </c>
      <c r="H203" s="22" t="s">
        <v>721</v>
      </c>
      <c r="I203" s="13">
        <v>42696.831435185188</v>
      </c>
      <c r="J203" s="7">
        <v>0</v>
      </c>
      <c r="K203" s="109" t="str">
        <f t="shared" si="51"/>
        <v>4015/4016</v>
      </c>
      <c r="L203" s="22" t="str">
        <f>VLOOKUP(A203,'Trips&amp;Operators'!$C$1:$E$10000,3,FALSE)</f>
        <v>MAGEE</v>
      </c>
      <c r="M203" s="6">
        <f t="shared" si="71"/>
        <v>1.17361111115315E-2</v>
      </c>
      <c r="N203" s="7">
        <f t="shared" si="73"/>
        <v>16.90000000060536</v>
      </c>
      <c r="O203" s="7"/>
      <c r="P203" s="7"/>
      <c r="Q203" s="23"/>
      <c r="R203" s="23"/>
      <c r="S203" s="35">
        <f t="shared" si="74"/>
        <v>1</v>
      </c>
      <c r="T203" s="50" t="str">
        <f t="shared" si="52"/>
        <v>Southbound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18:38:00-700',mode:absolute,to:'2016-11-22 20:57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03" s="52" t="str">
        <f t="shared" si="54"/>
        <v>N</v>
      </c>
      <c r="X203" s="177">
        <f t="shared" ref="X203:X234" si="76">VALUE(LEFT(AD203,4))-VALUE(LEFT(AD202,4))</f>
        <v>1</v>
      </c>
      <c r="Y203" s="67">
        <f t="shared" si="75"/>
        <v>5.8611000000000004</v>
      </c>
      <c r="Z203" s="67">
        <f t="shared" si="72"/>
        <v>6.8500000000000005E-2</v>
      </c>
      <c r="AA203" s="67">
        <f t="shared" si="58"/>
        <v>5.7926000000000002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si="59"/>
        <v>0840-22</v>
      </c>
      <c r="AE203" s="91" t="str">
        <f t="shared" si="60"/>
        <v>aws s3 cp s3://rtdc.mdm.uploadarchive.raw/RTDC4015/ "%USERPROFILE%\AppData\Local\Temp\OnboardLogs"\RTDC4015\2016-11-22 --exclude "*" --recursive --include "*20161122*" &amp; "%USERPROFILE%\Documents\GitHub\mrs-test-scripts\Headless Mode &amp; Sideloading\WalkAndUnGZ.bat" "%USERPROFILE%\AppData\Local\Temp\OnboardLogs"\RTDC4015\2016-11-22 &amp; aws s3 cp s3://rtdc.mdm.uploadarchive.raw/RTDC4015/ "%USERPROFILE%\AppData\Local\Temp\OnboardLogs"\RTDC4015\2016-11-23 --exclude "*" --recursive --include "*20161123*" &amp; "%USERPROFILE%\Documents\GitHub\mrs-test-scripts\Headless Mode &amp; Sideloading\WalkAndUnGZ.bat" "%USERPROFILE%\AppData\Local\Temp\OnboardLogs"\RTDC4015\2016-11-23</v>
      </c>
      <c r="AF203" s="88" t="str">
        <f t="shared" si="61"/>
        <v>"C:\Program Files (x86)\AstroGrep\AstroGrep.exe" /spath="%USERPROFILE%\AppData\Local\Temp\OnboardLogs" /stypes="app*4015*20161123*" /stext=" 02:.+((SYSTEM_STATE.+slice.+state.+changed )|(ment ac)|(system.+state.+changed )|(\[timeout)|(PRM\|1\|D)|(kpr)|(kdp)|(\|lc)|(penalty))" /e /r /s</v>
      </c>
      <c r="AG203" s="1" t="str">
        <f t="shared" si="62"/>
        <v>NW</v>
      </c>
      <c r="AH203" s="92" t="str">
        <f t="shared" si="63"/>
        <v>"%USERPROFILE%\Documents\GitHub\eaglep3\Utilities\RefineRTDCRunTimes.py" --tripid 840-22 --locoid 4015 --swversion DE.1.0.8.0 --startMP 300:58611 --initTime 2016-11-22T19:38:00 --startdatetime 2016-11-22T19:40:22 --delay 1 --endMP 204:685 --enddatetime 2016-11-22T19:57:16 --enforcementcount 0 &gt;&gt;C:\Users\stu\Documents\GitHub\eaglep3-reporting\EC\2016-11-22-refined-times.txt</v>
      </c>
      <c r="AI203" s="119" t="str">
        <f t="shared" si="64"/>
        <v>echo {"issue":{"subject":"","project_id":79,"tracker_id":40,"status_id":1,"priority_id":2,"assigned_to_id":23,"start_date":"2016-11-22","description":"","custom_fields":[{"id":1,"name":"Subdivision","value":"NW"},{"id":4,"name":"Milepost","value":"0.0685"},{"id":17,"name":"Train ID","value":"840-22"},{"id":16,"name":"Locomotive ID","value":"4015"},{"id":130,"name":"Impact","value":""},{"id":150,"name":"Time of Event (Mountain Time)","value":"19:57:16"},{"id":151,"name":"Denver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607</v>
      </c>
      <c r="B204" s="7">
        <v>4016</v>
      </c>
      <c r="C204" s="22" t="s">
        <v>217</v>
      </c>
      <c r="D204" s="22" t="s">
        <v>765</v>
      </c>
      <c r="E204" s="13">
        <v>42696.794444444444</v>
      </c>
      <c r="F204" s="13">
        <v>42696.806631944448</v>
      </c>
      <c r="G204" s="7">
        <v>1</v>
      </c>
      <c r="H204" s="22" t="s">
        <v>405</v>
      </c>
      <c r="I204" s="13">
        <v>42696.816631944443</v>
      </c>
      <c r="J204" s="7">
        <v>0</v>
      </c>
      <c r="K204" s="109" t="str">
        <f t="shared" si="51"/>
        <v>4015/4016</v>
      </c>
      <c r="L204" s="22" t="str">
        <f>VLOOKUP(A204,'Trips&amp;Operators'!$C$1:$E$10000,3,FALSE)</f>
        <v>MAGEE</v>
      </c>
      <c r="M204" s="6">
        <f t="shared" ref="M204:M235" si="77">I204-F204</f>
        <v>9.9999999947613105E-3</v>
      </c>
      <c r="N204" s="7">
        <f t="shared" si="73"/>
        <v>14.399999992456287</v>
      </c>
      <c r="O204" s="7"/>
      <c r="P204" s="7"/>
      <c r="Q204" s="23"/>
      <c r="R204" s="23"/>
      <c r="S204" s="35">
        <f t="shared" si="74"/>
        <v>1</v>
      </c>
      <c r="T204" s="50" t="str">
        <f t="shared" si="52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https://search-rtdc-monitor-bjffxe2xuh6vdkpspy63sjmuny.us-east-1.es.amazonaws.com/_plugin/kibana/#/discover/Steve-Slow-Train-Analysis-(2080s-and-2083s)?_g=(refreshInterval:(display:Off,section:0,value:0),time:(from:'2016-11-22 18:04:00-700',mode:absolute,to:'2016-11-22 20:35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04" s="52" t="str">
        <f t="shared" si="54"/>
        <v>N</v>
      </c>
      <c r="X204" s="177">
        <f t="shared" si="76"/>
        <v>1</v>
      </c>
      <c r="Y204" s="67">
        <f t="shared" si="75"/>
        <v>9.9000000000000005E-2</v>
      </c>
      <c r="Z204" s="67">
        <f t="shared" si="72"/>
        <v>5.8928000000000003</v>
      </c>
      <c r="AA204" s="67">
        <f t="shared" si="58"/>
        <v>5.7938000000000001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si="59"/>
        <v>0841-22</v>
      </c>
      <c r="AE204" s="91" t="str">
        <f t="shared" si="60"/>
        <v>aws s3 cp s3://rtdc.mdm.uploadarchive.raw/RTDC4016/ "%USERPROFILE%\AppData\Local\Temp\OnboardLogs"\RTDC4016\2016-11-22 --exclude "*" --recursive --include "*20161122*" &amp; "%USERPROFILE%\Documents\GitHub\mrs-test-scripts\Headless Mode &amp; Sideloading\WalkAndUnGZ.bat" "%USERPROFILE%\AppData\Local\Temp\OnboardLogs"\RTDC4016\2016-11-22 &amp; aws s3 cp s3://rtdc.mdm.uploadarchive.raw/RTDC4016/ "%USERPROFILE%\AppData\Local\Temp\OnboardLogs"\RTDC4016\2016-11-23 --exclude "*" --recursive --include "*20161123*" &amp; "%USERPROFILE%\Documents\GitHub\mrs-test-scripts\Headless Mode &amp; Sideloading\WalkAndUnGZ.bat" "%USERPROFILE%\AppData\Local\Temp\OnboardLogs"\RTDC4016\2016-11-23</v>
      </c>
      <c r="AF204" s="88" t="str">
        <f t="shared" si="61"/>
        <v>"C:\Program Files (x86)\AstroGrep\AstroGrep.exe" /spath="%USERPROFILE%\AppData\Local\Temp\OnboardLogs" /stypes="app*4016*20161123*" /stext=" 02:.+((SYSTEM_STATE.+slice.+state.+changed )|(ment ac)|(system.+state.+changed )|(\[timeout)|(PRM\|1\|D)|(kpr)|(kdp)|(\|lc)|(penalty))" /e /r /s</v>
      </c>
      <c r="AG204" s="1" t="str">
        <f t="shared" si="62"/>
        <v>NW</v>
      </c>
      <c r="AH204" s="92" t="str">
        <f t="shared" ref="AH204:AH245" si="78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841-22 --locoid 4016 --swversion DE.1.0.8.0 --startMP 204:990 --initTime 2016-11-22T19:04:00 --startdatetime 2016-11-22T19:21:33 --delay 1 --endMP 300:58928 --enddatetime 2016-11-22T19:35:57 --enforcementcount 0 &gt;&gt;C:\Users\stu\Documents\GitHub\eaglep3-reporting\EC\2016-11-22-refined-times.txt</v>
      </c>
      <c r="AI204" s="119" t="str">
        <f t="shared" ref="AI204:AI245" si="79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{"issue":{"subject":"","project_id":79,"tracker_id":40,"status_id":1,"priority_id":2,"assigned_to_id":23,"start_date":"2016-11-22","description":"","custom_fields":[{"id":1,"name":"Subdivision","value":"NW"},{"id":4,"name":"Milepost","value":"5.8928"},{"id":17,"name":"Train ID","value":"841-22"},{"id":16,"name":"Locomotive ID","value":"4016"},{"id":130,"name":"Impact","value":""},{"id":150,"name":"Time of Event (Mountain Time)","value":"19:35:57"},{"id":151,"name":"Denver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618</v>
      </c>
      <c r="B205" s="7">
        <v>4015</v>
      </c>
      <c r="C205" s="22" t="s">
        <v>217</v>
      </c>
      <c r="D205" s="22" t="s">
        <v>766</v>
      </c>
      <c r="E205" s="13">
        <v>42696.858946759261</v>
      </c>
      <c r="F205" s="13">
        <v>42696.860451388886</v>
      </c>
      <c r="G205" s="7">
        <v>1</v>
      </c>
      <c r="H205" s="22" t="s">
        <v>767</v>
      </c>
      <c r="I205" s="13">
        <v>42696.871377314812</v>
      </c>
      <c r="J205" s="7">
        <v>0</v>
      </c>
      <c r="K205" s="109" t="str">
        <f t="shared" ref="K205:K245" si="80">IF(ISEVEN(B205),(B205-1)&amp;"/"&amp;B205,B205&amp;"/"&amp;(B205+1))</f>
        <v>4015/4016</v>
      </c>
      <c r="L205" s="22" t="str">
        <f>VLOOKUP(A205,'Trips&amp;Operators'!$C$1:$E$10000,3,FALSE)</f>
        <v>MAGEE</v>
      </c>
      <c r="M205" s="6">
        <f t="shared" si="77"/>
        <v>1.0925925926130731E-2</v>
      </c>
      <c r="N205" s="7">
        <f t="shared" si="73"/>
        <v>15.733333333628252</v>
      </c>
      <c r="O205" s="7"/>
      <c r="P205" s="7"/>
      <c r="Q205" s="23"/>
      <c r="R205" s="23"/>
      <c r="S205" s="35">
        <f t="shared" si="74"/>
        <v>1</v>
      </c>
      <c r="T205" s="50" t="str">
        <f t="shared" ref="T205:T245" si="81">IF(ISEVEN(LEFT(AD205,4)),"Southbound","NorthBound")</f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45" si="82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https://search-rtdc-monitor-bjffxe2xuh6vdkpspy63sjmuny.us-east-1.es.amazonaws.com/_plugin/kibana/#/discover/Steve-Slow-Train-Analysis-(2080s-and-2083s)?_g=(refreshInterval:(display:Off,section:0,value:0),time:(from:'2016-11-22 19:36:53-700',mode:absolute,to:'2016-11-22 21:54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05" s="52" t="str">
        <f t="shared" ref="W205:W245" si="83">IF(AA205&lt;IF(AG205="EC",23,5.65),"Y","N")</f>
        <v>N</v>
      </c>
      <c r="X205" s="177">
        <f t="shared" si="76"/>
        <v>1</v>
      </c>
      <c r="Y205" s="67">
        <f t="shared" si="75"/>
        <v>5.8644999999999996</v>
      </c>
      <c r="Z205" s="67">
        <f t="shared" si="72"/>
        <v>7.0099999999999996E-2</v>
      </c>
      <c r="AA205" s="67">
        <f t="shared" ref="AA205:AA268" si="84">ABS(Z205-Y205)</f>
        <v>5.7943999999999996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ref="AD205:AD245" si="85">IF(LEN(A205)=6,"0"&amp;A205,A205)</f>
        <v>0842-22</v>
      </c>
      <c r="AE205" s="91" t="str">
        <f t="shared" ref="AE205:AE245" si="86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s3://rtdc.mdm.uploadarchive.raw/RTDC4015/ "%USERPROFILE%\AppData\Local\Temp\OnboardLogs"\RTDC4015\2016-11-22 --exclude "*" --recursive --include "*20161122*" &amp; "%USERPROFILE%\Documents\GitHub\mrs-test-scripts\Headless Mode &amp; Sideloading\WalkAndUnGZ.bat" "%USERPROFILE%\AppData\Local\Temp\OnboardLogs"\RTDC4015\2016-11-22 &amp; aws s3 cp s3://rtdc.mdm.uploadarchive.raw/RTDC4015/ "%USERPROFILE%\AppData\Local\Temp\OnboardLogs"\RTDC4015\2016-11-23 --exclude "*" --recursive --include "*20161123*" &amp; "%USERPROFILE%\Documents\GitHub\mrs-test-scripts\Headless Mode &amp; Sideloading\WalkAndUnGZ.bat" "%USERPROFILE%\AppData\Local\Temp\OnboardLogs"\RTDC4015\2016-11-23</v>
      </c>
      <c r="AF205" s="88" t="str">
        <f t="shared" ref="AF205:AF245" si="87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/stypes="app*4015*20161123*" /stext=" 03:.+((SYSTEM_STATE.+slice.+state.+changed )|(ment ac)|(system.+state.+changed )|(\[timeout)|(PRM\|1\|D)|(kpr)|(kdp)|(\|lc)|(penalty))" /e /r /s</v>
      </c>
      <c r="AG205" s="1" t="str">
        <f t="shared" ref="AG205:AG245" si="88">IFERROR(IF(VALUE(LEFT(AD205,2))&lt;=2,"EC",IF(OR(VALUE(LEFT(AD205,2))=8,VALUE(LEFT(AD205,2))=18),"NW","Other")),"Other")</f>
        <v>NW</v>
      </c>
      <c r="AH205" s="92" t="str">
        <f t="shared" si="78"/>
        <v>"%USERPROFILE%\Documents\GitHub\eaglep3\Utilities\RefineRTDCRunTimes.py" --tripid 842-22 --locoid 4015 --swversion DE.1.0.8.0 --startMP 300:58645 --initTime 2016-11-22T20:36:53 --startdatetime 2016-11-22T20:39:03 --delay 1 --endMP 204:701 --enddatetime 2016-11-22T20:54:47 --enforcementcount 0 &gt;&gt;C:\Users\stu\Documents\GitHub\eaglep3-reporting\EC\2016-11-22-refined-times.txt</v>
      </c>
      <c r="AI205" s="119" t="str">
        <f t="shared" si="79"/>
        <v>echo {"issue":{"subject":"","project_id":79,"tracker_id":40,"status_id":1,"priority_id":2,"assigned_to_id":23,"start_date":"2016-11-22","description":"","custom_fields":[{"id":1,"name":"Subdivision","value":"NW"},{"id":4,"name":"Milepost","value":"0.0701"},{"id":17,"name":"Train ID","value":"842-22"},{"id":16,"name":"Locomotive ID","value":"4015"},{"id":130,"name":"Impact","value":""},{"id":150,"name":"Time of Event (Mountain Time)","value":"20:54:47"},{"id":151,"name":"Denver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617</v>
      </c>
      <c r="B206" s="7">
        <v>4016</v>
      </c>
      <c r="C206" s="22" t="s">
        <v>217</v>
      </c>
      <c r="D206" s="22" t="s">
        <v>752</v>
      </c>
      <c r="E206" s="13">
        <v>42696.840266203704</v>
      </c>
      <c r="F206" s="13">
        <v>42696.848113425927</v>
      </c>
      <c r="G206" s="7">
        <v>5</v>
      </c>
      <c r="H206" s="22" t="s">
        <v>392</v>
      </c>
      <c r="I206" s="13">
        <v>42696.857592592591</v>
      </c>
      <c r="J206" s="7">
        <v>0</v>
      </c>
      <c r="K206" s="109" t="str">
        <f t="shared" si="80"/>
        <v>4015/4016</v>
      </c>
      <c r="L206" s="22" t="str">
        <f>VLOOKUP(A206,'Trips&amp;Operators'!$C$1:$E$10000,3,FALSE)</f>
        <v>MAGEE</v>
      </c>
      <c r="M206" s="6">
        <f t="shared" si="77"/>
        <v>9.4791666633682325E-3</v>
      </c>
      <c r="N206" s="7">
        <f t="shared" si="73"/>
        <v>13.649999995250255</v>
      </c>
      <c r="O206" s="7"/>
      <c r="P206" s="7"/>
      <c r="Q206" s="23"/>
      <c r="R206" s="23"/>
      <c r="S206" s="35">
        <f t="shared" si="74"/>
        <v>1</v>
      </c>
      <c r="T206" s="50" t="str">
        <f t="shared" si="81"/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19:09:59-700',mode:absolute,to:'2016-11-22 21:34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06" s="52" t="str">
        <f t="shared" si="83"/>
        <v>N</v>
      </c>
      <c r="X206" s="177">
        <f t="shared" si="76"/>
        <v>1</v>
      </c>
      <c r="Y206" s="67">
        <f t="shared" si="75"/>
        <v>9.74E-2</v>
      </c>
      <c r="Z206" s="67">
        <f t="shared" si="72"/>
        <v>5.8954000000000004</v>
      </c>
      <c r="AA206" s="67">
        <f t="shared" si="84"/>
        <v>5.798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85"/>
        <v>0843-22</v>
      </c>
      <c r="AE206" s="91" t="str">
        <f t="shared" si="86"/>
        <v>aws s3 cp s3://rtdc.mdm.uploadarchive.raw/RTDC4016/ "%USERPROFILE%\AppData\Local\Temp\OnboardLogs"\RTDC4016\2016-11-22 --exclude "*" --recursive --include "*20161122*" &amp; "%USERPROFILE%\Documents\GitHub\mrs-test-scripts\Headless Mode &amp; Sideloading\WalkAndUnGZ.bat" "%USERPROFILE%\AppData\Local\Temp\OnboardLogs"\RTDC4016\2016-11-22 &amp; aws s3 cp s3://rtdc.mdm.uploadarchive.raw/RTDC4016/ "%USERPROFILE%\AppData\Local\Temp\OnboardLogs"\RTDC4016\2016-11-23 --exclude "*" --recursive --include "*20161123*" &amp; "%USERPROFILE%\Documents\GitHub\mrs-test-scripts\Headless Mode &amp; Sideloading\WalkAndUnGZ.bat" "%USERPROFILE%\AppData\Local\Temp\OnboardLogs"\RTDC4016\2016-11-23</v>
      </c>
      <c r="AF206" s="88" t="str">
        <f t="shared" si="87"/>
        <v>"C:\Program Files (x86)\AstroGrep\AstroGrep.exe" /spath="%USERPROFILE%\AppData\Local\Temp\OnboardLogs" /stypes="app*4016*20161123*" /stext=" 03:.+((SYSTEM_STATE.+slice.+state.+changed )|(ment ac)|(system.+state.+changed )|(\[timeout)|(PRM\|1\|D)|(kpr)|(kdp)|(\|lc)|(penalty))" /e /r /s</v>
      </c>
      <c r="AG206" s="1" t="str">
        <f t="shared" si="88"/>
        <v>NW</v>
      </c>
      <c r="AH206" s="92" t="str">
        <f t="shared" si="78"/>
        <v>"%USERPROFILE%\Documents\GitHub\eaglep3\Utilities\RefineRTDCRunTimes.py" --tripid 843-22 --locoid 4016 --swversion DE.1.0.8.0 --startMP 204:974 --initTime 2016-11-22T20:09:59 --startdatetime 2016-11-22T20:21:17 --delay 5 --endMP 300:58954 --enddatetime 2016-11-22T20:34:56 --enforcementcount 0 &gt;&gt;C:\Users\stu\Documents\GitHub\eaglep3-reporting\EC\2016-11-22-refined-times.txt</v>
      </c>
      <c r="AI206" s="119" t="str">
        <f t="shared" si="79"/>
        <v>echo {"issue":{"subject":"","project_id":79,"tracker_id":40,"status_id":1,"priority_id":2,"assigned_to_id":23,"start_date":"2016-11-22","description":"","custom_fields":[{"id":1,"name":"Subdivision","value":"NW"},{"id":4,"name":"Milepost","value":"5.8954"},{"id":17,"name":"Train ID","value":"843-22"},{"id":16,"name":"Locomotive ID","value":"4016"},{"id":130,"name":"Impact","value":""},{"id":150,"name":"Time of Event (Mountain Time)","value":"20:34:56"},{"id":151,"name":"Denver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624</v>
      </c>
      <c r="B207" s="7">
        <v>4015</v>
      </c>
      <c r="C207" s="22" t="s">
        <v>217</v>
      </c>
      <c r="D207" s="22" t="s">
        <v>758</v>
      </c>
      <c r="E207" s="13">
        <v>42696.900393518517</v>
      </c>
      <c r="F207" s="13">
        <v>42696.902048611111</v>
      </c>
      <c r="G207" s="7">
        <v>1</v>
      </c>
      <c r="H207" s="22" t="s">
        <v>768</v>
      </c>
      <c r="I207" s="13">
        <v>42696.913391203707</v>
      </c>
      <c r="J207" s="7">
        <v>0</v>
      </c>
      <c r="K207" s="109" t="str">
        <f t="shared" si="80"/>
        <v>4015/4016</v>
      </c>
      <c r="L207" s="22" t="str">
        <f>VLOOKUP(A207,'Trips&amp;Operators'!$C$1:$E$10000,3,FALSE)</f>
        <v>STAMBAUGH</v>
      </c>
      <c r="M207" s="6">
        <f t="shared" si="77"/>
        <v>1.1342592595610768E-2</v>
      </c>
      <c r="N207" s="7">
        <f t="shared" si="73"/>
        <v>16.333333337679505</v>
      </c>
      <c r="O207" s="7"/>
      <c r="P207" s="7"/>
      <c r="Q207" s="23"/>
      <c r="R207" s="23"/>
      <c r="S207" s="35">
        <f t="shared" si="74"/>
        <v>1</v>
      </c>
      <c r="T207" s="50" t="str">
        <f t="shared" si="81"/>
        <v>Southbound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20:36:34-700',mode:absolute,to:'2016-11-22 22:55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07" s="52" t="str">
        <f t="shared" si="83"/>
        <v>N</v>
      </c>
      <c r="X207" s="177">
        <f t="shared" si="76"/>
        <v>1</v>
      </c>
      <c r="Y207" s="67">
        <f t="shared" si="75"/>
        <v>5.8608000000000002</v>
      </c>
      <c r="Z207" s="67">
        <f t="shared" si="72"/>
        <v>6.8000000000000005E-2</v>
      </c>
      <c r="AA207" s="67">
        <f t="shared" si="84"/>
        <v>5.7928000000000006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85"/>
        <v>0844-22</v>
      </c>
      <c r="AE207" s="91" t="str">
        <f t="shared" si="86"/>
        <v>aws s3 cp s3://rtdc.mdm.uploadarchive.raw/RTDC4015/ "%USERPROFILE%\AppData\Local\Temp\OnboardLogs"\RTDC4015\2016-11-22 --exclude "*" --recursive --include "*20161122*" &amp; "%USERPROFILE%\Documents\GitHub\mrs-test-scripts\Headless Mode &amp; Sideloading\WalkAndUnGZ.bat" "%USERPROFILE%\AppData\Local\Temp\OnboardLogs"\RTDC4015\2016-11-22 &amp; aws s3 cp s3://rtdc.mdm.uploadarchive.raw/RTDC4015/ "%USERPROFILE%\AppData\Local\Temp\OnboardLogs"\RTDC4015\2016-11-23 --exclude "*" --recursive --include "*20161123*" &amp; "%USERPROFILE%\Documents\GitHub\mrs-test-scripts\Headless Mode &amp; Sideloading\WalkAndUnGZ.bat" "%USERPROFILE%\AppData\Local\Temp\OnboardLogs"\RTDC4015\2016-11-23</v>
      </c>
      <c r="AF207" s="88" t="str">
        <f t="shared" si="87"/>
        <v>"C:\Program Files (x86)\AstroGrep\AstroGrep.exe" /spath="%USERPROFILE%\AppData\Local\Temp\OnboardLogs" /stypes="app*4015*20161123*" /stext=" 04:.+((SYSTEM_STATE.+slice.+state.+changed )|(ment ac)|(system.+state.+changed )|(\[timeout)|(PRM\|1\|D)|(kpr)|(kdp)|(\|lc)|(penalty))" /e /r /s</v>
      </c>
      <c r="AG207" s="1" t="str">
        <f t="shared" si="88"/>
        <v>NW</v>
      </c>
      <c r="AH207" s="92" t="str">
        <f t="shared" si="78"/>
        <v>"%USERPROFILE%\Documents\GitHub\eaglep3\Utilities\RefineRTDCRunTimes.py" --tripid 844-22 --locoid 4015 --swversion DE.1.0.8.0 --startMP 300:58608 --initTime 2016-11-22T21:36:34 --startdatetime 2016-11-22T21:38:57 --delay 1 --endMP 204:680 --enddatetime 2016-11-22T21:55:17 --enforcementcount 0 &gt;&gt;C:\Users\stu\Documents\GitHub\eaglep3-reporting\EC\2016-11-22-refined-times.txt</v>
      </c>
      <c r="AI207" s="119" t="str">
        <f t="shared" si="79"/>
        <v>echo {"issue":{"subject":"","project_id":79,"tracker_id":40,"status_id":1,"priority_id":2,"assigned_to_id":23,"start_date":"2016-11-22","description":"","custom_fields":[{"id":1,"name":"Subdivision","value":"NW"},{"id":4,"name":"Milepost","value":"0.068"},{"id":17,"name":"Train ID","value":"844-22"},{"id":16,"name":"Locomotive ID","value":"4015"},{"id":130,"name":"Impact","value":""},{"id":150,"name":"Time of Event (Mountain Time)","value":"21:55:17"},{"id":151,"name":"Denver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621</v>
      </c>
      <c r="B208" s="7">
        <v>4016</v>
      </c>
      <c r="C208" s="22" t="s">
        <v>217</v>
      </c>
      <c r="D208" s="22" t="s">
        <v>769</v>
      </c>
      <c r="E208" s="13">
        <v>42696.874803240738</v>
      </c>
      <c r="F208" s="13">
        <v>42696.889780092592</v>
      </c>
      <c r="G208" s="7">
        <v>1</v>
      </c>
      <c r="H208" s="22" t="s">
        <v>747</v>
      </c>
      <c r="I208" s="13">
        <v>42696.899247685185</v>
      </c>
      <c r="J208" s="7">
        <v>0</v>
      </c>
      <c r="K208" s="109" t="str">
        <f t="shared" si="80"/>
        <v>4015/4016</v>
      </c>
      <c r="L208" s="22" t="str">
        <f>VLOOKUP(A208,'Trips&amp;Operators'!$C$1:$E$10000,3,FALSE)</f>
        <v>STAMBAUGH</v>
      </c>
      <c r="M208" s="6">
        <f t="shared" si="77"/>
        <v>9.4675925938645378E-3</v>
      </c>
      <c r="N208" s="7">
        <f t="shared" si="73"/>
        <v>13.633333335164934</v>
      </c>
      <c r="O208" s="7"/>
      <c r="P208" s="7"/>
      <c r="Q208" s="23"/>
      <c r="R208" s="23"/>
      <c r="S208" s="35">
        <f t="shared" si="74"/>
        <v>1</v>
      </c>
      <c r="T208" s="50" t="str">
        <f t="shared" si="81"/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19:59:43-700',mode:absolute,to:'2016-11-22 22:34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08" s="52" t="str">
        <f t="shared" si="83"/>
        <v>N</v>
      </c>
      <c r="X208" s="177">
        <f t="shared" si="76"/>
        <v>1</v>
      </c>
      <c r="Y208" s="67">
        <f t="shared" si="75"/>
        <v>9.9699999999999997E-2</v>
      </c>
      <c r="Z208" s="67">
        <f t="shared" si="72"/>
        <v>5.8945999999999996</v>
      </c>
      <c r="AA208" s="67">
        <f t="shared" si="84"/>
        <v>5.7948999999999993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85"/>
        <v>0845-22</v>
      </c>
      <c r="AE208" s="91" t="str">
        <f t="shared" si="86"/>
        <v>aws s3 cp s3://rtdc.mdm.uploadarchive.raw/RTDC4016/ "%USERPROFILE%\AppData\Local\Temp\OnboardLogs"\RTDC4016\2016-11-22 --exclude "*" --recursive --include "*20161122*" &amp; "%USERPROFILE%\Documents\GitHub\mrs-test-scripts\Headless Mode &amp; Sideloading\WalkAndUnGZ.bat" "%USERPROFILE%\AppData\Local\Temp\OnboardLogs"\RTDC4016\2016-11-22 &amp; aws s3 cp s3://rtdc.mdm.uploadarchive.raw/RTDC4016/ "%USERPROFILE%\AppData\Local\Temp\OnboardLogs"\RTDC4016\2016-11-23 --exclude "*" --recursive --include "*20161123*" &amp; "%USERPROFILE%\Documents\GitHub\mrs-test-scripts\Headless Mode &amp; Sideloading\WalkAndUnGZ.bat" "%USERPROFILE%\AppData\Local\Temp\OnboardLogs"\RTDC4016\2016-11-23</v>
      </c>
      <c r="AF208" s="88" t="str">
        <f t="shared" si="87"/>
        <v>"C:\Program Files (x86)\AstroGrep\AstroGrep.exe" /spath="%USERPROFILE%\AppData\Local\Temp\OnboardLogs" /stypes="app*4016*20161123*" /stext=" 04:.+((SYSTEM_STATE.+slice.+state.+changed )|(ment ac)|(system.+state.+changed )|(\[timeout)|(PRM\|1\|D)|(kpr)|(kdp)|(\|lc)|(penalty))" /e /r /s</v>
      </c>
      <c r="AG208" s="1" t="str">
        <f t="shared" si="88"/>
        <v>NW</v>
      </c>
      <c r="AH208" s="92" t="str">
        <f t="shared" si="78"/>
        <v>"%USERPROFILE%\Documents\GitHub\eaglep3\Utilities\RefineRTDCRunTimes.py" --tripid 845-22 --locoid 4016 --swversion DE.1.0.8.0 --startMP 204:997 --initTime 2016-11-22T20:59:43 --startdatetime 2016-11-22T21:21:17 --delay 1 --endMP 300:58946 --enddatetime 2016-11-22T21:34:55 --enforcementcount 0 &gt;&gt;C:\Users\stu\Documents\GitHub\eaglep3-reporting\EC\2016-11-22-refined-times.txt</v>
      </c>
      <c r="AI208" s="119" t="str">
        <f t="shared" si="79"/>
        <v>echo {"issue":{"subject":"","project_id":79,"tracker_id":40,"status_id":1,"priority_id":2,"assigned_to_id":23,"start_date":"2016-11-22","description":"","custom_fields":[{"id":1,"name":"Subdivision","value":"NW"},{"id":4,"name":"Milepost","value":"5.8946"},{"id":17,"name":"Train ID","value":"845-22"},{"id":16,"name":"Locomotive ID","value":"4016"},{"id":130,"name":"Impact","value":""},{"id":150,"name":"Time of Event (Mountain Time)","value":"21:34:55"},{"id":151,"name":"Denver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627</v>
      </c>
      <c r="B209" s="7">
        <v>4016</v>
      </c>
      <c r="C209" s="22" t="s">
        <v>217</v>
      </c>
      <c r="D209" s="22" t="s">
        <v>400</v>
      </c>
      <c r="E209" s="13">
        <v>42696.926990740743</v>
      </c>
      <c r="F209" s="13">
        <v>42696.931840277779</v>
      </c>
      <c r="G209" s="7">
        <v>1</v>
      </c>
      <c r="H209" s="22" t="s">
        <v>405</v>
      </c>
      <c r="I209" s="13">
        <v>42696.940740740742</v>
      </c>
      <c r="J209" s="7">
        <v>0</v>
      </c>
      <c r="K209" s="109" t="str">
        <f t="shared" si="80"/>
        <v>4015/4016</v>
      </c>
      <c r="L209" s="22" t="str">
        <f>VLOOKUP(A209,'Trips&amp;Operators'!$C$1:$E$10000,3,FALSE)</f>
        <v>STAMBAUGH</v>
      </c>
      <c r="M209" s="6">
        <f t="shared" si="77"/>
        <v>8.9004629626288079E-3</v>
      </c>
      <c r="N209" s="7">
        <f t="shared" si="73"/>
        <v>12.816666666185483</v>
      </c>
      <c r="O209" s="7"/>
      <c r="P209" s="7"/>
      <c r="Q209" s="23"/>
      <c r="R209" s="23"/>
      <c r="S209" s="35">
        <f t="shared" si="74"/>
        <v>1</v>
      </c>
      <c r="T209" s="50" t="str">
        <f t="shared" si="81"/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21:14:52-700',mode:absolute,to:'2016-11-22 23:34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09" s="52" t="str">
        <f t="shared" si="83"/>
        <v>N</v>
      </c>
      <c r="X209" s="177">
        <f t="shared" si="76"/>
        <v>2</v>
      </c>
      <c r="Y209" s="67">
        <f t="shared" si="75"/>
        <v>9.7100000000000006E-2</v>
      </c>
      <c r="Z209" s="67">
        <f t="shared" si="72"/>
        <v>5.8928000000000003</v>
      </c>
      <c r="AA209" s="67">
        <f t="shared" si="84"/>
        <v>5.7957000000000001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si="85"/>
        <v>0847-22</v>
      </c>
      <c r="AE209" s="91" t="str">
        <f t="shared" si="86"/>
        <v>aws s3 cp s3://rtdc.mdm.uploadarchive.raw/RTDC4016/ "%USERPROFILE%\AppData\Local\Temp\OnboardLogs"\RTDC4016\2016-11-22 --exclude "*" --recursive --include "*20161122*" &amp; "%USERPROFILE%\Documents\GitHub\mrs-test-scripts\Headless Mode &amp; Sideloading\WalkAndUnGZ.bat" "%USERPROFILE%\AppData\Local\Temp\OnboardLogs"\RTDC4016\2016-11-22 &amp; aws s3 cp s3://rtdc.mdm.uploadarchive.raw/RTDC4016/ "%USERPROFILE%\AppData\Local\Temp\OnboardLogs"\RTDC4016\2016-11-23 --exclude "*" --recursive --include "*20161123*" &amp; "%USERPROFILE%\Documents\GitHub\mrs-test-scripts\Headless Mode &amp; Sideloading\WalkAndUnGZ.bat" "%USERPROFILE%\AppData\Local\Temp\OnboardLogs"\RTDC4016\2016-11-23</v>
      </c>
      <c r="AF209" s="88" t="str">
        <f t="shared" si="87"/>
        <v>"C:\Program Files (x86)\AstroGrep\AstroGrep.exe" /spath="%USERPROFILE%\AppData\Local\Temp\OnboardLogs" /stypes="app*4016*20161123*" /stext=" 05:.+((SYSTEM_STATE.+slice.+state.+changed )|(ment ac)|(system.+state.+changed )|(\[timeout)|(PRM\|1\|D)|(kpr)|(kdp)|(\|lc)|(penalty))" /e /r /s</v>
      </c>
      <c r="AG209" s="1" t="str">
        <f t="shared" si="88"/>
        <v>NW</v>
      </c>
      <c r="AH209" s="92" t="str">
        <f t="shared" si="78"/>
        <v>"%USERPROFILE%\Documents\GitHub\eaglep3\Utilities\RefineRTDCRunTimes.py" --tripid 847-22 --locoid 4016 --swversion DE.1.0.8.0 --startMP 204:971 --initTime 2016-11-22T22:14:52 --startdatetime 2016-11-22T22:21:51 --delay 1 --endMP 300:58928 --enddatetime 2016-11-22T22:34:40 --enforcementcount 0 &gt;&gt;C:\Users\stu\Documents\GitHub\eaglep3-reporting\EC\2016-11-22-refined-times.txt</v>
      </c>
      <c r="AI209" s="119" t="str">
        <f t="shared" si="79"/>
        <v>echo {"issue":{"subject":"","project_id":79,"tracker_id":40,"status_id":1,"priority_id":2,"assigned_to_id":23,"start_date":"2016-11-22","description":"","custom_fields":[{"id":1,"name":"Subdivision","value":"NW"},{"id":4,"name":"Milepost","value":"5.8928"},{"id":17,"name":"Train ID","value":"847-22"},{"id":16,"name":"Locomotive ID","value":"4016"},{"id":130,"name":"Impact","value":""},{"id":150,"name":"Time of Event (Mountain Time)","value":"22:34:40"},{"id":151,"name":"Denver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444</v>
      </c>
      <c r="B210" s="7">
        <v>4021</v>
      </c>
      <c r="C210" s="22" t="s">
        <v>217</v>
      </c>
      <c r="D210" s="22" t="s">
        <v>697</v>
      </c>
      <c r="E210" s="13">
        <v>42696.115254629629</v>
      </c>
      <c r="F210" s="13">
        <v>42696.117094907408</v>
      </c>
      <c r="G210" s="7">
        <v>2</v>
      </c>
      <c r="H210" s="22" t="s">
        <v>269</v>
      </c>
      <c r="I210" s="13">
        <v>42696.123923611114</v>
      </c>
      <c r="J210" s="7">
        <v>0</v>
      </c>
      <c r="K210" s="109" t="str">
        <f t="shared" si="80"/>
        <v>4021/4022</v>
      </c>
      <c r="L210" s="22" t="str">
        <f>VLOOKUP(A210,'Trips&amp;Operators'!$C$1:$E$10000,3,FALSE)</f>
        <v>KILLION</v>
      </c>
      <c r="M210" s="6">
        <f t="shared" si="77"/>
        <v>6.8287037065601908E-3</v>
      </c>
      <c r="N210" s="7">
        <f t="shared" si="73"/>
        <v>9.8333333374466747</v>
      </c>
      <c r="O210" s="7"/>
      <c r="P210" s="7"/>
      <c r="Q210" s="23"/>
      <c r="R210" s="23"/>
      <c r="S210" s="35">
        <f t="shared" si="74"/>
        <v>1</v>
      </c>
      <c r="T210" s="50" t="str">
        <f t="shared" si="81"/>
        <v>Southbound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01:45:58-700',mode:absolute,to:'2016-11-22 03:58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0" s="52" t="str">
        <f t="shared" si="83"/>
        <v>Y</v>
      </c>
      <c r="X210" s="177">
        <f t="shared" si="76"/>
        <v>-545</v>
      </c>
      <c r="Y210" s="67">
        <f t="shared" si="75"/>
        <v>2.3105000000000002</v>
      </c>
      <c r="Z210" s="67">
        <f t="shared" si="72"/>
        <v>1.4500000000000001E-2</v>
      </c>
      <c r="AA210" s="67">
        <f t="shared" si="84"/>
        <v>2.2960000000000003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85"/>
        <v>0302-22</v>
      </c>
      <c r="AE210" s="91" t="str">
        <f t="shared" si="86"/>
        <v>aws s3 cp s3://rtdc.mdm.uploadarchive.raw/RTDC4021/ "%USERPROFILE%\AppData\Local\Temp\OnboardLogs"\RTDC4021\2016-11-22 --exclude "*" --recursive --include "*20161122*" &amp; "%USERPROFILE%\Documents\GitHub\mrs-test-scripts\Headless Mode &amp; Sideloading\WalkAndUnGZ.bat" "%USERPROFILE%\AppData\Local\Temp\OnboardLogs"\RTDC4021\2016-11-22 &amp; aws s3 cp s3://rtdc.mdm.uploadarchive.raw/RTDC4021/ "%USERPROFILE%\AppData\Local\Temp\OnboardLogs"\RTDC4021\2016-11-23 --exclude "*" --recursive --include "*20161123*" &amp; "%USERPROFILE%\Documents\GitHub\mrs-test-scripts\Headless Mode &amp; Sideloading\WalkAndUnGZ.bat" "%USERPROFILE%\AppData\Local\Temp\OnboardLogs"\RTDC4021\2016-11-23</v>
      </c>
      <c r="AF210" s="88" t="str">
        <f t="shared" si="87"/>
        <v>"C:\Program Files (x86)\AstroGrep\AstroGrep.exe" /spath="%USERPROFILE%\AppData\Local\Temp\OnboardLogs" /stypes="app*4021*20161122*" /stext=" 09:.+((SYSTEM_STATE.+slice.+state.+changed )|(ment ac)|(system.+state.+changed )|(\[timeout)|(PRM\|1\|D)|(kpr)|(kdp)|(\|lc)|(penalty))" /e /r /s</v>
      </c>
      <c r="AG210" s="1" t="str">
        <f t="shared" si="88"/>
        <v>Other</v>
      </c>
      <c r="AH210" s="92" t="str">
        <f t="shared" si="78"/>
        <v>"%USERPROFILE%\Documents\GitHub\eaglep3\Utilities\RefineRTDCRunTimes.py" --tripid 302-22 --locoid 4021 --swversion DE.1.0.8.0 --startMP 300:23105 --initTime 2016-11-22T02:45:58 --startdatetime 2016-11-22T02:48:37 --delay 2 --endMP 204:145 --enddatetime 2016-11-22T02:58:27 --enforcementcount 0 &gt;&gt;C:\Users\stu\Documents\GitHub\eaglep3-reporting\EC\2016-11-22-refined-times.txt</v>
      </c>
      <c r="AI210" s="119" t="str">
        <f t="shared" si="79"/>
        <v>echo {"issue":{"subject":"","project_id":79,"tracker_id":40,"status_id":1,"priority_id":2,"assigned_to_id":23,"start_date":"2016-11-22","description":"","custom_fields":[{"id":1,"name":"Subdivision","value":"Other"},{"id":4,"name":"Milepost","value":"0.0145"},{"id":17,"name":"Train ID","value":"302-22"},{"id":16,"name":"Locomotive ID","value":"4021"},{"id":130,"name":"Impact","value":""},{"id":150,"name":"Time of Event (Mountain Time)","value":"02:58:27"},{"id":151,"name":"Denver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604</v>
      </c>
      <c r="B211" s="7">
        <v>4027</v>
      </c>
      <c r="C211" s="22" t="s">
        <v>217</v>
      </c>
      <c r="D211" s="22" t="s">
        <v>343</v>
      </c>
      <c r="E211" s="13">
        <v>42696.779733796298</v>
      </c>
      <c r="F211" s="13">
        <v>42696.789872685185</v>
      </c>
      <c r="G211" s="7">
        <v>1</v>
      </c>
      <c r="H211" s="22" t="s">
        <v>698</v>
      </c>
      <c r="I211" s="13">
        <v>42696.795231481483</v>
      </c>
      <c r="J211" s="7">
        <v>0</v>
      </c>
      <c r="K211" s="109" t="str">
        <f t="shared" si="80"/>
        <v>4027/4028</v>
      </c>
      <c r="L211" s="22" t="str">
        <f>VLOOKUP(A211,'Trips&amp;Operators'!$C$1:$E$10000,3,FALSE)</f>
        <v>PERKINS</v>
      </c>
      <c r="M211" s="6">
        <f t="shared" si="77"/>
        <v>5.3587962975143455E-3</v>
      </c>
      <c r="N211" s="7">
        <f t="shared" si="73"/>
        <v>7.7166666684206575</v>
      </c>
      <c r="O211" s="7"/>
      <c r="P211" s="7"/>
      <c r="Q211" s="23"/>
      <c r="R211" s="23"/>
      <c r="S211" s="35">
        <f t="shared" si="74"/>
        <v>1</v>
      </c>
      <c r="T211" s="50" t="str">
        <f t="shared" si="81"/>
        <v>NorthBound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17:42:49-700',mode:absolute,to:'2016-11-22 20:05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11" s="52" t="str">
        <f t="shared" si="83"/>
        <v>Y</v>
      </c>
      <c r="X211" s="177">
        <f t="shared" si="76"/>
        <v>1</v>
      </c>
      <c r="Y211" s="67">
        <f t="shared" si="75"/>
        <v>4.7699999999999999E-2</v>
      </c>
      <c r="Z211" s="67">
        <f t="shared" si="72"/>
        <v>2.3304</v>
      </c>
      <c r="AA211" s="67">
        <f t="shared" si="84"/>
        <v>2.2827000000000002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85"/>
        <v>0303-22</v>
      </c>
      <c r="AE211" s="91" t="str">
        <f t="shared" si="86"/>
        <v>aws s3 cp s3://rtdc.mdm.uploadarchive.raw/RTDC4027/ "%USERPROFILE%\AppData\Local\Temp\OnboardLogs"\RTDC4027\2016-11-22 --exclude "*" --recursive --include "*20161122*" &amp; "%USERPROFILE%\Documents\GitHub\mrs-test-scripts\Headless Mode &amp; Sideloading\WalkAndUnGZ.bat" "%USERPROFILE%\AppData\Local\Temp\OnboardLogs"\RTDC4027\2016-11-22 &amp; aws s3 cp s3://rtdc.mdm.uploadarchive.raw/RTDC4027/ "%USERPROFILE%\AppData\Local\Temp\OnboardLogs"\RTDC4027\2016-11-23 --exclude "*" --recursive --include "*20161123*" &amp; "%USERPROFILE%\Documents\GitHub\mrs-test-scripts\Headless Mode &amp; Sideloading\WalkAndUnGZ.bat" "%USERPROFILE%\AppData\Local\Temp\OnboardLogs"\RTDC4027\2016-11-23</v>
      </c>
      <c r="AF211" s="88" t="str">
        <f t="shared" si="87"/>
        <v>"C:\Program Files (x86)\AstroGrep\AstroGrep.exe" /spath="%USERPROFILE%\AppData\Local\Temp\OnboardLogs" /stypes="app*4027*20161123*" /stext=" 02:.+((SYSTEM_STATE.+slice.+state.+changed )|(ment ac)|(system.+state.+changed )|(\[timeout)|(PRM\|1\|D)|(kpr)|(kdp)|(\|lc)|(penalty))" /e /r /s</v>
      </c>
      <c r="AG211" s="1" t="str">
        <f t="shared" si="88"/>
        <v>Other</v>
      </c>
      <c r="AH211" s="92" t="str">
        <f t="shared" si="78"/>
        <v>"%USERPROFILE%\Documents\GitHub\eaglep3\Utilities\RefineRTDCRunTimes.py" --tripid 303-22 --locoid 4027 --swversion DE.1.0.8.0 --startMP 204:477 --initTime 2016-11-22T18:42:49 --startdatetime 2016-11-22T18:57:25 --delay 1 --endMP 300:23304 --enddatetime 2016-11-22T19:05:08 --enforcementcount 0 &gt;&gt;C:\Users\stu\Documents\GitHub\eaglep3-reporting\EC\2016-11-22-refined-times.txt</v>
      </c>
      <c r="AI211" s="119" t="str">
        <f t="shared" si="79"/>
        <v>echo {"issue":{"subject":"","project_id":79,"tracker_id":40,"status_id":1,"priority_id":2,"assigned_to_id":23,"start_date":"2016-11-22","description":"","custom_fields":[{"id":1,"name":"Subdivision","value":"Other"},{"id":4,"name":"Milepost","value":"2.3304"},{"id":17,"name":"Train ID","value":"303-22"},{"id":16,"name":"Locomotive ID","value":"4027"},{"id":130,"name":"Impact","value":""},{"id":150,"name":"Time of Event (Mountain Time)","value":"19:05:08"},{"id":151,"name":"Denver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410</v>
      </c>
      <c r="B212" s="7">
        <v>4032</v>
      </c>
      <c r="C212" s="22" t="s">
        <v>217</v>
      </c>
      <c r="D212" s="22" t="s">
        <v>699</v>
      </c>
      <c r="E212" s="13">
        <v>42696.141250000001</v>
      </c>
      <c r="F212" s="13">
        <v>42696.142546296294</v>
      </c>
      <c r="G212" s="7">
        <v>1</v>
      </c>
      <c r="H212" s="22" t="s">
        <v>700</v>
      </c>
      <c r="I212" s="13">
        <v>42696.147511574076</v>
      </c>
      <c r="J212" s="7">
        <v>2</v>
      </c>
      <c r="K212" s="109" t="str">
        <f t="shared" si="80"/>
        <v>4031/4032</v>
      </c>
      <c r="L212" s="22" t="str">
        <f>VLOOKUP(A212,'Trips&amp;Operators'!$C$1:$E$10000,3,FALSE)</f>
        <v>MCREYNOLDS</v>
      </c>
      <c r="M212" s="6">
        <f t="shared" si="77"/>
        <v>4.9652777815936133E-3</v>
      </c>
      <c r="N212" s="7">
        <f t="shared" si="73"/>
        <v>7.1500000054948032</v>
      </c>
      <c r="O212" s="7"/>
      <c r="P212" s="7"/>
      <c r="Q212" s="23"/>
      <c r="R212" s="23"/>
      <c r="S212" s="35">
        <f t="shared" si="74"/>
        <v>1</v>
      </c>
      <c r="T212" s="50" t="str">
        <f t="shared" si="81"/>
        <v>Southbound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02:23:24-700',mode:absolute,to:'2016-11-22 04:32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2" s="52" t="str">
        <f t="shared" si="83"/>
        <v>Y</v>
      </c>
      <c r="X212" s="177">
        <f t="shared" si="76"/>
        <v>1</v>
      </c>
      <c r="Y212" s="67">
        <f t="shared" si="75"/>
        <v>2.2332999999999998</v>
      </c>
      <c r="Z212" s="67">
        <f t="shared" si="72"/>
        <v>0.92279999999999995</v>
      </c>
      <c r="AA212" s="67">
        <f t="shared" si="84"/>
        <v>1.3104999999999998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 t="shared" si="85"/>
        <v>0304-22</v>
      </c>
      <c r="AE212" s="91" t="str">
        <f t="shared" si="86"/>
        <v>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 &amp; aws s3 cp s3://rtdc.mdm.uploadarchive.raw/RTDC4032/ "%USERPROFILE%\AppData\Local\Temp\OnboardLogs"\RTDC4032\2016-11-23 --exclude "*" --recursive --include "*20161123*" &amp; "%USERPROFILE%\Documents\GitHub\mrs-test-scripts\Headless Mode &amp; Sideloading\WalkAndUnGZ.bat" "%USERPROFILE%\AppData\Local\Temp\OnboardLogs"\RTDC4032\2016-11-23</v>
      </c>
      <c r="AF212" s="88" t="str">
        <f t="shared" si="87"/>
        <v>"C:\Program Files (x86)\AstroGrep\AstroGrep.exe" /spath="%USERPROFILE%\AppData\Local\Temp\OnboardLogs" /stypes="app*4032*20161122*" /stext=" 10:.+((SYSTEM_STATE.+slice.+state.+changed )|(ment ac)|(system.+state.+changed )|(\[timeout)|(PRM\|1\|D)|(kpr)|(kdp)|(\|lc)|(penalty))" /e /r /s</v>
      </c>
      <c r="AG212" s="1" t="str">
        <f t="shared" si="88"/>
        <v>Other</v>
      </c>
      <c r="AH212" s="92" t="str">
        <f t="shared" si="78"/>
        <v>"%USERPROFILE%\Documents\GitHub\eaglep3\Utilities\RefineRTDCRunTimes.py" --tripid 304-22 --locoid 4032 --swversion DE.1.0.8.0 --startMP 300:22333 --initTime 2016-11-22T03:23:24 --startdatetime 2016-11-22T03:25:16 --delay 1 --endMP 300:9228 --enddatetime 2016-11-22T03:32:25 --enforcementcount 2 &gt;&gt;C:\Users\stu\Documents\GitHub\eaglep3-reporting\EC\2016-11-22-refined-times.txt</v>
      </c>
      <c r="AI212" s="119" t="str">
        <f t="shared" si="79"/>
        <v>echo {"issue":{"subject":"","project_id":79,"tracker_id":40,"status_id":1,"priority_id":2,"assigned_to_id":23,"start_date":"2016-11-22","description":"","custom_fields":[{"id":1,"name":"Subdivision","value":"Other"},{"id":4,"name":"Milepost","value":"0.9228"},{"id":17,"name":"Train ID","value":"304-22"},{"id":16,"name":"Locomotive ID","value":"4032"},{"id":130,"name":"Impact","value":""},{"id":150,"name":"Time of Event (Mountain Time)","value":"03:32:25"},{"id":151,"name":"Denver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609</v>
      </c>
      <c r="B213" s="7">
        <v>4022</v>
      </c>
      <c r="C213" s="22" t="s">
        <v>217</v>
      </c>
      <c r="D213" s="22" t="s">
        <v>701</v>
      </c>
      <c r="E213" s="13">
        <v>42696.80027777778</v>
      </c>
      <c r="F213" s="13">
        <v>42696.801504629628</v>
      </c>
      <c r="G213" s="7">
        <v>1</v>
      </c>
      <c r="H213" s="22" t="s">
        <v>702</v>
      </c>
      <c r="I213" s="13">
        <v>42696.80746527778</v>
      </c>
      <c r="J213" s="7">
        <v>0</v>
      </c>
      <c r="K213" s="109" t="str">
        <f t="shared" si="80"/>
        <v>4021/4022</v>
      </c>
      <c r="L213" s="22" t="str">
        <f>VLOOKUP(A213,'Trips&amp;Operators'!$C$1:$E$10000,3,FALSE)</f>
        <v>YOUNG</v>
      </c>
      <c r="M213" s="6">
        <f t="shared" si="77"/>
        <v>5.9606481518130749E-3</v>
      </c>
      <c r="N213" s="7">
        <f t="shared" si="73"/>
        <v>8.5833333386108279</v>
      </c>
      <c r="O213" s="7"/>
      <c r="P213" s="7"/>
      <c r="Q213" s="23"/>
      <c r="R213" s="23"/>
      <c r="S213" s="35">
        <f t="shared" si="74"/>
        <v>1</v>
      </c>
      <c r="T213" s="50" t="str">
        <f t="shared" si="81"/>
        <v>NorthBound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18:12:24-700',mode:absolute,to:'2016-11-22 20:22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3" s="52" t="str">
        <f t="shared" si="83"/>
        <v>Y</v>
      </c>
      <c r="X213" s="177">
        <f t="shared" si="76"/>
        <v>1</v>
      </c>
      <c r="Y213" s="67">
        <f t="shared" si="75"/>
        <v>4.0599999999999997E-2</v>
      </c>
      <c r="Z213" s="67">
        <f t="shared" si="72"/>
        <v>2.2873000000000001</v>
      </c>
      <c r="AA213" s="67">
        <f t="shared" si="84"/>
        <v>2.2467000000000001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85"/>
        <v>0305-22</v>
      </c>
      <c r="AE213" s="91" t="str">
        <f t="shared" si="86"/>
        <v>aws s3 cp s3://rtdc.mdm.uploadarchive.raw/RTDC4022/ "%USERPROFILE%\AppData\Local\Temp\OnboardLogs"\RTDC4022\2016-11-22 --exclude "*" --recursive --include "*20161122*" &amp; "%USERPROFILE%\Documents\GitHub\mrs-test-scripts\Headless Mode &amp; Sideloading\WalkAndUnGZ.bat" "%USERPROFILE%\AppData\Local\Temp\OnboardLogs"\RTDC4022\2016-11-22 &amp; aws s3 cp s3://rtdc.mdm.uploadarchive.raw/RTDC4022/ "%USERPROFILE%\AppData\Local\Temp\OnboardLogs"\RTDC4022\2016-11-23 --exclude "*" --recursive --include "*20161123*" &amp; "%USERPROFILE%\Documents\GitHub\mrs-test-scripts\Headless Mode &amp; Sideloading\WalkAndUnGZ.bat" "%USERPROFILE%\AppData\Local\Temp\OnboardLogs"\RTDC4022\2016-11-23</v>
      </c>
      <c r="AF213" s="88" t="str">
        <f t="shared" si="87"/>
        <v>"C:\Program Files (x86)\AstroGrep\AstroGrep.exe" /spath="%USERPROFILE%\AppData\Local\Temp\OnboardLogs" /stypes="app*4022*20161123*" /stext=" 02:.+((SYSTEM_STATE.+slice.+state.+changed )|(ment ac)|(system.+state.+changed )|(\[timeout)|(PRM\|1\|D)|(kpr)|(kdp)|(\|lc)|(penalty))" /e /r /s</v>
      </c>
      <c r="AG213" s="1" t="str">
        <f t="shared" si="88"/>
        <v>Other</v>
      </c>
      <c r="AH213" s="92" t="str">
        <f t="shared" si="78"/>
        <v>"%USERPROFILE%\Documents\GitHub\eaglep3\Utilities\RefineRTDCRunTimes.py" --tripid 305-22 --locoid 4022 --swversion DE.1.0.8.0 --startMP 204:406 --initTime 2016-11-22T19:12:24 --startdatetime 2016-11-22T19:14:10 --delay 1 --endMP 300:22873 --enddatetime 2016-11-22T19:22:45 --enforcementcount 0 &gt;&gt;C:\Users\stu\Documents\GitHub\eaglep3-reporting\EC\2016-11-22-refined-times.txt</v>
      </c>
      <c r="AI213" s="119" t="str">
        <f t="shared" si="79"/>
        <v>echo {"issue":{"subject":"","project_id":79,"tracker_id":40,"status_id":1,"priority_id":2,"assigned_to_id":23,"start_date":"2016-11-22","description":"","custom_fields":[{"id":1,"name":"Subdivision","value":"Other"},{"id":4,"name":"Milepost","value":"2.2873"},{"id":17,"name":"Train ID","value":"305-22"},{"id":16,"name":"Locomotive ID","value":"4022"},{"id":130,"name":"Impact","value":""},{"id":150,"name":"Time of Event (Mountain Time)","value":"19:22:45"},{"id":151,"name":"Denver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412</v>
      </c>
      <c r="B214" s="7">
        <v>4030</v>
      </c>
      <c r="C214" s="22" t="s">
        <v>217</v>
      </c>
      <c r="D214" s="22" t="s">
        <v>703</v>
      </c>
      <c r="E214" s="13">
        <v>42696.163171296299</v>
      </c>
      <c r="F214" s="13">
        <v>42696.164722222224</v>
      </c>
      <c r="G214" s="7">
        <v>1</v>
      </c>
      <c r="H214" s="22" t="s">
        <v>704</v>
      </c>
      <c r="I214" s="13">
        <v>42696.169340277775</v>
      </c>
      <c r="J214" s="7">
        <v>0</v>
      </c>
      <c r="K214" s="109" t="str">
        <f t="shared" si="80"/>
        <v>4029/4030</v>
      </c>
      <c r="L214" s="22" t="str">
        <f>VLOOKUP(A214,'Trips&amp;Operators'!$C$1:$E$10000,3,FALSE)</f>
        <v>RICHARDSON</v>
      </c>
      <c r="M214" s="6">
        <f t="shared" si="77"/>
        <v>4.6180555509636179E-3</v>
      </c>
      <c r="N214" s="7">
        <f t="shared" si="73"/>
        <v>6.6499999933876097</v>
      </c>
      <c r="O214" s="7"/>
      <c r="P214" s="7"/>
      <c r="Q214" s="23"/>
      <c r="R214" s="23"/>
      <c r="S214" s="35">
        <f t="shared" si="74"/>
        <v>1</v>
      </c>
      <c r="T214" s="50" t="str">
        <f t="shared" si="81"/>
        <v>Southbound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02:54:58-700',mode:absolute,to:'2016-11-22 05:03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14" s="52" t="str">
        <f t="shared" si="83"/>
        <v>Y</v>
      </c>
      <c r="X214" s="177">
        <f t="shared" si="76"/>
        <v>1</v>
      </c>
      <c r="Y214" s="67">
        <f t="shared" si="75"/>
        <v>2.2368999999999999</v>
      </c>
      <c r="Z214" s="67">
        <f t="shared" si="72"/>
        <v>0.34589999999999999</v>
      </c>
      <c r="AA214" s="67">
        <f t="shared" si="84"/>
        <v>1.891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 t="shared" si="85"/>
        <v>0306-22</v>
      </c>
      <c r="AE214" s="91" t="str">
        <f t="shared" si="86"/>
        <v>aws s3 cp s3://rtdc.mdm.uploadarchive.raw/RTDC4030/ "%USERPROFILE%\AppData\Local\Temp\OnboardLogs"\RTDC4030\2016-11-22 --exclude "*" --recursive --include "*20161122*" &amp; "%USERPROFILE%\Documents\GitHub\mrs-test-scripts\Headless Mode &amp; Sideloading\WalkAndUnGZ.bat" "%USERPROFILE%\AppData\Local\Temp\OnboardLogs"\RTDC4030\2016-11-22 &amp; aws s3 cp s3://rtdc.mdm.uploadarchive.raw/RTDC4030/ "%USERPROFILE%\AppData\Local\Temp\OnboardLogs"\RTDC4030\2016-11-23 --exclude "*" --recursive --include "*20161123*" &amp; "%USERPROFILE%\Documents\GitHub\mrs-test-scripts\Headless Mode &amp; Sideloading\WalkAndUnGZ.bat" "%USERPROFILE%\AppData\Local\Temp\OnboardLogs"\RTDC4030\2016-11-23</v>
      </c>
      <c r="AF214" s="88" t="str">
        <f t="shared" si="87"/>
        <v>"C:\Program Files (x86)\AstroGrep\AstroGrep.exe" /spath="%USERPROFILE%\AppData\Local\Temp\OnboardLogs" /stypes="app*4030*20161122*" /stext=" 11:.+((SYSTEM_STATE.+slice.+state.+changed )|(ment ac)|(system.+state.+changed )|(\[timeout)|(PRM\|1\|D)|(kpr)|(kdp)|(\|lc)|(penalty))" /e /r /s</v>
      </c>
      <c r="AG214" s="1" t="str">
        <f t="shared" si="88"/>
        <v>Other</v>
      </c>
      <c r="AH214" s="92" t="str">
        <f t="shared" si="78"/>
        <v>"%USERPROFILE%\Documents\GitHub\eaglep3\Utilities\RefineRTDCRunTimes.py" --tripid 306-22 --locoid 4030 --swversion DE.1.0.8.0 --startMP 300:22369 --initTime 2016-11-22T03:54:58 --startdatetime 2016-11-22T03:57:12 --delay 1 --endMP 204:3459 --enddatetime 2016-11-22T04:03:51 --enforcementcount 0 &gt;&gt;C:\Users\stu\Documents\GitHub\eaglep3-reporting\EC\2016-11-22-refined-times.txt</v>
      </c>
      <c r="AI214" s="119" t="str">
        <f t="shared" si="79"/>
        <v>echo {"issue":{"subject":"","project_id":79,"tracker_id":40,"status_id":1,"priority_id":2,"assigned_to_id":23,"start_date":"2016-11-22","description":"","custom_fields":[{"id":1,"name":"Subdivision","value":"Other"},{"id":4,"name":"Milepost","value":"0.3459"},{"id":17,"name":"Train ID","value":"306-22"},{"id":16,"name":"Locomotive ID","value":"4030"},{"id":130,"name":"Impact","value":""},{"id":150,"name":"Time of Event (Mountain Time)","value":"04:03:51"},{"id":151,"name":"Denver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612</v>
      </c>
      <c r="B215" s="7">
        <v>4046</v>
      </c>
      <c r="C215" s="22" t="s">
        <v>217</v>
      </c>
      <c r="D215" s="22" t="s">
        <v>214</v>
      </c>
      <c r="E215" s="13">
        <v>42696.819618055553</v>
      </c>
      <c r="F215" s="13">
        <v>25568.708333333332</v>
      </c>
      <c r="G215" s="7">
        <v>1</v>
      </c>
      <c r="H215" s="22" t="s">
        <v>705</v>
      </c>
      <c r="I215" s="13">
        <v>25568.708333333332</v>
      </c>
      <c r="J215" s="7">
        <v>0</v>
      </c>
      <c r="K215" s="109" t="str">
        <f t="shared" si="80"/>
        <v>4045/4046</v>
      </c>
      <c r="L215" s="22" t="str">
        <f>VLOOKUP(A215,'Trips&amp;Operators'!$C$1:$E$10000,3,FALSE)</f>
        <v>BRANDNER</v>
      </c>
      <c r="M215" s="6">
        <f t="shared" si="77"/>
        <v>0</v>
      </c>
      <c r="N215" s="7">
        <f t="shared" si="73"/>
        <v>0</v>
      </c>
      <c r="O215" s="7"/>
      <c r="P215" s="7"/>
      <c r="Q215" s="23"/>
      <c r="R215" s="23"/>
      <c r="S215" s="35">
        <f t="shared" si="74"/>
        <v>1</v>
      </c>
      <c r="T215" s="50" t="str">
        <f t="shared" si="81"/>
        <v>NorthBound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18:40:15-700',mode:absolute,to:'1969-12-31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5" s="52" t="str">
        <f t="shared" si="83"/>
        <v>Y</v>
      </c>
      <c r="X215" s="177">
        <f t="shared" si="76"/>
        <v>1</v>
      </c>
      <c r="Y215" s="67">
        <f t="shared" si="75"/>
        <v>4.6199999999999998E-2</v>
      </c>
      <c r="Z215" s="67">
        <f t="shared" si="72"/>
        <v>2.3037999999999998</v>
      </c>
      <c r="AA215" s="67">
        <f t="shared" si="84"/>
        <v>2.2576000000000001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 t="shared" si="85"/>
        <v>0307-22</v>
      </c>
      <c r="AE215" s="91" t="str">
        <f t="shared" si="86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5" s="88" t="str">
        <f t="shared" si="87"/>
        <v>"C:\Program Files (x86)\AstroGrep\AstroGrep.exe" /spath="%USERPROFILE%\AppData\Local\Temp\OnboardLogs" /stypes="app*4046*19700101*" /stext=" 00:.+((SYSTEM_STATE.+slice.+state.+changed )|(ment ac)|(system.+state.+changed )|(\[timeout)|(PRM\|1\|D)|(kpr)|(kdp)|(\|lc)|(penalty))" /e /r /s</v>
      </c>
      <c r="AG215" s="1" t="str">
        <f t="shared" si="88"/>
        <v>Other</v>
      </c>
      <c r="AH215" s="92" t="str">
        <f t="shared" si="78"/>
        <v>"%USERPROFILE%\Documents\GitHub\eaglep3\Utilities\RefineRTDCRunTimes.py" --tripid 307-22 --locoid 4046 --swversion DE.1.0.8.0 --startMP 204:462 --initTime 2016-11-22T19:40:15 --startdatetime 1969-12-31T17:00:00 --delay 1 --endMP 300:23038 --enddatetime 1969-12-31T17:00:00 --enforcementcount 0 &gt;&gt;C:\Users\stu\Documents\GitHub\eaglep3-reporting\EC\2016-11-22-refined-times.txt</v>
      </c>
      <c r="AI215" s="119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{"issue":{"subject":"","project_id":79,"tracker_id":40,"status_id":1,"priority_id":2,"assigned_to_id":23,"start_date":"1969-12-31","description":"","custom_fields":[{"id":1,"name":"Subdivision","value":"Other"},{"id":4,"name":"Milepost","value":"2.3038"},{"id":17,"name":"Train ID","value":"307-22"},{"id":16,"name":"Locomotive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448</v>
      </c>
      <c r="B216" s="7">
        <v>4001</v>
      </c>
      <c r="C216" s="22" t="s">
        <v>217</v>
      </c>
      <c r="D216" s="22" t="s">
        <v>706</v>
      </c>
      <c r="E216" s="13">
        <v>42696.175891203704</v>
      </c>
      <c r="F216" s="13">
        <v>42696.177268518521</v>
      </c>
      <c r="G216" s="7">
        <v>1</v>
      </c>
      <c r="H216" s="22" t="s">
        <v>175</v>
      </c>
      <c r="I216" s="13">
        <v>42696.18346064815</v>
      </c>
      <c r="J216" s="7">
        <v>0</v>
      </c>
      <c r="K216" s="109" t="str">
        <f t="shared" si="80"/>
        <v>4001/4002</v>
      </c>
      <c r="L216" s="22" t="str">
        <f>VLOOKUP(A216,'Trips&amp;Operators'!$C$1:$E$10000,3,FALSE)</f>
        <v>SPECTOR</v>
      </c>
      <c r="M216" s="6">
        <f t="shared" si="77"/>
        <v>6.1921296291984618E-3</v>
      </c>
      <c r="N216" s="7">
        <f t="shared" si="73"/>
        <v>8.916666666045785</v>
      </c>
      <c r="O216" s="7"/>
      <c r="P216" s="7"/>
      <c r="Q216" s="23"/>
      <c r="R216" s="23"/>
      <c r="S216" s="35">
        <f t="shared" si="74"/>
        <v>1</v>
      </c>
      <c r="T216" s="50" t="str">
        <f t="shared" si="81"/>
        <v>Southbound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03:13:17-700',mode:absolute,to:'2016-11-22 05:24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16" s="52" t="str">
        <f t="shared" si="83"/>
        <v>Y</v>
      </c>
      <c r="X216" s="177">
        <f t="shared" si="76"/>
        <v>1</v>
      </c>
      <c r="Y216" s="67">
        <f t="shared" si="75"/>
        <v>2.3182</v>
      </c>
      <c r="Z216" s="67">
        <f t="shared" si="72"/>
        <v>1.52E-2</v>
      </c>
      <c r="AA216" s="67">
        <f t="shared" si="84"/>
        <v>2.3029999999999999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 t="shared" si="85"/>
        <v>0308-22</v>
      </c>
      <c r="AE216" s="91" t="str">
        <f t="shared" si="86"/>
        <v>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 &amp; aws s3 cp s3://rtdc.mdm.uploadarchive.raw/RTDC4001/ "%USERPROFILE%\AppData\Local\Temp\OnboardLogs"\RTDC4001\2016-11-23 --exclude "*" --recursive --include "*20161123*" &amp; "%USERPROFILE%\Documents\GitHub\mrs-test-scripts\Headless Mode &amp; Sideloading\WalkAndUnGZ.bat" "%USERPROFILE%\AppData\Local\Temp\OnboardLogs"\RTDC4001\2016-11-23</v>
      </c>
      <c r="AF216" s="88" t="str">
        <f t="shared" si="87"/>
        <v>"C:\Program Files (x86)\AstroGrep\AstroGrep.exe" /spath="%USERPROFILE%\AppData\Local\Temp\OnboardLogs" /stypes="app*4001*20161122*" /stext=" 11:.+((SYSTEM_STATE.+slice.+state.+changed )|(ment ac)|(system.+state.+changed )|(\[timeout)|(PRM\|1\|D)|(kpr)|(kdp)|(\|lc)|(penalty))" /e /r /s</v>
      </c>
      <c r="AG216" s="1" t="str">
        <f t="shared" si="88"/>
        <v>Other</v>
      </c>
      <c r="AH216" s="92" t="str">
        <f t="shared" si="78"/>
        <v>"%USERPROFILE%\Documents\GitHub\eaglep3\Utilities\RefineRTDCRunTimes.py" --tripid 308-22 --locoid 4001 --swversion DE.1.0.8.0 --startMP 300:23182 --initTime 2016-11-22T04:13:17 --startdatetime 2016-11-22T04:15:16 --delay 1 --endMP 204:152 --enddatetime 2016-11-22T04:24:11 --enforcementcount 0 &gt;&gt;C:\Users\stu\Documents\GitHub\eaglep3-reporting\EC\2016-11-22-refined-times.txt</v>
      </c>
      <c r="AI216" s="119" t="str">
        <f t="shared" si="79"/>
        <v>echo {"issue":{"subject":"","project_id":79,"tracker_id":40,"status_id":1,"priority_id":2,"assigned_to_id":23,"start_date":"2016-11-22","description":"","custom_fields":[{"id":1,"name":"Subdivision","value":"Other"},{"id":4,"name":"Milepost","value":"0.0152"},{"id":17,"name":"Train ID","value":"308-22"},{"id":16,"name":"Locomotive ID","value":"4001"},{"id":130,"name":"Impact","value":""},{"id":150,"name":"Time of Event (Mountain Time)","value":"04:24:11"},{"id":151,"name":"Denver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640</v>
      </c>
      <c r="B217" s="7">
        <v>4011</v>
      </c>
      <c r="C217" s="22" t="s">
        <v>217</v>
      </c>
      <c r="D217" s="22" t="s">
        <v>198</v>
      </c>
      <c r="E217" s="13">
        <v>42697.029270833336</v>
      </c>
      <c r="F217" s="13">
        <v>42697.030868055554</v>
      </c>
      <c r="G217" s="7">
        <v>1</v>
      </c>
      <c r="H217" s="22" t="s">
        <v>707</v>
      </c>
      <c r="I217" s="13">
        <v>42697.037314814814</v>
      </c>
      <c r="J217" s="7">
        <v>0</v>
      </c>
      <c r="K217" s="109" t="str">
        <f t="shared" si="80"/>
        <v>4011/4012</v>
      </c>
      <c r="L217" s="22" t="str">
        <f>VLOOKUP(A217,'Trips&amp;Operators'!$C$1:$E$10000,3,FALSE)</f>
        <v>DAVIDSON</v>
      </c>
      <c r="M217" s="6">
        <f t="shared" si="77"/>
        <v>6.4467592601431534E-3</v>
      </c>
      <c r="N217" s="7">
        <f t="shared" si="73"/>
        <v>9.2833333346061409</v>
      </c>
      <c r="O217" s="7"/>
      <c r="P217" s="7"/>
      <c r="Q217" s="23"/>
      <c r="R217" s="23"/>
      <c r="S217" s="35">
        <f t="shared" si="74"/>
        <v>1</v>
      </c>
      <c r="T217" s="50" t="str">
        <f t="shared" si="81"/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23:42:09-700',mode:absolute,to:'2016-11-23 01:53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7" s="52" t="str">
        <f t="shared" si="83"/>
        <v>Y</v>
      </c>
      <c r="X217" s="177">
        <f t="shared" si="76"/>
        <v>1</v>
      </c>
      <c r="Y217" s="67">
        <f t="shared" si="75"/>
        <v>4.4699999999999997E-2</v>
      </c>
      <c r="Z217" s="67">
        <f t="shared" si="72"/>
        <v>2.2846000000000002</v>
      </c>
      <c r="AA217" s="67">
        <f t="shared" si="84"/>
        <v>2.2399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 t="shared" si="85"/>
        <v>0309-22</v>
      </c>
      <c r="AE217" s="91" t="str">
        <f t="shared" si="86"/>
        <v>aws s3 cp s3://rtdc.mdm.uploadarchive.raw/RTDC4011/ "%USERPROFILE%\AppData\Local\Temp\OnboardLogs"\RTDC4011\2016-11-23 --exclude "*" --recursive --include "*20161123*" &amp; "%USERPROFILE%\Documents\GitHub\mrs-test-scripts\Headless Mode &amp; Sideloading\WalkAndUnGZ.bat" "%USERPROFILE%\AppData\Local\Temp\OnboardLogs"\RTDC4011\2016-11-23 &amp; aws s3 cp s3://rtdc.mdm.uploadarchive.raw/RTDC4011/ "%USERPROFILE%\AppData\Local\Temp\OnboardLogs"\RTDC4011\2016-11-24 --exclude "*" --recursive --include "*20161124*" &amp; "%USERPROFILE%\Documents\GitHub\mrs-test-scripts\Headless Mode &amp; Sideloading\WalkAndUnGZ.bat" "%USERPROFILE%\AppData\Local\Temp\OnboardLogs"\RTDC4011\2016-11-24</v>
      </c>
      <c r="AF217" s="88" t="str">
        <f t="shared" si="87"/>
        <v>"C:\Program Files (x86)\AstroGrep\AstroGrep.exe" /spath="%USERPROFILE%\AppData\Local\Temp\OnboardLogs" /stypes="app*4011*20161123*" /stext=" 07:.+((SYSTEM_STATE.+slice.+state.+changed )|(ment ac)|(system.+state.+changed )|(\[timeout)|(PRM\|1\|D)|(kpr)|(kdp)|(\|lc)|(penalty))" /e /r /s</v>
      </c>
      <c r="AG217" s="1" t="str">
        <f t="shared" si="88"/>
        <v>Other</v>
      </c>
      <c r="AH217" s="92" t="str">
        <f t="shared" si="78"/>
        <v>"%USERPROFILE%\Documents\GitHub\eaglep3\Utilities\RefineRTDCRunTimes.py" --tripid 309-22 --locoid 4011 --swversion DE.1.0.8.0 --startMP 204:447 --initTime 2016-11-23T00:42:09 --startdatetime 2016-11-23T00:44:27 --delay 1 --endMP 300:22846 --enddatetime 2016-11-23T00:53:44 --enforcementcount 0 &gt;&gt;C:\Users\stu\Documents\GitHub\eaglep3-reporting\EC\2016-11-22-refined-times.txt</v>
      </c>
      <c r="AI217" s="119" t="str">
        <f t="shared" si="79"/>
        <v>echo {"issue":{"subject":"","project_id":79,"tracker_id":40,"status_id":1,"priority_id":2,"assigned_to_id":23,"start_date":"2016-11-23","description":"","custom_fields":[{"id":1,"name":"Subdivision","value":"Other"},{"id":4,"name":"Milepost","value":"2.2846"},{"id":17,"name":"Train ID","value":"309-22"},{"id":16,"name":"Locomotive ID","value":"4011"},{"id":130,"name":"Impact","value":""},{"id":150,"name":"Time of Event (Mountain Time)","value":"00:53:44"},{"id":151,"name":"Denver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451</v>
      </c>
      <c r="B218" s="7">
        <v>4028</v>
      </c>
      <c r="C218" s="22" t="s">
        <v>217</v>
      </c>
      <c r="D218" s="22" t="s">
        <v>708</v>
      </c>
      <c r="E218" s="13">
        <v>42696.181701388887</v>
      </c>
      <c r="F218" s="13">
        <v>42696.182858796295</v>
      </c>
      <c r="G218" s="7">
        <v>1</v>
      </c>
      <c r="H218" s="22" t="s">
        <v>266</v>
      </c>
      <c r="I218" s="13">
        <v>42696.192546296297</v>
      </c>
      <c r="J218" s="7">
        <v>0</v>
      </c>
      <c r="K218" s="109" t="str">
        <f t="shared" si="80"/>
        <v>4027/4028</v>
      </c>
      <c r="L218" s="22" t="str">
        <f>VLOOKUP(A218,'Trips&amp;Operators'!$C$1:$E$10000,3,FALSE)</f>
        <v>DAVIS</v>
      </c>
      <c r="M218" s="6">
        <f t="shared" si="77"/>
        <v>9.6875000017462298E-3</v>
      </c>
      <c r="N218" s="7">
        <f t="shared" si="73"/>
        <v>13.950000002514571</v>
      </c>
      <c r="O218" s="7"/>
      <c r="P218" s="7"/>
      <c r="Q218" s="23"/>
      <c r="R218" s="23"/>
      <c r="S218" s="35">
        <f t="shared" si="74"/>
        <v>1</v>
      </c>
      <c r="T218" s="50" t="str">
        <f t="shared" si="81"/>
        <v>Southbound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03:21:39-700',mode:absolute,to:'2016-11-22 05:37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18" s="52" t="str">
        <f t="shared" si="83"/>
        <v>Y</v>
      </c>
      <c r="X218" s="177">
        <f t="shared" si="76"/>
        <v>1</v>
      </c>
      <c r="Y218" s="67">
        <f t="shared" si="75"/>
        <v>2.3395999999999999</v>
      </c>
      <c r="Z218" s="67">
        <f t="shared" si="72"/>
        <v>1.32E-2</v>
      </c>
      <c r="AA218" s="67">
        <f t="shared" si="84"/>
        <v>2.3264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 t="shared" si="85"/>
        <v>0310-22</v>
      </c>
      <c r="AE218" s="91" t="str">
        <f t="shared" si="86"/>
        <v>aws s3 cp s3://rtdc.mdm.uploadarchive.raw/RTDC4028/ "%USERPROFILE%\AppData\Local\Temp\OnboardLogs"\RTDC4028\2016-11-22 --exclude "*" --recursive --include "*20161122*" &amp; "%USERPROFILE%\Documents\GitHub\mrs-test-scripts\Headless Mode &amp; Sideloading\WalkAndUnGZ.bat" "%USERPROFILE%\AppData\Local\Temp\OnboardLogs"\RTDC4028\2016-11-22 &amp; aws s3 cp s3://rtdc.mdm.uploadarchive.raw/RTDC4028/ "%USERPROFILE%\AppData\Local\Temp\OnboardLogs"\RTDC4028\2016-11-23 --exclude "*" --recursive --include "*20161123*" &amp; "%USERPROFILE%\Documents\GitHub\mrs-test-scripts\Headless Mode &amp; Sideloading\WalkAndUnGZ.bat" "%USERPROFILE%\AppData\Local\Temp\OnboardLogs"\RTDC4028\2016-11-23</v>
      </c>
      <c r="AF218" s="88" t="str">
        <f t="shared" si="87"/>
        <v>"C:\Program Files (x86)\AstroGrep\AstroGrep.exe" /spath="%USERPROFILE%\AppData\Local\Temp\OnboardLogs" /stypes="app*4028*20161122*" /stext=" 11:.+((SYSTEM_STATE.+slice.+state.+changed )|(ment ac)|(system.+state.+changed )|(\[timeout)|(PRM\|1\|D)|(kpr)|(kdp)|(\|lc)|(penalty))" /e /r /s</v>
      </c>
      <c r="AG218" s="1" t="str">
        <f t="shared" si="88"/>
        <v>Other</v>
      </c>
      <c r="AH218" s="92" t="str">
        <f t="shared" si="78"/>
        <v>"%USERPROFILE%\Documents\GitHub\eaglep3\Utilities\RefineRTDCRunTimes.py" --tripid 310-22 --locoid 4028 --swversion DE.1.0.8.0 --startMP 300:23396 --initTime 2016-11-22T04:21:39 --startdatetime 2016-11-22T04:23:19 --delay 1 --endMP 204:132 --enddatetime 2016-11-22T04:37:16 --enforcementcount 0 &gt;&gt;C:\Users\stu\Documents\GitHub\eaglep3-reporting\EC\2016-11-22-refined-times.txt</v>
      </c>
      <c r="AI218" s="119" t="str">
        <f t="shared" si="79"/>
        <v>echo {"issue":{"subject":"","project_id":79,"tracker_id":40,"status_id":1,"priority_id":2,"assigned_to_id":23,"start_date":"2016-11-22","description":"","custom_fields":[{"id":1,"name":"Subdivision","value":"Other"},{"id":4,"name":"Milepost","value":"0.0132"},{"id":17,"name":"Train ID","value":"310-22"},{"id":16,"name":"Locomotive ID","value":"4028"},{"id":130,"name":"Impact","value":""},{"id":150,"name":"Time of Event (Mountain Time)","value":"04:37:16"},{"id":151,"name":"Denver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641</v>
      </c>
      <c r="B219" s="7">
        <v>4031</v>
      </c>
      <c r="C219" s="22" t="s">
        <v>217</v>
      </c>
      <c r="D219" s="22" t="s">
        <v>199</v>
      </c>
      <c r="E219" s="13">
        <v>42697.045601851853</v>
      </c>
      <c r="F219" s="13">
        <v>25568.708333333332</v>
      </c>
      <c r="G219" s="7">
        <v>4</v>
      </c>
      <c r="H219" s="22" t="s">
        <v>323</v>
      </c>
      <c r="I219" s="13">
        <v>25568.708333333332</v>
      </c>
      <c r="J219" s="7">
        <v>0</v>
      </c>
      <c r="K219" s="109" t="str">
        <f t="shared" si="80"/>
        <v>4031/4032</v>
      </c>
      <c r="L219" s="22" t="str">
        <f>VLOOKUP(A219,'Trips&amp;Operators'!$C$1:$E$10000,3,FALSE)</f>
        <v>COOLAHAN</v>
      </c>
      <c r="M219" s="6">
        <f t="shared" si="77"/>
        <v>0</v>
      </c>
      <c r="N219" s="7">
        <f t="shared" si="73"/>
        <v>0</v>
      </c>
      <c r="O219" s="7"/>
      <c r="P219" s="7"/>
      <c r="Q219" s="23"/>
      <c r="R219" s="23"/>
      <c r="S219" s="35">
        <f t="shared" si="74"/>
        <v>1</v>
      </c>
      <c r="T219" s="50" t="str">
        <f t="shared" si="81"/>
        <v>NorthBound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https://search-rtdc-monitor-bjffxe2xuh6vdkpspy63sjmuny.us-east-1.es.amazonaws.com/_plugin/kibana/#/discover/Steve-Slow-Train-Analysis-(2080s-and-2083s)?_g=(refreshInterval:(display:Off,section:0,value:0),time:(from:'2016-11-23 00:05:40-700',mode:absolute,to:'1969-12-31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9" s="52" t="str">
        <f t="shared" si="83"/>
        <v>Y</v>
      </c>
      <c r="X219" s="177">
        <f t="shared" si="76"/>
        <v>1</v>
      </c>
      <c r="Y219" s="67">
        <f t="shared" si="75"/>
        <v>4.53E-2</v>
      </c>
      <c r="Z219" s="67">
        <f t="shared" si="72"/>
        <v>2.3308</v>
      </c>
      <c r="AA219" s="67">
        <f t="shared" si="84"/>
        <v>2.2854999999999999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 t="shared" si="85"/>
        <v>0311-22</v>
      </c>
      <c r="AE219" s="91" t="str">
        <f t="shared" si="86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19" s="88" t="str">
        <f t="shared" si="87"/>
        <v>"C:\Program Files (x86)\AstroGrep\AstroGrep.exe" /spath="%USERPROFILE%\AppData\Local\Temp\OnboardLogs" /stypes="app*4031*19700101*" /stext=" 00:.+((SYSTEM_STATE.+slice.+state.+changed )|(ment ac)|(system.+state.+changed )|(\[timeout)|(PRM\|1\|D)|(kpr)|(kdp)|(\|lc)|(penalty))" /e /r /s</v>
      </c>
      <c r="AG219" s="1" t="str">
        <f t="shared" si="88"/>
        <v>Other</v>
      </c>
      <c r="AH219" s="92" t="str">
        <f t="shared" si="78"/>
        <v>"%USERPROFILE%\Documents\GitHub\eaglep3\Utilities\RefineRTDCRunTimes.py" --tripid 311-22 --locoid 4031 --swversion DE.1.0.8.0 --startMP 204:453 --initTime 2016-11-23T01:05:40 --startdatetime 1969-12-31T17:00:00 --delay 4 --endMP 300:23308 --enddatetime 1969-12-31T17:00:00 --enforcementcount 0 &gt;&gt;C:\Users\stu\Documents\GitHub\eaglep3-reporting\EC\2016-11-22-refined-times.txt</v>
      </c>
      <c r="AI219" s="119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ID","value":"311-22"},{"id":16,"name":"Locomotive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643</v>
      </c>
      <c r="B220" s="7">
        <v>4038</v>
      </c>
      <c r="C220" s="22" t="s">
        <v>217</v>
      </c>
      <c r="D220" s="22" t="s">
        <v>216</v>
      </c>
      <c r="E220" s="13">
        <v>42697.06795138889</v>
      </c>
      <c r="F220" s="13">
        <v>25568.708333333332</v>
      </c>
      <c r="G220" s="7">
        <v>1</v>
      </c>
      <c r="H220" s="22" t="s">
        <v>709</v>
      </c>
      <c r="I220" s="13">
        <v>25568.708333333332</v>
      </c>
      <c r="J220" s="7">
        <v>0</v>
      </c>
      <c r="K220" s="109" t="str">
        <f t="shared" si="80"/>
        <v>4037/4038</v>
      </c>
      <c r="L220" s="22" t="str">
        <f>VLOOKUP(A220,'Trips&amp;Operators'!$C$1:$E$10000,3,FALSE)</f>
        <v>SAFIEF</v>
      </c>
      <c r="M220" s="6">
        <f t="shared" si="77"/>
        <v>0</v>
      </c>
      <c r="N220" s="7">
        <f t="shared" si="73"/>
        <v>0</v>
      </c>
      <c r="O220" s="7"/>
      <c r="P220" s="7"/>
      <c r="Q220" s="23"/>
      <c r="R220" s="23"/>
      <c r="S220" s="35">
        <f t="shared" si="74"/>
        <v>1</v>
      </c>
      <c r="T220" s="50" t="str">
        <f t="shared" si="81"/>
        <v>NorthBound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https://search-rtdc-monitor-bjffxe2xuh6vdkpspy63sjmuny.us-east-1.es.amazonaws.com/_plugin/kibana/#/discover/Steve-Slow-Train-Analysis-(2080s-and-2083s)?_g=(refreshInterval:(display:Off,section:0,value:0),time:(from:'2016-11-23 00:37:51-700',mode:absolute,to:'1969-12-31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20" s="52" t="str">
        <f t="shared" si="83"/>
        <v>Y</v>
      </c>
      <c r="X220" s="177">
        <f t="shared" si="76"/>
        <v>2</v>
      </c>
      <c r="Y220" s="67">
        <f t="shared" si="75"/>
        <v>4.6399999999999997E-2</v>
      </c>
      <c r="Z220" s="67">
        <f t="shared" si="72"/>
        <v>2.3090999999999999</v>
      </c>
      <c r="AA220" s="67">
        <f t="shared" si="84"/>
        <v>2.2626999999999997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 t="shared" si="85"/>
        <v>0313-22</v>
      </c>
      <c r="AE220" s="91" t="str">
        <f t="shared" si="86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20" s="88" t="str">
        <f t="shared" si="87"/>
        <v>"C:\Program Files (x86)\AstroGrep\AstroGrep.exe" /spath="%USERPROFILE%\AppData\Local\Temp\OnboardLogs" /stypes="app*4038*19700101*" /stext=" 00:.+((SYSTEM_STATE.+slice.+state.+changed )|(ment ac)|(system.+state.+changed )|(\[timeout)|(PRM\|1\|D)|(kpr)|(kdp)|(\|lc)|(penalty))" /e /r /s</v>
      </c>
      <c r="AG220" s="1" t="str">
        <f t="shared" si="88"/>
        <v>Other</v>
      </c>
      <c r="AH220" s="92" t="str">
        <f t="shared" si="78"/>
        <v>"%USERPROFILE%\Documents\GitHub\eaglep3\Utilities\RefineRTDCRunTimes.py" --tripid 313-22 --locoid 4038 --swversion DE.1.0.8.0 --startMP 204:464 --initTime 2016-11-23T01:37:51 --startdatetime 1969-12-31T17:00:00 --delay 1 --endMP 300:23091 --enddatetime 1969-12-31T17:00:00 --enforcementcount 0 &gt;&gt;C:\Users\stu\Documents\GitHub\eaglep3-reporting\EC\2016-11-22-refined-times.txt</v>
      </c>
      <c r="AI220" s="119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{"issue":{"subject":"","project_id":79,"tracker_id":40,"status_id":1,"priority_id":2,"assigned_to_id":23,"start_date":"1969-12-31","description":"","custom_fields":[{"id":1,"name":"Subdivision","value":"Other"},{"id":4,"name":"Milepost","value":"2.3091"},{"id":17,"name":"Train ID","value":"313-22"},{"id":16,"name":"Locomotive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387</v>
      </c>
      <c r="B221" s="7">
        <v>4040</v>
      </c>
      <c r="C221" s="22" t="s">
        <v>217</v>
      </c>
      <c r="D221" s="22" t="s">
        <v>386</v>
      </c>
      <c r="E221" s="13">
        <v>42696.097719907404</v>
      </c>
      <c r="F221" s="13">
        <v>25568.708333333332</v>
      </c>
      <c r="G221" s="7">
        <v>1</v>
      </c>
      <c r="H221" s="22" t="s">
        <v>388</v>
      </c>
      <c r="I221" s="13">
        <v>25568.708333333332</v>
      </c>
      <c r="J221" s="7">
        <v>0</v>
      </c>
      <c r="K221" s="109" t="str">
        <f t="shared" si="80"/>
        <v>4039/4040</v>
      </c>
      <c r="L221" s="22" t="str">
        <f>VLOOKUP(A221,'Trips&amp;Operators'!$C$1:$E$10000,3,FALSE)</f>
        <v>SAFIEF</v>
      </c>
      <c r="M221" s="6">
        <f t="shared" si="77"/>
        <v>0</v>
      </c>
      <c r="N221" s="7">
        <f t="shared" si="73"/>
        <v>0</v>
      </c>
      <c r="O221" s="7"/>
      <c r="P221" s="7"/>
      <c r="Q221" s="23"/>
      <c r="R221" s="23"/>
      <c r="S221" s="35">
        <f t="shared" si="74"/>
        <v>1</v>
      </c>
      <c r="T221" s="50" t="str">
        <f t="shared" si="81"/>
        <v>NorthBound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01:20:43-700',mode:absolute,to:'1969-12-31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21" s="52" t="str">
        <f t="shared" si="83"/>
        <v>Y</v>
      </c>
      <c r="X221" s="177">
        <f t="shared" si="76"/>
        <v>2</v>
      </c>
      <c r="Y221" s="67">
        <f t="shared" si="75"/>
        <v>3.85E-2</v>
      </c>
      <c r="Z221" s="67">
        <f t="shared" si="72"/>
        <v>2.3212000000000002</v>
      </c>
      <c r="AA221" s="67">
        <f t="shared" si="84"/>
        <v>2.2827000000000002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 t="shared" si="85"/>
        <v>0315-21</v>
      </c>
      <c r="AE221" s="91" t="str">
        <f t="shared" si="86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21" s="88" t="str">
        <f t="shared" si="87"/>
        <v>"C:\Program Files (x86)\AstroGrep\AstroGrep.exe" /spath="%USERPROFILE%\AppData\Local\Temp\OnboardLogs" /stypes="app*4040*19700101*" /stext=" 00:.+((SYSTEM_STATE.+slice.+state.+changed )|(ment ac)|(system.+state.+changed )|(\[timeout)|(PRM\|1\|D)|(kpr)|(kdp)|(\|lc)|(penalty))" /e /r /s</v>
      </c>
      <c r="AG221" s="1" t="str">
        <f t="shared" si="88"/>
        <v>Other</v>
      </c>
      <c r="AH221" s="92" t="str">
        <f t="shared" si="78"/>
        <v>"%USERPROFILE%\Documents\GitHub\eaglep3\Utilities\RefineRTDCRunTimes.py" --tripid 315-21 --locoid 4040 --swversion DE.1.0.8.0 --startMP 204:385 --initTime 2016-11-22T02:20:43 --startdatetime 1969-12-31T17:00:00 --delay 1 --endMP 300:23212 --enddatetime 1969-12-31T17:00:00 --enforcementcount 0 &gt;&gt;C:\Users\stu\Documents\GitHub\eaglep3-reporting\EC\2016-11-22-refined-times.txt</v>
      </c>
      <c r="AI221" s="119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{"issue":{"subject":"","project_id":79,"tracker_id":40,"status_id":1,"priority_id":2,"assigned_to_id":23,"start_date":"1969-12-31","description":"","custom_fields":[{"id":1,"name":"Subdivision","value":"Other"},{"id":4,"name":"Milepost","value":"2.3212"},{"id":17,"name":"Train ID","value":"315-21"},{"id":16,"name":"Locomotive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644</v>
      </c>
      <c r="B222" s="7">
        <v>4002</v>
      </c>
      <c r="C222" s="22" t="s">
        <v>217</v>
      </c>
      <c r="D222" s="22" t="s">
        <v>254</v>
      </c>
      <c r="E222" s="13">
        <v>42697.089907407404</v>
      </c>
      <c r="F222" s="13">
        <v>25568.708333333332</v>
      </c>
      <c r="G222" s="7">
        <v>1</v>
      </c>
      <c r="H222" s="22" t="s">
        <v>710</v>
      </c>
      <c r="I222" s="13">
        <v>25568.708333333332</v>
      </c>
      <c r="J222" s="7">
        <v>0</v>
      </c>
      <c r="K222" s="109" t="str">
        <f t="shared" si="80"/>
        <v>4001/4002</v>
      </c>
      <c r="L222" s="22" t="str">
        <f>VLOOKUP(A222,'Trips&amp;Operators'!$C$1:$E$10000,3,FALSE)</f>
        <v>NICHOLSON</v>
      </c>
      <c r="M222" s="6">
        <f t="shared" si="77"/>
        <v>0</v>
      </c>
      <c r="N222" s="7">
        <f t="shared" si="73"/>
        <v>0</v>
      </c>
      <c r="O222" s="7"/>
      <c r="P222" s="7"/>
      <c r="Q222" s="23"/>
      <c r="R222" s="23"/>
      <c r="S222" s="35">
        <f t="shared" si="74"/>
        <v>1</v>
      </c>
      <c r="T222" s="50" t="str">
        <f t="shared" si="81"/>
        <v>NorthBound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https://search-rtdc-monitor-bjffxe2xuh6vdkpspy63sjmuny.us-east-1.es.amazonaws.com/_plugin/kibana/#/discover/Steve-Slow-Train-Analysis-(2080s-and-2083s)?_g=(refreshInterval:(display:Off,section:0,value:0),time:(from:'2016-11-23 01:09:28-700',mode:absolute,to:'1969-12-31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22" s="52" t="str">
        <f t="shared" si="83"/>
        <v>Y</v>
      </c>
      <c r="X222" s="177">
        <f t="shared" si="76"/>
        <v>0</v>
      </c>
      <c r="Y222" s="67">
        <f t="shared" si="75"/>
        <v>4.4900000000000002E-2</v>
      </c>
      <c r="Z222" s="67">
        <f t="shared" si="72"/>
        <v>2.3298999999999999</v>
      </c>
      <c r="AA222" s="67">
        <f t="shared" si="84"/>
        <v>2.2849999999999997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 t="shared" si="85"/>
        <v>0315-22</v>
      </c>
      <c r="AE222" s="91" t="str">
        <f t="shared" si="86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22" s="88" t="str">
        <f t="shared" si="87"/>
        <v>"C:\Program Files (x86)\AstroGrep\AstroGrep.exe" /spath="%USERPROFILE%\AppData\Local\Temp\OnboardLogs" /stypes="app*4002*19700101*" /stext=" 00:.+((SYSTEM_STATE.+slice.+state.+changed )|(ment ac)|(system.+state.+changed )|(\[timeout)|(PRM\|1\|D)|(kpr)|(kdp)|(\|lc)|(penalty))" /e /r /s</v>
      </c>
      <c r="AG222" s="1" t="str">
        <f t="shared" si="88"/>
        <v>Other</v>
      </c>
      <c r="AH222" s="92" t="str">
        <f t="shared" si="78"/>
        <v>"%USERPROFILE%\Documents\GitHub\eaglep3\Utilities\RefineRTDCRunTimes.py" --tripid 315-22 --locoid 4002 --swversion DE.1.0.8.0 --startMP 204:449 --initTime 2016-11-23T02:09:28 --startdatetime 1969-12-31T17:00:00 --delay 1 --endMP 300:23299 --enddatetime 1969-12-31T17:00:00 --enforcementcount 0 &gt;&gt;C:\Users\stu\Documents\GitHub\eaglep3-reporting\EC\2016-11-22-refined-times.txt</v>
      </c>
      <c r="AI222" s="119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ID","value":"315-22"},{"id":16,"name":"Locomotive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512</v>
      </c>
      <c r="B223" s="7">
        <v>4043</v>
      </c>
      <c r="C223" s="22" t="s">
        <v>217</v>
      </c>
      <c r="D223" s="22" t="s">
        <v>711</v>
      </c>
      <c r="E223" s="13">
        <v>42696.457268518519</v>
      </c>
      <c r="F223" s="13">
        <v>42696.458761574075</v>
      </c>
      <c r="G223" s="7">
        <v>1</v>
      </c>
      <c r="H223" s="22" t="s">
        <v>712</v>
      </c>
      <c r="I223" s="13">
        <v>42696.464166666665</v>
      </c>
      <c r="J223" s="7">
        <v>0</v>
      </c>
      <c r="K223" s="109" t="str">
        <f t="shared" si="80"/>
        <v>4043/4044</v>
      </c>
      <c r="L223" s="22" t="str">
        <f>VLOOKUP(A223,'Trips&amp;Operators'!$C$1:$E$10000,3,FALSE)</f>
        <v>HELVIE</v>
      </c>
      <c r="M223" s="6">
        <f t="shared" si="77"/>
        <v>5.4050925900810398E-3</v>
      </c>
      <c r="N223" s="7">
        <f t="shared" si="73"/>
        <v>7.7833333297166973</v>
      </c>
      <c r="O223" s="7"/>
      <c r="P223" s="7"/>
      <c r="Q223" s="23"/>
      <c r="R223" s="23"/>
      <c r="S223" s="35">
        <f t="shared" si="74"/>
        <v>0</v>
      </c>
      <c r="T223" s="50" t="e">
        <f t="shared" si="81"/>
        <v>#VALUE!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09:58:28-700',mode:absolute,to:'2016-11-22 12:08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3" s="52" t="str">
        <f t="shared" si="83"/>
        <v>Y</v>
      </c>
      <c r="X223" s="177" t="e">
        <f t="shared" si="76"/>
        <v>#VALUE!</v>
      </c>
      <c r="Y223" s="67">
        <f t="shared" si="75"/>
        <v>2.1863000000000001</v>
      </c>
      <c r="Z223" s="67">
        <f t="shared" si="72"/>
        <v>1.37E-2</v>
      </c>
      <c r="AA223" s="67">
        <f t="shared" si="84"/>
        <v>2.1726000000000001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 t="shared" si="85"/>
        <v>50-22</v>
      </c>
      <c r="AE223" s="91" t="str">
        <f t="shared" si="86"/>
        <v>aws s3 cp s3://rtdc.mdm.uploadarchive.raw/RTDC4043/ "%USERPROFILE%\AppData\Local\Temp\OnboardLogs"\RTDC4043\2016-11-22 --exclude "*" --recursive --include "*20161122*" &amp; "%USERPROFILE%\Documents\GitHub\mrs-test-scripts\Headless Mode &amp; Sideloading\WalkAndUnGZ.bat" "%USERPROFILE%\AppData\Local\Temp\OnboardLogs"\RTDC4043\2016-11-22 &amp; aws s3 cp s3://rtdc.mdm.uploadarchive.raw/RTDC4043/ "%USERPROFILE%\AppData\Local\Temp\OnboardLogs"\RTDC4043\2016-11-23 --exclude "*" --recursive --include "*20161123*" &amp; "%USERPROFILE%\Documents\GitHub\mrs-test-scripts\Headless Mode &amp; Sideloading\WalkAndUnGZ.bat" "%USERPROFILE%\AppData\Local\Temp\OnboardLogs"\RTDC4043\2016-11-23</v>
      </c>
      <c r="AF223" s="88" t="str">
        <f t="shared" si="87"/>
        <v>"C:\Program Files (x86)\AstroGrep\AstroGrep.exe" /spath="%USERPROFILE%\AppData\Local\Temp\OnboardLogs" /stypes="app*4043*20161122*" /stext=" 18:.+((SYSTEM_STATE.+slice.+state.+changed )|(ment ac)|(system.+state.+changed )|(\[timeout)|(PRM\|1\|D)|(kpr)|(kdp)|(\|lc)|(penalty))" /e /r /s</v>
      </c>
      <c r="AG223" s="1" t="str">
        <f t="shared" si="88"/>
        <v>Other</v>
      </c>
      <c r="AH223" s="92" t="str">
        <f t="shared" si="78"/>
        <v>"%USERPROFILE%\Documents\GitHub\eaglep3\Utilities\RefineRTDCRunTimes.py" --tripid 50-22 --locoid 4043 --swversion DE.1.0.8.0 --startMP 300:21863 --initTime 2016-11-22T10:58:28 --startdatetime 2016-11-22T11:00:37 --delay 1 --endMP 204:137 --enddatetime 2016-11-22T11:08:24 --enforcementcount 0 &gt;&gt;C:\Users\stu\Documents\GitHub\eaglep3-reporting\EC\2016-11-22-refined-times.txt</v>
      </c>
      <c r="AI223" s="119" t="str">
        <f t="shared" si="79"/>
        <v>echo {"issue":{"subject":"","project_id":79,"tracker_id":40,"status_id":1,"priority_id":2,"assigned_to_id":23,"start_date":"2016-11-22","description":"","custom_fields":[{"id":1,"name":"Subdivision","value":"Other"},{"id":4,"name":"Milepost","value":"0.0137"},{"id":17,"name":"Train ID","value":"50-22"},{"id":16,"name":"Locomotive ID","value":"4043"},{"id":130,"name":"Impact","value":""},{"id":150,"name":"Time of Event (Mountain Time)","value":"11:08:24"},{"id":151,"name":"Denver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522</v>
      </c>
      <c r="B224" s="7">
        <v>4044</v>
      </c>
      <c r="C224" s="22" t="s">
        <v>217</v>
      </c>
      <c r="D224" s="22" t="s">
        <v>301</v>
      </c>
      <c r="E224" s="13">
        <v>42696.488344907404</v>
      </c>
      <c r="F224" s="13">
        <v>25568.708333333332</v>
      </c>
      <c r="G224" s="7">
        <v>1</v>
      </c>
      <c r="H224" s="22" t="s">
        <v>713</v>
      </c>
      <c r="I224" s="13">
        <v>25568.708333333332</v>
      </c>
      <c r="J224" s="7">
        <v>0</v>
      </c>
      <c r="K224" s="109" t="str">
        <f t="shared" si="80"/>
        <v>4043/4044</v>
      </c>
      <c r="L224" s="22" t="str">
        <f>VLOOKUP(A224,'Trips&amp;Operators'!$C$1:$E$10000,3,FALSE)</f>
        <v>DAVIS</v>
      </c>
      <c r="M224" s="6">
        <f t="shared" si="77"/>
        <v>0</v>
      </c>
      <c r="N224" s="7">
        <f t="shared" si="73"/>
        <v>0</v>
      </c>
      <c r="O224" s="7"/>
      <c r="P224" s="7"/>
      <c r="Q224" s="23"/>
      <c r="R224" s="23"/>
      <c r="S224" s="35">
        <f t="shared" si="74"/>
        <v>0</v>
      </c>
      <c r="T224" s="50" t="e">
        <f t="shared" si="81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10:43:13-700',mode:absolute,to:'1969-12-31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24" s="52" t="str">
        <f t="shared" si="83"/>
        <v>Y</v>
      </c>
      <c r="X224" s="177" t="e">
        <f t="shared" si="76"/>
        <v>#VALUE!</v>
      </c>
      <c r="Y224" s="67">
        <f t="shared" si="75"/>
        <v>4.5999999999999999E-2</v>
      </c>
      <c r="Z224" s="67">
        <f t="shared" si="72"/>
        <v>2.4235000000000002</v>
      </c>
      <c r="AA224" s="67">
        <f t="shared" si="84"/>
        <v>2.3775000000000004</v>
      </c>
      <c r="AB224" s="64" t="e">
        <f>VLOOKUP(A224,Enforcements!$C$7:$K$20,8,0)</f>
        <v>#N/A</v>
      </c>
      <c r="AC224" s="60" t="e">
        <f>VLOOKUP(A224,Enforcements!$C$7:$E$20,3,0)</f>
        <v>#N/A</v>
      </c>
      <c r="AD224" s="61" t="str">
        <f t="shared" si="85"/>
        <v>51-22</v>
      </c>
      <c r="AE224" s="91" t="str">
        <f t="shared" si="86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24" s="88" t="str">
        <f t="shared" si="87"/>
        <v>"C:\Program Files (x86)\AstroGrep\AstroGrep.exe" /spath="%USERPROFILE%\AppData\Local\Temp\OnboardLogs" /stypes="app*4044*19700101*" /stext=" 00:.+((SYSTEM_STATE.+slice.+state.+changed )|(ment ac)|(system.+state.+changed )|(\[timeout)|(PRM\|1\|D)|(kpr)|(kdp)|(\|lc)|(penalty))" /e /r /s</v>
      </c>
      <c r="AG224" s="1" t="str">
        <f t="shared" si="88"/>
        <v>Other</v>
      </c>
      <c r="AH224" s="92" t="str">
        <f t="shared" si="78"/>
        <v>"%USERPROFILE%\Documents\GitHub\eaglep3\Utilities\RefineRTDCRunTimes.py" --tripid 51-22 --locoid 4044 --swversion DE.1.0.8.0 --startMP 204:460 --initTime 2016-11-22T11:43:13 --startdatetime 1969-12-31T17:00:00 --delay 1 --endMP 300:24235 --enddatetime 1969-12-31T17:00:00 --enforcementcount 0 &gt;&gt;C:\Users\stu\Documents\GitHub\eaglep3-reporting\EC\2016-11-22-refined-times.txt</v>
      </c>
      <c r="AI224" s="119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{"issue":{"subject":"","project_id":79,"tracker_id":40,"status_id":1,"priority_id":2,"assigned_to_id":23,"start_date":"1969-12-31","description":"","custom_fields":[{"id":1,"name":"Subdivision","value":"Other"},{"id":4,"name":"Milepost","value":"2.4235"},{"id":17,"name":"Train ID","value":"51-22"},{"id":16,"name":"Locomotive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428</v>
      </c>
      <c r="B225" s="7">
        <v>4041</v>
      </c>
      <c r="C225" s="22" t="s">
        <v>217</v>
      </c>
      <c r="D225" s="22" t="s">
        <v>714</v>
      </c>
      <c r="E225" s="13">
        <v>42696.438437500001</v>
      </c>
      <c r="F225" s="13">
        <v>42696.439571759256</v>
      </c>
      <c r="G225" s="7">
        <v>1</v>
      </c>
      <c r="H225" s="22" t="s">
        <v>715</v>
      </c>
      <c r="I225" s="13">
        <v>42696.444456018522</v>
      </c>
      <c r="J225" s="7">
        <v>0</v>
      </c>
      <c r="K225" s="109" t="str">
        <f t="shared" si="80"/>
        <v>4041/4042</v>
      </c>
      <c r="L225" s="22" t="str">
        <f>VLOOKUP(A225,'Trips&amp;Operators'!$C$1:$E$10000,3,FALSE)</f>
        <v>BARTLETT</v>
      </c>
      <c r="M225" s="6">
        <f t="shared" si="77"/>
        <v>4.8842592659639195E-3</v>
      </c>
      <c r="N225" s="7">
        <f t="shared" si="73"/>
        <v>7.033333342988044</v>
      </c>
      <c r="O225" s="7"/>
      <c r="P225" s="7"/>
      <c r="Q225" s="23"/>
      <c r="R225" s="23"/>
      <c r="S225" s="35">
        <f t="shared" si="74"/>
        <v>0</v>
      </c>
      <c r="T225" s="50" t="e">
        <f t="shared" si="81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09:31:21-700',mode:absolute,to:'2016-11-22 11:40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5" s="52" t="str">
        <f t="shared" si="83"/>
        <v>Y</v>
      </c>
      <c r="X225" s="177" t="e">
        <f t="shared" si="76"/>
        <v>#VALUE!</v>
      </c>
      <c r="Y225" s="67">
        <f t="shared" si="75"/>
        <v>2.1768999999999998</v>
      </c>
      <c r="Z225" s="67">
        <f t="shared" ref="Z225:Z245" si="89">RIGHT(H225,LEN(H225)-4)/10000</f>
        <v>0.1183</v>
      </c>
      <c r="AA225" s="67">
        <f t="shared" si="84"/>
        <v>2.0585999999999998</v>
      </c>
      <c r="AB225" s="64" t="e">
        <f>VLOOKUP(A225,Enforcements!$C$7:$K$20,8,0)</f>
        <v>#N/A</v>
      </c>
      <c r="AC225" s="60" t="e">
        <f>VLOOKUP(A225,Enforcements!$C$7:$E$20,3,0)</f>
        <v>#N/A</v>
      </c>
      <c r="AD225" s="61" t="str">
        <f t="shared" si="85"/>
        <v>52-22</v>
      </c>
      <c r="AE225" s="91" t="str">
        <f t="shared" si="86"/>
        <v>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 &amp; aws s3 cp s3://rtdc.mdm.uploadarchive.raw/RTDC4041/ "%USERPROFILE%\AppData\Local\Temp\OnboardLogs"\RTDC4041\2016-11-23 --exclude "*" --recursive --include "*20161123*" &amp; "%USERPROFILE%\Documents\GitHub\mrs-test-scripts\Headless Mode &amp; Sideloading\WalkAndUnGZ.bat" "%USERPROFILE%\AppData\Local\Temp\OnboardLogs"\RTDC4041\2016-11-23</v>
      </c>
      <c r="AF225" s="88" t="str">
        <f t="shared" si="87"/>
        <v>"C:\Program Files (x86)\AstroGrep\AstroGrep.exe" /spath="%USERPROFILE%\AppData\Local\Temp\OnboardLogs" /stypes="app*4041*20161122*" /stext=" 17:.+((SYSTEM_STATE.+slice.+state.+changed )|(ment ac)|(system.+state.+changed )|(\[timeout)|(PRM\|1\|D)|(kpr)|(kdp)|(\|lc)|(penalty))" /e /r /s</v>
      </c>
      <c r="AG225" s="1" t="str">
        <f t="shared" si="88"/>
        <v>Other</v>
      </c>
      <c r="AH225" s="92" t="str">
        <f t="shared" si="78"/>
        <v>"%USERPROFILE%\Documents\GitHub\eaglep3\Utilities\RefineRTDCRunTimes.py" --tripid 52-22 --locoid 4041 --swversion DE.1.0.8.0 --startMP 300:21769 --initTime 2016-11-22T10:31:21 --startdatetime 2016-11-22T10:32:59 --delay 1 --endMP 204:1183 --enddatetime 2016-11-22T10:40:01 --enforcementcount 0 &gt;&gt;C:\Users\stu\Documents\GitHub\eaglep3-reporting\EC\2016-11-22-refined-times.txt</v>
      </c>
      <c r="AI225" s="119" t="str">
        <f t="shared" si="79"/>
        <v>echo {"issue":{"subject":"","project_id":79,"tracker_id":40,"status_id":1,"priority_id":2,"assigned_to_id":23,"start_date":"2016-11-22","description":"","custom_fields":[{"id":1,"name":"Subdivision","value":"Other"},{"id":4,"name":"Milepost","value":"0.1183"},{"id":17,"name":"Train ID","value":"52-22"},{"id":16,"name":"Locomotive ID","value":"4041"},{"id":130,"name":"Impact","value":""},{"id":150,"name":"Time of Event (Mountain Time)","value":"10:40:01"},{"id":151,"name":"Denver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515</v>
      </c>
      <c r="B226" s="7">
        <v>4042</v>
      </c>
      <c r="C226" s="22" t="s">
        <v>217</v>
      </c>
      <c r="D226" s="22" t="s">
        <v>716</v>
      </c>
      <c r="E226" s="13">
        <v>42696.467175925929</v>
      </c>
      <c r="F226" s="13">
        <v>25568.708333333332</v>
      </c>
      <c r="G226" s="7">
        <v>1</v>
      </c>
      <c r="H226" s="22" t="s">
        <v>717</v>
      </c>
      <c r="I226" s="13">
        <v>25568.708333333332</v>
      </c>
      <c r="J226" s="7">
        <v>0</v>
      </c>
      <c r="K226" s="109" t="str">
        <f t="shared" si="80"/>
        <v>4041/4042</v>
      </c>
      <c r="L226" s="22" t="str">
        <f>VLOOKUP(A226,'Trips&amp;Operators'!$C$1:$E$10000,3,FALSE)</f>
        <v>CUSHING</v>
      </c>
      <c r="M226" s="6">
        <f t="shared" si="77"/>
        <v>0</v>
      </c>
      <c r="N226" s="7">
        <f t="shared" ref="N226:N245" si="90">24*60*SUM($M226:$M226)</f>
        <v>0</v>
      </c>
      <c r="O226" s="7"/>
      <c r="P226" s="7"/>
      <c r="Q226" s="23"/>
      <c r="R226" s="23"/>
      <c r="S226" s="35">
        <f t="shared" ref="S226:S245" si="91">SUM(U226:U226)/IF(AG226="EC",12,1)</f>
        <v>0</v>
      </c>
      <c r="T226" s="50" t="e">
        <f t="shared" si="81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10:12:44-700',mode:absolute,to:'1969-12-31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26" s="52" t="str">
        <f t="shared" si="83"/>
        <v>Y</v>
      </c>
      <c r="X226" s="177" t="e">
        <f t="shared" si="76"/>
        <v>#VALUE!</v>
      </c>
      <c r="Y226" s="67">
        <f t="shared" ref="Y226:Y245" si="92">RIGHT(D226,LEN(D226)-4)/10000</f>
        <v>0.1186</v>
      </c>
      <c r="Z226" s="67">
        <f t="shared" si="89"/>
        <v>2.4224000000000001</v>
      </c>
      <c r="AA226" s="67">
        <f t="shared" si="84"/>
        <v>2.3038000000000003</v>
      </c>
      <c r="AB226" s="64" t="e">
        <f>VLOOKUP(A226,Enforcements!$C$7:$K$20,8,0)</f>
        <v>#N/A</v>
      </c>
      <c r="AC226" s="60" t="e">
        <f>VLOOKUP(A226,Enforcements!$C$7:$E$20,3,0)</f>
        <v>#N/A</v>
      </c>
      <c r="AD226" s="61" t="str">
        <f t="shared" si="85"/>
        <v>53-22</v>
      </c>
      <c r="AE226" s="91" t="str">
        <f t="shared" si="86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26" s="88" t="str">
        <f t="shared" si="87"/>
        <v>"C:\Program Files (x86)\AstroGrep\AstroGrep.exe" /spath="%USERPROFILE%\AppData\Local\Temp\OnboardLogs" /stypes="app*4042*19700101*" /stext=" 00:.+((SYSTEM_STATE.+slice.+state.+changed )|(ment ac)|(system.+state.+changed )|(\[timeout)|(PRM\|1\|D)|(kpr)|(kdp)|(\|lc)|(penalty))" /e /r /s</v>
      </c>
      <c r="AG226" s="1" t="str">
        <f t="shared" si="88"/>
        <v>Other</v>
      </c>
      <c r="AH226" s="92" t="str">
        <f t="shared" si="78"/>
        <v>"%USERPROFILE%\Documents\GitHub\eaglep3\Utilities\RefineRTDCRunTimes.py" --tripid 53-22 --locoid 4042 --swversion DE.1.0.8.0 --startMP 204:1186 --initTime 2016-11-22T11:12:44 --startdatetime 1969-12-31T17:00:00 --delay 1 --endMP 300:24224 --enddatetime 1969-12-31T17:00:00 --enforcementcount 0 &gt;&gt;C:\Users\stu\Documents\GitHub\eaglep3-reporting\EC\2016-11-22-refined-times.txt</v>
      </c>
      <c r="AI226" s="119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{"issue":{"subject":"","project_id":79,"tracker_id":40,"status_id":1,"priority_id":2,"assigned_to_id":23,"start_date":"1969-12-31","description":"","custom_fields":[{"id":1,"name":"Subdivision","value":"Other"},{"id":4,"name":"Milepost","value":"2.4224"},{"id":17,"name":"Train ID","value":"53-22"},{"id":16,"name":"Locomotive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579</v>
      </c>
      <c r="B227" s="7">
        <v>4029</v>
      </c>
      <c r="C227" s="22" t="s">
        <v>217</v>
      </c>
      <c r="D227" s="22" t="s">
        <v>718</v>
      </c>
      <c r="E227" s="13">
        <v>42696.716666666667</v>
      </c>
      <c r="F227" s="13">
        <v>25568.708333333332</v>
      </c>
      <c r="G227" s="7">
        <v>1</v>
      </c>
      <c r="H227" s="22" t="s">
        <v>384</v>
      </c>
      <c r="I227" s="13">
        <v>25568.708333333332</v>
      </c>
      <c r="J227" s="7">
        <v>0</v>
      </c>
      <c r="K227" s="109" t="str">
        <f t="shared" si="80"/>
        <v>4029/4030</v>
      </c>
      <c r="L227" s="22" t="str">
        <f>VLOOKUP(A227,'Trips&amp;Operators'!$C$1:$E$10000,3,FALSE)</f>
        <v>CRAYTON</v>
      </c>
      <c r="M227" s="6">
        <f t="shared" si="77"/>
        <v>0</v>
      </c>
      <c r="N227" s="7">
        <f t="shared" si="90"/>
        <v>0</v>
      </c>
      <c r="O227" s="7"/>
      <c r="P227" s="7"/>
      <c r="Q227" s="23"/>
      <c r="R227" s="23"/>
      <c r="S227" s="35">
        <f t="shared" si="91"/>
        <v>0</v>
      </c>
      <c r="T227" s="50" t="e">
        <f t="shared" si="81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16:12:00-700',mode:absolute,to:'1969-12-31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27" s="52" t="str">
        <f t="shared" si="83"/>
        <v>Y</v>
      </c>
      <c r="X227" s="177" t="e">
        <f t="shared" si="76"/>
        <v>#VALUE!</v>
      </c>
      <c r="Y227" s="67">
        <f t="shared" si="92"/>
        <v>0.14879999999999999</v>
      </c>
      <c r="Z227" s="67">
        <f t="shared" si="89"/>
        <v>2.3302</v>
      </c>
      <c r="AA227" s="67">
        <f t="shared" si="84"/>
        <v>2.1814</v>
      </c>
      <c r="AB227" s="64" t="e">
        <f>VLOOKUP(A227,Enforcements!$C$7:$K$20,8,0)</f>
        <v>#N/A</v>
      </c>
      <c r="AC227" s="60" t="e">
        <f>VLOOKUP(A227,Enforcements!$C$7:$E$20,3,0)</f>
        <v>#N/A</v>
      </c>
      <c r="AD227" s="61" t="str">
        <f t="shared" si="85"/>
        <v>55-22</v>
      </c>
      <c r="AE227" s="91" t="str">
        <f t="shared" si="86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27" s="88" t="str">
        <f t="shared" si="87"/>
        <v>"C:\Program Files (x86)\AstroGrep\AstroGrep.exe" /spath="%USERPROFILE%\AppData\Local\Temp\OnboardLogs" /stypes="app*4029*19700101*" /stext=" 00:.+((SYSTEM_STATE.+slice.+state.+changed )|(ment ac)|(system.+state.+changed )|(\[timeout)|(PRM\|1\|D)|(kpr)|(kdp)|(\|lc)|(penalty))" /e /r /s</v>
      </c>
      <c r="AG227" s="1" t="str">
        <f t="shared" si="88"/>
        <v>Other</v>
      </c>
      <c r="AH227" s="92" t="str">
        <f t="shared" si="78"/>
        <v>"%USERPROFILE%\Documents\GitHub\eaglep3\Utilities\RefineRTDCRunTimes.py" --tripid 55-22 --locoid 4029 --swversion DE.1.0.8.0 --startMP 204:1488 --initTime 2016-11-22T17:12:00 --startdatetime 1969-12-31T17:00:00 --delay 1 --endMP 300:23302 --enddatetime 1969-12-31T17:00:00 --enforcementcount 0 &gt;&gt;C:\Users\stu\Documents\GitHub\eaglep3-reporting\EC\2016-11-22-refined-times.txt</v>
      </c>
      <c r="AI227" s="119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ID","value":"55-22"},{"id":16,"name":"Locomotive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587</v>
      </c>
      <c r="B228" s="7">
        <v>4043</v>
      </c>
      <c r="C228" s="22" t="s">
        <v>217</v>
      </c>
      <c r="D228" s="22" t="s">
        <v>719</v>
      </c>
      <c r="E228" s="13">
        <v>42696.734942129631</v>
      </c>
      <c r="F228" s="13">
        <v>42696.739594907405</v>
      </c>
      <c r="G228" s="7">
        <v>6</v>
      </c>
      <c r="H228" s="22" t="s">
        <v>720</v>
      </c>
      <c r="I228" s="13">
        <v>42696.745243055557</v>
      </c>
      <c r="J228" s="7">
        <v>0</v>
      </c>
      <c r="K228" s="109" t="str">
        <f t="shared" si="80"/>
        <v>4043/4044</v>
      </c>
      <c r="L228" s="22" t="str">
        <f>VLOOKUP(A228,'Trips&amp;Operators'!$C$1:$E$10000,3,FALSE)</f>
        <v>SAFIEF</v>
      </c>
      <c r="M228" s="6">
        <f t="shared" si="77"/>
        <v>5.6481481515220366E-3</v>
      </c>
      <c r="N228" s="7">
        <f t="shared" si="90"/>
        <v>8.1333333381917328</v>
      </c>
      <c r="O228" s="7"/>
      <c r="P228" s="7"/>
      <c r="Q228" s="23"/>
      <c r="R228" s="23"/>
      <c r="S228" s="35">
        <f t="shared" si="91"/>
        <v>0</v>
      </c>
      <c r="T228" s="50" t="e">
        <f t="shared" si="81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16:38:19-700',mode:absolute,to:'2016-11-22 18:53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8" s="52" t="str">
        <f t="shared" si="83"/>
        <v>Y</v>
      </c>
      <c r="X228" s="177" t="e">
        <f t="shared" si="76"/>
        <v>#VALUE!</v>
      </c>
      <c r="Y228" s="67">
        <f t="shared" si="92"/>
        <v>2.3203</v>
      </c>
      <c r="Z228" s="67">
        <f t="shared" si="89"/>
        <v>1.46E-2</v>
      </c>
      <c r="AA228" s="67">
        <f t="shared" si="84"/>
        <v>2.3056999999999999</v>
      </c>
      <c r="AB228" s="64" t="e">
        <f>VLOOKUP(A228,Enforcements!$C$7:$K$20,8,0)</f>
        <v>#N/A</v>
      </c>
      <c r="AC228" s="60" t="e">
        <f>VLOOKUP(A228,Enforcements!$C$7:$E$20,3,0)</f>
        <v>#N/A</v>
      </c>
      <c r="AD228" s="61" t="str">
        <f t="shared" si="85"/>
        <v>68-22</v>
      </c>
      <c r="AE228" s="91" t="str">
        <f t="shared" si="86"/>
        <v>aws s3 cp s3://rtdc.mdm.uploadarchive.raw/RTDC4043/ "%USERPROFILE%\AppData\Local\Temp\OnboardLogs"\RTDC4043\2016-11-22 --exclude "*" --recursive --include "*20161122*" &amp; "%USERPROFILE%\Documents\GitHub\mrs-test-scripts\Headless Mode &amp; Sideloading\WalkAndUnGZ.bat" "%USERPROFILE%\AppData\Local\Temp\OnboardLogs"\RTDC4043\2016-11-22 &amp; aws s3 cp s3://rtdc.mdm.uploadarchive.raw/RTDC4043/ "%USERPROFILE%\AppData\Local\Temp\OnboardLogs"\RTDC4043\2016-11-23 --exclude "*" --recursive --include "*20161123*" &amp; "%USERPROFILE%\Documents\GitHub\mrs-test-scripts\Headless Mode &amp; Sideloading\WalkAndUnGZ.bat" "%USERPROFILE%\AppData\Local\Temp\OnboardLogs"\RTDC4043\2016-11-23</v>
      </c>
      <c r="AF228" s="88" t="str">
        <f t="shared" si="87"/>
        <v>"C:\Program Files (x86)\AstroGrep\AstroGrep.exe" /spath="%USERPROFILE%\AppData\Local\Temp\OnboardLogs" /stypes="app*4043*20161123*" /stext=" 00:.+((SYSTEM_STATE.+slice.+state.+changed )|(ment ac)|(system.+state.+changed )|(\[timeout)|(PRM\|1\|D)|(kpr)|(kdp)|(\|lc)|(penalty))" /e /r /s</v>
      </c>
      <c r="AG228" s="1" t="str">
        <f t="shared" si="88"/>
        <v>Other</v>
      </c>
      <c r="AH228" s="92" t="str">
        <f t="shared" si="78"/>
        <v>"%USERPROFILE%\Documents\GitHub\eaglep3\Utilities\RefineRTDCRunTimes.py" --tripid 68-22 --locoid 4043 --swversion DE.1.0.8.0 --startMP 300:23203 --initTime 2016-11-22T17:38:19 --startdatetime 2016-11-22T17:45:01 --delay 6 --endMP 204:146 --enddatetime 2016-11-22T17:53:09 --enforcementcount 0 &gt;&gt;C:\Users\stu\Documents\GitHub\eaglep3-reporting\EC\2016-11-22-refined-times.txt</v>
      </c>
      <c r="AI228" s="119" t="str">
        <f t="shared" si="79"/>
        <v>echo {"issue":{"subject":"","project_id":79,"tracker_id":40,"status_id":1,"priority_id":2,"assigned_to_id":23,"start_date":"2016-11-22","description":"","custom_fields":[{"id":1,"name":"Subdivision","value":"Other"},{"id":4,"name":"Milepost","value":"0.0146"},{"id":17,"name":"Train ID","value":"68-22"},{"id":16,"name":"Locomotive ID","value":"4043"},{"id":130,"name":"Impact","value":""},{"id":150,"name":"Time of Event (Mountain Time)","value":"17:53:09"},{"id":151,"name":"Denver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598</v>
      </c>
      <c r="B229" s="7">
        <v>4042</v>
      </c>
      <c r="C229" s="22" t="s">
        <v>217</v>
      </c>
      <c r="D229" s="22" t="s">
        <v>721</v>
      </c>
      <c r="E229" s="13">
        <v>42696.761469907404</v>
      </c>
      <c r="F229" s="13">
        <v>25568.708333333332</v>
      </c>
      <c r="G229" s="7">
        <v>1</v>
      </c>
      <c r="H229" s="22" t="s">
        <v>385</v>
      </c>
      <c r="I229" s="13">
        <v>25568.708333333332</v>
      </c>
      <c r="J229" s="7">
        <v>0</v>
      </c>
      <c r="K229" s="109" t="str">
        <f t="shared" si="80"/>
        <v>4041/4042</v>
      </c>
      <c r="L229" s="22" t="str">
        <f>VLOOKUP(A229,'Trips&amp;Operators'!$C$1:$E$10000,3,FALSE)</f>
        <v>STEWART</v>
      </c>
      <c r="M229" s="6">
        <f t="shared" si="77"/>
        <v>0</v>
      </c>
      <c r="N229" s="7">
        <f t="shared" si="90"/>
        <v>0</v>
      </c>
      <c r="O229" s="7"/>
      <c r="P229" s="7"/>
      <c r="Q229" s="23"/>
      <c r="R229" s="23"/>
      <c r="S229" s="35">
        <f t="shared" si="91"/>
        <v>0</v>
      </c>
      <c r="T229" s="50" t="e">
        <f t="shared" si="81"/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17:16:31-700',mode:absolute,to:'1969-12-31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29" s="52" t="str">
        <f t="shared" si="83"/>
        <v>Y</v>
      </c>
      <c r="X229" s="177" t="e">
        <f t="shared" si="76"/>
        <v>#VALUE!</v>
      </c>
      <c r="Y229" s="67">
        <f t="shared" si="92"/>
        <v>6.8500000000000005E-2</v>
      </c>
      <c r="Z229" s="67">
        <f t="shared" si="89"/>
        <v>2.331</v>
      </c>
      <c r="AA229" s="67">
        <f t="shared" si="84"/>
        <v>2.2625000000000002</v>
      </c>
      <c r="AB229" s="64" t="e">
        <f>VLOOKUP(A229,Enforcements!$C$7:$K$20,8,0)</f>
        <v>#N/A</v>
      </c>
      <c r="AC229" s="60" t="e">
        <f>VLOOKUP(A229,Enforcements!$C$7:$E$20,3,0)</f>
        <v>#N/A</v>
      </c>
      <c r="AD229" s="61" t="str">
        <f t="shared" si="85"/>
        <v>69-22</v>
      </c>
      <c r="AE229" s="91" t="str">
        <f t="shared" si="86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29" s="88" t="str">
        <f t="shared" si="87"/>
        <v>"C:\Program Files (x86)\AstroGrep\AstroGrep.exe" /spath="%USERPROFILE%\AppData\Local\Temp\OnboardLogs" /stypes="app*4042*19700101*" /stext=" 00:.+((SYSTEM_STATE.+slice.+state.+changed )|(ment ac)|(system.+state.+changed )|(\[timeout)|(PRM\|1\|D)|(kpr)|(kdp)|(\|lc)|(penalty))" /e /r /s</v>
      </c>
      <c r="AG229" s="1" t="str">
        <f t="shared" si="88"/>
        <v>Other</v>
      </c>
      <c r="AH229" s="92" t="str">
        <f t="shared" si="78"/>
        <v>"%USERPROFILE%\Documents\GitHub\eaglep3\Utilities\RefineRTDCRunTimes.py" --tripid 69-22 --locoid 4042 --swversion DE.1.0.8.0 --startMP 204:685 --initTime 2016-11-22T18:16:31 --startdatetime 1969-12-31T17:00:00 --delay 1 --endMP 300:23310 --enddatetime 1969-12-31T17:00:00 --enforcementcount 0 &gt;&gt;C:\Users\stu\Documents\GitHub\eaglep3-reporting\EC\2016-11-22-refined-times.txt</v>
      </c>
      <c r="AI229" s="119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ID","value":"69-22"},{"id":16,"name":"Locomotive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594</v>
      </c>
      <c r="B230" s="7">
        <v>4010</v>
      </c>
      <c r="C230" s="22" t="s">
        <v>217</v>
      </c>
      <c r="D230" s="22" t="s">
        <v>722</v>
      </c>
      <c r="E230" s="13">
        <v>42696.747824074075</v>
      </c>
      <c r="F230" s="13">
        <v>42696.74931712963</v>
      </c>
      <c r="G230" s="7">
        <v>1</v>
      </c>
      <c r="H230" s="22" t="s">
        <v>723</v>
      </c>
      <c r="I230" s="13">
        <v>42696.756423611114</v>
      </c>
      <c r="J230" s="7">
        <v>0</v>
      </c>
      <c r="K230" s="109" t="str">
        <f t="shared" si="80"/>
        <v>4009/4010</v>
      </c>
      <c r="L230" s="22" t="str">
        <f>VLOOKUP(A230,'Trips&amp;Operators'!$C$1:$E$10000,3,FALSE)</f>
        <v>LALONDE</v>
      </c>
      <c r="M230" s="6">
        <f t="shared" si="77"/>
        <v>7.1064814837882295E-3</v>
      </c>
      <c r="N230" s="7">
        <f t="shared" si="90"/>
        <v>10.233333336655051</v>
      </c>
      <c r="O230" s="7"/>
      <c r="P230" s="7"/>
      <c r="Q230" s="23"/>
      <c r="R230" s="23"/>
      <c r="S230" s="35">
        <f t="shared" si="91"/>
        <v>0</v>
      </c>
      <c r="T230" s="50" t="e">
        <f t="shared" si="81"/>
        <v>#VALUE!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16:56:52-700',mode:absolute,to:'2016-11-22 19:09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30" s="52" t="str">
        <f t="shared" si="83"/>
        <v>Y</v>
      </c>
      <c r="X230" s="177" t="e">
        <f t="shared" si="76"/>
        <v>#VALUE!</v>
      </c>
      <c r="Y230" s="67">
        <f t="shared" si="92"/>
        <v>2.1911</v>
      </c>
      <c r="Z230" s="67">
        <f t="shared" si="89"/>
        <v>0.1245</v>
      </c>
      <c r="AA230" s="67">
        <f t="shared" si="84"/>
        <v>2.0666000000000002</v>
      </c>
      <c r="AB230" s="64" t="e">
        <f>VLOOKUP(A230,Enforcements!$C$7:$K$20,8,0)</f>
        <v>#N/A</v>
      </c>
      <c r="AC230" s="60" t="e">
        <f>VLOOKUP(A230,Enforcements!$C$7:$E$20,3,0)</f>
        <v>#N/A</v>
      </c>
      <c r="AD230" s="61" t="str">
        <f t="shared" si="85"/>
        <v>70-22</v>
      </c>
      <c r="AE230" s="91" t="str">
        <f t="shared" si="86"/>
        <v>aws s3 cp s3://rtdc.mdm.uploadarchive.raw/RTDC4010/ "%USERPROFILE%\AppData\Local\Temp\OnboardLogs"\RTDC4010\2016-11-22 --exclude "*" --recursive --include "*20161122*" &amp; "%USERPROFILE%\Documents\GitHub\mrs-test-scripts\Headless Mode &amp; Sideloading\WalkAndUnGZ.bat" "%USERPROFILE%\AppData\Local\Temp\OnboardLogs"\RTDC4010\2016-11-22 &amp; aws s3 cp s3://rtdc.mdm.uploadarchive.raw/RTDC4010/ "%USERPROFILE%\AppData\Local\Temp\OnboardLogs"\RTDC4010\2016-11-23 --exclude "*" --recursive --include "*20161123*" &amp; "%USERPROFILE%\Documents\GitHub\mrs-test-scripts\Headless Mode &amp; Sideloading\WalkAndUnGZ.bat" "%USERPROFILE%\AppData\Local\Temp\OnboardLogs"\RTDC4010\2016-11-23</v>
      </c>
      <c r="AF230" s="88" t="str">
        <f t="shared" si="87"/>
        <v>"C:\Program Files (x86)\AstroGrep\AstroGrep.exe" /spath="%USERPROFILE%\AppData\Local\Temp\OnboardLogs" /stypes="app*4010*20161123*" /stext=" 01:.+((SYSTEM_STATE.+slice.+state.+changed )|(ment ac)|(system.+state.+changed )|(\[timeout)|(PRM\|1\|D)|(kpr)|(kdp)|(\|lc)|(penalty))" /e /r /s</v>
      </c>
      <c r="AG230" s="1" t="str">
        <f t="shared" si="88"/>
        <v>Other</v>
      </c>
      <c r="AH230" s="92" t="str">
        <f t="shared" si="78"/>
        <v>"%USERPROFILE%\Documents\GitHub\eaglep3\Utilities\RefineRTDCRunTimes.py" --tripid 70-22 --locoid 4010 --swversion DE.1.0.8.0 --startMP 300:21911 --initTime 2016-11-22T17:56:52 --startdatetime 2016-11-22T17:59:01 --delay 1 --endMP 204:1245 --enddatetime 2016-11-22T18:09:15 --enforcementcount 0 &gt;&gt;C:\Users\stu\Documents\GitHub\eaglep3-reporting\EC\2016-11-22-refined-times.txt</v>
      </c>
      <c r="AI230" s="119" t="str">
        <f t="shared" si="79"/>
        <v>echo {"issue":{"subject":"","project_id":79,"tracker_id":40,"status_id":1,"priority_id":2,"assigned_to_id":23,"start_date":"2016-11-22","description":"","custom_fields":[{"id":1,"name":"Subdivision","value":"Other"},{"id":4,"name":"Milepost","value":"0.1245"},{"id":17,"name":"Train ID","value":"70-22"},{"id":16,"name":"Locomotive ID","value":"4010"},{"id":130,"name":"Impact","value":""},{"id":150,"name":"Time of Event (Mountain Time)","value":"18:09:15"},{"id":151,"name":"Denver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591</v>
      </c>
      <c r="B231" s="7">
        <v>4052</v>
      </c>
      <c r="C231" s="22" t="s">
        <v>217</v>
      </c>
      <c r="D231" s="22" t="s">
        <v>724</v>
      </c>
      <c r="E231" s="13">
        <v>42696.74459490741</v>
      </c>
      <c r="F231" s="13">
        <v>42696.751087962963</v>
      </c>
      <c r="G231" s="7">
        <v>9</v>
      </c>
      <c r="H231" s="22" t="s">
        <v>389</v>
      </c>
      <c r="I231" s="13">
        <v>42696.759756944448</v>
      </c>
      <c r="J231" s="7">
        <v>0</v>
      </c>
      <c r="K231" s="109" t="str">
        <f t="shared" si="80"/>
        <v>4051/4052</v>
      </c>
      <c r="L231" s="22" t="str">
        <f>VLOOKUP(A231,'Trips&amp;Operators'!$C$1:$E$10000,3,FALSE)</f>
        <v>ROMERO</v>
      </c>
      <c r="M231" s="6">
        <f t="shared" si="77"/>
        <v>8.668981485243421E-3</v>
      </c>
      <c r="N231" s="7">
        <f t="shared" si="90"/>
        <v>12.483333338750526</v>
      </c>
      <c r="O231" s="7"/>
      <c r="P231" s="7"/>
      <c r="Q231" s="23"/>
      <c r="R231" s="23"/>
      <c r="S231" s="35">
        <f t="shared" si="91"/>
        <v>0</v>
      </c>
      <c r="T231" s="50" t="e">
        <f t="shared" si="81"/>
        <v>#VALUE!</v>
      </c>
      <c r="U231" s="17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16:52:13-700',mode:absolute,to:'2016-11-22 19:14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1" s="52" t="str">
        <f t="shared" si="83"/>
        <v>Y</v>
      </c>
      <c r="X231" s="177" t="e">
        <f t="shared" si="76"/>
        <v>#VALUE!</v>
      </c>
      <c r="Y231" s="67">
        <f t="shared" si="92"/>
        <v>2.3298000000000001</v>
      </c>
      <c r="Z231" s="67">
        <f t="shared" si="89"/>
        <v>0.1173</v>
      </c>
      <c r="AA231" s="67">
        <f t="shared" si="84"/>
        <v>2.2124999999999999</v>
      </c>
      <c r="AB231" s="64" t="e">
        <f>VLOOKUP(A231,Enforcements!$C$7:$K$20,8,0)</f>
        <v>#N/A</v>
      </c>
      <c r="AC231" s="60" t="e">
        <f>VLOOKUP(A231,Enforcements!$C$7:$E$20,3,0)</f>
        <v>#N/A</v>
      </c>
      <c r="AD231" s="61" t="str">
        <f t="shared" si="85"/>
        <v>72-22</v>
      </c>
      <c r="AE231" s="91" t="str">
        <f t="shared" si="86"/>
        <v>aws s3 cp s3://rtdc.mdm.uploadarchive.raw/RTDC4052/ "%USERPROFILE%\AppData\Local\Temp\OnboardLogs"\RTDC4052\2016-11-22 --exclude "*" --recursive --include "*20161122*" &amp; "%USERPROFILE%\Documents\GitHub\mrs-test-scripts\Headless Mode &amp; Sideloading\WalkAndUnGZ.bat" "%USERPROFILE%\AppData\Local\Temp\OnboardLogs"\RTDC4052\2016-11-22 &amp; aws s3 cp s3://rtdc.mdm.uploadarchive.raw/RTDC4052/ "%USERPROFILE%\AppData\Local\Temp\OnboardLogs"\RTDC4052\2016-11-23 --exclude "*" --recursive --include "*20161123*" &amp; "%USERPROFILE%\Documents\GitHub\mrs-test-scripts\Headless Mode &amp; Sideloading\WalkAndUnGZ.bat" "%USERPROFILE%\AppData\Local\Temp\OnboardLogs"\RTDC4052\2016-11-23</v>
      </c>
      <c r="AF231" s="88" t="str">
        <f t="shared" si="87"/>
        <v>"C:\Program Files (x86)\AstroGrep\AstroGrep.exe" /spath="%USERPROFILE%\AppData\Local\Temp\OnboardLogs" /stypes="app*4052*20161123*" /stext=" 01:.+((SYSTEM_STATE.+slice.+state.+changed )|(ment ac)|(system.+state.+changed )|(\[timeout)|(PRM\|1\|D)|(kpr)|(kdp)|(\|lc)|(penalty))" /e /r /s</v>
      </c>
      <c r="AG231" s="1" t="str">
        <f t="shared" si="88"/>
        <v>Other</v>
      </c>
      <c r="AH231" s="92" t="str">
        <f t="shared" si="78"/>
        <v>"%USERPROFILE%\Documents\GitHub\eaglep3\Utilities\RefineRTDCRunTimes.py" --tripid 72-22 --locoid 4052 --swversion DE.1.0.8.0 --startMP 300:23298 --initTime 2016-11-22T17:52:13 --startdatetime 2016-11-22T18:01:34 --delay 9 --endMP 204:1173 --enddatetime 2016-11-22T18:14:03 --enforcementcount 0 &gt;&gt;C:\Users\stu\Documents\GitHub\eaglep3-reporting\EC\2016-11-22-refined-times.txt</v>
      </c>
      <c r="AI231" s="119" t="str">
        <f t="shared" si="79"/>
        <v>echo {"issue":{"subject":"","project_id":79,"tracker_id":40,"status_id":1,"priority_id":2,"assigned_to_id":23,"start_date":"2016-11-22","description":"","custom_fields":[{"id":1,"name":"Subdivision","value":"Other"},{"id":4,"name":"Milepost","value":"0.1173"},{"id":17,"name":"Train ID","value":"72-22"},{"id":16,"name":"Locomotive ID","value":"4052"},{"id":130,"name":"Impact","value":""},{"id":150,"name":"Time of Event (Mountain Time)","value":"18:14:03"},{"id":151,"name":"Denver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437</v>
      </c>
      <c r="B232" s="7">
        <v>4041</v>
      </c>
      <c r="C232" s="22" t="s">
        <v>217</v>
      </c>
      <c r="D232" s="22" t="s">
        <v>725</v>
      </c>
      <c r="E232" s="13">
        <v>42696.744432870371</v>
      </c>
      <c r="F232" s="13">
        <v>42696.74596064815</v>
      </c>
      <c r="G232" s="7">
        <v>1</v>
      </c>
      <c r="H232" s="22" t="s">
        <v>726</v>
      </c>
      <c r="I232" s="13">
        <v>42696.754918981482</v>
      </c>
      <c r="J232" s="7">
        <v>1</v>
      </c>
      <c r="K232" s="109" t="str">
        <f t="shared" si="80"/>
        <v>4041/4042</v>
      </c>
      <c r="L232" s="22" t="str">
        <f>VLOOKUP(A232,'Trips&amp;Operators'!$C$1:$E$10000,3,FALSE)</f>
        <v>NICHOLSON</v>
      </c>
      <c r="M232" s="6">
        <f t="shared" si="77"/>
        <v>8.9583333319751546E-3</v>
      </c>
      <c r="N232" s="7">
        <f t="shared" si="90"/>
        <v>12.899999998044223</v>
      </c>
      <c r="O232" s="7"/>
      <c r="P232" s="7"/>
      <c r="Q232" s="23"/>
      <c r="R232" s="23"/>
      <c r="S232" s="35">
        <f t="shared" si="91"/>
        <v>0</v>
      </c>
      <c r="T232" s="50" t="e">
        <f t="shared" si="81"/>
        <v>#VALUE!</v>
      </c>
      <c r="U232" s="17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16:51:59-700',mode:absolute,to:'2016-11-22 19:07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32" s="52" t="str">
        <f t="shared" si="83"/>
        <v>Y</v>
      </c>
      <c r="X232" s="177" t="e">
        <f t="shared" si="76"/>
        <v>#VALUE!</v>
      </c>
      <c r="Y232" s="67">
        <f t="shared" si="92"/>
        <v>2.1307999999999998</v>
      </c>
      <c r="Z232" s="67">
        <f t="shared" si="89"/>
        <v>4.41E-2</v>
      </c>
      <c r="AA232" s="67">
        <f t="shared" si="84"/>
        <v>2.0867</v>
      </c>
      <c r="AB232" s="64" t="e">
        <f>VLOOKUP(A232,Enforcements!$C$7:$K$20,8,0)</f>
        <v>#N/A</v>
      </c>
      <c r="AC232" s="60" t="e">
        <f>VLOOKUP(A232,Enforcements!$C$7:$E$20,3,0)</f>
        <v>#N/A</v>
      </c>
      <c r="AD232" s="61" t="str">
        <f t="shared" si="85"/>
        <v>74-22</v>
      </c>
      <c r="AE232" s="91" t="str">
        <f t="shared" si="86"/>
        <v>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 &amp; aws s3 cp s3://rtdc.mdm.uploadarchive.raw/RTDC4041/ "%USERPROFILE%\AppData\Local\Temp\OnboardLogs"\RTDC4041\2016-11-23 --exclude "*" --recursive --include "*20161123*" &amp; "%USERPROFILE%\Documents\GitHub\mrs-test-scripts\Headless Mode &amp; Sideloading\WalkAndUnGZ.bat" "%USERPROFILE%\AppData\Local\Temp\OnboardLogs"\RTDC4041\2016-11-23</v>
      </c>
      <c r="AF232" s="88" t="str">
        <f t="shared" si="87"/>
        <v>"C:\Program Files (x86)\AstroGrep\AstroGrep.exe" /spath="%USERPROFILE%\AppData\Local\Temp\OnboardLogs" /stypes="app*4041*20161123*" /stext=" 01:.+((SYSTEM_STATE.+slice.+state.+changed )|(ment ac)|(system.+state.+changed )|(\[timeout)|(PRM\|1\|D)|(kpr)|(kdp)|(\|lc)|(penalty))" /e /r /s</v>
      </c>
      <c r="AG232" s="1" t="str">
        <f t="shared" si="88"/>
        <v>Other</v>
      </c>
      <c r="AH232" s="92" t="str">
        <f t="shared" si="78"/>
        <v>"%USERPROFILE%\Documents\GitHub\eaglep3\Utilities\RefineRTDCRunTimes.py" --tripid 74-22 --locoid 4041 --swversion DE.1.0.8.0 --startMP 300:21308 --initTime 2016-11-22T17:51:59 --startdatetime 2016-11-22T17:54:11 --delay 1 --endMP 204:441 --enddatetime 2016-11-22T18:07:05 --enforcementcount 1 &gt;&gt;C:\Users\stu\Documents\GitHub\eaglep3-reporting\EC\2016-11-22-refined-times.txt</v>
      </c>
      <c r="AI232" s="119" t="str">
        <f t="shared" si="79"/>
        <v>echo {"issue":{"subject":"","project_id":79,"tracker_id":40,"status_id":1,"priority_id":2,"assigned_to_id":23,"start_date":"2016-11-22","description":"","custom_fields":[{"id":1,"name":"Subdivision","value":"Other"},{"id":4,"name":"Milepost","value":"0.0441"},{"id":17,"name":"Train ID","value":"74-22"},{"id":16,"name":"Locomotive ID","value":"4041"},{"id":130,"name":"Impact","value":""},{"id":150,"name":"Time of Event (Mountain Time)","value":"18:07:05"},{"id":151,"name":"Denver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37" t="s">
        <v>601</v>
      </c>
      <c r="B233" s="7">
        <v>4044</v>
      </c>
      <c r="C233" s="22" t="s">
        <v>217</v>
      </c>
      <c r="D233" s="22" t="s">
        <v>288</v>
      </c>
      <c r="E233" s="13">
        <v>42696.770624999997</v>
      </c>
      <c r="F233" s="13">
        <v>25568.708333333332</v>
      </c>
      <c r="G233" s="7">
        <v>1</v>
      </c>
      <c r="H233" s="22" t="s">
        <v>384</v>
      </c>
      <c r="I233" s="13">
        <v>25568.708333333332</v>
      </c>
      <c r="J233" s="7">
        <v>0</v>
      </c>
      <c r="K233" s="109" t="str">
        <f t="shared" si="80"/>
        <v>4043/4044</v>
      </c>
      <c r="L233" s="22" t="str">
        <f>VLOOKUP(A233,'Trips&amp;Operators'!$C$1:$E$10000,3,FALSE)</f>
        <v>HELVIE</v>
      </c>
      <c r="M233" s="6">
        <f t="shared" si="77"/>
        <v>0</v>
      </c>
      <c r="N233" s="7">
        <f t="shared" si="90"/>
        <v>0</v>
      </c>
      <c r="O233" s="7"/>
      <c r="P233" s="7"/>
      <c r="Q233" s="23"/>
      <c r="R233" s="23"/>
      <c r="S233" s="35">
        <f t="shared" si="91"/>
        <v>0</v>
      </c>
      <c r="T233" s="50" t="e">
        <f t="shared" si="81"/>
        <v>#VALUE!</v>
      </c>
      <c r="U233" s="17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17:29:42-700',mode:absolute,to:'1969-12-31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33" s="52" t="str">
        <f t="shared" si="83"/>
        <v>Y</v>
      </c>
      <c r="X233" s="177" t="e">
        <f t="shared" si="76"/>
        <v>#VALUE!</v>
      </c>
      <c r="Y233" s="67">
        <f t="shared" si="92"/>
        <v>4.4200000000000003E-2</v>
      </c>
      <c r="Z233" s="67">
        <f t="shared" si="89"/>
        <v>2.3302</v>
      </c>
      <c r="AA233" s="67">
        <f t="shared" si="84"/>
        <v>2.286</v>
      </c>
      <c r="AB233" s="64" t="e">
        <f>VLOOKUP(A233,Enforcements!$C$7:$K$20,8,0)</f>
        <v>#N/A</v>
      </c>
      <c r="AC233" s="60" t="e">
        <f>VLOOKUP(A233,Enforcements!$C$7:$E$20,3,0)</f>
        <v>#N/A</v>
      </c>
      <c r="AD233" s="61" t="str">
        <f t="shared" si="85"/>
        <v>75-22</v>
      </c>
      <c r="AE233" s="91" t="str">
        <f t="shared" si="86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33" s="88" t="str">
        <f t="shared" si="87"/>
        <v>"C:\Program Files (x86)\AstroGrep\AstroGrep.exe" /spath="%USERPROFILE%\AppData\Local\Temp\OnboardLogs" /stypes="app*4044*19700101*" /stext=" 00:.+((SYSTEM_STATE.+slice.+state.+changed )|(ment ac)|(system.+state.+changed )|(\[timeout)|(PRM\|1\|D)|(kpr)|(kdp)|(\|lc)|(penalty))" /e /r /s</v>
      </c>
      <c r="AG233" s="1" t="str">
        <f t="shared" si="88"/>
        <v>Other</v>
      </c>
      <c r="AH233" s="92" t="str">
        <f t="shared" si="78"/>
        <v>"%USERPROFILE%\Documents\GitHub\eaglep3\Utilities\RefineRTDCRunTimes.py" --tripid 75-22 --locoid 4044 --swversion DE.1.0.8.0 --startMP 204:442 --initTime 2016-11-22T18:29:42 --startdatetime 1969-12-31T17:00:00 --delay 1 --endMP 300:23302 --enddatetime 1969-12-31T17:00:00 --enforcementcount 0 &gt;&gt;C:\Users\stu\Documents\GitHub\eaglep3-reporting\EC\2016-11-22-refined-times.txt</v>
      </c>
      <c r="AI233" s="119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ID","value":"75-22"},{"id":16,"name":"Locomotive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38" x14ac:dyDescent="0.25">
      <c r="A234" s="37" t="s">
        <v>456</v>
      </c>
      <c r="B234" s="7">
        <v>4014</v>
      </c>
      <c r="C234" s="22" t="s">
        <v>217</v>
      </c>
      <c r="D234" s="22" t="s">
        <v>770</v>
      </c>
      <c r="E234" s="13">
        <v>42696.20653935185</v>
      </c>
      <c r="F234" s="13">
        <v>42696.210706018515</v>
      </c>
      <c r="G234" s="7">
        <v>5</v>
      </c>
      <c r="H234" s="22" t="s">
        <v>771</v>
      </c>
      <c r="I234" s="13">
        <v>42696.215787037036</v>
      </c>
      <c r="J234" s="7">
        <v>0</v>
      </c>
      <c r="K234" s="109" t="str">
        <f t="shared" si="80"/>
        <v>4013/4014</v>
      </c>
      <c r="L234" s="22" t="str">
        <f>VLOOKUP(A234,'Trips&amp;Operators'!$C$1:$E$10000,3,FALSE)</f>
        <v>STARKS</v>
      </c>
      <c r="M234" s="6">
        <f t="shared" si="77"/>
        <v>5.0810185202863067E-3</v>
      </c>
      <c r="N234" s="7">
        <f t="shared" si="90"/>
        <v>7.3166666692122817</v>
      </c>
      <c r="O234" s="7"/>
      <c r="P234" s="7"/>
      <c r="Q234" s="23"/>
      <c r="R234" s="23"/>
      <c r="S234" s="35">
        <f t="shared" si="91"/>
        <v>0</v>
      </c>
      <c r="T234" s="50" t="str">
        <f t="shared" si="81"/>
        <v>NorthBound</v>
      </c>
      <c r="U234" s="17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03:57:25-700',mode:absolute,to:'2016-11-22 06:10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34" s="52" t="str">
        <f t="shared" si="83"/>
        <v>Y</v>
      </c>
      <c r="X234" s="177" t="e">
        <f t="shared" si="76"/>
        <v>#VALUE!</v>
      </c>
      <c r="Y234" s="67">
        <f t="shared" si="92"/>
        <v>2.9742000000000002</v>
      </c>
      <c r="Z234" s="67">
        <f t="shared" si="89"/>
        <v>4.9340000000000002</v>
      </c>
      <c r="AA234" s="67">
        <f t="shared" si="84"/>
        <v>1.9598</v>
      </c>
      <c r="AB234" s="64" t="e">
        <f>VLOOKUP(A234,Enforcements!$C$7:$K$20,8,0)</f>
        <v>#N/A</v>
      </c>
      <c r="AC234" s="60" t="e">
        <f>VLOOKUP(A234,Enforcements!$C$7:$E$20,3,0)</f>
        <v>#N/A</v>
      </c>
      <c r="AD234" s="61" t="str">
        <f t="shared" si="85"/>
        <v>0901-22</v>
      </c>
      <c r="AE234" s="91" t="str">
        <f t="shared" si="86"/>
        <v>aws s3 cp s3://rtdc.mdm.uploadarchive.raw/RTDC4014/ "%USERPROFILE%\AppData\Local\Temp\OnboardLogs"\RTDC4014\2016-11-22 --exclude "*" --recursive --include "*20161122*" &amp; "%USERPROFILE%\Documents\GitHub\mrs-test-scripts\Headless Mode &amp; Sideloading\WalkAndUnGZ.bat" "%USERPROFILE%\AppData\Local\Temp\OnboardLogs"\RTDC4014\2016-11-22 &amp; aws s3 cp s3://rtdc.mdm.uploadarchive.raw/RTDC4014/ "%USERPROFILE%\AppData\Local\Temp\OnboardLogs"\RTDC4014\2016-11-23 --exclude "*" --recursive --include "*20161123*" &amp; "%USERPROFILE%\Documents\GitHub\mrs-test-scripts\Headless Mode &amp; Sideloading\WalkAndUnGZ.bat" "%USERPROFILE%\AppData\Local\Temp\OnboardLogs"\RTDC4014\2016-11-23</v>
      </c>
      <c r="AF234" s="88" t="str">
        <f t="shared" si="87"/>
        <v>"C:\Program Files (x86)\AstroGrep\AstroGrep.exe" /spath="%USERPROFILE%\AppData\Local\Temp\OnboardLogs" /stypes="app*4014*20161122*" /stext=" 12:.+((SYSTEM_STATE.+slice.+state.+changed )|(ment ac)|(system.+state.+changed )|(\[timeout)|(PRM\|1\|D)|(kpr)|(kdp)|(\|lc)|(penalty))" /e /r /s</v>
      </c>
      <c r="AG234" s="1" t="str">
        <f t="shared" si="88"/>
        <v>Other</v>
      </c>
      <c r="AH234" s="92" t="str">
        <f t="shared" si="78"/>
        <v>"%USERPROFILE%\Documents\GitHub\eaglep3\Utilities\RefineRTDCRunTimes.py" --tripid 901-22 --locoid 4014 --swversion DE.1.0.8.0 --startMP 300:29742 --initTime 2016-11-22T04:57:25 --startdatetime 2016-11-22T05:03:25 --delay 5 --endMP 300:49340 --enddatetime 2016-11-22T05:10:44 --enforcementcount 0 &gt;&gt;C:\Users\stu\Documents\GitHub\eaglep3-reporting\EC\2016-11-22-refined-times.txt</v>
      </c>
      <c r="AI234" s="119" t="str">
        <f t="shared" si="79"/>
        <v>echo {"issue":{"subject":"","project_id":79,"tracker_id":40,"status_id":1,"priority_id":2,"assigned_to_id":23,"start_date":"2016-11-22","description":"","custom_fields":[{"id":1,"name":"Subdivision","value":"Other"},{"id":4,"name":"Milepost","value":"4.934"},{"id":17,"name":"Train ID","value":"901-22"},{"id":16,"name":"Locomotive ID","value":"4014"},{"id":130,"name":"Impact","value":""},{"id":150,"name":"Time of Event (Mountain Time)","value":"05:10:44"},{"id":151,"name":"Denver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3"/>
      <c r="AK234" s="53"/>
      <c r="AL234" s="53"/>
    </row>
    <row r="235" spans="1:38" x14ac:dyDescent="0.25">
      <c r="A235" s="37" t="s">
        <v>465</v>
      </c>
      <c r="B235" s="7">
        <v>4015</v>
      </c>
      <c r="C235" s="22" t="s">
        <v>217</v>
      </c>
      <c r="D235" s="22" t="s">
        <v>772</v>
      </c>
      <c r="E235" s="13">
        <v>42696.243125000001</v>
      </c>
      <c r="F235" s="13">
        <v>42696.244340277779</v>
      </c>
      <c r="G235" s="7">
        <v>1</v>
      </c>
      <c r="H235" s="22" t="s">
        <v>773</v>
      </c>
      <c r="I235" s="13">
        <v>42696.25172453704</v>
      </c>
      <c r="J235" s="7">
        <v>0</v>
      </c>
      <c r="K235" s="109" t="str">
        <f t="shared" si="80"/>
        <v>4015/4016</v>
      </c>
      <c r="L235" s="22" t="str">
        <f>VLOOKUP(A235,'Trips&amp;Operators'!$C$1:$E$10000,3,FALSE)</f>
        <v>LEVIN</v>
      </c>
      <c r="M235" s="6">
        <f t="shared" si="77"/>
        <v>7.3842592610162683E-3</v>
      </c>
      <c r="N235" s="7">
        <f t="shared" si="90"/>
        <v>10.633333335863426</v>
      </c>
      <c r="O235" s="7"/>
      <c r="P235" s="7"/>
      <c r="Q235" s="23"/>
      <c r="R235" s="23"/>
      <c r="S235" s="35">
        <f t="shared" si="91"/>
        <v>1</v>
      </c>
      <c r="T235" s="50" t="str">
        <f t="shared" si="81"/>
        <v>Southbound</v>
      </c>
      <c r="U235" s="17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04:50:06-700',mode:absolute,to:'2016-11-22 07:02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35" s="52" t="str">
        <f t="shared" si="83"/>
        <v>Y</v>
      </c>
      <c r="X235" s="177">
        <f t="shared" ref="X235:X245" si="93">VALUE(LEFT(AD235,4))-VALUE(LEFT(AD234,4))</f>
        <v>1</v>
      </c>
      <c r="Y235" s="67">
        <f t="shared" si="92"/>
        <v>2.3555000000000001</v>
      </c>
      <c r="Z235" s="67">
        <f t="shared" si="89"/>
        <v>7.0800000000000002E-2</v>
      </c>
      <c r="AA235" s="67">
        <f t="shared" si="84"/>
        <v>2.2847</v>
      </c>
      <c r="AB235" s="64" t="e">
        <f>VLOOKUP(A235,Enforcements!$C$7:$K$20,8,0)</f>
        <v>#N/A</v>
      </c>
      <c r="AC235" s="60" t="e">
        <f>VLOOKUP(A235,Enforcements!$C$7:$E$20,3,0)</f>
        <v>#N/A</v>
      </c>
      <c r="AD235" s="61" t="str">
        <f t="shared" si="85"/>
        <v>0902-22</v>
      </c>
      <c r="AE235" s="91" t="str">
        <f t="shared" si="86"/>
        <v>aws s3 cp s3://rtdc.mdm.uploadarchive.raw/RTDC4015/ "%USERPROFILE%\AppData\Local\Temp\OnboardLogs"\RTDC4015\2016-11-22 --exclude "*" --recursive --include "*20161122*" &amp; "%USERPROFILE%\Documents\GitHub\mrs-test-scripts\Headless Mode &amp; Sideloading\WalkAndUnGZ.bat" "%USERPROFILE%\AppData\Local\Temp\OnboardLogs"\RTDC4015\2016-11-22 &amp; aws s3 cp s3://rtdc.mdm.uploadarchive.raw/RTDC4015/ "%USERPROFILE%\AppData\Local\Temp\OnboardLogs"\RTDC4015\2016-11-23 --exclude "*" --recursive --include "*20161123*" &amp; "%USERPROFILE%\Documents\GitHub\mrs-test-scripts\Headless Mode &amp; Sideloading\WalkAndUnGZ.bat" "%USERPROFILE%\AppData\Local\Temp\OnboardLogs"\RTDC4015\2016-11-23</v>
      </c>
      <c r="AF235" s="88" t="str">
        <f t="shared" si="87"/>
        <v>"C:\Program Files (x86)\AstroGrep\AstroGrep.exe" /spath="%USERPROFILE%\AppData\Local\Temp\OnboardLogs" /stypes="app*4015*20161122*" /stext=" 13:.+((SYSTEM_STATE.+slice.+state.+changed )|(ment ac)|(system.+state.+changed )|(\[timeout)|(PRM\|1\|D)|(kpr)|(kdp)|(\|lc)|(penalty))" /e /r /s</v>
      </c>
      <c r="AG235" s="1" t="str">
        <f t="shared" si="88"/>
        <v>Other</v>
      </c>
      <c r="AH235" s="92" t="str">
        <f t="shared" si="78"/>
        <v>"%USERPROFILE%\Documents\GitHub\eaglep3\Utilities\RefineRTDCRunTimes.py" --tripid 902-22 --locoid 4015 --swversion DE.1.0.8.0 --startMP 300:23555 --initTime 2016-11-22T05:50:06 --startdatetime 2016-11-22T05:51:51 --delay 1 --endMP 204:708 --enddatetime 2016-11-22T06:02:29 --enforcementcount 0 &gt;&gt;C:\Users\stu\Documents\GitHub\eaglep3-reporting\EC\2016-11-22-refined-times.txt</v>
      </c>
      <c r="AI235" s="119" t="str">
        <f t="shared" si="79"/>
        <v>echo {"issue":{"subject":"","project_id":79,"tracker_id":40,"status_id":1,"priority_id":2,"assigned_to_id":23,"start_date":"2016-11-22","description":"","custom_fields":[{"id":1,"name":"Subdivision","value":"Other"},{"id":4,"name":"Milepost","value":"0.0708"},{"id":17,"name":"Train ID","value":"902-22"},{"id":16,"name":"Locomotive ID","value":"4015"},{"id":130,"name":"Impact","value":""},{"id":150,"name":"Time of Event (Mountain Time)","value":"06:02:29"},{"id":151,"name":"Denver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3"/>
      <c r="AK235" s="53"/>
      <c r="AL235" s="53"/>
    </row>
    <row r="236" spans="1:38" x14ac:dyDescent="0.25">
      <c r="A236" s="37" t="s">
        <v>557</v>
      </c>
      <c r="B236" s="7">
        <v>4013</v>
      </c>
      <c r="C236" s="22" t="s">
        <v>217</v>
      </c>
      <c r="D236" s="22" t="s">
        <v>708</v>
      </c>
      <c r="E236" s="13">
        <v>42696.643495370372</v>
      </c>
      <c r="F236" s="13">
        <v>42696.644594907404</v>
      </c>
      <c r="G236" s="7">
        <v>1</v>
      </c>
      <c r="H236" s="22" t="s">
        <v>774</v>
      </c>
      <c r="I236" s="13">
        <v>42696.649895833332</v>
      </c>
      <c r="J236" s="7">
        <v>0</v>
      </c>
      <c r="K236" s="109" t="str">
        <f t="shared" si="80"/>
        <v>4013/4014</v>
      </c>
      <c r="L236" s="22" t="str">
        <f>VLOOKUP(A236,'Trips&amp;Operators'!$C$1:$E$10000,3,FALSE)</f>
        <v>STAMBAUGH</v>
      </c>
      <c r="M236" s="6">
        <f t="shared" ref="M236:M245" si="94">I236-F236</f>
        <v>5.3009259281679988E-3</v>
      </c>
      <c r="N236" s="7">
        <f t="shared" si="90"/>
        <v>7.6333333365619183</v>
      </c>
      <c r="O236" s="7"/>
      <c r="P236" s="7"/>
      <c r="Q236" s="23"/>
      <c r="R236" s="23"/>
      <c r="S236" s="35">
        <f t="shared" si="91"/>
        <v>1</v>
      </c>
      <c r="T236" s="50" t="str">
        <f t="shared" si="81"/>
        <v>Southbound</v>
      </c>
      <c r="U236" s="17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14:26:38-700',mode:absolute,to:'2016-11-22 16:35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36" s="52" t="str">
        <f t="shared" si="83"/>
        <v>Y</v>
      </c>
      <c r="X236" s="177">
        <f t="shared" si="93"/>
        <v>2</v>
      </c>
      <c r="Y236" s="67">
        <f t="shared" si="92"/>
        <v>2.3395999999999999</v>
      </c>
      <c r="Z236" s="67">
        <f t="shared" si="89"/>
        <v>6.8400000000000002E-2</v>
      </c>
      <c r="AA236" s="67">
        <f t="shared" si="84"/>
        <v>2.2711999999999999</v>
      </c>
      <c r="AB236" s="64" t="e">
        <f>VLOOKUP(A236,Enforcements!$C$7:$K$20,8,0)</f>
        <v>#N/A</v>
      </c>
      <c r="AC236" s="60" t="e">
        <f>VLOOKUP(A236,Enforcements!$C$7:$E$20,3,0)</f>
        <v>#N/A</v>
      </c>
      <c r="AD236" s="61" t="str">
        <f t="shared" si="85"/>
        <v>0904-22</v>
      </c>
      <c r="AE236" s="91" t="str">
        <f t="shared" si="86"/>
        <v>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 &amp; aws s3 cp s3://rtdc.mdm.uploadarchive.raw/RTDC4013/ "%USERPROFILE%\AppData\Local\Temp\OnboardLogs"\RTDC4013\2016-11-23 --exclude "*" --recursive --include "*20161123*" &amp; "%USERPROFILE%\Documents\GitHub\mrs-test-scripts\Headless Mode &amp; Sideloading\WalkAndUnGZ.bat" "%USERPROFILE%\AppData\Local\Temp\OnboardLogs"\RTDC4013\2016-11-23</v>
      </c>
      <c r="AF236" s="88" t="str">
        <f t="shared" si="87"/>
        <v>"C:\Program Files (x86)\AstroGrep\AstroGrep.exe" /spath="%USERPROFILE%\AppData\Local\Temp\OnboardLogs" /stypes="app*4013*20161122*" /stext=" 22:.+((SYSTEM_STATE.+slice.+state.+changed )|(ment ac)|(system.+state.+changed )|(\[timeout)|(PRM\|1\|D)|(kpr)|(kdp)|(\|lc)|(penalty))" /e /r /s</v>
      </c>
      <c r="AG236" s="1" t="str">
        <f t="shared" si="88"/>
        <v>Other</v>
      </c>
      <c r="AH236" s="92" t="str">
        <f t="shared" si="78"/>
        <v>"%USERPROFILE%\Documents\GitHub\eaglep3\Utilities\RefineRTDCRunTimes.py" --tripid 904-22 --locoid 4013 --swversion DE.1.0.8.0 --startMP 300:23396 --initTime 2016-11-22T15:26:38 --startdatetime 2016-11-22T15:28:13 --delay 1 --endMP 204:684 --enddatetime 2016-11-22T15:35:51 --enforcementcount 0 &gt;&gt;C:\Users\stu\Documents\GitHub\eaglep3-reporting\EC\2016-11-22-refined-times.txt</v>
      </c>
      <c r="AI236" s="119" t="str">
        <f t="shared" si="79"/>
        <v>echo {"issue":{"subject":"","project_id":79,"tracker_id":40,"status_id":1,"priority_id":2,"assigned_to_id":23,"start_date":"2016-11-22","description":"","custom_fields":[{"id":1,"name":"Subdivision","value":"Other"},{"id":4,"name":"Milepost","value":"0.0684"},{"id":17,"name":"Train ID","value":"904-22"},{"id":16,"name":"Locomotive ID","value":"4013"},{"id":130,"name":"Impact","value":""},{"id":150,"name":"Time of Event (Mountain Time)","value":"15:35:51"},{"id":151,"name":"Denver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3"/>
      <c r="AK236" s="53"/>
      <c r="AL236" s="53"/>
    </row>
    <row r="237" spans="1:38" x14ac:dyDescent="0.25">
      <c r="A237" s="37" t="s">
        <v>630</v>
      </c>
      <c r="B237" s="7">
        <v>4015</v>
      </c>
      <c r="C237" s="22" t="s">
        <v>217</v>
      </c>
      <c r="D237" s="22" t="s">
        <v>734</v>
      </c>
      <c r="E237" s="13">
        <v>42696.94195601852</v>
      </c>
      <c r="F237" s="13">
        <v>42696.943449074075</v>
      </c>
      <c r="G237" s="7">
        <v>1</v>
      </c>
      <c r="H237" s="22" t="s">
        <v>775</v>
      </c>
      <c r="I237" s="13">
        <v>42696.947754629633</v>
      </c>
      <c r="J237" s="7">
        <v>0</v>
      </c>
      <c r="K237" s="109" t="str">
        <f t="shared" si="80"/>
        <v>4015/4016</v>
      </c>
      <c r="L237" s="22" t="str">
        <f>VLOOKUP(A237,'Trips&amp;Operators'!$C$1:$E$10000,3,FALSE)</f>
        <v>STAMBAUGH</v>
      </c>
      <c r="M237" s="6">
        <f t="shared" si="94"/>
        <v>4.3055555579485372E-3</v>
      </c>
      <c r="N237" s="7">
        <f t="shared" si="90"/>
        <v>6.2000000034458935</v>
      </c>
      <c r="O237" s="7"/>
      <c r="P237" s="7"/>
      <c r="Q237" s="23"/>
      <c r="R237" s="23"/>
      <c r="S237" s="35">
        <f t="shared" si="91"/>
        <v>0</v>
      </c>
      <c r="T237" s="50" t="str">
        <f t="shared" si="81"/>
        <v>Southbound</v>
      </c>
      <c r="U237" s="17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21:36:25-700',mode:absolute,to:'2016-11-22 23:44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37" s="52" t="str">
        <f t="shared" si="83"/>
        <v>Y</v>
      </c>
      <c r="X237" s="177">
        <f t="shared" si="93"/>
        <v>4</v>
      </c>
      <c r="Y237" s="67">
        <f t="shared" si="92"/>
        <v>5.8615000000000004</v>
      </c>
      <c r="Z237" s="67">
        <f t="shared" si="89"/>
        <v>2.1231</v>
      </c>
      <c r="AA237" s="67">
        <f t="shared" si="84"/>
        <v>3.7384000000000004</v>
      </c>
      <c r="AB237" s="64" t="e">
        <f>VLOOKUP(A237,Enforcements!$C$7:$K$20,8,0)</f>
        <v>#N/A</v>
      </c>
      <c r="AC237" s="60" t="e">
        <f>VLOOKUP(A237,Enforcements!$C$7:$E$20,3,0)</f>
        <v>#N/A</v>
      </c>
      <c r="AD237" s="61" t="str">
        <f t="shared" si="85"/>
        <v>0908-22</v>
      </c>
      <c r="AE237" s="91" t="str">
        <f t="shared" si="86"/>
        <v>aws s3 cp s3://rtdc.mdm.uploadarchive.raw/RTDC4015/ "%USERPROFILE%\AppData\Local\Temp\OnboardLogs"\RTDC4015\2016-11-22 --exclude "*" --recursive --include "*20161122*" &amp; "%USERPROFILE%\Documents\GitHub\mrs-test-scripts\Headless Mode &amp; Sideloading\WalkAndUnGZ.bat" "%USERPROFILE%\AppData\Local\Temp\OnboardLogs"\RTDC4015\2016-11-22 &amp; aws s3 cp s3://rtdc.mdm.uploadarchive.raw/RTDC4015/ "%USERPROFILE%\AppData\Local\Temp\OnboardLogs"\RTDC4015\2016-11-23 --exclude "*" --recursive --include "*20161123*" &amp; "%USERPROFILE%\Documents\GitHub\mrs-test-scripts\Headless Mode &amp; Sideloading\WalkAndUnGZ.bat" "%USERPROFILE%\AppData\Local\Temp\OnboardLogs"\RTDC4015\2016-11-23</v>
      </c>
      <c r="AF237" s="88" t="str">
        <f t="shared" si="87"/>
        <v>"C:\Program Files (x86)\AstroGrep\AstroGrep.exe" /spath="%USERPROFILE%\AppData\Local\Temp\OnboardLogs" /stypes="app*4015*20161123*" /stext=" 05:.+((SYSTEM_STATE.+slice.+state.+changed )|(ment ac)|(system.+state.+changed )|(\[timeout)|(PRM\|1\|D)|(kpr)|(kdp)|(\|lc)|(penalty))" /e /r /s</v>
      </c>
      <c r="AG237" s="1" t="str">
        <f t="shared" si="88"/>
        <v>Other</v>
      </c>
      <c r="AH237" s="92" t="str">
        <f t="shared" si="78"/>
        <v>"%USERPROFILE%\Documents\GitHub\eaglep3\Utilities\RefineRTDCRunTimes.py" --tripid 908-22 --locoid 4015 --swversion DE.1.0.8.0 --startMP 300:58615 --initTime 2016-11-22T22:36:25 --startdatetime 2016-11-22T22:38:34 --delay 1 --endMP 300:21231 --enddatetime 2016-11-22T22:44:46 --enforcementcount 0 &gt;&gt;C:\Users\stu\Documents\GitHub\eaglep3-reporting\EC\2016-11-22-refined-times.txt</v>
      </c>
      <c r="AI237" s="119" t="str">
        <f t="shared" si="79"/>
        <v>echo {"issue":{"subject":"","project_id":79,"tracker_id":40,"status_id":1,"priority_id":2,"assigned_to_id":23,"start_date":"2016-11-22","description":"","custom_fields":[{"id":1,"name":"Subdivision","value":"Other"},{"id":4,"name":"Milepost","value":"2.1231"},{"id":17,"name":"Train ID","value":"908-22"},{"id":16,"name":"Locomotive ID","value":"4015"},{"id":130,"name":"Impact","value":""},{"id":150,"name":"Time of Event (Mountain Time)","value":"22:44:46"},{"id":151,"name":"Denver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53"/>
      <c r="AK237" s="53"/>
      <c r="AL237" s="53"/>
    </row>
    <row r="238" spans="1:38" x14ac:dyDescent="0.25">
      <c r="A238" s="37" t="s">
        <v>614</v>
      </c>
      <c r="B238" s="7">
        <v>4051</v>
      </c>
      <c r="C238" s="22" t="s">
        <v>217</v>
      </c>
      <c r="D238" s="22" t="s">
        <v>776</v>
      </c>
      <c r="E238" s="13">
        <v>42696.927604166667</v>
      </c>
      <c r="F238" s="13">
        <v>42696.929189814815</v>
      </c>
      <c r="G238" s="7">
        <v>1</v>
      </c>
      <c r="H238" s="22" t="s">
        <v>777</v>
      </c>
      <c r="I238" s="13">
        <v>42696.943333333336</v>
      </c>
      <c r="J238" s="7">
        <v>0</v>
      </c>
      <c r="K238" s="109" t="str">
        <f t="shared" si="80"/>
        <v>4051/4052</v>
      </c>
      <c r="L238" s="22" t="str">
        <f>VLOOKUP(A238,'Trips&amp;Operators'!$C$1:$E$10000,3,FALSE)</f>
        <v>ROMERO</v>
      </c>
      <c r="M238" s="6">
        <f t="shared" si="94"/>
        <v>1.414351852145046E-2</v>
      </c>
      <c r="N238" s="7">
        <f t="shared" si="90"/>
        <v>20.366666670888662</v>
      </c>
      <c r="O238" s="7"/>
      <c r="P238" s="7"/>
      <c r="Q238" s="23"/>
      <c r="R238" s="23"/>
      <c r="S238" s="35">
        <f t="shared" si="91"/>
        <v>0</v>
      </c>
      <c r="T238" s="50" t="e">
        <f t="shared" si="81"/>
        <v>#VALUE!</v>
      </c>
      <c r="U238" s="17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21:15:45-700',mode:absolute,to:'2016-11-22 23:38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8" s="52" t="str">
        <f t="shared" si="83"/>
        <v>N</v>
      </c>
      <c r="X238" s="177" t="e">
        <f t="shared" si="93"/>
        <v>#VALUE!</v>
      </c>
      <c r="Y238" s="67">
        <f t="shared" si="92"/>
        <v>1.0376000000000001</v>
      </c>
      <c r="Z238" s="67">
        <f t="shared" si="89"/>
        <v>12.916499999999999</v>
      </c>
      <c r="AA238" s="67">
        <f t="shared" si="84"/>
        <v>11.8789</v>
      </c>
      <c r="AB238" s="64" t="e">
        <f>VLOOKUP(A238,Enforcements!$C$7:$K$20,8,0)</f>
        <v>#N/A</v>
      </c>
      <c r="AC238" s="60" t="e">
        <f>VLOOKUP(A238,Enforcements!$C$7:$E$20,3,0)</f>
        <v>#N/A</v>
      </c>
      <c r="AD238" s="61" t="str">
        <f t="shared" si="85"/>
        <v>PTCNORTH-22</v>
      </c>
      <c r="AE238" s="91" t="str">
        <f t="shared" si="86"/>
        <v>aws s3 cp s3://rtdc.mdm.uploadarchive.raw/RTDC4051/ "%USERPROFILE%\AppData\Local\Temp\OnboardLogs"\RTDC4051\2016-11-22 --exclude "*" --recursive --include "*20161122*" &amp; "%USERPROFILE%\Documents\GitHub\mrs-test-scripts\Headless Mode &amp; Sideloading\WalkAndUnGZ.bat" "%USERPROFILE%\AppData\Local\Temp\OnboardLogs"\RTDC4051\2016-11-22 &amp; aws s3 cp s3://rtdc.mdm.uploadarchive.raw/RTDC4051/ "%USERPROFILE%\AppData\Local\Temp\OnboardLogs"\RTDC4051\2016-11-23 --exclude "*" --recursive --include "*20161123*" &amp; "%USERPROFILE%\Documents\GitHub\mrs-test-scripts\Headless Mode &amp; Sideloading\WalkAndUnGZ.bat" "%USERPROFILE%\AppData\Local\Temp\OnboardLogs"\RTDC4051\2016-11-23</v>
      </c>
      <c r="AF238" s="88" t="str">
        <f t="shared" si="87"/>
        <v>"C:\Program Files (x86)\AstroGrep\AstroGrep.exe" /spath="%USERPROFILE%\AppData\Local\Temp\OnboardLogs" /stypes="app*4051*20161123*" /stext=" 05:.+((SYSTEM_STATE.+slice.+state.+changed )|(ment ac)|(system.+state.+changed )|(\[timeout)|(PRM\|1\|D)|(kpr)|(kdp)|(\|lc)|(penalty))" /e /r /s</v>
      </c>
      <c r="AG238" s="1" t="str">
        <f t="shared" si="88"/>
        <v>Other</v>
      </c>
      <c r="AH238" s="92" t="str">
        <f t="shared" si="78"/>
        <v>"%USERPROFILE%\Documents\GitHub\eaglep3\Utilities\RefineRTDCRunTimes.py" --tripid PTCNORTH-22 --locoid 4051 --swversion DE.1.0.8.0 --startMP 204:10376 --initTime 2016-11-22T22:15:45 --startdatetime 2016-11-22T22:18:02 --delay 1 --endMP 204:129165 --enddatetime 2016-11-22T22:38:24 --enforcementcount 0 &gt;&gt;C:\Users\stu\Documents\GitHub\eaglep3-reporting\EC\2016-11-22-refined-times.txt</v>
      </c>
      <c r="AI238" s="119" t="str">
        <f t="shared" si="79"/>
        <v>echo {"issue":{"subject":"","project_id":79,"tracker_id":40,"status_id":1,"priority_id":2,"assigned_to_id":23,"start_date":"2016-11-22","description":"","custom_fields":[{"id":1,"name":"Subdivision","value":"Other"},{"id":4,"name":"Milepost","value":"12.9165"},{"id":17,"name":"Train ID","value":"PTCNORTH-22"},{"id":16,"name":"Locomotive ID","value":"4051"},{"id":130,"name":"Impact","value":""},{"id":150,"name":"Time of Event (Mountain Time)","value":"22:38:24"},{"id":151,"name":"Denver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53"/>
      <c r="AK238" s="53"/>
      <c r="AL238" s="53"/>
    </row>
    <row r="239" spans="1:38" x14ac:dyDescent="0.25">
      <c r="A239" s="37" t="s">
        <v>614</v>
      </c>
      <c r="B239" s="7">
        <v>4051</v>
      </c>
      <c r="C239" s="22" t="s">
        <v>217</v>
      </c>
      <c r="D239" s="22" t="s">
        <v>778</v>
      </c>
      <c r="E239" s="13">
        <v>42696.888865740744</v>
      </c>
      <c r="F239" s="13">
        <v>42696.929189814815</v>
      </c>
      <c r="G239" s="7">
        <v>1</v>
      </c>
      <c r="H239" s="22" t="s">
        <v>779</v>
      </c>
      <c r="I239" s="13">
        <v>42696.943333333336</v>
      </c>
      <c r="J239" s="7">
        <v>0</v>
      </c>
      <c r="K239" s="109" t="str">
        <f t="shared" si="80"/>
        <v>4051/4052</v>
      </c>
      <c r="L239" s="22" t="str">
        <f>VLOOKUP(A239,'Trips&amp;Operators'!$C$1:$E$10000,3,FALSE)</f>
        <v>ROMERO</v>
      </c>
      <c r="M239" s="6">
        <f t="shared" si="94"/>
        <v>1.414351852145046E-2</v>
      </c>
      <c r="N239" s="7">
        <f t="shared" si="90"/>
        <v>20.366666670888662</v>
      </c>
      <c r="O239" s="7"/>
      <c r="P239" s="7"/>
      <c r="Q239" s="23"/>
      <c r="R239" s="23"/>
      <c r="S239" s="35">
        <f t="shared" si="91"/>
        <v>0</v>
      </c>
      <c r="T239" s="50" t="e">
        <f t="shared" si="81"/>
        <v>#VALUE!</v>
      </c>
      <c r="U239" s="17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20:19:58-700',mode:absolute,to:'2016-11-22 23:38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9" s="52" t="str">
        <f t="shared" si="83"/>
        <v>N</v>
      </c>
      <c r="X239" s="177" t="e">
        <f t="shared" si="93"/>
        <v>#VALUE!</v>
      </c>
      <c r="Y239" s="67">
        <f t="shared" si="92"/>
        <v>1.0528</v>
      </c>
      <c r="Z239" s="67">
        <f t="shared" si="89"/>
        <v>12.9145</v>
      </c>
      <c r="AA239" s="67">
        <f t="shared" si="84"/>
        <v>11.861700000000001</v>
      </c>
      <c r="AB239" s="64" t="e">
        <f>VLOOKUP(A239,Enforcements!$C$7:$K$20,8,0)</f>
        <v>#N/A</v>
      </c>
      <c r="AC239" s="60" t="e">
        <f>VLOOKUP(A239,Enforcements!$C$7:$E$20,3,0)</f>
        <v>#N/A</v>
      </c>
      <c r="AD239" s="61" t="str">
        <f t="shared" si="85"/>
        <v>PTCNORTH-22</v>
      </c>
      <c r="AE239" s="91" t="str">
        <f t="shared" si="86"/>
        <v>aws s3 cp s3://rtdc.mdm.uploadarchive.raw/RTDC4051/ "%USERPROFILE%\AppData\Local\Temp\OnboardLogs"\RTDC4051\2016-11-22 --exclude "*" --recursive --include "*20161122*" &amp; "%USERPROFILE%\Documents\GitHub\mrs-test-scripts\Headless Mode &amp; Sideloading\WalkAndUnGZ.bat" "%USERPROFILE%\AppData\Local\Temp\OnboardLogs"\RTDC4051\2016-11-22 &amp; aws s3 cp s3://rtdc.mdm.uploadarchive.raw/RTDC4051/ "%USERPROFILE%\AppData\Local\Temp\OnboardLogs"\RTDC4051\2016-11-23 --exclude "*" --recursive --include "*20161123*" &amp; "%USERPROFILE%\Documents\GitHub\mrs-test-scripts\Headless Mode &amp; Sideloading\WalkAndUnGZ.bat" "%USERPROFILE%\AppData\Local\Temp\OnboardLogs"\RTDC4051\2016-11-23</v>
      </c>
      <c r="AF239" s="88" t="str">
        <f t="shared" si="87"/>
        <v>"C:\Program Files (x86)\AstroGrep\AstroGrep.exe" /spath="%USERPROFILE%\AppData\Local\Temp\OnboardLogs" /stypes="app*4051*20161123*" /stext=" 05:.+((SYSTEM_STATE.+slice.+state.+changed )|(ment ac)|(system.+state.+changed )|(\[timeout)|(PRM\|1\|D)|(kpr)|(kdp)|(\|lc)|(penalty))" /e /r /s</v>
      </c>
      <c r="AG239" s="1" t="str">
        <f t="shared" si="88"/>
        <v>Other</v>
      </c>
      <c r="AH239" s="92" t="str">
        <f t="shared" si="78"/>
        <v>"%USERPROFILE%\Documents\GitHub\eaglep3\Utilities\RefineRTDCRunTimes.py" --tripid PTCNORTH-22 --locoid 4051 --swversion DE.1.0.8.0 --startMP 204:10528 --initTime 2016-11-22T21:19:58 --startdatetime 2016-11-22T22:18:02 --delay 1 --endMP 204:129145 --enddatetime 2016-11-22T22:38:24 --enforcementcount 0 &gt;&gt;C:\Users\stu\Documents\GitHub\eaglep3-reporting\EC\2016-11-22-refined-times.txt</v>
      </c>
      <c r="AI239" s="119" t="str">
        <f t="shared" si="79"/>
        <v>echo {"issue":{"subject":"","project_id":79,"tracker_id":40,"status_id":1,"priority_id":2,"assigned_to_id":23,"start_date":"2016-11-22","description":"","custom_fields":[{"id":1,"name":"Subdivision","value":"Other"},{"id":4,"name":"Milepost","value":"12.9145"},{"id":17,"name":"Train ID","value":"PTCNORTH-22"},{"id":16,"name":"Locomotive ID","value":"4051"},{"id":130,"name":"Impact","value":""},{"id":150,"name":"Time of Event (Mountain Time)","value":"22:38:24"},{"id":151,"name":"Denver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53"/>
      <c r="AK239" s="53"/>
      <c r="AL239" s="53"/>
    </row>
    <row r="240" spans="1:38" x14ac:dyDescent="0.25">
      <c r="A240" s="37" t="s">
        <v>614</v>
      </c>
      <c r="B240" s="7">
        <v>4051</v>
      </c>
      <c r="C240" s="22" t="s">
        <v>217</v>
      </c>
      <c r="D240" s="22" t="s">
        <v>718</v>
      </c>
      <c r="E240" s="13">
        <v>42696.827986111108</v>
      </c>
      <c r="F240" s="13">
        <v>42696.839907407404</v>
      </c>
      <c r="G240" s="7">
        <v>2</v>
      </c>
      <c r="H240" s="22" t="s">
        <v>780</v>
      </c>
      <c r="I240" s="13">
        <v>42696.856527777774</v>
      </c>
      <c r="J240" s="7">
        <v>0</v>
      </c>
      <c r="K240" s="109" t="str">
        <f t="shared" si="80"/>
        <v>4051/4052</v>
      </c>
      <c r="L240" s="22" t="str">
        <f>VLOOKUP(A240,'Trips&amp;Operators'!$C$1:$E$10000,3,FALSE)</f>
        <v>ROMERO</v>
      </c>
      <c r="M240" s="6">
        <f t="shared" si="94"/>
        <v>1.6620370370219462E-2</v>
      </c>
      <c r="N240" s="7">
        <f t="shared" si="90"/>
        <v>23.933333333116025</v>
      </c>
      <c r="O240" s="7"/>
      <c r="P240" s="7"/>
      <c r="Q240" s="23"/>
      <c r="R240" s="23"/>
      <c r="S240" s="35">
        <f t="shared" si="91"/>
        <v>0</v>
      </c>
      <c r="T240" s="50" t="e">
        <f t="shared" si="81"/>
        <v>#VALUE!</v>
      </c>
      <c r="U240" s="171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18:52:18-700',mode:absolute,to:'2016-11-22 21:33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40" s="52" t="str">
        <f t="shared" si="83"/>
        <v>N</v>
      </c>
      <c r="X240" s="177" t="e">
        <f t="shared" si="93"/>
        <v>#VALUE!</v>
      </c>
      <c r="Y240" s="67">
        <f t="shared" si="92"/>
        <v>0.14879999999999999</v>
      </c>
      <c r="Z240" s="67">
        <f t="shared" si="89"/>
        <v>12.903700000000001</v>
      </c>
      <c r="AA240" s="67">
        <f t="shared" si="84"/>
        <v>12.754900000000001</v>
      </c>
      <c r="AB240" s="64" t="e">
        <f>VLOOKUP(A240,Enforcements!$C$7:$K$20,8,0)</f>
        <v>#N/A</v>
      </c>
      <c r="AC240" s="60" t="e">
        <f>VLOOKUP(A240,Enforcements!$C$7:$E$20,3,0)</f>
        <v>#N/A</v>
      </c>
      <c r="AD240" s="61" t="str">
        <f t="shared" si="85"/>
        <v>PTCNORTH-22</v>
      </c>
      <c r="AE240" s="91" t="str">
        <f t="shared" si="86"/>
        <v>aws s3 cp s3://rtdc.mdm.uploadarchive.raw/RTDC4051/ "%USERPROFILE%\AppData\Local\Temp\OnboardLogs"\RTDC4051\2016-11-22 --exclude "*" --recursive --include "*20161122*" &amp; "%USERPROFILE%\Documents\GitHub\mrs-test-scripts\Headless Mode &amp; Sideloading\WalkAndUnGZ.bat" "%USERPROFILE%\AppData\Local\Temp\OnboardLogs"\RTDC4051\2016-11-22 &amp; aws s3 cp s3://rtdc.mdm.uploadarchive.raw/RTDC4051/ "%USERPROFILE%\AppData\Local\Temp\OnboardLogs"\RTDC4051\2016-11-23 --exclude "*" --recursive --include "*20161123*" &amp; "%USERPROFILE%\Documents\GitHub\mrs-test-scripts\Headless Mode &amp; Sideloading\WalkAndUnGZ.bat" "%USERPROFILE%\AppData\Local\Temp\OnboardLogs"\RTDC4051\2016-11-23</v>
      </c>
      <c r="AF240" s="88" t="str">
        <f t="shared" si="87"/>
        <v>"C:\Program Files (x86)\AstroGrep\AstroGrep.exe" /spath="%USERPROFILE%\AppData\Local\Temp\OnboardLogs" /stypes="app*4051*20161123*" /stext=" 03:.+((SYSTEM_STATE.+slice.+state.+changed )|(ment ac)|(system.+state.+changed )|(\[timeout)|(PRM\|1\|D)|(kpr)|(kdp)|(\|lc)|(penalty))" /e /r /s</v>
      </c>
      <c r="AG240" s="1" t="str">
        <f t="shared" si="88"/>
        <v>Other</v>
      </c>
      <c r="AH240" s="92" t="str">
        <f t="shared" si="78"/>
        <v>"%USERPROFILE%\Documents\GitHub\eaglep3\Utilities\RefineRTDCRunTimes.py" --tripid PTCNORTH-22 --locoid 4051 --swversion DE.1.0.8.0 --startMP 204:1488 --initTime 2016-11-22T19:52:18 --startdatetime 2016-11-22T20:09:28 --delay 2 --endMP 204:129037 --enddatetime 2016-11-22T20:33:24 --enforcementcount 0 &gt;&gt;C:\Users\stu\Documents\GitHub\eaglep3-reporting\EC\2016-11-22-refined-times.txt</v>
      </c>
      <c r="AI240" s="119" t="str">
        <f t="shared" si="79"/>
        <v>echo {"issue":{"subject":"","project_id":79,"tracker_id":40,"status_id":1,"priority_id":2,"assigned_to_id":23,"start_date":"2016-11-22","description":"","custom_fields":[{"id":1,"name":"Subdivision","value":"Other"},{"id":4,"name":"Milepost","value":"12.9037"},{"id":17,"name":"Train ID","value":"PTCNORTH-22"},{"id":16,"name":"Locomotive ID","value":"4051"},{"id":130,"name":"Impact","value":""},{"id":150,"name":"Time of Event (Mountain Time)","value":"20:33:24"},{"id":151,"name":"Denver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53"/>
      <c r="AK240" s="53"/>
      <c r="AL240" s="53"/>
    </row>
    <row r="241" spans="1:38" x14ac:dyDescent="0.25">
      <c r="A241" s="37" t="s">
        <v>614</v>
      </c>
      <c r="B241" s="7">
        <v>4051</v>
      </c>
      <c r="C241" s="22" t="s">
        <v>217</v>
      </c>
      <c r="D241" s="22" t="s">
        <v>289</v>
      </c>
      <c r="E241" s="13">
        <v>42696.970138888886</v>
      </c>
      <c r="F241" s="13">
        <v>25568.708333333332</v>
      </c>
      <c r="G241" s="7">
        <v>3</v>
      </c>
      <c r="H241" s="22" t="s">
        <v>781</v>
      </c>
      <c r="I241" s="13">
        <v>25568.708333333332</v>
      </c>
      <c r="J241" s="7">
        <v>0</v>
      </c>
      <c r="K241" s="109" t="str">
        <f t="shared" si="80"/>
        <v>4051/4052</v>
      </c>
      <c r="L241" s="22" t="str">
        <f>VLOOKUP(A241,'Trips&amp;Operators'!$C$1:$E$10000,3,FALSE)</f>
        <v>ROMERO</v>
      </c>
      <c r="M241" s="6">
        <f t="shared" si="94"/>
        <v>0</v>
      </c>
      <c r="N241" s="7">
        <f t="shared" si="90"/>
        <v>0</v>
      </c>
      <c r="O241" s="7"/>
      <c r="P241" s="7"/>
      <c r="Q241" s="23"/>
      <c r="R241" s="23"/>
      <c r="S241" s="35">
        <f t="shared" si="91"/>
        <v>0</v>
      </c>
      <c r="T241" s="50" t="e">
        <f t="shared" si="81"/>
        <v>#VALUE!</v>
      </c>
      <c r="U241" s="171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22:17:00-700',mode:absolute,to:'1969-12-31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41" s="52" t="str">
        <f t="shared" si="83"/>
        <v>Y</v>
      </c>
      <c r="X241" s="177" t="e">
        <f t="shared" si="93"/>
        <v>#VALUE!</v>
      </c>
      <c r="Y241" s="67">
        <f t="shared" si="92"/>
        <v>4.4600000000000001E-2</v>
      </c>
      <c r="Z241" s="67">
        <f t="shared" si="89"/>
        <v>2.6890999999999998</v>
      </c>
      <c r="AA241" s="67">
        <f t="shared" si="84"/>
        <v>2.6444999999999999</v>
      </c>
      <c r="AB241" s="64" t="e">
        <f>VLOOKUP(A241,Enforcements!$C$7:$K$20,8,0)</f>
        <v>#N/A</v>
      </c>
      <c r="AC241" s="60" t="e">
        <f>VLOOKUP(A241,Enforcements!$C$7:$E$20,3,0)</f>
        <v>#N/A</v>
      </c>
      <c r="AD241" s="61" t="str">
        <f t="shared" si="85"/>
        <v>PTCNORTH-22</v>
      </c>
      <c r="AE241" s="91" t="str">
        <f t="shared" si="86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41" s="88" t="str">
        <f t="shared" si="87"/>
        <v>"C:\Program Files (x86)\AstroGrep\AstroGrep.exe" /spath="%USERPROFILE%\AppData\Local\Temp\OnboardLogs" /stypes="app*4051*19700101*" /stext=" 00:.+((SYSTEM_STATE.+slice.+state.+changed )|(ment ac)|(system.+state.+changed )|(\[timeout)|(PRM\|1\|D)|(kpr)|(kdp)|(\|lc)|(penalty))" /e /r /s</v>
      </c>
      <c r="AG241" s="1" t="str">
        <f t="shared" si="88"/>
        <v>Other</v>
      </c>
      <c r="AH241" s="92" t="str">
        <f t="shared" si="78"/>
        <v>"%USERPROFILE%\Documents\GitHub\eaglep3\Utilities\RefineRTDCRunTimes.py" --tripid PTCNORTH-22 --locoid 4051 --swversion DE.1.0.8.0 --startMP 204:446 --initTime 2016-11-22T23:17:00 --startdatetime 1969-12-31T17:00:00 --delay 3 --endMP 300:26891 --enddatetime 1969-12-31T17:00:00 --enforcementcount 0 &gt;&gt;C:\Users\stu\Documents\GitHub\eaglep3-reporting\EC\2016-11-22-refined-times.txt</v>
      </c>
      <c r="AI241" s="119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{"issue":{"subject":"","project_id":79,"tracker_id":40,"status_id":1,"priority_id":2,"assigned_to_id":23,"start_date":"1969-12-31","description":"","custom_fields":[{"id":1,"name":"Subdivision","value":"Other"},{"id":4,"name":"Milepost","value":"2.6891"},{"id":17,"name":"Train ID","value":"PTCNORTH-22"},{"id":16,"name":"Locomotive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53"/>
      <c r="AK241" s="53"/>
      <c r="AL241" s="53"/>
    </row>
    <row r="242" spans="1:38" x14ac:dyDescent="0.25">
      <c r="A242" s="37" t="s">
        <v>442</v>
      </c>
      <c r="B242" s="7">
        <v>4052</v>
      </c>
      <c r="C242" s="22" t="s">
        <v>217</v>
      </c>
      <c r="D242" s="22" t="s">
        <v>782</v>
      </c>
      <c r="E242" s="13">
        <v>42696.857395833336</v>
      </c>
      <c r="F242" s="13">
        <v>42696.876701388886</v>
      </c>
      <c r="G242" s="7">
        <v>1</v>
      </c>
      <c r="H242" s="22" t="s">
        <v>783</v>
      </c>
      <c r="I242" s="13">
        <v>42696.887754629628</v>
      </c>
      <c r="J242" s="7">
        <v>0</v>
      </c>
      <c r="K242" s="109" t="str">
        <f t="shared" si="80"/>
        <v>4051/4052</v>
      </c>
      <c r="L242" s="22" t="str">
        <f>VLOOKUP(A242,'Trips&amp;Operators'!$C$1:$E$10000,3,FALSE)</f>
        <v>ROMERO</v>
      </c>
      <c r="M242" s="6">
        <f t="shared" si="94"/>
        <v>1.1053240741603076E-2</v>
      </c>
      <c r="N242" s="7">
        <f t="shared" si="90"/>
        <v>15.91666666790843</v>
      </c>
      <c r="O242" s="7"/>
      <c r="P242" s="7"/>
      <c r="Q242" s="23"/>
      <c r="R242" s="23"/>
      <c r="S242" s="35">
        <f t="shared" si="91"/>
        <v>0</v>
      </c>
      <c r="T242" s="50" t="e">
        <f t="shared" si="81"/>
        <v>#VALUE!</v>
      </c>
      <c r="U242" s="171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19:34:39-700',mode:absolute,to:'2016-11-22 22:18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42" s="52" t="str">
        <f t="shared" si="83"/>
        <v>Y</v>
      </c>
      <c r="X242" s="177" t="e">
        <f t="shared" si="93"/>
        <v>#VALUE!</v>
      </c>
      <c r="Y242" s="67">
        <f t="shared" si="92"/>
        <v>12.866300000000001</v>
      </c>
      <c r="Z242" s="67">
        <f t="shared" si="89"/>
        <v>10.4931</v>
      </c>
      <c r="AA242" s="67">
        <f t="shared" si="84"/>
        <v>2.3732000000000006</v>
      </c>
      <c r="AB242" s="64" t="e">
        <f>VLOOKUP(A242,Enforcements!$C$7:$K$20,8,0)</f>
        <v>#N/A</v>
      </c>
      <c r="AC242" s="60" t="e">
        <f>VLOOKUP(A242,Enforcements!$C$7:$E$20,3,0)</f>
        <v>#N/A</v>
      </c>
      <c r="AD242" s="61" t="str">
        <f t="shared" si="85"/>
        <v>PTCSOUTH-22</v>
      </c>
      <c r="AE242" s="91" t="str">
        <f t="shared" si="86"/>
        <v>aws s3 cp s3://rtdc.mdm.uploadarchive.raw/RTDC4052/ "%USERPROFILE%\AppData\Local\Temp\OnboardLogs"\RTDC4052\2016-11-22 --exclude "*" --recursive --include "*20161122*" &amp; "%USERPROFILE%\Documents\GitHub\mrs-test-scripts\Headless Mode &amp; Sideloading\WalkAndUnGZ.bat" "%USERPROFILE%\AppData\Local\Temp\OnboardLogs"\RTDC4052\2016-11-22 &amp; aws s3 cp s3://rtdc.mdm.uploadarchive.raw/RTDC4052/ "%USERPROFILE%\AppData\Local\Temp\OnboardLogs"\RTDC4052\2016-11-23 --exclude "*" --recursive --include "*20161123*" &amp; "%USERPROFILE%\Documents\GitHub\mrs-test-scripts\Headless Mode &amp; Sideloading\WalkAndUnGZ.bat" "%USERPROFILE%\AppData\Local\Temp\OnboardLogs"\RTDC4052\2016-11-23</v>
      </c>
      <c r="AF242" s="88" t="str">
        <f t="shared" si="87"/>
        <v>"C:\Program Files (x86)\AstroGrep\AstroGrep.exe" /spath="%USERPROFILE%\AppData\Local\Temp\OnboardLogs" /stypes="app*4052*20161123*" /stext=" 04:.+((SYSTEM_STATE.+slice.+state.+changed )|(ment ac)|(system.+state.+changed )|(\[timeout)|(PRM\|1\|D)|(kpr)|(kdp)|(\|lc)|(penalty))" /e /r /s</v>
      </c>
      <c r="AG242" s="1" t="str">
        <f t="shared" si="88"/>
        <v>Other</v>
      </c>
      <c r="AH242" s="92" t="str">
        <f t="shared" si="78"/>
        <v>"%USERPROFILE%\Documents\GitHub\eaglep3\Utilities\RefineRTDCRunTimes.py" --tripid PTCSOUTH-22 --locoid 4052 --swversion DE.1.0.8.0 --startMP 204:128663 --initTime 2016-11-22T20:34:39 --startdatetime 2016-11-22T21:02:27 --delay 1 --endMP 204:104931 --enddatetime 2016-11-22T21:18:22 --enforcementcount 0 &gt;&gt;C:\Users\stu\Documents\GitHub\eaglep3-reporting\EC\2016-11-22-refined-times.txt</v>
      </c>
      <c r="AI242" s="119" t="str">
        <f t="shared" si="79"/>
        <v>echo {"issue":{"subject":"","project_id":79,"tracker_id":40,"status_id":1,"priority_id":2,"assigned_to_id":23,"start_date":"2016-11-22","description":"","custom_fields":[{"id":1,"name":"Subdivision","value":"Other"},{"id":4,"name":"Milepost","value":"10.4931"},{"id":17,"name":"Train ID","value":"PTCSOUTH-22"},{"id":16,"name":"Locomotive ID","value":"4052"},{"id":130,"name":"Impact","value":""},{"id":150,"name":"Time of Event (Mountain Time)","value":"21:18:22"},{"id":151,"name":"Denver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53"/>
      <c r="AK242" s="53"/>
      <c r="AL242" s="53"/>
    </row>
    <row r="243" spans="1:38" x14ac:dyDescent="0.25">
      <c r="A243" s="37" t="s">
        <v>442</v>
      </c>
      <c r="B243" s="7">
        <v>4052</v>
      </c>
      <c r="C243" s="22" t="s">
        <v>217</v>
      </c>
      <c r="D243" s="22" t="s">
        <v>784</v>
      </c>
      <c r="E243" s="13">
        <v>42696.910127314812</v>
      </c>
      <c r="F243" s="13">
        <v>42696.946944444448</v>
      </c>
      <c r="G243" s="7">
        <v>1</v>
      </c>
      <c r="H243" s="22" t="s">
        <v>785</v>
      </c>
      <c r="I243" s="13">
        <v>42696.964363425926</v>
      </c>
      <c r="J243" s="7">
        <v>1</v>
      </c>
      <c r="K243" s="109" t="str">
        <f t="shared" si="80"/>
        <v>4051/4052</v>
      </c>
      <c r="L243" s="22" t="str">
        <f>VLOOKUP(A243,'Trips&amp;Operators'!$C$1:$E$10000,3,FALSE)</f>
        <v>ROMERO</v>
      </c>
      <c r="M243" s="6">
        <f t="shared" si="94"/>
        <v>1.7418981478840578E-2</v>
      </c>
      <c r="N243" s="7">
        <f t="shared" si="90"/>
        <v>25.083333329530433</v>
      </c>
      <c r="O243" s="7"/>
      <c r="P243" s="7"/>
      <c r="Q243" s="23"/>
      <c r="R243" s="23"/>
      <c r="S243" s="35">
        <f t="shared" si="91"/>
        <v>0</v>
      </c>
      <c r="T243" s="50" t="e">
        <f t="shared" si="81"/>
        <v>#VALUE!</v>
      </c>
      <c r="U243" s="171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20:50:35-700',mode:absolute,to:'2016-11-23 00:08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43" s="52" t="str">
        <f t="shared" si="83"/>
        <v>N</v>
      </c>
      <c r="X243" s="177" t="e">
        <f t="shared" si="93"/>
        <v>#VALUE!</v>
      </c>
      <c r="Y243" s="67">
        <f t="shared" si="92"/>
        <v>12.877000000000001</v>
      </c>
      <c r="Z243" s="67">
        <f t="shared" si="89"/>
        <v>1.0143</v>
      </c>
      <c r="AA243" s="67">
        <f t="shared" si="84"/>
        <v>11.8627</v>
      </c>
      <c r="AB243" s="64" t="e">
        <f>VLOOKUP(A243,Enforcements!$C$7:$K$20,8,0)</f>
        <v>#N/A</v>
      </c>
      <c r="AC243" s="60" t="e">
        <f>VLOOKUP(A243,Enforcements!$C$7:$E$20,3,0)</f>
        <v>#N/A</v>
      </c>
      <c r="AD243" s="61" t="str">
        <f t="shared" si="85"/>
        <v>PTCSOUTH-22</v>
      </c>
      <c r="AE243" s="91" t="str">
        <f t="shared" si="86"/>
        <v>aws s3 cp s3://rtdc.mdm.uploadarchive.raw/RTDC4052/ "%USERPROFILE%\AppData\Local\Temp\OnboardLogs"\RTDC4052\2016-11-22 --exclude "*" --recursive --include "*20161122*" &amp; "%USERPROFILE%\Documents\GitHub\mrs-test-scripts\Headless Mode &amp; Sideloading\WalkAndUnGZ.bat" "%USERPROFILE%\AppData\Local\Temp\OnboardLogs"\RTDC4052\2016-11-22 &amp; aws s3 cp s3://rtdc.mdm.uploadarchive.raw/RTDC4052/ "%USERPROFILE%\AppData\Local\Temp\OnboardLogs"\RTDC4052\2016-11-23 --exclude "*" --recursive --include "*20161123*" &amp; "%USERPROFILE%\Documents\GitHub\mrs-test-scripts\Headless Mode &amp; Sideloading\WalkAndUnGZ.bat" "%USERPROFILE%\AppData\Local\Temp\OnboardLogs"\RTDC4052\2016-11-23</v>
      </c>
      <c r="AF243" s="88" t="str">
        <f t="shared" si="87"/>
        <v>"C:\Program Files (x86)\AstroGrep\AstroGrep.exe" /spath="%USERPROFILE%\AppData\Local\Temp\OnboardLogs" /stypes="app*4052*20161123*" /stext=" 06:.+((SYSTEM_STATE.+slice.+state.+changed )|(ment ac)|(system.+state.+changed )|(\[timeout)|(PRM\|1\|D)|(kpr)|(kdp)|(\|lc)|(penalty))" /e /r /s</v>
      </c>
      <c r="AG243" s="1" t="str">
        <f t="shared" si="88"/>
        <v>Other</v>
      </c>
      <c r="AH243" s="92" t="str">
        <f t="shared" si="78"/>
        <v>"%USERPROFILE%\Documents\GitHub\eaglep3\Utilities\RefineRTDCRunTimes.py" --tripid PTCSOUTH-22 --locoid 4052 --swversion DE.1.0.8.0 --startMP 204:128770 --initTime 2016-11-22T21:50:35 --startdatetime 2016-11-22T22:43:36 --delay 1 --endMP 204:10143 --enddatetime 2016-11-22T23:08:41 --enforcementcount 1 &gt;&gt;C:\Users\stu\Documents\GitHub\eaglep3-reporting\EC\2016-11-22-refined-times.txt</v>
      </c>
      <c r="AI243" s="119" t="str">
        <f t="shared" si="79"/>
        <v>echo {"issue":{"subject":"","project_id":79,"tracker_id":40,"status_id":1,"priority_id":2,"assigned_to_id":23,"start_date":"2016-11-22","description":"","custom_fields":[{"id":1,"name":"Subdivision","value":"Other"},{"id":4,"name":"Milepost","value":"1.0143"},{"id":17,"name":"Train ID","value":"PTCSOUTH-22"},{"id":16,"name":"Locomotive ID","value":"4052"},{"id":130,"name":"Impact","value":""},{"id":150,"name":"Time of Event (Mountain Time)","value":"23:08:41"},{"id":151,"name":"Denver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53"/>
      <c r="AK243" s="53"/>
      <c r="AL243" s="53"/>
    </row>
    <row r="244" spans="1:38" x14ac:dyDescent="0.25">
      <c r="A244" s="37" t="s">
        <v>442</v>
      </c>
      <c r="B244" s="7">
        <v>4052</v>
      </c>
      <c r="C244" s="22" t="s">
        <v>217</v>
      </c>
      <c r="D244" s="22" t="s">
        <v>786</v>
      </c>
      <c r="E244" s="13">
        <v>42696.945173611108</v>
      </c>
      <c r="F244" s="13">
        <v>42696.946944444448</v>
      </c>
      <c r="G244" s="7">
        <v>1</v>
      </c>
      <c r="H244" s="22" t="s">
        <v>787</v>
      </c>
      <c r="I244" s="13">
        <v>42696.964363425926</v>
      </c>
      <c r="J244" s="7">
        <v>0</v>
      </c>
      <c r="K244" s="109" t="str">
        <f t="shared" si="80"/>
        <v>4051/4052</v>
      </c>
      <c r="L244" s="22" t="str">
        <f>VLOOKUP(A244,'Trips&amp;Operators'!$C$1:$E$10000,3,FALSE)</f>
        <v>ROMERO</v>
      </c>
      <c r="M244" s="6">
        <f t="shared" si="94"/>
        <v>1.7418981478840578E-2</v>
      </c>
      <c r="N244" s="7">
        <f t="shared" si="90"/>
        <v>25.083333329530433</v>
      </c>
      <c r="O244" s="7"/>
      <c r="P244" s="7"/>
      <c r="Q244" s="23"/>
      <c r="R244" s="23"/>
      <c r="S244" s="35">
        <f t="shared" si="91"/>
        <v>0</v>
      </c>
      <c r="T244" s="50" t="e">
        <f t="shared" si="81"/>
        <v>#VALUE!</v>
      </c>
      <c r="U244" s="171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21:41:03-700',mode:absolute,to:'2016-11-23 00:08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44" s="52" t="str">
        <f t="shared" si="83"/>
        <v>N</v>
      </c>
      <c r="X244" s="177" t="e">
        <f t="shared" si="93"/>
        <v>#VALUE!</v>
      </c>
      <c r="Y244" s="67">
        <f t="shared" si="92"/>
        <v>12.879099999999999</v>
      </c>
      <c r="Z244" s="67">
        <f t="shared" si="89"/>
        <v>1.35E-2</v>
      </c>
      <c r="AA244" s="67">
        <f t="shared" si="84"/>
        <v>12.865599999999999</v>
      </c>
      <c r="AB244" s="64" t="e">
        <f>VLOOKUP(A244,Enforcements!$C$7:$K$20,8,0)</f>
        <v>#N/A</v>
      </c>
      <c r="AC244" s="60" t="e">
        <f>VLOOKUP(A244,Enforcements!$C$7:$E$20,3,0)</f>
        <v>#N/A</v>
      </c>
      <c r="AD244" s="61" t="str">
        <f t="shared" si="85"/>
        <v>PTCSOUTH-22</v>
      </c>
      <c r="AE244" s="91" t="str">
        <f t="shared" si="86"/>
        <v>aws s3 cp s3://rtdc.mdm.uploadarchive.raw/RTDC4052/ "%USERPROFILE%\AppData\Local\Temp\OnboardLogs"\RTDC4052\2016-11-22 --exclude "*" --recursive --include "*20161122*" &amp; "%USERPROFILE%\Documents\GitHub\mrs-test-scripts\Headless Mode &amp; Sideloading\WalkAndUnGZ.bat" "%USERPROFILE%\AppData\Local\Temp\OnboardLogs"\RTDC4052\2016-11-22 &amp; aws s3 cp s3://rtdc.mdm.uploadarchive.raw/RTDC4052/ "%USERPROFILE%\AppData\Local\Temp\OnboardLogs"\RTDC4052\2016-11-23 --exclude "*" --recursive --include "*20161123*" &amp; "%USERPROFILE%\Documents\GitHub\mrs-test-scripts\Headless Mode &amp; Sideloading\WalkAndUnGZ.bat" "%USERPROFILE%\AppData\Local\Temp\OnboardLogs"\RTDC4052\2016-11-23</v>
      </c>
      <c r="AF244" s="88" t="str">
        <f t="shared" si="87"/>
        <v>"C:\Program Files (x86)\AstroGrep\AstroGrep.exe" /spath="%USERPROFILE%\AppData\Local\Temp\OnboardLogs" /stypes="app*4052*20161123*" /stext=" 06:.+((SYSTEM_STATE.+slice.+state.+changed )|(ment ac)|(system.+state.+changed )|(\[timeout)|(PRM\|1\|D)|(kpr)|(kdp)|(\|lc)|(penalty))" /e /r /s</v>
      </c>
      <c r="AG244" s="1" t="str">
        <f t="shared" si="88"/>
        <v>Other</v>
      </c>
      <c r="AH244" s="92" t="str">
        <f t="shared" si="78"/>
        <v>"%USERPROFILE%\Documents\GitHub\eaglep3\Utilities\RefineRTDCRunTimes.py" --tripid PTCSOUTH-22 --locoid 4052 --swversion DE.1.0.8.0 --startMP 204:128791 --initTime 2016-11-22T22:41:03 --startdatetime 2016-11-22T22:43:36 --delay 1 --endMP 204:135 --enddatetime 2016-11-22T23:08:41 --enforcementcount 0 &gt;&gt;C:\Users\stu\Documents\GitHub\eaglep3-reporting\EC\2016-11-22-refined-times.txt</v>
      </c>
      <c r="AI244" s="119" t="str">
        <f t="shared" si="79"/>
        <v>echo {"issue":{"subject":"","project_id":79,"tracker_id":40,"status_id":1,"priority_id":2,"assigned_to_id":23,"start_date":"2016-11-22","description":"","custom_fields":[{"id":1,"name":"Subdivision","value":"Other"},{"id":4,"name":"Milepost","value":"0.0135"},{"id":17,"name":"Train ID","value":"PTCSOUTH-22"},{"id":16,"name":"Locomotive ID","value":"4052"},{"id":130,"name":"Impact","value":""},{"id":150,"name":"Time of Event (Mountain Time)","value":"23:08:41"},{"id":151,"name":"Denver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53"/>
      <c r="AK244" s="53"/>
      <c r="AL244" s="53"/>
    </row>
    <row r="245" spans="1:38" x14ac:dyDescent="0.25">
      <c r="A245" s="37" t="s">
        <v>442</v>
      </c>
      <c r="B245" s="7">
        <v>4052</v>
      </c>
      <c r="C245" s="22" t="s">
        <v>217</v>
      </c>
      <c r="D245" s="22" t="s">
        <v>383</v>
      </c>
      <c r="E245" s="13">
        <v>42696.875555555554</v>
      </c>
      <c r="F245" s="13">
        <v>42696.876701388886</v>
      </c>
      <c r="G245" s="7">
        <v>1</v>
      </c>
      <c r="H245" s="22" t="s">
        <v>788</v>
      </c>
      <c r="I245" s="13">
        <v>42696.887754629628</v>
      </c>
      <c r="J245" s="7">
        <v>1</v>
      </c>
      <c r="K245" s="109" t="str">
        <f t="shared" si="80"/>
        <v>4051/4052</v>
      </c>
      <c r="L245" s="22" t="str">
        <f>VLOOKUP(A245,'Trips&amp;Operators'!$C$1:$E$10000,3,FALSE)</f>
        <v>ROMERO</v>
      </c>
      <c r="M245" s="6">
        <f t="shared" si="94"/>
        <v>1.1053240741603076E-2</v>
      </c>
      <c r="N245" s="7">
        <f t="shared" si="90"/>
        <v>15.91666666790843</v>
      </c>
      <c r="O245" s="7"/>
      <c r="P245" s="7"/>
      <c r="Q245" s="23"/>
      <c r="R245" s="23"/>
      <c r="S245" s="35">
        <f t="shared" si="91"/>
        <v>0</v>
      </c>
      <c r="T245" s="50" t="e">
        <f t="shared" si="81"/>
        <v>#VALUE!</v>
      </c>
      <c r="U245" s="171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98" t="str">
        <f t="shared" si="82"/>
        <v>https://search-rtdc-monitor-bjffxe2xuh6vdkpspy63sjmuny.us-east-1.es.amazonaws.com/_plugin/kibana/#/discover/Steve-Slow-Train-Analysis-(2080s-and-2083s)?_g=(refreshInterval:(display:Off,section:0,value:0),time:(from:'2016-11-22 20:00:48-700',mode:absolute,to:'2016-11-22 22:18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45" s="52" t="str">
        <f t="shared" si="83"/>
        <v>N</v>
      </c>
      <c r="X245" s="177" t="e">
        <f t="shared" si="93"/>
        <v>#VALUE!</v>
      </c>
      <c r="Y245" s="67">
        <f t="shared" si="92"/>
        <v>8.6353000000000009</v>
      </c>
      <c r="Z245" s="67">
        <f t="shared" si="89"/>
        <v>1.0293000000000001</v>
      </c>
      <c r="AA245" s="67">
        <f t="shared" si="84"/>
        <v>7.6060000000000008</v>
      </c>
      <c r="AB245" s="64" t="e">
        <f>VLOOKUP(A245,Enforcements!$C$7:$K$20,8,0)</f>
        <v>#N/A</v>
      </c>
      <c r="AC245" s="60" t="e">
        <f>VLOOKUP(A245,Enforcements!$C$7:$E$20,3,0)</f>
        <v>#N/A</v>
      </c>
      <c r="AD245" s="61" t="str">
        <f t="shared" si="85"/>
        <v>PTCSOUTH-22</v>
      </c>
      <c r="AE245" s="91" t="str">
        <f t="shared" si="86"/>
        <v>aws s3 cp s3://rtdc.mdm.uploadarchive.raw/RTDC4052/ "%USERPROFILE%\AppData\Local\Temp\OnboardLogs"\RTDC4052\2016-11-22 --exclude "*" --recursive --include "*20161122*" &amp; "%USERPROFILE%\Documents\GitHub\mrs-test-scripts\Headless Mode &amp; Sideloading\WalkAndUnGZ.bat" "%USERPROFILE%\AppData\Local\Temp\OnboardLogs"\RTDC4052\2016-11-22 &amp; aws s3 cp s3://rtdc.mdm.uploadarchive.raw/RTDC4052/ "%USERPROFILE%\AppData\Local\Temp\OnboardLogs"\RTDC4052\2016-11-23 --exclude "*" --recursive --include "*20161123*" &amp; "%USERPROFILE%\Documents\GitHub\mrs-test-scripts\Headless Mode &amp; Sideloading\WalkAndUnGZ.bat" "%USERPROFILE%\AppData\Local\Temp\OnboardLogs"\RTDC4052\2016-11-23</v>
      </c>
      <c r="AF245" s="88" t="str">
        <f t="shared" si="87"/>
        <v>"C:\Program Files (x86)\AstroGrep\AstroGrep.exe" /spath="%USERPROFILE%\AppData\Local\Temp\OnboardLogs" /stypes="app*4052*20161123*" /stext=" 04:.+((SYSTEM_STATE.+slice.+state.+changed )|(ment ac)|(system.+state.+changed )|(\[timeout)|(PRM\|1\|D)|(kpr)|(kdp)|(\|lc)|(penalty))" /e /r /s</v>
      </c>
      <c r="AG245" s="1" t="str">
        <f t="shared" si="88"/>
        <v>Other</v>
      </c>
      <c r="AH245" s="92" t="str">
        <f t="shared" si="78"/>
        <v>"%USERPROFILE%\Documents\GitHub\eaglep3\Utilities\RefineRTDCRunTimes.py" --tripid PTCSOUTH-22 --locoid 4052 --swversion DE.1.0.8.0 --startMP 204:86353 --initTime 2016-11-22T21:00:48 --startdatetime 2016-11-22T21:02:27 --delay 1 --endMP 204:10293 --enddatetime 2016-11-22T21:18:22 --enforcementcount 1 &gt;&gt;C:\Users\stu\Documents\GitHub\eaglep3-reporting\EC\2016-11-22-refined-times.txt</v>
      </c>
      <c r="AI245" s="119" t="str">
        <f t="shared" si="79"/>
        <v>echo {"issue":{"subject":"","project_id":79,"tracker_id":40,"status_id":1,"priority_id":2,"assigned_to_id":23,"start_date":"2016-11-22","description":"","custom_fields":[{"id":1,"name":"Subdivision","value":"Other"},{"id":4,"name":"Milepost","value":"1.0293"},{"id":17,"name":"Train ID","value":"PTCSOUTH-22"},{"id":16,"name":"Locomotive ID","value":"4052"},{"id":130,"name":"Impact","value":""},{"id":150,"name":"Time of Event (Mountain Time)","value":"21:18:22"},{"id":151,"name":"Denver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53"/>
      <c r="AK245" s="53"/>
      <c r="AL245" s="53"/>
    </row>
  </sheetData>
  <autoFilter ref="A12:AG244">
    <sortState ref="A13:AG247">
      <sortCondition ref="AG13:AG247"/>
      <sortCondition ref="AD13:AD247"/>
    </sortState>
  </autoFilter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0" priority="344" operator="equal">
      <formula>"Y"</formula>
    </cfRule>
  </conditionalFormatting>
  <conditionalFormatting sqref="X13:X1048576">
    <cfRule type="cellIs" dxfId="9" priority="327" operator="greaterThan">
      <formula>1</formula>
    </cfRule>
  </conditionalFormatting>
  <conditionalFormatting sqref="X12:X1048576">
    <cfRule type="cellIs" dxfId="8" priority="324" operator="equal">
      <formula>0</formula>
    </cfRule>
  </conditionalFormatting>
  <conditionalFormatting sqref="A13:S245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AK13:AK245</xm:sqref>
        </x14:dataValidation>
        <x14:dataValidation type="list" allowBlank="1" showInputMessage="1" showErrorMessage="1">
          <x14:formula1>
            <xm:f>'Redmine List Values'!$C$2:$C$15</xm:f>
          </x14:formula1>
          <xm:sqref>AL13:AL245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6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3.5703125" style="135" bestFit="1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0">
        <f>COUNTIF($O$7:$O$334,"=Y")</f>
        <v>2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1">
        <f>COUNTA($O$7:$O$334)-O2</f>
        <v>30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4" t="str">
        <f>"Eagle P3 Braking Events - "&amp;TEXT(Variables!$A$2,"YYYY-mm-dd")</f>
        <v>Eagle P3 Braking Events - 2016-11-22</v>
      </c>
      <c r="B5" s="184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158</v>
      </c>
      <c r="J6" s="137" t="s">
        <v>30</v>
      </c>
      <c r="K6" s="137" t="s">
        <v>29</v>
      </c>
      <c r="L6" s="137" t="s">
        <v>28</v>
      </c>
      <c r="M6" s="122" t="s">
        <v>159</v>
      </c>
      <c r="N6" s="152" t="s">
        <v>47</v>
      </c>
      <c r="O6" s="182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179</v>
      </c>
      <c r="AD6" s="130" t="s">
        <v>268</v>
      </c>
    </row>
    <row r="7" spans="1:30" s="1" customFormat="1" x14ac:dyDescent="0.25">
      <c r="A7" s="36">
        <v>42696.321516203701</v>
      </c>
      <c r="B7" s="31" t="s">
        <v>229</v>
      </c>
      <c r="C7" s="31" t="s">
        <v>421</v>
      </c>
      <c r="D7" s="31" t="s">
        <v>98</v>
      </c>
      <c r="E7" s="31" t="s">
        <v>154</v>
      </c>
      <c r="F7" s="47">
        <v>140</v>
      </c>
      <c r="G7" s="47">
        <v>193</v>
      </c>
      <c r="H7" s="47">
        <v>27064</v>
      </c>
      <c r="I7" s="47">
        <v>26781</v>
      </c>
      <c r="J7" s="31" t="s">
        <v>153</v>
      </c>
      <c r="K7" s="47">
        <v>27350</v>
      </c>
      <c r="L7" s="154" t="s">
        <v>51</v>
      </c>
      <c r="M7" s="155">
        <f t="shared" ref="M7:M38" si="0">CONVERT((I7-K7)/10000,"mi","ft")*IF(L7="Increasing Mileposts (1)",-1,1)</f>
        <v>-300.43200000000002</v>
      </c>
      <c r="N7" s="156" t="str">
        <f>VLOOKUP(C7,'Trips&amp;Operators'!$C$1:$E$99999,3,FALSE)</f>
        <v>SPECTOR</v>
      </c>
      <c r="O7" s="183" t="s">
        <v>202</v>
      </c>
      <c r="P7" s="157" t="s">
        <v>345</v>
      </c>
      <c r="Q7" s="31"/>
      <c r="R7" s="100" t="str">
        <f>VLOOKUP(C7,'Train Runs'!$A$13:$AE$9988,31,0)</f>
        <v>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 &amp; aws s3 cp s3://rtdc.mdm.uploadarchive.raw/RTDC4001/ "%USERPROFILE%\AppData\Local\Temp\OnboardLogs"\RTDC4001\2016-11-23 --exclude "*" --recursive --include "*20161123*" &amp; "%USERPROFILE%\Documents\GitHub\mrs-test-scripts\Headless Mode &amp; Sideloading\WalkAndUnGZ.bat" "%USERPROFILE%\AppData\Local\Temp\OnboardLogs"\RTDC4001\2016-11-23</v>
      </c>
      <c r="S7" s="103" t="str">
        <f>VLOOKUP(C7,'Train Runs'!$A$13:$AE$9988,22,0)</f>
        <v>https://search-rtdc-monitor-bjffxe2xuh6vdkpspy63sjmuny.us-east-1.es.amazonaws.com/_plugin/kibana/#/discover/Steve-Slow-Train-Analysis-(2080s-and-2083s)?_g=(refreshInterval:(display:Off,section:0,value:0),time:(from:'2016-11-22 06:03:37-700',mode:absolute,to:'2016-11-22 08:50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7" s="105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/stypes="*4001*201611221*" /stext=" 14:.+((SYSTEM_STATE.+slice.+state.+changed )|(ment ac)|(system.+state.+changed )|(\[timeout)|(PRM\|1\|D)|(kpr)|(kdp)|(\|lc)|(penalty))" /e /r /s</v>
      </c>
      <c r="U7" s="9" t="str">
        <f t="shared" ref="U7:U38" si="2">MID(B7,13,4)</f>
        <v>4001</v>
      </c>
      <c r="V7" s="36">
        <f t="shared" ref="V7:V38" si="3">A7-utc_offset/24</f>
        <v>42696.613182870366</v>
      </c>
      <c r="W7" s="50" t="str">
        <f t="shared" ref="W7:W38" si="4">IF(VALUE(LEFT(IF(LEN(C7)=6,"0"&amp;C7,C7),2))&lt;=2,"EC",IF(OR(VALUE(LEFT(IF(LEN(C7)=6,"0"&amp;C7,C7),2))=8,VALUE(LEFT(IF(LEN(C7)=6,"0"&amp;C7,C7),2))=18),"NW","Other"))</f>
        <v>EC</v>
      </c>
      <c r="X7" s="50" t="str">
        <f t="shared" ref="X7:X38" si="5">IF(AND(E7="TRACK WARRANT AUTHORITY",G7&lt;10),"OMIT","KEEP")</f>
        <v>KEEP</v>
      </c>
      <c r="Y7" s="119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arrival","project_id":79,"tracker_id":40,"status_id":1,"priority_id":2,"assigned_to_id":23,"start_date":"2016-11-22","description":"","custom_fields":[{"id":1,"name":"Subdivision","value":"EC"},{"id":4,"name":"Milepost","value":"2.735"},{"id":17,"name":"Train ID","value":"122-22"},{"id":16,"name":"Locomotive ID","value":"4001"},{"id":130,"name":"Impact","value":""},{"id":150,"name":"Time of Event (Mountain Time)","value":"07:42:59"},{"id":151,"name":"Denver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"%USERPROFILE%\AppData\Local\Temp\OnboardLogs"\RTDC4001\*4001*201611221*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"%USERPROFILE%\AppData\Local\Temp\OnboardLogs"\RTDC4001\*4001*201611221* &gt;&gt; 42696-slicedisagreementcheck.txt</v>
      </c>
    </row>
    <row r="8" spans="1:30" s="1" customFormat="1" x14ac:dyDescent="0.25">
      <c r="A8" s="36">
        <v>42696.277314814812</v>
      </c>
      <c r="B8" s="31" t="s">
        <v>354</v>
      </c>
      <c r="C8" s="31" t="s">
        <v>418</v>
      </c>
      <c r="D8" s="31" t="s">
        <v>98</v>
      </c>
      <c r="E8" s="31" t="s">
        <v>154</v>
      </c>
      <c r="F8" s="47">
        <v>190</v>
      </c>
      <c r="G8" s="47">
        <v>246</v>
      </c>
      <c r="H8" s="47">
        <v>30976</v>
      </c>
      <c r="I8" s="47">
        <v>31514</v>
      </c>
      <c r="J8" s="31" t="s">
        <v>153</v>
      </c>
      <c r="K8" s="47">
        <v>30830</v>
      </c>
      <c r="L8" s="154" t="s">
        <v>50</v>
      </c>
      <c r="M8" s="155">
        <f t="shared" si="0"/>
        <v>-361.15199999999999</v>
      </c>
      <c r="N8" s="156" t="str">
        <f>VLOOKUP(C8,'Trips&amp;Operators'!$C$1:$E$99999,3,FALSE)</f>
        <v>DAVIS</v>
      </c>
      <c r="O8" s="183" t="s">
        <v>202</v>
      </c>
      <c r="P8" s="157" t="s">
        <v>345</v>
      </c>
      <c r="Q8" s="31"/>
      <c r="R8" s="100" t="str">
        <f>VLOOKUP(C8,'Train Runs'!$A$13:$AE$9988,31,0)</f>
        <v>aws s3 cp s3://rtdc.mdm.uploadarchive.raw/RTDC4027/ "%USERPROFILE%\AppData\Local\Temp\OnboardLogs"\RTDC4027\2016-11-22 --exclude "*" --recursive --include "*20161122*" &amp; "%USERPROFILE%\Documents\GitHub\mrs-test-scripts\Headless Mode &amp; Sideloading\WalkAndUnGZ.bat" "%USERPROFILE%\AppData\Local\Temp\OnboardLogs"\RTDC4027\2016-11-22 &amp; aws s3 cp s3://rtdc.mdm.uploadarchive.raw/RTDC4027/ "%USERPROFILE%\AppData\Local\Temp\OnboardLogs"\RTDC4027\2016-11-23 --exclude "*" --recursive --include "*20161123*" &amp; "%USERPROFILE%\Documents\GitHub\mrs-test-scripts\Headless Mode &amp; Sideloading\WalkAndUnGZ.bat" "%USERPROFILE%\AppData\Local\Temp\OnboardLogs"\RTDC4027\2016-11-23</v>
      </c>
      <c r="S8" s="103" t="str">
        <f>VLOOKUP(C8,'Train Runs'!$A$13:$AE$9988,22,0)</f>
        <v>https://search-rtdc-monitor-bjffxe2xuh6vdkpspy63sjmuny.us-east-1.es.amazonaws.com/_plugin/kibana/#/discover/Steve-Slow-Train-Analysis-(2080s-and-2083s)?_g=(refreshInterval:(display:Off,section:0,value:0),time:(from:'2016-11-22 05:28:17-700',mode:absolute,to:'2016-11-22 08:08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8" s="105" t="str">
        <f t="shared" si="1"/>
        <v>"C:\Program Files (x86)\AstroGrep\AstroGrep.exe" /spath="%USERPROFILE%\AppData\Local\Temp\OnboardLogs" /stypes="*4027*201611221*" /stext=" 13:.+((SYSTEM_STATE.+slice.+state.+changed )|(ment ac)|(system.+state.+changed )|(\[timeout)|(PRM\|1\|D)|(kpr)|(kdp)|(\|lc)|(penalty))" /e /r /s</v>
      </c>
      <c r="U8" s="9" t="str">
        <f t="shared" si="2"/>
        <v>4027</v>
      </c>
      <c r="V8" s="36">
        <f t="shared" si="3"/>
        <v>42696.568981481476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arrival","project_id":79,"tracker_id":40,"status_id":1,"priority_id":2,"assigned_to_id":23,"start_date":"2016-11-22","description":"","custom_fields":[{"id":1,"name":"Subdivision","value":"EC"},{"id":4,"name":"Milepost","value":"3.083"},{"id":17,"name":"Train ID","value":"123-22"},{"id":16,"name":"Locomotive ID","value":"4027"},{"id":130,"name":"Impact","value":""},{"id":150,"name":"Time of Event (Mountain Time)","value":"06:39:20"},{"id":151,"name":"Denver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"%USERPROFILE%\AppData\Local\Temp\OnboardLogs"\RTDC4027\*4027*201611221*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"%USERPROFILE%\AppData\Local\Temp\OnboardLogs"\RTDC4027\*4027*201611221* &gt;&gt; 42696-slicedisagreementcheck.txt</v>
      </c>
    </row>
    <row r="9" spans="1:30" s="1" customFormat="1" x14ac:dyDescent="0.25">
      <c r="A9" s="36">
        <v>42696.506724537037</v>
      </c>
      <c r="B9" s="31" t="s">
        <v>215</v>
      </c>
      <c r="C9" s="31" t="s">
        <v>431</v>
      </c>
      <c r="D9" s="31" t="s">
        <v>98</v>
      </c>
      <c r="E9" s="31" t="s">
        <v>154</v>
      </c>
      <c r="F9" s="47">
        <v>280</v>
      </c>
      <c r="G9" s="47">
        <v>334</v>
      </c>
      <c r="H9" s="47">
        <v>33228</v>
      </c>
      <c r="I9" s="47">
        <v>33923</v>
      </c>
      <c r="J9" s="31" t="s">
        <v>153</v>
      </c>
      <c r="K9" s="47">
        <v>33137</v>
      </c>
      <c r="L9" s="154" t="s">
        <v>50</v>
      </c>
      <c r="M9" s="155">
        <f t="shared" si="0"/>
        <v>-415.00799999999998</v>
      </c>
      <c r="N9" s="156" t="str">
        <f>VLOOKUP(C9,'Trips&amp;Operators'!$C$1:$E$99999,3,FALSE)</f>
        <v>YOUNG</v>
      </c>
      <c r="O9" s="183" t="s">
        <v>202</v>
      </c>
      <c r="P9" s="157" t="s">
        <v>345</v>
      </c>
      <c r="Q9" s="31"/>
      <c r="R9" s="100" t="str">
        <f>VLOOKUP(C9,'Train Runs'!$A$13:$AE$9988,31,0)</f>
        <v>aws s3 cp s3://rtdc.mdm.uploadarchive.raw/RTDC4011/ "%USERPROFILE%\AppData\Local\Temp\OnboardLogs"\RTDC4011\2016-11-22 --exclude "*" --recursive --include "*20161122*" &amp; "%USERPROFILE%\Documents\GitHub\mrs-test-scripts\Headless Mode &amp; Sideloading\WalkAndUnGZ.bat" "%USERPROFILE%\AppData\Local\Temp\OnboardLogs"\RTDC4011\2016-11-22 &amp; aws s3 cp s3://rtdc.mdm.uploadarchive.raw/RTDC4011/ "%USERPROFILE%\AppData\Local\Temp\OnboardLogs"\RTDC4011\2016-11-23 --exclude "*" --recursive --include "*20161123*" &amp; "%USERPROFILE%\Documents\GitHub\mrs-test-scripts\Headless Mode &amp; Sideloading\WalkAndUnGZ.bat" "%USERPROFILE%\AppData\Local\Temp\OnboardLogs"\RTDC4011\2016-11-23</v>
      </c>
      <c r="S9" s="103" t="str">
        <f>VLOOKUP(C9,'Train Runs'!$A$13:$AE$9988,22,0)</f>
        <v>https://search-rtdc-monitor-bjffxe2xuh6vdkpspy63sjmuny.us-east-1.es.amazonaws.com/_plugin/kibana/#/discover/Steve-Slow-Train-Analysis-(2080s-and-2083s)?_g=(refreshInterval:(display:Off,section:0,value:0),time:(from:'2016-11-22 10:57:20-700',mode:absolute,to:'2016-11-22 13:40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9" s="105" t="str">
        <f t="shared" si="1"/>
        <v>"C:\Program Files (x86)\AstroGrep\AstroGrep.exe" /spath="%USERPROFILE%\AppData\Local\Temp\OnboardLogs" /stypes="*4011*201611221*" /stext=" 19:.+((SYSTEM_STATE.+slice.+state.+changed )|(ment ac)|(system.+state.+changed )|(\[timeout)|(PRM\|1\|D)|(kpr)|(kdp)|(\|lc)|(penalty))" /e /r /s</v>
      </c>
      <c r="U9" s="9" t="str">
        <f t="shared" si="2"/>
        <v>4011</v>
      </c>
      <c r="V9" s="36">
        <f t="shared" si="3"/>
        <v>42696.798391203702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{"issue":{"subject":"Early arrival","project_id":79,"tracker_id":40,"status_id":1,"priority_id":2,"assigned_to_id":23,"start_date":"2016-11-22","description":"","custom_fields":[{"id":1,"name":"Subdivision","value":"EC"},{"id":4,"name":"Milepost","value":"3.3137"},{"id":17,"name":"Train ID","value":"167-22"},{"id":16,"name":"Locomotive ID","value":"4011"},{"id":130,"name":"Impact","value":""},{"id":150,"name":"Time of Event (Mountain Time)","value":"12:09:41"},{"id":151,"name":"Denver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"%USERPROFILE%\AppData\Local\Temp\OnboardLogs"\RTDC4011\*4011*201611221*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"%USERPROFILE%\AppData\Local\Temp\OnboardLogs"\RTDC4011\*4011*201611221* &gt;&gt; 42696-slicedisagreementcheck.txt</v>
      </c>
    </row>
    <row r="10" spans="1:30" s="1" customFormat="1" x14ac:dyDescent="0.25">
      <c r="A10" s="36">
        <v>42696.205150462964</v>
      </c>
      <c r="B10" s="31" t="s">
        <v>230</v>
      </c>
      <c r="C10" s="31" t="s">
        <v>415</v>
      </c>
      <c r="D10" s="31" t="s">
        <v>49</v>
      </c>
      <c r="E10" s="31" t="s">
        <v>154</v>
      </c>
      <c r="F10" s="47">
        <v>0</v>
      </c>
      <c r="G10" s="47">
        <v>343</v>
      </c>
      <c r="H10" s="47">
        <v>107208</v>
      </c>
      <c r="I10" s="47">
        <v>107916</v>
      </c>
      <c r="J10" s="31" t="s">
        <v>153</v>
      </c>
      <c r="K10" s="47">
        <v>108954</v>
      </c>
      <c r="L10" s="154" t="s">
        <v>50</v>
      </c>
      <c r="M10" s="155">
        <f t="shared" si="0"/>
        <v>548.06399999999996</v>
      </c>
      <c r="N10" s="156" t="str">
        <f>VLOOKUP(C10,'Trips&amp;Operators'!$C$1:$E$99999,3,FALSE)</f>
        <v>SPECTOR</v>
      </c>
      <c r="O10" s="183" t="s">
        <v>202</v>
      </c>
      <c r="P10" s="157" t="s">
        <v>408</v>
      </c>
      <c r="Q10" s="31"/>
      <c r="R10" s="100" t="str">
        <f>VLOOKUP(C10,'Train Runs'!$A$13:$AE$9988,31,0)</f>
        <v>aws s3 cp s3://rtdc.mdm.uploadarchive.raw/RTDC4002/ "%USERPROFILE%\AppData\Local\Temp\OnboardLogs"\RTDC4002\2016-11-22 --exclude "*" --recursive --include "*20161122*" &amp; "%USERPROFILE%\Documents\GitHub\mrs-test-scripts\Headless Mode &amp; Sideloading\WalkAndUnGZ.bat" "%USERPROFILE%\AppData\Local\Temp\OnboardLogs"\RTDC4002\2016-11-22 &amp; aws s3 cp s3://rtdc.mdm.uploadarchive.raw/RTDC4002/ "%USERPROFILE%\AppData\Local\Temp\OnboardLogs"\RTDC4002\2016-11-23 --exclude "*" --recursive --include "*20161123*" &amp; "%USERPROFILE%\Documents\GitHub\mrs-test-scripts\Headless Mode &amp; Sideloading\WalkAndUnGZ.bat" "%USERPROFILE%\AppData\Local\Temp\OnboardLogs"\RTDC4002\2016-11-23</v>
      </c>
      <c r="S10" s="103" t="str">
        <f>VLOOKUP(C10,'Train Runs'!$A$13:$AE$9988,22,0)</f>
        <v>https://search-rtdc-monitor-bjffxe2xuh6vdkpspy63sjmuny.us-east-1.es.amazonaws.com/_plugin/kibana/#/discover/Steve-Slow-Train-Analysis-(2080s-and-2083s)?_g=(refreshInterval:(display:Off,section:0,value:0),time:(from:'2016-11-22 03:30:05-700',mode:absolute,to:'2016-11-22 06:13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0" s="105" t="str">
        <f t="shared" si="1"/>
        <v>"C:\Program Files (x86)\AstroGrep\AstroGrep.exe" /spath="%USERPROFILE%\AppData\Local\Temp\OnboardLogs" /stypes="*4002*201611221*" /stext=" 11:.+((SYSTEM_STATE.+slice.+state.+changed )|(ment ac)|(system.+state.+changed )|(\[timeout)|(PRM\|1\|D)|(kpr)|(kdp)|(\|lc)|(penalty))" /e /r /s</v>
      </c>
      <c r="U10" s="9" t="str">
        <f t="shared" si="2"/>
        <v>4002</v>
      </c>
      <c r="V10" s="36">
        <f t="shared" si="3"/>
        <v>42696.496817129628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{"issue":{"subject":"Form C","project_id":79,"tracker_id":40,"status_id":1,"priority_id":2,"assigned_to_id":23,"start_date":"2016-11-22","description":"","custom_fields":[{"id":1,"name":"Subdivision","value":"EC"},{"id":4,"name":"Milepost","value":"10.8954"},{"id":17,"name":"Train ID","value":"107-22"},{"id":16,"name":"Locomotive ID","value":"4002"},{"id":130,"name":"Impact","value":""},{"id":150,"name":"Time of Event (Mountain Time)","value":"04:55:25"},{"id":151,"name":"Denver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"%USERPROFILE%\AppData\Local\Temp\OnboardLogs"\RTDC4002\*4002*201611221*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"%USERPROFILE%\AppData\Local\Temp\OnboardLogs"\RTDC4002\*4002*201611221* &gt;&gt; 42696-slicedisagreementcheck.txt</v>
      </c>
    </row>
    <row r="11" spans="1:30" s="1" customFormat="1" x14ac:dyDescent="0.25">
      <c r="A11" s="36">
        <v>42696.79991898148</v>
      </c>
      <c r="B11" s="31" t="s">
        <v>292</v>
      </c>
      <c r="C11" s="31" t="s">
        <v>440</v>
      </c>
      <c r="D11" s="31" t="s">
        <v>49</v>
      </c>
      <c r="E11" s="31" t="s">
        <v>203</v>
      </c>
      <c r="F11" s="47">
        <v>400</v>
      </c>
      <c r="G11" s="47">
        <v>465</v>
      </c>
      <c r="H11" s="47">
        <v>120854</v>
      </c>
      <c r="I11" s="47">
        <v>119540</v>
      </c>
      <c r="J11" s="31" t="s">
        <v>204</v>
      </c>
      <c r="K11" s="47">
        <v>119716</v>
      </c>
      <c r="L11" s="154" t="s">
        <v>51</v>
      </c>
      <c r="M11" s="155">
        <f t="shared" si="0"/>
        <v>-92.927999999999997</v>
      </c>
      <c r="N11" s="156" t="str">
        <f>VLOOKUP(C11,'Trips&amp;Operators'!$C$1:$E$99999,3,FALSE)</f>
        <v>BRANDNER</v>
      </c>
      <c r="O11" s="183" t="s">
        <v>202</v>
      </c>
      <c r="P11" s="157"/>
      <c r="Q11" s="31"/>
      <c r="R11" s="100" t="str">
        <f>VLOOKUP(C11,'Train Runs'!$A$13:$AE$9988,31,0)</f>
        <v>aws s3 cp s3://rtdc.mdm.uploadarchive.raw/RTDC4045/ "%USERPROFILE%\AppData\Local\Temp\OnboardLogs"\RTDC4045\2016-11-22 --exclude "*" --recursive --include "*20161122*" &amp; "%USERPROFILE%\Documents\GitHub\mrs-test-scripts\Headless Mode &amp; Sideloading\WalkAndUnGZ.bat" "%USERPROFILE%\AppData\Local\Temp\OnboardLogs"\RTDC4045\2016-11-22 &amp; aws s3 cp s3://rtdc.mdm.uploadarchive.raw/RTDC4045/ "%USERPROFILE%\AppData\Local\Temp\OnboardLogs"\RTDC4045\2016-11-23 --exclude "*" --recursive --include "*20161123*" &amp; "%USERPROFILE%\Documents\GitHub\mrs-test-scripts\Headless Mode &amp; Sideloading\WalkAndUnGZ.bat" "%USERPROFILE%\AppData\Local\Temp\OnboardLogs"\RTDC4045\2016-11-23</v>
      </c>
      <c r="S11" s="103" t="str">
        <f>VLOOKUP(C11,'Train Runs'!$A$13:$AE$9988,22,0)</f>
        <v>https://search-rtdc-monitor-bjffxe2xuh6vdkpspy63sjmuny.us-east-1.es.amazonaws.com/_plugin/kibana/#/discover/Steve-Slow-Train-Analysis-(2080s-and-2083s)?_g=(refreshInterval:(display:Off,section:0,value:0),time:(from:'2016-11-22 17:48:35-700',mode:absolute,to:'2016-11-22 20:36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1" s="105" t="str">
        <f t="shared" si="1"/>
        <v>"C:\Program Files (x86)\AstroGrep\AstroGrep.exe" /spath="%USERPROFILE%\AppData\Local\Temp\OnboardLogs" /stypes="*4045*201611230*" /stext=" 02:.+((SYSTEM_STATE.+slice.+state.+changed )|(ment ac)|(system.+state.+changed )|(\[timeout)|(PRM\|1\|D)|(kpr)|(kdp)|(\|lc)|(penalty))" /e /r /s</v>
      </c>
      <c r="U11" s="9" t="str">
        <f t="shared" si="2"/>
        <v>4045</v>
      </c>
      <c r="V11" s="36">
        <f t="shared" si="3"/>
        <v>42697.091585648144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{"issue":{"subject":"","project_id":79,"tracker_id":40,"status_id":1,"priority_id":2,"assigned_to_id":23,"start_date":"2016-11-22","description":"","custom_fields":[{"id":1,"name":"Subdivision","value":"EC"},{"id":4,"name":"Milepost","value":"11.9716"},{"id":17,"name":"Train ID","value":"216-22"},{"id":16,"name":"Locomotive ID","value":"4045"},{"id":130,"name":"Impact","value":""},{"id":150,"name":"Time of Event (Mountain Time)","value":"19:11:53"},{"id":151,"name":"Denver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"%USERPROFILE%\AppData\Local\Temp\OnboardLogs"\RTDC4045\*4045*201611230*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"%USERPROFILE%\AppData\Local\Temp\OnboardLogs"\RTDC4045\*4045*201611230* &gt;&gt; 42696-slicedisagreementcheck.txt</v>
      </c>
    </row>
    <row r="12" spans="1:30" s="1" customFormat="1" x14ac:dyDescent="0.25">
      <c r="A12" s="36">
        <v>42696.314629629633</v>
      </c>
      <c r="B12" s="31" t="s">
        <v>236</v>
      </c>
      <c r="C12" s="31" t="s">
        <v>420</v>
      </c>
      <c r="D12" s="31" t="s">
        <v>98</v>
      </c>
      <c r="E12" s="31" t="s">
        <v>203</v>
      </c>
      <c r="F12" s="47">
        <v>600</v>
      </c>
      <c r="G12" s="47">
        <v>650</v>
      </c>
      <c r="H12" s="47">
        <v>186394</v>
      </c>
      <c r="I12" s="47">
        <v>189705</v>
      </c>
      <c r="J12" s="31" t="s">
        <v>204</v>
      </c>
      <c r="K12" s="47">
        <v>183829</v>
      </c>
      <c r="L12" s="154" t="s">
        <v>50</v>
      </c>
      <c r="M12" s="155">
        <f t="shared" si="0"/>
        <v>-3102.5279999999998</v>
      </c>
      <c r="N12" s="156" t="str">
        <f>VLOOKUP(C12,'Trips&amp;Operators'!$C$1:$E$99999,3,FALSE)</f>
        <v>KILLION</v>
      </c>
      <c r="O12" s="183" t="s">
        <v>202</v>
      </c>
      <c r="P12" s="157"/>
      <c r="Q12" s="31"/>
      <c r="R12" s="100" t="str">
        <f>VLOOKUP(C12,'Train Runs'!$A$13:$AE$9988,31,0)</f>
        <v>aws s3 cp s3://rtdc.mdm.uploadarchive.raw/RTDC4022/ "%USERPROFILE%\AppData\Local\Temp\OnboardLogs"\RTDC4022\2016-11-22 --exclude "*" --recursive --include "*20161122*" &amp; "%USERPROFILE%\Documents\GitHub\mrs-test-scripts\Headless Mode &amp; Sideloading\WalkAndUnGZ.bat" "%USERPROFILE%\AppData\Local\Temp\OnboardLogs"\RTDC4022\2016-11-22 &amp; aws s3 cp s3://rtdc.mdm.uploadarchive.raw/RTDC4022/ "%USERPROFILE%\AppData\Local\Temp\OnboardLogs"\RTDC4022\2016-11-23 --exclude "*" --recursive --include "*20161123*" &amp; "%USERPROFILE%\Documents\GitHub\mrs-test-scripts\Headless Mode &amp; Sideloading\WalkAndUnGZ.bat" "%USERPROFILE%\AppData\Local\Temp\OnboardLogs"\RTDC4022\2016-11-23</v>
      </c>
      <c r="S12" s="103" t="str">
        <f>VLOOKUP(C12,'Train Runs'!$A$13:$AE$9988,22,0)</f>
        <v>https://search-rtdc-monitor-bjffxe2xuh6vdkpspy63sjmuny.us-east-1.es.amazonaws.com/_plugin/kibana/#/discover/Steve-Slow-Train-Analysis-(2080s-and-2083s)?_g=(refreshInterval:(display:Off,section:0,value:0),time:(from:'2016-11-22 05:58:52-700',mode:absolute,to:'2016-11-22 08:39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12" s="105" t="str">
        <f t="shared" si="1"/>
        <v>"C:\Program Files (x86)\AstroGrep\AstroGrep.exe" /spath="%USERPROFILE%\AppData\Local\Temp\OnboardLogs" /stypes="*4022*201611221*" /stext=" 14:.+((SYSTEM_STATE.+slice.+state.+changed )|(ment ac)|(system.+state.+changed )|(\[timeout)|(PRM\|1\|D)|(kpr)|(kdp)|(\|lc)|(penalty))" /e /r /s</v>
      </c>
      <c r="U12" s="9" t="str">
        <f t="shared" si="2"/>
        <v>4022</v>
      </c>
      <c r="V12" s="36">
        <f t="shared" si="3"/>
        <v>42696.606296296297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{"issue":{"subject":"","project_id":79,"tracker_id":40,"status_id":1,"priority_id":2,"assigned_to_id":23,"start_date":"2016-11-22","description":"","custom_fields":[{"id":1,"name":"Subdivision","value":"EC"},{"id":4,"name":"Milepost","value":"18.3829"},{"id":17,"name":"Train ID","value":"127-22"},{"id":16,"name":"Locomotive ID","value":"4022"},{"id":130,"name":"Impact","value":""},{"id":150,"name":"Time of Event (Mountain Time)","value":"07:33:04"},{"id":151,"name":"Denver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"%USERPROFILE%\AppData\Local\Temp\OnboardLogs"\RTDC4022\*4022*201611221*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"%USERPROFILE%\AppData\Local\Temp\OnboardLogs"\RTDC4022\*4022*201611221* &gt;&gt; 42696-slicedisagreementcheck.txt</v>
      </c>
    </row>
    <row r="13" spans="1:30" s="1" customFormat="1" x14ac:dyDescent="0.25">
      <c r="A13" s="36">
        <v>42696.810937499999</v>
      </c>
      <c r="B13" s="31" t="s">
        <v>229</v>
      </c>
      <c r="C13" s="31" t="s">
        <v>441</v>
      </c>
      <c r="D13" s="31" t="s">
        <v>98</v>
      </c>
      <c r="E13" s="31" t="s">
        <v>203</v>
      </c>
      <c r="F13" s="47">
        <v>150</v>
      </c>
      <c r="G13" s="47">
        <v>205</v>
      </c>
      <c r="H13" s="47">
        <v>231085</v>
      </c>
      <c r="I13" s="47">
        <v>230655</v>
      </c>
      <c r="J13" s="31" t="s">
        <v>204</v>
      </c>
      <c r="K13" s="47">
        <v>231269</v>
      </c>
      <c r="L13" s="154" t="s">
        <v>51</v>
      </c>
      <c r="M13" s="155">
        <f t="shared" si="0"/>
        <v>-324.19200000000001</v>
      </c>
      <c r="N13" s="156" t="str">
        <f>VLOOKUP(C13,'Trips&amp;Operators'!$C$1:$E$99999,3,FALSE)</f>
        <v>NICHOLSON</v>
      </c>
      <c r="O13" s="183" t="s">
        <v>202</v>
      </c>
      <c r="P13" s="157"/>
      <c r="Q13" s="31"/>
      <c r="R13" s="100" t="str">
        <f>VLOOKUP(C13,'Train Runs'!$A$13:$AE$9988,31,0)</f>
        <v>aws s3 cp s3://rtdc.mdm.uploadarchive.raw/RTDC4001/ "%USERPROFILE%\AppData\Local\Temp\OnboardLogs"\RTDC4001\2016-11-22 --exclude "*" --recursive --include "*20161122*" &amp; "%USERPROFILE%\Documents\GitHub\mrs-test-scripts\Headless Mode &amp; Sideloading\WalkAndUnGZ.bat" "%USERPROFILE%\AppData\Local\Temp\OnboardLogs"\RTDC4001\2016-11-22 &amp; aws s3 cp s3://rtdc.mdm.uploadarchive.raw/RTDC4001/ "%USERPROFILE%\AppData\Local\Temp\OnboardLogs"\RTDC4001\2016-11-23 --exclude "*" --recursive --include "*20161123*" &amp; "%USERPROFILE%\Documents\GitHub\mrs-test-scripts\Headless Mode &amp; Sideloading\WalkAndUnGZ.bat" "%USERPROFILE%\AppData\Local\Temp\OnboardLogs"\RTDC4001\2016-11-23</v>
      </c>
      <c r="S13" s="103" t="str">
        <f>VLOOKUP(C13,'Train Runs'!$A$13:$AE$9988,22,0)</f>
        <v>https://search-rtdc-monitor-bjffxe2xuh6vdkpspy63sjmuny.us-east-1.es.amazonaws.com/_plugin/kibana/#/discover/Steve-Slow-Train-Analysis-(2080s-and-2083s)?_g=(refreshInterval:(display:Off,section:0,value:0),time:(from:'2016-11-22 18:21:10-700',mode:absolute,to:'2016-11-22 21:07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3" s="105" t="str">
        <f t="shared" si="1"/>
        <v>"C:\Program Files (x86)\AstroGrep\AstroGrep.exe" /spath="%USERPROFILE%\AppData\Local\Temp\OnboardLogs" /stypes="*4001*201611230*" /stext=" 02:.+((SYSTEM_STATE.+slice.+state.+changed )|(ment ac)|(system.+state.+changed )|(\[timeout)|(PRM\|1\|D)|(kpr)|(kdp)|(\|lc)|(penalty))" /e /r /s</v>
      </c>
      <c r="U13" s="9" t="str">
        <f t="shared" si="2"/>
        <v>4001</v>
      </c>
      <c r="V13" s="36">
        <f t="shared" si="3"/>
        <v>42697.102604166663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{"issue":{"subject":"","project_id":79,"tracker_id":40,"status_id":1,"priority_id":2,"assigned_to_id":23,"start_date":"2016-11-22","description":"","custom_fields":[{"id":1,"name":"Subdivision","value":"EC"},{"id":4,"name":"Milepost","value":"23.1269"},{"id":17,"name":"Train ID","value":"220-22"},{"id":16,"name":"Locomotive ID","value":"4001"},{"id":130,"name":"Impact","value":""},{"id":150,"name":"Time of Event (Mountain Time)","value":"19:27:45"},{"id":151,"name":"Denver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"%USERPROFILE%\AppData\Local\Temp\OnboardLogs"\RTDC4001\*4001*201611230*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"%USERPROFILE%\AppData\Local\Temp\OnboardLogs"\RTDC4001\*4001*201611230* &gt;&gt; 42696-slicedisagreementcheck.txt</v>
      </c>
    </row>
    <row r="14" spans="1:30" s="1" customFormat="1" x14ac:dyDescent="0.25">
      <c r="A14" s="36">
        <v>42696.362141203703</v>
      </c>
      <c r="B14" s="31" t="s">
        <v>241</v>
      </c>
      <c r="C14" s="31" t="s">
        <v>425</v>
      </c>
      <c r="D14" s="31" t="s">
        <v>98</v>
      </c>
      <c r="E14" s="31" t="s">
        <v>203</v>
      </c>
      <c r="F14" s="47">
        <v>150</v>
      </c>
      <c r="G14" s="47">
        <v>229</v>
      </c>
      <c r="H14" s="47">
        <v>232390</v>
      </c>
      <c r="I14" s="47">
        <v>232116</v>
      </c>
      <c r="J14" s="31" t="s">
        <v>204</v>
      </c>
      <c r="K14" s="47">
        <v>233492</v>
      </c>
      <c r="L14" s="154" t="s">
        <v>51</v>
      </c>
      <c r="M14" s="155">
        <f t="shared" si="0"/>
        <v>-726.52800000000002</v>
      </c>
      <c r="N14" s="156" t="str">
        <f>VLOOKUP(C14,'Trips&amp;Operators'!$C$1:$E$99999,3,FALSE)</f>
        <v>RICHARDSON</v>
      </c>
      <c r="O14" s="183" t="s">
        <v>202</v>
      </c>
      <c r="P14" s="157"/>
      <c r="Q14" s="31"/>
      <c r="R14" s="100" t="str">
        <f>VLOOKUP(C14,'Train Runs'!$A$13:$AE$9988,31,0)</f>
        <v>aws s3 cp s3://rtdc.mdm.uploadarchive.raw/RTDC4037/ "%USERPROFILE%\AppData\Local\Temp\OnboardLogs"\RTDC4037\2016-11-22 --exclude "*" --recursive --include "*20161122*" &amp; "%USERPROFILE%\Documents\GitHub\mrs-test-scripts\Headless Mode &amp; Sideloading\WalkAndUnGZ.bat" "%USERPROFILE%\AppData\Local\Temp\OnboardLogs"\RTDC4037\2016-11-22 &amp; aws s3 cp s3://rtdc.mdm.uploadarchive.raw/RTDC4037/ "%USERPROFILE%\AppData\Local\Temp\OnboardLogs"\RTDC4037\2016-11-23 --exclude "*" --recursive --include "*20161123*" &amp; "%USERPROFILE%\Documents\GitHub\mrs-test-scripts\Headless Mode &amp; Sideloading\WalkAndUnGZ.bat" "%USERPROFILE%\AppData\Local\Temp\OnboardLogs"\RTDC4037\2016-11-23</v>
      </c>
      <c r="S14" s="103" t="str">
        <f>VLOOKUP(C14,'Train Runs'!$A$13:$AE$9988,22,0)</f>
        <v>https://search-rtdc-monitor-bjffxe2xuh6vdkpspy63sjmuny.us-east-1.es.amazonaws.com/_plugin/kibana/#/discover/Steve-Slow-Train-Analysis-(2080s-and-2083s)?_g=(refreshInterval:(display:Off,section:0,value:0),time:(from:'2016-11-22 07:28:36-700',mode:absolute,to:'2016-11-22 10:20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4" s="105" t="str">
        <f t="shared" si="1"/>
        <v>"C:\Program Files (x86)\AstroGrep\AstroGrep.exe" /spath="%USERPROFILE%\AppData\Local\Temp\OnboardLogs" /stypes="*4037*201611221*" /stext=" 15:.+((SYSTEM_STATE.+slice.+state.+changed )|(ment ac)|(system.+state.+changed )|(\[timeout)|(PRM\|1\|D)|(kpr)|(kdp)|(\|lc)|(penalty))" /e /r /s</v>
      </c>
      <c r="U14" s="9" t="str">
        <f t="shared" si="2"/>
        <v>4037</v>
      </c>
      <c r="V14" s="36">
        <f t="shared" si="3"/>
        <v>42696.653807870367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{"issue":{"subject":"","project_id":79,"tracker_id":40,"status_id":1,"priority_id":2,"assigned_to_id":23,"start_date":"2016-11-22","description":"","custom_fields":[{"id":1,"name":"Subdivision","value":"EC"},{"id":4,"name":"Milepost","value":"23.3492"},{"id":17,"name":"Train ID","value":"134-22"},{"id":16,"name":"Locomotive ID","value":"4037"},{"id":130,"name":"Impact","value":""},{"id":150,"name":"Time of Event (Mountain Time)","value":"08:41:29"},{"id":151,"name":"Denver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"%USERPROFILE%\AppData\Local\Temp\OnboardLogs"\RTDC4037\*4037*201611221*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"%USERPROFILE%\AppData\Local\Temp\OnboardLogs"\RTDC4037\*4037*201611221* &gt;&gt; 42696-slicedisagreementcheck.txt</v>
      </c>
    </row>
    <row r="15" spans="1:30" s="1" customFormat="1" x14ac:dyDescent="0.25">
      <c r="A15" s="36">
        <v>42696.158680555556</v>
      </c>
      <c r="B15" s="31" t="s">
        <v>293</v>
      </c>
      <c r="C15" s="31" t="s">
        <v>411</v>
      </c>
      <c r="D15" s="31" t="s">
        <v>98</v>
      </c>
      <c r="E15" s="31" t="s">
        <v>205</v>
      </c>
      <c r="F15" s="47">
        <v>0</v>
      </c>
      <c r="G15" s="47">
        <v>61</v>
      </c>
      <c r="H15" s="47">
        <v>1843</v>
      </c>
      <c r="I15" s="47">
        <v>1902</v>
      </c>
      <c r="J15" s="31" t="s">
        <v>206</v>
      </c>
      <c r="K15" s="47">
        <v>1692</v>
      </c>
      <c r="L15" s="154" t="s">
        <v>50</v>
      </c>
      <c r="M15" s="155">
        <f t="shared" si="0"/>
        <v>-110.88</v>
      </c>
      <c r="N15" s="156" t="str">
        <f>VLOOKUP(C15,'Trips&amp;Operators'!$C$1:$E$99999,3,FALSE)</f>
        <v>MCREYNOLDS</v>
      </c>
      <c r="O15" s="183" t="s">
        <v>202</v>
      </c>
      <c r="P15" s="157" t="s">
        <v>806</v>
      </c>
      <c r="Q15" s="31"/>
      <c r="R15" s="100" t="str">
        <f>VLOOKUP(C15,'Train Runs'!$A$13:$AE$9988,31,0)</f>
        <v>aws s3 cp s3://rtdc.mdm.uploadarchive.raw/RTDC4046/ "%USERPROFILE%\AppData\Local\Temp\OnboardLogs"\RTDC4046\2016-11-22 --exclude "*" --recursive --include "*20161122*" &amp; "%USERPROFILE%\Documents\GitHub\mrs-test-scripts\Headless Mode &amp; Sideloading\WalkAndUnGZ.bat" "%USERPROFILE%\AppData\Local\Temp\OnboardLogs"\RTDC4046\2016-11-22 &amp; 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</v>
      </c>
      <c r="S15" s="103" t="str">
        <f>VLOOKUP(C15,'Train Runs'!$A$13:$AE$9988,22,0)</f>
        <v>https://search-rtdc-monitor-bjffxe2xuh6vdkpspy63sjmuny.us-east-1.es.amazonaws.com/_plugin/kibana/#/discover/Steve-Slow-Train-Analysis-(2080s-and-2083s)?_g=(refreshInterval:(display:Off,section:0,value:0),time:(from:'2016-11-22 02:46:17-700',mode:absolute,to:'2016-11-22 04:48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15" s="105" t="str">
        <f t="shared" si="1"/>
        <v>"C:\Program Files (x86)\AstroGrep\AstroGrep.exe" /spath="%USERPROFILE%\AppData\Local\Temp\OnboardLogs" /stypes="*4046*201611221*" /stext=" 10:.+((SYSTEM_STATE.+slice.+state.+changed )|(ment ac)|(system.+state.+changed )|(\[timeout)|(PRM\|1\|D)|(kpr)|(kdp)|(\|lc)|(penalty))" /e /r /s</v>
      </c>
      <c r="U15" s="9" t="str">
        <f t="shared" si="2"/>
        <v>4046</v>
      </c>
      <c r="V15" s="36">
        <f t="shared" si="3"/>
        <v>42696.45034722222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{"issue":{"subject":"Main 3 departure","project_id":79,"tracker_id":40,"status_id":1,"priority_id":2,"assigned_to_id":23,"start_date":"2016-11-22","description":"","custom_fields":[{"id":1,"name":"Subdivision","value":"EC"},{"id":4,"name":"Milepost","value":"0.1692"},{"id":17,"name":"Train ID","value":"103-22"},{"id":16,"name":"Locomotive ID","value":"4046"},{"id":130,"name":"Impact","value":""},{"id":150,"name":"Time of Event (Mountain Time)","value":"03:48:30"},{"id":151,"name":"Denver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"%USERPROFILE%\AppData\Local\Temp\OnboardLogs"\RTDC4046\*4046*201611221*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"%USERPROFILE%\AppData\Local\Temp\OnboardLogs"\RTDC4046\*4046*201611221* &gt;&gt; 42696-slicedisagreementcheck.txt</v>
      </c>
    </row>
    <row r="16" spans="1:30" s="1" customFormat="1" x14ac:dyDescent="0.25">
      <c r="A16" s="36">
        <v>42696.386134259257</v>
      </c>
      <c r="B16" s="31" t="s">
        <v>348</v>
      </c>
      <c r="C16" s="31" t="s">
        <v>426</v>
      </c>
      <c r="D16" s="31" t="s">
        <v>49</v>
      </c>
      <c r="E16" s="31" t="s">
        <v>205</v>
      </c>
      <c r="F16" s="47">
        <v>0</v>
      </c>
      <c r="G16" s="47">
        <v>552</v>
      </c>
      <c r="H16" s="47">
        <v>194899</v>
      </c>
      <c r="I16" s="47">
        <v>193163</v>
      </c>
      <c r="J16" s="31" t="s">
        <v>206</v>
      </c>
      <c r="K16" s="47">
        <v>191723</v>
      </c>
      <c r="L16" s="154" t="s">
        <v>51</v>
      </c>
      <c r="M16" s="155">
        <f t="shared" si="0"/>
        <v>760.32</v>
      </c>
      <c r="N16" s="156" t="str">
        <f>VLOOKUP(C16,'Trips&amp;Operators'!$C$1:$E$99999,3,FALSE)</f>
        <v>DAVIS</v>
      </c>
      <c r="O16" s="183" t="s">
        <v>202</v>
      </c>
      <c r="P16" s="157" t="s">
        <v>814</v>
      </c>
      <c r="Q16" s="31"/>
      <c r="R16" s="100" t="str">
        <f>VLOOKUP(C16,'Train Runs'!$A$13:$AE$9988,31,0)</f>
        <v>aws s3 cp s3://rtdc.mdm.uploadarchive.raw/RTDC4028/ "%USERPROFILE%\AppData\Local\Temp\OnboardLogs"\RTDC4028\2016-11-22 --exclude "*" --recursive --include "*20161122*" &amp; "%USERPROFILE%\Documents\GitHub\mrs-test-scripts\Headless Mode &amp; Sideloading\WalkAndUnGZ.bat" "%USERPROFILE%\AppData\Local\Temp\OnboardLogs"\RTDC4028\2016-11-22 &amp; aws s3 cp s3://rtdc.mdm.uploadarchive.raw/RTDC4028/ "%USERPROFILE%\AppData\Local\Temp\OnboardLogs"\RTDC4028\2016-11-23 --exclude "*" --recursive --include "*20161123*" &amp; "%USERPROFILE%\Documents\GitHub\mrs-test-scripts\Headless Mode &amp; Sideloading\WalkAndUnGZ.bat" "%USERPROFILE%\AppData\Local\Temp\OnboardLogs"\RTDC4028\2016-11-23</v>
      </c>
      <c r="S16" s="103" t="str">
        <f>VLOOKUP(C16,'Train Runs'!$A$13:$AE$9988,22,0)</f>
        <v>https://search-rtdc-monitor-bjffxe2xuh6vdkpspy63sjmuny.us-east-1.es.amazonaws.com/_plugin/kibana/#/discover/Steve-Slow-Train-Analysis-(2080s-and-2083s)?_g=(refreshInterval:(display:Off,section:0,value:0),time:(from:'2016-11-22 08:04:41-700',mode:absolute,to:'2016-11-22 10:50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6" s="105" t="str">
        <f t="shared" si="1"/>
        <v>"C:\Program Files (x86)\AstroGrep\AstroGrep.exe" /spath="%USERPROFILE%\AppData\Local\Temp\OnboardLogs" /stypes="*4028*201611221*" /stext=" 16:.+((SYSTEM_STATE.+slice.+state.+changed )|(ment ac)|(system.+state.+changed )|(\[timeout)|(PRM\|1\|D)|(kpr)|(kdp)|(\|lc)|(penalty))" /e /r /s</v>
      </c>
      <c r="U16" s="9" t="str">
        <f t="shared" si="2"/>
        <v>4028</v>
      </c>
      <c r="V16" s="36">
        <f t="shared" si="3"/>
        <v>42696.677800925921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{"issue":{"subject":"Pena 4S STOP","project_id":79,"tracker_id":40,"status_id":1,"priority_id":2,"assigned_to_id":23,"start_date":"2016-11-22","description":"","custom_fields":[{"id":1,"name":"Subdivision","value":"EC"},{"id":4,"name":"Milepost","value":"19.1723"},{"id":17,"name":"Train ID","value":"138-22"},{"id":16,"name":"Locomotive ID","value":"4028"},{"id":130,"name":"Impact","value":""},{"id":150,"name":"Time of Event (Mountain Time)","value":"09:16:02"},{"id":151,"name":"Denver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"%USERPROFILE%\AppData\Local\Temp\OnboardLogs"\RTDC4028\*4028*201611221*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"%USERPROFILE%\AppData\Local\Temp\OnboardLogs"\RTDC4028\*4028*201611221* &gt;&gt; 42696-slicedisagreementcheck.txt</v>
      </c>
    </row>
    <row r="17" spans="1:30" s="1" customFormat="1" x14ac:dyDescent="0.25">
      <c r="A17" s="36">
        <v>42696.284062500003</v>
      </c>
      <c r="B17" s="31" t="s">
        <v>237</v>
      </c>
      <c r="C17" s="31" t="s">
        <v>419</v>
      </c>
      <c r="D17" s="31" t="s">
        <v>98</v>
      </c>
      <c r="E17" s="31" t="s">
        <v>272</v>
      </c>
      <c r="F17" s="47">
        <v>150</v>
      </c>
      <c r="G17" s="47">
        <v>217</v>
      </c>
      <c r="H17" s="47">
        <v>26827</v>
      </c>
      <c r="I17" s="47">
        <v>26349</v>
      </c>
      <c r="J17" s="31" t="s">
        <v>153</v>
      </c>
      <c r="K17" s="47">
        <v>27399</v>
      </c>
      <c r="L17" s="154" t="s">
        <v>51</v>
      </c>
      <c r="M17" s="155">
        <f t="shared" si="0"/>
        <v>-554.4</v>
      </c>
      <c r="N17" s="156" t="str">
        <f>VLOOKUP(C17,'Trips&amp;Operators'!$C$1:$E$99999,3,FALSE)</f>
        <v>KILLION</v>
      </c>
      <c r="O17" s="183" t="s">
        <v>202</v>
      </c>
      <c r="P17" s="157"/>
      <c r="Q17" s="31"/>
      <c r="R17" s="100" t="str">
        <f>VLOOKUP(C17,'Train Runs'!$A$13:$AE$9988,31,0)</f>
        <v>aws s3 cp s3://rtdc.mdm.uploadarchive.raw/RTDC4021/ "%USERPROFILE%\AppData\Local\Temp\OnboardLogs"\RTDC4021\2016-11-22 --exclude "*" --recursive --include "*20161122*" &amp; "%USERPROFILE%\Documents\GitHub\mrs-test-scripts\Headless Mode &amp; Sideloading\WalkAndUnGZ.bat" "%USERPROFILE%\AppData\Local\Temp\OnboardLogs"\RTDC4021\2016-11-22 &amp; aws s3 cp s3://rtdc.mdm.uploadarchive.raw/RTDC4021/ "%USERPROFILE%\AppData\Local\Temp\OnboardLogs"\RTDC4021\2016-11-23 --exclude "*" --recursive --include "*20161123*" &amp; "%USERPROFILE%\Documents\GitHub\mrs-test-scripts\Headless Mode &amp; Sideloading\WalkAndUnGZ.bat" "%USERPROFILE%\AppData\Local\Temp\OnboardLogs"\RTDC4021\2016-11-23</v>
      </c>
      <c r="S17" s="103" t="str">
        <f>VLOOKUP(C17,'Train Runs'!$A$13:$AE$9988,22,0)</f>
        <v>https://search-rtdc-monitor-bjffxe2xuh6vdkpspy63sjmuny.us-east-1.es.amazonaws.com/_plugin/kibana/#/discover/Steve-Slow-Train-Analysis-(2080s-and-2083s)?_g=(refreshInterval:(display:Off,section:0,value:0),time:(from:'2016-11-22 05:06:51-700',mode:absolute,to:'2016-11-22 07:56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17" s="105" t="str">
        <f t="shared" si="1"/>
        <v>"C:\Program Files (x86)\AstroGrep\AstroGrep.exe" /spath="%USERPROFILE%\AppData\Local\Temp\OnboardLogs" /stypes="*4021*201611221*" /stext=" 13:.+((SYSTEM_STATE.+slice.+state.+changed )|(ment ac)|(system.+state.+changed )|(\[timeout)|(PRM\|1\|D)|(kpr)|(kdp)|(\|lc)|(penalty))" /e /r /s</v>
      </c>
      <c r="U17" s="9" t="str">
        <f t="shared" si="2"/>
        <v>4021</v>
      </c>
      <c r="V17" s="36">
        <f t="shared" si="3"/>
        <v>42696.575729166667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{"issue":{"subject":"","project_id":79,"tracker_id":40,"status_id":1,"priority_id":2,"assigned_to_id":23,"start_date":"2016-11-22","description":"","custom_fields":[{"id":1,"name":"Subdivision","value":"EC"},{"id":4,"name":"Milepost","value":"2.7399"},{"id":17,"name":"Train ID","value":"114-22"},{"id":16,"name":"Locomotive ID","value":"4021"},{"id":130,"name":"Impact","value":""},{"id":150,"name":"Time of Event (Mountain Time)","value":"06:49:03"},{"id":151,"name":"Denver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"%USERPROFILE%\AppData\Local\Temp\OnboardLogs"\RTDC4021\*4021*201611221*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"%USERPROFILE%\AppData\Local\Temp\OnboardLogs"\RTDC4021\*4021*201611221* &gt;&gt; 42696-slicedisagreementcheck.txt</v>
      </c>
    </row>
    <row r="18" spans="1:30" s="1" customFormat="1" x14ac:dyDescent="0.25">
      <c r="A18" s="36">
        <v>42696.425462962965</v>
      </c>
      <c r="B18" s="31" t="s">
        <v>237</v>
      </c>
      <c r="C18" s="31" t="s">
        <v>427</v>
      </c>
      <c r="D18" s="31" t="s">
        <v>98</v>
      </c>
      <c r="E18" s="31" t="s">
        <v>272</v>
      </c>
      <c r="F18" s="47">
        <v>150</v>
      </c>
      <c r="G18" s="47">
        <v>200</v>
      </c>
      <c r="H18" s="47">
        <v>26829</v>
      </c>
      <c r="I18" s="47">
        <v>26528</v>
      </c>
      <c r="J18" s="31" t="s">
        <v>153</v>
      </c>
      <c r="K18" s="47">
        <v>27399</v>
      </c>
      <c r="L18" s="154" t="s">
        <v>51</v>
      </c>
      <c r="M18" s="155">
        <f t="shared" si="0"/>
        <v>-459.88799999999998</v>
      </c>
      <c r="N18" s="156" t="str">
        <f>VLOOKUP(C18,'Trips&amp;Operators'!$C$1:$E$99999,3,FALSE)</f>
        <v>BADERTSCHER</v>
      </c>
      <c r="O18" s="183" t="s">
        <v>202</v>
      </c>
      <c r="P18" s="157"/>
      <c r="Q18" s="31"/>
      <c r="R18" s="100" t="str">
        <f>VLOOKUP(C18,'Train Runs'!$A$13:$AE$9988,31,0)</f>
        <v>aws s3 cp s3://rtdc.mdm.uploadarchive.raw/RTDC4021/ "%USERPROFILE%\AppData\Local\Temp\OnboardLogs"\RTDC4021\2016-11-22 --exclude "*" --recursive --include "*20161122*" &amp; "%USERPROFILE%\Documents\GitHub\mrs-test-scripts\Headless Mode &amp; Sideloading\WalkAndUnGZ.bat" "%USERPROFILE%\AppData\Local\Temp\OnboardLogs"\RTDC4021\2016-11-22 &amp; aws s3 cp s3://rtdc.mdm.uploadarchive.raw/RTDC4021/ "%USERPROFILE%\AppData\Local\Temp\OnboardLogs"\RTDC4021\2016-11-23 --exclude "*" --recursive --include "*20161123*" &amp; "%USERPROFILE%\Documents\GitHub\mrs-test-scripts\Headless Mode &amp; Sideloading\WalkAndUnGZ.bat" "%USERPROFILE%\AppData\Local\Temp\OnboardLogs"\RTDC4021\2016-11-23</v>
      </c>
      <c r="S18" s="103" t="str">
        <f>VLOOKUP(C18,'Train Runs'!$A$13:$AE$9988,22,0)</f>
        <v>https://search-rtdc-monitor-bjffxe2xuh6vdkpspy63sjmuny.us-east-1.es.amazonaws.com/_plugin/kibana/#/discover/Steve-Slow-Train-Analysis-(2080s-and-2083s)?_g=(refreshInterval:(display:Off,section:0,value:0),time:(from:'2016-11-22 08:33:37-700',mode:absolute,to:'2016-11-22 11:20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18" s="105" t="str">
        <f t="shared" si="1"/>
        <v>"C:\Program Files (x86)\AstroGrep\AstroGrep.exe" /spath="%USERPROFILE%\AppData\Local\Temp\OnboardLogs" /stypes="*4021*201611221*" /stext=" 17:.+((SYSTEM_STATE.+slice.+state.+changed )|(ment ac)|(system.+state.+changed )|(\[timeout)|(PRM\|1\|D)|(kpr)|(kdp)|(\|lc)|(penalty))" /e /r /s</v>
      </c>
      <c r="U18" s="9" t="str">
        <f t="shared" si="2"/>
        <v>4021</v>
      </c>
      <c r="V18" s="36">
        <f t="shared" si="3"/>
        <v>42696.717129629629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{"issue":{"subject":"","project_id":79,"tracker_id":40,"status_id":1,"priority_id":2,"assigned_to_id":23,"start_date":"2016-11-22","description":"","custom_fields":[{"id":1,"name":"Subdivision","value":"EC"},{"id":4,"name":"Milepost","value":"2.7399"},{"id":17,"name":"Train ID","value":"142-22"},{"id":16,"name":"Locomotive ID","value":"4021"},{"id":130,"name":"Impact","value":""},{"id":150,"name":"Time of Event (Mountain Time)","value":"10:12:40"},{"id":151,"name":"Denver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"%USERPROFILE%\AppData\Local\Temp\OnboardLogs"\RTDC4021\*4021*201611221*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"%USERPROFILE%\AppData\Local\Temp\OnboardLogs"\RTDC4021\*4021*201611221* &gt;&gt; 42696-slicedisagreementcheck.txt</v>
      </c>
    </row>
    <row r="19" spans="1:30" s="1" customFormat="1" x14ac:dyDescent="0.25">
      <c r="A19" s="36">
        <v>42696.509502314817</v>
      </c>
      <c r="B19" s="31" t="s">
        <v>286</v>
      </c>
      <c r="C19" s="31" t="s">
        <v>432</v>
      </c>
      <c r="D19" s="31" t="s">
        <v>98</v>
      </c>
      <c r="E19" s="31" t="s">
        <v>272</v>
      </c>
      <c r="F19" s="47">
        <v>150</v>
      </c>
      <c r="G19" s="47">
        <v>200</v>
      </c>
      <c r="H19" s="47">
        <v>26718</v>
      </c>
      <c r="I19" s="47">
        <v>26249</v>
      </c>
      <c r="J19" s="31" t="s">
        <v>153</v>
      </c>
      <c r="K19" s="47">
        <v>27399</v>
      </c>
      <c r="L19" s="154" t="s">
        <v>51</v>
      </c>
      <c r="M19" s="155">
        <f t="shared" si="0"/>
        <v>-607.20000000000005</v>
      </c>
      <c r="N19" s="156" t="str">
        <f>VLOOKUP(C19,'Trips&amp;Operators'!$C$1:$E$99999,3,FALSE)</f>
        <v>JOHNSON</v>
      </c>
      <c r="O19" s="183" t="s">
        <v>202</v>
      </c>
      <c r="P19" s="157" t="s">
        <v>891</v>
      </c>
      <c r="Q19" s="31"/>
      <c r="R19" s="100" t="str">
        <f>VLOOKUP(C19,'Train Runs'!$A$13:$AE$9988,31,0)</f>
        <v>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 &amp; aws s3 cp s3://rtdc.mdm.uploadarchive.raw/RTDC4032/ "%USERPROFILE%\AppData\Local\Temp\OnboardLogs"\RTDC4032\2016-11-23 --exclude "*" --recursive --include "*20161123*" &amp; "%USERPROFILE%\Documents\GitHub\mrs-test-scripts\Headless Mode &amp; Sideloading\WalkAndUnGZ.bat" "%USERPROFILE%\AppData\Local\Temp\OnboardLogs"\RTDC4032\2016-11-23</v>
      </c>
      <c r="S19" s="103" t="str">
        <f>VLOOKUP(C19,'Train Runs'!$A$13:$AE$9988,22,0)</f>
        <v>https://search-rtdc-monitor-bjffxe2xuh6vdkpspy63sjmuny.us-east-1.es.amazonaws.com/_plugin/kibana/#/discover/Steve-Slow-Train-Analysis-(2080s-and-2083s)?_g=(refreshInterval:(display:Off,section:0,value:0),time:(from:'2016-11-22 10:37:47-700',mode:absolute,to:'2016-11-22 13:20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9" s="105" t="str">
        <f t="shared" si="1"/>
        <v>"C:\Program Files (x86)\AstroGrep\AstroGrep.exe" /spath="%USERPROFILE%\AppData\Local\Temp\OnboardLogs" /stypes="*4032*201611221*" /stext=" 19:.+((SYSTEM_STATE.+slice.+state.+changed )|(ment ac)|(system.+state.+changed )|(\[timeout)|(PRM\|1\|D)|(kpr)|(kdp)|(\|lc)|(penalty))" /e /r /s</v>
      </c>
      <c r="U19" s="9" t="str">
        <f t="shared" si="2"/>
        <v>4032</v>
      </c>
      <c r="V19" s="36">
        <f t="shared" si="3"/>
        <v>42696.801168981481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{"issue":{"subject":"Going 20 in a 15, all 3 slices commanded, banner was displayed","project_id":79,"tracker_id":40,"status_id":1,"priority_id":2,"assigned_to_id":23,"start_date":"2016-11-22","description":"","custom_fields":[{"id":1,"name":"Subdivision","value":"EC"},{"id":4,"name":"Milepost","value":"2.7399"},{"id":17,"name":"Train ID","value":"158-22"},{"id":16,"name":"Locomotive ID","value":"4032"},{"id":130,"name":"Impact","value":""},{"id":150,"name":"Time of Event (Mountain Time)","value":"12:13:41"},{"id":151,"name":"Denver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"%USERPROFILE%\AppData\Local\Temp\OnboardLogs"\RTDC4032\*4032*201611221*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"%USERPROFILE%\AppData\Local\Temp\OnboardLogs"\RTDC4032\*4032*201611221* &gt;&gt; 42696-slicedisagreementcheck.txt</v>
      </c>
    </row>
    <row r="20" spans="1:30" s="1" customFormat="1" x14ac:dyDescent="0.25">
      <c r="A20" s="36">
        <v>42696.494085648148</v>
      </c>
      <c r="B20" s="31" t="s">
        <v>226</v>
      </c>
      <c r="C20" s="31" t="s">
        <v>430</v>
      </c>
      <c r="D20" s="31" t="s">
        <v>49</v>
      </c>
      <c r="E20" s="31" t="s">
        <v>207</v>
      </c>
      <c r="F20" s="47">
        <v>0</v>
      </c>
      <c r="G20" s="47">
        <v>47</v>
      </c>
      <c r="H20" s="47">
        <v>169</v>
      </c>
      <c r="I20" s="47">
        <v>141</v>
      </c>
      <c r="J20" s="31" t="s">
        <v>208</v>
      </c>
      <c r="K20" s="47">
        <v>1</v>
      </c>
      <c r="L20" s="154" t="s">
        <v>51</v>
      </c>
      <c r="M20" s="155">
        <f t="shared" si="0"/>
        <v>73.92</v>
      </c>
      <c r="N20" s="156" t="str">
        <f>VLOOKUP(C20,'Trips&amp;Operators'!$C$1:$E$99999,3,FALSE)</f>
        <v>NELSON</v>
      </c>
      <c r="O20" s="183" t="s">
        <v>202</v>
      </c>
      <c r="P20" s="157"/>
      <c r="Q20" s="31"/>
      <c r="R20" s="100" t="str">
        <f>VLOOKUP(C20,'Train Runs'!$A$13:$AE$9988,31,0)</f>
        <v>aws s3 cp s3://rtdc.mdm.uploadarchive.raw/RTDC4012/ "%USERPROFILE%\AppData\Local\Temp\OnboardLogs"\RTDC4012\2016-11-22 --exclude "*" --recursive --include "*20161122*" &amp; "%USERPROFILE%\Documents\GitHub\mrs-test-scripts\Headless Mode &amp; Sideloading\WalkAndUnGZ.bat" "%USERPROFILE%\AppData\Local\Temp\OnboardLogs"\RTDC4012\2016-11-22 &amp; aws s3 cp s3://rtdc.mdm.uploadarchive.raw/RTDC4012/ "%USERPROFILE%\AppData\Local\Temp\OnboardLogs"\RTDC4012\2016-11-23 --exclude "*" --recursive --include "*20161123*" &amp; "%USERPROFILE%\Documents\GitHub\mrs-test-scripts\Headless Mode &amp; Sideloading\WalkAndUnGZ.bat" "%USERPROFILE%\AppData\Local\Temp\OnboardLogs"\RTDC4012\2016-11-23</v>
      </c>
      <c r="S20" s="103" t="str">
        <f>VLOOKUP(C20,'Train Runs'!$A$13:$AE$9988,22,0)</f>
        <v>https://search-rtdc-monitor-bjffxe2xuh6vdkpspy63sjmuny.us-east-1.es.amazonaws.com/_plugin/kibana/#/discover/Steve-Slow-Train-Analysis-(2080s-and-2083s)?_g=(refreshInterval:(display:Off,section:0,value:0),time:(from:'2016-11-22 10:01:12-700',mode:absolute,to:'2016-11-22 12:51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0" s="105" t="str">
        <f t="shared" si="1"/>
        <v>"C:\Program Files (x86)\AstroGrep\AstroGrep.exe" /spath="%USERPROFILE%\AppData\Local\Temp\OnboardLogs" /stypes="*4012*201611221*" /stext=" 18:.+((SYSTEM_STATE.+slice.+state.+changed )|(ment ac)|(system.+state.+changed )|(\[timeout)|(PRM\|1\|D)|(kpr)|(kdp)|(\|lc)|(penalty))" /e /r /s</v>
      </c>
      <c r="U20" s="9" t="str">
        <f t="shared" si="2"/>
        <v>4012</v>
      </c>
      <c r="V20" s="36">
        <f t="shared" si="3"/>
        <v>42696.785752314812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{"issue":{"subject":"","project_id":79,"tracker_id":40,"status_id":1,"priority_id":2,"assigned_to_id":23,"start_date":"2016-11-22","description":"","custom_fields":[{"id":1,"name":"Subdivision","value":"EC"},{"id":4,"name":"Milepost","value":"0.0001"},{"id":17,"name":"Train ID","value":"154-22"},{"id":16,"name":"Locomotive ID","value":"4012"},{"id":130,"name":"Impact","value":""},{"id":150,"name":"Time of Event (Mountain Time)","value":"11:51:29"},{"id":151,"name":"Denver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"%USERPROFILE%\AppData\Local\Temp\OnboardLogs"\RTDC4012\*4012*201611221*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"%USERPROFILE%\AppData\Local\Temp\OnboardLogs"\RTDC4012\*4012*201611221* &gt;&gt; 42696-slicedisagreementcheck.txt</v>
      </c>
    </row>
    <row r="21" spans="1:30" x14ac:dyDescent="0.25">
      <c r="A21" s="36">
        <v>42696.586516203701</v>
      </c>
      <c r="B21" s="31" t="s">
        <v>286</v>
      </c>
      <c r="C21" s="31" t="s">
        <v>433</v>
      </c>
      <c r="D21" s="31" t="s">
        <v>49</v>
      </c>
      <c r="E21" s="31" t="s">
        <v>207</v>
      </c>
      <c r="F21" s="47">
        <v>0</v>
      </c>
      <c r="G21" s="47">
        <v>59</v>
      </c>
      <c r="H21" s="47">
        <v>218</v>
      </c>
      <c r="I21" s="47">
        <v>150</v>
      </c>
      <c r="J21" s="31" t="s">
        <v>208</v>
      </c>
      <c r="K21" s="47">
        <v>1</v>
      </c>
      <c r="L21" s="154" t="s">
        <v>51</v>
      </c>
      <c r="M21" s="155">
        <f t="shared" si="0"/>
        <v>78.671999999999997</v>
      </c>
      <c r="N21" s="156" t="str">
        <f>VLOOKUP(C21,'Trips&amp;Operators'!$C$1:$E$99999,3,FALSE)</f>
        <v>BRANDNER</v>
      </c>
      <c r="O21" s="183" t="s">
        <v>202</v>
      </c>
      <c r="P21" s="157"/>
      <c r="Q21" s="31"/>
      <c r="R21" s="100" t="str">
        <f>VLOOKUP(C21,'Train Runs'!$A$13:$AE$9988,31,0)</f>
        <v>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 &amp; aws s3 cp s3://rtdc.mdm.uploadarchive.raw/RTDC4032/ "%USERPROFILE%\AppData\Local\Temp\OnboardLogs"\RTDC4032\2016-11-23 --exclude "*" --recursive --include "*20161123*" &amp; "%USERPROFILE%\Documents\GitHub\mrs-test-scripts\Headless Mode &amp; Sideloading\WalkAndUnGZ.bat" "%USERPROFILE%\AppData\Local\Temp\OnboardLogs"\RTDC4032\2016-11-23</v>
      </c>
      <c r="S21" s="103" t="str">
        <f>VLOOKUP(C21,'Train Runs'!$A$13:$AE$9988,22,0)</f>
        <v>https://search-rtdc-monitor-bjffxe2xuh6vdkpspy63sjmuny.us-east-1.es.amazonaws.com/_plugin/kibana/#/discover/Steve-Slow-Train-Analysis-(2080s-and-2083s)?_g=(refreshInterval:(display:Off,section:0,value:0),time:(from:'2016-11-22 12:15:05-700',mode:absolute,to:'2016-11-22 15:04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1" s="105" t="str">
        <f t="shared" si="1"/>
        <v>"C:\Program Files (x86)\AstroGrep\AstroGrep.exe" /spath="%USERPROFILE%\AppData\Local\Temp\OnboardLogs" /stypes="*4032*201611222*" /stext=" 21:.+((SYSTEM_STATE.+slice.+state.+changed )|(ment ac)|(system.+state.+changed )|(\[timeout)|(PRM\|1\|D)|(kpr)|(kdp)|(\|lc)|(penalty))" /e /r /s</v>
      </c>
      <c r="U21" s="9" t="str">
        <f t="shared" si="2"/>
        <v>4032</v>
      </c>
      <c r="V21" s="36">
        <f t="shared" si="3"/>
        <v>42696.878182870365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{"issue":{"subject":"","project_id":79,"tracker_id":40,"status_id":1,"priority_id":2,"assigned_to_id":23,"start_date":"2016-11-22","description":"","custom_fields":[{"id":1,"name":"Subdivision","value":"EC"},{"id":4,"name":"Milepost","value":"0.0001"},{"id":17,"name":"Train ID","value":"172-22"},{"id":16,"name":"Locomotive ID","value":"4032"},{"id":130,"name":"Impact","value":""},{"id":150,"name":"Time of Event (Mountain Time)","value":"14:04:35"},{"id":151,"name":"Denver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"%USERPROFILE%\AppData\Local\Temp\OnboardLogs"\RTDC4032\*4032*201611222*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"%USERPROFILE%\AppData\Local\Temp\OnboardLogs"\RTDC4032\*4032*201611222* &gt;&gt; 42696-slicedisagreementcheck.txt</v>
      </c>
    </row>
    <row r="22" spans="1:30" x14ac:dyDescent="0.25">
      <c r="A22" s="36">
        <v>42696.87777777778</v>
      </c>
      <c r="B22" s="31" t="s">
        <v>286</v>
      </c>
      <c r="C22" s="31" t="s">
        <v>443</v>
      </c>
      <c r="D22" s="31" t="s">
        <v>49</v>
      </c>
      <c r="E22" s="31" t="s">
        <v>207</v>
      </c>
      <c r="F22" s="47">
        <v>0</v>
      </c>
      <c r="G22" s="47">
        <v>50</v>
      </c>
      <c r="H22" s="47">
        <v>191</v>
      </c>
      <c r="I22" s="47">
        <v>143</v>
      </c>
      <c r="J22" s="31" t="s">
        <v>208</v>
      </c>
      <c r="K22" s="47">
        <v>1</v>
      </c>
      <c r="L22" s="154" t="s">
        <v>51</v>
      </c>
      <c r="M22" s="155">
        <f t="shared" si="0"/>
        <v>74.975999999999999</v>
      </c>
      <c r="N22" s="156" t="str">
        <f>VLOOKUP(C22,'Trips&amp;Operators'!$C$1:$E$99999,3,FALSE)</f>
        <v>COOLAHAN</v>
      </c>
      <c r="O22" s="183" t="s">
        <v>202</v>
      </c>
      <c r="P22" s="157"/>
      <c r="Q22" s="31"/>
      <c r="R22" s="100" t="str">
        <f>VLOOKUP(C22,'Train Runs'!$A$13:$AE$9988,31,0)</f>
        <v>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 &amp; aws s3 cp s3://rtdc.mdm.uploadarchive.raw/RTDC4032/ "%USERPROFILE%\AppData\Local\Temp\OnboardLogs"\RTDC4032\2016-11-23 --exclude "*" --recursive --include "*20161123*" &amp; "%USERPROFILE%\Documents\GitHub\mrs-test-scripts\Headless Mode &amp; Sideloading\WalkAndUnGZ.bat" "%USERPROFILE%\AppData\Local\Temp\OnboardLogs"\RTDC4032\2016-11-23</v>
      </c>
      <c r="S22" s="103" t="str">
        <f>VLOOKUP(C22,'Train Runs'!$A$13:$AE$9988,22,0)</f>
        <v>https://search-rtdc-monitor-bjffxe2xuh6vdkpspy63sjmuny.us-east-1.es.amazonaws.com/_plugin/kibana/#/discover/Steve-Slow-Train-Analysis-(2080s-and-2083s)?_g=(refreshInterval:(display:Off,section:0,value:0),time:(from:'2016-11-22 19:22:06-700',mode:absolute,to:'2016-11-22 22:04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2" s="105" t="str">
        <f t="shared" si="1"/>
        <v>"C:\Program Files (x86)\AstroGrep\AstroGrep.exe" /spath="%USERPROFILE%\AppData\Local\Temp\OnboardLogs" /stypes="*4032*201611230*" /stext=" 04:.+((SYSTEM_STATE.+slice.+state.+changed )|(ment ac)|(system.+state.+changed )|(\[timeout)|(PRM\|1\|D)|(kpr)|(kdp)|(\|lc)|(penalty))" /e /r /s</v>
      </c>
      <c r="U22" s="9" t="str">
        <f t="shared" si="2"/>
        <v>4032</v>
      </c>
      <c r="V22" s="36">
        <f t="shared" si="3"/>
        <v>42697.169444444444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{"issue":{"subject":"","project_id":79,"tracker_id":40,"status_id":1,"priority_id":2,"assigned_to_id":23,"start_date":"2016-11-22","description":"","custom_fields":[{"id":1,"name":"Subdivision","value":"EC"},{"id":4,"name":"Milepost","value":"0.0001"},{"id":17,"name":"Train ID","value":"224-22"},{"id":16,"name":"Locomotive ID","value":"4032"},{"id":130,"name":"Impact","value":""},{"id":150,"name":"Time of Event (Mountain Time)","value":"21:04:00"},{"id":151,"name":"Denver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"%USERPROFILE%\AppData\Local\Temp\OnboardLogs"\RTDC4032\*4032*201611230*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"%USERPROFILE%\AppData\Local\Temp\OnboardLogs"\RTDC4032\*4032*201611230* &gt;&gt; 42696-slicedisagreementcheck.txt</v>
      </c>
    </row>
    <row r="23" spans="1:30" x14ac:dyDescent="0.25">
      <c r="A23" s="36">
        <v>42696.263831018521</v>
      </c>
      <c r="B23" s="31" t="s">
        <v>259</v>
      </c>
      <c r="C23" s="31" t="s">
        <v>417</v>
      </c>
      <c r="D23" s="31" t="s">
        <v>49</v>
      </c>
      <c r="E23" s="31" t="s">
        <v>154</v>
      </c>
      <c r="F23" s="47">
        <v>0</v>
      </c>
      <c r="G23" s="47">
        <v>344</v>
      </c>
      <c r="H23" s="47">
        <v>16074</v>
      </c>
      <c r="I23" s="47">
        <v>15287</v>
      </c>
      <c r="J23" s="31" t="s">
        <v>153</v>
      </c>
      <c r="K23" s="47">
        <v>15777</v>
      </c>
      <c r="L23" s="154" t="s">
        <v>51</v>
      </c>
      <c r="M23" s="155">
        <f t="shared" si="0"/>
        <v>-258.72000000000003</v>
      </c>
      <c r="N23" s="156" t="str">
        <f>VLOOKUP(C23,'Trips&amp;Operators'!$C$1:$E$99999,3,FALSE)</f>
        <v>STARKS</v>
      </c>
      <c r="O23" s="183" t="s">
        <v>271</v>
      </c>
      <c r="P23" s="157" t="s">
        <v>409</v>
      </c>
      <c r="Q23" s="31"/>
      <c r="R23" s="100" t="str">
        <f>VLOOKUP(C23,'Train Runs'!$A$13:$AE$9988,31,0)</f>
        <v>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 &amp; aws s3 cp s3://rtdc.mdm.uploadarchive.raw/RTDC4013/ "%USERPROFILE%\AppData\Local\Temp\OnboardLogs"\RTDC4013\2016-11-23 --exclude "*" --recursive --include "*20161123*" &amp; "%USERPROFILE%\Documents\GitHub\mrs-test-scripts\Headless Mode &amp; Sideloading\WalkAndUnGZ.bat" "%USERPROFILE%\AppData\Local\Temp\OnboardLogs"\RTDC4013\2016-11-23</v>
      </c>
      <c r="S23" s="103" t="str">
        <f>VLOOKUP(C23,'Train Runs'!$A$13:$AE$9988,22,0)</f>
        <v>https://search-rtdc-monitor-bjffxe2xuh6vdkpspy63sjmuny.us-east-1.es.amazonaws.com/_plugin/kibana/#/discover/Steve-Slow-Train-Analysis-(2080s-and-2083s)?_g=(refreshInterval:(display:Off,section:0,value:0),time:(from:'2016-11-22 05:06:29-700',mode:absolute,to:'2016-11-22 07:26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3" s="105" t="str">
        <f t="shared" si="1"/>
        <v>"C:\Program Files (x86)\AstroGrep\AstroGrep.exe" /spath="%USERPROFILE%\AppData\Local\Temp\OnboardLogs" /stypes="*4013*201611221*" /stext=" 13:.+((SYSTEM_STATE.+slice.+state.+changed )|(ment ac)|(system.+state.+changed )|(\[timeout)|(PRM\|1\|D)|(kpr)|(kdp)|(\|lc)|(penalty))" /e /r /s</v>
      </c>
      <c r="U23" s="9" t="str">
        <f t="shared" si="2"/>
        <v>4013</v>
      </c>
      <c r="V23" s="36">
        <f t="shared" si="3"/>
        <v>42696.555497685185</v>
      </c>
      <c r="W23" s="50" t="str">
        <f t="shared" si="4"/>
        <v>NW</v>
      </c>
      <c r="X23" s="50" t="str">
        <f t="shared" si="5"/>
        <v>KEEP</v>
      </c>
      <c r="Y23" s="119" t="str">
        <f t="shared" si="6"/>
        <v>echo {"issue":{"subject":"Early arrival (41st)","project_id":79,"tracker_id":40,"status_id":1,"priority_id":2,"assigned_to_id":23,"start_date":"2016-11-22","description":"","custom_fields":[{"id":1,"name":"Subdivision","value":"NW"},{"id":4,"name":"Milepost","value":"1.5777"},{"id":17,"name":"Train ID","value":"802-22"},{"id":16,"name":"Locomotive ID","value":"4013"},{"id":130,"name":"Impact","value":""},{"id":150,"name":"Time of Event (Mountain Time)","value":"06:19:55"},{"id":151,"name":"Denver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"%USERPROFILE%\AppData\Local\Temp\OnboardLogs"\RTDC4013\*4013*201611221*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"%USERPROFILE%\AppData\Local\Temp\OnboardLogs"\RTDC4013\*4013*201611221* &gt;&gt; 42696-slicedisagreementcheck.txt</v>
      </c>
    </row>
    <row r="24" spans="1:30" ht="15" customHeight="1" x14ac:dyDescent="0.25">
      <c r="A24" s="36">
        <v>42696.451226851852</v>
      </c>
      <c r="B24" s="31" t="s">
        <v>422</v>
      </c>
      <c r="C24" s="31" t="s">
        <v>429</v>
      </c>
      <c r="D24" s="31" t="s">
        <v>49</v>
      </c>
      <c r="E24" s="31" t="s">
        <v>154</v>
      </c>
      <c r="F24" s="47">
        <v>0</v>
      </c>
      <c r="G24" s="47">
        <v>380</v>
      </c>
      <c r="H24" s="47">
        <v>16050</v>
      </c>
      <c r="I24" s="47">
        <v>15102</v>
      </c>
      <c r="J24" s="31" t="s">
        <v>153</v>
      </c>
      <c r="K24" s="47">
        <v>15777</v>
      </c>
      <c r="L24" s="154" t="s">
        <v>51</v>
      </c>
      <c r="M24" s="155">
        <f t="shared" si="0"/>
        <v>-356.40000000000003</v>
      </c>
      <c r="N24" s="156" t="str">
        <f>VLOOKUP(C24,'Trips&amp;Operators'!$C$1:$E$99999,3,FALSE)</f>
        <v>LEVIN</v>
      </c>
      <c r="O24" s="183" t="s">
        <v>271</v>
      </c>
      <c r="P24" s="157" t="s">
        <v>409</v>
      </c>
      <c r="Q24" s="31"/>
      <c r="R24" s="100" t="str">
        <f>VLOOKUP(C24,'Train Runs'!$A$13:$AE$9988,31,0)</f>
        <v>aws s3 cp s3://rtdc.mdm.uploadarchive.raw/RTDC4015/ "%USERPROFILE%\AppData\Local\Temp\OnboardLogs"\RTDC4015\2016-11-22 --exclude "*" --recursive --include "*20161122*" &amp; "%USERPROFILE%\Documents\GitHub\mrs-test-scripts\Headless Mode &amp; Sideloading\WalkAndUnGZ.bat" "%USERPROFILE%\AppData\Local\Temp\OnboardLogs"\RTDC4015\2016-11-22 &amp; aws s3 cp s3://rtdc.mdm.uploadarchive.raw/RTDC4015/ "%USERPROFILE%\AppData\Local\Temp\OnboardLogs"\RTDC4015\2016-11-23 --exclude "*" --recursive --include "*20161123*" &amp; "%USERPROFILE%\Documents\GitHub\mrs-test-scripts\Headless Mode &amp; Sideloading\WalkAndUnGZ.bat" "%USERPROFILE%\AppData\Local\Temp\OnboardLogs"\RTDC4015\2016-11-23</v>
      </c>
      <c r="S24" s="103" t="str">
        <f>VLOOKUP(C24,'Train Runs'!$A$13:$AE$9988,22,0)</f>
        <v>https://search-rtdc-monitor-bjffxe2xuh6vdkpspy63sjmuny.us-east-1.es.amazonaws.com/_plugin/kibana/#/discover/Steve-Slow-Train-Analysis-(2080s-and-2083s)?_g=(refreshInterval:(display:Off,section:0,value:0),time:(from:'2016-11-22 09:35:29-700',mode:absolute,to:'2016-11-22 11:55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4" s="105" t="str">
        <f t="shared" si="1"/>
        <v>"C:\Program Files (x86)\AstroGrep\AstroGrep.exe" /spath="%USERPROFILE%\AppData\Local\Temp\OnboardLogs" /stypes="*4015*201611221*" /stext=" 17:.+((SYSTEM_STATE.+slice.+state.+changed )|(ment ac)|(system.+state.+changed )|(\[timeout)|(PRM\|1\|D)|(kpr)|(kdp)|(\|lc)|(penalty))" /e /r /s</v>
      </c>
      <c r="U24" s="9" t="str">
        <f t="shared" si="2"/>
        <v>4015</v>
      </c>
      <c r="V24" s="36">
        <f t="shared" si="3"/>
        <v>42696.742893518516</v>
      </c>
      <c r="W24" s="50" t="str">
        <f t="shared" si="4"/>
        <v>NW</v>
      </c>
      <c r="X24" s="50" t="str">
        <f t="shared" si="5"/>
        <v>KEEP</v>
      </c>
      <c r="Y24" s="119" t="str">
        <f t="shared" si="6"/>
        <v>echo {"issue":{"subject":"Early arrival (41st)","project_id":79,"tracker_id":40,"status_id":1,"priority_id":2,"assigned_to_id":23,"start_date":"2016-11-22","description":"","custom_fields":[{"id":1,"name":"Subdivision","value":"NW"},{"id":4,"name":"Milepost","value":"1.5777"},{"id":17,"name":"Train ID","value":"816-22"},{"id":16,"name":"Locomotive ID","value":"4015"},{"id":130,"name":"Impact","value":""},{"id":150,"name":"Time of Event (Mountain Time)","value":"10:49:46"},{"id":151,"name":"Denver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"%USERPROFILE%\AppData\Local\Temp\OnboardLogs"\RTDC4015\*4015*201611221*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"%USERPROFILE%\AppData\Local\Temp\OnboardLogs"\RTDC4015\*4015*201611221* &gt;&gt; 42696-slicedisagreementcheck.txt</v>
      </c>
    </row>
    <row r="25" spans="1:30" x14ac:dyDescent="0.25">
      <c r="A25" s="36">
        <v>42696.346145833333</v>
      </c>
      <c r="B25" s="31" t="s">
        <v>259</v>
      </c>
      <c r="C25" s="31" t="s">
        <v>424</v>
      </c>
      <c r="D25" s="31" t="s">
        <v>49</v>
      </c>
      <c r="E25" s="31" t="s">
        <v>203</v>
      </c>
      <c r="F25" s="47">
        <v>300</v>
      </c>
      <c r="G25" s="47">
        <v>398</v>
      </c>
      <c r="H25" s="47">
        <v>24959</v>
      </c>
      <c r="I25" s="47">
        <v>23928</v>
      </c>
      <c r="J25" s="31" t="s">
        <v>204</v>
      </c>
      <c r="K25" s="47">
        <v>23561</v>
      </c>
      <c r="L25" s="154" t="s">
        <v>51</v>
      </c>
      <c r="M25" s="155">
        <f t="shared" si="0"/>
        <v>193.77600000000001</v>
      </c>
      <c r="N25" s="156" t="str">
        <f>VLOOKUP(C25,'Trips&amp;Operators'!$C$1:$E$99999,3,FALSE)</f>
        <v>STARKS</v>
      </c>
      <c r="O25" s="183" t="s">
        <v>202</v>
      </c>
      <c r="P25" s="157"/>
      <c r="Q25" s="31"/>
      <c r="R25" s="100" t="str">
        <f>VLOOKUP(C25,'Train Runs'!$A$13:$AE$9988,31,0)</f>
        <v>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 &amp; aws s3 cp s3://rtdc.mdm.uploadarchive.raw/RTDC4013/ "%USERPROFILE%\AppData\Local\Temp\OnboardLogs"\RTDC4013\2016-11-23 --exclude "*" --recursive --include "*20161123*" &amp; "%USERPROFILE%\Documents\GitHub\mrs-test-scripts\Headless Mode &amp; Sideloading\WalkAndUnGZ.bat" "%USERPROFILE%\AppData\Local\Temp\OnboardLogs"\RTDC4013\2016-11-23</v>
      </c>
      <c r="S25" s="103" t="str">
        <f>VLOOKUP(C25,'Train Runs'!$A$13:$AE$9988,22,0)</f>
        <v>https://search-rtdc-monitor-bjffxe2xuh6vdkpspy63sjmuny.us-east-1.es.amazonaws.com/_plugin/kibana/#/discover/Steve-Slow-Train-Analysis-(2080s-and-2083s)?_g=(refreshInterval:(display:Off,section:0,value:0),time:(from:'2016-11-22 07:06:03-700',mode:absolute,to:'2016-11-22 09:26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5" s="105" t="str">
        <f t="shared" si="1"/>
        <v>"C:\Program Files (x86)\AstroGrep\AstroGrep.exe" /spath="%USERPROFILE%\AppData\Local\Temp\OnboardLogs" /stypes="*4013*201611221*" /stext=" 15:.+((SYSTEM_STATE.+slice.+state.+changed )|(ment ac)|(system.+state.+changed )|(\[timeout)|(PRM\|1\|D)|(kpr)|(kdp)|(\|lc)|(penalty))" /e /r /s</v>
      </c>
      <c r="U25" s="9" t="str">
        <f t="shared" si="2"/>
        <v>4013</v>
      </c>
      <c r="V25" s="36">
        <f t="shared" si="3"/>
        <v>42696.637812499997</v>
      </c>
      <c r="W25" s="50" t="str">
        <f t="shared" si="4"/>
        <v>NW</v>
      </c>
      <c r="X25" s="50" t="str">
        <f t="shared" si="5"/>
        <v>KEEP</v>
      </c>
      <c r="Y25" s="119" t="str">
        <f t="shared" si="6"/>
        <v>echo {"issue":{"subject":"","project_id":79,"tracker_id":40,"status_id":1,"priority_id":2,"assigned_to_id":23,"start_date":"2016-11-22","description":"","custom_fields":[{"id":1,"name":"Subdivision","value":"NW"},{"id":4,"name":"Milepost","value":"2.3561"},{"id":17,"name":"Train ID","value":"810-22"},{"id":16,"name":"Locomotive ID","value":"4013"},{"id":130,"name":"Impact","value":""},{"id":150,"name":"Time of Event (Mountain Time)","value":"08:18:27"},{"id":151,"name":"Denver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"%USERPROFILE%\AppData\Local\Temp\OnboardLogs"\RTDC4013\*4013*201611221*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"%USERPROFILE%\AppData\Local\Temp\OnboardLogs"\RTDC4013\*4013*201611221* &gt;&gt; 42696-slicedisagreementcheck.txt</v>
      </c>
    </row>
    <row r="26" spans="1:30" x14ac:dyDescent="0.25">
      <c r="A26" s="36">
        <v>42696.785671296297</v>
      </c>
      <c r="B26" s="31" t="s">
        <v>422</v>
      </c>
      <c r="C26" s="31" t="s">
        <v>439</v>
      </c>
      <c r="D26" s="31" t="s">
        <v>49</v>
      </c>
      <c r="E26" s="31" t="s">
        <v>205</v>
      </c>
      <c r="F26" s="47">
        <v>0</v>
      </c>
      <c r="G26" s="47">
        <v>92</v>
      </c>
      <c r="H26" s="47">
        <v>11036</v>
      </c>
      <c r="I26" s="47">
        <v>10931</v>
      </c>
      <c r="J26" s="31" t="s">
        <v>206</v>
      </c>
      <c r="K26" s="47">
        <v>11016</v>
      </c>
      <c r="L26" s="154" t="s">
        <v>51</v>
      </c>
      <c r="M26" s="155">
        <f t="shared" si="0"/>
        <v>-44.88</v>
      </c>
      <c r="N26" s="156" t="str">
        <f>VLOOKUP(C26,'Trips&amp;Operators'!$C$1:$E$99999,3,FALSE)</f>
        <v>MAGEE</v>
      </c>
      <c r="O26" s="183" t="s">
        <v>202</v>
      </c>
      <c r="P26" s="157" t="s">
        <v>815</v>
      </c>
      <c r="Q26" s="31"/>
      <c r="R26" s="100" t="str">
        <f>VLOOKUP(C26,'Train Runs'!$A$13:$AE$9988,31,0)</f>
        <v>aws s3 cp s3://rtdc.mdm.uploadarchive.raw/RTDC4015/ "%USERPROFILE%\AppData\Local\Temp\OnboardLogs"\RTDC4015\2016-11-22 --exclude "*" --recursive --include "*20161122*" &amp; "%USERPROFILE%\Documents\GitHub\mrs-test-scripts\Headless Mode &amp; Sideloading\WalkAndUnGZ.bat" "%USERPROFILE%\AppData\Local\Temp\OnboardLogs"\RTDC4015\2016-11-22 &amp; aws s3 cp s3://rtdc.mdm.uploadarchive.raw/RTDC4015/ "%USERPROFILE%\AppData\Local\Temp\OnboardLogs"\RTDC4015\2016-11-23 --exclude "*" --recursive --include "*20161123*" &amp; "%USERPROFILE%\Documents\GitHub\mrs-test-scripts\Headless Mode &amp; Sideloading\WalkAndUnGZ.bat" "%USERPROFILE%\AppData\Local\Temp\OnboardLogs"\RTDC4015\2016-11-23</v>
      </c>
      <c r="S26" s="103" t="str">
        <f>VLOOKUP(C26,'Train Runs'!$A$13:$AE$9988,22,0)</f>
        <v>https://search-rtdc-monitor-bjffxe2xuh6vdkpspy63sjmuny.us-east-1.es.amazonaws.com/_plugin/kibana/#/discover/Steve-Slow-Train-Analysis-(2080s-and-2083s)?_g=(refreshInterval:(display:Off,section:0,value:0),time:(from:'2016-11-22 17:37:17-700',mode:absolute,to:'2016-11-22 19:56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6" s="105" t="str">
        <f t="shared" si="1"/>
        <v>"C:\Program Files (x86)\AstroGrep\AstroGrep.exe" /spath="%USERPROFILE%\AppData\Local\Temp\OnboardLogs" /stypes="*4015*201611230*" /stext=" 01:.+((SYSTEM_STATE.+slice.+state.+changed )|(ment ac)|(system.+state.+changed )|(\[timeout)|(PRM\|1\|D)|(kpr)|(kdp)|(\|lc)|(penalty))" /e /r /s</v>
      </c>
      <c r="U26" s="9" t="str">
        <f t="shared" si="2"/>
        <v>4015</v>
      </c>
      <c r="V26" s="36">
        <f t="shared" si="3"/>
        <v>42697.077337962961</v>
      </c>
      <c r="W26" s="50" t="str">
        <f t="shared" si="4"/>
        <v>NW</v>
      </c>
      <c r="X26" s="50" t="str">
        <f t="shared" si="5"/>
        <v>KEEP</v>
      </c>
      <c r="Y26" s="119" t="str">
        <f t="shared" si="6"/>
        <v>echo {"issue":{"subject":"Legitimate STOP aspect","project_id":79,"tracker_id":40,"status_id":1,"priority_id":2,"assigned_to_id":23,"start_date":"2016-11-22","description":"","custom_fields":[{"id":1,"name":"Subdivision","value":"NW"},{"id":4,"name":"Milepost","value":"1.1016"},{"id":17,"name":"Train ID","value":"838-22"},{"id":16,"name":"Locomotive ID","value":"4015"},{"id":130,"name":"Impact","value":""},{"id":150,"name":"Time of Event (Mountain Time)","value":"18:51:22"},{"id":151,"name":"Denver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"%USERPROFILE%\AppData\Local\Temp\OnboardLogs"\RTDC4015\*4015*201611230*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"%USERPROFILE%\AppData\Local\Temp\OnboardLogs"\RTDC4015\*4015*201611230* &gt;&gt; 42696-slicedisagreementcheck.txt</v>
      </c>
    </row>
    <row r="27" spans="1:30" x14ac:dyDescent="0.25">
      <c r="A27" s="36">
        <v>42696.227175925924</v>
      </c>
      <c r="B27" s="31" t="s">
        <v>259</v>
      </c>
      <c r="C27" s="31" t="s">
        <v>416</v>
      </c>
      <c r="D27" s="31" t="s">
        <v>49</v>
      </c>
      <c r="E27" s="31" t="s">
        <v>207</v>
      </c>
      <c r="F27" s="47">
        <v>0</v>
      </c>
      <c r="G27" s="47">
        <v>58</v>
      </c>
      <c r="H27" s="47">
        <v>757</v>
      </c>
      <c r="I27" s="47">
        <v>710</v>
      </c>
      <c r="J27" s="31" t="s">
        <v>208</v>
      </c>
      <c r="K27" s="47">
        <v>575</v>
      </c>
      <c r="L27" s="154" t="s">
        <v>51</v>
      </c>
      <c r="M27" s="155">
        <f t="shared" si="0"/>
        <v>71.28</v>
      </c>
      <c r="N27" s="156" t="str">
        <f>VLOOKUP(C27,'Trips&amp;Operators'!$C$1:$E$99999,3,FALSE)</f>
        <v>STARKS</v>
      </c>
      <c r="O27" s="183" t="s">
        <v>202</v>
      </c>
      <c r="P27" s="157"/>
      <c r="Q27" s="31"/>
      <c r="R27" s="100" t="str">
        <f>VLOOKUP(C27,'Train Runs'!$A$13:$AE$9988,31,0)</f>
        <v>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 &amp; aws s3 cp s3://rtdc.mdm.uploadarchive.raw/RTDC4013/ "%USERPROFILE%\AppData\Local\Temp\OnboardLogs"\RTDC4013\2016-11-23 --exclude "*" --recursive --include "*20161123*" &amp; "%USERPROFILE%\Documents\GitHub\mrs-test-scripts\Headless Mode &amp; Sideloading\WalkAndUnGZ.bat" "%USERPROFILE%\AppData\Local\Temp\OnboardLogs"\RTDC4013\2016-11-23</v>
      </c>
      <c r="S27" s="103" t="str">
        <f>VLOOKUP(C27,'Train Runs'!$A$13:$AE$9988,22,0)</f>
        <v>https://search-rtdc-monitor-bjffxe2xuh6vdkpspy63sjmuny.us-east-1.es.amazonaws.com/_plugin/kibana/#/discover/Steve-Slow-Train-Analysis-(2080s-and-2083s)?_g=(refreshInterval:(display:Off,section:0,value:0),time:(from:'2016-11-22 04:12:02-700',mode:absolute,to:'2016-11-22 06:27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7" s="105" t="str">
        <f t="shared" si="1"/>
        <v>"C:\Program Files (x86)\AstroGrep\AstroGrep.exe" /spath="%USERPROFILE%\AppData\Local\Temp\OnboardLogs" /stypes="*4013*201611221*" /stext=" 12:.+((SYSTEM_STATE.+slice.+state.+changed )|(ment ac)|(system.+state.+changed )|(\[timeout)|(PRM\|1\|D)|(kpr)|(kdp)|(\|lc)|(penalty))" /e /r /s</v>
      </c>
      <c r="U27" s="9" t="str">
        <f t="shared" si="2"/>
        <v>4013</v>
      </c>
      <c r="V27" s="36">
        <f t="shared" si="3"/>
        <v>42696.518842592588</v>
      </c>
      <c r="W27" s="50" t="str">
        <f t="shared" si="4"/>
        <v>NW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{"issue":{"subject":"","project_id":79,"tracker_id":40,"status_id":1,"priority_id":2,"assigned_to_id":23,"start_date":"2016-11-22","description":"","custom_fields":[{"id":1,"name":"Subdivision","value":"NW"},{"id":4,"name":"Milepost","value":"0.0575"},{"id":17,"name":"Train ID","value":"800-22"},{"id":16,"name":"Locomotive ID","value":"4013"},{"id":130,"name":"Impact","value":""},{"id":150,"name":"Time of Event (Mountain Time)","value":"05:27:08"},{"id":151,"name":"Denver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"%USERPROFILE%\AppData\Local\Temp\OnboardLogs"\RTDC4013\*4013*201611221*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"%USERPROFILE%\AppData\Local\Temp\OnboardLogs"\RTDC4013\*4013*201611221* &gt;&gt; 42696-slicedisagreementcheck.txt</v>
      </c>
    </row>
    <row r="28" spans="1:30" x14ac:dyDescent="0.25">
      <c r="A28" s="36">
        <v>42696.330196759256</v>
      </c>
      <c r="B28" s="31" t="s">
        <v>422</v>
      </c>
      <c r="C28" s="31" t="s">
        <v>423</v>
      </c>
      <c r="D28" s="31" t="s">
        <v>49</v>
      </c>
      <c r="E28" s="31" t="s">
        <v>207</v>
      </c>
      <c r="F28" s="47">
        <v>0</v>
      </c>
      <c r="G28" s="47">
        <v>47</v>
      </c>
      <c r="H28" s="47">
        <v>731</v>
      </c>
      <c r="I28" s="47">
        <v>685</v>
      </c>
      <c r="J28" s="31" t="s">
        <v>208</v>
      </c>
      <c r="K28" s="47">
        <v>575</v>
      </c>
      <c r="L28" s="154" t="s">
        <v>51</v>
      </c>
      <c r="M28" s="155">
        <f t="shared" si="0"/>
        <v>58.08</v>
      </c>
      <c r="N28" s="156" t="str">
        <f>VLOOKUP(C28,'Trips&amp;Operators'!$C$1:$E$99999,3,FALSE)</f>
        <v>LEVIN</v>
      </c>
      <c r="O28" s="183" t="s">
        <v>202</v>
      </c>
      <c r="P28" s="157"/>
      <c r="Q28" s="31"/>
      <c r="R28" s="100" t="str">
        <f>VLOOKUP(C28,'Train Runs'!$A$13:$AE$9988,31,0)</f>
        <v>aws s3 cp s3://rtdc.mdm.uploadarchive.raw/RTDC4015/ "%USERPROFILE%\AppData\Local\Temp\OnboardLogs"\RTDC4015\2016-11-22 --exclude "*" --recursive --include "*20161122*" &amp; "%USERPROFILE%\Documents\GitHub\mrs-test-scripts\Headless Mode &amp; Sideloading\WalkAndUnGZ.bat" "%USERPROFILE%\AppData\Local\Temp\OnboardLogs"\RTDC4015\2016-11-22 &amp; aws s3 cp s3://rtdc.mdm.uploadarchive.raw/RTDC4015/ "%USERPROFILE%\AppData\Local\Temp\OnboardLogs"\RTDC4015\2016-11-23 --exclude "*" --recursive --include "*20161123*" &amp; "%USERPROFILE%\Documents\GitHub\mrs-test-scripts\Headless Mode &amp; Sideloading\WalkAndUnGZ.bat" "%USERPROFILE%\AppData\Local\Temp\OnboardLogs"\RTDC4015\2016-11-23</v>
      </c>
      <c r="S28" s="103" t="str">
        <f>VLOOKUP(C28,'Train Runs'!$A$13:$AE$9988,22,0)</f>
        <v>https://search-rtdc-monitor-bjffxe2xuh6vdkpspy63sjmuny.us-east-1.es.amazonaws.com/_plugin/kibana/#/discover/Steve-Slow-Train-Analysis-(2080s-and-2083s)?_g=(refreshInterval:(display:Off,section:0,value:0),time:(from:'2016-11-22 06:35:47-700',mode:absolute,to:'2016-11-22 08:55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8" s="105" t="str">
        <f t="shared" si="1"/>
        <v>"C:\Program Files (x86)\AstroGrep\AstroGrep.exe" /spath="%USERPROFILE%\AppData\Local\Temp\OnboardLogs" /stypes="*4015*201611221*" /stext=" 14:.+((SYSTEM_STATE.+slice.+state.+changed )|(ment ac)|(system.+state.+changed )|(\[timeout)|(PRM\|1\|D)|(kpr)|(kdp)|(\|lc)|(penalty))" /e /r /s</v>
      </c>
      <c r="U28" s="9" t="str">
        <f t="shared" si="2"/>
        <v>4015</v>
      </c>
      <c r="V28" s="36">
        <f t="shared" si="3"/>
        <v>42696.62186342592</v>
      </c>
      <c r="W28" s="50" t="str">
        <f t="shared" si="4"/>
        <v>NW</v>
      </c>
      <c r="X28" s="50" t="str">
        <f t="shared" si="5"/>
        <v>KEEP</v>
      </c>
      <c r="Y28" s="119" t="str">
        <f t="shared" si="6"/>
        <v>echo {"issue":{"subject":"","project_id":79,"tracker_id":40,"status_id":1,"priority_id":2,"assigned_to_id":23,"start_date":"2016-11-22","description":"","custom_fields":[{"id":1,"name":"Subdivision","value":"NW"},{"id":4,"name":"Milepost","value":"0.0575"},{"id":17,"name":"Train ID","value":"808-22"},{"id":16,"name":"Locomotive ID","value":"4015"},{"id":130,"name":"Impact","value":""},{"id":150,"name":"Time of Event (Mountain Time)","value":"07:55:29"},{"id":151,"name":"Denver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"%USERPROFILE%\AppData\Local\Temp\OnboardLogs"\RTDC4015\*4015*201611221*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"%USERPROFILE%\AppData\Local\Temp\OnboardLogs"\RTDC4015\*4015*201611221* &gt;&gt; 42696-slicedisagreementcheck.txt</v>
      </c>
    </row>
    <row r="29" spans="1:30" x14ac:dyDescent="0.25">
      <c r="A29" s="36">
        <v>42696.725590277776</v>
      </c>
      <c r="B29" s="31" t="s">
        <v>259</v>
      </c>
      <c r="C29" s="31" t="s">
        <v>436</v>
      </c>
      <c r="D29" s="31" t="s">
        <v>49</v>
      </c>
      <c r="E29" s="31" t="s">
        <v>207</v>
      </c>
      <c r="F29" s="47">
        <v>0</v>
      </c>
      <c r="G29" s="47">
        <v>128</v>
      </c>
      <c r="H29" s="47">
        <v>1074</v>
      </c>
      <c r="I29" s="47">
        <v>920</v>
      </c>
      <c r="J29" s="31" t="s">
        <v>208</v>
      </c>
      <c r="K29" s="47">
        <v>575</v>
      </c>
      <c r="L29" s="154" t="s">
        <v>51</v>
      </c>
      <c r="M29" s="155">
        <f t="shared" si="0"/>
        <v>182.16</v>
      </c>
      <c r="N29" s="156" t="str">
        <f>VLOOKUP(C29,'Trips&amp;Operators'!$C$1:$E$99999,3,FALSE)</f>
        <v>STAMBAUGH</v>
      </c>
      <c r="O29" s="183" t="s">
        <v>202</v>
      </c>
      <c r="P29" s="157"/>
      <c r="Q29" s="31"/>
      <c r="R29" s="100" t="str">
        <f>VLOOKUP(C29,'Train Runs'!$A$13:$AE$9988,31,0)</f>
        <v>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 &amp; aws s3 cp s3://rtdc.mdm.uploadarchive.raw/RTDC4013/ "%USERPROFILE%\AppData\Local\Temp\OnboardLogs"\RTDC4013\2016-11-23 --exclude "*" --recursive --include "*20161123*" &amp; "%USERPROFILE%\Documents\GitHub\mrs-test-scripts\Headless Mode &amp; Sideloading\WalkAndUnGZ.bat" "%USERPROFILE%\AppData\Local\Temp\OnboardLogs"\RTDC4013\2016-11-23</v>
      </c>
      <c r="S29" s="103" t="str">
        <f>VLOOKUP(C29,'Train Runs'!$A$13:$AE$9988,22,0)</f>
        <v>https://search-rtdc-monitor-bjffxe2xuh6vdkpspy63sjmuny.us-east-1.es.amazonaws.com/_plugin/kibana/#/discover/Steve-Slow-Train-Analysis-(2080s-and-2083s)?_g=(refreshInterval:(display:Off,section:0,value:0),time:(from:'2016-11-22 16:06:17-700',mode:absolute,to:'2016-11-22 18:24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9" s="105" t="str">
        <f t="shared" si="1"/>
        <v>"C:\Program Files (x86)\AstroGrep\AstroGrep.exe" /spath="%USERPROFILE%\AppData\Local\Temp\OnboardLogs" /stypes="*4013*201611230*" /stext=" 00:.+((SYSTEM_STATE.+slice.+state.+changed )|(ment ac)|(system.+state.+changed )|(\[timeout)|(PRM\|1\|D)|(kpr)|(kdp)|(\|lc)|(penalty))" /e /r /s</v>
      </c>
      <c r="U29" s="9" t="str">
        <f t="shared" si="2"/>
        <v>4013</v>
      </c>
      <c r="V29" s="36">
        <f t="shared" si="3"/>
        <v>42697.01725694444</v>
      </c>
      <c r="W29" s="50" t="str">
        <f t="shared" si="4"/>
        <v>NW</v>
      </c>
      <c r="X29" s="50" t="str">
        <f t="shared" si="5"/>
        <v>KEEP</v>
      </c>
      <c r="Y29" s="119" t="str">
        <f t="shared" si="6"/>
        <v>echo {"issue":{"subject":"","project_id":79,"tracker_id":40,"status_id":1,"priority_id":2,"assigned_to_id":23,"start_date":"2016-11-22","description":"","custom_fields":[{"id":1,"name":"Subdivision","value":"NW"},{"id":4,"name":"Milepost","value":"0.0575"},{"id":17,"name":"Train ID","value":"832-22"},{"id":16,"name":"Locomotive ID","value":"4013"},{"id":130,"name":"Impact","value":""},{"id":150,"name":"Time of Event (Mountain Time)","value":"17:24:51"},{"id":151,"name":"Denver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"%USERPROFILE%\AppData\Local\Temp\OnboardLogs"\RTDC4013\*4013*201611230*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"%USERPROFILE%\AppData\Local\Temp\OnboardLogs"\RTDC4013\*4013*201611230* &gt;&gt; 42696-slicedisagreementcheck.txt</v>
      </c>
    </row>
    <row r="30" spans="1:30" ht="15" customHeight="1" x14ac:dyDescent="0.25">
      <c r="A30" s="36">
        <v>42696.767581018517</v>
      </c>
      <c r="B30" s="31" t="s">
        <v>259</v>
      </c>
      <c r="C30" s="31" t="s">
        <v>438</v>
      </c>
      <c r="D30" s="31" t="s">
        <v>49</v>
      </c>
      <c r="E30" s="31" t="s">
        <v>207</v>
      </c>
      <c r="F30" s="47">
        <v>0</v>
      </c>
      <c r="G30" s="47">
        <v>30</v>
      </c>
      <c r="H30" s="47">
        <v>671</v>
      </c>
      <c r="I30" s="47">
        <v>650</v>
      </c>
      <c r="J30" s="31" t="s">
        <v>208</v>
      </c>
      <c r="K30" s="47">
        <v>575</v>
      </c>
      <c r="L30" s="154" t="s">
        <v>51</v>
      </c>
      <c r="M30" s="155">
        <f t="shared" si="0"/>
        <v>39.6</v>
      </c>
      <c r="N30" s="156" t="str">
        <f>VLOOKUP(C30,'Trips&amp;Operators'!$C$1:$E$99999,3,FALSE)</f>
        <v>STAMBAUGH</v>
      </c>
      <c r="O30" s="183" t="s">
        <v>202</v>
      </c>
      <c r="P30" s="157"/>
      <c r="Q30" s="31"/>
      <c r="R30" s="100" t="str">
        <f>VLOOKUP(C30,'Train Runs'!$A$13:$AE$9988,31,0)</f>
        <v>aws s3 cp s3://rtdc.mdm.uploadarchive.raw/RTDC4013/ "%USERPROFILE%\AppData\Local\Temp\OnboardLogs"\RTDC4013\2016-11-22 --exclude "*" --recursive --include "*20161122*" &amp; "%USERPROFILE%\Documents\GitHub\mrs-test-scripts\Headless Mode &amp; Sideloading\WalkAndUnGZ.bat" "%USERPROFILE%\AppData\Local\Temp\OnboardLogs"\RTDC4013\2016-11-22 &amp; aws s3 cp s3://rtdc.mdm.uploadarchive.raw/RTDC4013/ "%USERPROFILE%\AppData\Local\Temp\OnboardLogs"\RTDC4013\2016-11-23 --exclude "*" --recursive --include "*20161123*" &amp; "%USERPROFILE%\Documents\GitHub\mrs-test-scripts\Headless Mode &amp; Sideloading\WalkAndUnGZ.bat" "%USERPROFILE%\AppData\Local\Temp\OnboardLogs"\RTDC4013\2016-11-23</v>
      </c>
      <c r="S30" s="103" t="str">
        <f>VLOOKUP(C30,'Train Runs'!$A$13:$AE$9988,22,0)</f>
        <v>https://search-rtdc-monitor-bjffxe2xuh6vdkpspy63sjmuny.us-east-1.es.amazonaws.com/_plugin/kibana/#/discover/Steve-Slow-Train-Analysis-(2080s-and-2083s)?_g=(refreshInterval:(display:Off,section:0,value:0),time:(from:'2016-11-22 17:07:36-700',mode:absolute,to:'2016-11-22 20:04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0" s="105" t="str">
        <f t="shared" si="1"/>
        <v>"C:\Program Files (x86)\AstroGrep\AstroGrep.exe" /spath="%USERPROFILE%\AppData\Local\Temp\OnboardLogs" /stypes="*4013*201611230*" /stext=" 01:.+((SYSTEM_STATE.+slice.+state.+changed )|(ment ac)|(system.+state.+changed )|(\[timeout)|(PRM\|1\|D)|(kpr)|(kdp)|(\|lc)|(penalty))" /e /r /s</v>
      </c>
      <c r="U30" s="9" t="str">
        <f t="shared" si="2"/>
        <v>4013</v>
      </c>
      <c r="V30" s="36">
        <f t="shared" si="3"/>
        <v>42697.059247685182</v>
      </c>
      <c r="W30" s="50" t="str">
        <f t="shared" si="4"/>
        <v>NW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{"issue":{"subject":"","project_id":79,"tracker_id":40,"status_id":1,"priority_id":2,"assigned_to_id":23,"start_date":"2016-11-22","description":"","custom_fields":[{"id":1,"name":"Subdivision","value":"NW"},{"id":4,"name":"Milepost","value":"0.0575"},{"id":17,"name":"Train ID","value":"836-22"},{"id":16,"name":"Locomotive ID","value":"4013"},{"id":130,"name":"Impact","value":""},{"id":150,"name":"Time of Event (Mountain Time)","value":"18:25:19"},{"id":151,"name":"Denver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"%USERPROFILE%\AppData\Local\Temp\OnboardLogs"\RTDC4013\*4013*201611230*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"%USERPROFILE%\AppData\Local\Temp\OnboardLogs"\RTDC4013\*4013*201611230* &gt;&gt; 42696-slicedisagreementcheck.txt</v>
      </c>
    </row>
    <row r="31" spans="1:30" ht="15" customHeight="1" x14ac:dyDescent="0.25">
      <c r="A31" s="36">
        <v>42696.607488425929</v>
      </c>
      <c r="B31" s="31" t="s">
        <v>434</v>
      </c>
      <c r="C31" s="31" t="s">
        <v>435</v>
      </c>
      <c r="D31" s="31" t="s">
        <v>49</v>
      </c>
      <c r="E31" s="31" t="s">
        <v>207</v>
      </c>
      <c r="F31" s="47">
        <v>0</v>
      </c>
      <c r="G31" s="47">
        <v>46</v>
      </c>
      <c r="H31" s="47">
        <v>58944</v>
      </c>
      <c r="I31" s="47">
        <v>58975</v>
      </c>
      <c r="J31" s="31" t="s">
        <v>208</v>
      </c>
      <c r="K31" s="47">
        <v>59048</v>
      </c>
      <c r="L31" s="154" t="s">
        <v>50</v>
      </c>
      <c r="M31" s="155">
        <f t="shared" si="0"/>
        <v>38.543999999999997</v>
      </c>
      <c r="N31" s="156" t="str">
        <f>VLOOKUP(C31,'Trips&amp;Operators'!$C$1:$E$99999,3,FALSE)</f>
        <v>MAGEE</v>
      </c>
      <c r="O31" s="183" t="s">
        <v>202</v>
      </c>
      <c r="P31" s="157"/>
      <c r="Q31" s="31"/>
      <c r="R31" s="100" t="str">
        <f>VLOOKUP(C31,'Train Runs'!$A$13:$AE$9988,31,0)</f>
        <v>aws s3 cp s3://rtdc.mdm.uploadarchive.raw/RTDC4016/ "%USERPROFILE%\AppData\Local\Temp\OnboardLogs"\RTDC4016\2016-11-22 --exclude "*" --recursive --include "*20161122*" &amp; "%USERPROFILE%\Documents\GitHub\mrs-test-scripts\Headless Mode &amp; Sideloading\WalkAndUnGZ.bat" "%USERPROFILE%\AppData\Local\Temp\OnboardLogs"\RTDC4016\2016-11-22 &amp; aws s3 cp s3://rtdc.mdm.uploadarchive.raw/RTDC4016/ "%USERPROFILE%\AppData\Local\Temp\OnboardLogs"\RTDC4016\2016-11-23 --exclude "*" --recursive --include "*20161123*" &amp; "%USERPROFILE%\Documents\GitHub\mrs-test-scripts\Headless Mode &amp; Sideloading\WalkAndUnGZ.bat" "%USERPROFILE%\AppData\Local\Temp\OnboardLogs"\RTDC4016\2016-11-23</v>
      </c>
      <c r="S31" s="103" t="str">
        <f>VLOOKUP(C31,'Train Runs'!$A$13:$AE$9988,22,0)</f>
        <v>https://search-rtdc-monitor-bjffxe2xuh6vdkpspy63sjmuny.us-east-1.es.amazonaws.com/_plugin/kibana/#/discover/Steve-Slow-Train-Analysis-(2080s-and-2083s)?_g=(refreshInterval:(display:Off,section:0,value:0),time:(from:'2016-11-22 12:57:32-700',mode:absolute,to:'2016-11-22 15:34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1" s="105" t="str">
        <f t="shared" si="1"/>
        <v>"C:\Program Files (x86)\AstroGrep\AstroGrep.exe" /spath="%USERPROFILE%\AppData\Local\Temp\OnboardLogs" /stypes="*4016*201611222*" /stext=" 21:.+((SYSTEM_STATE.+slice.+state.+changed )|(ment ac)|(system.+state.+changed )|(\[timeout)|(PRM\|1\|D)|(kpr)|(kdp)|(\|lc)|(penalty))" /e /r /s</v>
      </c>
      <c r="U31" s="9" t="str">
        <f t="shared" si="2"/>
        <v>4016</v>
      </c>
      <c r="V31" s="36">
        <f t="shared" si="3"/>
        <v>42696.899155092593</v>
      </c>
      <c r="W31" s="50" t="str">
        <f t="shared" si="4"/>
        <v>NW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{"issue":{"subject":"","project_id":79,"tracker_id":40,"status_id":1,"priority_id":2,"assigned_to_id":23,"start_date":"2016-11-22","description":"","custom_fields":[{"id":1,"name":"Subdivision","value":"NW"},{"id":4,"name":"Milepost","value":"5.9048"},{"id":17,"name":"Train ID","value":"823-22"},{"id":16,"name":"Locomotive ID","value":"4016"},{"id":130,"name":"Impact","value":""},{"id":150,"name":"Time of Event (Mountain Time)","value":"14:34:47"},{"id":151,"name":"Denver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"%USERPROFILE%\AppData\Local\Temp\OnboardLogs"\RTDC4016\*4016*201611222*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"%USERPROFILE%\AppData\Local\Temp\OnboardLogs"\RTDC4016\*4016*201611222* &gt;&gt; 42696-slicedisagreementcheck.txt</v>
      </c>
    </row>
    <row r="32" spans="1:30" x14ac:dyDescent="0.25">
      <c r="A32" s="36">
        <v>42696.14576388889</v>
      </c>
      <c r="B32" s="31" t="s">
        <v>286</v>
      </c>
      <c r="C32" s="31" t="s">
        <v>410</v>
      </c>
      <c r="D32" s="31" t="s">
        <v>98</v>
      </c>
      <c r="E32" s="31" t="s">
        <v>205</v>
      </c>
      <c r="F32" s="47">
        <v>0</v>
      </c>
      <c r="G32" s="47">
        <v>93</v>
      </c>
      <c r="H32" s="47">
        <v>10990</v>
      </c>
      <c r="I32" s="47">
        <v>10699</v>
      </c>
      <c r="J32" s="31" t="s">
        <v>206</v>
      </c>
      <c r="K32" s="47">
        <v>11016</v>
      </c>
      <c r="L32" s="154" t="s">
        <v>51</v>
      </c>
      <c r="M32" s="155">
        <f t="shared" si="0"/>
        <v>-167.376</v>
      </c>
      <c r="N32" s="156" t="str">
        <f>VLOOKUP(C32,'Trips&amp;Operators'!$C$1:$E$99999,3,FALSE)</f>
        <v>MCREYNOLDS</v>
      </c>
      <c r="O32" s="183" t="s">
        <v>202</v>
      </c>
      <c r="P32" s="157"/>
      <c r="Q32" s="31"/>
      <c r="R32" s="100" t="str">
        <f>VLOOKUP(C32,'Train Runs'!$A$13:$AE$9988,31,0)</f>
        <v>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 &amp; aws s3 cp s3://rtdc.mdm.uploadarchive.raw/RTDC4032/ "%USERPROFILE%\AppData\Local\Temp\OnboardLogs"\RTDC4032\2016-11-23 --exclude "*" --recursive --include "*20161123*" &amp; "%USERPROFILE%\Documents\GitHub\mrs-test-scripts\Headless Mode &amp; Sideloading\WalkAndUnGZ.bat" "%USERPROFILE%\AppData\Local\Temp\OnboardLogs"\RTDC4032\2016-11-23</v>
      </c>
      <c r="S32" s="103" t="str">
        <f>VLOOKUP(C32,'Train Runs'!$A$13:$AE$9988,22,0)</f>
        <v>https://search-rtdc-monitor-bjffxe2xuh6vdkpspy63sjmuny.us-east-1.es.amazonaws.com/_plugin/kibana/#/discover/Steve-Slow-Train-Analysis-(2080s-and-2083s)?_g=(refreshInterval:(display:Off,section:0,value:0),time:(from:'2016-11-22 02:23:24-700',mode:absolute,to:'2016-11-22 04:32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2" s="105" t="str">
        <f t="shared" si="1"/>
        <v>"C:\Program Files (x86)\AstroGrep\AstroGrep.exe" /spath="%USERPROFILE%\AppData\Local\Temp\OnboardLogs" /stypes="*4032*201611221*" /stext=" 10:.+((SYSTEM_STATE.+slice.+state.+changed )|(ment ac)|(system.+state.+changed )|(\[timeout)|(PRM\|1\|D)|(kpr)|(kdp)|(\|lc)|(penalty))" /e /r /s</v>
      </c>
      <c r="U32" s="9" t="str">
        <f t="shared" si="2"/>
        <v>4032</v>
      </c>
      <c r="V32" s="36">
        <f t="shared" si="3"/>
        <v>42696.437430555554</v>
      </c>
      <c r="W32" s="50" t="str">
        <f t="shared" si="4"/>
        <v>Other</v>
      </c>
      <c r="X32" s="50" t="str">
        <f t="shared" si="5"/>
        <v>KEEP</v>
      </c>
      <c r="Y32" s="119" t="str">
        <f t="shared" si="6"/>
        <v>echo {"issue":{"subject":"","project_id":79,"tracker_id":40,"status_id":1,"priority_id":2,"assigned_to_id":23,"start_date":"2016-11-22","description":"","custom_fields":[{"id":1,"name":"Subdivision","value":"Other"},{"id":4,"name":"Milepost","value":"1.1016"},{"id":17,"name":"Train ID","value":"304-22"},{"id":16,"name":"Locomotive ID","value":"4032"},{"id":130,"name":"Impact","value":""},{"id":150,"name":"Time of Event (Mountain Time)","value":"03:29:54"},{"id":151,"name":"Denver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"%USERPROFILE%\AppData\Local\Temp\OnboardLogs"\RTDC4032\*4032*201611221*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"%USERPROFILE%\AppData\Local\Temp\OnboardLogs"\RTDC4032\*4032*201611221* &gt;&gt; 42696-slicedisagreementcheck.txt</v>
      </c>
    </row>
    <row r="33" spans="1:30" x14ac:dyDescent="0.25">
      <c r="A33" s="36">
        <v>42696.14644675926</v>
      </c>
      <c r="B33" s="31" t="s">
        <v>286</v>
      </c>
      <c r="C33" s="31" t="s">
        <v>410</v>
      </c>
      <c r="D33" s="31" t="s">
        <v>98</v>
      </c>
      <c r="E33" s="31" t="s">
        <v>205</v>
      </c>
      <c r="F33" s="47">
        <v>0</v>
      </c>
      <c r="G33" s="47">
        <v>93</v>
      </c>
      <c r="H33" s="47">
        <v>10990</v>
      </c>
      <c r="I33" s="47">
        <v>10691</v>
      </c>
      <c r="J33" s="31" t="s">
        <v>206</v>
      </c>
      <c r="K33" s="47">
        <v>11016</v>
      </c>
      <c r="L33" s="154" t="s">
        <v>51</v>
      </c>
      <c r="M33" s="155">
        <f t="shared" si="0"/>
        <v>-171.6</v>
      </c>
      <c r="N33" s="156" t="str">
        <f>VLOOKUP(C33,'Trips&amp;Operators'!$C$1:$E$99999,3,FALSE)</f>
        <v>MCREYNOLDS</v>
      </c>
      <c r="O33" s="183" t="s">
        <v>202</v>
      </c>
      <c r="P33" s="157"/>
      <c r="Q33" s="31"/>
      <c r="R33" s="100" t="str">
        <f>VLOOKUP(C33,'Train Runs'!$A$13:$AE$9988,31,0)</f>
        <v>aws s3 cp s3://rtdc.mdm.uploadarchive.raw/RTDC4032/ "%USERPROFILE%\AppData\Local\Temp\OnboardLogs"\RTDC4032\2016-11-22 --exclude "*" --recursive --include "*20161122*" &amp; "%USERPROFILE%\Documents\GitHub\mrs-test-scripts\Headless Mode &amp; Sideloading\WalkAndUnGZ.bat" "%USERPROFILE%\AppData\Local\Temp\OnboardLogs"\RTDC4032\2016-11-22 &amp; aws s3 cp s3://rtdc.mdm.uploadarchive.raw/RTDC4032/ "%USERPROFILE%\AppData\Local\Temp\OnboardLogs"\RTDC4032\2016-11-23 --exclude "*" --recursive --include "*20161123*" &amp; "%USERPROFILE%\Documents\GitHub\mrs-test-scripts\Headless Mode &amp; Sideloading\WalkAndUnGZ.bat" "%USERPROFILE%\AppData\Local\Temp\OnboardLogs"\RTDC4032\2016-11-23</v>
      </c>
      <c r="S33" s="103" t="str">
        <f>VLOOKUP(C33,'Train Runs'!$A$13:$AE$9988,22,0)</f>
        <v>https://search-rtdc-monitor-bjffxe2xuh6vdkpspy63sjmuny.us-east-1.es.amazonaws.com/_plugin/kibana/#/discover/Steve-Slow-Train-Analysis-(2080s-and-2083s)?_g=(refreshInterval:(display:Off,section:0,value:0),time:(from:'2016-11-22 02:23:24-700',mode:absolute,to:'2016-11-22 04:32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3" s="105" t="str">
        <f t="shared" si="1"/>
        <v>"C:\Program Files (x86)\AstroGrep\AstroGrep.exe" /spath="%USERPROFILE%\AppData\Local\Temp\OnboardLogs" /stypes="*4032*201611221*" /stext=" 10:.+((SYSTEM_STATE.+slice.+state.+changed )|(ment ac)|(system.+state.+changed )|(\[timeout)|(PRM\|1\|D)|(kpr)|(kdp)|(\|lc)|(penalty))" /e /r /s</v>
      </c>
      <c r="U33" s="9" t="str">
        <f t="shared" si="2"/>
        <v>4032</v>
      </c>
      <c r="V33" s="36">
        <f t="shared" si="3"/>
        <v>42696.438113425924</v>
      </c>
      <c r="W33" s="50" t="str">
        <f t="shared" si="4"/>
        <v>Other</v>
      </c>
      <c r="X33" s="50" t="str">
        <f t="shared" si="5"/>
        <v>KEEP</v>
      </c>
      <c r="Y33" s="119" t="str">
        <f t="shared" si="6"/>
        <v>echo {"issue":{"subject":"","project_id":79,"tracker_id":40,"status_id":1,"priority_id":2,"assigned_to_id":23,"start_date":"2016-11-22","description":"","custom_fields":[{"id":1,"name":"Subdivision","value":"Other"},{"id":4,"name":"Milepost","value":"1.1016"},{"id":17,"name":"Train ID","value":"304-22"},{"id":16,"name":"Locomotive ID","value":"4032"},{"id":130,"name":"Impact","value":""},{"id":150,"name":"Time of Event (Mountain Time)","value":"03:30:53"},{"id":151,"name":"Denver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"%USERPROFILE%\AppData\Local\Temp\OnboardLogs"\RTDC4032\*4032*201611221*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"%USERPROFILE%\AppData\Local\Temp\OnboardLogs"\RTDC4032\*4032*201611221* &gt;&gt; 42696-slicedisagreementcheck.txt</v>
      </c>
    </row>
    <row r="34" spans="1:30" x14ac:dyDescent="0.25">
      <c r="A34" s="36">
        <v>42696.749976851854</v>
      </c>
      <c r="B34" s="31" t="s">
        <v>347</v>
      </c>
      <c r="C34" s="31" t="s">
        <v>437</v>
      </c>
      <c r="D34" s="31" t="s">
        <v>98</v>
      </c>
      <c r="E34" s="31" t="s">
        <v>205</v>
      </c>
      <c r="F34" s="47">
        <v>0</v>
      </c>
      <c r="G34" s="47">
        <v>83</v>
      </c>
      <c r="H34" s="47">
        <v>11004</v>
      </c>
      <c r="I34" s="47">
        <v>10769</v>
      </c>
      <c r="J34" s="31" t="s">
        <v>206</v>
      </c>
      <c r="K34" s="47">
        <v>11016</v>
      </c>
      <c r="L34" s="154" t="s">
        <v>51</v>
      </c>
      <c r="M34" s="155">
        <f t="shared" si="0"/>
        <v>-130.416</v>
      </c>
      <c r="N34" s="156" t="str">
        <f>VLOOKUP(C34,'Trips&amp;Operators'!$C$1:$E$99999,3,FALSE)</f>
        <v>NICHOLSON</v>
      </c>
      <c r="O34" s="183" t="s">
        <v>202</v>
      </c>
      <c r="P34" s="157"/>
      <c r="Q34" s="31"/>
      <c r="R34" s="100" t="str">
        <f>VLOOKUP(C34,'Train Runs'!$A$13:$AE$9988,31,0)</f>
        <v>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 &amp; aws s3 cp s3://rtdc.mdm.uploadarchive.raw/RTDC4041/ "%USERPROFILE%\AppData\Local\Temp\OnboardLogs"\RTDC4041\2016-11-23 --exclude "*" --recursive --include "*20161123*" &amp; "%USERPROFILE%\Documents\GitHub\mrs-test-scripts\Headless Mode &amp; Sideloading\WalkAndUnGZ.bat" "%USERPROFILE%\AppData\Local\Temp\OnboardLogs"\RTDC4041\2016-11-23</v>
      </c>
      <c r="S34" s="103" t="str">
        <f>VLOOKUP(C34,'Train Runs'!$A$13:$AE$9988,22,0)</f>
        <v>https://search-rtdc-monitor-bjffxe2xuh6vdkpspy63sjmuny.us-east-1.es.amazonaws.com/_plugin/kibana/#/discover/Steve-Slow-Train-Analysis-(2080s-and-2083s)?_g=(refreshInterval:(display:Off,section:0,value:0),time:(from:'2016-11-22 16:51:59-700',mode:absolute,to:'2016-11-22 19:07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4" s="105" t="str">
        <f t="shared" si="1"/>
        <v>"C:\Program Files (x86)\AstroGrep\AstroGrep.exe" /spath="%USERPROFILE%\AppData\Local\Temp\OnboardLogs" /stypes="*4041*201611230*" /stext=" 00:.+((SYSTEM_STATE.+slice.+state.+changed )|(ment ac)|(system.+state.+changed )|(\[timeout)|(PRM\|1\|D)|(kpr)|(kdp)|(\|lc)|(penalty))" /e /r /s</v>
      </c>
      <c r="U34" s="9" t="str">
        <f t="shared" si="2"/>
        <v>4041</v>
      </c>
      <c r="V34" s="36">
        <f t="shared" si="3"/>
        <v>42697.041643518518</v>
      </c>
      <c r="W34" s="50" t="str">
        <f t="shared" si="4"/>
        <v>Other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{"issue":{"subject":"","project_id":79,"tracker_id":40,"status_id":1,"priority_id":2,"assigned_to_id":23,"start_date":"2016-11-22","description":"","custom_fields":[{"id":1,"name":"Subdivision","value":"Other"},{"id":4,"name":"Milepost","value":"1.1016"},{"id":17,"name":"Train ID","value":"74-22"},{"id":16,"name":"Locomotive ID","value":"4041"},{"id":130,"name":"Impact","value":""},{"id":150,"name":"Time of Event (Mountain Time)","value":"17:59:58"},{"id":151,"name":"Denver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"%USERPROFILE%\AppData\Local\Temp\OnboardLogs"\RTDC4041\*4041*201611230*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"%USERPROFILE%\AppData\Local\Temp\OnboardLogs"\RTDC4041\*4041*201611230* &gt;&gt; 42696-slicedisagreementcheck.txt</v>
      </c>
    </row>
    <row r="35" spans="1:30" x14ac:dyDescent="0.25">
      <c r="A35" s="36">
        <v>42696.169340277775</v>
      </c>
      <c r="B35" s="31" t="s">
        <v>213</v>
      </c>
      <c r="C35" s="31" t="s">
        <v>412</v>
      </c>
      <c r="D35" s="31" t="s">
        <v>49</v>
      </c>
      <c r="E35" s="31" t="s">
        <v>413</v>
      </c>
      <c r="F35" s="47">
        <v>0</v>
      </c>
      <c r="G35" s="47">
        <v>66</v>
      </c>
      <c r="H35" s="47">
        <v>3390</v>
      </c>
      <c r="I35" s="47">
        <v>0</v>
      </c>
      <c r="J35" s="31" t="s">
        <v>414</v>
      </c>
      <c r="K35" s="47">
        <v>3340</v>
      </c>
      <c r="L35" s="154" t="s">
        <v>51</v>
      </c>
      <c r="M35" s="155">
        <f t="shared" si="0"/>
        <v>-1763.52</v>
      </c>
      <c r="N35" s="156" t="str">
        <f>VLOOKUP(C35,'Trips&amp;Operators'!$C$1:$E$99999,3,FALSE)</f>
        <v>RICHARDSON</v>
      </c>
      <c r="O35" s="183" t="s">
        <v>202</v>
      </c>
      <c r="P35" s="157"/>
      <c r="Q35" s="31"/>
      <c r="R35" s="100" t="str">
        <f>VLOOKUP(C35,'Train Runs'!$A$13:$AE$9988,31,0)</f>
        <v>aws s3 cp s3://rtdc.mdm.uploadarchive.raw/RTDC4030/ "%USERPROFILE%\AppData\Local\Temp\OnboardLogs"\RTDC4030\2016-11-22 --exclude "*" --recursive --include "*20161122*" &amp; "%USERPROFILE%\Documents\GitHub\mrs-test-scripts\Headless Mode &amp; Sideloading\WalkAndUnGZ.bat" "%USERPROFILE%\AppData\Local\Temp\OnboardLogs"\RTDC4030\2016-11-22 &amp; aws s3 cp s3://rtdc.mdm.uploadarchive.raw/RTDC4030/ "%USERPROFILE%\AppData\Local\Temp\OnboardLogs"\RTDC4030\2016-11-23 --exclude "*" --recursive --include "*20161123*" &amp; "%USERPROFILE%\Documents\GitHub\mrs-test-scripts\Headless Mode &amp; Sideloading\WalkAndUnGZ.bat" "%USERPROFILE%\AppData\Local\Temp\OnboardLogs"\RTDC4030\2016-11-23</v>
      </c>
      <c r="S35" s="103" t="str">
        <f>VLOOKUP(C35,'Train Runs'!$A$13:$AE$9988,22,0)</f>
        <v>https://search-rtdc-monitor-bjffxe2xuh6vdkpspy63sjmuny.us-east-1.es.amazonaws.com/_plugin/kibana/#/discover/Steve-Slow-Train-Analysis-(2080s-and-2083s)?_g=(refreshInterval:(display:Off,section:0,value:0),time:(from:'2016-11-22 02:54:58-700',mode:absolute,to:'2016-11-22 05:03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5" s="105" t="str">
        <f t="shared" si="1"/>
        <v>"C:\Program Files (x86)\AstroGrep\AstroGrep.exe" /spath="%USERPROFILE%\AppData\Local\Temp\OnboardLogs" /stypes="*4030*201611221*" /stext=" 11:.+((SYSTEM_STATE.+slice.+state.+changed )|(ment ac)|(system.+state.+changed )|(\[timeout)|(PRM\|1\|D)|(kpr)|(kdp)|(\|lc)|(penalty))" /e /r /s</v>
      </c>
      <c r="U35" s="9" t="str">
        <f t="shared" si="2"/>
        <v>4030</v>
      </c>
      <c r="V35" s="36">
        <f t="shared" si="3"/>
        <v>42696.461006944439</v>
      </c>
      <c r="W35" s="50" t="str">
        <f t="shared" si="4"/>
        <v>Other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{"issue":{"subject":"","project_id":79,"tracker_id":40,"status_id":1,"priority_id":2,"assigned_to_id":23,"start_date":"2016-11-22","description":"","custom_fields":[{"id":1,"name":"Subdivision","value":"Other"},{"id":4,"name":"Milepost","value":"0.334"},{"id":17,"name":"Train ID","value":"306-22"},{"id":16,"name":"Locomotive ID","value":"4030"},{"id":130,"name":"Impact","value":""},{"id":150,"name":"Time of Event (Mountain Time)","value":"04:03:51"},{"id":151,"name":"Denver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"%USERPROFILE%\AppData\Local\Temp\OnboardLogs"\RTDC4030\*4030*201611221*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"%USERPROFILE%\AppData\Local\Temp\OnboardLogs"\RTDC4030\*4030*201611221* &gt;&gt; 42696-slicedisagreementcheck.txt</v>
      </c>
    </row>
    <row r="36" spans="1:30" x14ac:dyDescent="0.25">
      <c r="A36" s="36">
        <v>42696.444444444445</v>
      </c>
      <c r="B36" s="31" t="s">
        <v>347</v>
      </c>
      <c r="C36" s="31" t="s">
        <v>428</v>
      </c>
      <c r="D36" s="31" t="s">
        <v>49</v>
      </c>
      <c r="E36" s="31" t="s">
        <v>207</v>
      </c>
      <c r="F36" s="47">
        <v>0</v>
      </c>
      <c r="G36" s="47">
        <v>104</v>
      </c>
      <c r="H36" s="47">
        <v>1259</v>
      </c>
      <c r="I36" s="47">
        <v>1151</v>
      </c>
      <c r="J36" s="31" t="s">
        <v>208</v>
      </c>
      <c r="K36" s="47">
        <v>826</v>
      </c>
      <c r="L36" s="154" t="s">
        <v>51</v>
      </c>
      <c r="M36" s="155">
        <f t="shared" si="0"/>
        <v>171.6</v>
      </c>
      <c r="N36" s="156" t="str">
        <f>VLOOKUP(C36,'Trips&amp;Operators'!$C$1:$E$99999,3,FALSE)</f>
        <v>BARTLETT</v>
      </c>
      <c r="O36" s="183" t="s">
        <v>202</v>
      </c>
      <c r="P36" s="157"/>
      <c r="Q36" s="31"/>
      <c r="R36" s="100" t="str">
        <f>VLOOKUP(C36,'Train Runs'!$A$13:$AE$9988,31,0)</f>
        <v>aws s3 cp s3://rtdc.mdm.uploadarchive.raw/RTDC4041/ "%USERPROFILE%\AppData\Local\Temp\OnboardLogs"\RTDC4041\2016-11-22 --exclude "*" --recursive --include "*20161122*" &amp; "%USERPROFILE%\Documents\GitHub\mrs-test-scripts\Headless Mode &amp; Sideloading\WalkAndUnGZ.bat" "%USERPROFILE%\AppData\Local\Temp\OnboardLogs"\RTDC4041\2016-11-22 &amp; aws s3 cp s3://rtdc.mdm.uploadarchive.raw/RTDC4041/ "%USERPROFILE%\AppData\Local\Temp\OnboardLogs"\RTDC4041\2016-11-23 --exclude "*" --recursive --include "*20161123*" &amp; "%USERPROFILE%\Documents\GitHub\mrs-test-scripts\Headless Mode &amp; Sideloading\WalkAndUnGZ.bat" "%USERPROFILE%\AppData\Local\Temp\OnboardLogs"\RTDC4041\2016-11-23</v>
      </c>
      <c r="S36" s="103" t="str">
        <f>VLOOKUP(C36,'Train Runs'!$A$13:$AE$9988,22,0)</f>
        <v>https://search-rtdc-monitor-bjffxe2xuh6vdkpspy63sjmuny.us-east-1.es.amazonaws.com/_plugin/kibana/#/discover/Steve-Slow-Train-Analysis-(2080s-and-2083s)?_g=(refreshInterval:(display:Off,section:0,value:0),time:(from:'2016-11-22 09:31:21-700',mode:absolute,to:'2016-11-22 11:40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6" s="105" t="str">
        <f t="shared" si="1"/>
        <v>"C:\Program Files (x86)\AstroGrep\AstroGrep.exe" /spath="%USERPROFILE%\AppData\Local\Temp\OnboardLogs" /stypes="*4041*201611221*" /stext=" 17:.+((SYSTEM_STATE.+slice.+state.+changed )|(ment ac)|(system.+state.+changed )|(\[timeout)|(PRM\|1\|D)|(kpr)|(kdp)|(\|lc)|(penalty))" /e /r /s</v>
      </c>
      <c r="U36" s="9" t="str">
        <f t="shared" si="2"/>
        <v>4041</v>
      </c>
      <c r="V36" s="36">
        <f t="shared" si="3"/>
        <v>42696.736111111109</v>
      </c>
      <c r="W36" s="50" t="str">
        <f t="shared" si="4"/>
        <v>Other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{"issue":{"subject":"","project_id":79,"tracker_id":40,"status_id":1,"priority_id":2,"assigned_to_id":23,"start_date":"2016-11-22","description":"","custom_fields":[{"id":1,"name":"Subdivision","value":"Other"},{"id":4,"name":"Milepost","value":"0.0826"},{"id":17,"name":"Train ID","value":"52-22"},{"id":16,"name":"Locomotive ID","value":"4041"},{"id":130,"name":"Impact","value":""},{"id":150,"name":"Time of Event (Mountain Time)","value":"10:40:00"},{"id":151,"name":"Denver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"%USERPROFILE%\AppData\Local\Temp\OnboardLogs"\RTDC4041\*4041*201611221*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"%USERPROFILE%\AppData\Local\Temp\OnboardLogs"\RTDC4041\*4041*201611221* &gt;&gt; 42696-slicedisagreementcheck.txt</v>
      </c>
    </row>
    <row r="37" spans="1:30" x14ac:dyDescent="0.25">
      <c r="A37" s="36">
        <v>42696.918796296297</v>
      </c>
      <c r="B37" s="31" t="s">
        <v>157</v>
      </c>
      <c r="C37" s="31" t="s">
        <v>442</v>
      </c>
      <c r="D37" s="31" t="s">
        <v>49</v>
      </c>
      <c r="E37" s="31" t="s">
        <v>154</v>
      </c>
      <c r="F37" s="47">
        <v>100</v>
      </c>
      <c r="G37" s="47">
        <v>153</v>
      </c>
      <c r="H37" s="47">
        <v>63939</v>
      </c>
      <c r="I37" s="47">
        <v>63762</v>
      </c>
      <c r="J37" s="31" t="s">
        <v>153</v>
      </c>
      <c r="K37" s="47">
        <v>63309</v>
      </c>
      <c r="L37" s="154" t="s">
        <v>51</v>
      </c>
      <c r="M37" s="155">
        <f t="shared" si="0"/>
        <v>239.184</v>
      </c>
      <c r="N37" s="156" t="str">
        <f>VLOOKUP(C37,'Trips&amp;Operators'!$C$1:$E$99999,3,FALSE)</f>
        <v>ROMERO</v>
      </c>
      <c r="O37" s="183" t="s">
        <v>202</v>
      </c>
      <c r="P37" s="157"/>
      <c r="Q37" s="31"/>
      <c r="R37" s="100" t="str">
        <f>VLOOKUP(C37,'Train Runs'!$A$13:$AE$9988,31,0)</f>
        <v>aws s3 cp s3://rtdc.mdm.uploadarchive.raw/RTDC4052/ "%USERPROFILE%\AppData\Local\Temp\OnboardLogs"\RTDC4052\2016-11-22 --exclude "*" --recursive --include "*20161122*" &amp; "%USERPROFILE%\Documents\GitHub\mrs-test-scripts\Headless Mode &amp; Sideloading\WalkAndUnGZ.bat" "%USERPROFILE%\AppData\Local\Temp\OnboardLogs"\RTDC4052\2016-11-22 &amp; aws s3 cp s3://rtdc.mdm.uploadarchive.raw/RTDC4052/ "%USERPROFILE%\AppData\Local\Temp\OnboardLogs"\RTDC4052\2016-11-23 --exclude "*" --recursive --include "*20161123*" &amp; "%USERPROFILE%\Documents\GitHub\mrs-test-scripts\Headless Mode &amp; Sideloading\WalkAndUnGZ.bat" "%USERPROFILE%\AppData\Local\Temp\OnboardLogs"\RTDC4052\2016-11-23</v>
      </c>
      <c r="S37" s="103" t="str">
        <f>VLOOKUP(C37,'Train Runs'!$A$13:$AE$9988,22,0)</f>
        <v>https://search-rtdc-monitor-bjffxe2xuh6vdkpspy63sjmuny.us-east-1.es.amazonaws.com/_plugin/kibana/#/discover/Steve-Slow-Train-Analysis-(2080s-and-2083s)?_g=(refreshInterval:(display:Off,section:0,value:0),time:(from:'2016-11-22 19:34:39-700',mode:absolute,to:'2016-11-22 22:18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37" s="105" t="str">
        <f t="shared" si="1"/>
        <v>"C:\Program Files (x86)\AstroGrep\AstroGrep.exe" /spath="%USERPROFILE%\AppData\Local\Temp\OnboardLogs" /stypes="*4052*201611230*" /stext=" 05:.+((SYSTEM_STATE.+slice.+state.+changed )|(ment ac)|(system.+state.+changed )|(\[timeout)|(PRM\|1\|D)|(kpr)|(kdp)|(\|lc)|(penalty))" /e /r /s</v>
      </c>
      <c r="U37" s="9" t="str">
        <f t="shared" si="2"/>
        <v>4052</v>
      </c>
      <c r="V37" s="36">
        <f t="shared" si="3"/>
        <v>42697.210462962961</v>
      </c>
      <c r="W37" s="50" t="e">
        <f t="shared" si="4"/>
        <v>#VALUE!</v>
      </c>
      <c r="X37" s="50" t="str">
        <f t="shared" si="5"/>
        <v>KEEP</v>
      </c>
      <c r="Y37" s="119" t="e">
        <f t="shared" si="6"/>
        <v>#VALUE!</v>
      </c>
      <c r="Z37" s="53"/>
      <c r="AA37" s="53"/>
      <c r="AB37" s="53"/>
      <c r="AC37" s="138" t="str">
        <f t="shared" si="7"/>
        <v>grep -hSE -A100 "Enforcement Action" "%USERPROFILE%\AppData\Local\Temp\OnboardLogs"\RTDC4052\*4052*201611230*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"%USERPROFILE%\AppData\Local\Temp\OnboardLogs"\RTDC4052\*4052*201611230* &gt;&gt; 42696-slicedisagreementcheck.txt</v>
      </c>
    </row>
    <row r="38" spans="1:30" x14ac:dyDescent="0.25">
      <c r="A38" s="36">
        <v>42696.876851851855</v>
      </c>
      <c r="B38" s="31" t="s">
        <v>157</v>
      </c>
      <c r="C38" s="31" t="s">
        <v>442</v>
      </c>
      <c r="D38" s="31" t="s">
        <v>98</v>
      </c>
      <c r="E38" s="31" t="s">
        <v>205</v>
      </c>
      <c r="F38" s="47">
        <v>200</v>
      </c>
      <c r="G38" s="47">
        <v>262</v>
      </c>
      <c r="H38" s="47">
        <v>85855</v>
      </c>
      <c r="I38" s="47">
        <v>85026</v>
      </c>
      <c r="J38" s="31" t="s">
        <v>206</v>
      </c>
      <c r="K38" s="47">
        <v>87902</v>
      </c>
      <c r="L38" s="154" t="s">
        <v>51</v>
      </c>
      <c r="M38" s="155">
        <f t="shared" si="0"/>
        <v>-1518.528</v>
      </c>
      <c r="N38" s="156" t="str">
        <f>VLOOKUP(C38,'Trips&amp;Operators'!$C$1:$E$99999,3,FALSE)</f>
        <v>ROMERO</v>
      </c>
      <c r="O38" s="183" t="s">
        <v>202</v>
      </c>
      <c r="P38" s="157"/>
      <c r="Q38" s="31"/>
      <c r="R38" s="100" t="str">
        <f>VLOOKUP(C38,'Train Runs'!$A$13:$AE$9988,31,0)</f>
        <v>aws s3 cp s3://rtdc.mdm.uploadarchive.raw/RTDC4052/ "%USERPROFILE%\AppData\Local\Temp\OnboardLogs"\RTDC4052\2016-11-22 --exclude "*" --recursive --include "*20161122*" &amp; "%USERPROFILE%\Documents\GitHub\mrs-test-scripts\Headless Mode &amp; Sideloading\WalkAndUnGZ.bat" "%USERPROFILE%\AppData\Local\Temp\OnboardLogs"\RTDC4052\2016-11-22 &amp; aws s3 cp s3://rtdc.mdm.uploadarchive.raw/RTDC4052/ "%USERPROFILE%\AppData\Local\Temp\OnboardLogs"\RTDC4052\2016-11-23 --exclude "*" --recursive --include "*20161123*" &amp; "%USERPROFILE%\Documents\GitHub\mrs-test-scripts\Headless Mode &amp; Sideloading\WalkAndUnGZ.bat" "%USERPROFILE%\AppData\Local\Temp\OnboardLogs"\RTDC4052\2016-11-23</v>
      </c>
      <c r="S38" s="103" t="str">
        <f>VLOOKUP(C38,'Train Runs'!$A$13:$AE$9988,22,0)</f>
        <v>https://search-rtdc-monitor-bjffxe2xuh6vdkpspy63sjmuny.us-east-1.es.amazonaws.com/_plugin/kibana/#/discover/Steve-Slow-Train-Analysis-(2080s-and-2083s)?_g=(refreshInterval:(display:Off,section:0,value:0),time:(from:'2016-11-22 19:34:39-700',mode:absolute,to:'2016-11-22 22:18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38" s="105" t="str">
        <f t="shared" si="1"/>
        <v>"C:\Program Files (x86)\AstroGrep\AstroGrep.exe" /spath="%USERPROFILE%\AppData\Local\Temp\OnboardLogs" /stypes="*4052*201611230*" /stext=" 04:.+((SYSTEM_STATE.+slice.+state.+changed )|(ment ac)|(system.+state.+changed )|(\[timeout)|(PRM\|1\|D)|(kpr)|(kdp)|(\|lc)|(penalty))" /e /r /s</v>
      </c>
      <c r="U38" s="9" t="str">
        <f t="shared" si="2"/>
        <v>4052</v>
      </c>
      <c r="V38" s="36">
        <f t="shared" si="3"/>
        <v>42697.16851851852</v>
      </c>
      <c r="W38" s="50" t="e">
        <f t="shared" si="4"/>
        <v>#VALUE!</v>
      </c>
      <c r="X38" s="50" t="str">
        <f t="shared" si="5"/>
        <v>KEEP</v>
      </c>
      <c r="Y38" s="119" t="e">
        <f t="shared" si="6"/>
        <v>#VALUE!</v>
      </c>
      <c r="Z38" s="53"/>
      <c r="AA38" s="53"/>
      <c r="AB38" s="53"/>
      <c r="AC38" s="138" t="str">
        <f t="shared" si="7"/>
        <v>grep -hSE -A100 "Enforcement Action" "%USERPROFILE%\AppData\Local\Temp\OnboardLogs"\RTDC4052\*4052*201611230*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"%USERPROFILE%\AppData\Local\Temp\OnboardLogs"\RTDC4052\*4052*201611230* &gt;&gt; 42696-slicedisagreementcheck.txt</v>
      </c>
    </row>
    <row r="39" spans="1:30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</row>
    <row r="40" spans="1:30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</row>
    <row r="41" spans="1:30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</row>
    <row r="42" spans="1:30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30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</sheetData>
  <autoFilter ref="A6:AC46">
    <sortState ref="A7:AC46">
      <sortCondition ref="V6:V46"/>
    </sortState>
  </autoFilter>
  <sortState ref="A7:AD38">
    <sortCondition ref="W7:W38"/>
    <sortCondition ref="E7:E38"/>
    <sortCondition ref="K7:K38"/>
    <sortCondition ref="C7:C38"/>
    <sortCondition ref="F7:F38"/>
  </sortState>
  <mergeCells count="1">
    <mergeCell ref="A5:O5"/>
  </mergeCells>
  <conditionalFormatting sqref="O6:P6 R6 O67:O1048576 O7:O3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8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AA7:AA38</xm:sqref>
        </x14:dataValidation>
        <x14:dataValidation type="list" allowBlank="1" showInputMessage="1" showErrorMessage="1">
          <x14:formula1>
            <xm:f>'Redmine List Values'!$C$2:$C$15</xm:f>
          </x14:formula1>
          <xm:sqref>AB7:AB38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"/>
  <sheetViews>
    <sheetView workbookViewId="0"/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5" t="str">
        <f>"Trips that did not appear in PTC Data "&amp;TEXT(Variables!$A$2,"YYYY-mm-dd")</f>
        <v>Trips that did not appear in PTC Data 2016-11-22</v>
      </c>
      <c r="C1" s="185"/>
      <c r="D1" s="185"/>
      <c r="E1" s="185"/>
      <c r="F1" s="185"/>
    </row>
    <row r="2" spans="1:11" s="24" customFormat="1" ht="45" x14ac:dyDescent="0.25">
      <c r="A2" s="178" t="s">
        <v>155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9"/>
      <c r="B3" s="47" t="str">
        <f>A3&amp;"-"&amp;IF(DAY(Variables!$A$2)&lt;10,0,"")&amp;DAY(Variables!$A$2)</f>
        <v>-22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3" s="31" t="e">
        <f>VLOOKUP(B3,'Train Runs'!$A$13:$A$99985,1,FALSE)</f>
        <v>#N/A</v>
      </c>
      <c r="K3" s="31" t="e">
        <f>IF(VLOOKUP(A3,$K$42:$K$65,1,FALSE),"Cancelled")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-22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4" s="31" t="e">
        <f>VLOOKUP(B4,'Train Runs'!$A$13:$A$99985,1,FALSE)</f>
        <v>#N/A</v>
      </c>
      <c r="K4" s="31" t="e">
        <f>IF(VLOOKUP(A4,$K$42:$K$65,1,FALSE),"Cancelled")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-22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5" s="31" t="e">
        <f>VLOOKUP(B5,'Train Runs'!$A$13:$A$99985,1,FALSE)</f>
        <v>#N/A</v>
      </c>
      <c r="K5" s="31" t="e">
        <f>IF(VLOOKUP(A5,$K$42:$K$65,1,FALSE),"Cancelled")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-22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6" s="31" t="e">
        <f>VLOOKUP(B6,'Train Runs'!$A$13:$A$99985,1,FALSE)</f>
        <v>#N/A</v>
      </c>
      <c r="K6" s="31" t="e">
        <f>IF(VLOOKUP(A6,$K$42:$K$65,1,FALSE),"Cancelled")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-22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7" s="31" t="e">
        <f>VLOOKUP(B7,'Train Runs'!$A$13:$A$99985,1,FALSE)</f>
        <v>#N/A</v>
      </c>
      <c r="K7" s="31" t="e">
        <f>IF(VLOOKUP(A7,$K$42:$K$65,1,FALSE),"Cancelled")</f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5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180</v>
      </c>
      <c r="B1" s="21" t="s">
        <v>181</v>
      </c>
      <c r="C1" s="21" t="s">
        <v>0</v>
      </c>
      <c r="D1" s="21" t="s">
        <v>182</v>
      </c>
      <c r="E1" s="21" t="s">
        <v>183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42696.036053240743</v>
      </c>
      <c r="B2" s="21" t="s">
        <v>347</v>
      </c>
      <c r="C2" s="21" t="s">
        <v>357</v>
      </c>
      <c r="D2" s="21">
        <v>1800000</v>
      </c>
      <c r="E2" s="21" t="s">
        <v>256</v>
      </c>
      <c r="F2" s="21" t="str">
        <f t="shared" ref="F2:F65" si="0">B2</f>
        <v>rtdc.l.rtdc.4041:itc</v>
      </c>
      <c r="G2" s="8">
        <f t="shared" ref="G2:G65" si="1">A2</f>
        <v>42696.036053240743</v>
      </c>
    </row>
    <row r="3" spans="1:7" x14ac:dyDescent="0.25">
      <c r="A3" s="8">
        <v>42696.046157407407</v>
      </c>
      <c r="B3" s="21" t="s">
        <v>186</v>
      </c>
      <c r="C3" s="21" t="s">
        <v>358</v>
      </c>
      <c r="D3" s="21">
        <v>1810000</v>
      </c>
      <c r="E3" s="21" t="s">
        <v>307</v>
      </c>
      <c r="F3" s="21" t="str">
        <f t="shared" si="0"/>
        <v>rtdc.l.rtdc.4009:itc</v>
      </c>
      <c r="G3" s="8">
        <f t="shared" si="1"/>
        <v>42696.046157407407</v>
      </c>
    </row>
    <row r="4" spans="1:7" x14ac:dyDescent="0.25">
      <c r="A4" s="8">
        <v>42696.047094907408</v>
      </c>
      <c r="B4" s="21" t="s">
        <v>186</v>
      </c>
      <c r="C4" s="21" t="s">
        <v>358</v>
      </c>
      <c r="D4" s="21">
        <v>1810000</v>
      </c>
      <c r="E4" s="21" t="s">
        <v>307</v>
      </c>
      <c r="F4" s="21" t="str">
        <f t="shared" si="0"/>
        <v>rtdc.l.rtdc.4009:itc</v>
      </c>
      <c r="G4" s="8">
        <f t="shared" si="1"/>
        <v>42696.047094907408</v>
      </c>
    </row>
    <row r="5" spans="1:7" x14ac:dyDescent="0.25">
      <c r="A5" s="8">
        <v>42696.047106481485</v>
      </c>
      <c r="B5" s="21" t="s">
        <v>222</v>
      </c>
      <c r="C5" s="21" t="s">
        <v>359</v>
      </c>
      <c r="D5" s="21">
        <v>2630000</v>
      </c>
      <c r="E5" s="21" t="s">
        <v>356</v>
      </c>
      <c r="F5" s="21" t="str">
        <f t="shared" si="0"/>
        <v>rtdc.l.rtdc.4039:itc</v>
      </c>
      <c r="G5" s="8">
        <f t="shared" si="1"/>
        <v>42696.047106481485</v>
      </c>
    </row>
    <row r="6" spans="1:7" x14ac:dyDescent="0.25">
      <c r="A6" s="8">
        <v>42696.070208333331</v>
      </c>
      <c r="B6" s="21" t="s">
        <v>346</v>
      </c>
      <c r="C6" s="21" t="s">
        <v>360</v>
      </c>
      <c r="D6" s="21">
        <v>1800000</v>
      </c>
      <c r="E6" s="21" t="s">
        <v>256</v>
      </c>
      <c r="F6" s="21" t="str">
        <f t="shared" si="0"/>
        <v>rtdc.l.rtdc.4042:itc</v>
      </c>
      <c r="G6" s="8">
        <f t="shared" si="1"/>
        <v>42696.070208333331</v>
      </c>
    </row>
    <row r="7" spans="1:7" x14ac:dyDescent="0.25">
      <c r="A7" s="8">
        <v>42696.071157407408</v>
      </c>
      <c r="B7" s="21" t="s">
        <v>346</v>
      </c>
      <c r="C7" s="21" t="s">
        <v>360</v>
      </c>
      <c r="D7" s="21">
        <v>1800000</v>
      </c>
      <c r="E7" s="21" t="s">
        <v>256</v>
      </c>
      <c r="F7" s="21" t="str">
        <f t="shared" si="0"/>
        <v>rtdc.l.rtdc.4042:itc</v>
      </c>
      <c r="G7" s="8">
        <f t="shared" si="1"/>
        <v>42696.071157407408</v>
      </c>
    </row>
    <row r="8" spans="1:7" x14ac:dyDescent="0.25">
      <c r="A8" s="8">
        <v>42696.079085648147</v>
      </c>
      <c r="B8" s="21" t="s">
        <v>222</v>
      </c>
      <c r="C8" s="21" t="s">
        <v>359</v>
      </c>
      <c r="D8" s="21">
        <v>2630000</v>
      </c>
      <c r="E8" s="21" t="s">
        <v>356</v>
      </c>
      <c r="F8" s="21" t="str">
        <f t="shared" si="0"/>
        <v>rtdc.l.rtdc.4039:itc</v>
      </c>
      <c r="G8" s="8">
        <f t="shared" si="1"/>
        <v>42696.079085648147</v>
      </c>
    </row>
    <row r="9" spans="1:7" ht="15.75" thickBot="1" x14ac:dyDescent="0.3">
      <c r="A9" s="25">
        <v>42696.097326388888</v>
      </c>
      <c r="B9" s="21" t="s">
        <v>218</v>
      </c>
      <c r="C9" s="21" t="s">
        <v>387</v>
      </c>
      <c r="D9" s="21">
        <v>2630000</v>
      </c>
      <c r="E9" s="21" t="s">
        <v>356</v>
      </c>
      <c r="F9" s="21" t="str">
        <f t="shared" si="0"/>
        <v>rtdc.l.rtdc.4040:itc</v>
      </c>
      <c r="G9" s="8">
        <f t="shared" si="1"/>
        <v>42696.097326388888</v>
      </c>
    </row>
    <row r="10" spans="1:7" x14ac:dyDescent="0.25">
      <c r="A10" s="8">
        <v>42696.098240740743</v>
      </c>
      <c r="B10" s="21" t="s">
        <v>218</v>
      </c>
      <c r="C10" s="21" t="s">
        <v>387</v>
      </c>
      <c r="D10" s="21">
        <v>2630000</v>
      </c>
      <c r="E10" s="21" t="s">
        <v>356</v>
      </c>
      <c r="F10" s="21" t="str">
        <f t="shared" si="0"/>
        <v>rtdc.l.rtdc.4040:itc</v>
      </c>
      <c r="G10" s="8">
        <f t="shared" si="1"/>
        <v>42696.098240740743</v>
      </c>
    </row>
    <row r="11" spans="1:7" x14ac:dyDescent="0.25">
      <c r="A11" s="8">
        <v>42696.116261574076</v>
      </c>
      <c r="B11" s="21" t="s">
        <v>237</v>
      </c>
      <c r="C11" s="21" t="s">
        <v>444</v>
      </c>
      <c r="D11" s="21">
        <v>2030000</v>
      </c>
      <c r="E11" s="21" t="s">
        <v>445</v>
      </c>
      <c r="F11" s="21" t="str">
        <f t="shared" si="0"/>
        <v>rtdc.l.rtdc.4021:itc</v>
      </c>
      <c r="G11" s="8">
        <f t="shared" si="1"/>
        <v>42696.116261574076</v>
      </c>
    </row>
    <row r="12" spans="1:7" x14ac:dyDescent="0.25">
      <c r="A12" s="8">
        <v>42696.128275462965</v>
      </c>
      <c r="B12" s="21" t="s">
        <v>215</v>
      </c>
      <c r="C12" s="21" t="s">
        <v>446</v>
      </c>
      <c r="D12" s="21">
        <v>2030000</v>
      </c>
      <c r="E12" s="21" t="s">
        <v>445</v>
      </c>
      <c r="F12" s="21" t="str">
        <f t="shared" si="0"/>
        <v>rtdc.l.rtdc.4011:itc</v>
      </c>
      <c r="G12" s="8">
        <f t="shared" si="1"/>
        <v>42696.128275462965</v>
      </c>
    </row>
    <row r="13" spans="1:7" x14ac:dyDescent="0.25">
      <c r="A13" s="8">
        <v>42696.141793981478</v>
      </c>
      <c r="B13" s="21" t="s">
        <v>286</v>
      </c>
      <c r="C13" s="21" t="s">
        <v>410</v>
      </c>
      <c r="D13" s="21">
        <v>2540000</v>
      </c>
      <c r="E13" s="21" t="s">
        <v>264</v>
      </c>
      <c r="F13" s="21" t="str">
        <f t="shared" si="0"/>
        <v>rtdc.l.rtdc.4032:itc</v>
      </c>
      <c r="G13" s="8">
        <f t="shared" si="1"/>
        <v>42696.141793981478</v>
      </c>
    </row>
    <row r="14" spans="1:7" x14ac:dyDescent="0.25">
      <c r="A14" s="8">
        <v>42696.157708333332</v>
      </c>
      <c r="B14" s="21" t="s">
        <v>293</v>
      </c>
      <c r="C14" s="21" t="s">
        <v>411</v>
      </c>
      <c r="D14" s="21">
        <v>2540000</v>
      </c>
      <c r="E14" s="21" t="s">
        <v>264</v>
      </c>
      <c r="F14" s="21" t="str">
        <f t="shared" si="0"/>
        <v>rtdc.l.rtdc.4046:itc</v>
      </c>
      <c r="G14" s="8">
        <f t="shared" si="1"/>
        <v>42696.157708333332</v>
      </c>
    </row>
    <row r="15" spans="1:7" x14ac:dyDescent="0.25">
      <c r="A15" s="8">
        <v>42696.163842592592</v>
      </c>
      <c r="B15" s="21" t="s">
        <v>213</v>
      </c>
      <c r="C15" s="21" t="s">
        <v>412</v>
      </c>
      <c r="D15" s="21">
        <v>2380000</v>
      </c>
      <c r="E15" s="21" t="s">
        <v>349</v>
      </c>
      <c r="F15" s="21" t="str">
        <f t="shared" si="0"/>
        <v>rtdc.l.rtdc.4030:itc</v>
      </c>
      <c r="G15" s="8">
        <f t="shared" si="1"/>
        <v>42696.163842592592</v>
      </c>
    </row>
    <row r="16" spans="1:7" x14ac:dyDescent="0.25">
      <c r="A16" s="8">
        <v>42696.166087962964</v>
      </c>
      <c r="B16" s="21" t="s">
        <v>293</v>
      </c>
      <c r="C16" s="21" t="s">
        <v>411</v>
      </c>
      <c r="D16" s="21">
        <v>2540000</v>
      </c>
      <c r="E16" s="21" t="s">
        <v>264</v>
      </c>
      <c r="F16" s="21" t="str">
        <f t="shared" si="0"/>
        <v>rtdc.l.rtdc.4046:itc</v>
      </c>
      <c r="G16" s="8">
        <f t="shared" si="1"/>
        <v>42696.166087962964</v>
      </c>
    </row>
    <row r="17" spans="1:7" x14ac:dyDescent="0.25">
      <c r="A17" s="8">
        <v>42696.171168981484</v>
      </c>
      <c r="B17" s="21" t="s">
        <v>237</v>
      </c>
      <c r="C17" s="21" t="s">
        <v>447</v>
      </c>
      <c r="D17" s="21">
        <v>2030000</v>
      </c>
      <c r="E17" s="21" t="s">
        <v>445</v>
      </c>
      <c r="F17" s="21" t="str">
        <f t="shared" si="0"/>
        <v>rtdc.l.rtdc.4021:itc</v>
      </c>
      <c r="G17" s="8">
        <f t="shared" si="1"/>
        <v>42696.171168981484</v>
      </c>
    </row>
    <row r="18" spans="1:7" x14ac:dyDescent="0.25">
      <c r="A18" s="8">
        <v>42696.174490740741</v>
      </c>
      <c r="B18" s="21" t="s">
        <v>229</v>
      </c>
      <c r="C18" s="21" t="s">
        <v>448</v>
      </c>
      <c r="D18" s="21">
        <v>1090000</v>
      </c>
      <c r="E18" s="21" t="s">
        <v>449</v>
      </c>
      <c r="F18" s="21" t="str">
        <f t="shared" si="0"/>
        <v>rtdc.l.rtdc.4001:itc</v>
      </c>
      <c r="G18" s="8">
        <f t="shared" si="1"/>
        <v>42696.174490740741</v>
      </c>
    </row>
    <row r="19" spans="1:7" x14ac:dyDescent="0.25">
      <c r="A19" s="8">
        <v>42696.174502314818</v>
      </c>
      <c r="B19" s="21" t="s">
        <v>239</v>
      </c>
      <c r="C19" s="21" t="s">
        <v>450</v>
      </c>
      <c r="D19" s="21">
        <v>2380000</v>
      </c>
      <c r="E19" s="21" t="s">
        <v>349</v>
      </c>
      <c r="F19" s="21" t="str">
        <f t="shared" si="0"/>
        <v>rtdc.l.rtdc.4038:itc</v>
      </c>
      <c r="G19" s="8">
        <f t="shared" si="1"/>
        <v>42696.174502314818</v>
      </c>
    </row>
    <row r="20" spans="1:7" x14ac:dyDescent="0.25">
      <c r="A20" s="8">
        <v>42696.176261574074</v>
      </c>
      <c r="B20" s="21" t="s">
        <v>229</v>
      </c>
      <c r="C20" s="21" t="s">
        <v>448</v>
      </c>
      <c r="D20" s="21">
        <v>1090000</v>
      </c>
      <c r="E20" s="21" t="s">
        <v>449</v>
      </c>
      <c r="F20" s="21" t="str">
        <f t="shared" si="0"/>
        <v>rtdc.l.rtdc.4001:itc</v>
      </c>
      <c r="G20" s="8">
        <f t="shared" si="1"/>
        <v>42696.176261574074</v>
      </c>
    </row>
    <row r="21" spans="1:7" x14ac:dyDescent="0.25">
      <c r="A21" s="8">
        <v>42696.182152777779</v>
      </c>
      <c r="B21" s="21" t="s">
        <v>348</v>
      </c>
      <c r="C21" s="21" t="s">
        <v>451</v>
      </c>
      <c r="D21" s="21">
        <v>1990000</v>
      </c>
      <c r="E21" s="21" t="s">
        <v>294</v>
      </c>
      <c r="F21" s="21" t="str">
        <f t="shared" si="0"/>
        <v>rtdc.l.rtdc.4028:itc</v>
      </c>
      <c r="G21" s="8">
        <f t="shared" si="1"/>
        <v>42696.182152777779</v>
      </c>
    </row>
    <row r="22" spans="1:7" x14ac:dyDescent="0.25">
      <c r="A22" s="27">
        <v>42696.18677083333</v>
      </c>
      <c r="B22" s="21" t="s">
        <v>230</v>
      </c>
      <c r="C22" s="21" t="s">
        <v>415</v>
      </c>
      <c r="D22" s="21">
        <v>1090000</v>
      </c>
      <c r="E22" s="21" t="s">
        <v>449</v>
      </c>
      <c r="F22" s="21" t="str">
        <f t="shared" si="0"/>
        <v>rtdc.l.rtdc.4002:itc</v>
      </c>
      <c r="G22" s="8">
        <f t="shared" si="1"/>
        <v>42696.18677083333</v>
      </c>
    </row>
    <row r="23" spans="1:7" x14ac:dyDescent="0.25">
      <c r="A23" s="8">
        <v>42696.187905092593</v>
      </c>
      <c r="B23" s="21" t="s">
        <v>230</v>
      </c>
      <c r="C23" s="21" t="s">
        <v>415</v>
      </c>
      <c r="D23" s="21">
        <v>1090000</v>
      </c>
      <c r="E23" s="21" t="s">
        <v>449</v>
      </c>
      <c r="F23" s="21" t="str">
        <f t="shared" si="0"/>
        <v>rtdc.l.rtdc.4002:itc</v>
      </c>
      <c r="G23" s="8">
        <f t="shared" si="1"/>
        <v>42696.187905092593</v>
      </c>
    </row>
    <row r="24" spans="1:7" x14ac:dyDescent="0.25">
      <c r="A24" s="8">
        <v>42696.189930555556</v>
      </c>
      <c r="B24" s="21" t="s">
        <v>292</v>
      </c>
      <c r="C24" s="21" t="s">
        <v>452</v>
      </c>
      <c r="D24" s="21">
        <v>2540000</v>
      </c>
      <c r="E24" s="21" t="s">
        <v>264</v>
      </c>
      <c r="F24" s="21" t="str">
        <f t="shared" si="0"/>
        <v>rtdc.l.rtdc.4045:itc</v>
      </c>
      <c r="G24" s="8">
        <f t="shared" si="1"/>
        <v>42696.189930555556</v>
      </c>
    </row>
    <row r="25" spans="1:7" x14ac:dyDescent="0.25">
      <c r="A25" s="8">
        <v>42696.194849537038</v>
      </c>
      <c r="B25" s="21" t="s">
        <v>354</v>
      </c>
      <c r="C25" s="21" t="s">
        <v>453</v>
      </c>
      <c r="D25" s="21">
        <v>1990000</v>
      </c>
      <c r="E25" s="21" t="s">
        <v>294</v>
      </c>
      <c r="F25" s="21" t="str">
        <f t="shared" si="0"/>
        <v>rtdc.l.rtdc.4027:itc</v>
      </c>
      <c r="G25" s="8">
        <f t="shared" si="1"/>
        <v>42696.194849537038</v>
      </c>
    </row>
    <row r="26" spans="1:7" x14ac:dyDescent="0.25">
      <c r="A26" s="8">
        <v>42696.196076388886</v>
      </c>
      <c r="B26" s="21" t="s">
        <v>354</v>
      </c>
      <c r="C26" s="21" t="s">
        <v>453</v>
      </c>
      <c r="D26" s="21">
        <v>1990000</v>
      </c>
      <c r="E26" s="21" t="s">
        <v>294</v>
      </c>
      <c r="F26" s="21" t="str">
        <f t="shared" si="0"/>
        <v>rtdc.l.rtdc.4027:itc</v>
      </c>
      <c r="G26" s="8">
        <f t="shared" si="1"/>
        <v>42696.196076388886</v>
      </c>
    </row>
    <row r="27" spans="1:7" x14ac:dyDescent="0.25">
      <c r="A27" s="8">
        <v>42696.205405092594</v>
      </c>
      <c r="B27" s="21" t="s">
        <v>215</v>
      </c>
      <c r="C27" s="21" t="s">
        <v>454</v>
      </c>
      <c r="D27" s="21">
        <v>1100000</v>
      </c>
      <c r="E27" s="21" t="s">
        <v>455</v>
      </c>
      <c r="F27" s="21" t="str">
        <f t="shared" si="0"/>
        <v>rtdc.l.rtdc.4011:itc</v>
      </c>
      <c r="G27" s="8">
        <f t="shared" si="1"/>
        <v>42696.205405092594</v>
      </c>
    </row>
    <row r="28" spans="1:7" x14ac:dyDescent="0.25">
      <c r="A28" s="8">
        <v>42696.207245370373</v>
      </c>
      <c r="B28" s="21" t="s">
        <v>258</v>
      </c>
      <c r="C28" s="21" t="s">
        <v>456</v>
      </c>
      <c r="D28" s="21">
        <v>1110000</v>
      </c>
      <c r="E28" s="21" t="s">
        <v>324</v>
      </c>
      <c r="F28" s="21" t="str">
        <f t="shared" si="0"/>
        <v>rtdc.l.rtdc.4014:itc</v>
      </c>
      <c r="G28" s="8">
        <f t="shared" si="1"/>
        <v>42696.207245370373</v>
      </c>
    </row>
    <row r="29" spans="1:7" x14ac:dyDescent="0.25">
      <c r="A29" s="8">
        <v>42696.207615740743</v>
      </c>
      <c r="B29" s="21" t="s">
        <v>354</v>
      </c>
      <c r="C29" s="21" t="s">
        <v>453</v>
      </c>
      <c r="D29" s="21">
        <v>1990000</v>
      </c>
      <c r="E29" s="21" t="s">
        <v>294</v>
      </c>
      <c r="F29" s="21" t="str">
        <f t="shared" si="0"/>
        <v>rtdc.l.rtdc.4027:itc</v>
      </c>
      <c r="G29" s="8">
        <f t="shared" si="1"/>
        <v>42696.207615740743</v>
      </c>
    </row>
    <row r="30" spans="1:7" x14ac:dyDescent="0.25">
      <c r="A30" s="8">
        <v>42696.208668981482</v>
      </c>
      <c r="B30" s="21" t="s">
        <v>213</v>
      </c>
      <c r="C30" s="21" t="s">
        <v>457</v>
      </c>
      <c r="D30" s="21">
        <v>2380000</v>
      </c>
      <c r="E30" s="21" t="s">
        <v>349</v>
      </c>
      <c r="F30" s="21" t="str">
        <f t="shared" si="0"/>
        <v>rtdc.l.rtdc.4030:itc</v>
      </c>
      <c r="G30" s="8">
        <f t="shared" si="1"/>
        <v>42696.208668981482</v>
      </c>
    </row>
    <row r="31" spans="1:7" x14ac:dyDescent="0.25">
      <c r="A31" s="8">
        <v>42696.209085648145</v>
      </c>
      <c r="B31" s="21" t="s">
        <v>236</v>
      </c>
      <c r="C31" s="21" t="s">
        <v>447</v>
      </c>
      <c r="D31" s="21">
        <v>2030000</v>
      </c>
      <c r="E31" s="21" t="s">
        <v>445</v>
      </c>
      <c r="F31" s="21" t="str">
        <f t="shared" si="0"/>
        <v>rtdc.l.rtdc.4022:itc</v>
      </c>
      <c r="G31" s="8">
        <f t="shared" si="1"/>
        <v>42696.209085648145</v>
      </c>
    </row>
    <row r="32" spans="1:7" x14ac:dyDescent="0.25">
      <c r="A32" s="8">
        <v>42696.209849537037</v>
      </c>
      <c r="B32" s="21" t="s">
        <v>236</v>
      </c>
      <c r="C32" s="21" t="s">
        <v>458</v>
      </c>
      <c r="D32" s="21">
        <v>2030000</v>
      </c>
      <c r="E32" s="21" t="s">
        <v>445</v>
      </c>
      <c r="F32" s="21" t="str">
        <f t="shared" si="0"/>
        <v>rtdc.l.rtdc.4022:itc</v>
      </c>
      <c r="G32" s="8">
        <f t="shared" si="1"/>
        <v>42696.209849537037</v>
      </c>
    </row>
    <row r="33" spans="1:7" x14ac:dyDescent="0.25">
      <c r="A33" s="8">
        <v>42696.212291666663</v>
      </c>
      <c r="B33" s="21" t="s">
        <v>236</v>
      </c>
      <c r="C33" s="21" t="s">
        <v>458</v>
      </c>
      <c r="D33" s="21">
        <v>2030000</v>
      </c>
      <c r="E33" s="21" t="s">
        <v>445</v>
      </c>
      <c r="F33" s="21" t="str">
        <f t="shared" si="0"/>
        <v>rtdc.l.rtdc.4022:itc</v>
      </c>
      <c r="G33" s="8">
        <f t="shared" si="1"/>
        <v>42696.212291666663</v>
      </c>
    </row>
    <row r="34" spans="1:7" x14ac:dyDescent="0.25">
      <c r="A34" s="8">
        <v>42696.217245370368</v>
      </c>
      <c r="B34" s="21" t="s">
        <v>259</v>
      </c>
      <c r="C34" s="21" t="s">
        <v>416</v>
      </c>
      <c r="D34" s="21">
        <v>1110000</v>
      </c>
      <c r="E34" s="21" t="s">
        <v>324</v>
      </c>
      <c r="F34" s="21" t="str">
        <f t="shared" si="0"/>
        <v>rtdc.l.rtdc.4013:itc</v>
      </c>
      <c r="G34" s="8">
        <f t="shared" si="1"/>
        <v>42696.217245370368</v>
      </c>
    </row>
    <row r="35" spans="1:7" x14ac:dyDescent="0.25">
      <c r="A35" s="8">
        <v>42696.220729166664</v>
      </c>
      <c r="B35" s="21" t="s">
        <v>285</v>
      </c>
      <c r="C35" s="21" t="s">
        <v>459</v>
      </c>
      <c r="D35" s="21">
        <v>2430000</v>
      </c>
      <c r="E35" s="21" t="s">
        <v>350</v>
      </c>
      <c r="F35" s="21" t="str">
        <f t="shared" si="0"/>
        <v>rtdc.l.rtdc.4031:itc</v>
      </c>
      <c r="G35" s="8">
        <f t="shared" si="1"/>
        <v>42696.220729166664</v>
      </c>
    </row>
    <row r="36" spans="1:7" x14ac:dyDescent="0.25">
      <c r="A36" s="8">
        <v>42696.222581018519</v>
      </c>
      <c r="B36" s="21" t="s">
        <v>285</v>
      </c>
      <c r="C36" s="21" t="s">
        <v>459</v>
      </c>
      <c r="D36" s="21">
        <v>2430000</v>
      </c>
      <c r="E36" s="21" t="s">
        <v>350</v>
      </c>
      <c r="F36" s="21" t="str">
        <f t="shared" si="0"/>
        <v>rtdc.l.rtdc.4031:itc</v>
      </c>
      <c r="G36" s="8">
        <f t="shared" si="1"/>
        <v>42696.222581018519</v>
      </c>
    </row>
    <row r="37" spans="1:7" x14ac:dyDescent="0.25">
      <c r="A37" s="8">
        <v>42696.22388888889</v>
      </c>
      <c r="B37" s="21" t="s">
        <v>229</v>
      </c>
      <c r="C37" s="21" t="s">
        <v>460</v>
      </c>
      <c r="D37" s="21">
        <v>1090000</v>
      </c>
      <c r="E37" s="21" t="s">
        <v>449</v>
      </c>
      <c r="F37" s="21" t="str">
        <f t="shared" si="0"/>
        <v>rtdc.l.rtdc.4001:itc</v>
      </c>
      <c r="G37" s="8">
        <f t="shared" si="1"/>
        <v>42696.22388888889</v>
      </c>
    </row>
    <row r="38" spans="1:7" x14ac:dyDescent="0.25">
      <c r="A38" s="8">
        <v>42696.234247685185</v>
      </c>
      <c r="B38" s="21" t="s">
        <v>293</v>
      </c>
      <c r="C38" s="21" t="s">
        <v>461</v>
      </c>
      <c r="D38" s="21">
        <v>2540000</v>
      </c>
      <c r="E38" s="21" t="s">
        <v>264</v>
      </c>
      <c r="F38" s="21" t="str">
        <f t="shared" si="0"/>
        <v>rtdc.l.rtdc.4046:itc</v>
      </c>
      <c r="G38" s="8">
        <f t="shared" si="1"/>
        <v>42696.234247685185</v>
      </c>
    </row>
    <row r="39" spans="1:7" x14ac:dyDescent="0.25">
      <c r="A39" s="8">
        <v>42696.235682870371</v>
      </c>
      <c r="B39" s="21" t="s">
        <v>348</v>
      </c>
      <c r="C39" s="21" t="s">
        <v>462</v>
      </c>
      <c r="D39" s="21">
        <v>1990000</v>
      </c>
      <c r="E39" s="21" t="s">
        <v>294</v>
      </c>
      <c r="F39" s="21" t="str">
        <f t="shared" si="0"/>
        <v>rtdc.l.rtdc.4028:itc</v>
      </c>
      <c r="G39" s="8">
        <f t="shared" si="1"/>
        <v>42696.235682870371</v>
      </c>
    </row>
    <row r="40" spans="1:7" x14ac:dyDescent="0.25">
      <c r="A40" s="8">
        <v>42696.240648148145</v>
      </c>
      <c r="B40" s="26" t="s">
        <v>258</v>
      </c>
      <c r="C40" s="21" t="s">
        <v>463</v>
      </c>
      <c r="D40" s="21">
        <v>1110000</v>
      </c>
      <c r="E40" s="21" t="s">
        <v>324</v>
      </c>
      <c r="F40" s="21" t="str">
        <f t="shared" si="0"/>
        <v>rtdc.l.rtdc.4014:itc</v>
      </c>
      <c r="G40" s="8">
        <f t="shared" si="1"/>
        <v>42696.240648148145</v>
      </c>
    </row>
    <row r="41" spans="1:7" x14ac:dyDescent="0.25">
      <c r="A41" s="8">
        <v>42696.242511574077</v>
      </c>
      <c r="B41" s="21" t="s">
        <v>226</v>
      </c>
      <c r="C41" s="21" t="s">
        <v>464</v>
      </c>
      <c r="D41" s="21">
        <v>1100000</v>
      </c>
      <c r="E41" s="21" t="s">
        <v>455</v>
      </c>
      <c r="F41" s="21" t="str">
        <f t="shared" si="0"/>
        <v>rtdc.l.rtdc.4012:itc</v>
      </c>
      <c r="G41" s="8">
        <f t="shared" si="1"/>
        <v>42696.242511574077</v>
      </c>
    </row>
    <row r="42" spans="1:7" x14ac:dyDescent="0.25">
      <c r="A42" s="8">
        <v>42696.243564814817</v>
      </c>
      <c r="B42" s="21" t="s">
        <v>422</v>
      </c>
      <c r="C42" s="21" t="s">
        <v>465</v>
      </c>
      <c r="D42" s="21">
        <v>1300000</v>
      </c>
      <c r="E42" s="21" t="s">
        <v>113</v>
      </c>
      <c r="F42" s="21" t="str">
        <f t="shared" si="0"/>
        <v>rtdc.l.rtdc.4015:itc</v>
      </c>
      <c r="G42" s="8">
        <f t="shared" si="1"/>
        <v>42696.243564814817</v>
      </c>
    </row>
    <row r="43" spans="1:7" x14ac:dyDescent="0.25">
      <c r="A43" s="8">
        <v>42696.250520833331</v>
      </c>
      <c r="B43" s="21" t="s">
        <v>239</v>
      </c>
      <c r="C43" s="21" t="s">
        <v>466</v>
      </c>
      <c r="D43" s="21">
        <v>2380000</v>
      </c>
      <c r="E43" s="21" t="s">
        <v>349</v>
      </c>
      <c r="F43" s="21" t="str">
        <f t="shared" si="0"/>
        <v>rtdc.l.rtdc.4038:itc</v>
      </c>
      <c r="G43" s="8">
        <f t="shared" si="1"/>
        <v>42696.250520833331</v>
      </c>
    </row>
    <row r="44" spans="1:7" x14ac:dyDescent="0.25">
      <c r="A44" s="8">
        <v>42696.254895833335</v>
      </c>
      <c r="B44" s="21" t="s">
        <v>259</v>
      </c>
      <c r="C44" s="21" t="s">
        <v>417</v>
      </c>
      <c r="D44" s="21">
        <v>1110000</v>
      </c>
      <c r="E44" s="21" t="s">
        <v>324</v>
      </c>
      <c r="F44" s="21" t="str">
        <f t="shared" si="0"/>
        <v>rtdc.l.rtdc.4013:itc</v>
      </c>
      <c r="G44" s="8">
        <f t="shared" si="1"/>
        <v>42696.254895833335</v>
      </c>
    </row>
    <row r="45" spans="1:7" x14ac:dyDescent="0.25">
      <c r="A45" s="8">
        <v>42696.255474537036</v>
      </c>
      <c r="B45" s="21" t="s">
        <v>237</v>
      </c>
      <c r="C45" s="21" t="s">
        <v>419</v>
      </c>
      <c r="D45" s="21">
        <v>2030000</v>
      </c>
      <c r="E45" s="21" t="s">
        <v>445</v>
      </c>
      <c r="F45" s="21" t="str">
        <f t="shared" si="0"/>
        <v>rtdc.l.rtdc.4021:itc</v>
      </c>
      <c r="G45" s="8">
        <f t="shared" si="1"/>
        <v>42696.255474537036</v>
      </c>
    </row>
    <row r="46" spans="1:7" x14ac:dyDescent="0.25">
      <c r="A46" s="8">
        <v>42696.258229166669</v>
      </c>
      <c r="B46" s="21" t="s">
        <v>230</v>
      </c>
      <c r="C46" s="21" t="s">
        <v>467</v>
      </c>
      <c r="D46" s="21">
        <v>1090000</v>
      </c>
      <c r="E46" s="21" t="s">
        <v>449</v>
      </c>
      <c r="F46" s="21" t="str">
        <f t="shared" si="0"/>
        <v>rtdc.l.rtdc.4002:itc</v>
      </c>
      <c r="G46" s="8">
        <f t="shared" si="1"/>
        <v>42696.258229166669</v>
      </c>
    </row>
    <row r="47" spans="1:7" x14ac:dyDescent="0.25">
      <c r="A47" s="8">
        <v>42696.262384259258</v>
      </c>
      <c r="B47" s="21" t="s">
        <v>434</v>
      </c>
      <c r="C47" s="21" t="s">
        <v>468</v>
      </c>
      <c r="D47" s="21">
        <v>1300000</v>
      </c>
      <c r="E47" s="21" t="s">
        <v>113</v>
      </c>
      <c r="F47" s="21" t="str">
        <f t="shared" si="0"/>
        <v>rtdc.l.rtdc.4016:itc</v>
      </c>
      <c r="G47" s="8">
        <f t="shared" si="1"/>
        <v>42696.262384259258</v>
      </c>
    </row>
    <row r="48" spans="1:7" x14ac:dyDescent="0.25">
      <c r="A48" s="8">
        <v>42696.267569444448</v>
      </c>
      <c r="B48" s="21" t="s">
        <v>286</v>
      </c>
      <c r="C48" s="21" t="s">
        <v>469</v>
      </c>
      <c r="D48" s="21">
        <v>2430000</v>
      </c>
      <c r="E48" s="21" t="s">
        <v>350</v>
      </c>
      <c r="F48" s="21" t="str">
        <f t="shared" si="0"/>
        <v>rtdc.l.rtdc.4032:itc</v>
      </c>
      <c r="G48" s="8">
        <f t="shared" si="1"/>
        <v>42696.267569444448</v>
      </c>
    </row>
    <row r="49" spans="1:7" x14ac:dyDescent="0.25">
      <c r="A49" s="8">
        <v>42696.27003472222</v>
      </c>
      <c r="B49" s="21" t="s">
        <v>354</v>
      </c>
      <c r="C49" s="21" t="s">
        <v>418</v>
      </c>
      <c r="D49" s="21">
        <v>1990000</v>
      </c>
      <c r="E49" s="21" t="s">
        <v>294</v>
      </c>
      <c r="F49" s="21" t="str">
        <f t="shared" si="0"/>
        <v>rtdc.l.rtdc.4027:itc</v>
      </c>
      <c r="G49" s="8">
        <f t="shared" si="1"/>
        <v>42696.27003472222</v>
      </c>
    </row>
    <row r="50" spans="1:7" x14ac:dyDescent="0.25">
      <c r="A50" s="8">
        <v>42696.274004629631</v>
      </c>
      <c r="B50" s="21" t="s">
        <v>292</v>
      </c>
      <c r="C50" s="21" t="s">
        <v>470</v>
      </c>
      <c r="D50" s="21">
        <v>2540000</v>
      </c>
      <c r="E50" s="21" t="s">
        <v>264</v>
      </c>
      <c r="F50" s="21" t="str">
        <f t="shared" si="0"/>
        <v>rtdc.l.rtdc.4045:itc</v>
      </c>
      <c r="G50" s="8">
        <f t="shared" si="1"/>
        <v>42696.274004629631</v>
      </c>
    </row>
    <row r="51" spans="1:7" x14ac:dyDescent="0.25">
      <c r="A51" s="8">
        <v>42696.274895833332</v>
      </c>
      <c r="B51" s="21" t="s">
        <v>292</v>
      </c>
      <c r="C51" s="21" t="s">
        <v>470</v>
      </c>
      <c r="D51" s="21">
        <v>2540000</v>
      </c>
      <c r="E51" s="21" t="s">
        <v>264</v>
      </c>
      <c r="F51" s="21" t="str">
        <f t="shared" si="0"/>
        <v>rtdc.l.rtdc.4045:itc</v>
      </c>
      <c r="G51" s="8">
        <f t="shared" si="1"/>
        <v>42696.274895833332</v>
      </c>
    </row>
    <row r="52" spans="1:7" x14ac:dyDescent="0.25">
      <c r="A52" s="8">
        <v>42696.275925925926</v>
      </c>
      <c r="B52" s="21" t="s">
        <v>422</v>
      </c>
      <c r="C52" s="21" t="s">
        <v>471</v>
      </c>
      <c r="D52" s="21">
        <v>1300000</v>
      </c>
      <c r="E52" s="21" t="s">
        <v>113</v>
      </c>
      <c r="F52" s="21" t="str">
        <f t="shared" si="0"/>
        <v>rtdc.l.rtdc.4015:itc</v>
      </c>
      <c r="G52" s="8">
        <f t="shared" si="1"/>
        <v>42696.275925925926</v>
      </c>
    </row>
    <row r="53" spans="1:7" x14ac:dyDescent="0.25">
      <c r="A53" s="8">
        <v>42696.276006944441</v>
      </c>
      <c r="B53" s="21" t="s">
        <v>292</v>
      </c>
      <c r="C53" s="21" t="s">
        <v>470</v>
      </c>
      <c r="D53" s="21">
        <v>2540000</v>
      </c>
      <c r="E53" s="21" t="s">
        <v>264</v>
      </c>
      <c r="F53" s="21" t="str">
        <f t="shared" si="0"/>
        <v>rtdc.l.rtdc.4045:itc</v>
      </c>
      <c r="G53" s="8">
        <f t="shared" si="1"/>
        <v>42696.276006944441</v>
      </c>
    </row>
    <row r="54" spans="1:7" x14ac:dyDescent="0.25">
      <c r="A54" s="8">
        <v>42696.278124999997</v>
      </c>
      <c r="B54" s="21" t="s">
        <v>230</v>
      </c>
      <c r="C54" s="21" t="s">
        <v>467</v>
      </c>
      <c r="D54" s="21">
        <v>1090000</v>
      </c>
      <c r="E54" s="21" t="s">
        <v>449</v>
      </c>
      <c r="F54" s="21" t="str">
        <f t="shared" si="0"/>
        <v>rtdc.l.rtdc.4002:itc</v>
      </c>
      <c r="G54" s="8">
        <f t="shared" si="1"/>
        <v>42696.278124999997</v>
      </c>
    </row>
    <row r="55" spans="1:7" x14ac:dyDescent="0.25">
      <c r="A55" s="8">
        <v>42696.279004629629</v>
      </c>
      <c r="B55" s="21" t="s">
        <v>215</v>
      </c>
      <c r="C55" s="21" t="s">
        <v>472</v>
      </c>
      <c r="D55" s="21">
        <v>1100000</v>
      </c>
      <c r="E55" s="21" t="s">
        <v>455</v>
      </c>
      <c r="F55" s="21" t="str">
        <f t="shared" si="0"/>
        <v>rtdc.l.rtdc.4011:itc</v>
      </c>
      <c r="G55" s="8">
        <f t="shared" si="1"/>
        <v>42696.279004629629</v>
      </c>
    </row>
    <row r="56" spans="1:7" x14ac:dyDescent="0.25">
      <c r="A56" s="8">
        <v>42696.28197916667</v>
      </c>
      <c r="B56" s="21" t="s">
        <v>258</v>
      </c>
      <c r="C56" s="21" t="s">
        <v>473</v>
      </c>
      <c r="D56" s="21">
        <v>1110000</v>
      </c>
      <c r="E56" s="21" t="s">
        <v>324</v>
      </c>
      <c r="F56" s="21" t="str">
        <f t="shared" si="0"/>
        <v>rtdc.l.rtdc.4014:itc</v>
      </c>
      <c r="G56" s="8">
        <f t="shared" si="1"/>
        <v>42696.28197916667</v>
      </c>
    </row>
    <row r="57" spans="1:7" x14ac:dyDescent="0.25">
      <c r="A57" s="8">
        <v>42696.28329861111</v>
      </c>
      <c r="B57" s="21" t="s">
        <v>241</v>
      </c>
      <c r="C57" s="21" t="s">
        <v>474</v>
      </c>
      <c r="D57" s="21">
        <v>2380000</v>
      </c>
      <c r="E57" s="21" t="s">
        <v>349</v>
      </c>
      <c r="F57" s="21" t="str">
        <f t="shared" si="0"/>
        <v>rtdc.l.rtdc.4037:itc</v>
      </c>
      <c r="G57" s="8">
        <f t="shared" si="1"/>
        <v>42696.28329861111</v>
      </c>
    </row>
    <row r="58" spans="1:7" x14ac:dyDescent="0.25">
      <c r="A58" s="8">
        <v>42696.285127314812</v>
      </c>
      <c r="B58" s="21" t="s">
        <v>241</v>
      </c>
      <c r="C58" s="21" t="s">
        <v>474</v>
      </c>
      <c r="D58" s="21">
        <v>2380000</v>
      </c>
      <c r="E58" s="21" t="s">
        <v>349</v>
      </c>
      <c r="F58" s="21" t="str">
        <f t="shared" si="0"/>
        <v>rtdc.l.rtdc.4037:itc</v>
      </c>
      <c r="G58" s="8">
        <f t="shared" si="1"/>
        <v>42696.285127314812</v>
      </c>
    </row>
    <row r="59" spans="1:7" x14ac:dyDescent="0.25">
      <c r="A59" s="8">
        <v>42696.291261574072</v>
      </c>
      <c r="B59" s="21" t="s">
        <v>236</v>
      </c>
      <c r="C59" s="21" t="s">
        <v>420</v>
      </c>
      <c r="D59" s="21">
        <v>2030000</v>
      </c>
      <c r="E59" s="21" t="s">
        <v>445</v>
      </c>
      <c r="F59" s="21" t="str">
        <f t="shared" si="0"/>
        <v>rtdc.l.rtdc.4022:itc</v>
      </c>
      <c r="G59" s="8">
        <f t="shared" si="1"/>
        <v>42696.291261574072</v>
      </c>
    </row>
    <row r="60" spans="1:7" x14ac:dyDescent="0.25">
      <c r="A60" s="8">
        <v>42696.294571759259</v>
      </c>
      <c r="B60" s="21" t="s">
        <v>229</v>
      </c>
      <c r="C60" s="21" t="s">
        <v>421</v>
      </c>
      <c r="D60" s="21">
        <v>1090000</v>
      </c>
      <c r="E60" s="21" t="s">
        <v>449</v>
      </c>
      <c r="F60" s="21" t="str">
        <f t="shared" si="0"/>
        <v>rtdc.l.rtdc.4001:itc</v>
      </c>
      <c r="G60" s="8">
        <f t="shared" si="1"/>
        <v>42696.294571759259</v>
      </c>
    </row>
    <row r="61" spans="1:7" x14ac:dyDescent="0.25">
      <c r="A61" s="8">
        <v>42696.296400462961</v>
      </c>
      <c r="B61" s="21" t="s">
        <v>259</v>
      </c>
      <c r="C61" s="21" t="s">
        <v>475</v>
      </c>
      <c r="D61" s="21">
        <v>1110000</v>
      </c>
      <c r="E61" s="21" t="s">
        <v>324</v>
      </c>
      <c r="F61" s="21" t="str">
        <f t="shared" si="0"/>
        <v>rtdc.l.rtdc.4013:itc</v>
      </c>
      <c r="G61" s="8">
        <f t="shared" si="1"/>
        <v>42696.296400462961</v>
      </c>
    </row>
    <row r="62" spans="1:7" x14ac:dyDescent="0.25">
      <c r="A62" s="8">
        <v>42696.300659722219</v>
      </c>
      <c r="B62" s="21" t="s">
        <v>285</v>
      </c>
      <c r="C62" s="21" t="s">
        <v>476</v>
      </c>
      <c r="D62" s="21">
        <v>2430000</v>
      </c>
      <c r="E62" s="21" t="s">
        <v>350</v>
      </c>
      <c r="F62" s="21" t="str">
        <f t="shared" si="0"/>
        <v>rtdc.l.rtdc.4031:itc</v>
      </c>
      <c r="G62" s="8">
        <f t="shared" si="1"/>
        <v>42696.300659722219</v>
      </c>
    </row>
    <row r="63" spans="1:7" x14ac:dyDescent="0.25">
      <c r="A63" s="8">
        <v>42696.304039351853</v>
      </c>
      <c r="B63" s="21" t="s">
        <v>434</v>
      </c>
      <c r="C63" s="21" t="s">
        <v>477</v>
      </c>
      <c r="D63" s="21">
        <v>1300000</v>
      </c>
      <c r="E63" s="21" t="s">
        <v>113</v>
      </c>
      <c r="F63" s="21" t="str">
        <f t="shared" si="0"/>
        <v>rtdc.l.rtdc.4016:itc</v>
      </c>
      <c r="G63" s="8">
        <f t="shared" si="1"/>
        <v>42696.304039351853</v>
      </c>
    </row>
    <row r="64" spans="1:7" x14ac:dyDescent="0.25">
      <c r="A64" s="27">
        <v>42696.307719907411</v>
      </c>
      <c r="B64" s="21" t="s">
        <v>348</v>
      </c>
      <c r="C64" s="21" t="s">
        <v>478</v>
      </c>
      <c r="D64" s="21">
        <v>1990000</v>
      </c>
      <c r="E64" s="21" t="s">
        <v>294</v>
      </c>
      <c r="F64" s="21" t="str">
        <f t="shared" si="0"/>
        <v>rtdc.l.rtdc.4028:itc</v>
      </c>
      <c r="G64" s="8">
        <f t="shared" si="1"/>
        <v>42696.307719907411</v>
      </c>
    </row>
    <row r="65" spans="1:7" x14ac:dyDescent="0.25">
      <c r="A65" s="8">
        <v>42696.31009259259</v>
      </c>
      <c r="B65" s="21" t="s">
        <v>293</v>
      </c>
      <c r="C65" s="21" t="s">
        <v>479</v>
      </c>
      <c r="D65" s="21">
        <v>2540000</v>
      </c>
      <c r="E65" s="21" t="s">
        <v>264</v>
      </c>
      <c r="F65" s="21" t="str">
        <f t="shared" si="0"/>
        <v>rtdc.l.rtdc.4046:itc</v>
      </c>
      <c r="G65" s="8">
        <f t="shared" si="1"/>
        <v>42696.31009259259</v>
      </c>
    </row>
    <row r="66" spans="1:7" x14ac:dyDescent="0.25">
      <c r="A66" s="8">
        <v>42696.316180555557</v>
      </c>
      <c r="B66" s="21" t="s">
        <v>226</v>
      </c>
      <c r="C66" s="21" t="s">
        <v>480</v>
      </c>
      <c r="D66" s="21">
        <v>1100000</v>
      </c>
      <c r="E66" s="21" t="s">
        <v>455</v>
      </c>
      <c r="F66" s="21" t="str">
        <f t="shared" ref="F66:F129" si="2">B66</f>
        <v>rtdc.l.rtdc.4012:itc</v>
      </c>
      <c r="G66" s="8">
        <f t="shared" ref="G66:G129" si="3">A66</f>
        <v>42696.316180555557</v>
      </c>
    </row>
    <row r="67" spans="1:7" x14ac:dyDescent="0.25">
      <c r="A67" s="8">
        <v>42696.316967592589</v>
      </c>
      <c r="B67" s="21" t="s">
        <v>422</v>
      </c>
      <c r="C67" s="21" t="s">
        <v>423</v>
      </c>
      <c r="D67" s="21">
        <v>1300000</v>
      </c>
      <c r="E67" s="21" t="s">
        <v>113</v>
      </c>
      <c r="F67" s="21" t="str">
        <f t="shared" si="2"/>
        <v>rtdc.l.rtdc.4015:itc</v>
      </c>
      <c r="G67" s="8">
        <f t="shared" si="3"/>
        <v>42696.316967592589</v>
      </c>
    </row>
    <row r="68" spans="1:7" x14ac:dyDescent="0.25">
      <c r="A68" s="8">
        <v>42696.320937500001</v>
      </c>
      <c r="B68" s="21" t="s">
        <v>239</v>
      </c>
      <c r="C68" s="21" t="s">
        <v>481</v>
      </c>
      <c r="D68" s="21">
        <v>2380000</v>
      </c>
      <c r="E68" s="21" t="s">
        <v>349</v>
      </c>
      <c r="F68" s="21" t="str">
        <f t="shared" si="2"/>
        <v>rtdc.l.rtdc.4038:itc</v>
      </c>
      <c r="G68" s="8">
        <f t="shared" si="3"/>
        <v>42696.320937500001</v>
      </c>
    </row>
    <row r="69" spans="1:7" x14ac:dyDescent="0.25">
      <c r="A69" s="8">
        <v>42696.325497685182</v>
      </c>
      <c r="B69" s="21" t="s">
        <v>258</v>
      </c>
      <c r="C69" s="21" t="s">
        <v>482</v>
      </c>
      <c r="D69" s="21">
        <v>1110000</v>
      </c>
      <c r="E69" s="21" t="s">
        <v>324</v>
      </c>
      <c r="F69" s="21" t="str">
        <f t="shared" si="2"/>
        <v>rtdc.l.rtdc.4014:itc</v>
      </c>
      <c r="G69" s="8">
        <f t="shared" si="3"/>
        <v>42696.325497685182</v>
      </c>
    </row>
    <row r="70" spans="1:7" x14ac:dyDescent="0.25">
      <c r="A70" s="8">
        <v>42696.32739583333</v>
      </c>
      <c r="B70" s="21" t="s">
        <v>237</v>
      </c>
      <c r="C70" s="21" t="s">
        <v>483</v>
      </c>
      <c r="D70" s="21">
        <v>2030000</v>
      </c>
      <c r="E70" s="21" t="s">
        <v>445</v>
      </c>
      <c r="F70" s="21" t="str">
        <f t="shared" si="2"/>
        <v>rtdc.l.rtdc.4021:itc</v>
      </c>
      <c r="G70" s="8">
        <f t="shared" si="3"/>
        <v>42696.32739583333</v>
      </c>
    </row>
    <row r="71" spans="1:7" x14ac:dyDescent="0.25">
      <c r="A71" s="8">
        <v>42696.330104166664</v>
      </c>
      <c r="B71" s="21" t="s">
        <v>286</v>
      </c>
      <c r="C71" s="21" t="s">
        <v>484</v>
      </c>
      <c r="D71" s="21">
        <v>2430000</v>
      </c>
      <c r="E71" s="21" t="s">
        <v>350</v>
      </c>
      <c r="F71" s="21" t="str">
        <f t="shared" si="2"/>
        <v>rtdc.l.rtdc.4032:itc</v>
      </c>
      <c r="G71" s="8">
        <f t="shared" si="3"/>
        <v>42696.330104166664</v>
      </c>
    </row>
    <row r="72" spans="1:7" x14ac:dyDescent="0.25">
      <c r="A72" s="8">
        <v>42696.330277777779</v>
      </c>
      <c r="B72" s="21" t="s">
        <v>230</v>
      </c>
      <c r="C72" s="21" t="s">
        <v>485</v>
      </c>
      <c r="D72" s="21">
        <v>1090000</v>
      </c>
      <c r="E72" s="21" t="s">
        <v>449</v>
      </c>
      <c r="F72" s="21" t="str">
        <f t="shared" si="2"/>
        <v>rtdc.l.rtdc.4002:itc</v>
      </c>
      <c r="G72" s="8">
        <f t="shared" si="3"/>
        <v>42696.330277777779</v>
      </c>
    </row>
    <row r="73" spans="1:7" x14ac:dyDescent="0.25">
      <c r="A73" s="8">
        <v>42696.337847222225</v>
      </c>
      <c r="B73" s="21" t="s">
        <v>259</v>
      </c>
      <c r="C73" s="21" t="s">
        <v>424</v>
      </c>
      <c r="D73" s="21">
        <v>1110000</v>
      </c>
      <c r="E73" s="21" t="s">
        <v>324</v>
      </c>
      <c r="F73" s="21" t="str">
        <f t="shared" si="2"/>
        <v>rtdc.l.rtdc.4013:itc</v>
      </c>
      <c r="G73" s="8">
        <f t="shared" si="3"/>
        <v>42696.337847222225</v>
      </c>
    </row>
    <row r="74" spans="1:7" x14ac:dyDescent="0.25">
      <c r="A74" s="8">
        <v>42696.340856481482</v>
      </c>
      <c r="B74" s="21" t="s">
        <v>354</v>
      </c>
      <c r="C74" s="21" t="s">
        <v>486</v>
      </c>
      <c r="D74" s="21">
        <v>1990000</v>
      </c>
      <c r="E74" s="21" t="s">
        <v>294</v>
      </c>
      <c r="F74" s="21" t="str">
        <f t="shared" si="2"/>
        <v>rtdc.l.rtdc.4027:itc</v>
      </c>
      <c r="G74" s="8">
        <f t="shared" si="3"/>
        <v>42696.340856481482</v>
      </c>
    </row>
    <row r="75" spans="1:7" x14ac:dyDescent="0.25">
      <c r="A75" s="8">
        <v>42696.344710648147</v>
      </c>
      <c r="B75" s="21" t="s">
        <v>292</v>
      </c>
      <c r="C75" s="21" t="s">
        <v>487</v>
      </c>
      <c r="D75" s="21">
        <v>2540000</v>
      </c>
      <c r="E75" s="21" t="s">
        <v>264</v>
      </c>
      <c r="F75" s="21" t="str">
        <f t="shared" si="2"/>
        <v>rtdc.l.rtdc.4045:itc</v>
      </c>
      <c r="G75" s="8">
        <f t="shared" si="3"/>
        <v>42696.344710648147</v>
      </c>
    </row>
    <row r="76" spans="1:7" x14ac:dyDescent="0.25">
      <c r="A76" s="8">
        <v>42696.345486111109</v>
      </c>
      <c r="B76" s="21" t="s">
        <v>434</v>
      </c>
      <c r="C76" s="21" t="s">
        <v>488</v>
      </c>
      <c r="D76" s="21">
        <v>1300000</v>
      </c>
      <c r="E76" s="21" t="s">
        <v>113</v>
      </c>
      <c r="F76" s="21" t="str">
        <f t="shared" si="2"/>
        <v>rtdc.l.rtdc.4016:itc</v>
      </c>
      <c r="G76" s="8">
        <f t="shared" si="3"/>
        <v>42696.345486111109</v>
      </c>
    </row>
    <row r="77" spans="1:7" x14ac:dyDescent="0.25">
      <c r="A77" s="8">
        <v>42696.349247685182</v>
      </c>
      <c r="B77" s="21" t="s">
        <v>215</v>
      </c>
      <c r="C77" s="21" t="s">
        <v>489</v>
      </c>
      <c r="D77" s="21">
        <v>1100000</v>
      </c>
      <c r="E77" s="21" t="s">
        <v>455</v>
      </c>
      <c r="F77" s="21" t="str">
        <f t="shared" si="2"/>
        <v>rtdc.l.rtdc.4011:itc</v>
      </c>
      <c r="G77" s="8">
        <f t="shared" si="3"/>
        <v>42696.349247685182</v>
      </c>
    </row>
    <row r="78" spans="1:7" x14ac:dyDescent="0.25">
      <c r="A78" s="8">
        <v>42696.353634259256</v>
      </c>
      <c r="B78" s="21" t="s">
        <v>241</v>
      </c>
      <c r="C78" s="21" t="s">
        <v>425</v>
      </c>
      <c r="D78" s="21">
        <v>2380000</v>
      </c>
      <c r="E78" s="21" t="s">
        <v>349</v>
      </c>
      <c r="F78" s="21" t="str">
        <f t="shared" si="2"/>
        <v>rtdc.l.rtdc.4037:itc</v>
      </c>
      <c r="G78" s="8">
        <f t="shared" si="3"/>
        <v>42696.353634259256</v>
      </c>
    </row>
    <row r="79" spans="1:7" x14ac:dyDescent="0.25">
      <c r="A79" s="8">
        <v>42696.358344907407</v>
      </c>
      <c r="B79" s="21" t="s">
        <v>422</v>
      </c>
      <c r="C79" s="21" t="s">
        <v>490</v>
      </c>
      <c r="D79" s="21">
        <v>1300000</v>
      </c>
      <c r="E79" s="21" t="s">
        <v>113</v>
      </c>
      <c r="F79" s="21" t="str">
        <f t="shared" si="2"/>
        <v>rtdc.l.rtdc.4015:itc</v>
      </c>
      <c r="G79" s="8">
        <f t="shared" si="3"/>
        <v>42696.358344907407</v>
      </c>
    </row>
    <row r="80" spans="1:7" x14ac:dyDescent="0.25">
      <c r="A80" s="8">
        <v>42696.363009259258</v>
      </c>
      <c r="B80" s="21" t="s">
        <v>236</v>
      </c>
      <c r="C80" s="21" t="s">
        <v>491</v>
      </c>
      <c r="D80" s="21">
        <v>2550000</v>
      </c>
      <c r="E80" s="21" t="s">
        <v>231</v>
      </c>
      <c r="F80" s="21" t="str">
        <f t="shared" si="2"/>
        <v>rtdc.l.rtdc.4022:itc</v>
      </c>
      <c r="G80" s="8">
        <f t="shared" si="3"/>
        <v>42696.363009259258</v>
      </c>
    </row>
    <row r="81" spans="1:7" x14ac:dyDescent="0.25">
      <c r="A81" s="8">
        <v>42696.366979166669</v>
      </c>
      <c r="B81" s="21" t="s">
        <v>229</v>
      </c>
      <c r="C81" s="21" t="s">
        <v>492</v>
      </c>
      <c r="D81" s="21">
        <v>1090000</v>
      </c>
      <c r="E81" s="21" t="s">
        <v>449</v>
      </c>
      <c r="F81" s="21" t="str">
        <f t="shared" si="2"/>
        <v>rtdc.l.rtdc.4001:itc</v>
      </c>
      <c r="G81" s="8">
        <f t="shared" si="3"/>
        <v>42696.366979166669</v>
      </c>
    </row>
    <row r="82" spans="1:7" x14ac:dyDescent="0.25">
      <c r="A82" s="8">
        <v>42696.372303240743</v>
      </c>
      <c r="B82" s="21" t="s">
        <v>285</v>
      </c>
      <c r="C82" s="21" t="s">
        <v>493</v>
      </c>
      <c r="D82" s="21">
        <v>2430000</v>
      </c>
      <c r="E82" s="21" t="s">
        <v>350</v>
      </c>
      <c r="F82" s="21" t="str">
        <f t="shared" si="2"/>
        <v>rtdc.l.rtdc.4031:itc</v>
      </c>
      <c r="G82" s="8">
        <f t="shared" si="3"/>
        <v>42696.372303240743</v>
      </c>
    </row>
    <row r="83" spans="1:7" x14ac:dyDescent="0.25">
      <c r="A83" s="8">
        <v>42696.378611111111</v>
      </c>
      <c r="B83" s="21" t="s">
        <v>348</v>
      </c>
      <c r="C83" s="21" t="s">
        <v>426</v>
      </c>
      <c r="D83" s="21">
        <v>1990000</v>
      </c>
      <c r="E83" s="21" t="s">
        <v>294</v>
      </c>
      <c r="F83" s="21" t="str">
        <f t="shared" si="2"/>
        <v>rtdc.l.rtdc.4028:itc</v>
      </c>
      <c r="G83" s="8">
        <f t="shared" si="3"/>
        <v>42696.378611111111</v>
      </c>
    </row>
    <row r="84" spans="1:7" x14ac:dyDescent="0.25">
      <c r="A84" s="8">
        <v>42696.382638888892</v>
      </c>
      <c r="B84" s="21" t="s">
        <v>293</v>
      </c>
      <c r="C84" s="21" t="s">
        <v>494</v>
      </c>
      <c r="D84" s="21">
        <v>2540000</v>
      </c>
      <c r="E84" s="21" t="s">
        <v>264</v>
      </c>
      <c r="F84" s="21" t="str">
        <f t="shared" si="2"/>
        <v>rtdc.l.rtdc.4046:itc</v>
      </c>
      <c r="G84" s="8">
        <f t="shared" si="3"/>
        <v>42696.382638888892</v>
      </c>
    </row>
    <row r="85" spans="1:7" x14ac:dyDescent="0.25">
      <c r="A85" s="8">
        <v>42696.384710648148</v>
      </c>
      <c r="B85" s="21" t="s">
        <v>434</v>
      </c>
      <c r="C85" s="21" t="s">
        <v>495</v>
      </c>
      <c r="D85" s="21">
        <v>2450000</v>
      </c>
      <c r="E85" s="21" t="s">
        <v>496</v>
      </c>
      <c r="F85" s="21" t="str">
        <f t="shared" si="2"/>
        <v>rtdc.l.rtdc.4016:itc</v>
      </c>
      <c r="G85" s="8">
        <f t="shared" si="3"/>
        <v>42696.384710648148</v>
      </c>
    </row>
    <row r="86" spans="1:7" x14ac:dyDescent="0.25">
      <c r="A86" s="8">
        <v>42696.389340277776</v>
      </c>
      <c r="B86" s="21" t="s">
        <v>226</v>
      </c>
      <c r="C86" s="21" t="s">
        <v>497</v>
      </c>
      <c r="D86" s="21">
        <v>1100000</v>
      </c>
      <c r="E86" s="21" t="s">
        <v>455</v>
      </c>
      <c r="F86" s="21" t="str">
        <f t="shared" si="2"/>
        <v>rtdc.l.rtdc.4012:itc</v>
      </c>
      <c r="G86" s="8">
        <f t="shared" si="3"/>
        <v>42696.389340277776</v>
      </c>
    </row>
    <row r="87" spans="1:7" x14ac:dyDescent="0.25">
      <c r="A87" s="8">
        <v>42696.3909375</v>
      </c>
      <c r="B87" s="21" t="s">
        <v>239</v>
      </c>
      <c r="C87" s="21" t="s">
        <v>498</v>
      </c>
      <c r="D87" s="21">
        <v>2380000</v>
      </c>
      <c r="E87" s="21" t="s">
        <v>349</v>
      </c>
      <c r="F87" s="21" t="str">
        <f t="shared" si="2"/>
        <v>rtdc.l.rtdc.4038:itc</v>
      </c>
      <c r="G87" s="8">
        <f t="shared" si="3"/>
        <v>42696.3909375</v>
      </c>
    </row>
    <row r="88" spans="1:7" x14ac:dyDescent="0.25">
      <c r="A88" s="8">
        <v>42696.398935185185</v>
      </c>
      <c r="B88" s="21" t="s">
        <v>237</v>
      </c>
      <c r="C88" s="21" t="s">
        <v>427</v>
      </c>
      <c r="D88" s="21">
        <v>2550000</v>
      </c>
      <c r="E88" s="21" t="s">
        <v>231</v>
      </c>
      <c r="F88" s="21" t="str">
        <f t="shared" si="2"/>
        <v>rtdc.l.rtdc.4021:itc</v>
      </c>
      <c r="G88" s="8">
        <f t="shared" si="3"/>
        <v>42696.398935185185</v>
      </c>
    </row>
    <row r="89" spans="1:7" x14ac:dyDescent="0.25">
      <c r="A89" s="8">
        <v>42696.40115740741</v>
      </c>
      <c r="B89" s="21" t="s">
        <v>230</v>
      </c>
      <c r="C89" s="21" t="s">
        <v>499</v>
      </c>
      <c r="D89" s="21">
        <v>1090000</v>
      </c>
      <c r="E89" s="21" t="s">
        <v>449</v>
      </c>
      <c r="F89" s="21" t="str">
        <f t="shared" si="2"/>
        <v>rtdc.l.rtdc.4002:itc</v>
      </c>
      <c r="G89" s="8">
        <f t="shared" si="3"/>
        <v>42696.40115740741</v>
      </c>
    </row>
    <row r="90" spans="1:7" x14ac:dyDescent="0.25">
      <c r="A90" s="8">
        <v>42696.402708333335</v>
      </c>
      <c r="B90" s="21" t="s">
        <v>422</v>
      </c>
      <c r="C90" s="21" t="s">
        <v>500</v>
      </c>
      <c r="D90" s="21">
        <v>2450000</v>
      </c>
      <c r="E90" s="21" t="s">
        <v>496</v>
      </c>
      <c r="F90" s="21" t="str">
        <f t="shared" si="2"/>
        <v>rtdc.l.rtdc.4015:itc</v>
      </c>
      <c r="G90" s="8">
        <f t="shared" si="3"/>
        <v>42696.402708333335</v>
      </c>
    </row>
    <row r="91" spans="1:7" x14ac:dyDescent="0.25">
      <c r="A91" s="8">
        <v>42696.403854166667</v>
      </c>
      <c r="B91" s="21" t="s">
        <v>286</v>
      </c>
      <c r="C91" s="21" t="s">
        <v>501</v>
      </c>
      <c r="D91" s="21">
        <v>2430000</v>
      </c>
      <c r="E91" s="21" t="s">
        <v>350</v>
      </c>
      <c r="F91" s="21" t="str">
        <f t="shared" si="2"/>
        <v>rtdc.l.rtdc.4032:itc</v>
      </c>
      <c r="G91" s="8">
        <f t="shared" si="3"/>
        <v>42696.403854166667</v>
      </c>
    </row>
    <row r="92" spans="1:7" x14ac:dyDescent="0.25">
      <c r="A92" s="8">
        <v>42696.41138888889</v>
      </c>
      <c r="B92" s="21" t="s">
        <v>354</v>
      </c>
      <c r="C92" s="21" t="s">
        <v>502</v>
      </c>
      <c r="D92" s="21">
        <v>1990000</v>
      </c>
      <c r="E92" s="21" t="s">
        <v>294</v>
      </c>
      <c r="F92" s="21" t="str">
        <f t="shared" si="2"/>
        <v>rtdc.l.rtdc.4027:itc</v>
      </c>
      <c r="G92" s="8">
        <f t="shared" si="3"/>
        <v>42696.41138888889</v>
      </c>
    </row>
    <row r="93" spans="1:7" x14ac:dyDescent="0.25">
      <c r="A93" s="8">
        <v>42696.418298611112</v>
      </c>
      <c r="B93" s="21" t="s">
        <v>292</v>
      </c>
      <c r="C93" s="21" t="s">
        <v>503</v>
      </c>
      <c r="D93" s="21">
        <v>2540000</v>
      </c>
      <c r="E93" s="21" t="s">
        <v>264</v>
      </c>
      <c r="F93" s="21" t="str">
        <f t="shared" si="2"/>
        <v>rtdc.l.rtdc.4045:itc</v>
      </c>
      <c r="G93" s="8">
        <f t="shared" si="3"/>
        <v>42696.418298611112</v>
      </c>
    </row>
    <row r="94" spans="1:7" x14ac:dyDescent="0.25">
      <c r="A94" s="8">
        <v>42696.424513888887</v>
      </c>
      <c r="B94" s="21" t="s">
        <v>215</v>
      </c>
      <c r="C94" s="21" t="s">
        <v>504</v>
      </c>
      <c r="D94" s="21">
        <v>2450000</v>
      </c>
      <c r="E94" s="21" t="s">
        <v>496</v>
      </c>
      <c r="F94" s="21" t="str">
        <f t="shared" si="2"/>
        <v>rtdc.l.rtdc.4011:itc</v>
      </c>
      <c r="G94" s="8">
        <f t="shared" si="3"/>
        <v>42696.424513888887</v>
      </c>
    </row>
    <row r="95" spans="1:7" x14ac:dyDescent="0.25">
      <c r="A95" s="8">
        <v>42696.429143518515</v>
      </c>
      <c r="B95" s="21" t="s">
        <v>434</v>
      </c>
      <c r="C95" s="21" t="s">
        <v>505</v>
      </c>
      <c r="D95" s="21">
        <v>1300000</v>
      </c>
      <c r="E95" s="21" t="s">
        <v>113</v>
      </c>
      <c r="F95" s="21" t="str">
        <f t="shared" si="2"/>
        <v>rtdc.l.rtdc.4016:itc</v>
      </c>
      <c r="G95" s="8">
        <f t="shared" si="3"/>
        <v>42696.429143518515</v>
      </c>
    </row>
    <row r="96" spans="1:7" x14ac:dyDescent="0.25">
      <c r="A96" s="8">
        <v>42696.432152777779</v>
      </c>
      <c r="B96" s="21" t="s">
        <v>241</v>
      </c>
      <c r="C96" s="21" t="s">
        <v>506</v>
      </c>
      <c r="D96" s="21">
        <v>2380000</v>
      </c>
      <c r="E96" s="21" t="s">
        <v>349</v>
      </c>
      <c r="F96" s="21" t="str">
        <f t="shared" si="2"/>
        <v>rtdc.l.rtdc.4037:itc</v>
      </c>
      <c r="G96" s="8">
        <f t="shared" si="3"/>
        <v>42696.432152777779</v>
      </c>
    </row>
    <row r="97" spans="1:7" x14ac:dyDescent="0.25">
      <c r="A97" s="8">
        <v>42696.435601851852</v>
      </c>
      <c r="B97" s="21" t="s">
        <v>236</v>
      </c>
      <c r="C97" s="21" t="s">
        <v>507</v>
      </c>
      <c r="D97" s="21">
        <v>1110000</v>
      </c>
      <c r="E97" s="21" t="s">
        <v>324</v>
      </c>
      <c r="F97" s="21" t="str">
        <f t="shared" si="2"/>
        <v>rtdc.l.rtdc.4022:itc</v>
      </c>
      <c r="G97" s="8">
        <f t="shared" si="3"/>
        <v>42696.435601851852</v>
      </c>
    </row>
    <row r="98" spans="1:7" x14ac:dyDescent="0.25">
      <c r="A98" s="8">
        <v>42696.438958333332</v>
      </c>
      <c r="B98" s="21" t="s">
        <v>347</v>
      </c>
      <c r="C98" s="21" t="s">
        <v>428</v>
      </c>
      <c r="D98" s="21">
        <v>1280000</v>
      </c>
      <c r="E98" s="21" t="s">
        <v>306</v>
      </c>
      <c r="F98" s="21" t="str">
        <f t="shared" si="2"/>
        <v>rtdc.l.rtdc.4041:itc</v>
      </c>
      <c r="G98" s="8">
        <f t="shared" si="3"/>
        <v>42696.438958333332</v>
      </c>
    </row>
    <row r="99" spans="1:7" x14ac:dyDescent="0.25">
      <c r="A99" s="8">
        <v>42696.439120370371</v>
      </c>
      <c r="B99" s="21" t="s">
        <v>229</v>
      </c>
      <c r="C99" s="21" t="s">
        <v>508</v>
      </c>
      <c r="D99" s="21">
        <v>1090000</v>
      </c>
      <c r="E99" s="21" t="s">
        <v>449</v>
      </c>
      <c r="F99" s="21" t="str">
        <f t="shared" si="2"/>
        <v>rtdc.l.rtdc.4001:itc</v>
      </c>
      <c r="G99" s="8">
        <f t="shared" si="3"/>
        <v>42696.439120370371</v>
      </c>
    </row>
    <row r="100" spans="1:7" x14ac:dyDescent="0.25">
      <c r="A100" s="8">
        <v>42696.441782407404</v>
      </c>
      <c r="B100" s="21" t="s">
        <v>422</v>
      </c>
      <c r="C100" s="21" t="s">
        <v>429</v>
      </c>
      <c r="D100" s="21">
        <v>1300000</v>
      </c>
      <c r="E100" s="21" t="s">
        <v>113</v>
      </c>
      <c r="F100" s="21" t="str">
        <f t="shared" si="2"/>
        <v>rtdc.l.rtdc.4015:itc</v>
      </c>
      <c r="G100" s="8">
        <f t="shared" si="3"/>
        <v>42696.441782407404</v>
      </c>
    </row>
    <row r="101" spans="1:7" x14ac:dyDescent="0.25">
      <c r="A101" s="8">
        <v>42696.446736111109</v>
      </c>
      <c r="B101" s="21" t="s">
        <v>285</v>
      </c>
      <c r="C101" s="21" t="s">
        <v>509</v>
      </c>
      <c r="D101" s="21">
        <v>2430000</v>
      </c>
      <c r="E101" s="21" t="s">
        <v>350</v>
      </c>
      <c r="F101" s="21" t="str">
        <f t="shared" si="2"/>
        <v>rtdc.l.rtdc.4031:itc</v>
      </c>
      <c r="G101" s="8">
        <f t="shared" si="3"/>
        <v>42696.446736111109</v>
      </c>
    </row>
    <row r="102" spans="1:7" x14ac:dyDescent="0.25">
      <c r="A102" s="8">
        <v>42696.451817129629</v>
      </c>
      <c r="B102" s="21" t="s">
        <v>348</v>
      </c>
      <c r="C102" s="21" t="s">
        <v>510</v>
      </c>
      <c r="D102" s="21">
        <v>1990000</v>
      </c>
      <c r="E102" s="21" t="s">
        <v>294</v>
      </c>
      <c r="F102" s="21" t="str">
        <f t="shared" si="2"/>
        <v>rtdc.l.rtdc.4028:itc</v>
      </c>
      <c r="G102" s="8">
        <f t="shared" si="3"/>
        <v>42696.451817129629</v>
      </c>
    </row>
    <row r="103" spans="1:7" x14ac:dyDescent="0.25">
      <c r="A103" s="8">
        <v>42696.453773148147</v>
      </c>
      <c r="B103" s="21" t="s">
        <v>293</v>
      </c>
      <c r="C103" s="21" t="s">
        <v>511</v>
      </c>
      <c r="D103" s="21">
        <v>1280000</v>
      </c>
      <c r="E103" s="21" t="s">
        <v>306</v>
      </c>
      <c r="F103" s="21" t="str">
        <f t="shared" si="2"/>
        <v>rtdc.l.rtdc.4046:itc</v>
      </c>
      <c r="G103" s="8">
        <f t="shared" si="3"/>
        <v>42696.453773148147</v>
      </c>
    </row>
    <row r="104" spans="1:7" x14ac:dyDescent="0.25">
      <c r="A104" s="8">
        <v>42696.457800925928</v>
      </c>
      <c r="B104" s="21" t="s">
        <v>233</v>
      </c>
      <c r="C104" s="21" t="s">
        <v>512</v>
      </c>
      <c r="D104" s="21">
        <v>1540000</v>
      </c>
      <c r="E104" s="21" t="s">
        <v>353</v>
      </c>
      <c r="F104" s="21" t="str">
        <f t="shared" si="2"/>
        <v>rtdc.l.rtdc.4043:itc</v>
      </c>
      <c r="G104" s="8">
        <f t="shared" si="3"/>
        <v>42696.457800925928</v>
      </c>
    </row>
    <row r="105" spans="1:7" x14ac:dyDescent="0.25">
      <c r="A105" s="8">
        <v>42696.45994212963</v>
      </c>
      <c r="B105" s="21" t="s">
        <v>226</v>
      </c>
      <c r="C105" s="21" t="s">
        <v>430</v>
      </c>
      <c r="D105" s="21">
        <v>2450000</v>
      </c>
      <c r="E105" s="21" t="s">
        <v>496</v>
      </c>
      <c r="F105" s="21" t="str">
        <f t="shared" si="2"/>
        <v>rtdc.l.rtdc.4012:itc</v>
      </c>
      <c r="G105" s="8">
        <f t="shared" si="3"/>
        <v>42696.45994212963</v>
      </c>
    </row>
    <row r="106" spans="1:7" x14ac:dyDescent="0.25">
      <c r="A106" s="8">
        <v>42696.460069444445</v>
      </c>
      <c r="B106" s="21" t="s">
        <v>434</v>
      </c>
      <c r="C106" s="21" t="s">
        <v>513</v>
      </c>
      <c r="D106" s="21">
        <v>2550000</v>
      </c>
      <c r="E106" s="21" t="s">
        <v>231</v>
      </c>
      <c r="F106" s="21" t="str">
        <f t="shared" si="2"/>
        <v>rtdc.l.rtdc.4016:itc</v>
      </c>
      <c r="G106" s="8">
        <f t="shared" si="3"/>
        <v>42696.460069444445</v>
      </c>
    </row>
    <row r="107" spans="1:7" x14ac:dyDescent="0.25">
      <c r="A107" s="8">
        <v>42696.46402777778</v>
      </c>
      <c r="B107" s="21" t="s">
        <v>239</v>
      </c>
      <c r="C107" s="21" t="s">
        <v>514</v>
      </c>
      <c r="D107" s="21">
        <v>880000</v>
      </c>
      <c r="E107" s="21" t="s">
        <v>295</v>
      </c>
      <c r="F107" s="21" t="str">
        <f t="shared" si="2"/>
        <v>rtdc.l.rtdc.4038:itc</v>
      </c>
      <c r="G107" s="8">
        <f t="shared" si="3"/>
        <v>42696.46402777778</v>
      </c>
    </row>
    <row r="108" spans="1:7" x14ac:dyDescent="0.25">
      <c r="A108" s="8">
        <v>42696.467650462961</v>
      </c>
      <c r="B108" s="21" t="s">
        <v>346</v>
      </c>
      <c r="C108" s="21" t="s">
        <v>515</v>
      </c>
      <c r="D108" s="21">
        <v>1200000</v>
      </c>
      <c r="E108" s="21" t="s">
        <v>516</v>
      </c>
      <c r="F108" s="21" t="str">
        <f t="shared" si="2"/>
        <v>rtdc.l.rtdc.4042:itc</v>
      </c>
      <c r="G108" s="8">
        <f t="shared" si="3"/>
        <v>42696.467650462961</v>
      </c>
    </row>
    <row r="109" spans="1:7" x14ac:dyDescent="0.25">
      <c r="A109" s="8">
        <v>42696.475138888891</v>
      </c>
      <c r="B109" s="21" t="s">
        <v>237</v>
      </c>
      <c r="C109" s="21" t="s">
        <v>517</v>
      </c>
      <c r="D109" s="21">
        <v>1110000</v>
      </c>
      <c r="E109" s="21" t="s">
        <v>324</v>
      </c>
      <c r="F109" s="21" t="str">
        <f t="shared" si="2"/>
        <v>rtdc.l.rtdc.4021:itc</v>
      </c>
      <c r="G109" s="8">
        <f t="shared" si="3"/>
        <v>42696.475138888891</v>
      </c>
    </row>
    <row r="110" spans="1:7" x14ac:dyDescent="0.25">
      <c r="A110" s="8">
        <v>42696.476087962961</v>
      </c>
      <c r="B110" s="21" t="s">
        <v>230</v>
      </c>
      <c r="C110" s="21" t="s">
        <v>518</v>
      </c>
      <c r="D110" s="21">
        <v>1540000</v>
      </c>
      <c r="E110" s="21" t="s">
        <v>353</v>
      </c>
      <c r="F110" s="21" t="str">
        <f t="shared" si="2"/>
        <v>rtdc.l.rtdc.4002:itc</v>
      </c>
      <c r="G110" s="8">
        <f t="shared" si="3"/>
        <v>42696.476087962961</v>
      </c>
    </row>
    <row r="111" spans="1:7" x14ac:dyDescent="0.25">
      <c r="A111" s="8">
        <v>42696.484895833331</v>
      </c>
      <c r="B111" s="21" t="s">
        <v>286</v>
      </c>
      <c r="C111" s="21" t="s">
        <v>432</v>
      </c>
      <c r="D111" s="21">
        <v>2430000</v>
      </c>
      <c r="E111" s="21" t="s">
        <v>350</v>
      </c>
      <c r="F111" s="21" t="str">
        <f t="shared" si="2"/>
        <v>rtdc.l.rtdc.4032:itc</v>
      </c>
      <c r="G111" s="8">
        <f t="shared" si="3"/>
        <v>42696.484895833331</v>
      </c>
    </row>
    <row r="112" spans="1:7" x14ac:dyDescent="0.25">
      <c r="A112" s="8">
        <v>42696.485173611109</v>
      </c>
      <c r="B112" s="21" t="s">
        <v>422</v>
      </c>
      <c r="C112" s="21" t="s">
        <v>519</v>
      </c>
      <c r="D112" s="21">
        <v>2550000</v>
      </c>
      <c r="E112" s="21" t="s">
        <v>231</v>
      </c>
      <c r="F112" s="21" t="str">
        <f t="shared" si="2"/>
        <v>rtdc.l.rtdc.4015:itc</v>
      </c>
      <c r="G112" s="8">
        <f t="shared" si="3"/>
        <v>42696.485173611109</v>
      </c>
    </row>
    <row r="113" spans="1:7" x14ac:dyDescent="0.25">
      <c r="A113" s="8">
        <v>42696.485983796294</v>
      </c>
      <c r="B113" s="21" t="s">
        <v>354</v>
      </c>
      <c r="C113" s="21" t="s">
        <v>520</v>
      </c>
      <c r="D113" s="21">
        <v>2620000</v>
      </c>
      <c r="E113" s="21" t="s">
        <v>265</v>
      </c>
      <c r="F113" s="21" t="str">
        <f t="shared" si="2"/>
        <v>rtdc.l.rtdc.4027:itc</v>
      </c>
      <c r="G113" s="8">
        <f t="shared" si="3"/>
        <v>42696.485983796294</v>
      </c>
    </row>
    <row r="114" spans="1:7" x14ac:dyDescent="0.25">
      <c r="A114" s="8">
        <v>42696.487592592595</v>
      </c>
      <c r="B114" s="21" t="s">
        <v>292</v>
      </c>
      <c r="C114" s="21" t="s">
        <v>521</v>
      </c>
      <c r="D114" s="21">
        <v>1280000</v>
      </c>
      <c r="E114" s="21" t="s">
        <v>306</v>
      </c>
      <c r="F114" s="21" t="str">
        <f t="shared" si="2"/>
        <v>rtdc.l.rtdc.4045:itc</v>
      </c>
      <c r="G114" s="8">
        <f t="shared" si="3"/>
        <v>42696.487592592595</v>
      </c>
    </row>
    <row r="115" spans="1:7" x14ac:dyDescent="0.25">
      <c r="A115" s="8">
        <v>42696.489004629628</v>
      </c>
      <c r="B115" s="21" t="s">
        <v>188</v>
      </c>
      <c r="C115" s="21" t="s">
        <v>522</v>
      </c>
      <c r="D115" s="21">
        <v>1990000</v>
      </c>
      <c r="E115" s="21" t="s">
        <v>294</v>
      </c>
      <c r="F115" s="21" t="str">
        <f t="shared" si="2"/>
        <v>rtdc.l.rtdc.4044:itc</v>
      </c>
      <c r="G115" s="8">
        <f t="shared" si="3"/>
        <v>42696.489004629628</v>
      </c>
    </row>
    <row r="116" spans="1:7" x14ac:dyDescent="0.25">
      <c r="A116" s="8">
        <v>42696.498912037037</v>
      </c>
      <c r="B116" s="21" t="s">
        <v>215</v>
      </c>
      <c r="C116" s="21" t="s">
        <v>431</v>
      </c>
      <c r="D116" s="21">
        <v>1140000</v>
      </c>
      <c r="E116" s="21" t="s">
        <v>325</v>
      </c>
      <c r="F116" s="21" t="str">
        <f t="shared" si="2"/>
        <v>rtdc.l.rtdc.4011:itc</v>
      </c>
      <c r="G116" s="8">
        <f t="shared" si="3"/>
        <v>42696.498912037037</v>
      </c>
    </row>
    <row r="117" spans="1:7" x14ac:dyDescent="0.25">
      <c r="A117" s="8">
        <v>42696.506273148145</v>
      </c>
      <c r="B117" s="21" t="s">
        <v>241</v>
      </c>
      <c r="C117" s="21" t="s">
        <v>523</v>
      </c>
      <c r="D117" s="21">
        <v>880000</v>
      </c>
      <c r="E117" s="21" t="s">
        <v>295</v>
      </c>
      <c r="F117" s="21" t="str">
        <f t="shared" si="2"/>
        <v>rtdc.l.rtdc.4037:itc</v>
      </c>
      <c r="G117" s="8">
        <f t="shared" si="3"/>
        <v>42696.506273148145</v>
      </c>
    </row>
    <row r="118" spans="1:7" x14ac:dyDescent="0.25">
      <c r="A118" s="8">
        <v>42696.506504629629</v>
      </c>
      <c r="B118" s="21" t="s">
        <v>236</v>
      </c>
      <c r="C118" s="21" t="s">
        <v>524</v>
      </c>
      <c r="D118" s="21">
        <v>930000</v>
      </c>
      <c r="E118" s="21" t="s">
        <v>525</v>
      </c>
      <c r="F118" s="21" t="str">
        <f t="shared" si="2"/>
        <v>rtdc.l.rtdc.4022:itc</v>
      </c>
      <c r="G118" s="8">
        <f t="shared" si="3"/>
        <v>42696.506504629629</v>
      </c>
    </row>
    <row r="119" spans="1:7" x14ac:dyDescent="0.25">
      <c r="A119" s="8">
        <v>42696.51295138889</v>
      </c>
      <c r="B119" s="21" t="s">
        <v>434</v>
      </c>
      <c r="C119" s="21" t="s">
        <v>526</v>
      </c>
      <c r="D119" s="21">
        <v>1300000</v>
      </c>
      <c r="E119" s="21" t="s">
        <v>113</v>
      </c>
      <c r="F119" s="21" t="str">
        <f t="shared" si="2"/>
        <v>rtdc.l.rtdc.4016:itc</v>
      </c>
      <c r="G119" s="8">
        <f t="shared" si="3"/>
        <v>42696.51295138889</v>
      </c>
    </row>
    <row r="120" spans="1:7" x14ac:dyDescent="0.25">
      <c r="A120" s="8">
        <v>42696.5159375</v>
      </c>
      <c r="B120" s="21" t="s">
        <v>229</v>
      </c>
      <c r="C120" s="21" t="s">
        <v>527</v>
      </c>
      <c r="D120" s="21">
        <v>1540000</v>
      </c>
      <c r="E120" s="21" t="s">
        <v>353</v>
      </c>
      <c r="F120" s="21" t="str">
        <f t="shared" si="2"/>
        <v>rtdc.l.rtdc.4001:itc</v>
      </c>
      <c r="G120" s="8">
        <f t="shared" si="3"/>
        <v>42696.5159375</v>
      </c>
    </row>
    <row r="121" spans="1:7" x14ac:dyDescent="0.25">
      <c r="A121" s="8">
        <v>42696.518738425926</v>
      </c>
      <c r="B121" s="21" t="s">
        <v>285</v>
      </c>
      <c r="C121" s="21" t="s">
        <v>528</v>
      </c>
      <c r="D121" s="21">
        <v>2360000</v>
      </c>
      <c r="E121" s="21" t="s">
        <v>352</v>
      </c>
      <c r="F121" s="21" t="str">
        <f t="shared" si="2"/>
        <v>rtdc.l.rtdc.4031:itc</v>
      </c>
      <c r="G121" s="8">
        <f t="shared" si="3"/>
        <v>42696.518738425926</v>
      </c>
    </row>
    <row r="122" spans="1:7" x14ac:dyDescent="0.25">
      <c r="A122" s="8">
        <v>42696.521481481483</v>
      </c>
      <c r="B122" s="26" t="s">
        <v>348</v>
      </c>
      <c r="C122" s="21" t="s">
        <v>529</v>
      </c>
      <c r="D122" s="21">
        <v>2620000</v>
      </c>
      <c r="E122" s="21" t="s">
        <v>265</v>
      </c>
      <c r="F122" s="21" t="str">
        <f t="shared" si="2"/>
        <v>rtdc.l.rtdc.4028:itc</v>
      </c>
      <c r="G122" s="8">
        <f t="shared" si="3"/>
        <v>42696.521481481483</v>
      </c>
    </row>
    <row r="123" spans="1:7" x14ac:dyDescent="0.25">
      <c r="A123" s="8">
        <v>42696.525312500002</v>
      </c>
      <c r="B123" s="21" t="s">
        <v>422</v>
      </c>
      <c r="C123" s="21" t="s">
        <v>530</v>
      </c>
      <c r="D123" s="21">
        <v>1300000</v>
      </c>
      <c r="E123" s="21" t="s">
        <v>113</v>
      </c>
      <c r="F123" s="21" t="str">
        <f t="shared" si="2"/>
        <v>rtdc.l.rtdc.4015:itc</v>
      </c>
      <c r="G123" s="8">
        <f t="shared" si="3"/>
        <v>42696.525312500002</v>
      </c>
    </row>
    <row r="124" spans="1:7" x14ac:dyDescent="0.25">
      <c r="A124" s="8">
        <v>42696.527361111112</v>
      </c>
      <c r="B124" s="21" t="s">
        <v>293</v>
      </c>
      <c r="C124" s="21" t="s">
        <v>531</v>
      </c>
      <c r="D124" s="21">
        <v>1280000</v>
      </c>
      <c r="E124" s="21" t="s">
        <v>306</v>
      </c>
      <c r="F124" s="21" t="str">
        <f t="shared" si="2"/>
        <v>rtdc.l.rtdc.4046:itc</v>
      </c>
      <c r="G124" s="8">
        <f t="shared" si="3"/>
        <v>42696.527361111112</v>
      </c>
    </row>
    <row r="125" spans="1:7" x14ac:dyDescent="0.25">
      <c r="A125" s="8">
        <v>42696.532881944448</v>
      </c>
      <c r="B125" s="21" t="s">
        <v>226</v>
      </c>
      <c r="C125" s="21" t="s">
        <v>532</v>
      </c>
      <c r="D125" s="21">
        <v>1140000</v>
      </c>
      <c r="E125" s="21" t="s">
        <v>325</v>
      </c>
      <c r="F125" s="21" t="str">
        <f t="shared" si="2"/>
        <v>rtdc.l.rtdc.4012:itc</v>
      </c>
      <c r="G125" s="8">
        <f t="shared" si="3"/>
        <v>42696.532881944448</v>
      </c>
    </row>
    <row r="126" spans="1:7" x14ac:dyDescent="0.25">
      <c r="A126" s="8">
        <v>42696.5391087963</v>
      </c>
      <c r="B126" s="21" t="s">
        <v>239</v>
      </c>
      <c r="C126" s="21" t="s">
        <v>533</v>
      </c>
      <c r="D126" s="21">
        <v>880000</v>
      </c>
      <c r="E126" s="21" t="s">
        <v>295</v>
      </c>
      <c r="F126" s="21" t="str">
        <f t="shared" si="2"/>
        <v>rtdc.l.rtdc.4038:itc</v>
      </c>
      <c r="G126" s="8">
        <f t="shared" si="3"/>
        <v>42696.5391087963</v>
      </c>
    </row>
    <row r="127" spans="1:7" x14ac:dyDescent="0.25">
      <c r="A127" s="8">
        <v>42696.545960648145</v>
      </c>
      <c r="B127" s="21" t="s">
        <v>237</v>
      </c>
      <c r="C127" s="21" t="s">
        <v>534</v>
      </c>
      <c r="D127" s="21">
        <v>930000</v>
      </c>
      <c r="E127" s="21" t="s">
        <v>525</v>
      </c>
      <c r="F127" s="21" t="str">
        <f t="shared" si="2"/>
        <v>rtdc.l.rtdc.4021:itc</v>
      </c>
      <c r="G127" s="8">
        <f t="shared" si="3"/>
        <v>42696.545960648145</v>
      </c>
    </row>
    <row r="128" spans="1:7" x14ac:dyDescent="0.25">
      <c r="A128" s="8">
        <v>42696.547291666669</v>
      </c>
      <c r="B128" s="21" t="s">
        <v>434</v>
      </c>
      <c r="C128" s="21" t="s">
        <v>535</v>
      </c>
      <c r="D128" s="21">
        <v>2610000</v>
      </c>
      <c r="E128" s="21" t="s">
        <v>232</v>
      </c>
      <c r="F128" s="21" t="str">
        <f t="shared" si="2"/>
        <v>rtdc.l.rtdc.4016:itc</v>
      </c>
      <c r="G128" s="8">
        <f t="shared" si="3"/>
        <v>42696.547291666669</v>
      </c>
    </row>
    <row r="129" spans="1:7" x14ac:dyDescent="0.25">
      <c r="A129" s="8">
        <v>42696.549699074072</v>
      </c>
      <c r="B129" s="21" t="s">
        <v>230</v>
      </c>
      <c r="C129" s="21" t="s">
        <v>536</v>
      </c>
      <c r="D129" s="21">
        <v>1540000</v>
      </c>
      <c r="E129" s="21" t="s">
        <v>353</v>
      </c>
      <c r="F129" s="21" t="str">
        <f t="shared" si="2"/>
        <v>rtdc.l.rtdc.4002:itc</v>
      </c>
      <c r="G129" s="8">
        <f t="shared" si="3"/>
        <v>42696.549699074072</v>
      </c>
    </row>
    <row r="130" spans="1:7" x14ac:dyDescent="0.25">
      <c r="A130" s="8">
        <v>42696.552997685183</v>
      </c>
      <c r="B130" s="21" t="s">
        <v>286</v>
      </c>
      <c r="C130" s="21" t="s">
        <v>433</v>
      </c>
      <c r="D130" s="21">
        <v>2360000</v>
      </c>
      <c r="E130" s="21" t="s">
        <v>352</v>
      </c>
      <c r="F130" s="21" t="str">
        <f t="shared" ref="F130:F193" si="4">B130</f>
        <v>rtdc.l.rtdc.4032:itc</v>
      </c>
      <c r="G130" s="8">
        <f t="shared" ref="G130:G193" si="5">A130</f>
        <v>42696.552997685183</v>
      </c>
    </row>
    <row r="131" spans="1:7" x14ac:dyDescent="0.25">
      <c r="A131" s="8">
        <v>42696.556550925925</v>
      </c>
      <c r="B131" s="21" t="s">
        <v>354</v>
      </c>
      <c r="C131" s="21" t="s">
        <v>537</v>
      </c>
      <c r="D131" s="21">
        <v>2620000</v>
      </c>
      <c r="E131" s="21" t="s">
        <v>265</v>
      </c>
      <c r="F131" s="21" t="str">
        <f t="shared" si="4"/>
        <v>rtdc.l.rtdc.4027:itc</v>
      </c>
      <c r="G131" s="8">
        <f t="shared" si="5"/>
        <v>42696.556550925925</v>
      </c>
    </row>
    <row r="132" spans="1:7" x14ac:dyDescent="0.25">
      <c r="A132" s="8">
        <v>42696.5627662037</v>
      </c>
      <c r="B132" s="21" t="s">
        <v>292</v>
      </c>
      <c r="C132" s="21" t="s">
        <v>538</v>
      </c>
      <c r="D132" s="21">
        <v>1280000</v>
      </c>
      <c r="E132" s="21" t="s">
        <v>306</v>
      </c>
      <c r="F132" s="21" t="str">
        <f t="shared" si="4"/>
        <v>rtdc.l.rtdc.4045:itc</v>
      </c>
      <c r="G132" s="8">
        <f t="shared" si="5"/>
        <v>42696.5627662037</v>
      </c>
    </row>
    <row r="133" spans="1:7" x14ac:dyDescent="0.25">
      <c r="A133" s="8">
        <v>42696.568391203706</v>
      </c>
      <c r="B133" s="21" t="s">
        <v>422</v>
      </c>
      <c r="C133" s="21" t="s">
        <v>539</v>
      </c>
      <c r="D133" s="21">
        <v>2610000</v>
      </c>
      <c r="E133" s="21" t="s">
        <v>232</v>
      </c>
      <c r="F133" s="21" t="str">
        <f t="shared" si="4"/>
        <v>rtdc.l.rtdc.4015:itc</v>
      </c>
      <c r="G133" s="8">
        <f t="shared" si="5"/>
        <v>42696.568391203706</v>
      </c>
    </row>
    <row r="134" spans="1:7" x14ac:dyDescent="0.25">
      <c r="A134" s="8">
        <v>42696.569872685184</v>
      </c>
      <c r="B134" s="21" t="s">
        <v>215</v>
      </c>
      <c r="C134" s="21" t="s">
        <v>540</v>
      </c>
      <c r="D134" s="21">
        <v>1140000</v>
      </c>
      <c r="E134" s="21" t="s">
        <v>325</v>
      </c>
      <c r="F134" s="21" t="str">
        <f t="shared" si="4"/>
        <v>rtdc.l.rtdc.4011:itc</v>
      </c>
      <c r="G134" s="8">
        <f t="shared" si="5"/>
        <v>42696.569872685184</v>
      </c>
    </row>
    <row r="135" spans="1:7" x14ac:dyDescent="0.25">
      <c r="A135" s="8">
        <v>42696.577418981484</v>
      </c>
      <c r="B135" s="21" t="s">
        <v>241</v>
      </c>
      <c r="C135" s="21" t="s">
        <v>541</v>
      </c>
      <c r="D135" s="21">
        <v>880000</v>
      </c>
      <c r="E135" s="21" t="s">
        <v>295</v>
      </c>
      <c r="F135" s="21" t="str">
        <f t="shared" si="4"/>
        <v>rtdc.l.rtdc.4037:itc</v>
      </c>
      <c r="G135" s="8">
        <f t="shared" si="5"/>
        <v>42696.577418981484</v>
      </c>
    </row>
    <row r="136" spans="1:7" x14ac:dyDescent="0.25">
      <c r="A136" s="8">
        <v>42696.578831018516</v>
      </c>
      <c r="B136" s="21" t="s">
        <v>236</v>
      </c>
      <c r="C136" s="21" t="s">
        <v>542</v>
      </c>
      <c r="D136" s="21">
        <v>930000</v>
      </c>
      <c r="E136" s="21" t="s">
        <v>525</v>
      </c>
      <c r="F136" s="21" t="str">
        <f t="shared" si="4"/>
        <v>rtdc.l.rtdc.4022:itc</v>
      </c>
      <c r="G136" s="8">
        <f t="shared" si="5"/>
        <v>42696.578831018516</v>
      </c>
    </row>
    <row r="137" spans="1:7" x14ac:dyDescent="0.25">
      <c r="A137" s="8">
        <v>42696.582037037035</v>
      </c>
      <c r="B137" s="21" t="s">
        <v>434</v>
      </c>
      <c r="C137" s="21" t="s">
        <v>435</v>
      </c>
      <c r="D137" s="21">
        <v>2610000</v>
      </c>
      <c r="E137" s="21" t="s">
        <v>232</v>
      </c>
      <c r="F137" s="21" t="str">
        <f t="shared" si="4"/>
        <v>rtdc.l.rtdc.4016:itc</v>
      </c>
      <c r="G137" s="8">
        <f t="shared" si="5"/>
        <v>42696.582037037035</v>
      </c>
    </row>
    <row r="138" spans="1:7" x14ac:dyDescent="0.25">
      <c r="A138" s="8">
        <v>42696.588078703702</v>
      </c>
      <c r="B138" s="21" t="s">
        <v>229</v>
      </c>
      <c r="C138" s="21" t="s">
        <v>543</v>
      </c>
      <c r="D138" s="21">
        <v>1540000</v>
      </c>
      <c r="E138" s="21" t="s">
        <v>353</v>
      </c>
      <c r="F138" s="21" t="str">
        <f t="shared" si="4"/>
        <v>rtdc.l.rtdc.4001:itc</v>
      </c>
      <c r="G138" s="8">
        <f t="shared" si="5"/>
        <v>42696.588078703702</v>
      </c>
    </row>
    <row r="139" spans="1:7" x14ac:dyDescent="0.25">
      <c r="A139" s="8">
        <v>42696.588842592595</v>
      </c>
      <c r="B139" s="21" t="s">
        <v>285</v>
      </c>
      <c r="C139" s="21" t="s">
        <v>544</v>
      </c>
      <c r="D139" s="21">
        <v>2360000</v>
      </c>
      <c r="E139" s="21" t="s">
        <v>352</v>
      </c>
      <c r="F139" s="21" t="str">
        <f t="shared" si="4"/>
        <v>rtdc.l.rtdc.4031:itc</v>
      </c>
      <c r="G139" s="8">
        <f t="shared" si="5"/>
        <v>42696.588842592595</v>
      </c>
    </row>
    <row r="140" spans="1:7" x14ac:dyDescent="0.25">
      <c r="A140" s="8">
        <v>42696.593854166669</v>
      </c>
      <c r="B140" s="21" t="s">
        <v>348</v>
      </c>
      <c r="C140" s="21" t="s">
        <v>545</v>
      </c>
      <c r="D140" s="21">
        <v>2620000</v>
      </c>
      <c r="E140" s="21" t="s">
        <v>265</v>
      </c>
      <c r="F140" s="21" t="str">
        <f t="shared" si="4"/>
        <v>rtdc.l.rtdc.4028:itc</v>
      </c>
      <c r="G140" s="8">
        <f t="shared" si="5"/>
        <v>42696.593854166669</v>
      </c>
    </row>
    <row r="141" spans="1:7" x14ac:dyDescent="0.25">
      <c r="A141" s="8">
        <v>42696.598599537036</v>
      </c>
      <c r="B141" s="21" t="s">
        <v>293</v>
      </c>
      <c r="C141" s="21" t="s">
        <v>546</v>
      </c>
      <c r="D141" s="21">
        <v>1280000</v>
      </c>
      <c r="E141" s="21" t="s">
        <v>306</v>
      </c>
      <c r="F141" s="21" t="str">
        <f t="shared" si="4"/>
        <v>rtdc.l.rtdc.4046:itc</v>
      </c>
      <c r="G141" s="8">
        <f t="shared" si="5"/>
        <v>42696.598599537036</v>
      </c>
    </row>
    <row r="142" spans="1:7" x14ac:dyDescent="0.25">
      <c r="A142" s="8">
        <v>42696.603263888886</v>
      </c>
      <c r="B142" s="21" t="s">
        <v>226</v>
      </c>
      <c r="C142" s="21" t="s">
        <v>547</v>
      </c>
      <c r="D142" s="21">
        <v>1140000</v>
      </c>
      <c r="E142" s="21" t="s">
        <v>325</v>
      </c>
      <c r="F142" s="21" t="str">
        <f t="shared" si="4"/>
        <v>rtdc.l.rtdc.4012:itc</v>
      </c>
      <c r="G142" s="8">
        <f t="shared" si="5"/>
        <v>42696.603263888886</v>
      </c>
    </row>
    <row r="143" spans="1:7" x14ac:dyDescent="0.25">
      <c r="A143" s="8">
        <v>42696.6096412037</v>
      </c>
      <c r="B143" s="21" t="s">
        <v>422</v>
      </c>
      <c r="C143" s="21" t="s">
        <v>548</v>
      </c>
      <c r="D143" s="21">
        <v>2610000</v>
      </c>
      <c r="E143" s="21" t="s">
        <v>232</v>
      </c>
      <c r="F143" s="21" t="str">
        <f t="shared" si="4"/>
        <v>rtdc.l.rtdc.4015:itc</v>
      </c>
      <c r="G143" s="8">
        <f t="shared" si="5"/>
        <v>42696.6096412037</v>
      </c>
    </row>
    <row r="144" spans="1:7" x14ac:dyDescent="0.25">
      <c r="A144" s="8">
        <v>42696.611400462964</v>
      </c>
      <c r="B144" s="21" t="s">
        <v>239</v>
      </c>
      <c r="C144" s="21" t="s">
        <v>549</v>
      </c>
      <c r="D144" s="21">
        <v>880000</v>
      </c>
      <c r="E144" s="21" t="s">
        <v>295</v>
      </c>
      <c r="F144" s="21" t="str">
        <f t="shared" si="4"/>
        <v>rtdc.l.rtdc.4038:itc</v>
      </c>
      <c r="G144" s="8">
        <f t="shared" si="5"/>
        <v>42696.611400462964</v>
      </c>
    </row>
    <row r="145" spans="1:7" x14ac:dyDescent="0.25">
      <c r="A145" s="8">
        <v>42696.61886574074</v>
      </c>
      <c r="B145" s="21" t="s">
        <v>237</v>
      </c>
      <c r="C145" s="21" t="s">
        <v>550</v>
      </c>
      <c r="D145" s="21">
        <v>930000</v>
      </c>
      <c r="E145" s="21" t="s">
        <v>525</v>
      </c>
      <c r="F145" s="21" t="str">
        <f t="shared" si="4"/>
        <v>rtdc.l.rtdc.4021:itc</v>
      </c>
      <c r="G145" s="8">
        <f t="shared" si="5"/>
        <v>42696.61886574074</v>
      </c>
    </row>
    <row r="146" spans="1:7" x14ac:dyDescent="0.25">
      <c r="A146" s="8">
        <v>42696.623020833336</v>
      </c>
      <c r="B146" s="21" t="s">
        <v>230</v>
      </c>
      <c r="C146" s="21" t="s">
        <v>551</v>
      </c>
      <c r="D146" s="21">
        <v>1540000</v>
      </c>
      <c r="E146" s="21" t="s">
        <v>353</v>
      </c>
      <c r="F146" s="21" t="str">
        <f t="shared" si="4"/>
        <v>rtdc.l.rtdc.4002:itc</v>
      </c>
      <c r="G146" s="8">
        <f t="shared" si="5"/>
        <v>42696.623020833336</v>
      </c>
    </row>
    <row r="147" spans="1:7" x14ac:dyDescent="0.25">
      <c r="A147" s="8">
        <v>42696.627488425926</v>
      </c>
      <c r="B147" s="21" t="s">
        <v>286</v>
      </c>
      <c r="C147" s="21" t="s">
        <v>552</v>
      </c>
      <c r="D147" s="21">
        <v>2360000</v>
      </c>
      <c r="E147" s="21" t="s">
        <v>352</v>
      </c>
      <c r="F147" s="21" t="str">
        <f t="shared" si="4"/>
        <v>rtdc.l.rtdc.4032:itc</v>
      </c>
      <c r="G147" s="8">
        <f t="shared" si="5"/>
        <v>42696.627488425926</v>
      </c>
    </row>
    <row r="148" spans="1:7" x14ac:dyDescent="0.25">
      <c r="A148" s="8">
        <v>42696.630335648151</v>
      </c>
      <c r="B148" s="21" t="s">
        <v>354</v>
      </c>
      <c r="C148" s="21" t="s">
        <v>553</v>
      </c>
      <c r="D148" s="21">
        <v>2620000</v>
      </c>
      <c r="E148" s="21" t="s">
        <v>265</v>
      </c>
      <c r="F148" s="21" t="str">
        <f t="shared" si="4"/>
        <v>rtdc.l.rtdc.4027:itc</v>
      </c>
      <c r="G148" s="8">
        <f t="shared" si="5"/>
        <v>42696.630335648151</v>
      </c>
    </row>
    <row r="149" spans="1:7" x14ac:dyDescent="0.25">
      <c r="A149" s="8">
        <v>42696.631724537037</v>
      </c>
      <c r="B149" s="21" t="s">
        <v>230</v>
      </c>
      <c r="C149" s="21" t="s">
        <v>551</v>
      </c>
      <c r="D149" s="21">
        <v>1540000</v>
      </c>
      <c r="E149" s="21" t="s">
        <v>353</v>
      </c>
      <c r="F149" s="21" t="str">
        <f t="shared" si="4"/>
        <v>rtdc.l.rtdc.4002:itc</v>
      </c>
      <c r="G149" s="8">
        <f t="shared" si="5"/>
        <v>42696.631724537037</v>
      </c>
    </row>
    <row r="150" spans="1:7" x14ac:dyDescent="0.25">
      <c r="A150" s="8">
        <v>42696.6325462963</v>
      </c>
      <c r="B150" s="21" t="s">
        <v>292</v>
      </c>
      <c r="C150" s="21" t="s">
        <v>554</v>
      </c>
      <c r="D150" s="21">
        <v>1280000</v>
      </c>
      <c r="E150" s="21" t="s">
        <v>306</v>
      </c>
      <c r="F150" s="21" t="str">
        <f t="shared" si="4"/>
        <v>rtdc.l.rtdc.4045:itc</v>
      </c>
      <c r="G150" s="8">
        <f t="shared" si="5"/>
        <v>42696.6325462963</v>
      </c>
    </row>
    <row r="151" spans="1:7" x14ac:dyDescent="0.25">
      <c r="A151" s="8">
        <v>42696.634733796294</v>
      </c>
      <c r="B151" s="21" t="s">
        <v>434</v>
      </c>
      <c r="C151" s="21" t="s">
        <v>555</v>
      </c>
      <c r="D151" s="21">
        <v>2610000</v>
      </c>
      <c r="E151" s="21" t="s">
        <v>232</v>
      </c>
      <c r="F151" s="21" t="str">
        <f t="shared" si="4"/>
        <v>rtdc.l.rtdc.4016:itc</v>
      </c>
      <c r="G151" s="8">
        <f t="shared" si="5"/>
        <v>42696.634733796294</v>
      </c>
    </row>
    <row r="152" spans="1:7" x14ac:dyDescent="0.25">
      <c r="A152" s="8">
        <v>42696.642233796294</v>
      </c>
      <c r="B152" s="21" t="s">
        <v>215</v>
      </c>
      <c r="C152" s="21" t="s">
        <v>556</v>
      </c>
      <c r="D152" s="21">
        <v>1140000</v>
      </c>
      <c r="E152" s="21" t="s">
        <v>325</v>
      </c>
      <c r="F152" s="21" t="str">
        <f t="shared" si="4"/>
        <v>rtdc.l.rtdc.4011:itc</v>
      </c>
      <c r="G152" s="8">
        <f t="shared" si="5"/>
        <v>42696.642233796294</v>
      </c>
    </row>
    <row r="153" spans="1:7" x14ac:dyDescent="0.25">
      <c r="A153" s="8">
        <v>42696.643946759257</v>
      </c>
      <c r="B153" s="21" t="s">
        <v>259</v>
      </c>
      <c r="C153" s="21" t="s">
        <v>557</v>
      </c>
      <c r="D153" s="21">
        <v>2000000</v>
      </c>
      <c r="E153" s="21" t="s">
        <v>225</v>
      </c>
      <c r="F153" s="21" t="str">
        <f t="shared" si="4"/>
        <v>rtdc.l.rtdc.4013:itc</v>
      </c>
      <c r="G153" s="8">
        <f t="shared" si="5"/>
        <v>42696.643946759257</v>
      </c>
    </row>
    <row r="154" spans="1:7" x14ac:dyDescent="0.25">
      <c r="A154" s="8">
        <v>42696.65179398148</v>
      </c>
      <c r="B154" s="21" t="s">
        <v>422</v>
      </c>
      <c r="C154" s="21" t="s">
        <v>558</v>
      </c>
      <c r="D154" s="21">
        <v>2610000</v>
      </c>
      <c r="E154" s="21" t="s">
        <v>232</v>
      </c>
      <c r="F154" s="21" t="str">
        <f t="shared" si="4"/>
        <v>rtdc.l.rtdc.4015:itc</v>
      </c>
      <c r="G154" s="8">
        <f t="shared" si="5"/>
        <v>42696.65179398148</v>
      </c>
    </row>
    <row r="155" spans="1:7" x14ac:dyDescent="0.25">
      <c r="A155" s="8">
        <v>42696.651990740742</v>
      </c>
      <c r="B155" s="21" t="s">
        <v>241</v>
      </c>
      <c r="C155" s="21" t="s">
        <v>559</v>
      </c>
      <c r="D155" s="21">
        <v>880000</v>
      </c>
      <c r="E155" s="21" t="s">
        <v>295</v>
      </c>
      <c r="F155" s="21" t="str">
        <f t="shared" si="4"/>
        <v>rtdc.l.rtdc.4037:itc</v>
      </c>
      <c r="G155" s="8">
        <f t="shared" si="5"/>
        <v>42696.651990740742</v>
      </c>
    </row>
    <row r="156" spans="1:7" x14ac:dyDescent="0.25">
      <c r="A156" s="8">
        <v>42696.65247685185</v>
      </c>
      <c r="B156" s="21" t="s">
        <v>236</v>
      </c>
      <c r="C156" s="21" t="s">
        <v>560</v>
      </c>
      <c r="D156" s="21">
        <v>930000</v>
      </c>
      <c r="E156" s="21" t="s">
        <v>525</v>
      </c>
      <c r="F156" s="21" t="str">
        <f t="shared" si="4"/>
        <v>rtdc.l.rtdc.4022:itc</v>
      </c>
      <c r="G156" s="8">
        <f t="shared" si="5"/>
        <v>42696.65247685185</v>
      </c>
    </row>
    <row r="157" spans="1:7" x14ac:dyDescent="0.25">
      <c r="A157" s="8">
        <v>42696.65761574074</v>
      </c>
      <c r="B157" s="21" t="s">
        <v>258</v>
      </c>
      <c r="C157" s="21" t="s">
        <v>561</v>
      </c>
      <c r="D157" s="21">
        <v>2000000</v>
      </c>
      <c r="E157" s="21" t="s">
        <v>225</v>
      </c>
      <c r="F157" s="21" t="str">
        <f t="shared" si="4"/>
        <v>rtdc.l.rtdc.4014:itc</v>
      </c>
      <c r="G157" s="8">
        <f t="shared" si="5"/>
        <v>42696.65761574074</v>
      </c>
    </row>
    <row r="158" spans="1:7" x14ac:dyDescent="0.25">
      <c r="A158" s="8">
        <v>42696.661122685182</v>
      </c>
      <c r="B158" s="21" t="s">
        <v>229</v>
      </c>
      <c r="C158" s="21" t="s">
        <v>562</v>
      </c>
      <c r="D158" s="21">
        <v>1540000</v>
      </c>
      <c r="E158" s="21" t="s">
        <v>353</v>
      </c>
      <c r="F158" s="21" t="str">
        <f t="shared" si="4"/>
        <v>rtdc.l.rtdc.4001:itc</v>
      </c>
      <c r="G158" s="8">
        <f t="shared" si="5"/>
        <v>42696.661122685182</v>
      </c>
    </row>
    <row r="159" spans="1:7" x14ac:dyDescent="0.25">
      <c r="A159" s="8">
        <v>42696.663715277777</v>
      </c>
      <c r="B159" s="21" t="s">
        <v>285</v>
      </c>
      <c r="C159" s="21" t="s">
        <v>563</v>
      </c>
      <c r="D159" s="21">
        <v>2360000</v>
      </c>
      <c r="E159" s="21" t="s">
        <v>352</v>
      </c>
      <c r="F159" s="21" t="str">
        <f t="shared" si="4"/>
        <v>rtdc.l.rtdc.4031:itc</v>
      </c>
      <c r="G159" s="8">
        <f t="shared" si="5"/>
        <v>42696.663715277777</v>
      </c>
    </row>
    <row r="160" spans="1:7" x14ac:dyDescent="0.25">
      <c r="A160" s="8">
        <v>42696.666608796295</v>
      </c>
      <c r="B160" s="21" t="s">
        <v>348</v>
      </c>
      <c r="C160" s="21" t="s">
        <v>564</v>
      </c>
      <c r="D160" s="21">
        <v>2620000</v>
      </c>
      <c r="E160" s="21" t="s">
        <v>265</v>
      </c>
      <c r="F160" s="21" t="str">
        <f t="shared" si="4"/>
        <v>rtdc.l.rtdc.4028:itc</v>
      </c>
      <c r="G160" s="8">
        <f t="shared" si="5"/>
        <v>42696.666608796295</v>
      </c>
    </row>
    <row r="161" spans="1:7" x14ac:dyDescent="0.25">
      <c r="A161" s="8">
        <v>42696.671377314815</v>
      </c>
      <c r="B161" s="21" t="s">
        <v>259</v>
      </c>
      <c r="C161" s="21" t="s">
        <v>565</v>
      </c>
      <c r="D161" s="21">
        <v>2000000</v>
      </c>
      <c r="E161" s="21" t="s">
        <v>225</v>
      </c>
      <c r="F161" s="21" t="str">
        <f t="shared" si="4"/>
        <v>rtdc.l.rtdc.4013:itc</v>
      </c>
      <c r="G161" s="8">
        <f t="shared" si="5"/>
        <v>42696.671377314815</v>
      </c>
    </row>
    <row r="162" spans="1:7" x14ac:dyDescent="0.25">
      <c r="A162" s="8">
        <v>42696.67392361111</v>
      </c>
      <c r="B162" s="21" t="s">
        <v>293</v>
      </c>
      <c r="C162" s="21" t="s">
        <v>566</v>
      </c>
      <c r="D162" s="21">
        <v>1280000</v>
      </c>
      <c r="E162" s="21" t="s">
        <v>306</v>
      </c>
      <c r="F162" s="21" t="str">
        <f t="shared" si="4"/>
        <v>rtdc.l.rtdc.4046:itc</v>
      </c>
      <c r="G162" s="8">
        <f t="shared" si="5"/>
        <v>42696.67392361111</v>
      </c>
    </row>
    <row r="163" spans="1:7" x14ac:dyDescent="0.25">
      <c r="A163" s="8">
        <v>42696.678819444445</v>
      </c>
      <c r="B163" s="21" t="s">
        <v>434</v>
      </c>
      <c r="C163" s="21" t="s">
        <v>567</v>
      </c>
      <c r="D163" s="21">
        <v>2610000</v>
      </c>
      <c r="E163" s="21" t="s">
        <v>232</v>
      </c>
      <c r="F163" s="21" t="str">
        <f t="shared" si="4"/>
        <v>rtdc.l.rtdc.4016:itc</v>
      </c>
      <c r="G163" s="8">
        <f t="shared" si="5"/>
        <v>42696.678819444445</v>
      </c>
    </row>
    <row r="164" spans="1:7" x14ac:dyDescent="0.25">
      <c r="A164" s="8">
        <v>42696.679189814815</v>
      </c>
      <c r="B164" s="21" t="s">
        <v>226</v>
      </c>
      <c r="C164" s="21" t="s">
        <v>568</v>
      </c>
      <c r="D164" s="21">
        <v>1140000</v>
      </c>
      <c r="E164" s="21" t="s">
        <v>325</v>
      </c>
      <c r="F164" s="21" t="str">
        <f t="shared" si="4"/>
        <v>rtdc.l.rtdc.4012:itc</v>
      </c>
      <c r="G164" s="8">
        <f t="shared" si="5"/>
        <v>42696.679189814815</v>
      </c>
    </row>
    <row r="165" spans="1:7" x14ac:dyDescent="0.25">
      <c r="A165" s="8">
        <v>42696.683437500003</v>
      </c>
      <c r="B165" s="21" t="s">
        <v>239</v>
      </c>
      <c r="C165" s="21" t="s">
        <v>569</v>
      </c>
      <c r="D165" s="21">
        <v>880000</v>
      </c>
      <c r="E165" s="21" t="s">
        <v>295</v>
      </c>
      <c r="F165" s="21" t="str">
        <f t="shared" si="4"/>
        <v>rtdc.l.rtdc.4038:itc</v>
      </c>
      <c r="G165" s="8">
        <f t="shared" si="5"/>
        <v>42696.683437500003</v>
      </c>
    </row>
    <row r="166" spans="1:7" x14ac:dyDescent="0.25">
      <c r="A166" s="8">
        <v>42696.685763888891</v>
      </c>
      <c r="B166" s="21" t="s">
        <v>258</v>
      </c>
      <c r="C166" s="21" t="s">
        <v>570</v>
      </c>
      <c r="D166" s="21">
        <v>2000000</v>
      </c>
      <c r="E166" s="21" t="s">
        <v>225</v>
      </c>
      <c r="F166" s="21" t="str">
        <f t="shared" si="4"/>
        <v>rtdc.l.rtdc.4014:itc</v>
      </c>
      <c r="G166" s="8">
        <f t="shared" si="5"/>
        <v>42696.685763888891</v>
      </c>
    </row>
    <row r="167" spans="1:7" x14ac:dyDescent="0.25">
      <c r="A167" s="8">
        <v>42696.6875</v>
      </c>
      <c r="B167" s="21" t="s">
        <v>293</v>
      </c>
      <c r="C167" s="21" t="s">
        <v>566</v>
      </c>
      <c r="D167" s="21">
        <v>1280000</v>
      </c>
      <c r="E167" s="21" t="s">
        <v>306</v>
      </c>
      <c r="F167" s="21" t="str">
        <f t="shared" si="4"/>
        <v>rtdc.l.rtdc.4046:itc</v>
      </c>
      <c r="G167" s="8">
        <f t="shared" si="5"/>
        <v>42696.6875</v>
      </c>
    </row>
    <row r="168" spans="1:7" x14ac:dyDescent="0.25">
      <c r="A168" s="8">
        <v>42696.691712962966</v>
      </c>
      <c r="B168" s="21" t="s">
        <v>237</v>
      </c>
      <c r="C168" s="21" t="s">
        <v>571</v>
      </c>
      <c r="D168" s="21">
        <v>930000</v>
      </c>
      <c r="E168" s="21" t="s">
        <v>525</v>
      </c>
      <c r="F168" s="21" t="str">
        <f t="shared" si="4"/>
        <v>rtdc.l.rtdc.4021:itc</v>
      </c>
      <c r="G168" s="8">
        <f t="shared" si="5"/>
        <v>42696.691712962966</v>
      </c>
    </row>
    <row r="169" spans="1:7" x14ac:dyDescent="0.25">
      <c r="A169" s="8">
        <v>42696.693148148152</v>
      </c>
      <c r="B169" s="21" t="s">
        <v>422</v>
      </c>
      <c r="C169" s="21" t="s">
        <v>572</v>
      </c>
      <c r="D169" s="21">
        <v>2610000</v>
      </c>
      <c r="E169" s="21" t="s">
        <v>232</v>
      </c>
      <c r="F169" s="21" t="str">
        <f t="shared" si="4"/>
        <v>rtdc.l.rtdc.4015:itc</v>
      </c>
      <c r="G169" s="8">
        <f t="shared" si="5"/>
        <v>42696.693148148152</v>
      </c>
    </row>
    <row r="170" spans="1:7" x14ac:dyDescent="0.25">
      <c r="A170" s="8">
        <v>42696.6952662037</v>
      </c>
      <c r="B170" s="21" t="s">
        <v>230</v>
      </c>
      <c r="C170" s="21" t="s">
        <v>573</v>
      </c>
      <c r="D170" s="21">
        <v>1540000</v>
      </c>
      <c r="E170" s="21" t="s">
        <v>353</v>
      </c>
      <c r="F170" s="21" t="str">
        <f t="shared" si="4"/>
        <v>rtdc.l.rtdc.4002:itc</v>
      </c>
      <c r="G170" s="8">
        <f t="shared" si="5"/>
        <v>42696.6952662037</v>
      </c>
    </row>
    <row r="171" spans="1:7" x14ac:dyDescent="0.25">
      <c r="A171" s="8">
        <v>42696.701597222222</v>
      </c>
      <c r="B171" s="21" t="s">
        <v>286</v>
      </c>
      <c r="C171" s="21" t="s">
        <v>574</v>
      </c>
      <c r="D171" s="21">
        <v>2360000</v>
      </c>
      <c r="E171" s="21" t="s">
        <v>352</v>
      </c>
      <c r="F171" s="21" t="str">
        <f t="shared" si="4"/>
        <v>rtdc.l.rtdc.4032:itc</v>
      </c>
      <c r="G171" s="8">
        <f t="shared" si="5"/>
        <v>42696.701597222222</v>
      </c>
    </row>
    <row r="172" spans="1:7" x14ac:dyDescent="0.25">
      <c r="A172" s="8">
        <v>42696.703287037039</v>
      </c>
      <c r="B172" s="21" t="s">
        <v>354</v>
      </c>
      <c r="C172" s="21" t="s">
        <v>575</v>
      </c>
      <c r="D172" s="21">
        <v>2620000</v>
      </c>
      <c r="E172" s="21" t="s">
        <v>265</v>
      </c>
      <c r="F172" s="21" t="str">
        <f t="shared" si="4"/>
        <v>rtdc.l.rtdc.4027:itc</v>
      </c>
      <c r="G172" s="8">
        <f t="shared" si="5"/>
        <v>42696.703287037039</v>
      </c>
    </row>
    <row r="173" spans="1:7" x14ac:dyDescent="0.25">
      <c r="A173" s="8">
        <v>42696.706203703703</v>
      </c>
      <c r="B173" s="21" t="s">
        <v>292</v>
      </c>
      <c r="C173" s="21" t="s">
        <v>576</v>
      </c>
      <c r="D173" s="21">
        <v>1280000</v>
      </c>
      <c r="E173" s="21" t="s">
        <v>306</v>
      </c>
      <c r="F173" s="21" t="str">
        <f t="shared" si="4"/>
        <v>rtdc.l.rtdc.4045:itc</v>
      </c>
      <c r="G173" s="8">
        <f t="shared" si="5"/>
        <v>42696.706203703703</v>
      </c>
    </row>
    <row r="174" spans="1:7" x14ac:dyDescent="0.25">
      <c r="A174" s="8">
        <v>42696.71303240741</v>
      </c>
      <c r="B174" s="21" t="s">
        <v>259</v>
      </c>
      <c r="C174" s="21" t="s">
        <v>436</v>
      </c>
      <c r="D174" s="21">
        <v>2000000</v>
      </c>
      <c r="E174" s="21" t="s">
        <v>225</v>
      </c>
      <c r="F174" s="21" t="str">
        <f t="shared" si="4"/>
        <v>rtdc.l.rtdc.4013:itc</v>
      </c>
      <c r="G174" s="8">
        <f t="shared" si="5"/>
        <v>42696.71303240741</v>
      </c>
    </row>
    <row r="175" spans="1:7" x14ac:dyDescent="0.25">
      <c r="A175" s="8">
        <v>42696.717361111114</v>
      </c>
      <c r="B175" s="21" t="s">
        <v>215</v>
      </c>
      <c r="C175" s="21" t="s">
        <v>577</v>
      </c>
      <c r="D175" s="21">
        <v>2600000</v>
      </c>
      <c r="E175" s="21" t="s">
        <v>355</v>
      </c>
      <c r="F175" s="21" t="str">
        <f t="shared" si="4"/>
        <v>rtdc.l.rtdc.4011:itc</v>
      </c>
      <c r="G175" s="8">
        <f t="shared" si="5"/>
        <v>42696.717361111114</v>
      </c>
    </row>
    <row r="176" spans="1:7" x14ac:dyDescent="0.25">
      <c r="A176" s="8">
        <v>42696.717430555553</v>
      </c>
      <c r="B176" s="21" t="s">
        <v>578</v>
      </c>
      <c r="C176" s="21" t="s">
        <v>579</v>
      </c>
      <c r="D176" s="21">
        <v>2250000</v>
      </c>
      <c r="E176" s="21" t="s">
        <v>580</v>
      </c>
      <c r="F176" s="21" t="str">
        <f t="shared" si="4"/>
        <v>rtdc.l.rtdc.4029:itc</v>
      </c>
      <c r="G176" s="8">
        <f t="shared" si="5"/>
        <v>42696.717430555553</v>
      </c>
    </row>
    <row r="177" spans="1:7" x14ac:dyDescent="0.25">
      <c r="A177" s="8">
        <v>42696.720266203702</v>
      </c>
      <c r="B177" s="21" t="s">
        <v>434</v>
      </c>
      <c r="C177" s="21" t="s">
        <v>581</v>
      </c>
      <c r="D177" s="21">
        <v>2610000</v>
      </c>
      <c r="E177" s="21" t="s">
        <v>232</v>
      </c>
      <c r="F177" s="21" t="str">
        <f t="shared" si="4"/>
        <v>rtdc.l.rtdc.4016:itc</v>
      </c>
      <c r="G177" s="8">
        <f t="shared" si="5"/>
        <v>42696.720266203702</v>
      </c>
    </row>
    <row r="178" spans="1:7" x14ac:dyDescent="0.25">
      <c r="A178" s="8">
        <v>42696.723645833335</v>
      </c>
      <c r="B178" s="21" t="s">
        <v>241</v>
      </c>
      <c r="C178" s="21" t="s">
        <v>582</v>
      </c>
      <c r="D178" s="21">
        <v>880000</v>
      </c>
      <c r="E178" s="21" t="s">
        <v>295</v>
      </c>
      <c r="F178" s="21" t="str">
        <f t="shared" si="4"/>
        <v>rtdc.l.rtdc.4037:itc</v>
      </c>
      <c r="G178" s="8">
        <f t="shared" si="5"/>
        <v>42696.723645833335</v>
      </c>
    </row>
    <row r="179" spans="1:7" x14ac:dyDescent="0.25">
      <c r="A179" s="8">
        <v>42696.727314814816</v>
      </c>
      <c r="B179" s="21" t="s">
        <v>236</v>
      </c>
      <c r="C179" s="21" t="s">
        <v>583</v>
      </c>
      <c r="D179" s="21">
        <v>1140000</v>
      </c>
      <c r="E179" s="21" t="s">
        <v>325</v>
      </c>
      <c r="F179" s="21" t="str">
        <f t="shared" si="4"/>
        <v>rtdc.l.rtdc.4022:itc</v>
      </c>
      <c r="G179" s="8">
        <f t="shared" si="5"/>
        <v>42696.727314814816</v>
      </c>
    </row>
    <row r="180" spans="1:7" x14ac:dyDescent="0.25">
      <c r="A180" s="8">
        <v>42696.728101851855</v>
      </c>
      <c r="B180" s="21" t="s">
        <v>236</v>
      </c>
      <c r="C180" s="21" t="s">
        <v>583</v>
      </c>
      <c r="D180" s="21">
        <v>1140000</v>
      </c>
      <c r="E180" s="21" t="s">
        <v>325</v>
      </c>
      <c r="F180" s="21" t="str">
        <f t="shared" si="4"/>
        <v>rtdc.l.rtdc.4022:itc</v>
      </c>
      <c r="G180" s="8">
        <f t="shared" si="5"/>
        <v>42696.728101851855</v>
      </c>
    </row>
    <row r="181" spans="1:7" x14ac:dyDescent="0.25">
      <c r="A181" s="8">
        <v>42696.728206018517</v>
      </c>
      <c r="B181" s="21" t="s">
        <v>258</v>
      </c>
      <c r="C181" s="21" t="s">
        <v>584</v>
      </c>
      <c r="D181" s="21">
        <v>2000000</v>
      </c>
      <c r="E181" s="21" t="s">
        <v>225</v>
      </c>
      <c r="F181" s="21" t="str">
        <f t="shared" si="4"/>
        <v>rtdc.l.rtdc.4014:itc</v>
      </c>
      <c r="G181" s="8">
        <f t="shared" si="5"/>
        <v>42696.728206018517</v>
      </c>
    </row>
    <row r="182" spans="1:7" x14ac:dyDescent="0.25">
      <c r="A182" s="8">
        <v>42696.734016203707</v>
      </c>
      <c r="B182" s="21" t="s">
        <v>229</v>
      </c>
      <c r="C182" s="21" t="s">
        <v>585</v>
      </c>
      <c r="D182" s="21">
        <v>1540000</v>
      </c>
      <c r="E182" s="21" t="s">
        <v>353</v>
      </c>
      <c r="F182" s="21" t="str">
        <f t="shared" si="4"/>
        <v>rtdc.l.rtdc.4001:itc</v>
      </c>
      <c r="G182" s="8">
        <f t="shared" si="5"/>
        <v>42696.734016203707</v>
      </c>
    </row>
    <row r="183" spans="1:7" x14ac:dyDescent="0.25">
      <c r="A183" s="8">
        <v>42696.735127314816</v>
      </c>
      <c r="B183" s="21" t="s">
        <v>422</v>
      </c>
      <c r="C183" s="21" t="s">
        <v>586</v>
      </c>
      <c r="D183" s="21">
        <v>2610000</v>
      </c>
      <c r="E183" s="21" t="s">
        <v>232</v>
      </c>
      <c r="F183" s="21" t="str">
        <f t="shared" si="4"/>
        <v>rtdc.l.rtdc.4015:itc</v>
      </c>
      <c r="G183" s="8">
        <f t="shared" si="5"/>
        <v>42696.735127314816</v>
      </c>
    </row>
    <row r="184" spans="1:7" x14ac:dyDescent="0.25">
      <c r="A184" s="8">
        <v>42696.735636574071</v>
      </c>
      <c r="B184" s="21" t="s">
        <v>233</v>
      </c>
      <c r="C184" s="21" t="s">
        <v>587</v>
      </c>
      <c r="D184" s="21">
        <v>2630000</v>
      </c>
      <c r="E184" s="21" t="s">
        <v>356</v>
      </c>
      <c r="F184" s="21" t="str">
        <f t="shared" si="4"/>
        <v>rtdc.l.rtdc.4043:itc</v>
      </c>
      <c r="G184" s="8">
        <f t="shared" si="5"/>
        <v>42696.735636574071</v>
      </c>
    </row>
    <row r="185" spans="1:7" x14ac:dyDescent="0.25">
      <c r="A185" s="8">
        <v>42696.737222222226</v>
      </c>
      <c r="B185" s="21" t="s">
        <v>285</v>
      </c>
      <c r="C185" s="21" t="s">
        <v>588</v>
      </c>
      <c r="D185" s="21">
        <v>1290000</v>
      </c>
      <c r="E185" s="21" t="s">
        <v>326</v>
      </c>
      <c r="F185" s="21" t="str">
        <f t="shared" si="4"/>
        <v>rtdc.l.rtdc.4031:itc</v>
      </c>
      <c r="G185" s="8">
        <f t="shared" si="5"/>
        <v>42696.737222222226</v>
      </c>
    </row>
    <row r="186" spans="1:7" x14ac:dyDescent="0.25">
      <c r="A186" s="8">
        <v>42696.74046296296</v>
      </c>
      <c r="B186" s="21" t="s">
        <v>348</v>
      </c>
      <c r="C186" s="21" t="s">
        <v>589</v>
      </c>
      <c r="D186" s="21">
        <v>2620000</v>
      </c>
      <c r="E186" s="21" t="s">
        <v>265</v>
      </c>
      <c r="F186" s="21" t="str">
        <f t="shared" si="4"/>
        <v>rtdc.l.rtdc.4028:itc</v>
      </c>
      <c r="G186" s="8">
        <f t="shared" si="5"/>
        <v>42696.74046296296</v>
      </c>
    </row>
    <row r="187" spans="1:7" x14ac:dyDescent="0.25">
      <c r="A187" s="8">
        <v>42696.745057870372</v>
      </c>
      <c r="B187" s="21" t="s">
        <v>347</v>
      </c>
      <c r="C187" s="21" t="s">
        <v>437</v>
      </c>
      <c r="D187" s="21">
        <v>2460000</v>
      </c>
      <c r="E187" s="21" t="s">
        <v>590</v>
      </c>
      <c r="F187" s="21" t="str">
        <f t="shared" si="4"/>
        <v>rtdc.l.rtdc.4041:itc</v>
      </c>
      <c r="G187" s="8">
        <f t="shared" si="5"/>
        <v>42696.745057870372</v>
      </c>
    </row>
    <row r="188" spans="1:7" x14ac:dyDescent="0.25">
      <c r="A188" s="8">
        <v>42696.745150462964</v>
      </c>
      <c r="B188" s="21" t="s">
        <v>157</v>
      </c>
      <c r="C188" s="21" t="s">
        <v>591</v>
      </c>
      <c r="D188" s="21">
        <v>2470000</v>
      </c>
      <c r="E188" s="21" t="s">
        <v>592</v>
      </c>
      <c r="F188" s="21" t="str">
        <f t="shared" si="4"/>
        <v>rtdc.l.rtdc.4052:itc</v>
      </c>
      <c r="G188" s="8">
        <f t="shared" si="5"/>
        <v>42696.745150462964</v>
      </c>
    </row>
    <row r="189" spans="1:7" x14ac:dyDescent="0.25">
      <c r="A189" s="8">
        <v>42696.746296296296</v>
      </c>
      <c r="B189" s="21" t="s">
        <v>293</v>
      </c>
      <c r="C189" s="21" t="s">
        <v>593</v>
      </c>
      <c r="D189" s="21">
        <v>2360000</v>
      </c>
      <c r="E189" s="21" t="s">
        <v>352</v>
      </c>
      <c r="F189" s="21" t="str">
        <f t="shared" si="4"/>
        <v>rtdc.l.rtdc.4046:itc</v>
      </c>
      <c r="G189" s="8">
        <f t="shared" si="5"/>
        <v>42696.746296296296</v>
      </c>
    </row>
    <row r="190" spans="1:7" x14ac:dyDescent="0.25">
      <c r="A190" s="8">
        <v>42696.748344907406</v>
      </c>
      <c r="B190" s="21" t="s">
        <v>235</v>
      </c>
      <c r="C190" s="21" t="s">
        <v>594</v>
      </c>
      <c r="D190" s="21">
        <v>2530000</v>
      </c>
      <c r="E190" s="21" t="s">
        <v>351</v>
      </c>
      <c r="F190" s="21" t="str">
        <f t="shared" si="4"/>
        <v>rtdc.l.rtdc.4010:itc</v>
      </c>
      <c r="G190" s="8">
        <f t="shared" si="5"/>
        <v>42696.748344907406</v>
      </c>
    </row>
    <row r="191" spans="1:7" x14ac:dyDescent="0.25">
      <c r="A191" s="8">
        <v>42696.749664351853</v>
      </c>
      <c r="B191" s="21" t="s">
        <v>434</v>
      </c>
      <c r="C191" s="21" t="s">
        <v>595</v>
      </c>
      <c r="D191" s="21">
        <v>2610000</v>
      </c>
      <c r="E191" s="21" t="s">
        <v>232</v>
      </c>
      <c r="F191" s="21" t="str">
        <f t="shared" si="4"/>
        <v>rtdc.l.rtdc.4016:itc</v>
      </c>
      <c r="G191" s="8">
        <f t="shared" si="5"/>
        <v>42696.749664351853</v>
      </c>
    </row>
    <row r="192" spans="1:7" x14ac:dyDescent="0.25">
      <c r="A192" s="8">
        <v>42696.753553240742</v>
      </c>
      <c r="B192" s="21" t="s">
        <v>226</v>
      </c>
      <c r="C192" s="21" t="s">
        <v>596</v>
      </c>
      <c r="D192" s="21">
        <v>2600000</v>
      </c>
      <c r="E192" s="21" t="s">
        <v>355</v>
      </c>
      <c r="F192" s="21" t="str">
        <f t="shared" si="4"/>
        <v>rtdc.l.rtdc.4012:itc</v>
      </c>
      <c r="G192" s="8">
        <f t="shared" si="5"/>
        <v>42696.753553240742</v>
      </c>
    </row>
    <row r="193" spans="1:7" x14ac:dyDescent="0.25">
      <c r="A193" s="8">
        <v>42696.75571759259</v>
      </c>
      <c r="B193" s="21" t="s">
        <v>259</v>
      </c>
      <c r="C193" s="21" t="s">
        <v>438</v>
      </c>
      <c r="D193" s="21">
        <v>2000000</v>
      </c>
      <c r="E193" s="21" t="s">
        <v>225</v>
      </c>
      <c r="F193" s="21" t="str">
        <f t="shared" si="4"/>
        <v>rtdc.l.rtdc.4013:itc</v>
      </c>
      <c r="G193" s="8">
        <f t="shared" si="5"/>
        <v>42696.75571759259</v>
      </c>
    </row>
    <row r="194" spans="1:7" x14ac:dyDescent="0.25">
      <c r="A194" s="8">
        <v>42696.756597222222</v>
      </c>
      <c r="B194" s="21" t="s">
        <v>239</v>
      </c>
      <c r="C194" s="21" t="s">
        <v>597</v>
      </c>
      <c r="D194" s="21">
        <v>2630000</v>
      </c>
      <c r="E194" s="21" t="s">
        <v>356</v>
      </c>
      <c r="F194" s="21" t="str">
        <f t="shared" ref="F194:F235" si="6">B194</f>
        <v>rtdc.l.rtdc.4038:itc</v>
      </c>
      <c r="G194" s="8">
        <f t="shared" ref="G194:G235" si="7">A194</f>
        <v>42696.756597222222</v>
      </c>
    </row>
    <row r="195" spans="1:7" x14ac:dyDescent="0.25">
      <c r="A195" s="8">
        <v>42696.76221064815</v>
      </c>
      <c r="B195" s="21" t="s">
        <v>346</v>
      </c>
      <c r="C195" s="21" t="s">
        <v>598</v>
      </c>
      <c r="D195" s="21">
        <v>880000</v>
      </c>
      <c r="E195" s="21" t="s">
        <v>295</v>
      </c>
      <c r="F195" s="21" t="str">
        <f t="shared" si="6"/>
        <v>rtdc.l.rtdc.4042:itc</v>
      </c>
      <c r="G195" s="8">
        <f t="shared" si="7"/>
        <v>42696.76221064815</v>
      </c>
    </row>
    <row r="196" spans="1:7" x14ac:dyDescent="0.25">
      <c r="A196" s="8">
        <v>42696.763240740744</v>
      </c>
      <c r="B196" s="21" t="s">
        <v>237</v>
      </c>
      <c r="C196" s="21" t="s">
        <v>599</v>
      </c>
      <c r="D196" s="21">
        <v>1140000</v>
      </c>
      <c r="E196" s="21" t="s">
        <v>325</v>
      </c>
      <c r="F196" s="21" t="str">
        <f t="shared" si="6"/>
        <v>rtdc.l.rtdc.4021:itc</v>
      </c>
      <c r="G196" s="8">
        <f t="shared" si="7"/>
        <v>42696.763240740744</v>
      </c>
    </row>
    <row r="197" spans="1:7" x14ac:dyDescent="0.25">
      <c r="A197" s="8">
        <v>42696.768692129626</v>
      </c>
      <c r="B197" s="21" t="s">
        <v>230</v>
      </c>
      <c r="C197" s="21" t="s">
        <v>600</v>
      </c>
      <c r="D197" s="21">
        <v>2460000</v>
      </c>
      <c r="E197" s="21" t="s">
        <v>590</v>
      </c>
      <c r="F197" s="21" t="str">
        <f t="shared" si="6"/>
        <v>rtdc.l.rtdc.4002:itc</v>
      </c>
      <c r="G197" s="8">
        <f t="shared" si="7"/>
        <v>42696.768692129626</v>
      </c>
    </row>
    <row r="198" spans="1:7" x14ac:dyDescent="0.25">
      <c r="A198" s="8">
        <v>42696.769594907404</v>
      </c>
      <c r="B198" s="21" t="s">
        <v>258</v>
      </c>
      <c r="C198" s="21" t="s">
        <v>438</v>
      </c>
      <c r="D198" s="21">
        <v>2000000</v>
      </c>
      <c r="E198" s="21" t="s">
        <v>225</v>
      </c>
      <c r="F198" s="21" t="str">
        <f t="shared" si="6"/>
        <v>rtdc.l.rtdc.4014:itc</v>
      </c>
      <c r="G198" s="8">
        <f t="shared" si="7"/>
        <v>42696.769594907404</v>
      </c>
    </row>
    <row r="199" spans="1:7" x14ac:dyDescent="0.25">
      <c r="A199" s="8">
        <v>42696.769918981481</v>
      </c>
      <c r="B199" s="21" t="s">
        <v>188</v>
      </c>
      <c r="C199" s="21" t="s">
        <v>601</v>
      </c>
      <c r="D199" s="21">
        <v>1540000</v>
      </c>
      <c r="E199" s="21" t="s">
        <v>353</v>
      </c>
      <c r="F199" s="21" t="str">
        <f t="shared" si="6"/>
        <v>rtdc.l.rtdc.4044:itc</v>
      </c>
      <c r="G199" s="8">
        <f t="shared" si="7"/>
        <v>42696.769918981481</v>
      </c>
    </row>
    <row r="200" spans="1:7" x14ac:dyDescent="0.25">
      <c r="A200" s="8">
        <v>42696.770567129628</v>
      </c>
      <c r="B200" s="21" t="s">
        <v>258</v>
      </c>
      <c r="C200" s="21" t="s">
        <v>602</v>
      </c>
      <c r="D200" s="21">
        <v>2000000</v>
      </c>
      <c r="E200" s="21" t="s">
        <v>225</v>
      </c>
      <c r="F200" s="21" t="str">
        <f t="shared" si="6"/>
        <v>rtdc.l.rtdc.4014:itc</v>
      </c>
      <c r="G200" s="8">
        <f t="shared" si="7"/>
        <v>42696.770567129628</v>
      </c>
    </row>
    <row r="201" spans="1:7" x14ac:dyDescent="0.25">
      <c r="A201" s="8">
        <v>42696.770914351851</v>
      </c>
      <c r="B201" s="21" t="s">
        <v>188</v>
      </c>
      <c r="C201" s="21" t="s">
        <v>601</v>
      </c>
      <c r="D201" s="21">
        <v>1540000</v>
      </c>
      <c r="E201" s="21" t="s">
        <v>353</v>
      </c>
      <c r="F201" s="21" t="str">
        <f t="shared" si="6"/>
        <v>rtdc.l.rtdc.4044:itc</v>
      </c>
      <c r="G201" s="8">
        <f t="shared" si="7"/>
        <v>42696.770914351851</v>
      </c>
    </row>
    <row r="202" spans="1:7" x14ac:dyDescent="0.25">
      <c r="A202" s="27">
        <v>42696.774791666663</v>
      </c>
      <c r="B202" s="21" t="s">
        <v>286</v>
      </c>
      <c r="C202" s="21" t="s">
        <v>603</v>
      </c>
      <c r="D202" s="21">
        <v>1290000</v>
      </c>
      <c r="E202" s="21" t="s">
        <v>326</v>
      </c>
      <c r="F202" s="21" t="str">
        <f t="shared" si="6"/>
        <v>rtdc.l.rtdc.4032:itc</v>
      </c>
      <c r="G202" s="8">
        <f t="shared" si="7"/>
        <v>42696.774791666663</v>
      </c>
    </row>
    <row r="203" spans="1:7" x14ac:dyDescent="0.25">
      <c r="A203" s="8">
        <v>42696.776354166665</v>
      </c>
      <c r="B203" s="21" t="s">
        <v>422</v>
      </c>
      <c r="C203" s="21" t="s">
        <v>439</v>
      </c>
      <c r="D203" s="21">
        <v>2610000</v>
      </c>
      <c r="E203" s="21" t="s">
        <v>232</v>
      </c>
      <c r="F203" s="21" t="str">
        <f t="shared" si="6"/>
        <v>rtdc.l.rtdc.4015:itc</v>
      </c>
      <c r="G203" s="8">
        <f t="shared" si="7"/>
        <v>42696.776354166665</v>
      </c>
    </row>
    <row r="204" spans="1:7" x14ac:dyDescent="0.25">
      <c r="A204" s="8">
        <v>42696.780069444445</v>
      </c>
      <c r="B204" s="21" t="s">
        <v>354</v>
      </c>
      <c r="C204" s="21" t="s">
        <v>604</v>
      </c>
      <c r="D204" s="21">
        <v>2620000</v>
      </c>
      <c r="E204" s="21" t="s">
        <v>265</v>
      </c>
      <c r="F204" s="21" t="str">
        <f t="shared" si="6"/>
        <v>rtdc.l.rtdc.4027:itc</v>
      </c>
      <c r="G204" s="8">
        <f t="shared" si="7"/>
        <v>42696.780069444445</v>
      </c>
    </row>
    <row r="205" spans="1:7" x14ac:dyDescent="0.25">
      <c r="A205" s="8">
        <v>42696.784745370373</v>
      </c>
      <c r="B205" s="21" t="s">
        <v>292</v>
      </c>
      <c r="C205" s="21" t="s">
        <v>440</v>
      </c>
      <c r="D205" s="21">
        <v>2360000</v>
      </c>
      <c r="E205" s="21" t="s">
        <v>352</v>
      </c>
      <c r="F205" s="21" t="str">
        <f t="shared" si="6"/>
        <v>rtdc.l.rtdc.4045:itc</v>
      </c>
      <c r="G205" s="8">
        <f t="shared" si="7"/>
        <v>42696.784745370373</v>
      </c>
    </row>
    <row r="206" spans="1:7" x14ac:dyDescent="0.25">
      <c r="A206" s="8">
        <v>42696.788310185184</v>
      </c>
      <c r="B206" s="21" t="s">
        <v>215</v>
      </c>
      <c r="C206" s="21" t="s">
        <v>605</v>
      </c>
      <c r="D206" s="21">
        <v>2600000</v>
      </c>
      <c r="E206" s="21" t="s">
        <v>355</v>
      </c>
      <c r="F206" s="21" t="str">
        <f t="shared" si="6"/>
        <v>rtdc.l.rtdc.4011:itc</v>
      </c>
      <c r="G206" s="8">
        <f t="shared" si="7"/>
        <v>42696.788310185184</v>
      </c>
    </row>
    <row r="207" spans="1:7" x14ac:dyDescent="0.25">
      <c r="A207" s="8">
        <v>42696.794409722221</v>
      </c>
      <c r="B207" s="21" t="s">
        <v>241</v>
      </c>
      <c r="C207" s="21" t="s">
        <v>606</v>
      </c>
      <c r="D207" s="21">
        <v>2630000</v>
      </c>
      <c r="E207" s="21" t="s">
        <v>356</v>
      </c>
      <c r="F207" s="21" t="str">
        <f t="shared" si="6"/>
        <v>rtdc.l.rtdc.4037:itc</v>
      </c>
      <c r="G207" s="8">
        <f t="shared" si="7"/>
        <v>42696.794409722221</v>
      </c>
    </row>
    <row r="208" spans="1:7" x14ac:dyDescent="0.25">
      <c r="A208" s="8">
        <v>42696.79483796296</v>
      </c>
      <c r="B208" s="21" t="s">
        <v>434</v>
      </c>
      <c r="C208" s="21" t="s">
        <v>607</v>
      </c>
      <c r="D208" s="21">
        <v>2610000</v>
      </c>
      <c r="E208" s="21" t="s">
        <v>232</v>
      </c>
      <c r="F208" s="21" t="str">
        <f t="shared" si="6"/>
        <v>rtdc.l.rtdc.4016:itc</v>
      </c>
      <c r="G208" s="8">
        <f t="shared" si="7"/>
        <v>42696.79483796296</v>
      </c>
    </row>
    <row r="209" spans="1:7" x14ac:dyDescent="0.25">
      <c r="A209" s="8">
        <v>42696.79619212963</v>
      </c>
      <c r="B209" s="21" t="s">
        <v>259</v>
      </c>
      <c r="C209" s="21" t="s">
        <v>608</v>
      </c>
      <c r="D209" s="21">
        <v>2000000</v>
      </c>
      <c r="E209" s="21" t="s">
        <v>225</v>
      </c>
      <c r="F209" s="21" t="str">
        <f t="shared" si="6"/>
        <v>rtdc.l.rtdc.4013:itc</v>
      </c>
      <c r="G209" s="8">
        <f t="shared" si="7"/>
        <v>42696.79619212963</v>
      </c>
    </row>
    <row r="210" spans="1:7" x14ac:dyDescent="0.25">
      <c r="A210" s="8">
        <v>42696.800694444442</v>
      </c>
      <c r="B210" s="21" t="s">
        <v>236</v>
      </c>
      <c r="C210" s="21" t="s">
        <v>609</v>
      </c>
      <c r="D210" s="21">
        <v>1140000</v>
      </c>
      <c r="E210" s="21" t="s">
        <v>325</v>
      </c>
      <c r="F210" s="21" t="str">
        <f t="shared" si="6"/>
        <v>rtdc.l.rtdc.4022:itc</v>
      </c>
      <c r="G210" s="8">
        <f t="shared" si="7"/>
        <v>42696.800694444442</v>
      </c>
    </row>
    <row r="211" spans="1:7" x14ac:dyDescent="0.25">
      <c r="A211" s="8">
        <v>42696.80709490741</v>
      </c>
      <c r="B211" s="21" t="s">
        <v>229</v>
      </c>
      <c r="C211" s="21" t="s">
        <v>441</v>
      </c>
      <c r="D211" s="21">
        <v>2460000</v>
      </c>
      <c r="E211" s="21" t="s">
        <v>590</v>
      </c>
      <c r="F211" s="21" t="str">
        <f t="shared" si="6"/>
        <v>rtdc.l.rtdc.4001:itc</v>
      </c>
      <c r="G211" s="8">
        <f t="shared" si="7"/>
        <v>42696.80709490741</v>
      </c>
    </row>
    <row r="212" spans="1:7" x14ac:dyDescent="0.25">
      <c r="A212" s="8">
        <v>42696.808576388888</v>
      </c>
      <c r="B212" s="21" t="s">
        <v>285</v>
      </c>
      <c r="C212" s="21" t="s">
        <v>610</v>
      </c>
      <c r="D212" s="21">
        <v>1290000</v>
      </c>
      <c r="E212" s="21" t="s">
        <v>326</v>
      </c>
      <c r="F212" s="21" t="str">
        <f t="shared" si="6"/>
        <v>rtdc.l.rtdc.4031:itc</v>
      </c>
      <c r="G212" s="8">
        <f t="shared" si="7"/>
        <v>42696.808576388888</v>
      </c>
    </row>
    <row r="213" spans="1:7" x14ac:dyDescent="0.25">
      <c r="A213" s="8">
        <v>42696.818703703706</v>
      </c>
      <c r="B213" s="21" t="s">
        <v>422</v>
      </c>
      <c r="C213" s="21" t="s">
        <v>611</v>
      </c>
      <c r="D213" s="21">
        <v>2610000</v>
      </c>
      <c r="E213" s="21" t="s">
        <v>232</v>
      </c>
      <c r="F213" s="21" t="str">
        <f t="shared" si="6"/>
        <v>rtdc.l.rtdc.4015:itc</v>
      </c>
      <c r="G213" s="8">
        <f t="shared" si="7"/>
        <v>42696.818703703706</v>
      </c>
    </row>
    <row r="214" spans="1:7" x14ac:dyDescent="0.25">
      <c r="A214" s="8">
        <v>42696.820081018515</v>
      </c>
      <c r="B214" s="21" t="s">
        <v>293</v>
      </c>
      <c r="C214" s="21" t="s">
        <v>612</v>
      </c>
      <c r="D214" s="21">
        <v>2360000</v>
      </c>
      <c r="E214" s="21" t="s">
        <v>352</v>
      </c>
      <c r="F214" s="21" t="str">
        <f t="shared" si="6"/>
        <v>rtdc.l.rtdc.4046:itc</v>
      </c>
      <c r="G214" s="8">
        <f t="shared" si="7"/>
        <v>42696.820081018515</v>
      </c>
    </row>
    <row r="215" spans="1:7" x14ac:dyDescent="0.25">
      <c r="A215" s="8">
        <v>42696.825277777774</v>
      </c>
      <c r="B215" s="21" t="s">
        <v>226</v>
      </c>
      <c r="C215" s="21" t="s">
        <v>613</v>
      </c>
      <c r="D215" s="21">
        <v>2600000</v>
      </c>
      <c r="E215" s="21" t="s">
        <v>355</v>
      </c>
      <c r="F215" s="21" t="str">
        <f t="shared" si="6"/>
        <v>rtdc.l.rtdc.4012:itc</v>
      </c>
      <c r="G215" s="8">
        <f t="shared" si="7"/>
        <v>42696.825277777774</v>
      </c>
    </row>
    <row r="216" spans="1:7" x14ac:dyDescent="0.25">
      <c r="A216" s="8">
        <v>42696.828796296293</v>
      </c>
      <c r="B216" s="21" t="s">
        <v>156</v>
      </c>
      <c r="C216" s="21" t="s">
        <v>614</v>
      </c>
      <c r="D216" s="21">
        <v>2470000</v>
      </c>
      <c r="E216" s="21" t="s">
        <v>592</v>
      </c>
      <c r="F216" s="21" t="str">
        <f t="shared" si="6"/>
        <v>rtdc.l.rtdc.4051:itc</v>
      </c>
      <c r="G216" s="8">
        <f t="shared" si="7"/>
        <v>42696.828796296293</v>
      </c>
    </row>
    <row r="217" spans="1:7" x14ac:dyDescent="0.25">
      <c r="A217" s="8">
        <v>42696.829641203702</v>
      </c>
      <c r="B217" s="21" t="s">
        <v>239</v>
      </c>
      <c r="C217" s="21" t="s">
        <v>615</v>
      </c>
      <c r="D217" s="21">
        <v>2630000</v>
      </c>
      <c r="E217" s="21" t="s">
        <v>356</v>
      </c>
      <c r="F217" s="21" t="str">
        <f t="shared" si="6"/>
        <v>rtdc.l.rtdc.4038:itc</v>
      </c>
      <c r="G217" s="8">
        <f t="shared" si="7"/>
        <v>42696.829641203702</v>
      </c>
    </row>
    <row r="218" spans="1:7" x14ac:dyDescent="0.25">
      <c r="A218" s="8">
        <v>42696.841157407405</v>
      </c>
      <c r="B218" s="21" t="s">
        <v>230</v>
      </c>
      <c r="C218" s="21" t="s">
        <v>616</v>
      </c>
      <c r="D218" s="21">
        <v>2460000</v>
      </c>
      <c r="E218" s="21" t="s">
        <v>590</v>
      </c>
      <c r="F218" s="21" t="str">
        <f t="shared" si="6"/>
        <v>rtdc.l.rtdc.4002:itc</v>
      </c>
      <c r="G218" s="8">
        <f t="shared" si="7"/>
        <v>42696.841157407405</v>
      </c>
    </row>
    <row r="219" spans="1:7" x14ac:dyDescent="0.25">
      <c r="A219" s="8">
        <v>42696.8434837963</v>
      </c>
      <c r="B219" s="21" t="s">
        <v>434</v>
      </c>
      <c r="C219" s="21" t="s">
        <v>617</v>
      </c>
      <c r="D219" s="21">
        <v>2610000</v>
      </c>
      <c r="E219" s="21" t="s">
        <v>232</v>
      </c>
      <c r="F219" s="21" t="str">
        <f t="shared" si="6"/>
        <v>rtdc.l.rtdc.4016:itc</v>
      </c>
      <c r="G219" s="8">
        <f t="shared" si="7"/>
        <v>42696.8434837963</v>
      </c>
    </row>
    <row r="220" spans="1:7" x14ac:dyDescent="0.25">
      <c r="A220" s="8">
        <v>42696.85</v>
      </c>
      <c r="B220" s="21" t="s">
        <v>286</v>
      </c>
      <c r="C220" s="21" t="s">
        <v>443</v>
      </c>
      <c r="D220" s="21">
        <v>1290000</v>
      </c>
      <c r="E220" s="21" t="s">
        <v>326</v>
      </c>
      <c r="F220" s="21" t="str">
        <f t="shared" si="6"/>
        <v>rtdc.l.rtdc.4032:itc</v>
      </c>
      <c r="G220" s="8">
        <f t="shared" si="7"/>
        <v>42696.85</v>
      </c>
    </row>
    <row r="221" spans="1:7" x14ac:dyDescent="0.25">
      <c r="A221" s="8">
        <v>42696.858124999999</v>
      </c>
      <c r="B221" s="21" t="s">
        <v>157</v>
      </c>
      <c r="C221" s="21" t="s">
        <v>442</v>
      </c>
      <c r="D221" s="21">
        <v>2470000</v>
      </c>
      <c r="E221" s="21" t="s">
        <v>592</v>
      </c>
      <c r="F221" s="21" t="str">
        <f t="shared" si="6"/>
        <v>rtdc.l.rtdc.4052:itc</v>
      </c>
      <c r="G221" s="8">
        <f t="shared" si="7"/>
        <v>42696.858124999999</v>
      </c>
    </row>
    <row r="222" spans="1:7" x14ac:dyDescent="0.25">
      <c r="A222" s="8">
        <v>42696.859409722223</v>
      </c>
      <c r="B222" s="21" t="s">
        <v>422</v>
      </c>
      <c r="C222" s="21" t="s">
        <v>618</v>
      </c>
      <c r="D222" s="21">
        <v>2610000</v>
      </c>
      <c r="E222" s="21" t="s">
        <v>232</v>
      </c>
      <c r="F222" s="21" t="str">
        <f t="shared" si="6"/>
        <v>rtdc.l.rtdc.4015:itc</v>
      </c>
      <c r="G222" s="8">
        <f t="shared" si="7"/>
        <v>42696.859409722223</v>
      </c>
    </row>
    <row r="223" spans="1:7" x14ac:dyDescent="0.25">
      <c r="A223" s="8">
        <v>42696.866388888891</v>
      </c>
      <c r="B223" s="21" t="s">
        <v>241</v>
      </c>
      <c r="C223" s="21" t="s">
        <v>619</v>
      </c>
      <c r="D223" s="21">
        <v>2630000</v>
      </c>
      <c r="E223" s="21" t="s">
        <v>356</v>
      </c>
      <c r="F223" s="21" t="str">
        <f t="shared" si="6"/>
        <v>rtdc.l.rtdc.4037:itc</v>
      </c>
      <c r="G223" s="8">
        <f t="shared" si="7"/>
        <v>42696.866388888891</v>
      </c>
    </row>
    <row r="224" spans="1:7" x14ac:dyDescent="0.25">
      <c r="A224" s="8">
        <v>42696.869467592594</v>
      </c>
      <c r="B224" t="s">
        <v>215</v>
      </c>
      <c r="C224" t="s">
        <v>620</v>
      </c>
      <c r="D224">
        <v>2600000</v>
      </c>
      <c r="E224" t="s">
        <v>355</v>
      </c>
      <c r="F224" s="21" t="str">
        <f t="shared" si="6"/>
        <v>rtdc.l.rtdc.4011:itc</v>
      </c>
      <c r="G224" s="8">
        <f t="shared" si="7"/>
        <v>42696.869467592594</v>
      </c>
    </row>
    <row r="225" spans="1:7" x14ac:dyDescent="0.25">
      <c r="A225" s="8">
        <v>42696.875659722224</v>
      </c>
      <c r="B225" t="s">
        <v>434</v>
      </c>
      <c r="C225" t="s">
        <v>621</v>
      </c>
      <c r="D225">
        <v>2000000</v>
      </c>
      <c r="E225" t="s">
        <v>225</v>
      </c>
      <c r="F225" s="21" t="str">
        <f t="shared" si="6"/>
        <v>rtdc.l.rtdc.4016:itc</v>
      </c>
      <c r="G225" s="8">
        <f t="shared" si="7"/>
        <v>42696.875659722224</v>
      </c>
    </row>
    <row r="226" spans="1:7" x14ac:dyDescent="0.25">
      <c r="A226" s="8">
        <v>42696.875983796293</v>
      </c>
      <c r="B226" t="s">
        <v>157</v>
      </c>
      <c r="C226" t="s">
        <v>442</v>
      </c>
      <c r="D226">
        <v>2470000</v>
      </c>
      <c r="E226" t="s">
        <v>592</v>
      </c>
      <c r="F226" s="21" t="str">
        <f t="shared" si="6"/>
        <v>rtdc.l.rtdc.4052:itc</v>
      </c>
      <c r="G226" s="8">
        <f t="shared" si="7"/>
        <v>42696.875983796293</v>
      </c>
    </row>
    <row r="227" spans="1:7" x14ac:dyDescent="0.25">
      <c r="A227" s="8">
        <v>42696.879733796297</v>
      </c>
      <c r="B227" t="s">
        <v>285</v>
      </c>
      <c r="C227" t="s">
        <v>622</v>
      </c>
      <c r="D227">
        <v>1290000</v>
      </c>
      <c r="E227" t="s">
        <v>326</v>
      </c>
      <c r="F227" s="21" t="str">
        <f t="shared" si="6"/>
        <v>rtdc.l.rtdc.4031:itc</v>
      </c>
      <c r="G227" s="8">
        <f t="shared" si="7"/>
        <v>42696.879733796297</v>
      </c>
    </row>
    <row r="228" spans="1:7" x14ac:dyDescent="0.25">
      <c r="A228" s="8">
        <v>42696.88858796296</v>
      </c>
      <c r="B228" t="s">
        <v>230</v>
      </c>
      <c r="C228" t="s">
        <v>616</v>
      </c>
      <c r="D228">
        <v>2460000</v>
      </c>
      <c r="E228" t="s">
        <v>590</v>
      </c>
      <c r="F228" s="21" t="str">
        <f t="shared" si="6"/>
        <v>rtdc.l.rtdc.4002:itc</v>
      </c>
      <c r="G228" s="8">
        <f t="shared" si="7"/>
        <v>42696.88858796296</v>
      </c>
    </row>
    <row r="229" spans="1:7" x14ac:dyDescent="0.25">
      <c r="A229" s="8">
        <v>42696.889270833337</v>
      </c>
      <c r="B229" t="s">
        <v>156</v>
      </c>
      <c r="C229" t="s">
        <v>614</v>
      </c>
      <c r="D229">
        <v>2470000</v>
      </c>
      <c r="E229" t="s">
        <v>592</v>
      </c>
      <c r="F229" s="21" t="str">
        <f t="shared" si="6"/>
        <v>rtdc.l.rtdc.4051:itc</v>
      </c>
      <c r="G229" s="8">
        <f t="shared" si="7"/>
        <v>42696.889270833337</v>
      </c>
    </row>
    <row r="230" spans="1:7" x14ac:dyDescent="0.25">
      <c r="A230" s="8">
        <v>42696.8903125</v>
      </c>
      <c r="B230" t="s">
        <v>229</v>
      </c>
      <c r="C230" t="s">
        <v>623</v>
      </c>
      <c r="D230">
        <v>2460000</v>
      </c>
      <c r="E230" t="s">
        <v>590</v>
      </c>
      <c r="F230" s="21" t="str">
        <f t="shared" si="6"/>
        <v>rtdc.l.rtdc.4001:itc</v>
      </c>
      <c r="G230" s="8">
        <f t="shared" si="7"/>
        <v>42696.8903125</v>
      </c>
    </row>
    <row r="231" spans="1:7" x14ac:dyDescent="0.25">
      <c r="A231" s="8">
        <v>42696.900891203702</v>
      </c>
      <c r="B231" t="s">
        <v>422</v>
      </c>
      <c r="C231" t="s">
        <v>624</v>
      </c>
      <c r="D231">
        <v>2000000</v>
      </c>
      <c r="E231" t="s">
        <v>225</v>
      </c>
      <c r="F231" s="21" t="str">
        <f t="shared" si="6"/>
        <v>rtdc.l.rtdc.4015:itc</v>
      </c>
      <c r="G231" s="8">
        <f t="shared" si="7"/>
        <v>42696.900891203702</v>
      </c>
    </row>
    <row r="232" spans="1:7" x14ac:dyDescent="0.25">
      <c r="A232" s="8">
        <v>42696.902187500003</v>
      </c>
      <c r="B232" t="s">
        <v>239</v>
      </c>
      <c r="C232" t="s">
        <v>625</v>
      </c>
      <c r="D232">
        <v>2630000</v>
      </c>
      <c r="E232" t="s">
        <v>356</v>
      </c>
      <c r="F232" s="21" t="str">
        <f t="shared" si="6"/>
        <v>rtdc.l.rtdc.4038:itc</v>
      </c>
      <c r="G232" s="8">
        <f t="shared" si="7"/>
        <v>42696.902187500003</v>
      </c>
    </row>
    <row r="233" spans="1:7" x14ac:dyDescent="0.25">
      <c r="A233" s="8">
        <v>42696.908321759256</v>
      </c>
      <c r="B233" t="s">
        <v>226</v>
      </c>
      <c r="C233" t="s">
        <v>626</v>
      </c>
      <c r="D233">
        <v>2600000</v>
      </c>
      <c r="E233" t="s">
        <v>355</v>
      </c>
      <c r="F233" s="21" t="str">
        <f t="shared" si="6"/>
        <v>rtdc.l.rtdc.4012:itc</v>
      </c>
      <c r="G233" s="8">
        <f t="shared" si="7"/>
        <v>42696.908321759256</v>
      </c>
    </row>
    <row r="234" spans="1:7" x14ac:dyDescent="0.25">
      <c r="A234" s="8">
        <v>42696.910833333335</v>
      </c>
      <c r="B234" t="s">
        <v>157</v>
      </c>
      <c r="C234" t="s">
        <v>442</v>
      </c>
      <c r="D234">
        <v>2470000</v>
      </c>
      <c r="E234" t="s">
        <v>592</v>
      </c>
      <c r="F234" s="21" t="str">
        <f t="shared" si="6"/>
        <v>rtdc.l.rtdc.4052:itc</v>
      </c>
      <c r="G234" s="8">
        <f t="shared" si="7"/>
        <v>42696.910833333335</v>
      </c>
    </row>
    <row r="235" spans="1:7" x14ac:dyDescent="0.25">
      <c r="A235" s="8">
        <v>42696.927175925928</v>
      </c>
      <c r="B235" t="s">
        <v>229</v>
      </c>
      <c r="C235" t="s">
        <v>623</v>
      </c>
      <c r="D235">
        <v>2460000</v>
      </c>
      <c r="E235" t="s">
        <v>590</v>
      </c>
      <c r="F235" s="21" t="str">
        <f t="shared" si="6"/>
        <v>rtdc.l.rtdc.4001:itc</v>
      </c>
      <c r="G235" s="8">
        <f t="shared" si="7"/>
        <v>42696.927175925928</v>
      </c>
    </row>
    <row r="236" spans="1:7" x14ac:dyDescent="0.25">
      <c r="A236" s="8">
        <v>42696.927430555559</v>
      </c>
      <c r="B236" t="s">
        <v>434</v>
      </c>
      <c r="C236" t="s">
        <v>627</v>
      </c>
      <c r="D236">
        <v>2000000</v>
      </c>
      <c r="E236" t="s">
        <v>225</v>
      </c>
      <c r="F236" s="21" t="str">
        <f t="shared" ref="F236:F265" si="8">B236</f>
        <v>rtdc.l.rtdc.4016:itc</v>
      </c>
      <c r="G236" s="8">
        <f t="shared" ref="G236:G265" si="9">A236</f>
        <v>42696.927430555559</v>
      </c>
    </row>
    <row r="237" spans="1:7" x14ac:dyDescent="0.25">
      <c r="A237" s="8">
        <v>42696.928032407406</v>
      </c>
      <c r="B237" t="s">
        <v>156</v>
      </c>
      <c r="C237" t="s">
        <v>614</v>
      </c>
      <c r="D237">
        <v>2470000</v>
      </c>
      <c r="E237" t="s">
        <v>592</v>
      </c>
      <c r="F237" s="21" t="str">
        <f t="shared" si="8"/>
        <v>rtdc.l.rtdc.4051:itc</v>
      </c>
      <c r="G237" s="8">
        <f t="shared" si="9"/>
        <v>42696.928032407406</v>
      </c>
    </row>
    <row r="238" spans="1:7" x14ac:dyDescent="0.25">
      <c r="A238" s="8">
        <v>42696.930891203701</v>
      </c>
      <c r="B238" t="s">
        <v>286</v>
      </c>
      <c r="C238" t="s">
        <v>628</v>
      </c>
      <c r="D238">
        <v>1290000</v>
      </c>
      <c r="E238" t="s">
        <v>326</v>
      </c>
      <c r="F238" s="21" t="str">
        <f t="shared" si="8"/>
        <v>rtdc.l.rtdc.4032:itc</v>
      </c>
      <c r="G238" s="8">
        <f t="shared" si="9"/>
        <v>42696.930891203701</v>
      </c>
    </row>
    <row r="239" spans="1:7" x14ac:dyDescent="0.25">
      <c r="A239" s="8">
        <v>42696.932002314818</v>
      </c>
      <c r="B239" t="s">
        <v>230</v>
      </c>
      <c r="C239" t="s">
        <v>629</v>
      </c>
      <c r="D239">
        <v>2460000</v>
      </c>
      <c r="E239" t="s">
        <v>590</v>
      </c>
      <c r="F239" s="21" t="str">
        <f t="shared" si="8"/>
        <v>rtdc.l.rtdc.4002:itc</v>
      </c>
      <c r="G239" s="8">
        <f t="shared" si="9"/>
        <v>42696.932002314818</v>
      </c>
    </row>
    <row r="240" spans="1:7" x14ac:dyDescent="0.25">
      <c r="A240" s="8">
        <v>42696.942291666666</v>
      </c>
      <c r="B240" t="s">
        <v>422</v>
      </c>
      <c r="C240" t="s">
        <v>630</v>
      </c>
      <c r="D240">
        <v>2000000</v>
      </c>
      <c r="E240" t="s">
        <v>225</v>
      </c>
      <c r="F240" s="21" t="str">
        <f t="shared" si="8"/>
        <v>rtdc.l.rtdc.4015:itc</v>
      </c>
      <c r="G240" s="8">
        <f t="shared" si="9"/>
        <v>42696.942291666666</v>
      </c>
    </row>
    <row r="241" spans="1:7" x14ac:dyDescent="0.25">
      <c r="A241" s="8">
        <v>42696.942986111113</v>
      </c>
      <c r="B241" t="s">
        <v>241</v>
      </c>
      <c r="C241" t="s">
        <v>631</v>
      </c>
      <c r="D241">
        <v>2630000</v>
      </c>
      <c r="E241" t="s">
        <v>356</v>
      </c>
      <c r="F241" s="21" t="str">
        <f t="shared" si="8"/>
        <v>rtdc.l.rtdc.4037:itc</v>
      </c>
      <c r="G241" s="8">
        <f t="shared" si="9"/>
        <v>42696.942986111113</v>
      </c>
    </row>
    <row r="242" spans="1:7" x14ac:dyDescent="0.25">
      <c r="A242" s="8">
        <v>42696.945555555554</v>
      </c>
      <c r="B242" t="s">
        <v>157</v>
      </c>
      <c r="C242" t="s">
        <v>442</v>
      </c>
      <c r="D242">
        <v>2470000</v>
      </c>
      <c r="E242" t="s">
        <v>592</v>
      </c>
      <c r="F242" s="21" t="str">
        <f t="shared" si="8"/>
        <v>rtdc.l.rtdc.4052:itc</v>
      </c>
      <c r="G242" s="8">
        <f t="shared" si="9"/>
        <v>42696.945555555554</v>
      </c>
    </row>
    <row r="243" spans="1:7" x14ac:dyDescent="0.25">
      <c r="A243" s="8">
        <v>42696.951620370368</v>
      </c>
      <c r="B243" t="s">
        <v>215</v>
      </c>
      <c r="C243" t="s">
        <v>632</v>
      </c>
      <c r="D243">
        <v>2600000</v>
      </c>
      <c r="E243" t="s">
        <v>355</v>
      </c>
      <c r="F243" s="21" t="str">
        <f t="shared" si="8"/>
        <v>rtdc.l.rtdc.4011:itc</v>
      </c>
      <c r="G243" s="8">
        <f t="shared" si="9"/>
        <v>42696.951620370368</v>
      </c>
    </row>
    <row r="244" spans="1:7" x14ac:dyDescent="0.25">
      <c r="A244" s="8">
        <v>42696.970196759263</v>
      </c>
      <c r="B244" t="s">
        <v>229</v>
      </c>
      <c r="C244" t="s">
        <v>633</v>
      </c>
      <c r="D244">
        <v>2460000</v>
      </c>
      <c r="E244" t="s">
        <v>590</v>
      </c>
      <c r="F244" s="21" t="str">
        <f t="shared" si="8"/>
        <v>rtdc.l.rtdc.4001:itc</v>
      </c>
      <c r="G244" s="8">
        <f t="shared" si="9"/>
        <v>42696.970196759263</v>
      </c>
    </row>
    <row r="245" spans="1:7" x14ac:dyDescent="0.25">
      <c r="A245" s="8">
        <v>42696.972083333334</v>
      </c>
      <c r="B245" t="s">
        <v>156</v>
      </c>
      <c r="C245" t="s">
        <v>614</v>
      </c>
      <c r="D245">
        <v>2470000</v>
      </c>
      <c r="E245" t="s">
        <v>592</v>
      </c>
      <c r="F245" s="21" t="str">
        <f t="shared" si="8"/>
        <v>rtdc.l.rtdc.4051:itc</v>
      </c>
      <c r="G245" s="8">
        <f t="shared" si="9"/>
        <v>42696.972083333334</v>
      </c>
    </row>
    <row r="246" spans="1:7" x14ac:dyDescent="0.25">
      <c r="A246" s="8">
        <v>42696.973240740743</v>
      </c>
      <c r="B246" t="s">
        <v>285</v>
      </c>
      <c r="C246" t="s">
        <v>634</v>
      </c>
      <c r="D246">
        <v>1290000</v>
      </c>
      <c r="E246" t="s">
        <v>326</v>
      </c>
      <c r="F246" s="21" t="str">
        <f t="shared" si="8"/>
        <v>rtdc.l.rtdc.4031:itc</v>
      </c>
      <c r="G246" s="8">
        <f t="shared" si="9"/>
        <v>42696.973240740743</v>
      </c>
    </row>
    <row r="247" spans="1:7" x14ac:dyDescent="0.25">
      <c r="A247" s="8">
        <v>42696.984097222223</v>
      </c>
      <c r="B247" t="s">
        <v>239</v>
      </c>
      <c r="C247" t="s">
        <v>635</v>
      </c>
      <c r="D247">
        <v>2630000</v>
      </c>
      <c r="E247" t="s">
        <v>356</v>
      </c>
      <c r="F247" s="21" t="str">
        <f t="shared" si="8"/>
        <v>rtdc.l.rtdc.4038:itc</v>
      </c>
      <c r="G247" s="8">
        <f t="shared" si="9"/>
        <v>42696.984097222223</v>
      </c>
    </row>
    <row r="248" spans="1:7" x14ac:dyDescent="0.25">
      <c r="A248" s="8">
        <v>42696.992303240739</v>
      </c>
      <c r="B248" t="s">
        <v>226</v>
      </c>
      <c r="C248" t="s">
        <v>636</v>
      </c>
      <c r="D248">
        <v>2600000</v>
      </c>
      <c r="E248" t="s">
        <v>355</v>
      </c>
      <c r="F248" s="21" t="str">
        <f t="shared" si="8"/>
        <v>rtdc.l.rtdc.4012:itc</v>
      </c>
      <c r="G248" s="8">
        <f t="shared" si="9"/>
        <v>42696.992303240739</v>
      </c>
    </row>
    <row r="249" spans="1:7" x14ac:dyDescent="0.25">
      <c r="A249" s="8">
        <v>42697.008379629631</v>
      </c>
      <c r="B249" t="s">
        <v>230</v>
      </c>
      <c r="C249" t="s">
        <v>637</v>
      </c>
      <c r="D249">
        <v>2460000</v>
      </c>
      <c r="E249" t="s">
        <v>590</v>
      </c>
      <c r="F249" s="21" t="str">
        <f t="shared" si="8"/>
        <v>rtdc.l.rtdc.4002:itc</v>
      </c>
      <c r="G249" s="8">
        <f t="shared" si="9"/>
        <v>42697.008379629631</v>
      </c>
    </row>
    <row r="250" spans="1:7" x14ac:dyDescent="0.25">
      <c r="A250" s="8">
        <v>42697.014270833337</v>
      </c>
      <c r="B250" t="s">
        <v>286</v>
      </c>
      <c r="C250" t="s">
        <v>638</v>
      </c>
      <c r="D250">
        <v>1290000</v>
      </c>
      <c r="E250" t="s">
        <v>326</v>
      </c>
      <c r="F250" s="21" t="str">
        <f t="shared" si="8"/>
        <v>rtdc.l.rtdc.4032:itc</v>
      </c>
      <c r="G250" s="8">
        <f t="shared" si="9"/>
        <v>42697.014270833337</v>
      </c>
    </row>
    <row r="251" spans="1:7" x14ac:dyDescent="0.25">
      <c r="A251" s="8">
        <v>42697.026296296295</v>
      </c>
      <c r="B251" t="s">
        <v>241</v>
      </c>
      <c r="C251" t="s">
        <v>639</v>
      </c>
      <c r="D251">
        <v>2630000</v>
      </c>
      <c r="E251" t="s">
        <v>356</v>
      </c>
      <c r="F251" s="21" t="str">
        <f t="shared" si="8"/>
        <v>rtdc.l.rtdc.4037:itc</v>
      </c>
      <c r="G251" s="8">
        <f t="shared" si="9"/>
        <v>42697.026296296295</v>
      </c>
    </row>
    <row r="252" spans="1:7" x14ac:dyDescent="0.25">
      <c r="A252" s="8">
        <v>42697.028425925928</v>
      </c>
      <c r="B252" t="s">
        <v>215</v>
      </c>
      <c r="C252" t="s">
        <v>640</v>
      </c>
      <c r="D252">
        <v>2600000</v>
      </c>
      <c r="E252" t="s">
        <v>355</v>
      </c>
      <c r="F252" s="21" t="str">
        <f t="shared" si="8"/>
        <v>rtdc.l.rtdc.4011:itc</v>
      </c>
      <c r="G252" s="8">
        <f t="shared" si="9"/>
        <v>42697.028425925928</v>
      </c>
    </row>
    <row r="253" spans="1:7" x14ac:dyDescent="0.25">
      <c r="A253" s="8">
        <v>42697.029756944445</v>
      </c>
      <c r="B253" t="s">
        <v>215</v>
      </c>
      <c r="C253" t="s">
        <v>640</v>
      </c>
      <c r="D253">
        <v>2600000</v>
      </c>
      <c r="E253" t="s">
        <v>355</v>
      </c>
      <c r="F253" s="21" t="str">
        <f t="shared" si="8"/>
        <v>rtdc.l.rtdc.4011:itc</v>
      </c>
      <c r="G253" s="8">
        <f t="shared" si="9"/>
        <v>42697.029756944445</v>
      </c>
    </row>
    <row r="254" spans="1:7" x14ac:dyDescent="0.25">
      <c r="A254" s="8">
        <v>42697.040902777779</v>
      </c>
      <c r="B254" t="s">
        <v>230</v>
      </c>
      <c r="C254" t="s">
        <v>637</v>
      </c>
      <c r="D254">
        <v>2460000</v>
      </c>
      <c r="E254" t="s">
        <v>590</v>
      </c>
      <c r="F254" s="21" t="str">
        <f t="shared" si="8"/>
        <v>rtdc.l.rtdc.4002:itc</v>
      </c>
      <c r="G254" s="8">
        <f t="shared" si="9"/>
        <v>42697.040902777779</v>
      </c>
    </row>
    <row r="255" spans="1:7" x14ac:dyDescent="0.25">
      <c r="A255" s="8">
        <v>42697.045983796299</v>
      </c>
      <c r="B255" t="s">
        <v>285</v>
      </c>
      <c r="C255" t="s">
        <v>641</v>
      </c>
      <c r="D255">
        <v>1290000</v>
      </c>
      <c r="E255" t="s">
        <v>326</v>
      </c>
      <c r="F255" s="21" t="str">
        <f t="shared" si="8"/>
        <v>rtdc.l.rtdc.4031:itc</v>
      </c>
      <c r="G255" s="8">
        <f t="shared" si="9"/>
        <v>42697.045983796299</v>
      </c>
    </row>
    <row r="256" spans="1:7" x14ac:dyDescent="0.25">
      <c r="A256" s="8">
        <v>42697.051481481481</v>
      </c>
      <c r="B256" t="s">
        <v>229</v>
      </c>
      <c r="C256" t="s">
        <v>642</v>
      </c>
      <c r="D256">
        <v>2460000</v>
      </c>
      <c r="E256" t="s">
        <v>590</v>
      </c>
      <c r="F256" s="21" t="str">
        <f t="shared" si="8"/>
        <v>rtdc.l.rtdc.4001:itc</v>
      </c>
      <c r="G256" s="8">
        <f t="shared" si="9"/>
        <v>42697.051481481481</v>
      </c>
    </row>
    <row r="257" spans="1:7" x14ac:dyDescent="0.25">
      <c r="A257" s="8">
        <v>42697.068391203706</v>
      </c>
      <c r="B257" t="s">
        <v>239</v>
      </c>
      <c r="C257" t="s">
        <v>643</v>
      </c>
      <c r="D257">
        <v>2630000</v>
      </c>
      <c r="E257" t="s">
        <v>356</v>
      </c>
      <c r="F257" s="21" t="str">
        <f t="shared" si="8"/>
        <v>rtdc.l.rtdc.4038:itc</v>
      </c>
      <c r="G257" s="8">
        <f t="shared" si="9"/>
        <v>42697.068391203706</v>
      </c>
    </row>
    <row r="258" spans="1:7" x14ac:dyDescent="0.25">
      <c r="A258" s="8">
        <v>42697.090381944443</v>
      </c>
      <c r="B258" t="s">
        <v>230</v>
      </c>
      <c r="C258" t="s">
        <v>644</v>
      </c>
      <c r="D258">
        <v>2460000</v>
      </c>
      <c r="E258" t="s">
        <v>590</v>
      </c>
      <c r="F258" s="21" t="str">
        <f t="shared" si="8"/>
        <v>rtdc.l.rtdc.4002:itc</v>
      </c>
      <c r="G258" s="8">
        <f t="shared" si="9"/>
        <v>42697.090381944443</v>
      </c>
    </row>
    <row r="259" spans="1:7" x14ac:dyDescent="0.25">
      <c r="A259" s="8">
        <v>42684.972418981481</v>
      </c>
      <c r="B259" t="s">
        <v>226</v>
      </c>
      <c r="C259" t="s">
        <v>240</v>
      </c>
      <c r="D259">
        <v>2000000</v>
      </c>
      <c r="E259" t="s">
        <v>225</v>
      </c>
      <c r="F259" s="21" t="str">
        <f t="shared" si="8"/>
        <v>rtdc.l.rtdc.4012:itc</v>
      </c>
      <c r="G259" s="8">
        <f t="shared" si="9"/>
        <v>42684.972418981481</v>
      </c>
    </row>
    <row r="260" spans="1:7" x14ac:dyDescent="0.25">
      <c r="A260" s="8">
        <v>42684.992002314815</v>
      </c>
      <c r="B260" t="s">
        <v>237</v>
      </c>
      <c r="C260" t="s">
        <v>242</v>
      </c>
      <c r="D260">
        <v>2550000</v>
      </c>
      <c r="E260" t="s">
        <v>231</v>
      </c>
      <c r="F260" s="21" t="str">
        <f t="shared" si="8"/>
        <v>rtdc.l.rtdc.4021:itc</v>
      </c>
      <c r="G260" s="8">
        <f t="shared" si="9"/>
        <v>42684.992002314815</v>
      </c>
    </row>
    <row r="261" spans="1:7" x14ac:dyDescent="0.25">
      <c r="A261" s="8">
        <v>42684.995717592596</v>
      </c>
      <c r="B261" t="s">
        <v>239</v>
      </c>
      <c r="C261" t="s">
        <v>243</v>
      </c>
      <c r="D261">
        <v>1300000</v>
      </c>
      <c r="E261" t="s">
        <v>113</v>
      </c>
      <c r="F261" s="21" t="str">
        <f t="shared" si="8"/>
        <v>rtdc.l.rtdc.4038:itc</v>
      </c>
      <c r="G261" s="8">
        <f t="shared" si="9"/>
        <v>42684.995717592596</v>
      </c>
    </row>
    <row r="262" spans="1:7" x14ac:dyDescent="0.25">
      <c r="A262" s="8">
        <v>42685.011921296296</v>
      </c>
      <c r="B262" t="s">
        <v>229</v>
      </c>
      <c r="C262" t="s">
        <v>244</v>
      </c>
      <c r="D262">
        <v>2420000</v>
      </c>
      <c r="E262" t="s">
        <v>238</v>
      </c>
      <c r="F262" s="21" t="str">
        <f t="shared" si="8"/>
        <v>rtdc.l.rtdc.4001:itc</v>
      </c>
      <c r="G262" s="8">
        <f t="shared" si="9"/>
        <v>42685.011921296296</v>
      </c>
    </row>
    <row r="263" spans="1:7" x14ac:dyDescent="0.25">
      <c r="A263" s="8">
        <v>42685.016226851854</v>
      </c>
      <c r="B263" t="s">
        <v>215</v>
      </c>
      <c r="C263" t="s">
        <v>245</v>
      </c>
      <c r="D263">
        <v>2000000</v>
      </c>
      <c r="E263" t="s">
        <v>225</v>
      </c>
      <c r="F263" s="21" t="str">
        <f t="shared" si="8"/>
        <v>rtdc.l.rtdc.4011:itc</v>
      </c>
      <c r="G263" s="8">
        <f t="shared" si="9"/>
        <v>42685.016226851854</v>
      </c>
    </row>
    <row r="264" spans="1:7" x14ac:dyDescent="0.25">
      <c r="A264" s="8">
        <v>42685.029282407406</v>
      </c>
      <c r="B264" t="s">
        <v>236</v>
      </c>
      <c r="C264" t="s">
        <v>246</v>
      </c>
      <c r="D264">
        <v>2550000</v>
      </c>
      <c r="E264" t="s">
        <v>231</v>
      </c>
      <c r="F264" s="21" t="str">
        <f t="shared" si="8"/>
        <v>rtdc.l.rtdc.4022:itc</v>
      </c>
      <c r="G264" s="8">
        <f t="shared" si="9"/>
        <v>42685.029282407406</v>
      </c>
    </row>
    <row r="265" spans="1:7" x14ac:dyDescent="0.25">
      <c r="A265" s="8">
        <v>42685.039282407408</v>
      </c>
      <c r="B265" t="s">
        <v>241</v>
      </c>
      <c r="C265" t="s">
        <v>247</v>
      </c>
      <c r="D265">
        <v>1300000</v>
      </c>
      <c r="E265" t="s">
        <v>113</v>
      </c>
      <c r="F265" s="21" t="str">
        <f t="shared" si="8"/>
        <v>rtdc.l.rtdc.4037:itc</v>
      </c>
      <c r="G265" s="8">
        <f t="shared" si="9"/>
        <v>42685.039282407408</v>
      </c>
    </row>
    <row r="266" spans="1:7" x14ac:dyDescent="0.25">
      <c r="A266" s="8">
        <v>42685.049375000002</v>
      </c>
      <c r="B266" t="s">
        <v>230</v>
      </c>
      <c r="C266" t="s">
        <v>248</v>
      </c>
      <c r="D266">
        <v>2420000</v>
      </c>
      <c r="E266" t="s">
        <v>238</v>
      </c>
      <c r="F266" s="21" t="str">
        <f t="shared" ref="F266:F281" si="10">B266</f>
        <v>rtdc.l.rtdc.4002:itc</v>
      </c>
      <c r="G266" s="8">
        <f t="shared" ref="G266:G281" si="11">A266</f>
        <v>42685.049375000002</v>
      </c>
    </row>
    <row r="267" spans="1:7" x14ac:dyDescent="0.25">
      <c r="A267" s="8">
        <v>42685.056481481479</v>
      </c>
      <c r="B267" t="s">
        <v>226</v>
      </c>
      <c r="C267" t="s">
        <v>249</v>
      </c>
      <c r="D267">
        <v>2000000</v>
      </c>
      <c r="E267" t="s">
        <v>225</v>
      </c>
      <c r="F267" s="21" t="str">
        <f t="shared" si="10"/>
        <v>rtdc.l.rtdc.4012:itc</v>
      </c>
      <c r="G267" s="8">
        <f t="shared" si="11"/>
        <v>42685.056481481479</v>
      </c>
    </row>
    <row r="268" spans="1:7" x14ac:dyDescent="0.25">
      <c r="A268" s="8">
        <v>42685.071712962963</v>
      </c>
      <c r="B268" t="s">
        <v>239</v>
      </c>
      <c r="C268" t="s">
        <v>250</v>
      </c>
      <c r="D268">
        <v>1300000</v>
      </c>
      <c r="E268" t="s">
        <v>113</v>
      </c>
      <c r="F268" s="21" t="str">
        <f t="shared" si="10"/>
        <v>rtdc.l.rtdc.4038:itc</v>
      </c>
      <c r="G268" s="8">
        <f t="shared" si="11"/>
        <v>42685.071712962963</v>
      </c>
    </row>
    <row r="269" spans="1:7" x14ac:dyDescent="0.25">
      <c r="A269" s="8">
        <v>42650.082824074074</v>
      </c>
      <c r="B269" t="s">
        <v>156</v>
      </c>
      <c r="C269" t="s">
        <v>189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186</v>
      </c>
      <c r="C270" t="s">
        <v>190</v>
      </c>
      <c r="D270">
        <v>1480000</v>
      </c>
      <c r="E270" t="s">
        <v>184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189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189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189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/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167</v>
      </c>
      <c r="B1" s="164" t="s">
        <v>170</v>
      </c>
      <c r="C1" s="164" t="s">
        <v>163</v>
      </c>
      <c r="D1" s="159" t="s">
        <v>176</v>
      </c>
      <c r="E1" s="164" t="s">
        <v>164</v>
      </c>
      <c r="F1" s="164" t="s">
        <v>162</v>
      </c>
      <c r="G1" s="164" t="s">
        <v>160</v>
      </c>
      <c r="H1" s="164" t="s">
        <v>173</v>
      </c>
      <c r="I1" s="164" t="s">
        <v>174</v>
      </c>
      <c r="J1" s="164" t="s">
        <v>361</v>
      </c>
      <c r="K1" s="164" t="s">
        <v>168</v>
      </c>
      <c r="L1" s="164" t="s">
        <v>166</v>
      </c>
      <c r="M1" s="164" t="s">
        <v>161</v>
      </c>
      <c r="N1" s="164" t="s">
        <v>171</v>
      </c>
      <c r="O1" s="164" t="s">
        <v>165</v>
      </c>
      <c r="P1" s="164" t="s">
        <v>172</v>
      </c>
      <c r="Q1" s="164" t="s">
        <v>169</v>
      </c>
      <c r="R1"/>
    </row>
    <row r="2" spans="1:18" x14ac:dyDescent="0.25">
      <c r="A2" s="165">
        <v>42.8</v>
      </c>
      <c r="B2" s="165">
        <v>0.57999999999999996</v>
      </c>
      <c r="C2" s="165">
        <v>33.659999999999997</v>
      </c>
      <c r="D2" s="8">
        <v>42696</v>
      </c>
      <c r="E2" s="165">
        <v>0.65</v>
      </c>
      <c r="F2" s="165" t="s">
        <v>273</v>
      </c>
      <c r="G2" s="165">
        <v>252.8</v>
      </c>
      <c r="H2" s="165">
        <v>3.5000000000000001E-3</v>
      </c>
      <c r="I2" s="165">
        <v>0.13</v>
      </c>
      <c r="J2" s="165" t="s">
        <v>362</v>
      </c>
      <c r="K2" s="165">
        <v>1003.51</v>
      </c>
      <c r="L2" s="165" t="s">
        <v>220</v>
      </c>
      <c r="M2" s="165">
        <v>44.64</v>
      </c>
      <c r="N2" s="165">
        <v>1479798000</v>
      </c>
      <c r="O2" s="165">
        <v>5.57</v>
      </c>
      <c r="P2" s="165">
        <v>349</v>
      </c>
      <c r="Q2" s="165">
        <v>3.85</v>
      </c>
      <c r="R2"/>
    </row>
    <row r="3" spans="1:18" x14ac:dyDescent="0.25">
      <c r="A3" s="165">
        <v>41.93</v>
      </c>
      <c r="B3" s="165">
        <v>0.46</v>
      </c>
      <c r="C3" s="165">
        <v>33.799999999999997</v>
      </c>
      <c r="D3" s="8">
        <v>42696.041666666664</v>
      </c>
      <c r="E3" s="165">
        <v>0.67</v>
      </c>
      <c r="F3" s="165" t="s">
        <v>273</v>
      </c>
      <c r="G3" s="165">
        <v>252.9</v>
      </c>
      <c r="H3" s="165">
        <v>3.0999999999999999E-3</v>
      </c>
      <c r="I3" s="165">
        <v>0.11</v>
      </c>
      <c r="J3" s="165" t="s">
        <v>362</v>
      </c>
      <c r="K3" s="165">
        <v>1004.05</v>
      </c>
      <c r="L3" s="165" t="s">
        <v>220</v>
      </c>
      <c r="M3" s="165">
        <v>44</v>
      </c>
      <c r="N3" s="165">
        <v>1479801600</v>
      </c>
      <c r="O3" s="165">
        <v>5.17</v>
      </c>
      <c r="P3" s="165">
        <v>359</v>
      </c>
      <c r="Q3" s="165">
        <v>4.01</v>
      </c>
      <c r="R3"/>
    </row>
    <row r="4" spans="1:18" x14ac:dyDescent="0.25">
      <c r="A4" s="165">
        <v>41.73</v>
      </c>
      <c r="B4" s="165">
        <v>0.37</v>
      </c>
      <c r="C4" s="165">
        <v>33.46</v>
      </c>
      <c r="D4" s="8">
        <v>42696.083333333336</v>
      </c>
      <c r="E4" s="165">
        <v>0.68</v>
      </c>
      <c r="F4" s="165" t="s">
        <v>273</v>
      </c>
      <c r="G4" s="165">
        <v>253.01</v>
      </c>
      <c r="H4" s="165">
        <v>2.8E-3</v>
      </c>
      <c r="I4" s="165">
        <v>0.09</v>
      </c>
      <c r="J4" s="165" t="s">
        <v>362</v>
      </c>
      <c r="K4" s="165">
        <v>1004.27</v>
      </c>
      <c r="L4" s="165" t="s">
        <v>220</v>
      </c>
      <c r="M4" s="165">
        <v>43.19</v>
      </c>
      <c r="N4" s="165">
        <v>1479805200</v>
      </c>
      <c r="O4" s="165">
        <v>4.24</v>
      </c>
      <c r="P4" s="165">
        <v>3</v>
      </c>
      <c r="Q4" s="165">
        <v>3.23</v>
      </c>
      <c r="R4"/>
    </row>
    <row r="5" spans="1:18" x14ac:dyDescent="0.25">
      <c r="A5" s="165">
        <v>41.02</v>
      </c>
      <c r="B5" s="165">
        <v>0.44</v>
      </c>
      <c r="C5" s="165">
        <v>34.29</v>
      </c>
      <c r="D5" s="8">
        <v>42696.125</v>
      </c>
      <c r="E5" s="165">
        <v>0.7</v>
      </c>
      <c r="F5" s="165" t="s">
        <v>362</v>
      </c>
      <c r="G5" s="165">
        <v>253.57</v>
      </c>
      <c r="H5" s="165">
        <v>1.0200000000000001E-2</v>
      </c>
      <c r="I5" s="165">
        <v>0.53</v>
      </c>
      <c r="J5" s="165" t="s">
        <v>362</v>
      </c>
      <c r="K5" s="165">
        <v>1005.11</v>
      </c>
      <c r="L5" s="165" t="s">
        <v>645</v>
      </c>
      <c r="M5" s="165">
        <v>43.27</v>
      </c>
      <c r="N5" s="165">
        <v>1479808800</v>
      </c>
      <c r="O5" s="165">
        <v>3.68</v>
      </c>
      <c r="P5" s="165">
        <v>4</v>
      </c>
      <c r="Q5" s="165">
        <v>4.09</v>
      </c>
      <c r="R5"/>
    </row>
    <row r="6" spans="1:18" x14ac:dyDescent="0.25">
      <c r="A6" s="165">
        <v>39.6</v>
      </c>
      <c r="B6" s="165">
        <v>0.61</v>
      </c>
      <c r="C6" s="165">
        <v>36.31</v>
      </c>
      <c r="D6" s="8">
        <v>42696.166666666664</v>
      </c>
      <c r="E6" s="165">
        <v>0.78</v>
      </c>
      <c r="F6" s="165" t="s">
        <v>362</v>
      </c>
      <c r="G6" s="165">
        <v>254.28</v>
      </c>
      <c r="H6" s="165">
        <v>2.0500000000000001E-2</v>
      </c>
      <c r="I6" s="165">
        <v>0.63</v>
      </c>
      <c r="J6" s="165" t="s">
        <v>362</v>
      </c>
      <c r="K6" s="165">
        <v>1006.24</v>
      </c>
      <c r="L6" s="165" t="s">
        <v>645</v>
      </c>
      <c r="M6" s="165">
        <v>42.56</v>
      </c>
      <c r="N6" s="165">
        <v>1479812400</v>
      </c>
      <c r="O6" s="165">
        <v>3.9</v>
      </c>
      <c r="P6" s="165">
        <v>1</v>
      </c>
      <c r="Q6" s="165">
        <v>4.84</v>
      </c>
      <c r="R6"/>
    </row>
    <row r="7" spans="1:18" x14ac:dyDescent="0.25">
      <c r="A7" s="165">
        <v>39.69</v>
      </c>
      <c r="B7" s="165">
        <v>0.69</v>
      </c>
      <c r="C7" s="165">
        <v>38.770000000000003</v>
      </c>
      <c r="D7" s="8">
        <v>42696.208333333336</v>
      </c>
      <c r="E7" s="165">
        <v>0.89</v>
      </c>
      <c r="F7" s="165" t="s">
        <v>362</v>
      </c>
      <c r="G7" s="165">
        <v>254.62</v>
      </c>
      <c r="H7" s="165">
        <v>2.8299999999999999E-2</v>
      </c>
      <c r="I7" s="165">
        <v>0.67</v>
      </c>
      <c r="J7" s="165" t="s">
        <v>362</v>
      </c>
      <c r="K7" s="165">
        <v>1007.5</v>
      </c>
      <c r="L7" s="165" t="s">
        <v>645</v>
      </c>
      <c r="M7" s="165">
        <v>41.75</v>
      </c>
      <c r="N7" s="165">
        <v>1479816000</v>
      </c>
      <c r="O7" s="165">
        <v>5.61</v>
      </c>
      <c r="P7" s="165">
        <v>359</v>
      </c>
      <c r="Q7" s="165">
        <v>3.62</v>
      </c>
      <c r="R7"/>
    </row>
    <row r="8" spans="1:18" x14ac:dyDescent="0.25">
      <c r="A8" s="165">
        <v>36.270000000000003</v>
      </c>
      <c r="B8" s="165">
        <v>0.63</v>
      </c>
      <c r="C8" s="165">
        <v>38.14</v>
      </c>
      <c r="D8" s="8">
        <v>42696.25</v>
      </c>
      <c r="E8" s="165">
        <v>0.92</v>
      </c>
      <c r="F8" s="165" t="s">
        <v>362</v>
      </c>
      <c r="G8" s="165">
        <v>254.16</v>
      </c>
      <c r="H8" s="165">
        <v>3.2099999999999997E-2</v>
      </c>
      <c r="I8" s="165">
        <v>0.69</v>
      </c>
      <c r="J8" s="165" t="s">
        <v>362</v>
      </c>
      <c r="K8" s="165">
        <v>1008.84</v>
      </c>
      <c r="L8" s="165" t="s">
        <v>645</v>
      </c>
      <c r="M8" s="165">
        <v>40.31</v>
      </c>
      <c r="N8" s="165">
        <v>1479819600</v>
      </c>
      <c r="O8" s="165">
        <v>3.74</v>
      </c>
      <c r="P8" s="165">
        <v>356</v>
      </c>
      <c r="Q8" s="165">
        <v>5.78</v>
      </c>
      <c r="R8"/>
    </row>
    <row r="9" spans="1:18" x14ac:dyDescent="0.25">
      <c r="A9" s="165">
        <v>32.74</v>
      </c>
      <c r="B9" s="165">
        <v>0.59</v>
      </c>
      <c r="C9" s="165">
        <v>35.93</v>
      </c>
      <c r="D9" s="8">
        <v>42696.291666666664</v>
      </c>
      <c r="E9" s="165">
        <v>0.91</v>
      </c>
      <c r="F9" s="165" t="s">
        <v>362</v>
      </c>
      <c r="G9" s="165">
        <v>253.33</v>
      </c>
      <c r="H9" s="165">
        <v>3.3599999999999998E-2</v>
      </c>
      <c r="I9" s="165">
        <v>0.7</v>
      </c>
      <c r="J9" s="165" t="s">
        <v>362</v>
      </c>
      <c r="K9" s="165">
        <v>1010.26</v>
      </c>
      <c r="L9" s="165" t="s">
        <v>645</v>
      </c>
      <c r="M9" s="165">
        <v>38.409999999999997</v>
      </c>
      <c r="N9" s="165">
        <v>1479823200</v>
      </c>
      <c r="O9" s="165">
        <v>3.11</v>
      </c>
      <c r="P9" s="165">
        <v>1</v>
      </c>
      <c r="Q9" s="165">
        <v>7.84</v>
      </c>
      <c r="R9"/>
    </row>
    <row r="10" spans="1:18" x14ac:dyDescent="0.25">
      <c r="A10" s="165">
        <v>31.21</v>
      </c>
      <c r="B10" s="165">
        <v>0.6</v>
      </c>
      <c r="C10" s="165">
        <v>33.630000000000003</v>
      </c>
      <c r="D10" s="8">
        <v>42696.333333333336</v>
      </c>
      <c r="E10" s="165">
        <v>0.89</v>
      </c>
      <c r="F10" s="165" t="s">
        <v>362</v>
      </c>
      <c r="G10" s="165">
        <v>252.92</v>
      </c>
      <c r="H10" s="165">
        <v>3.1899999999999998E-2</v>
      </c>
      <c r="I10" s="165">
        <v>0.69</v>
      </c>
      <c r="J10" s="165" t="s">
        <v>362</v>
      </c>
      <c r="K10" s="165">
        <v>1011.7</v>
      </c>
      <c r="L10" s="165" t="s">
        <v>645</v>
      </c>
      <c r="M10" s="165">
        <v>36.65</v>
      </c>
      <c r="N10" s="165">
        <v>1479826800</v>
      </c>
      <c r="O10" s="165">
        <v>10</v>
      </c>
      <c r="P10" s="165">
        <v>358</v>
      </c>
      <c r="Q10" s="165">
        <v>6.83</v>
      </c>
      <c r="R10"/>
    </row>
    <row r="11" spans="1:18" x14ac:dyDescent="0.25">
      <c r="A11" s="165">
        <v>30.14</v>
      </c>
      <c r="B11" s="165">
        <v>0.65</v>
      </c>
      <c r="C11" s="165">
        <v>33.68</v>
      </c>
      <c r="D11" s="8">
        <v>42696.375</v>
      </c>
      <c r="E11" s="165">
        <v>0.92</v>
      </c>
      <c r="F11" s="165" t="s">
        <v>362</v>
      </c>
      <c r="G11" s="165">
        <v>253.45</v>
      </c>
      <c r="H11" s="165">
        <v>2.52E-2</v>
      </c>
      <c r="I11" s="165">
        <v>0.66</v>
      </c>
      <c r="J11" s="165" t="s">
        <v>362</v>
      </c>
      <c r="K11" s="165">
        <v>1013.26</v>
      </c>
      <c r="L11" s="165" t="s">
        <v>645</v>
      </c>
      <c r="M11" s="165">
        <v>35.86</v>
      </c>
      <c r="N11" s="165">
        <v>1479830400</v>
      </c>
      <c r="O11" s="165">
        <v>2.74</v>
      </c>
      <c r="P11" s="165">
        <v>2</v>
      </c>
      <c r="Q11" s="165">
        <v>7.01</v>
      </c>
      <c r="R11"/>
    </row>
    <row r="12" spans="1:18" x14ac:dyDescent="0.25">
      <c r="A12" s="165">
        <v>32.35</v>
      </c>
      <c r="B12" s="165">
        <v>0.79</v>
      </c>
      <c r="C12" s="165">
        <v>34.880000000000003</v>
      </c>
      <c r="D12" s="8">
        <v>42696.416666666664</v>
      </c>
      <c r="E12" s="165">
        <v>0.92</v>
      </c>
      <c r="F12" s="165" t="s">
        <v>362</v>
      </c>
      <c r="G12" s="165">
        <v>254.4</v>
      </c>
      <c r="H12" s="165">
        <v>1.54E-2</v>
      </c>
      <c r="I12" s="165">
        <v>0.59</v>
      </c>
      <c r="J12" s="165" t="s">
        <v>362</v>
      </c>
      <c r="K12" s="165">
        <v>1014.82</v>
      </c>
      <c r="L12" s="165" t="s">
        <v>645</v>
      </c>
      <c r="M12" s="165">
        <v>37.020000000000003</v>
      </c>
      <c r="N12" s="165">
        <v>1479834000</v>
      </c>
      <c r="O12" s="165">
        <v>2.69</v>
      </c>
      <c r="P12" s="165">
        <v>6</v>
      </c>
      <c r="Q12" s="165">
        <v>5.8</v>
      </c>
      <c r="R12"/>
    </row>
    <row r="13" spans="1:18" x14ac:dyDescent="0.25">
      <c r="A13" s="165">
        <v>33.799999999999997</v>
      </c>
      <c r="B13" s="165">
        <v>0.86</v>
      </c>
      <c r="C13" s="165">
        <v>34.94</v>
      </c>
      <c r="D13" s="8">
        <v>42696.458333333336</v>
      </c>
      <c r="E13" s="165">
        <v>0.86</v>
      </c>
      <c r="F13" s="165" t="s">
        <v>362</v>
      </c>
      <c r="G13" s="165">
        <v>255.01</v>
      </c>
      <c r="H13" s="165">
        <v>7.6E-3</v>
      </c>
      <c r="I13" s="165">
        <v>0.4</v>
      </c>
      <c r="J13" s="165" t="s">
        <v>362</v>
      </c>
      <c r="K13" s="165">
        <v>1015.88</v>
      </c>
      <c r="L13" s="165" t="s">
        <v>363</v>
      </c>
      <c r="M13" s="165">
        <v>38.799999999999997</v>
      </c>
      <c r="N13" s="165">
        <v>1479837600</v>
      </c>
      <c r="O13" s="165">
        <v>2.69</v>
      </c>
      <c r="P13" s="165">
        <v>13</v>
      </c>
      <c r="Q13" s="165">
        <v>6.81</v>
      </c>
      <c r="R13"/>
    </row>
    <row r="14" spans="1:18" x14ac:dyDescent="0.25">
      <c r="A14" s="165">
        <v>35.24</v>
      </c>
      <c r="B14" s="165">
        <v>0.79</v>
      </c>
      <c r="C14" s="165">
        <v>35.01</v>
      </c>
      <c r="D14" s="8">
        <v>42696.5</v>
      </c>
      <c r="E14" s="165">
        <v>0.81</v>
      </c>
      <c r="F14" s="165" t="s">
        <v>308</v>
      </c>
      <c r="G14" s="165">
        <v>254.82</v>
      </c>
      <c r="H14" s="165">
        <v>4.1000000000000003E-3</v>
      </c>
      <c r="I14" s="165">
        <v>0.16</v>
      </c>
      <c r="J14" s="165" t="s">
        <v>362</v>
      </c>
      <c r="K14" s="165">
        <v>1015.91</v>
      </c>
      <c r="L14" s="165" t="s">
        <v>309</v>
      </c>
      <c r="M14" s="165">
        <v>40.25</v>
      </c>
      <c r="N14" s="165">
        <v>1479841200</v>
      </c>
      <c r="O14" s="165">
        <v>2.7</v>
      </c>
      <c r="P14" s="165">
        <v>14</v>
      </c>
      <c r="Q14" s="165">
        <v>7.35</v>
      </c>
      <c r="R14"/>
    </row>
    <row r="15" spans="1:18" x14ac:dyDescent="0.25">
      <c r="A15" s="165">
        <v>37.1</v>
      </c>
      <c r="B15" s="165">
        <v>0.69</v>
      </c>
      <c r="C15" s="165">
        <v>35.130000000000003</v>
      </c>
      <c r="D15" s="8">
        <v>42696.541666666664</v>
      </c>
      <c r="E15" s="165">
        <v>0.77</v>
      </c>
      <c r="F15" s="165" t="s">
        <v>308</v>
      </c>
      <c r="G15" s="165">
        <v>254.28</v>
      </c>
      <c r="H15" s="165">
        <v>2.8999999999999998E-3</v>
      </c>
      <c r="I15" s="165">
        <v>0.09</v>
      </c>
      <c r="J15" s="165" t="s">
        <v>362</v>
      </c>
      <c r="K15" s="165">
        <v>1015.57</v>
      </c>
      <c r="L15" s="165" t="s">
        <v>309</v>
      </c>
      <c r="M15" s="165">
        <v>41.7</v>
      </c>
      <c r="N15" s="165">
        <v>1479844800</v>
      </c>
      <c r="O15" s="165">
        <v>2.71</v>
      </c>
      <c r="P15" s="165">
        <v>13</v>
      </c>
      <c r="Q15" s="165">
        <v>7.16</v>
      </c>
      <c r="R15"/>
    </row>
    <row r="16" spans="1:18" x14ac:dyDescent="0.25">
      <c r="A16" s="165">
        <v>39.049999999999997</v>
      </c>
      <c r="B16" s="165">
        <v>0.6</v>
      </c>
      <c r="C16" s="165">
        <v>34.53</v>
      </c>
      <c r="D16" s="8">
        <v>42696.583333333336</v>
      </c>
      <c r="E16" s="165">
        <v>0.74</v>
      </c>
      <c r="F16" s="165" t="s">
        <v>308</v>
      </c>
      <c r="G16" s="165">
        <v>254.01</v>
      </c>
      <c r="H16" s="165">
        <v>2E-3</v>
      </c>
      <c r="I16" s="165">
        <v>0.05</v>
      </c>
      <c r="J16" s="165" t="s">
        <v>362</v>
      </c>
      <c r="K16" s="165">
        <v>1015.65</v>
      </c>
      <c r="L16" s="165" t="s">
        <v>309</v>
      </c>
      <c r="M16" s="165">
        <v>42.29</v>
      </c>
      <c r="N16" s="165">
        <v>1479848400</v>
      </c>
      <c r="O16" s="165">
        <v>2.74</v>
      </c>
      <c r="P16" s="165">
        <v>11</v>
      </c>
      <c r="Q16" s="165">
        <v>5.14</v>
      </c>
      <c r="R16"/>
    </row>
    <row r="17" spans="1:18" x14ac:dyDescent="0.25">
      <c r="A17" s="165">
        <v>40.57</v>
      </c>
      <c r="B17" s="165">
        <v>0.59</v>
      </c>
      <c r="C17" s="165">
        <v>34.76</v>
      </c>
      <c r="D17" s="8">
        <v>42696.625</v>
      </c>
      <c r="E17" s="165">
        <v>0.7</v>
      </c>
      <c r="F17" s="165" t="s">
        <v>308</v>
      </c>
      <c r="G17" s="165">
        <v>254.37</v>
      </c>
      <c r="H17" s="165">
        <v>1.8E-3</v>
      </c>
      <c r="I17" s="165">
        <v>0.04</v>
      </c>
      <c r="J17" s="165" t="s">
        <v>362</v>
      </c>
      <c r="K17" s="165">
        <v>1016.59</v>
      </c>
      <c r="L17" s="165" t="s">
        <v>220</v>
      </c>
      <c r="M17" s="165">
        <v>43.83</v>
      </c>
      <c r="N17" s="165">
        <v>1479852000</v>
      </c>
      <c r="O17" s="165">
        <v>2.84</v>
      </c>
      <c r="P17" s="165">
        <v>14</v>
      </c>
      <c r="Q17" s="165">
        <v>5.61</v>
      </c>
      <c r="R17"/>
    </row>
    <row r="18" spans="1:18" x14ac:dyDescent="0.25">
      <c r="A18" s="165">
        <v>41.05</v>
      </c>
      <c r="B18" s="165">
        <v>0.59</v>
      </c>
      <c r="C18" s="165">
        <v>33.47</v>
      </c>
      <c r="D18" s="8">
        <v>42696.666666666664</v>
      </c>
      <c r="E18" s="165">
        <v>0.67</v>
      </c>
      <c r="F18" s="165" t="s">
        <v>308</v>
      </c>
      <c r="G18" s="165">
        <v>254.99</v>
      </c>
      <c r="H18" s="165">
        <v>8.9999999999999998E-4</v>
      </c>
      <c r="I18" s="165">
        <v>0.01</v>
      </c>
      <c r="J18" s="165" t="s">
        <v>362</v>
      </c>
      <c r="K18" s="165">
        <v>1017.93</v>
      </c>
      <c r="L18" s="165" t="s">
        <v>220</v>
      </c>
      <c r="M18" s="165">
        <v>43.78</v>
      </c>
      <c r="N18" s="165">
        <v>1479855600</v>
      </c>
      <c r="O18" s="165">
        <v>4.88</v>
      </c>
      <c r="P18" s="165">
        <v>11</v>
      </c>
      <c r="Q18" s="165">
        <v>4.8099999999999996</v>
      </c>
      <c r="R18"/>
    </row>
    <row r="19" spans="1:18" x14ac:dyDescent="0.25">
      <c r="A19" s="165">
        <v>39.450000000000003</v>
      </c>
      <c r="B19" s="165">
        <v>0.5</v>
      </c>
      <c r="C19" s="165">
        <v>32.409999999999997</v>
      </c>
      <c r="D19" s="8">
        <v>42696.708333333336</v>
      </c>
      <c r="E19" s="165">
        <v>0.7</v>
      </c>
      <c r="F19" s="165" t="s">
        <v>273</v>
      </c>
      <c r="G19" s="165">
        <v>255.47</v>
      </c>
      <c r="H19" s="165">
        <v>0</v>
      </c>
      <c r="I19" s="165">
        <v>0</v>
      </c>
      <c r="J19" s="165"/>
      <c r="K19" s="165">
        <v>1019.36</v>
      </c>
      <c r="L19" s="165" t="s">
        <v>220</v>
      </c>
      <c r="M19" s="165">
        <v>41.56</v>
      </c>
      <c r="N19" s="165">
        <v>1479859200</v>
      </c>
      <c r="O19" s="165">
        <v>9.49</v>
      </c>
      <c r="P19" s="165">
        <v>9</v>
      </c>
      <c r="Q19" s="165">
        <v>3.64</v>
      </c>
      <c r="R19"/>
    </row>
    <row r="20" spans="1:18" x14ac:dyDescent="0.25">
      <c r="A20" s="165">
        <v>40.11</v>
      </c>
      <c r="B20" s="165">
        <v>0.55000000000000004</v>
      </c>
      <c r="C20" s="165">
        <v>31.98</v>
      </c>
      <c r="D20" s="8">
        <v>42696.75</v>
      </c>
      <c r="E20" s="165">
        <v>0.72</v>
      </c>
      <c r="F20" s="165" t="s">
        <v>273</v>
      </c>
      <c r="G20" s="165">
        <v>255.67</v>
      </c>
      <c r="H20" s="165">
        <v>0</v>
      </c>
      <c r="I20" s="165">
        <v>0</v>
      </c>
      <c r="J20" s="165"/>
      <c r="K20" s="165">
        <v>1020.39</v>
      </c>
      <c r="L20" s="165" t="s">
        <v>220</v>
      </c>
      <c r="M20" s="165">
        <v>40.11</v>
      </c>
      <c r="N20" s="165">
        <v>1479862800</v>
      </c>
      <c r="O20" s="165">
        <v>5.57</v>
      </c>
      <c r="P20" s="165">
        <v>28</v>
      </c>
      <c r="Q20" s="165">
        <v>2.25</v>
      </c>
      <c r="R20"/>
    </row>
    <row r="21" spans="1:18" x14ac:dyDescent="0.25">
      <c r="A21" s="165">
        <v>39.04</v>
      </c>
      <c r="B21" s="165">
        <v>0.54</v>
      </c>
      <c r="C21" s="165">
        <v>30.44</v>
      </c>
      <c r="D21" s="8">
        <v>42696.791666666664</v>
      </c>
      <c r="E21" s="165">
        <v>0.71</v>
      </c>
      <c r="F21" s="165" t="s">
        <v>273</v>
      </c>
      <c r="G21" s="165">
        <v>255.73</v>
      </c>
      <c r="H21" s="165">
        <v>0</v>
      </c>
      <c r="I21" s="165">
        <v>0</v>
      </c>
      <c r="J21" s="165"/>
      <c r="K21" s="165">
        <v>1021.37</v>
      </c>
      <c r="L21" s="165" t="s">
        <v>220</v>
      </c>
      <c r="M21" s="165">
        <v>39.04</v>
      </c>
      <c r="N21" s="165">
        <v>1479866400</v>
      </c>
      <c r="O21" s="165">
        <v>6.56</v>
      </c>
      <c r="P21" s="165">
        <v>101</v>
      </c>
      <c r="Q21" s="165">
        <v>1.58</v>
      </c>
      <c r="R21"/>
    </row>
    <row r="22" spans="1:18" x14ac:dyDescent="0.25">
      <c r="A22" s="165">
        <v>37.64</v>
      </c>
      <c r="B22" s="165">
        <v>0.45</v>
      </c>
      <c r="C22" s="165">
        <v>29.59</v>
      </c>
      <c r="D22" s="8">
        <v>42696.833333333336</v>
      </c>
      <c r="E22" s="165">
        <v>0.72</v>
      </c>
      <c r="F22" s="165" t="s">
        <v>273</v>
      </c>
      <c r="G22" s="165">
        <v>255.66</v>
      </c>
      <c r="H22" s="165">
        <v>0</v>
      </c>
      <c r="I22" s="165">
        <v>0</v>
      </c>
      <c r="J22" s="165"/>
      <c r="K22" s="165">
        <v>1022.13</v>
      </c>
      <c r="L22" s="165" t="s">
        <v>220</v>
      </c>
      <c r="M22" s="165">
        <v>37.64</v>
      </c>
      <c r="N22" s="165">
        <v>1479870000</v>
      </c>
      <c r="O22" s="165">
        <v>7.65</v>
      </c>
      <c r="P22" s="165">
        <v>145</v>
      </c>
      <c r="Q22" s="165">
        <v>0.89</v>
      </c>
      <c r="R22"/>
    </row>
    <row r="23" spans="1:18" x14ac:dyDescent="0.25">
      <c r="A23" s="165">
        <v>37.06</v>
      </c>
      <c r="B23" s="165">
        <v>0.5</v>
      </c>
      <c r="C23" s="165">
        <v>28.64</v>
      </c>
      <c r="D23" s="8">
        <v>42696.875</v>
      </c>
      <c r="E23" s="165">
        <v>0.71</v>
      </c>
      <c r="F23" s="165" t="s">
        <v>273</v>
      </c>
      <c r="G23" s="165">
        <v>255.57</v>
      </c>
      <c r="H23" s="165">
        <v>0</v>
      </c>
      <c r="I23" s="165">
        <v>0</v>
      </c>
      <c r="J23" s="165"/>
      <c r="K23" s="165">
        <v>1022.53</v>
      </c>
      <c r="L23" s="165" t="s">
        <v>220</v>
      </c>
      <c r="M23" s="165">
        <v>37.06</v>
      </c>
      <c r="N23" s="165">
        <v>1479873600</v>
      </c>
      <c r="O23" s="165">
        <v>6.15</v>
      </c>
      <c r="P23" s="165">
        <v>166</v>
      </c>
      <c r="Q23" s="165">
        <v>1.82</v>
      </c>
      <c r="R23"/>
    </row>
    <row r="24" spans="1:18" x14ac:dyDescent="0.25">
      <c r="A24" s="165">
        <v>33.270000000000003</v>
      </c>
      <c r="B24" s="165">
        <v>0.4</v>
      </c>
      <c r="C24" s="165">
        <v>28.03</v>
      </c>
      <c r="D24" s="8">
        <v>42696.916666666664</v>
      </c>
      <c r="E24" s="165">
        <v>0.74</v>
      </c>
      <c r="F24" s="165" t="s">
        <v>273</v>
      </c>
      <c r="G24" s="165">
        <v>255.35</v>
      </c>
      <c r="H24" s="165">
        <v>0</v>
      </c>
      <c r="I24" s="165">
        <v>0</v>
      </c>
      <c r="J24" s="165"/>
      <c r="K24" s="165">
        <v>1022.68</v>
      </c>
      <c r="L24" s="165" t="s">
        <v>220</v>
      </c>
      <c r="M24" s="165">
        <v>35.51</v>
      </c>
      <c r="N24" s="165">
        <v>1479877200</v>
      </c>
      <c r="O24" s="165">
        <v>5.81</v>
      </c>
      <c r="P24" s="165">
        <v>180</v>
      </c>
      <c r="Q24" s="165">
        <v>3.01</v>
      </c>
      <c r="R24"/>
    </row>
    <row r="25" spans="1:18" x14ac:dyDescent="0.25">
      <c r="A25" s="165">
        <v>31.73</v>
      </c>
      <c r="B25" s="165">
        <v>0.23</v>
      </c>
      <c r="C25" s="165">
        <v>27.42</v>
      </c>
      <c r="D25" s="8">
        <v>42696.958333333336</v>
      </c>
      <c r="E25" s="165">
        <v>0.75</v>
      </c>
      <c r="F25" s="165" t="s">
        <v>646</v>
      </c>
      <c r="G25" s="165">
        <v>254.77</v>
      </c>
      <c r="H25" s="165">
        <v>0</v>
      </c>
      <c r="I25" s="165">
        <v>0</v>
      </c>
      <c r="J25" s="165"/>
      <c r="K25" s="165">
        <v>1022.9</v>
      </c>
      <c r="L25" s="165" t="s">
        <v>647</v>
      </c>
      <c r="M25" s="165">
        <v>34.380000000000003</v>
      </c>
      <c r="N25" s="165">
        <v>1479880800</v>
      </c>
      <c r="O25" s="165">
        <v>4.8099999999999996</v>
      </c>
      <c r="P25" s="165">
        <v>178</v>
      </c>
      <c r="Q25" s="165">
        <v>3.22</v>
      </c>
      <c r="R25"/>
    </row>
    <row r="26" spans="1:18" x14ac:dyDescent="0.25">
      <c r="A26" s="165">
        <v>31.51</v>
      </c>
      <c r="B26" s="165">
        <v>0.15</v>
      </c>
      <c r="C26" s="165">
        <v>27.6</v>
      </c>
      <c r="D26" s="8">
        <v>42697</v>
      </c>
      <c r="E26" s="165">
        <v>0.77</v>
      </c>
      <c r="F26" s="165" t="s">
        <v>646</v>
      </c>
      <c r="G26" s="165">
        <v>253.35</v>
      </c>
      <c r="H26" s="165">
        <v>0</v>
      </c>
      <c r="I26" s="165">
        <v>0</v>
      </c>
      <c r="J26" s="165"/>
      <c r="K26" s="165">
        <v>1023.4</v>
      </c>
      <c r="L26" s="165" t="s">
        <v>647</v>
      </c>
      <c r="M26" s="165">
        <v>33.979999999999997</v>
      </c>
      <c r="N26" s="165">
        <v>1479884400</v>
      </c>
      <c r="O26" s="165">
        <v>4.29</v>
      </c>
      <c r="P26" s="165">
        <v>174</v>
      </c>
      <c r="Q26" s="165">
        <v>3.03</v>
      </c>
      <c r="R26"/>
    </row>
    <row r="27" spans="1:18" x14ac:dyDescent="0.25">
      <c r="A27" s="165">
        <v>32.700000000000003</v>
      </c>
      <c r="B27" s="165">
        <v>0.08</v>
      </c>
      <c r="C27" s="165">
        <v>27.26</v>
      </c>
      <c r="D27" s="8">
        <v>42697.041666666664</v>
      </c>
      <c r="E27" s="165">
        <v>0.8</v>
      </c>
      <c r="F27" s="165" t="s">
        <v>646</v>
      </c>
      <c r="G27" s="165">
        <v>251.94</v>
      </c>
      <c r="H27" s="165">
        <v>0</v>
      </c>
      <c r="I27" s="165">
        <v>0</v>
      </c>
      <c r="J27" s="165"/>
      <c r="K27" s="165">
        <v>1023.9</v>
      </c>
      <c r="L27" s="165" t="s">
        <v>647</v>
      </c>
      <c r="M27" s="165">
        <v>32.700000000000003</v>
      </c>
      <c r="N27" s="165">
        <v>1479888000</v>
      </c>
      <c r="O27" s="165">
        <v>4.1100000000000003</v>
      </c>
      <c r="P27" s="165">
        <v>165</v>
      </c>
      <c r="Q27" s="165">
        <v>2.91</v>
      </c>
      <c r="R27"/>
    </row>
    <row r="28" spans="1:18" x14ac:dyDescent="0.25">
      <c r="A28" s="165">
        <v>31.88</v>
      </c>
      <c r="B28" s="165">
        <v>0.15</v>
      </c>
      <c r="C28" s="165">
        <v>26.94</v>
      </c>
      <c r="D28" s="8">
        <v>42697.083333333336</v>
      </c>
      <c r="E28" s="165">
        <v>0.82</v>
      </c>
      <c r="F28" s="165" t="s">
        <v>646</v>
      </c>
      <c r="G28" s="165">
        <v>250.53</v>
      </c>
      <c r="H28" s="165">
        <v>0</v>
      </c>
      <c r="I28" s="165">
        <v>0</v>
      </c>
      <c r="J28" s="165"/>
      <c r="K28" s="165">
        <v>1024.3599999999999</v>
      </c>
      <c r="L28" s="165" t="s">
        <v>647</v>
      </c>
      <c r="M28" s="165">
        <v>31.88</v>
      </c>
      <c r="N28" s="165">
        <v>1479891600</v>
      </c>
      <c r="O28" s="165">
        <v>3.54</v>
      </c>
      <c r="P28" s="165">
        <v>183</v>
      </c>
      <c r="Q28" s="165">
        <v>2.66</v>
      </c>
      <c r="R28"/>
    </row>
    <row r="29" spans="1:18" x14ac:dyDescent="0.25">
      <c r="A29" s="165">
        <v>28.15</v>
      </c>
      <c r="B29" s="165">
        <v>0.16</v>
      </c>
      <c r="C29" s="165">
        <v>22.94</v>
      </c>
      <c r="D29" s="8">
        <v>42697.125</v>
      </c>
      <c r="E29" s="165">
        <v>0.81</v>
      </c>
      <c r="F29" s="165" t="s">
        <v>646</v>
      </c>
      <c r="G29" s="165">
        <v>248.71</v>
      </c>
      <c r="H29" s="165">
        <v>0</v>
      </c>
      <c r="I29" s="165">
        <v>0</v>
      </c>
      <c r="J29" s="165"/>
      <c r="K29" s="165">
        <v>1024.32</v>
      </c>
      <c r="L29" s="165" t="s">
        <v>647</v>
      </c>
      <c r="M29" s="165">
        <v>28.15</v>
      </c>
      <c r="N29" s="165">
        <v>1479895200</v>
      </c>
      <c r="O29" s="165">
        <v>6.17</v>
      </c>
      <c r="P29" s="165">
        <v>188</v>
      </c>
      <c r="Q29" s="165">
        <v>2.91</v>
      </c>
      <c r="R29"/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209</v>
      </c>
    </row>
    <row r="33" spans="1:1" x14ac:dyDescent="0.25">
      <c r="A33" s="133" t="s">
        <v>191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54"/>
  <sheetViews>
    <sheetView workbookViewId="0">
      <selection activeCell="R8" sqref="R8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42696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211</v>
      </c>
      <c r="J17" s="33"/>
      <c r="K17" s="34"/>
      <c r="L17" s="34"/>
    </row>
    <row r="18" spans="3:13" x14ac:dyDescent="0.25">
      <c r="C18" t="s">
        <v>789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789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790</v>
      </c>
      <c r="J20" t="s">
        <v>87</v>
      </c>
      <c r="M20" s="68" t="s">
        <v>234</v>
      </c>
    </row>
    <row r="21" spans="3:13" x14ac:dyDescent="0.25">
      <c r="C21" t="s">
        <v>790</v>
      </c>
      <c r="J21" s="21" t="s">
        <v>90</v>
      </c>
      <c r="K21" s="21" t="s">
        <v>91</v>
      </c>
      <c r="M21" s="68" t="s">
        <v>185</v>
      </c>
    </row>
    <row r="22" spans="3:13" x14ac:dyDescent="0.25">
      <c r="C22" t="s">
        <v>791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791</v>
      </c>
      <c r="J23" s="29" t="s">
        <v>95</v>
      </c>
      <c r="K23" s="21"/>
      <c r="M23" s="69">
        <v>-7</v>
      </c>
    </row>
    <row r="24" spans="3:13" x14ac:dyDescent="0.25">
      <c r="C24" t="s">
        <v>792</v>
      </c>
      <c r="J24" s="21" t="s">
        <v>108</v>
      </c>
      <c r="K24" s="21"/>
      <c r="M24" s="68" t="s">
        <v>110</v>
      </c>
    </row>
    <row r="25" spans="3:13" x14ac:dyDescent="0.25">
      <c r="C25" t="s">
        <v>791</v>
      </c>
      <c r="J25" t="s">
        <v>151</v>
      </c>
      <c r="M25" s="68" t="b">
        <v>1</v>
      </c>
    </row>
    <row r="26" spans="3:13" x14ac:dyDescent="0.25">
      <c r="C26" t="s">
        <v>791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C:\Users\stu\Documents\GitHub\eaglep3-reporting\EC\2016-11-22-refined-times.txt</v>
      </c>
    </row>
    <row r="27" spans="3:13" x14ac:dyDescent="0.25">
      <c r="C27" t="s">
        <v>789</v>
      </c>
      <c r="J27" t="s">
        <v>192</v>
      </c>
      <c r="M27" s="68" t="str">
        <f>"C:\Users\stu\Documents\GitHub\eaglep3-reporting\EC\"&amp;TEXT(A2,"YYYY-MM-DD")&amp;"-Enforcements.txt"</f>
        <v>C:\Users\stu\Documents\GitHub\eaglep3-reporting\EC\2016-11-22-Enforcements.txt</v>
      </c>
    </row>
    <row r="28" spans="3:13" x14ac:dyDescent="0.25">
      <c r="C28" t="s">
        <v>793</v>
      </c>
      <c r="J28" t="s">
        <v>193</v>
      </c>
      <c r="M28" s="106" t="str">
        <f>"C:\Users\stu\Documents\GitHub\eaglep3-reporting\EC\"&amp;TEXT(A2,"YYYY-MM-DD")&amp;"-Runs.txt"</f>
        <v>C:\Users\stu\Documents\GitHub\eaglep3-reporting\EC\2016-11-22-Runs.txt</v>
      </c>
    </row>
    <row r="29" spans="3:13" x14ac:dyDescent="0.25">
      <c r="C29" t="s">
        <v>406</v>
      </c>
      <c r="J29" t="s">
        <v>194</v>
      </c>
      <c r="M29" s="106" t="str">
        <f>"C:\Users\stu\Documents\GitHub\eaglep3-reporting\EC\"&amp;TEXT(A2,"YYYY-MM-DD")&amp;"-Trips.txt"</f>
        <v>C:\Users\stu\Documents\GitHub\eaglep3-reporting\EC\2016-11-22-Trips.txt</v>
      </c>
    </row>
    <row r="30" spans="3:13" x14ac:dyDescent="0.25">
      <c r="C30" t="s">
        <v>794</v>
      </c>
      <c r="J30" t="s">
        <v>195</v>
      </c>
      <c r="M30" s="106" t="str">
        <f>"C:\Users\stu\Documents\GitHub\eaglep3-reporting\EC\"&amp;TEXT(A2,"YYYY-MM-DD")&amp;"-Weather.txt"</f>
        <v>C:\Users\stu\Documents\GitHub\eaglep3-reporting\EC\2016-11-22-Weather.txt</v>
      </c>
    </row>
    <row r="31" spans="3:13" x14ac:dyDescent="0.25">
      <c r="C31" t="s">
        <v>790</v>
      </c>
    </row>
    <row r="32" spans="3:13" x14ac:dyDescent="0.25">
      <c r="C32" t="s">
        <v>795</v>
      </c>
    </row>
    <row r="33" spans="3:3" x14ac:dyDescent="0.25">
      <c r="C33" t="s">
        <v>791</v>
      </c>
    </row>
    <row r="34" spans="3:3" x14ac:dyDescent="0.25">
      <c r="C34" t="s">
        <v>796</v>
      </c>
    </row>
    <row r="35" spans="3:3" x14ac:dyDescent="0.25">
      <c r="C35" t="s">
        <v>797</v>
      </c>
    </row>
    <row r="36" spans="3:3" x14ac:dyDescent="0.25">
      <c r="C36" t="s">
        <v>794</v>
      </c>
    </row>
    <row r="37" spans="3:3" x14ac:dyDescent="0.25">
      <c r="C37" t="s">
        <v>798</v>
      </c>
    </row>
    <row r="38" spans="3:3" x14ac:dyDescent="0.25">
      <c r="C38" t="s">
        <v>789</v>
      </c>
    </row>
    <row r="39" spans="3:3" x14ac:dyDescent="0.25">
      <c r="C39" t="s">
        <v>799</v>
      </c>
    </row>
    <row r="40" spans="3:3" x14ac:dyDescent="0.25">
      <c r="C40" t="s">
        <v>800</v>
      </c>
    </row>
    <row r="41" spans="3:3" x14ac:dyDescent="0.25">
      <c r="C41" t="s">
        <v>800</v>
      </c>
    </row>
    <row r="42" spans="3:3" x14ac:dyDescent="0.25">
      <c r="C42" t="s">
        <v>801</v>
      </c>
    </row>
    <row r="43" spans="3:3" x14ac:dyDescent="0.25">
      <c r="C43" t="s">
        <v>802</v>
      </c>
    </row>
    <row r="44" spans="3:3" x14ac:dyDescent="0.25">
      <c r="C44" t="s">
        <v>801</v>
      </c>
    </row>
    <row r="45" spans="3:3" x14ac:dyDescent="0.25">
      <c r="C45" t="s">
        <v>801</v>
      </c>
    </row>
    <row r="46" spans="3:3" x14ac:dyDescent="0.25">
      <c r="C46" t="s">
        <v>803</v>
      </c>
    </row>
    <row r="47" spans="3:3" x14ac:dyDescent="0.25">
      <c r="C47" t="s">
        <v>804</v>
      </c>
    </row>
    <row r="48" spans="3:3" x14ac:dyDescent="0.25">
      <c r="C48" t="s">
        <v>803</v>
      </c>
    </row>
    <row r="49" spans="3:3" x14ac:dyDescent="0.25">
      <c r="C49" t="s">
        <v>804</v>
      </c>
    </row>
    <row r="50" spans="3:3" x14ac:dyDescent="0.25">
      <c r="C50" t="s">
        <v>803</v>
      </c>
    </row>
    <row r="51" spans="3:3" x14ac:dyDescent="0.25">
      <c r="C51" t="s">
        <v>804</v>
      </c>
    </row>
    <row r="52" spans="3:3" x14ac:dyDescent="0.25">
      <c r="C52" t="s">
        <v>803</v>
      </c>
    </row>
    <row r="53" spans="3:3" x14ac:dyDescent="0.25">
      <c r="C53" t="s">
        <v>803</v>
      </c>
    </row>
    <row r="54" spans="3:3" x14ac:dyDescent="0.25">
      <c r="C54" t="s">
        <v>805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177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178</v>
      </c>
    </row>
    <row r="15" spans="1:11" x14ac:dyDescent="0.25">
      <c r="C15" s="116" t="s">
        <v>224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1"/>
  <sheetViews>
    <sheetView workbookViewId="0">
      <selection activeCell="B20" sqref="B20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816</v>
      </c>
      <c r="B1" t="str">
        <f t="shared" ref="B1:B64" si="0">MID(A1,6,23)</f>
        <v>2016/11/22 10:29:44.562</v>
      </c>
      <c r="C1" t="e">
        <f>ABS(B1-#REF!)</f>
        <v>#REF!</v>
      </c>
    </row>
    <row r="2" spans="1:3" x14ac:dyDescent="0.25">
      <c r="A2" t="s">
        <v>817</v>
      </c>
      <c r="B2" s="21" t="str">
        <f t="shared" si="0"/>
        <v>2016/11/22 10:29:44.644</v>
      </c>
      <c r="C2">
        <f>ABS(B2-B1)</f>
        <v>9.4907591119408607E-7</v>
      </c>
    </row>
    <row r="3" spans="1:3" x14ac:dyDescent="0.25">
      <c r="A3" t="s">
        <v>818</v>
      </c>
      <c r="B3" s="21" t="str">
        <f t="shared" si="0"/>
        <v>2016/11/22 10:48:23.112</v>
      </c>
      <c r="C3" s="21">
        <f t="shared" ref="C3:C66" si="1">ABS(B3-B2)</f>
        <v>1.2945231479534414E-2</v>
      </c>
    </row>
    <row r="4" spans="1:3" x14ac:dyDescent="0.25">
      <c r="A4" t="s">
        <v>819</v>
      </c>
      <c r="B4" s="21" t="str">
        <f t="shared" si="0"/>
        <v>2016/11/22 10:48:23.298</v>
      </c>
      <c r="C4" s="21">
        <f t="shared" si="1"/>
        <v>2.1527812350541353E-6</v>
      </c>
    </row>
    <row r="5" spans="1:3" x14ac:dyDescent="0.25">
      <c r="A5" t="s">
        <v>820</v>
      </c>
      <c r="B5" s="21" t="str">
        <f t="shared" si="0"/>
        <v>2016/11/22 10:48:23.821</v>
      </c>
      <c r="C5" s="21">
        <f t="shared" si="1"/>
        <v>6.0532402130775154E-6</v>
      </c>
    </row>
    <row r="6" spans="1:3" x14ac:dyDescent="0.25">
      <c r="A6" t="s">
        <v>821</v>
      </c>
      <c r="B6" s="21" t="str">
        <f t="shared" si="0"/>
        <v>2016/11/22 11:55:09.179</v>
      </c>
      <c r="C6" s="21">
        <f t="shared" si="1"/>
        <v>4.6358310188225005E-2</v>
      </c>
    </row>
    <row r="7" spans="1:3" x14ac:dyDescent="0.25">
      <c r="A7" t="s">
        <v>822</v>
      </c>
      <c r="B7" s="21" t="str">
        <f t="shared" si="0"/>
        <v>2016/11/22 11:55:09.803</v>
      </c>
      <c r="C7" s="21">
        <f t="shared" si="1"/>
        <v>7.2222173912450671E-6</v>
      </c>
    </row>
    <row r="8" spans="1:3" x14ac:dyDescent="0.25">
      <c r="A8" t="s">
        <v>823</v>
      </c>
      <c r="B8" s="21" t="str">
        <f t="shared" si="0"/>
        <v>2016/11/22 12:27:01.287</v>
      </c>
      <c r="C8" s="21">
        <f t="shared" si="1"/>
        <v>2.2123657407064456E-2</v>
      </c>
    </row>
    <row r="9" spans="1:3" x14ac:dyDescent="0.25">
      <c r="A9" t="s">
        <v>824</v>
      </c>
      <c r="B9" s="21" t="str">
        <f t="shared" si="0"/>
        <v>2016/11/22 12:27:01.782</v>
      </c>
      <c r="C9" s="21">
        <f t="shared" si="1"/>
        <v>5.7291690609417856E-6</v>
      </c>
    </row>
    <row r="10" spans="1:3" x14ac:dyDescent="0.25">
      <c r="A10" t="s">
        <v>825</v>
      </c>
      <c r="B10" s="21" t="str">
        <f t="shared" si="0"/>
        <v>2016/11/22 12:27:02.109</v>
      </c>
      <c r="C10" s="21">
        <f t="shared" si="1"/>
        <v>3.7847203202545643E-6</v>
      </c>
    </row>
    <row r="11" spans="1:3" x14ac:dyDescent="0.25">
      <c r="A11" t="s">
        <v>826</v>
      </c>
      <c r="B11" s="21" t="str">
        <f t="shared" si="0"/>
        <v>2016/11/22 13:19:38.788</v>
      </c>
      <c r="C11" s="21">
        <f t="shared" si="1"/>
        <v>3.6535636572807562E-2</v>
      </c>
    </row>
    <row r="12" spans="1:3" x14ac:dyDescent="0.25">
      <c r="A12" t="s">
        <v>827</v>
      </c>
      <c r="B12" s="21" t="str">
        <f t="shared" si="0"/>
        <v>2016/11/22 13:19:39.130</v>
      </c>
      <c r="C12" s="21">
        <f t="shared" si="1"/>
        <v>3.9583392208442092E-6</v>
      </c>
    </row>
    <row r="13" spans="1:3" x14ac:dyDescent="0.25">
      <c r="A13" t="s">
        <v>828</v>
      </c>
      <c r="B13" s="21" t="str">
        <f t="shared" si="0"/>
        <v>2016/11/22 13:19:39.289</v>
      </c>
      <c r="C13" s="21">
        <f t="shared" si="1"/>
        <v>1.840271579567343E-6</v>
      </c>
    </row>
    <row r="14" spans="1:3" x14ac:dyDescent="0.25">
      <c r="A14" t="s">
        <v>829</v>
      </c>
      <c r="B14" s="21" t="str">
        <f t="shared" si="0"/>
        <v>2016/11/22 13:39:05.910</v>
      </c>
      <c r="C14" s="21">
        <f t="shared" si="1"/>
        <v>1.3502557871106546E-2</v>
      </c>
    </row>
    <row r="15" spans="1:3" x14ac:dyDescent="0.25">
      <c r="A15" t="s">
        <v>830</v>
      </c>
      <c r="B15" s="21" t="str">
        <f t="shared" si="0"/>
        <v>2016/11/22 13:39:06.610</v>
      </c>
      <c r="C15" s="21">
        <f t="shared" si="1"/>
        <v>8.1018515629693866E-6</v>
      </c>
    </row>
    <row r="16" spans="1:3" x14ac:dyDescent="0.25">
      <c r="A16" t="s">
        <v>831</v>
      </c>
      <c r="B16" s="21" t="str">
        <f t="shared" si="0"/>
        <v>2016/11/22 13:39:06.730</v>
      </c>
      <c r="C16" s="21">
        <f t="shared" si="1"/>
        <v>1.3888929970562458E-6</v>
      </c>
    </row>
    <row r="17" spans="1:3" x14ac:dyDescent="0.25">
      <c r="A17" t="s">
        <v>832</v>
      </c>
      <c r="B17" s="21" t="str">
        <f t="shared" si="0"/>
        <v>2016/11/22 13:48:50.263</v>
      </c>
      <c r="C17" s="21">
        <f t="shared" si="1"/>
        <v>6.7538541625253856E-3</v>
      </c>
    </row>
    <row r="18" spans="1:3" x14ac:dyDescent="0.25">
      <c r="A18" t="s">
        <v>833</v>
      </c>
      <c r="B18" s="21" t="str">
        <f t="shared" si="0"/>
        <v>2016/11/22 13:48:50.613</v>
      </c>
      <c r="C18" s="21">
        <f t="shared" si="1"/>
        <v>4.0509257814846933E-6</v>
      </c>
    </row>
    <row r="19" spans="1:3" x14ac:dyDescent="0.25">
      <c r="A19" t="s">
        <v>834</v>
      </c>
      <c r="B19" s="21" t="str">
        <f t="shared" si="0"/>
        <v>2016/11/22 13:48:51.310</v>
      </c>
      <c r="C19" s="21">
        <f t="shared" si="1"/>
        <v>8.0671306932345033E-6</v>
      </c>
    </row>
    <row r="20" spans="1:3" x14ac:dyDescent="0.25">
      <c r="A20" t="s">
        <v>835</v>
      </c>
      <c r="B20" s="21" t="str">
        <f t="shared" si="0"/>
        <v>2016/11/22 14:17:10.036</v>
      </c>
      <c r="C20" s="21">
        <f t="shared" si="1"/>
        <v>1.9661180558614433E-2</v>
      </c>
    </row>
    <row r="21" spans="1:3" x14ac:dyDescent="0.25">
      <c r="A21" t="s">
        <v>836</v>
      </c>
      <c r="B21" s="21" t="str">
        <f t="shared" si="0"/>
        <v>2016/11/22 14:32:27.952</v>
      </c>
      <c r="C21" s="21">
        <f t="shared" si="1"/>
        <v>1.0624027774611022E-2</v>
      </c>
    </row>
    <row r="22" spans="1:3" x14ac:dyDescent="0.25">
      <c r="A22" t="s">
        <v>837</v>
      </c>
      <c r="B22" s="21" t="str">
        <f t="shared" si="0"/>
        <v>2016/11/22 14:32:28.282</v>
      </c>
      <c r="C22" s="21">
        <f t="shared" si="1"/>
        <v>3.8194484659470618E-6</v>
      </c>
    </row>
    <row r="23" spans="1:3" x14ac:dyDescent="0.25">
      <c r="A23" t="s">
        <v>838</v>
      </c>
      <c r="B23" s="21" t="str">
        <f t="shared" si="0"/>
        <v>2016/11/22 14:32:28.502</v>
      </c>
      <c r="C23" s="21">
        <f t="shared" si="1"/>
        <v>2.5462941266596317E-6</v>
      </c>
    </row>
    <row r="24" spans="1:3" x14ac:dyDescent="0.25">
      <c r="A24" t="s">
        <v>839</v>
      </c>
      <c r="B24" s="21" t="str">
        <f t="shared" si="0"/>
        <v>2016/11/22 14:42:47.202</v>
      </c>
      <c r="C24" s="21">
        <f t="shared" si="1"/>
        <v>7.1608796279178932E-3</v>
      </c>
    </row>
    <row r="25" spans="1:3" x14ac:dyDescent="0.25">
      <c r="A25" t="s">
        <v>840</v>
      </c>
      <c r="B25" s="21" t="str">
        <f t="shared" si="0"/>
        <v>2016/11/22 14:42:48.094</v>
      </c>
      <c r="C25" s="21">
        <f t="shared" si="1"/>
        <v>1.0324074537493289E-5</v>
      </c>
    </row>
    <row r="26" spans="1:3" x14ac:dyDescent="0.25">
      <c r="A26" t="s">
        <v>841</v>
      </c>
      <c r="B26" s="21" t="str">
        <f t="shared" si="0"/>
        <v>2016/11/22 14:42:48.351</v>
      </c>
      <c r="C26" s="21">
        <f t="shared" si="1"/>
        <v>2.9745351639576256E-6</v>
      </c>
    </row>
    <row r="27" spans="1:3" x14ac:dyDescent="0.25">
      <c r="A27" t="s">
        <v>842</v>
      </c>
      <c r="B27" s="21" t="str">
        <f t="shared" si="0"/>
        <v>2016/11/22 14:55:23.399</v>
      </c>
      <c r="C27" s="21">
        <f t="shared" si="1"/>
        <v>8.7389814871130511E-3</v>
      </c>
    </row>
    <row r="28" spans="1:3" x14ac:dyDescent="0.25">
      <c r="A28" t="s">
        <v>843</v>
      </c>
      <c r="B28" s="21" t="str">
        <f t="shared" si="0"/>
        <v>2016/11/22 14:55:23.660</v>
      </c>
      <c r="C28" s="21">
        <f t="shared" si="1"/>
        <v>3.0208320822566748E-6</v>
      </c>
    </row>
    <row r="29" spans="1:3" x14ac:dyDescent="0.25">
      <c r="A29" t="s">
        <v>844</v>
      </c>
      <c r="B29" s="21" t="str">
        <f t="shared" si="0"/>
        <v>2016/11/22 15:18:08.798</v>
      </c>
      <c r="C29" s="21">
        <f t="shared" si="1"/>
        <v>1.5800208333530463E-2</v>
      </c>
    </row>
    <row r="30" spans="1:3" x14ac:dyDescent="0.25">
      <c r="A30" t="s">
        <v>845</v>
      </c>
      <c r="B30" s="21" t="str">
        <f t="shared" si="0"/>
        <v>2016/11/22 15:18:09.135</v>
      </c>
      <c r="C30" s="21">
        <f t="shared" si="1"/>
        <v>3.90045897802338E-6</v>
      </c>
    </row>
    <row r="31" spans="1:3" x14ac:dyDescent="0.25">
      <c r="A31" t="s">
        <v>846</v>
      </c>
      <c r="B31" s="21" t="str">
        <f t="shared" si="0"/>
        <v>2016/11/22 15:18:09.301</v>
      </c>
      <c r="C31" s="21">
        <f t="shared" si="1"/>
        <v>1.9212966435588896E-6</v>
      </c>
    </row>
    <row r="32" spans="1:3" x14ac:dyDescent="0.25">
      <c r="A32" t="s">
        <v>847</v>
      </c>
      <c r="B32" s="21" t="str">
        <f t="shared" si="0"/>
        <v>2016/11/22 15:41:19.166</v>
      </c>
      <c r="C32" s="21">
        <f t="shared" si="1"/>
        <v>1.6086400464701001E-2</v>
      </c>
    </row>
    <row r="33" spans="1:3" x14ac:dyDescent="0.25">
      <c r="A33" t="s">
        <v>848</v>
      </c>
      <c r="B33" s="21" t="str">
        <f t="shared" si="0"/>
        <v>2016/11/22 15:41:19.866</v>
      </c>
      <c r="C33" s="21">
        <f t="shared" si="1"/>
        <v>8.1018515629693866E-6</v>
      </c>
    </row>
    <row r="34" spans="1:3" x14ac:dyDescent="0.25">
      <c r="A34" t="s">
        <v>849</v>
      </c>
      <c r="B34" s="21" t="str">
        <f t="shared" si="0"/>
        <v>2016/11/22 15:41:19.929</v>
      </c>
      <c r="C34" s="21">
        <f t="shared" si="1"/>
        <v>7.2916736826300621E-7</v>
      </c>
    </row>
    <row r="35" spans="1:3" x14ac:dyDescent="0.25">
      <c r="A35" t="s">
        <v>850</v>
      </c>
      <c r="B35" s="21" t="str">
        <f t="shared" si="0"/>
        <v>2016/11/22 16:15:38.668</v>
      </c>
      <c r="C35" s="21">
        <f t="shared" si="1"/>
        <v>2.3827997683838475E-2</v>
      </c>
    </row>
    <row r="36" spans="1:3" x14ac:dyDescent="0.25">
      <c r="A36" t="s">
        <v>851</v>
      </c>
      <c r="B36" s="21" t="str">
        <f t="shared" si="0"/>
        <v>2016/11/22 16:15:39.605</v>
      </c>
      <c r="C36" s="21">
        <f t="shared" si="1"/>
        <v>1.0844909411389381E-5</v>
      </c>
    </row>
    <row r="37" spans="1:3" x14ac:dyDescent="0.25">
      <c r="A37" t="s">
        <v>852</v>
      </c>
      <c r="B37" s="21" t="str">
        <f t="shared" si="0"/>
        <v>2016/11/22 17:12:29.267</v>
      </c>
      <c r="C37" s="21">
        <f t="shared" si="1"/>
        <v>3.9463680557673797E-2</v>
      </c>
    </row>
    <row r="38" spans="1:3" x14ac:dyDescent="0.25">
      <c r="A38" t="s">
        <v>853</v>
      </c>
      <c r="B38" s="21" t="str">
        <f t="shared" si="0"/>
        <v>2016/11/22 17:12:29.277</v>
      </c>
      <c r="C38" s="21">
        <f t="shared" si="1"/>
        <v>1.1573865776881576E-7</v>
      </c>
    </row>
    <row r="39" spans="1:3" x14ac:dyDescent="0.25">
      <c r="A39" t="s">
        <v>854</v>
      </c>
      <c r="B39" s="21" t="str">
        <f t="shared" si="0"/>
        <v>2016/11/22 17:12:29.612</v>
      </c>
      <c r="C39" s="21">
        <f t="shared" si="1"/>
        <v>3.8773141568526626E-6</v>
      </c>
    </row>
    <row r="40" spans="1:3" x14ac:dyDescent="0.25">
      <c r="A40" t="s">
        <v>855</v>
      </c>
      <c r="B40" s="21" t="str">
        <f t="shared" si="0"/>
        <v>2016/11/22 17:49:27.707</v>
      </c>
      <c r="C40" s="21">
        <f t="shared" si="1"/>
        <v>2.5672395837318618E-2</v>
      </c>
    </row>
    <row r="41" spans="1:3" x14ac:dyDescent="0.25">
      <c r="A41" t="s">
        <v>856</v>
      </c>
      <c r="B41" s="21" t="str">
        <f t="shared" si="0"/>
        <v>2016/11/22 17:49:28.479</v>
      </c>
      <c r="C41" s="21">
        <f t="shared" si="1"/>
        <v>8.9351815404370427E-6</v>
      </c>
    </row>
    <row r="42" spans="1:3" x14ac:dyDescent="0.25">
      <c r="A42" t="s">
        <v>857</v>
      </c>
      <c r="B42" s="21" t="str">
        <f t="shared" si="0"/>
        <v>2016/11/22 17:49:29.414</v>
      </c>
      <c r="C42" s="21">
        <f t="shared" si="1"/>
        <v>1.0821757314261049E-5</v>
      </c>
    </row>
    <row r="43" spans="1:3" x14ac:dyDescent="0.25">
      <c r="A43" t="s">
        <v>858</v>
      </c>
      <c r="B43" s="21" t="str">
        <f t="shared" si="0"/>
        <v>2016/11/22 18:51:23.416</v>
      </c>
      <c r="C43" s="21">
        <f t="shared" si="1"/>
        <v>4.2986134263628628E-2</v>
      </c>
    </row>
    <row r="44" spans="1:3" x14ac:dyDescent="0.25">
      <c r="A44" t="s">
        <v>859</v>
      </c>
      <c r="B44" s="21" t="str">
        <f t="shared" si="0"/>
        <v>2016/11/22 18:51:24.064</v>
      </c>
      <c r="C44" s="21">
        <f t="shared" si="1"/>
        <v>7.499998901039362E-6</v>
      </c>
    </row>
    <row r="45" spans="1:3" x14ac:dyDescent="0.25">
      <c r="A45" t="s">
        <v>860</v>
      </c>
      <c r="B45" s="21" t="str">
        <f t="shared" si="0"/>
        <v>2016/11/22 19:09:25.029</v>
      </c>
      <c r="C45" s="21">
        <f t="shared" si="1"/>
        <v>1.2511168977653142E-2</v>
      </c>
    </row>
    <row r="46" spans="1:3" x14ac:dyDescent="0.25">
      <c r="A46" t="s">
        <v>861</v>
      </c>
      <c r="B46" s="21" t="str">
        <f t="shared" si="0"/>
        <v>2016/11/22 19:09:26.044</v>
      </c>
      <c r="C46" s="21">
        <f t="shared" si="1"/>
        <v>1.1747688404284418E-5</v>
      </c>
    </row>
    <row r="47" spans="1:3" x14ac:dyDescent="0.25">
      <c r="A47" t="s">
        <v>862</v>
      </c>
      <c r="B47" s="21" t="str">
        <f t="shared" si="0"/>
        <v>2016/11/22 19:09:26.534</v>
      </c>
      <c r="C47" s="21">
        <f t="shared" si="1"/>
        <v>5.6712960940785706E-6</v>
      </c>
    </row>
    <row r="48" spans="1:3" x14ac:dyDescent="0.25">
      <c r="A48" t="s">
        <v>863</v>
      </c>
      <c r="B48" s="21" t="str">
        <f t="shared" si="0"/>
        <v>2016/11/22 19:13:27.382</v>
      </c>
      <c r="C48" s="21">
        <f t="shared" si="1"/>
        <v>2.7875925952685066E-3</v>
      </c>
    </row>
    <row r="49" spans="1:3" x14ac:dyDescent="0.25">
      <c r="A49" t="s">
        <v>864</v>
      </c>
      <c r="B49" s="21" t="str">
        <f t="shared" si="0"/>
        <v>2016/11/22 19:13:27.622</v>
      </c>
      <c r="C49" s="21">
        <f t="shared" si="1"/>
        <v>2.7777714421972632E-6</v>
      </c>
    </row>
    <row r="50" spans="1:3" x14ac:dyDescent="0.25">
      <c r="A50" t="s">
        <v>865</v>
      </c>
      <c r="B50" s="21" t="str">
        <f t="shared" si="0"/>
        <v>2016/11/22 19:13:27.657</v>
      </c>
      <c r="C50" s="21">
        <f t="shared" si="1"/>
        <v>4.0509621612727642E-7</v>
      </c>
    </row>
    <row r="51" spans="1:3" x14ac:dyDescent="0.25">
      <c r="A51" t="s">
        <v>866</v>
      </c>
      <c r="B51" s="21" t="str">
        <f t="shared" si="0"/>
        <v>2016/11/22 21:04:27.611</v>
      </c>
      <c r="C51" s="21">
        <f t="shared" si="1"/>
        <v>7.7082800926291384E-2</v>
      </c>
    </row>
    <row r="52" spans="1:3" x14ac:dyDescent="0.25">
      <c r="A52" t="s">
        <v>867</v>
      </c>
      <c r="B52" s="21" t="str">
        <f t="shared" si="0"/>
        <v>2016/11/22 21:04:27.642</v>
      </c>
      <c r="C52" s="21">
        <f t="shared" si="1"/>
        <v>3.587920218706131E-7</v>
      </c>
    </row>
    <row r="53" spans="1:3" x14ac:dyDescent="0.25">
      <c r="A53" t="s">
        <v>868</v>
      </c>
      <c r="B53" s="21" t="str">
        <f t="shared" si="0"/>
        <v>2016/11/22 21:04:28.369</v>
      </c>
      <c r="C53" s="21">
        <f t="shared" si="1"/>
        <v>8.4143539424985647E-6</v>
      </c>
    </row>
    <row r="54" spans="1:3" x14ac:dyDescent="0.25">
      <c r="A54" t="s">
        <v>869</v>
      </c>
      <c r="B54" s="21" t="str">
        <f t="shared" si="0"/>
        <v>2016/11/22 21:34:41.197</v>
      </c>
      <c r="C54" s="21">
        <f t="shared" si="1"/>
        <v>2.0981805559131317E-2</v>
      </c>
    </row>
    <row r="55" spans="1:3" x14ac:dyDescent="0.25">
      <c r="A55" t="s">
        <v>870</v>
      </c>
      <c r="B55" s="21" t="str">
        <f t="shared" si="0"/>
        <v>2016/11/22 21:34:41.435</v>
      </c>
      <c r="C55" s="21">
        <f t="shared" si="1"/>
        <v>2.7546266210265458E-6</v>
      </c>
    </row>
    <row r="56" spans="1:3" x14ac:dyDescent="0.25">
      <c r="A56" t="s">
        <v>871</v>
      </c>
      <c r="B56" s="21" t="str">
        <f t="shared" si="0"/>
        <v>2016/11/22 21:34:41.447</v>
      </c>
      <c r="C56" s="21">
        <f t="shared" si="1"/>
        <v>1.3889075489714742E-7</v>
      </c>
    </row>
    <row r="57" spans="1:3" x14ac:dyDescent="0.25">
      <c r="A57" t="s">
        <v>872</v>
      </c>
      <c r="B57" s="21" t="str">
        <f t="shared" si="0"/>
        <v>2016/11/23 00:24:42.292</v>
      </c>
      <c r="C57" s="21">
        <f t="shared" si="1"/>
        <v>0.11806533564958954</v>
      </c>
    </row>
    <row r="58" spans="1:3" x14ac:dyDescent="0.25">
      <c r="A58" t="s">
        <v>873</v>
      </c>
      <c r="B58" s="21" t="str">
        <f t="shared" si="0"/>
        <v>2016/11/23 00:24:42.782</v>
      </c>
      <c r="C58" s="21">
        <f t="shared" si="1"/>
        <v>5.6712960940785706E-6</v>
      </c>
    </row>
    <row r="59" spans="1:3" x14ac:dyDescent="0.25">
      <c r="A59" t="s">
        <v>874</v>
      </c>
      <c r="B59" s="21" t="str">
        <f t="shared" si="0"/>
        <v>2016/11/23 00:24:43.118</v>
      </c>
      <c r="C59" s="21">
        <f t="shared" si="1"/>
        <v>3.8888902054168284E-6</v>
      </c>
    </row>
    <row r="60" spans="1:3" x14ac:dyDescent="0.25">
      <c r="A60" t="s">
        <v>875</v>
      </c>
      <c r="B60" s="21" t="str">
        <f t="shared" si="0"/>
        <v>2016/11/23 01:25:14.781</v>
      </c>
      <c r="C60" s="21">
        <f t="shared" si="1"/>
        <v>4.2033136567624751E-2</v>
      </c>
    </row>
    <row r="61" spans="1:3" x14ac:dyDescent="0.25">
      <c r="A61" t="s">
        <v>876</v>
      </c>
      <c r="B61" s="21" t="str">
        <f t="shared" si="0"/>
        <v>2016/11/23 01:25:15.117</v>
      </c>
      <c r="C61" s="21">
        <f t="shared" si="1"/>
        <v>3.8888902054168284E-6</v>
      </c>
    </row>
    <row r="62" spans="1:3" x14ac:dyDescent="0.25">
      <c r="A62" t="s">
        <v>877</v>
      </c>
      <c r="B62" s="21" t="str">
        <f t="shared" si="0"/>
        <v>2016/11/23 01:25:15.281</v>
      </c>
      <c r="C62" s="21">
        <f t="shared" si="1"/>
        <v>1.8981518223881721E-6</v>
      </c>
    </row>
    <row r="63" spans="1:3" x14ac:dyDescent="0.25">
      <c r="A63" t="s">
        <v>878</v>
      </c>
      <c r="B63" s="21" t="str">
        <f t="shared" si="0"/>
        <v>2016/11/23 01:51:14.322</v>
      </c>
      <c r="C63" s="21">
        <f t="shared" si="1"/>
        <v>1.8044456017378252E-2</v>
      </c>
    </row>
    <row r="64" spans="1:3" x14ac:dyDescent="0.25">
      <c r="A64" t="s">
        <v>879</v>
      </c>
      <c r="B64" s="21" t="str">
        <f t="shared" si="0"/>
        <v>2016/11/23 01:51:14.395</v>
      </c>
      <c r="C64" s="21">
        <f t="shared" si="1"/>
        <v>8.4490602603182197E-7</v>
      </c>
    </row>
    <row r="65" spans="1:3" x14ac:dyDescent="0.25">
      <c r="A65" t="s">
        <v>880</v>
      </c>
      <c r="B65" s="21" t="str">
        <f t="shared" ref="B65:B75" si="2">MID(A65,6,23)</f>
        <v>2016/11/23 01:51:14.455</v>
      </c>
      <c r="C65" s="21">
        <f t="shared" si="1"/>
        <v>6.944464985281229E-7</v>
      </c>
    </row>
    <row r="66" spans="1:3" x14ac:dyDescent="0.25">
      <c r="A66" t="s">
        <v>881</v>
      </c>
      <c r="B66" s="21" t="str">
        <f t="shared" si="2"/>
        <v>2016/11/23 02:11:32.101</v>
      </c>
      <c r="C66" s="21">
        <f t="shared" si="1"/>
        <v>1.4093124998908024E-2</v>
      </c>
    </row>
    <row r="67" spans="1:3" x14ac:dyDescent="0.25">
      <c r="A67" t="s">
        <v>882</v>
      </c>
      <c r="B67" s="21" t="str">
        <f t="shared" si="2"/>
        <v>2016/11/23 02:11:32.812</v>
      </c>
      <c r="C67" s="21">
        <f t="shared" ref="C67:C75" si="3">ABS(B67-B66)</f>
        <v>8.2291662693023682E-6</v>
      </c>
    </row>
    <row r="68" spans="1:3" x14ac:dyDescent="0.25">
      <c r="A68" t="s">
        <v>883</v>
      </c>
      <c r="B68" s="21" t="str">
        <f t="shared" si="2"/>
        <v>2016/11/23 02:27:32.098</v>
      </c>
      <c r="C68" s="21">
        <f t="shared" si="3"/>
        <v>1.1102847223810386E-2</v>
      </c>
    </row>
    <row r="69" spans="1:3" x14ac:dyDescent="0.25">
      <c r="A69" t="s">
        <v>884</v>
      </c>
      <c r="B69" s="21" t="str">
        <f t="shared" si="2"/>
        <v>2016/11/23 02:27:32.353</v>
      </c>
      <c r="C69" s="21">
        <f t="shared" si="3"/>
        <v>2.9513903427869081E-6</v>
      </c>
    </row>
    <row r="70" spans="1:3" x14ac:dyDescent="0.25">
      <c r="A70" t="s">
        <v>885</v>
      </c>
      <c r="B70" s="21" t="str">
        <f t="shared" si="2"/>
        <v>2016/11/23 02:27:32.525</v>
      </c>
      <c r="C70" s="21">
        <f t="shared" si="3"/>
        <v>1.9907383830286562E-6</v>
      </c>
    </row>
    <row r="71" spans="1:3" x14ac:dyDescent="0.25">
      <c r="A71" t="s">
        <v>886</v>
      </c>
      <c r="B71" s="21" t="str">
        <f t="shared" si="2"/>
        <v>2016/11/23 03:54:41.400</v>
      </c>
      <c r="C71" s="21">
        <f t="shared" si="3"/>
        <v>6.051938657037681E-2</v>
      </c>
    </row>
    <row r="72" spans="1:3" x14ac:dyDescent="0.25">
      <c r="A72" t="s">
        <v>887</v>
      </c>
      <c r="B72" s="21" t="str">
        <f t="shared" si="2"/>
        <v>2016/11/23 03:54:41.467</v>
      </c>
      <c r="C72" s="21">
        <f t="shared" si="3"/>
        <v>7.7546428656205535E-7</v>
      </c>
    </row>
    <row r="73" spans="1:3" x14ac:dyDescent="0.25">
      <c r="A73" t="s">
        <v>888</v>
      </c>
      <c r="B73" s="21" t="str">
        <f t="shared" si="2"/>
        <v>2016/11/23 04:03:53.608</v>
      </c>
      <c r="C73" s="21">
        <f t="shared" si="3"/>
        <v>6.3905208371579647E-3</v>
      </c>
    </row>
    <row r="74" spans="1:3" x14ac:dyDescent="0.25">
      <c r="A74" t="s">
        <v>889</v>
      </c>
      <c r="B74" s="21" t="str">
        <f t="shared" si="2"/>
        <v>2016/11/23 04:03:53.638</v>
      </c>
      <c r="C74" s="21">
        <f t="shared" si="3"/>
        <v>3.4722324926406145E-7</v>
      </c>
    </row>
    <row r="75" spans="1:3" x14ac:dyDescent="0.25">
      <c r="A75" t="s">
        <v>890</v>
      </c>
      <c r="B75" s="21" t="str">
        <f t="shared" si="2"/>
        <v>2016/11/23 04:03:54.366</v>
      </c>
      <c r="C75" s="21">
        <f t="shared" si="3"/>
        <v>8.4259227151051164E-6</v>
      </c>
    </row>
    <row r="76" spans="1:3" x14ac:dyDescent="0.25">
      <c r="B76" s="21"/>
      <c r="C76" s="21"/>
    </row>
    <row r="77" spans="1:3" x14ac:dyDescent="0.25">
      <c r="B77" s="21"/>
      <c r="C77" s="21"/>
    </row>
    <row r="78" spans="1:3" x14ac:dyDescent="0.25">
      <c r="B78" s="21"/>
      <c r="C78" s="21"/>
    </row>
    <row r="79" spans="1:3" x14ac:dyDescent="0.25">
      <c r="B79" s="21"/>
      <c r="C79" s="21"/>
    </row>
    <row r="80" spans="1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2016-11-23T16:30:36Z</dcterms:modified>
</cp:coreProperties>
</file>