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Enforcements!$A$6:$AC$20</definedName>
    <definedName name="_xlnm._FilterDatabase" localSheetId="2" hidden="1">'Missing Trips'!$A$2:$J$26</definedName>
    <definedName name="_xlnm._FilterDatabase" localSheetId="0" hidden="1">'Train Runs'!$A$12:$AG$481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1" i="1" l="1"/>
  <c r="X52" i="1"/>
  <c r="X53" i="1"/>
  <c r="K168" i="1" l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G168" i="1"/>
  <c r="AA168" i="1" l="1"/>
  <c r="U168" i="1"/>
  <c r="S168" i="1" s="1"/>
  <c r="W168" i="1"/>
  <c r="AH168" i="1"/>
  <c r="AI168" i="1"/>
  <c r="AM168" i="1"/>
  <c r="AN168" i="1"/>
  <c r="AO168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K154" i="1"/>
  <c r="L154" i="1"/>
  <c r="M154" i="1"/>
  <c r="N154" i="1" s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K152" i="1"/>
  <c r="L152" i="1"/>
  <c r="M152" i="1"/>
  <c r="N152" i="1" s="1"/>
  <c r="V152" i="1"/>
  <c r="AA152" i="1"/>
  <c r="AB152" i="1"/>
  <c r="AC152" i="1"/>
  <c r="AD152" i="1"/>
  <c r="T152" i="1" s="1"/>
  <c r="AE152" i="1"/>
  <c r="AF152" i="1"/>
  <c r="AH152" i="1"/>
  <c r="AM152" i="1"/>
  <c r="AN152" i="1"/>
  <c r="AO152" i="1"/>
  <c r="K147" i="1"/>
  <c r="L147" i="1"/>
  <c r="M147" i="1"/>
  <c r="N147" i="1" s="1"/>
  <c r="V147" i="1"/>
  <c r="AA147" i="1"/>
  <c r="AB147" i="1"/>
  <c r="AC147" i="1"/>
  <c r="AD147" i="1"/>
  <c r="T147" i="1" s="1"/>
  <c r="AE147" i="1"/>
  <c r="AF147" i="1"/>
  <c r="AH147" i="1"/>
  <c r="AM147" i="1"/>
  <c r="AN147" i="1"/>
  <c r="AO147" i="1"/>
  <c r="K142" i="1"/>
  <c r="L142" i="1"/>
  <c r="M142" i="1"/>
  <c r="N142" i="1" s="1"/>
  <c r="V142" i="1"/>
  <c r="AA142" i="1"/>
  <c r="AB142" i="1"/>
  <c r="AC142" i="1"/>
  <c r="AD142" i="1"/>
  <c r="T142" i="1" s="1"/>
  <c r="AE142" i="1"/>
  <c r="AF142" i="1"/>
  <c r="AH142" i="1"/>
  <c r="AM142" i="1"/>
  <c r="AN142" i="1"/>
  <c r="AO142" i="1"/>
  <c r="AG154" i="1"/>
  <c r="AG152" i="1"/>
  <c r="AG159" i="1"/>
  <c r="AG142" i="1"/>
  <c r="AG147" i="1"/>
  <c r="AI159" i="1" l="1"/>
  <c r="U159" i="1"/>
  <c r="S159" i="1" s="1"/>
  <c r="W159" i="1"/>
  <c r="U154" i="1"/>
  <c r="S154" i="1" s="1"/>
  <c r="AI154" i="1"/>
  <c r="W154" i="1"/>
  <c r="U152" i="1"/>
  <c r="S152" i="1" s="1"/>
  <c r="AI152" i="1"/>
  <c r="W152" i="1"/>
  <c r="AI147" i="1"/>
  <c r="U147" i="1"/>
  <c r="S147" i="1" s="1"/>
  <c r="W147" i="1"/>
  <c r="AI142" i="1"/>
  <c r="U142" i="1"/>
  <c r="S142" i="1" s="1"/>
  <c r="W142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AG51" i="1"/>
  <c r="AA51" i="1" l="1"/>
  <c r="W51" i="1" s="1"/>
  <c r="T51" i="1"/>
  <c r="U51" i="1" s="1"/>
  <c r="S51" i="1" s="1"/>
  <c r="AI51" i="1"/>
  <c r="K14" i="1"/>
  <c r="L14" i="1"/>
  <c r="M14" i="1"/>
  <c r="N14" i="1" s="1"/>
  <c r="V14" i="1"/>
  <c r="S11" i="3" s="1"/>
  <c r="Y14" i="1"/>
  <c r="Z14" i="1"/>
  <c r="AB14" i="1"/>
  <c r="AC14" i="1"/>
  <c r="AD14" i="1"/>
  <c r="T14" i="1" s="1"/>
  <c r="AE14" i="1"/>
  <c r="R11" i="3" s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P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S16" i="3" s="1"/>
  <c r="Y34" i="1"/>
  <c r="Z34" i="1"/>
  <c r="AB34" i="1"/>
  <c r="AC34" i="1"/>
  <c r="AD34" i="1"/>
  <c r="AE34" i="1"/>
  <c r="R16" i="3" s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20" i="3" s="1"/>
  <c r="Y39" i="1"/>
  <c r="Z39" i="1"/>
  <c r="AB39" i="1"/>
  <c r="AC39" i="1"/>
  <c r="AD39" i="1"/>
  <c r="AE39" i="1"/>
  <c r="R20" i="3" s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S13" i="3" s="1"/>
  <c r="Y46" i="1"/>
  <c r="Z46" i="1"/>
  <c r="AB46" i="1"/>
  <c r="AC46" i="1"/>
  <c r="AD46" i="1"/>
  <c r="AE46" i="1"/>
  <c r="R13" i="3" s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S14" i="3" s="1"/>
  <c r="Y50" i="1"/>
  <c r="Z50" i="1"/>
  <c r="AB50" i="1"/>
  <c r="AC50" i="1"/>
  <c r="AD50" i="1"/>
  <c r="AE50" i="1"/>
  <c r="R14" i="3" s="1"/>
  <c r="AF50" i="1"/>
  <c r="AH50" i="1"/>
  <c r="AM50" i="1"/>
  <c r="AN50" i="1"/>
  <c r="AO50" i="1"/>
  <c r="K52" i="1"/>
  <c r="L52" i="1"/>
  <c r="M52" i="1"/>
  <c r="N52" i="1" s="1"/>
  <c r="V52" i="1"/>
  <c r="S12" i="3" s="1"/>
  <c r="Y52" i="1"/>
  <c r="Z52" i="1"/>
  <c r="AB52" i="1"/>
  <c r="AC52" i="1"/>
  <c r="AD52" i="1"/>
  <c r="AE52" i="1"/>
  <c r="R12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S7" i="3" s="1"/>
  <c r="Y55" i="1"/>
  <c r="Z55" i="1"/>
  <c r="AB55" i="1"/>
  <c r="AC55" i="1"/>
  <c r="AD55" i="1"/>
  <c r="AE55" i="1"/>
  <c r="R7" i="3" s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S17" i="3" s="1"/>
  <c r="Y84" i="1"/>
  <c r="Z84" i="1"/>
  <c r="AB84" i="1"/>
  <c r="AC84" i="1"/>
  <c r="AD84" i="1"/>
  <c r="AE84" i="1"/>
  <c r="R17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S10" i="3" s="1"/>
  <c r="Y89" i="1"/>
  <c r="Z89" i="1"/>
  <c r="AB89" i="1"/>
  <c r="AC89" i="1"/>
  <c r="AD89" i="1"/>
  <c r="T89" i="1" s="1"/>
  <c r="AE89" i="1"/>
  <c r="R10" i="3" s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S18" i="3" s="1"/>
  <c r="Y91" i="1"/>
  <c r="Z91" i="1"/>
  <c r="AB91" i="1"/>
  <c r="AC91" i="1"/>
  <c r="AD91" i="1"/>
  <c r="AE91" i="1"/>
  <c r="R18" i="3" s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S8" i="3" s="1"/>
  <c r="Y98" i="1"/>
  <c r="Z98" i="1"/>
  <c r="AB98" i="1"/>
  <c r="AC98" i="1"/>
  <c r="AD98" i="1"/>
  <c r="AE98" i="1"/>
  <c r="R8" i="3" s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S9" i="3" s="1"/>
  <c r="Y126" i="1"/>
  <c r="Z126" i="1"/>
  <c r="AB126" i="1"/>
  <c r="AC126" i="1"/>
  <c r="AD126" i="1"/>
  <c r="T126" i="1" s="1"/>
  <c r="AE126" i="1"/>
  <c r="R9" i="3" s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P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P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P139" i="1" s="1"/>
  <c r="V139" i="1"/>
  <c r="S19" i="3" s="1"/>
  <c r="Y139" i="1"/>
  <c r="Z139" i="1"/>
  <c r="AB139" i="1"/>
  <c r="AC139" i="1"/>
  <c r="AD139" i="1"/>
  <c r="T139" i="1" s="1"/>
  <c r="AE139" i="1"/>
  <c r="R19" i="3" s="1"/>
  <c r="AF139" i="1"/>
  <c r="AH139" i="1"/>
  <c r="AM139" i="1"/>
  <c r="AN139" i="1"/>
  <c r="AO139" i="1"/>
  <c r="K140" i="1"/>
  <c r="L140" i="1"/>
  <c r="M140" i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X142" i="1" s="1"/>
  <c r="AE141" i="1"/>
  <c r="AF141" i="1"/>
  <c r="AH141" i="1"/>
  <c r="AM141" i="1"/>
  <c r="AN141" i="1"/>
  <c r="AO141" i="1"/>
  <c r="K143" i="1"/>
  <c r="L143" i="1"/>
  <c r="M143" i="1"/>
  <c r="N143" i="1" s="1"/>
  <c r="V143" i="1"/>
  <c r="S15" i="3" s="1"/>
  <c r="Y143" i="1"/>
  <c r="Z143" i="1"/>
  <c r="AB143" i="1"/>
  <c r="AC143" i="1"/>
  <c r="AD143" i="1"/>
  <c r="X143" i="1" s="1"/>
  <c r="AE143" i="1"/>
  <c r="R15" i="3" s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AO148" i="1"/>
  <c r="K149" i="1"/>
  <c r="L149" i="1"/>
  <c r="M149" i="1"/>
  <c r="P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X152" i="1" s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X159" i="1" s="1"/>
  <c r="AE158" i="1"/>
  <c r="AF15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6" i="1"/>
  <c r="L226" i="1"/>
  <c r="M226" i="1"/>
  <c r="N226" i="1" s="1"/>
  <c r="V226" i="1"/>
  <c r="S29" i="3" s="1"/>
  <c r="Y226" i="1"/>
  <c r="Z226" i="1"/>
  <c r="AB226" i="1"/>
  <c r="AC226" i="1"/>
  <c r="AD226" i="1"/>
  <c r="AE226" i="1"/>
  <c r="R29" i="3" s="1"/>
  <c r="AF226" i="1"/>
  <c r="AH170" i="1"/>
  <c r="AM170" i="1"/>
  <c r="AN170" i="1"/>
  <c r="AO17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S30" i="3" s="1"/>
  <c r="Y229" i="1"/>
  <c r="Z229" i="1"/>
  <c r="AB229" i="1"/>
  <c r="AC229" i="1"/>
  <c r="AD229" i="1"/>
  <c r="AE229" i="1"/>
  <c r="R30" i="3" s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160" i="1"/>
  <c r="L160" i="1"/>
  <c r="M160" i="1"/>
  <c r="N160" i="1" s="1"/>
  <c r="V160" i="1"/>
  <c r="S25" i="3" s="1"/>
  <c r="Y160" i="1"/>
  <c r="Z160" i="1"/>
  <c r="AB160" i="1"/>
  <c r="AC160" i="1"/>
  <c r="AD160" i="1"/>
  <c r="X160" i="1" s="1"/>
  <c r="AE160" i="1"/>
  <c r="R25" i="3" s="1"/>
  <c r="AF160" i="1"/>
  <c r="AH177" i="1"/>
  <c r="AM177" i="1"/>
  <c r="AN177" i="1"/>
  <c r="AO17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8" i="1"/>
  <c r="AM178" i="1"/>
  <c r="AN178" i="1"/>
  <c r="AO178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9" i="1"/>
  <c r="AM179" i="1"/>
  <c r="AN179" i="1"/>
  <c r="AO17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0" i="1"/>
  <c r="AM180" i="1"/>
  <c r="AN180" i="1"/>
  <c r="AO18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1" i="1"/>
  <c r="AM181" i="1"/>
  <c r="AN181" i="1"/>
  <c r="AO18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2" i="1"/>
  <c r="AM182" i="1"/>
  <c r="AN182" i="1"/>
  <c r="AO18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3" i="1"/>
  <c r="AM183" i="1"/>
  <c r="AN183" i="1"/>
  <c r="AO183" i="1"/>
  <c r="K167" i="1"/>
  <c r="L167" i="1"/>
  <c r="M167" i="1"/>
  <c r="N167" i="1" s="1"/>
  <c r="V167" i="1"/>
  <c r="Y167" i="1"/>
  <c r="Z167" i="1"/>
  <c r="AB167" i="1"/>
  <c r="AC167" i="1"/>
  <c r="AD167" i="1"/>
  <c r="X168" i="1" s="1"/>
  <c r="AE167" i="1"/>
  <c r="AF167" i="1"/>
  <c r="AH184" i="1"/>
  <c r="AM184" i="1"/>
  <c r="AN184" i="1"/>
  <c r="AO184" i="1"/>
  <c r="AH185" i="1"/>
  <c r="AM185" i="1"/>
  <c r="AN185" i="1"/>
  <c r="AO185" i="1"/>
  <c r="AH186" i="1"/>
  <c r="AM186" i="1"/>
  <c r="AN186" i="1"/>
  <c r="AO186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187" i="1"/>
  <c r="AM187" i="1"/>
  <c r="AN187" i="1"/>
  <c r="AO18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8" i="1"/>
  <c r="AM188" i="1"/>
  <c r="AN188" i="1"/>
  <c r="AO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AO189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90" i="1"/>
  <c r="AM190" i="1"/>
  <c r="AN190" i="1"/>
  <c r="AO190" i="1"/>
  <c r="K173" i="1"/>
  <c r="L173" i="1"/>
  <c r="M173" i="1"/>
  <c r="N173" i="1" s="1"/>
  <c r="V173" i="1"/>
  <c r="S21" i="3" s="1"/>
  <c r="Y173" i="1"/>
  <c r="Z173" i="1"/>
  <c r="AB173" i="1"/>
  <c r="AC173" i="1"/>
  <c r="AD173" i="1"/>
  <c r="T173" i="1" s="1"/>
  <c r="AE173" i="1"/>
  <c r="R21" i="3" s="1"/>
  <c r="AF173" i="1"/>
  <c r="AH191" i="1"/>
  <c r="AM191" i="1"/>
  <c r="AN191" i="1"/>
  <c r="AO191" i="1"/>
  <c r="K174" i="1"/>
  <c r="L174" i="1"/>
  <c r="M174" i="1"/>
  <c r="N174" i="1" s="1"/>
  <c r="V174" i="1"/>
  <c r="S26" i="3" s="1"/>
  <c r="Y174" i="1"/>
  <c r="Z174" i="1"/>
  <c r="AB174" i="1"/>
  <c r="AC174" i="1"/>
  <c r="AD174" i="1"/>
  <c r="AE174" i="1"/>
  <c r="R26" i="3" s="1"/>
  <c r="AF174" i="1"/>
  <c r="AH192" i="1"/>
  <c r="AM192" i="1"/>
  <c r="AN192" i="1"/>
  <c r="AO19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3" i="1"/>
  <c r="AM193" i="1"/>
  <c r="AN193" i="1"/>
  <c r="AO19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4" i="1"/>
  <c r="AM194" i="1"/>
  <c r="AN194" i="1"/>
  <c r="AO19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5" i="1"/>
  <c r="AM195" i="1"/>
  <c r="AN195" i="1"/>
  <c r="AO195" i="1"/>
  <c r="K178" i="1"/>
  <c r="L178" i="1"/>
  <c r="M178" i="1"/>
  <c r="N178" i="1" s="1"/>
  <c r="V178" i="1"/>
  <c r="S27" i="3" s="1"/>
  <c r="Y178" i="1"/>
  <c r="Z178" i="1"/>
  <c r="AB178" i="1"/>
  <c r="AC178" i="1"/>
  <c r="AD178" i="1"/>
  <c r="T178" i="1" s="1"/>
  <c r="AE178" i="1"/>
  <c r="R27" i="3" s="1"/>
  <c r="AF178" i="1"/>
  <c r="AH196" i="1"/>
  <c r="AM196" i="1"/>
  <c r="AN196" i="1"/>
  <c r="AO19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AM197" i="1"/>
  <c r="AN197" i="1"/>
  <c r="AO19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8" i="1"/>
  <c r="AM198" i="1"/>
  <c r="AN198" i="1"/>
  <c r="AO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AO19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0" i="1"/>
  <c r="AM200" i="1"/>
  <c r="AN200" i="1"/>
  <c r="AO20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1" i="1"/>
  <c r="AM201" i="1"/>
  <c r="AN201" i="1"/>
  <c r="AO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AM202" i="1"/>
  <c r="AN202" i="1"/>
  <c r="AO20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3" i="1"/>
  <c r="AM203" i="1"/>
  <c r="AN203" i="1"/>
  <c r="AO20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4" i="1"/>
  <c r="AM204" i="1"/>
  <c r="AN204" i="1"/>
  <c r="AO20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R23" i="3" s="1"/>
  <c r="AF187" i="1"/>
  <c r="AH205" i="1"/>
  <c r="AM205" i="1"/>
  <c r="AN205" i="1"/>
  <c r="AO20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6" i="1"/>
  <c r="AM206" i="1"/>
  <c r="AN206" i="1"/>
  <c r="AO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AM207" i="1"/>
  <c r="AN207" i="1"/>
  <c r="AO20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8" i="1"/>
  <c r="AM208" i="1"/>
  <c r="AN208" i="1"/>
  <c r="AO20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9" i="1"/>
  <c r="AM209" i="1"/>
  <c r="AN209" i="1"/>
  <c r="AO20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0" i="1"/>
  <c r="AM210" i="1"/>
  <c r="AN210" i="1"/>
  <c r="AO21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1" i="1"/>
  <c r="AM211" i="1"/>
  <c r="AN211" i="1"/>
  <c r="AO21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2" i="1"/>
  <c r="AM212" i="1"/>
  <c r="AN212" i="1"/>
  <c r="AO212" i="1"/>
  <c r="K195" i="1"/>
  <c r="L195" i="1"/>
  <c r="M195" i="1"/>
  <c r="N195" i="1" s="1"/>
  <c r="V195" i="1"/>
  <c r="S22" i="3" s="1"/>
  <c r="Y195" i="1"/>
  <c r="Z195" i="1"/>
  <c r="AB195" i="1"/>
  <c r="AC195" i="1"/>
  <c r="AD195" i="1"/>
  <c r="T195" i="1" s="1"/>
  <c r="AE195" i="1"/>
  <c r="R22" i="3" s="1"/>
  <c r="AF195" i="1"/>
  <c r="AH213" i="1"/>
  <c r="AM213" i="1"/>
  <c r="AN213" i="1"/>
  <c r="AO21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4" i="1"/>
  <c r="AM214" i="1"/>
  <c r="AN214" i="1"/>
  <c r="AO21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5" i="1"/>
  <c r="AM215" i="1"/>
  <c r="AN215" i="1"/>
  <c r="AO21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6" i="1"/>
  <c r="AM216" i="1"/>
  <c r="AN216" i="1"/>
  <c r="AO21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7" i="1"/>
  <c r="AM217" i="1"/>
  <c r="AN217" i="1"/>
  <c r="AO21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8" i="1"/>
  <c r="AM218" i="1"/>
  <c r="AN218" i="1"/>
  <c r="AO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AM219" i="1"/>
  <c r="AN219" i="1"/>
  <c r="AO21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0" i="1"/>
  <c r="AM220" i="1"/>
  <c r="AN220" i="1"/>
  <c r="AO22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1" i="1"/>
  <c r="AM221" i="1"/>
  <c r="AN221" i="1"/>
  <c r="AO22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2" i="1"/>
  <c r="AM222" i="1"/>
  <c r="AN222" i="1"/>
  <c r="AO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AM223" i="1"/>
  <c r="AN223" i="1"/>
  <c r="AO22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4" i="1"/>
  <c r="AM224" i="1"/>
  <c r="AN224" i="1"/>
  <c r="AO224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5" i="1"/>
  <c r="AM225" i="1"/>
  <c r="AN225" i="1"/>
  <c r="AO225" i="1"/>
  <c r="K208" i="1"/>
  <c r="L208" i="1"/>
  <c r="M208" i="1"/>
  <c r="N208" i="1" s="1"/>
  <c r="V208" i="1"/>
  <c r="S24" i="3" s="1"/>
  <c r="Y208" i="1"/>
  <c r="Z208" i="1"/>
  <c r="AB208" i="1"/>
  <c r="AC208" i="1"/>
  <c r="AD208" i="1"/>
  <c r="T208" i="1" s="1"/>
  <c r="AE208" i="1"/>
  <c r="R24" i="3" s="1"/>
  <c r="AF208" i="1"/>
  <c r="AH226" i="1"/>
  <c r="AM226" i="1"/>
  <c r="AN226" i="1"/>
  <c r="AO22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7" i="1"/>
  <c r="AM227" i="1"/>
  <c r="AN227" i="1"/>
  <c r="AO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AM228" i="1"/>
  <c r="AN228" i="1"/>
  <c r="AO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AO22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0" i="1"/>
  <c r="AM230" i="1"/>
  <c r="AN230" i="1"/>
  <c r="AO23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1" i="1"/>
  <c r="AM231" i="1"/>
  <c r="AN231" i="1"/>
  <c r="AO23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2" i="1"/>
  <c r="AM232" i="1"/>
  <c r="AN232" i="1"/>
  <c r="AO232" i="1"/>
  <c r="M29" i="3"/>
  <c r="U29" i="3"/>
  <c r="T29" i="3" s="1"/>
  <c r="V29" i="3"/>
  <c r="X29" i="3"/>
  <c r="AC29" i="3"/>
  <c r="M11" i="3"/>
  <c r="U11" i="3"/>
  <c r="V11" i="3"/>
  <c r="X11" i="3"/>
  <c r="AC11" i="3"/>
  <c r="M25" i="3"/>
  <c r="T25" i="3"/>
  <c r="U25" i="3"/>
  <c r="AC25" i="3" s="1"/>
  <c r="V25" i="3"/>
  <c r="X25" i="3"/>
  <c r="AD11" i="3"/>
  <c r="AE11" i="3"/>
  <c r="M16" i="3"/>
  <c r="U16" i="3"/>
  <c r="T16" i="3" s="1"/>
  <c r="V16" i="3"/>
  <c r="X16" i="3"/>
  <c r="M13" i="3"/>
  <c r="U13" i="3"/>
  <c r="AD13" i="3" s="1"/>
  <c r="V13" i="3"/>
  <c r="X13" i="3"/>
  <c r="M14" i="3"/>
  <c r="U14" i="3"/>
  <c r="AC14" i="3" s="1"/>
  <c r="V14" i="3"/>
  <c r="X14" i="3"/>
  <c r="M20" i="3"/>
  <c r="U20" i="3"/>
  <c r="AC20" i="3" s="1"/>
  <c r="V20" i="3"/>
  <c r="X20" i="3"/>
  <c r="M12" i="3"/>
  <c r="U12" i="3"/>
  <c r="T12" i="3" s="1"/>
  <c r="V12" i="3"/>
  <c r="X12" i="3"/>
  <c r="M21" i="3"/>
  <c r="U21" i="3"/>
  <c r="AC21" i="3" s="1"/>
  <c r="V21" i="3"/>
  <c r="X21" i="3"/>
  <c r="M26" i="3"/>
  <c r="U26" i="3"/>
  <c r="AC26" i="3" s="1"/>
  <c r="V26" i="3"/>
  <c r="X26" i="3"/>
  <c r="M7" i="3"/>
  <c r="U7" i="3"/>
  <c r="T7" i="3" s="1"/>
  <c r="V7" i="3"/>
  <c r="X7" i="3"/>
  <c r="M30" i="3"/>
  <c r="U30" i="3"/>
  <c r="AD20" i="3" s="1"/>
  <c r="V30" i="3"/>
  <c r="X30" i="3"/>
  <c r="M27" i="3"/>
  <c r="U27" i="3"/>
  <c r="AC27" i="3" s="1"/>
  <c r="V27" i="3"/>
  <c r="X27" i="3"/>
  <c r="M17" i="3"/>
  <c r="U17" i="3"/>
  <c r="T17" i="3" s="1"/>
  <c r="V17" i="3"/>
  <c r="X17" i="3"/>
  <c r="AD21" i="3"/>
  <c r="AE21" i="3"/>
  <c r="M10" i="3"/>
  <c r="U10" i="3"/>
  <c r="T10" i="3" s="1"/>
  <c r="V10" i="3"/>
  <c r="X10" i="3"/>
  <c r="M18" i="3"/>
  <c r="U18" i="3"/>
  <c r="AC18" i="3" s="1"/>
  <c r="V18" i="3"/>
  <c r="X18" i="3"/>
  <c r="M8" i="3"/>
  <c r="U8" i="3"/>
  <c r="AC8" i="3" s="1"/>
  <c r="V8" i="3"/>
  <c r="X8" i="3"/>
  <c r="M23" i="3"/>
  <c r="S23" i="3"/>
  <c r="U23" i="3"/>
  <c r="T23" i="3" s="1"/>
  <c r="V23" i="3"/>
  <c r="X23" i="3"/>
  <c r="AD25" i="3"/>
  <c r="M22" i="3"/>
  <c r="U22" i="3"/>
  <c r="T22" i="3" s="1"/>
  <c r="V22" i="3"/>
  <c r="X22" i="3"/>
  <c r="AD26" i="3"/>
  <c r="M9" i="3"/>
  <c r="U9" i="3"/>
  <c r="AC9" i="3" s="1"/>
  <c r="V9" i="3"/>
  <c r="X9" i="3"/>
  <c r="M15" i="3"/>
  <c r="U15" i="3"/>
  <c r="AD15" i="3" s="1"/>
  <c r="V15" i="3"/>
  <c r="X15" i="3"/>
  <c r="M19" i="3"/>
  <c r="U19" i="3"/>
  <c r="T19" i="3" s="1"/>
  <c r="V19" i="3"/>
  <c r="X19" i="3"/>
  <c r="AD29" i="3"/>
  <c r="M24" i="3"/>
  <c r="U24" i="3"/>
  <c r="AD30" i="3" s="1"/>
  <c r="V24" i="3"/>
  <c r="X24" i="3"/>
  <c r="W13" i="3"/>
  <c r="W22" i="3"/>
  <c r="W26" i="3"/>
  <c r="W30" i="3"/>
  <c r="W9" i="3"/>
  <c r="W7" i="3"/>
  <c r="W25" i="3"/>
  <c r="W29" i="3"/>
  <c r="W11" i="3"/>
  <c r="W18" i="3"/>
  <c r="W15" i="3"/>
  <c r="W27" i="3"/>
  <c r="W10" i="3"/>
  <c r="W20" i="3"/>
  <c r="W16" i="3"/>
  <c r="W8" i="3"/>
  <c r="W12" i="3"/>
  <c r="W21" i="3"/>
  <c r="W24" i="3"/>
  <c r="W14" i="3"/>
  <c r="W23" i="3"/>
  <c r="W19" i="3"/>
  <c r="W17" i="3"/>
  <c r="AG44" i="1"/>
  <c r="AG87" i="1"/>
  <c r="AG145" i="1"/>
  <c r="AG193" i="1"/>
  <c r="AG45" i="1"/>
  <c r="AG26" i="1"/>
  <c r="AG183" i="1"/>
  <c r="AG39" i="1"/>
  <c r="AG100" i="1"/>
  <c r="AG24" i="1"/>
  <c r="AG68" i="1"/>
  <c r="AG192" i="1"/>
  <c r="AG199" i="1"/>
  <c r="AG197" i="1"/>
  <c r="AG143" i="1"/>
  <c r="AG20" i="1"/>
  <c r="AG70" i="1"/>
  <c r="AG41" i="1"/>
  <c r="AG21" i="1"/>
  <c r="AG166" i="1"/>
  <c r="AG61" i="1"/>
  <c r="AG97" i="1"/>
  <c r="AG157" i="1"/>
  <c r="AG198" i="1"/>
  <c r="AG82" i="1"/>
  <c r="AG150" i="1"/>
  <c r="AG131" i="1"/>
  <c r="AG153" i="1"/>
  <c r="AG228" i="1"/>
  <c r="AG95" i="1"/>
  <c r="AG58" i="1"/>
  <c r="AG122" i="1"/>
  <c r="AG75" i="1"/>
  <c r="AG30" i="1"/>
  <c r="AG223" i="1"/>
  <c r="AG160" i="1"/>
  <c r="AG210" i="1"/>
  <c r="AG25" i="1"/>
  <c r="AG89" i="1"/>
  <c r="AG133" i="1"/>
  <c r="AG43" i="1"/>
  <c r="AG16" i="1"/>
  <c r="AG105" i="1"/>
  <c r="AG218" i="1"/>
  <c r="AG76" i="1"/>
  <c r="AG83" i="1"/>
  <c r="AG121" i="1"/>
  <c r="AG182" i="1"/>
  <c r="AG129" i="1"/>
  <c r="AG207" i="1"/>
  <c r="AG63" i="1"/>
  <c r="AG46" i="1"/>
  <c r="AG222" i="1"/>
  <c r="AG33" i="1"/>
  <c r="AG119" i="1"/>
  <c r="AG162" i="1"/>
  <c r="AG57" i="1"/>
  <c r="AG93" i="1"/>
  <c r="AG151" i="1"/>
  <c r="AG204" i="1"/>
  <c r="AG98" i="1"/>
  <c r="AG232" i="1"/>
  <c r="AG112" i="1"/>
  <c r="AG144" i="1"/>
  <c r="AG92" i="1"/>
  <c r="AG230" i="1"/>
  <c r="AG38" i="1"/>
  <c r="AG220" i="1"/>
  <c r="AG221" i="1"/>
  <c r="AG22" i="1"/>
  <c r="AG91" i="1"/>
  <c r="AG149" i="1"/>
  <c r="AG123" i="1"/>
  <c r="AG53" i="1"/>
  <c r="AG40" i="1"/>
  <c r="AG171" i="1"/>
  <c r="AG74" i="1"/>
  <c r="AG27" i="1"/>
  <c r="AG124" i="1"/>
  <c r="AG35" i="1"/>
  <c r="AG72" i="1"/>
  <c r="AG32" i="1"/>
  <c r="AG85" i="1"/>
  <c r="AG52" i="1"/>
  <c r="AG118" i="1"/>
  <c r="AG79" i="1"/>
  <c r="AG227" i="1"/>
  <c r="AG101" i="1"/>
  <c r="AG23" i="1"/>
  <c r="AG148" i="1"/>
  <c r="AG231" i="1"/>
  <c r="AG195" i="1"/>
  <c r="AG88" i="1"/>
  <c r="AG139" i="1"/>
  <c r="AG173" i="1"/>
  <c r="AG224" i="1"/>
  <c r="AG135" i="1"/>
  <c r="AG158" i="1"/>
  <c r="AG189" i="1"/>
  <c r="AG62" i="1"/>
  <c r="AG212" i="1"/>
  <c r="AG188" i="1"/>
  <c r="AG80" i="1"/>
  <c r="AG209" i="1"/>
  <c r="AG31" i="1"/>
  <c r="AG137" i="1"/>
  <c r="AG67" i="1"/>
  <c r="AG103" i="1"/>
  <c r="AG213" i="1"/>
  <c r="AG206" i="1"/>
  <c r="AG77" i="1"/>
  <c r="AG134" i="1"/>
  <c r="AG125" i="1"/>
  <c r="AG78" i="1"/>
  <c r="AG141" i="1"/>
  <c r="AG178" i="1"/>
  <c r="AG104" i="1"/>
  <c r="AG56" i="1"/>
  <c r="AG96" i="1"/>
  <c r="AG65" i="1"/>
  <c r="AG175" i="1"/>
  <c r="AG174" i="1"/>
  <c r="AG110" i="1"/>
  <c r="AG54" i="1"/>
  <c r="AG132" i="1"/>
  <c r="AG181" i="1"/>
  <c r="AG19" i="1"/>
  <c r="AG113" i="1"/>
  <c r="AG229" i="1"/>
  <c r="AG18" i="1"/>
  <c r="AG106" i="1"/>
  <c r="AG167" i="1"/>
  <c r="AG180" i="1"/>
  <c r="AG196" i="1"/>
  <c r="AG225" i="1"/>
  <c r="AG169" i="1"/>
  <c r="AG86" i="1"/>
  <c r="AG50" i="1"/>
  <c r="AG49" i="1"/>
  <c r="AG155" i="1"/>
  <c r="AG29" i="1"/>
  <c r="AG191" i="1"/>
  <c r="AG205" i="1"/>
  <c r="AG115" i="1"/>
  <c r="AG146" i="1"/>
  <c r="AG163" i="1"/>
  <c r="AG170" i="1"/>
  <c r="AG48" i="1"/>
  <c r="AG215" i="1"/>
  <c r="AG15" i="1"/>
  <c r="AG186" i="1"/>
  <c r="AG140" i="1"/>
  <c r="AG164" i="1"/>
  <c r="AG216" i="1"/>
  <c r="AG60" i="1"/>
  <c r="AG208" i="1"/>
  <c r="AG99" i="1"/>
  <c r="AG179" i="1"/>
  <c r="AG226" i="1"/>
  <c r="AG102" i="1"/>
  <c r="AG36" i="1"/>
  <c r="AG128" i="1"/>
  <c r="AG177" i="1"/>
  <c r="AG73" i="1"/>
  <c r="AG109" i="1"/>
  <c r="AG219" i="1"/>
  <c r="AG66" i="1"/>
  <c r="AG64" i="1"/>
  <c r="AG190" i="1"/>
  <c r="AG165" i="1"/>
  <c r="AG161" i="1"/>
  <c r="AG156" i="1"/>
  <c r="AG136" i="1"/>
  <c r="AG117" i="1"/>
  <c r="AG55" i="1"/>
  <c r="AG42" i="1"/>
  <c r="AG71" i="1"/>
  <c r="AG107" i="1"/>
  <c r="AG217" i="1"/>
  <c r="AG203" i="1"/>
  <c r="AG81" i="1"/>
  <c r="AG138" i="1"/>
  <c r="AG187" i="1"/>
  <c r="AG47" i="1"/>
  <c r="AG116" i="1"/>
  <c r="AG194" i="1"/>
  <c r="AG120" i="1"/>
  <c r="AG108" i="1"/>
  <c r="AG172" i="1"/>
  <c r="AG211" i="1"/>
  <c r="AG214" i="1"/>
  <c r="AG59" i="1"/>
  <c r="AG111" i="1"/>
  <c r="AG185" i="1"/>
  <c r="AG126" i="1"/>
  <c r="AG114" i="1"/>
  <c r="AG127" i="1"/>
  <c r="AG14" i="1"/>
  <c r="AG17" i="1"/>
  <c r="AG176" i="1"/>
  <c r="AG90" i="1"/>
  <c r="AG69" i="1"/>
  <c r="AG94" i="1"/>
  <c r="AG184" i="1"/>
  <c r="AG28" i="1"/>
  <c r="AG37" i="1"/>
  <c r="AG34" i="1"/>
  <c r="AG202" i="1"/>
  <c r="AG130" i="1"/>
  <c r="AG200" i="1"/>
  <c r="AG201" i="1"/>
  <c r="AG84" i="1"/>
  <c r="T171" i="1" l="1"/>
  <c r="X171" i="1"/>
  <c r="X172" i="1"/>
  <c r="X170" i="1"/>
  <c r="AA210" i="1"/>
  <c r="AA221" i="1"/>
  <c r="AA198" i="1"/>
  <c r="T170" i="1"/>
  <c r="AA226" i="1"/>
  <c r="AA216" i="1"/>
  <c r="AA212" i="1"/>
  <c r="AA67" i="1"/>
  <c r="AA232" i="1"/>
  <c r="AA218" i="1"/>
  <c r="AA214" i="1"/>
  <c r="AA103" i="1"/>
  <c r="AA99" i="1"/>
  <c r="AA91" i="1"/>
  <c r="AA87" i="1"/>
  <c r="AA83" i="1"/>
  <c r="W83" i="1" s="1"/>
  <c r="AA79" i="1"/>
  <c r="X153" i="1"/>
  <c r="X154" i="1"/>
  <c r="X146" i="1"/>
  <c r="X147" i="1"/>
  <c r="X73" i="1"/>
  <c r="X72" i="1"/>
  <c r="AA183" i="1"/>
  <c r="AA175" i="1"/>
  <c r="AA192" i="1"/>
  <c r="AA166" i="1"/>
  <c r="AA162" i="1"/>
  <c r="W162" i="1" s="1"/>
  <c r="AA144" i="1"/>
  <c r="AA139" i="1"/>
  <c r="AA135" i="1"/>
  <c r="AA131" i="1"/>
  <c r="AA127" i="1"/>
  <c r="AA74" i="1"/>
  <c r="W74" i="1" s="1"/>
  <c r="X57" i="1"/>
  <c r="X120" i="1"/>
  <c r="AA153" i="1"/>
  <c r="W153" i="1" s="1"/>
  <c r="AA148" i="1"/>
  <c r="X116" i="1"/>
  <c r="AA113" i="1"/>
  <c r="X112" i="1"/>
  <c r="AA109" i="1"/>
  <c r="AA101" i="1"/>
  <c r="X88" i="1"/>
  <c r="AA71" i="1"/>
  <c r="W71" i="1" s="1"/>
  <c r="AA70" i="1"/>
  <c r="AA64" i="1"/>
  <c r="AA72" i="1"/>
  <c r="X50" i="1"/>
  <c r="AA47" i="1"/>
  <c r="AA43" i="1"/>
  <c r="AA73" i="1"/>
  <c r="W73" i="1" s="1"/>
  <c r="AA220" i="1"/>
  <c r="AA197" i="1"/>
  <c r="W197" i="1" s="1"/>
  <c r="AA177" i="1"/>
  <c r="AA173" i="1"/>
  <c r="W173" i="1" s="1"/>
  <c r="AA36" i="1"/>
  <c r="X190" i="1"/>
  <c r="X182" i="1"/>
  <c r="X174" i="1"/>
  <c r="AA161" i="1"/>
  <c r="W161" i="1" s="1"/>
  <c r="AA230" i="1"/>
  <c r="AA158" i="1"/>
  <c r="W158" i="1" s="1"/>
  <c r="AA118" i="1"/>
  <c r="AA66" i="1"/>
  <c r="W66" i="1" s="1"/>
  <c r="X65" i="1"/>
  <c r="AA55" i="1"/>
  <c r="AA54" i="1"/>
  <c r="W54" i="1" s="1"/>
  <c r="AA49" i="1"/>
  <c r="AA45" i="1"/>
  <c r="AA38" i="1"/>
  <c r="AA25" i="1"/>
  <c r="W25" i="1" s="1"/>
  <c r="AA207" i="1"/>
  <c r="AA203" i="1"/>
  <c r="AA195" i="1"/>
  <c r="W195" i="1" s="1"/>
  <c r="AA188" i="1"/>
  <c r="AA180" i="1"/>
  <c r="W180" i="1" s="1"/>
  <c r="T172" i="1"/>
  <c r="AA163" i="1"/>
  <c r="AA115" i="1"/>
  <c r="T105" i="1"/>
  <c r="X105" i="1"/>
  <c r="X106" i="1"/>
  <c r="X98" i="1"/>
  <c r="X193" i="1"/>
  <c r="AA187" i="1"/>
  <c r="X108" i="1"/>
  <c r="X90" i="1"/>
  <c r="AA50" i="1"/>
  <c r="AA202" i="1"/>
  <c r="AA199" i="1"/>
  <c r="W199" i="1" s="1"/>
  <c r="AA184" i="1"/>
  <c r="X180" i="1"/>
  <c r="AA176" i="1"/>
  <c r="AA227" i="1"/>
  <c r="AA217" i="1"/>
  <c r="AA96" i="1"/>
  <c r="AA92" i="1"/>
  <c r="X91" i="1"/>
  <c r="AA84" i="1"/>
  <c r="W84" i="1" s="1"/>
  <c r="AA80" i="1"/>
  <c r="AA76" i="1"/>
  <c r="X75" i="1"/>
  <c r="AA39" i="1"/>
  <c r="W39" i="1" s="1"/>
  <c r="AA35" i="1"/>
  <c r="W35" i="1" s="1"/>
  <c r="AA201" i="1"/>
  <c r="X94" i="1"/>
  <c r="AA33" i="1"/>
  <c r="W33" i="1" s="1"/>
  <c r="AA223" i="1"/>
  <c r="AA200" i="1"/>
  <c r="AA196" i="1"/>
  <c r="AA191" i="1"/>
  <c r="W191" i="1" s="1"/>
  <c r="X189" i="1"/>
  <c r="X185" i="1"/>
  <c r="AA178" i="1"/>
  <c r="W178" i="1" s="1"/>
  <c r="AA174" i="1"/>
  <c r="W174" i="1" s="1"/>
  <c r="AA165" i="1"/>
  <c r="AA156" i="1"/>
  <c r="AA150" i="1"/>
  <c r="W150" i="1" s="1"/>
  <c r="AA141" i="1"/>
  <c r="AA137" i="1"/>
  <c r="W137" i="1" s="1"/>
  <c r="AA133" i="1"/>
  <c r="AA129" i="1"/>
  <c r="AA121" i="1"/>
  <c r="AA114" i="1"/>
  <c r="W114" i="1" s="1"/>
  <c r="AA105" i="1"/>
  <c r="AA104" i="1"/>
  <c r="W104" i="1" s="1"/>
  <c r="AA102" i="1"/>
  <c r="X101" i="1"/>
  <c r="X99" i="1"/>
  <c r="AA97" i="1"/>
  <c r="AA93" i="1"/>
  <c r="AA89" i="1"/>
  <c r="AA41" i="1"/>
  <c r="AA222" i="1"/>
  <c r="AA205" i="1"/>
  <c r="X181" i="1"/>
  <c r="AA179" i="1"/>
  <c r="X177" i="1"/>
  <c r="AA170" i="1"/>
  <c r="AA169" i="1"/>
  <c r="AA167" i="1"/>
  <c r="W167" i="1" s="1"/>
  <c r="AA215" i="1"/>
  <c r="AA213" i="1"/>
  <c r="W213" i="1" s="1"/>
  <c r="AA211" i="1"/>
  <c r="AA209" i="1"/>
  <c r="AA155" i="1"/>
  <c r="AA149" i="1"/>
  <c r="W149" i="1" s="1"/>
  <c r="AA145" i="1"/>
  <c r="AA140" i="1"/>
  <c r="AA136" i="1"/>
  <c r="AA132" i="1"/>
  <c r="AA128" i="1"/>
  <c r="X126" i="1"/>
  <c r="X122" i="1"/>
  <c r="AA111" i="1"/>
  <c r="W111" i="1" s="1"/>
  <c r="AA110" i="1"/>
  <c r="AA95" i="1"/>
  <c r="X92" i="1"/>
  <c r="AA75" i="1"/>
  <c r="W75" i="1" s="1"/>
  <c r="AA46" i="1"/>
  <c r="AA42" i="1"/>
  <c r="W42" i="1" s="1"/>
  <c r="AA224" i="1"/>
  <c r="AA206" i="1"/>
  <c r="W206" i="1" s="1"/>
  <c r="X196" i="1"/>
  <c r="AA194" i="1"/>
  <c r="W194" i="1" s="1"/>
  <c r="AA193" i="1"/>
  <c r="AA190" i="1"/>
  <c r="W190" i="1" s="1"/>
  <c r="AA189" i="1"/>
  <c r="X173" i="1"/>
  <c r="AA171" i="1"/>
  <c r="AA228" i="1"/>
  <c r="AA117" i="1"/>
  <c r="X114" i="1"/>
  <c r="X96" i="1"/>
  <c r="X93" i="1"/>
  <c r="AA85" i="1"/>
  <c r="AA81" i="1"/>
  <c r="W81" i="1" s="1"/>
  <c r="AA77" i="1"/>
  <c r="AA69" i="1"/>
  <c r="W69" i="1" s="1"/>
  <c r="AA68" i="1"/>
  <c r="AA52" i="1"/>
  <c r="W52" i="1" s="1"/>
  <c r="AA37" i="1"/>
  <c r="AA225" i="1"/>
  <c r="X188" i="1"/>
  <c r="AA186" i="1"/>
  <c r="W186" i="1" s="1"/>
  <c r="AA185" i="1"/>
  <c r="AA182" i="1"/>
  <c r="W182" i="1" s="1"/>
  <c r="AA181" i="1"/>
  <c r="T180" i="1"/>
  <c r="U180" i="1" s="1"/>
  <c r="S180" i="1" s="1"/>
  <c r="AA231" i="1"/>
  <c r="AA157" i="1"/>
  <c r="W157" i="1" s="1"/>
  <c r="AA151" i="1"/>
  <c r="AA146" i="1"/>
  <c r="W146" i="1" s="1"/>
  <c r="AA143" i="1"/>
  <c r="AA138" i="1"/>
  <c r="W138" i="1" s="1"/>
  <c r="AA134" i="1"/>
  <c r="AA130" i="1"/>
  <c r="W130" i="1" s="1"/>
  <c r="AA126" i="1"/>
  <c r="AA120" i="1"/>
  <c r="W120" i="1" s="1"/>
  <c r="AA119" i="1"/>
  <c r="X118" i="1"/>
  <c r="X115" i="1"/>
  <c r="AA108" i="1"/>
  <c r="W108" i="1" s="1"/>
  <c r="AA107" i="1"/>
  <c r="X104" i="1"/>
  <c r="X102" i="1"/>
  <c r="X100" i="1"/>
  <c r="T88" i="1"/>
  <c r="AA86" i="1"/>
  <c r="AA82" i="1"/>
  <c r="AA78" i="1"/>
  <c r="W78" i="1" s="1"/>
  <c r="T75" i="1"/>
  <c r="U75" i="1" s="1"/>
  <c r="S75" i="1" s="1"/>
  <c r="AA61" i="1"/>
  <c r="W61" i="1" s="1"/>
  <c r="AA53" i="1"/>
  <c r="AA44" i="1"/>
  <c r="AA29" i="1"/>
  <c r="AA65" i="1"/>
  <c r="W65" i="1" s="1"/>
  <c r="AA204" i="1"/>
  <c r="X192" i="1"/>
  <c r="X191" i="1"/>
  <c r="T190" i="1"/>
  <c r="U190" i="1" s="1"/>
  <c r="S190" i="1" s="1"/>
  <c r="X184" i="1"/>
  <c r="X183" i="1"/>
  <c r="T182" i="1"/>
  <c r="U182" i="1" s="1"/>
  <c r="S182" i="1" s="1"/>
  <c r="X176" i="1"/>
  <c r="X175" i="1"/>
  <c r="T174" i="1"/>
  <c r="U174" i="1" s="1"/>
  <c r="S174" i="1" s="1"/>
  <c r="AA160" i="1"/>
  <c r="W160" i="1" s="1"/>
  <c r="AA219" i="1"/>
  <c r="T193" i="1"/>
  <c r="T185" i="1"/>
  <c r="U185" i="1" s="1"/>
  <c r="S185" i="1" s="1"/>
  <c r="T177" i="1"/>
  <c r="U177" i="1" s="1"/>
  <c r="S177" i="1" s="1"/>
  <c r="AA208" i="1"/>
  <c r="W208" i="1" s="1"/>
  <c r="X195" i="1"/>
  <c r="X187" i="1"/>
  <c r="X179" i="1"/>
  <c r="AA164" i="1"/>
  <c r="AA229" i="1"/>
  <c r="W229" i="1" s="1"/>
  <c r="X194" i="1"/>
  <c r="X186" i="1"/>
  <c r="X178" i="1"/>
  <c r="X119" i="1"/>
  <c r="X117" i="1"/>
  <c r="AA116" i="1"/>
  <c r="X107" i="1"/>
  <c r="AA106" i="1"/>
  <c r="W106" i="1" s="1"/>
  <c r="T101" i="1"/>
  <c r="U101" i="1" s="1"/>
  <c r="S101" i="1" s="1"/>
  <c r="T99" i="1"/>
  <c r="X95" i="1"/>
  <c r="AA94" i="1"/>
  <c r="W94" i="1" s="1"/>
  <c r="T91" i="1"/>
  <c r="U91" i="1" s="1"/>
  <c r="S91" i="1" s="1"/>
  <c r="AA88" i="1"/>
  <c r="X71" i="1"/>
  <c r="X70" i="1"/>
  <c r="T69" i="1"/>
  <c r="U69" i="1" s="1"/>
  <c r="S69" i="1" s="1"/>
  <c r="X64" i="1"/>
  <c r="AA63" i="1"/>
  <c r="AA62" i="1"/>
  <c r="W62" i="1" s="1"/>
  <c r="X58" i="1"/>
  <c r="AA57" i="1"/>
  <c r="T57" i="1"/>
  <c r="X56" i="1"/>
  <c r="AA48" i="1"/>
  <c r="W48" i="1" s="1"/>
  <c r="AA27" i="1"/>
  <c r="X121" i="1"/>
  <c r="X111" i="1"/>
  <c r="X109" i="1"/>
  <c r="T100" i="1"/>
  <c r="X97" i="1"/>
  <c r="X89" i="1"/>
  <c r="X68" i="1"/>
  <c r="X66" i="1"/>
  <c r="AA60" i="1"/>
  <c r="X123" i="1"/>
  <c r="X113" i="1"/>
  <c r="AA112" i="1"/>
  <c r="X110" i="1"/>
  <c r="X103" i="1"/>
  <c r="AA100" i="1"/>
  <c r="W100" i="1" s="1"/>
  <c r="AA98" i="1"/>
  <c r="AA90" i="1"/>
  <c r="X74" i="1"/>
  <c r="T73" i="1"/>
  <c r="U73" i="1" s="1"/>
  <c r="X67" i="1"/>
  <c r="AA59" i="1"/>
  <c r="AA58" i="1"/>
  <c r="W58" i="1" s="1"/>
  <c r="AA56" i="1"/>
  <c r="W56" i="1" s="1"/>
  <c r="AA31" i="1"/>
  <c r="AA24" i="1"/>
  <c r="AA23" i="1"/>
  <c r="W23" i="1" s="1"/>
  <c r="AA19" i="1"/>
  <c r="W19" i="1" s="1"/>
  <c r="AA15" i="1"/>
  <c r="AI232" i="1"/>
  <c r="AI230" i="1"/>
  <c r="U208" i="1"/>
  <c r="S208" i="1" s="1"/>
  <c r="AI226" i="1"/>
  <c r="U204" i="1"/>
  <c r="S204" i="1" s="1"/>
  <c r="AI222" i="1"/>
  <c r="AI225" i="1"/>
  <c r="U207" i="1"/>
  <c r="S207" i="1" s="1"/>
  <c r="AI221" i="1"/>
  <c r="U203" i="1"/>
  <c r="S203" i="1" s="1"/>
  <c r="AI229" i="1"/>
  <c r="U222" i="1"/>
  <c r="S222" i="1" s="1"/>
  <c r="AI231" i="1"/>
  <c r="W221" i="1"/>
  <c r="U221" i="1"/>
  <c r="S221" i="1" s="1"/>
  <c r="AI228" i="1"/>
  <c r="U206" i="1"/>
  <c r="S206" i="1" s="1"/>
  <c r="AI224" i="1"/>
  <c r="W202" i="1"/>
  <c r="U202" i="1"/>
  <c r="S202" i="1" s="1"/>
  <c r="AI220" i="1"/>
  <c r="U220" i="1"/>
  <c r="S220" i="1" s="1"/>
  <c r="AI227" i="1"/>
  <c r="U205" i="1"/>
  <c r="S205" i="1" s="1"/>
  <c r="AI223" i="1"/>
  <c r="U201" i="1"/>
  <c r="S201" i="1" s="1"/>
  <c r="AI219" i="1"/>
  <c r="U200" i="1"/>
  <c r="S200" i="1" s="1"/>
  <c r="AI218" i="1"/>
  <c r="U198" i="1"/>
  <c r="S198" i="1" s="1"/>
  <c r="AI216" i="1"/>
  <c r="U199" i="1"/>
  <c r="S199" i="1" s="1"/>
  <c r="AI217" i="1"/>
  <c r="U197" i="1"/>
  <c r="S197" i="1" s="1"/>
  <c r="AI215" i="1"/>
  <c r="U196" i="1"/>
  <c r="S196" i="1" s="1"/>
  <c r="AI214" i="1"/>
  <c r="AI125" i="1"/>
  <c r="U125" i="1"/>
  <c r="S125" i="1" s="1"/>
  <c r="AI124" i="1"/>
  <c r="U124" i="1"/>
  <c r="S124" i="1" s="1"/>
  <c r="AI123" i="1"/>
  <c r="U123" i="1"/>
  <c r="S123" i="1" s="1"/>
  <c r="AI122" i="1"/>
  <c r="U122" i="1"/>
  <c r="S122" i="1" s="1"/>
  <c r="U195" i="1"/>
  <c r="S195" i="1" s="1"/>
  <c r="AI213" i="1"/>
  <c r="U194" i="1"/>
  <c r="S194" i="1" s="1"/>
  <c r="AI212" i="1"/>
  <c r="U193" i="1"/>
  <c r="S193" i="1" s="1"/>
  <c r="AI211" i="1"/>
  <c r="U192" i="1"/>
  <c r="S192" i="1" s="1"/>
  <c r="AI210" i="1"/>
  <c r="U191" i="1"/>
  <c r="S191" i="1" s="1"/>
  <c r="AI209" i="1"/>
  <c r="AI208" i="1"/>
  <c r="U189" i="1"/>
  <c r="S189" i="1" s="1"/>
  <c r="AI207" i="1"/>
  <c r="U188" i="1"/>
  <c r="S188" i="1" s="1"/>
  <c r="AI206" i="1"/>
  <c r="U187" i="1"/>
  <c r="S187" i="1" s="1"/>
  <c r="AI205" i="1"/>
  <c r="U186" i="1"/>
  <c r="S186" i="1" s="1"/>
  <c r="AI204" i="1"/>
  <c r="AI203" i="1"/>
  <c r="U184" i="1"/>
  <c r="S184" i="1" s="1"/>
  <c r="AI202" i="1"/>
  <c r="U183" i="1"/>
  <c r="S183" i="1" s="1"/>
  <c r="AI201" i="1"/>
  <c r="AI200" i="1"/>
  <c r="U181" i="1"/>
  <c r="S181" i="1" s="1"/>
  <c r="AI199" i="1"/>
  <c r="AI198" i="1"/>
  <c r="U179" i="1"/>
  <c r="S179" i="1" s="1"/>
  <c r="AI197" i="1"/>
  <c r="U178" i="1"/>
  <c r="S178" i="1" s="1"/>
  <c r="AI196" i="1"/>
  <c r="AI195" i="1"/>
  <c r="U176" i="1"/>
  <c r="S176" i="1" s="1"/>
  <c r="AI194" i="1"/>
  <c r="U175" i="1"/>
  <c r="S175" i="1" s="1"/>
  <c r="AI193" i="1"/>
  <c r="AI192" i="1"/>
  <c r="U173" i="1"/>
  <c r="S173" i="1" s="1"/>
  <c r="AI191" i="1"/>
  <c r="U172" i="1"/>
  <c r="S172" i="1" s="1"/>
  <c r="AI190" i="1"/>
  <c r="U171" i="1"/>
  <c r="S171" i="1" s="1"/>
  <c r="AI189" i="1"/>
  <c r="U170" i="1"/>
  <c r="S170" i="1" s="1"/>
  <c r="AI188" i="1"/>
  <c r="W170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7" i="1"/>
  <c r="AI166" i="1"/>
  <c r="AI165" i="1"/>
  <c r="AI164" i="1"/>
  <c r="W212" i="1"/>
  <c r="AI163" i="1"/>
  <c r="W211" i="1"/>
  <c r="AI162" i="1"/>
  <c r="W210" i="1"/>
  <c r="AI161" i="1"/>
  <c r="W209" i="1"/>
  <c r="AI160" i="1"/>
  <c r="AI158" i="1"/>
  <c r="AI157" i="1"/>
  <c r="AI156" i="1"/>
  <c r="AI155" i="1"/>
  <c r="AI153" i="1"/>
  <c r="AI151" i="1"/>
  <c r="AI150" i="1"/>
  <c r="AI149" i="1"/>
  <c r="AI148" i="1"/>
  <c r="AI146" i="1"/>
  <c r="AI145" i="1"/>
  <c r="AI144" i="1"/>
  <c r="AI143" i="1"/>
  <c r="AI141" i="1"/>
  <c r="AI140" i="1"/>
  <c r="U139" i="1"/>
  <c r="AI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AI133" i="1"/>
  <c r="U132" i="1"/>
  <c r="S132" i="1" s="1"/>
  <c r="AI132" i="1"/>
  <c r="U131" i="1"/>
  <c r="S131" i="1" s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AI52" i="1"/>
  <c r="AI48" i="1"/>
  <c r="AI44" i="1"/>
  <c r="AI40" i="1"/>
  <c r="AI32" i="1"/>
  <c r="AI30" i="1"/>
  <c r="AI28" i="1"/>
  <c r="AI26" i="1"/>
  <c r="AI24" i="1"/>
  <c r="AI21" i="1"/>
  <c r="U21" i="1"/>
  <c r="S21" i="1" s="1"/>
  <c r="AI34" i="1"/>
  <c r="U121" i="1"/>
  <c r="S121" i="1" s="1"/>
  <c r="AI121" i="1"/>
  <c r="AI120" i="1"/>
  <c r="U119" i="1"/>
  <c r="S119" i="1" s="1"/>
  <c r="AI119" i="1"/>
  <c r="AI118" i="1"/>
  <c r="U117" i="1"/>
  <c r="S117" i="1" s="1"/>
  <c r="AI117" i="1"/>
  <c r="AI116" i="1"/>
  <c r="U115" i="1"/>
  <c r="S115" i="1" s="1"/>
  <c r="AI115" i="1"/>
  <c r="AI114" i="1"/>
  <c r="U113" i="1"/>
  <c r="S113" i="1" s="1"/>
  <c r="AI113" i="1"/>
  <c r="AI112" i="1"/>
  <c r="U111" i="1"/>
  <c r="S111" i="1" s="1"/>
  <c r="AI111" i="1"/>
  <c r="AI110" i="1"/>
  <c r="U109" i="1"/>
  <c r="S109" i="1" s="1"/>
  <c r="AI109" i="1"/>
  <c r="AI108" i="1"/>
  <c r="U107" i="1"/>
  <c r="S107" i="1" s="1"/>
  <c r="AI107" i="1"/>
  <c r="AI106" i="1"/>
  <c r="U105" i="1"/>
  <c r="S105" i="1" s="1"/>
  <c r="AI105" i="1"/>
  <c r="AI104" i="1"/>
  <c r="U103" i="1"/>
  <c r="S103" i="1" s="1"/>
  <c r="AI103" i="1"/>
  <c r="AI102" i="1"/>
  <c r="AI101" i="1"/>
  <c r="U100" i="1"/>
  <c r="S100" i="1" s="1"/>
  <c r="AI100" i="1"/>
  <c r="U99" i="1"/>
  <c r="S99" i="1" s="1"/>
  <c r="AI99" i="1"/>
  <c r="AI98" i="1"/>
  <c r="U97" i="1"/>
  <c r="S97" i="1" s="1"/>
  <c r="AI97" i="1"/>
  <c r="AI96" i="1"/>
  <c r="U95" i="1"/>
  <c r="S95" i="1" s="1"/>
  <c r="AI95" i="1"/>
  <c r="AI94" i="1"/>
  <c r="U93" i="1"/>
  <c r="S93" i="1" s="1"/>
  <c r="AI93" i="1"/>
  <c r="AI92" i="1"/>
  <c r="AI91" i="1"/>
  <c r="AI90" i="1"/>
  <c r="U89" i="1"/>
  <c r="S89" i="1" s="1"/>
  <c r="AI89" i="1"/>
  <c r="U88" i="1"/>
  <c r="S88" i="1" s="1"/>
  <c r="AI88" i="1"/>
  <c r="AI87" i="1"/>
  <c r="AI86" i="1"/>
  <c r="AI85" i="1"/>
  <c r="AI84" i="1"/>
  <c r="AI83" i="1"/>
  <c r="AI82" i="1"/>
  <c r="AI81" i="1"/>
  <c r="AI80" i="1"/>
  <c r="AI79" i="1"/>
  <c r="AI78" i="1"/>
  <c r="U77" i="1"/>
  <c r="S77" i="1" s="1"/>
  <c r="AI77" i="1"/>
  <c r="U76" i="1"/>
  <c r="S76" i="1" s="1"/>
  <c r="AI76" i="1"/>
  <c r="AI54" i="1"/>
  <c r="AI50" i="1"/>
  <c r="AI46" i="1"/>
  <c r="AI42" i="1"/>
  <c r="AI36" i="1"/>
  <c r="AI17" i="1"/>
  <c r="U17" i="1"/>
  <c r="S17" i="1" s="1"/>
  <c r="AI38" i="1"/>
  <c r="AI20" i="1"/>
  <c r="U20" i="1"/>
  <c r="S20" i="1" s="1"/>
  <c r="AI16" i="1"/>
  <c r="U16" i="1"/>
  <c r="S16" i="1" s="1"/>
  <c r="AI55" i="1"/>
  <c r="AI53" i="1"/>
  <c r="AI49" i="1"/>
  <c r="AI47" i="1"/>
  <c r="AI45" i="1"/>
  <c r="AI43" i="1"/>
  <c r="AI41" i="1"/>
  <c r="AI39" i="1"/>
  <c r="AI37" i="1"/>
  <c r="AI35" i="1"/>
  <c r="AI33" i="1"/>
  <c r="AI31" i="1"/>
  <c r="AI29" i="1"/>
  <c r="AI27" i="1"/>
  <c r="AI25" i="1"/>
  <c r="AI23" i="1"/>
  <c r="U23" i="1"/>
  <c r="S23" i="1" s="1"/>
  <c r="AI19" i="1"/>
  <c r="U19" i="1"/>
  <c r="S19" i="1" s="1"/>
  <c r="AI15" i="1"/>
  <c r="U15" i="1"/>
  <c r="S15" i="1" s="1"/>
  <c r="AI75" i="1"/>
  <c r="U74" i="1"/>
  <c r="S74" i="1" s="1"/>
  <c r="AI74" i="1"/>
  <c r="AI73" i="1"/>
  <c r="U72" i="1"/>
  <c r="S72" i="1" s="1"/>
  <c r="AI72" i="1"/>
  <c r="U71" i="1"/>
  <c r="S71" i="1" s="1"/>
  <c r="AI71" i="1"/>
  <c r="U70" i="1"/>
  <c r="S70" i="1" s="1"/>
  <c r="AI70" i="1"/>
  <c r="AI69" i="1"/>
  <c r="U68" i="1"/>
  <c r="S68" i="1" s="1"/>
  <c r="AI68" i="1"/>
  <c r="U67" i="1"/>
  <c r="S67" i="1" s="1"/>
  <c r="AI67" i="1"/>
  <c r="U66" i="1"/>
  <c r="S66" i="1" s="1"/>
  <c r="AI66" i="1"/>
  <c r="AI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22" i="1"/>
  <c r="U22" i="1"/>
  <c r="S22" i="1" s="1"/>
  <c r="AI18" i="1"/>
  <c r="U18" i="1"/>
  <c r="S18" i="1" s="1"/>
  <c r="AI14" i="1"/>
  <c r="U14" i="1"/>
  <c r="S14" i="1" s="1"/>
  <c r="W225" i="1"/>
  <c r="W223" i="1"/>
  <c r="W222" i="1"/>
  <c r="W205" i="1"/>
  <c r="W203" i="1"/>
  <c r="W192" i="1"/>
  <c r="W184" i="1"/>
  <c r="W176" i="1"/>
  <c r="W224" i="1"/>
  <c r="W204" i="1"/>
  <c r="W220" i="1"/>
  <c r="W207" i="1"/>
  <c r="W201" i="1"/>
  <c r="W200" i="1"/>
  <c r="W198" i="1"/>
  <c r="W196" i="1"/>
  <c r="W188" i="1"/>
  <c r="W172" i="1"/>
  <c r="T225" i="1"/>
  <c r="U225" i="1" s="1"/>
  <c r="S225" i="1" s="1"/>
  <c r="X225" i="1"/>
  <c r="W187" i="1"/>
  <c r="W183" i="1"/>
  <c r="W179" i="1"/>
  <c r="W175" i="1"/>
  <c r="W171" i="1"/>
  <c r="W164" i="1"/>
  <c r="W219" i="1"/>
  <c r="W215" i="1"/>
  <c r="T224" i="1"/>
  <c r="U224" i="1" s="1"/>
  <c r="S224" i="1" s="1"/>
  <c r="X224" i="1"/>
  <c r="W163" i="1"/>
  <c r="W232" i="1"/>
  <c r="W228" i="1"/>
  <c r="W218" i="1"/>
  <c r="W214" i="1"/>
  <c r="W193" i="1"/>
  <c r="W189" i="1"/>
  <c r="W185" i="1"/>
  <c r="W181" i="1"/>
  <c r="W177" i="1"/>
  <c r="W169" i="1"/>
  <c r="W166" i="1"/>
  <c r="W231" i="1"/>
  <c r="W227" i="1"/>
  <c r="W217" i="1"/>
  <c r="T223" i="1"/>
  <c r="U223" i="1" s="1"/>
  <c r="S223" i="1" s="1"/>
  <c r="X223" i="1"/>
  <c r="W165" i="1"/>
  <c r="W230" i="1"/>
  <c r="W226" i="1"/>
  <c r="W216" i="1"/>
  <c r="X222" i="1"/>
  <c r="X221" i="1"/>
  <c r="X220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T169" i="1"/>
  <c r="U169" i="1" s="1"/>
  <c r="S169" i="1" s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6" i="1"/>
  <c r="U226" i="1" s="1"/>
  <c r="S226" i="1" s="1"/>
  <c r="X226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T153" i="1"/>
  <c r="U153" i="1" s="1"/>
  <c r="S153" i="1" s="1"/>
  <c r="T151" i="1"/>
  <c r="U151" i="1" s="1"/>
  <c r="S151" i="1" s="1"/>
  <c r="X151" i="1"/>
  <c r="T150" i="1"/>
  <c r="U150" i="1" s="1"/>
  <c r="X150" i="1"/>
  <c r="T149" i="1"/>
  <c r="U149" i="1" s="1"/>
  <c r="S149" i="1" s="1"/>
  <c r="X149" i="1"/>
  <c r="T148" i="1"/>
  <c r="U148" i="1" s="1"/>
  <c r="S148" i="1" s="1"/>
  <c r="T146" i="1"/>
  <c r="U146" i="1" s="1"/>
  <c r="S146" i="1" s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T141" i="1"/>
  <c r="U141" i="1" s="1"/>
  <c r="S141" i="1" s="1"/>
  <c r="X141" i="1"/>
  <c r="T140" i="1"/>
  <c r="U140" i="1" s="1"/>
  <c r="X140" i="1"/>
  <c r="W118" i="1"/>
  <c r="W116" i="1"/>
  <c r="W115" i="1"/>
  <c r="W105" i="1"/>
  <c r="W119" i="1"/>
  <c r="W117" i="1"/>
  <c r="W110" i="1"/>
  <c r="W107" i="1"/>
  <c r="W121" i="1"/>
  <c r="W112" i="1"/>
  <c r="W109" i="1"/>
  <c r="W102" i="1"/>
  <c r="W156" i="1"/>
  <c r="W155" i="1"/>
  <c r="W151" i="1"/>
  <c r="W148" i="1"/>
  <c r="W145" i="1"/>
  <c r="W144" i="1"/>
  <c r="W143" i="1"/>
  <c r="W141" i="1"/>
  <c r="W140" i="1"/>
  <c r="W139" i="1"/>
  <c r="W136" i="1"/>
  <c r="W135" i="1"/>
  <c r="W134" i="1"/>
  <c r="W133" i="1"/>
  <c r="W132" i="1"/>
  <c r="W131" i="1"/>
  <c r="W129" i="1"/>
  <c r="W128" i="1"/>
  <c r="W127" i="1"/>
  <c r="W126" i="1"/>
  <c r="W113" i="1"/>
  <c r="W103" i="1"/>
  <c r="W101" i="1"/>
  <c r="W99" i="1"/>
  <c r="X125" i="1"/>
  <c r="X124" i="1"/>
  <c r="T120" i="1"/>
  <c r="U120" i="1" s="1"/>
  <c r="S120" i="1" s="1"/>
  <c r="T112" i="1"/>
  <c r="U112" i="1" s="1"/>
  <c r="S112" i="1" s="1"/>
  <c r="T104" i="1"/>
  <c r="U104" i="1" s="1"/>
  <c r="S104" i="1" s="1"/>
  <c r="W93" i="1"/>
  <c r="T118" i="1"/>
  <c r="U118" i="1" s="1"/>
  <c r="S118" i="1" s="1"/>
  <c r="T110" i="1"/>
  <c r="U110" i="1" s="1"/>
  <c r="S110" i="1" s="1"/>
  <c r="T102" i="1"/>
  <c r="U102" i="1" s="1"/>
  <c r="S102" i="1" s="1"/>
  <c r="W96" i="1"/>
  <c r="W95" i="1"/>
  <c r="AA125" i="1"/>
  <c r="W125" i="1" s="1"/>
  <c r="AA124" i="1"/>
  <c r="W124" i="1" s="1"/>
  <c r="AA123" i="1"/>
  <c r="W123" i="1" s="1"/>
  <c r="AA122" i="1"/>
  <c r="W122" i="1" s="1"/>
  <c r="T116" i="1"/>
  <c r="U116" i="1" s="1"/>
  <c r="S116" i="1" s="1"/>
  <c r="T108" i="1"/>
  <c r="U108" i="1" s="1"/>
  <c r="S108" i="1" s="1"/>
  <c r="W98" i="1"/>
  <c r="W97" i="1"/>
  <c r="W9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T114" i="1"/>
  <c r="U114" i="1" s="1"/>
  <c r="S114" i="1" s="1"/>
  <c r="T106" i="1"/>
  <c r="U106" i="1" s="1"/>
  <c r="S106" i="1" s="1"/>
  <c r="W92" i="1"/>
  <c r="W91" i="1"/>
  <c r="T98" i="1"/>
  <c r="U98" i="1" s="1"/>
  <c r="S98" i="1" s="1"/>
  <c r="T96" i="1"/>
  <c r="U96" i="1" s="1"/>
  <c r="S96" i="1" s="1"/>
  <c r="T94" i="1"/>
  <c r="U94" i="1" s="1"/>
  <c r="S94" i="1" s="1"/>
  <c r="T92" i="1"/>
  <c r="U92" i="1" s="1"/>
  <c r="S92" i="1" s="1"/>
  <c r="T90" i="1"/>
  <c r="U90" i="1" s="1"/>
  <c r="S90" i="1" s="1"/>
  <c r="W89" i="1"/>
  <c r="W72" i="1"/>
  <c r="W87" i="1"/>
  <c r="W86" i="1"/>
  <c r="W85" i="1"/>
  <c r="W82" i="1"/>
  <c r="W80" i="1"/>
  <c r="W79" i="1"/>
  <c r="W77" i="1"/>
  <c r="W76" i="1"/>
  <c r="W70" i="1"/>
  <c r="W67" i="1"/>
  <c r="W64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W68" i="1"/>
  <c r="W88" i="1"/>
  <c r="W36" i="1"/>
  <c r="T65" i="1"/>
  <c r="U65" i="1" s="1"/>
  <c r="S65" i="1" s="1"/>
  <c r="X63" i="1"/>
  <c r="X61" i="1"/>
  <c r="W60" i="1"/>
  <c r="X59" i="1"/>
  <c r="W53" i="1"/>
  <c r="W50" i="1"/>
  <c r="W49" i="1"/>
  <c r="W46" i="1"/>
  <c r="W45" i="1"/>
  <c r="W41" i="1"/>
  <c r="W38" i="1"/>
  <c r="W31" i="1"/>
  <c r="W29" i="1"/>
  <c r="W27" i="1"/>
  <c r="AA40" i="1"/>
  <c r="W40" i="1" s="1"/>
  <c r="W15" i="1"/>
  <c r="X77" i="1"/>
  <c r="X76" i="1"/>
  <c r="W63" i="1"/>
  <c r="X62" i="1"/>
  <c r="X60" i="1"/>
  <c r="W59" i="1"/>
  <c r="W57" i="1"/>
  <c r="W55" i="1"/>
  <c r="W47" i="1"/>
  <c r="W44" i="1"/>
  <c r="W43" i="1"/>
  <c r="W37" i="1"/>
  <c r="AA34" i="1"/>
  <c r="W34" i="1" s="1"/>
  <c r="T55" i="1"/>
  <c r="U55" i="1" s="1"/>
  <c r="S55" i="1" s="1"/>
  <c r="X55" i="1"/>
  <c r="T53" i="1"/>
  <c r="U53" i="1" s="1"/>
  <c r="S53" i="1" s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AA22" i="1"/>
  <c r="W22" i="1" s="1"/>
  <c r="AA18" i="1"/>
  <c r="W18" i="1" s="1"/>
  <c r="AA14" i="1"/>
  <c r="W14" i="1" s="1"/>
  <c r="AA32" i="1"/>
  <c r="W32" i="1" s="1"/>
  <c r="AA30" i="1"/>
  <c r="W30" i="1" s="1"/>
  <c r="AA28" i="1"/>
  <c r="W28" i="1" s="1"/>
  <c r="AA26" i="1"/>
  <c r="W26" i="1" s="1"/>
  <c r="W24" i="1"/>
  <c r="AA21" i="1"/>
  <c r="W21" i="1" s="1"/>
  <c r="AA17" i="1"/>
  <c r="W17" i="1" s="1"/>
  <c r="T54" i="1"/>
  <c r="U54" i="1" s="1"/>
  <c r="S54" i="1" s="1"/>
  <c r="X54" i="1"/>
  <c r="T52" i="1"/>
  <c r="U52" i="1" s="1"/>
  <c r="S52" i="1" s="1"/>
  <c r="T50" i="1"/>
  <c r="U50" i="1" s="1"/>
  <c r="S50" i="1" s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AA20" i="1"/>
  <c r="W20" i="1" s="1"/>
  <c r="AA16" i="1"/>
  <c r="W16" i="1" s="1"/>
  <c r="X23" i="1"/>
  <c r="X22" i="1"/>
  <c r="X21" i="1"/>
  <c r="X20" i="1"/>
  <c r="X19" i="1"/>
  <c r="X18" i="1"/>
  <c r="X17" i="1"/>
  <c r="X16" i="1"/>
  <c r="X15" i="1"/>
  <c r="T26" i="3"/>
  <c r="AD27" i="3"/>
  <c r="AD16" i="3"/>
  <c r="AC13" i="3"/>
  <c r="AC16" i="3"/>
  <c r="AC10" i="3"/>
  <c r="AC30" i="3"/>
  <c r="AC7" i="3"/>
  <c r="AC19" i="3"/>
  <c r="AD23" i="3"/>
  <c r="AC17" i="3"/>
  <c r="AE15" i="3"/>
  <c r="AD22" i="3"/>
  <c r="AE19" i="3"/>
  <c r="AD17" i="3"/>
  <c r="AD12" i="3"/>
  <c r="AC15" i="3"/>
  <c r="T15" i="3"/>
  <c r="AD19" i="3"/>
  <c r="AD9" i="3"/>
  <c r="AD8" i="3"/>
  <c r="AC24" i="3"/>
  <c r="AC22" i="3"/>
  <c r="AE25" i="3"/>
  <c r="AC12" i="3"/>
  <c r="T20" i="3"/>
  <c r="AC23" i="3"/>
  <c r="Y12" i="3"/>
  <c r="Y16" i="3"/>
  <c r="Y29" i="3"/>
  <c r="Y17" i="3"/>
  <c r="Y26" i="3"/>
  <c r="Y20" i="3"/>
  <c r="Y25" i="3"/>
  <c r="Y19" i="3"/>
  <c r="Y22" i="3"/>
  <c r="Y10" i="3"/>
  <c r="Y7" i="3"/>
  <c r="Y23" i="3"/>
  <c r="Y8" i="3"/>
  <c r="Y27" i="3"/>
  <c r="Y14" i="3"/>
  <c r="Y15" i="3"/>
  <c r="Y9" i="3"/>
  <c r="Y24" i="3"/>
  <c r="Y18" i="3"/>
  <c r="Y30" i="3"/>
  <c r="Y21" i="3"/>
  <c r="Y13" i="3"/>
  <c r="Y11" i="3"/>
  <c r="T9" i="3"/>
  <c r="T27" i="3"/>
  <c r="AE18" i="3"/>
  <c r="AE14" i="3"/>
  <c r="T14" i="3"/>
  <c r="AE10" i="3"/>
  <c r="AE30" i="3"/>
  <c r="T24" i="3"/>
  <c r="AE27" i="3"/>
  <c r="AD24" i="3"/>
  <c r="AE23" i="3"/>
  <c r="T18" i="3"/>
  <c r="AE20" i="3"/>
  <c r="T30" i="3"/>
  <c r="AD18" i="3"/>
  <c r="AE17" i="3"/>
  <c r="T21" i="3"/>
  <c r="AD14" i="3"/>
  <c r="AE13" i="3"/>
  <c r="T13" i="3"/>
  <c r="AD10" i="3"/>
  <c r="AE9" i="3"/>
  <c r="T11" i="3"/>
  <c r="AE24" i="3"/>
  <c r="T8" i="3"/>
  <c r="AE29" i="3"/>
  <c r="AE26" i="3"/>
  <c r="AE22" i="3"/>
  <c r="AE16" i="3"/>
  <c r="AE12" i="3"/>
  <c r="AE8" i="3"/>
  <c r="S28" i="3"/>
  <c r="R28" i="3"/>
  <c r="M28" i="3"/>
  <c r="U28" i="3"/>
  <c r="V28" i="3"/>
  <c r="X28" i="3"/>
  <c r="W28" i="3"/>
  <c r="S139" i="1" l="1"/>
  <c r="AC28" i="3"/>
  <c r="AD28" i="3"/>
  <c r="AE28" i="3"/>
  <c r="Y28" i="3"/>
  <c r="T28" i="3"/>
  <c r="V13" i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N29" i="3" s="1"/>
  <c r="G8" i="4"/>
  <c r="G9" i="4"/>
  <c r="G10" i="4"/>
  <c r="G11" i="4"/>
  <c r="G12" i="4"/>
  <c r="G13" i="4"/>
  <c r="G14" i="4"/>
  <c r="G15" i="4"/>
  <c r="G16" i="4"/>
  <c r="N11" i="3" s="1"/>
  <c r="G17" i="4"/>
  <c r="G18" i="4"/>
  <c r="G19" i="4"/>
  <c r="G20" i="4"/>
  <c r="G21" i="4"/>
  <c r="G22" i="4"/>
  <c r="G23" i="4"/>
  <c r="G24" i="4"/>
  <c r="G25" i="4"/>
  <c r="G26" i="4"/>
  <c r="N25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16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N13" i="3" s="1"/>
  <c r="G58" i="4"/>
  <c r="G59" i="4"/>
  <c r="G60" i="4"/>
  <c r="N20" i="3" s="1"/>
  <c r="G61" i="4"/>
  <c r="G62" i="4"/>
  <c r="G63" i="4"/>
  <c r="G64" i="4"/>
  <c r="G65" i="4"/>
  <c r="N14" i="3" s="1"/>
  <c r="G66" i="4"/>
  <c r="G67" i="4"/>
  <c r="G68" i="4"/>
  <c r="G69" i="4"/>
  <c r="G70" i="4"/>
  <c r="G71" i="4"/>
  <c r="N12" i="3" s="1"/>
  <c r="G72" i="4"/>
  <c r="G73" i="4"/>
  <c r="G74" i="4"/>
  <c r="N21" i="3" s="1"/>
  <c r="G75" i="4"/>
  <c r="G76" i="4"/>
  <c r="G77" i="4"/>
  <c r="N26" i="3" s="1"/>
  <c r="G78" i="4"/>
  <c r="G79" i="4"/>
  <c r="G80" i="4"/>
  <c r="G81" i="4"/>
  <c r="N7" i="3" s="1"/>
  <c r="G82" i="4"/>
  <c r="G83" i="4"/>
  <c r="G84" i="4"/>
  <c r="G85" i="4"/>
  <c r="G86" i="4"/>
  <c r="G87" i="4"/>
  <c r="G88" i="4"/>
  <c r="G89" i="4"/>
  <c r="G90" i="4"/>
  <c r="G91" i="4"/>
  <c r="G92" i="4"/>
  <c r="N30" i="3" s="1"/>
  <c r="G93" i="4"/>
  <c r="G94" i="4"/>
  <c r="G95" i="4"/>
  <c r="G96" i="4"/>
  <c r="G97" i="4"/>
  <c r="G98" i="4"/>
  <c r="N27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10" i="3" s="1"/>
  <c r="G120" i="4"/>
  <c r="N17" i="3" s="1"/>
  <c r="G121" i="4"/>
  <c r="G122" i="4"/>
  <c r="N18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8" i="3" s="1"/>
  <c r="G139" i="4"/>
  <c r="G140" i="4"/>
  <c r="G141" i="4"/>
  <c r="G142" i="4"/>
  <c r="G143" i="4"/>
  <c r="G144" i="4"/>
  <c r="N23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22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9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15" i="3" s="1"/>
  <c r="G204" i="4"/>
  <c r="N19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24" i="3" s="1"/>
  <c r="G221" i="4"/>
  <c r="G222" i="4"/>
  <c r="N28" i="3" s="1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<sst xmlns="http://schemas.openxmlformats.org/spreadsheetml/2006/main" count="2790" uniqueCount="1113">
  <si>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</si>
  <si>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</si>
  <si>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</si>
  <si>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</si>
  <si>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</si>
  <si>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</si>
  <si>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</si>
  <si>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</si>
  <si>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</si>
  <si>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</si>
  <si>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</si>
  <si>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</si>
  <si>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</si>
  <si>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</si>
  <si>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</si>
  <si>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</si>
  <si>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</si>
  <si>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</si>
  <si>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</si>
  <si>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</si>
  <si>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</si>
  <si>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</si>
  <si>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</si>
  <si>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</si>
  <si>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</si>
  <si>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</si>
  <si>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</si>
  <si>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</si>
  <si>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</si>
  <si>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</si>
  <si>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</si>
  <si>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</si>
  <si>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</si>
  <si>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</si>
  <si>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</si>
  <si>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</si>
  <si>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</si>
  <si>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</si>
  <si>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</si>
  <si>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</si>
  <si>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</si>
  <si>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</si>
  <si>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</si>
  <si>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</si>
  <si>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</si>
  <si>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</si>
  <si>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</si>
  <si>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</si>
  <si>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</si>
  <si>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</si>
  <si>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</si>
  <si>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</si>
  <si>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</si>
  <si>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</si>
  <si>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</si>
  <si>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</si>
  <si>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</si>
  <si>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</si>
  <si>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</si>
  <si>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</si>
  <si>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</si>
  <si>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</si>
  <si>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</si>
  <si>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</si>
  <si>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</si>
  <si>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</si>
  <si>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</si>
  <si>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</si>
  <si>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</si>
  <si>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</si>
  <si>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</si>
  <si>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</si>
  <si>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</si>
  <si>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</si>
  <si>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</si>
  <si>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</si>
  <si>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</si>
  <si>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</si>
  <si>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</si>
  <si>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</si>
  <si>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</si>
  <si>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</si>
  <si>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</si>
  <si>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</si>
  <si>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</si>
  <si>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</si>
  <si>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</si>
  <si>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</si>
  <si>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</si>
  <si>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</si>
  <si>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</si>
  <si>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</si>
  <si>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</si>
  <si>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</si>
  <si>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</si>
  <si>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</si>
  <si>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</si>
  <si>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</si>
  <si>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</si>
  <si>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</si>
  <si>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</si>
  <si>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</si>
  <si>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</si>
  <si>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</si>
  <si>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</si>
  <si>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</si>
  <si>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</si>
  <si>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</si>
  <si>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</si>
  <si>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</si>
  <si>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</si>
  <si>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</si>
  <si>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</si>
  <si>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</si>
  <si>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</si>
  <si>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</si>
  <si>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</si>
  <si>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</si>
  <si>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</si>
  <si>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</si>
  <si>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</si>
  <si>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</si>
  <si>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</si>
  <si>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</si>
  <si>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</si>
  <si>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</si>
  <si>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</si>
  <si>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</si>
  <si>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</si>
  <si>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</si>
  <si>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</si>
  <si>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</si>
  <si>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</si>
  <si>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</si>
  <si>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</si>
  <si>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</si>
  <si>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</si>
  <si>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</si>
  <si>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</si>
  <si>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</si>
  <si>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</si>
  <si>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</si>
  <si>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</si>
  <si>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</si>
  <si>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</si>
  <si>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</si>
  <si>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</si>
  <si>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</si>
  <si>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</si>
  <si>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</si>
  <si>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</si>
  <si>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</si>
  <si>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</si>
  <si>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</si>
  <si>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</si>
  <si>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</si>
  <si>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</si>
  <si>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</si>
  <si>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</si>
  <si>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</si>
  <si>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</si>
  <si>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</si>
  <si>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</si>
  <si>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</si>
  <si>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</si>
  <si>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</si>
  <si>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</si>
  <si>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</si>
  <si>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</si>
  <si>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</si>
  <si>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</si>
  <si>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</si>
  <si>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</si>
  <si>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</si>
  <si>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</si>
  <si>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</si>
  <si>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</si>
  <si>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</si>
  <si>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</si>
  <si>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</si>
  <si>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</si>
  <si>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</si>
  <si>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</si>
  <si>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</si>
  <si>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</si>
  <si>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</si>
  <si>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</si>
  <si>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</si>
  <si>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</si>
  <si>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</si>
  <si>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</si>
  <si>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</si>
  <si>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</si>
  <si>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</si>
  <si>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</si>
  <si>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</si>
  <si>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</si>
  <si>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</si>
  <si>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</si>
  <si>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</si>
  <si>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</si>
  <si>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</si>
  <si>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</si>
  <si>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</si>
  <si>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</si>
  <si>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</si>
  <si>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</si>
  <si>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</si>
  <si>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</si>
  <si>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</si>
  <si>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</si>
  <si>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</si>
  <si>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</si>
  <si>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</si>
  <si>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</si>
  <si>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</si>
  <si>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</si>
  <si>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</si>
  <si>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</si>
  <si>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</si>
  <si>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</si>
  <si>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</si>
  <si>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</si>
  <si>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</si>
  <si>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</si>
  <si>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</si>
  <si>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</si>
  <si>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</si>
  <si>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</si>
  <si>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</si>
  <si>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</si>
  <si>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</si>
  <si>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</si>
  <si>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</si>
  <si>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</si>
  <si>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</si>
  <si>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</si>
  <si>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</si>
  <si>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</si>
  <si>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</si>
  <si>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</si>
  <si>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</si>
  <si>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</si>
  <si>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</si>
  <si>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</si>
  <si>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</si>
  <si>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</si>
  <si>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</si>
  <si>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</si>
  <si>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</si>
  <si>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</si>
  <si>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</si>
  <si>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</si>
  <si>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</si>
  <si>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</si>
  <si>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</si>
  <si>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</si>
  <si>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</si>
  <si>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</si>
  <si>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</si>
  <si>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</si>
  <si>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</si>
  <si>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</si>
  <si>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</si>
  <si>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</si>
  <si>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</si>
  <si>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</si>
  <si>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</si>
  <si>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</si>
  <si>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</si>
  <si>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</si>
  <si>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</si>
  <si>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</si>
  <si>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</si>
  <si>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</si>
  <si>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</si>
  <si>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</si>
  <si>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</si>
  <si>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</si>
  <si>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</si>
  <si>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</si>
  <si>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</si>
  <si>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</si>
  <si>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</si>
  <si>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</si>
  <si>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</si>
  <si>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</si>
  <si>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</si>
  <si>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</si>
  <si>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</si>
  <si>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</si>
  <si>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</si>
  <si>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</si>
  <si>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</si>
  <si>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</si>
  <si>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</si>
  <si>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</si>
  <si>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</si>
  <si>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</si>
  <si>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</si>
  <si>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</si>
  <si>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</si>
  <si>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</si>
  <si>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</si>
  <si>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</si>
  <si>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</si>
  <si>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</si>
  <si>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</si>
  <si>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</si>
  <si>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</si>
  <si>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</si>
  <si>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</si>
  <si>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</si>
  <si>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</si>
  <si>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</si>
  <si>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</si>
  <si>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</si>
  <si>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</si>
  <si>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</si>
  <si>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</si>
  <si>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</si>
  <si>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</si>
  <si>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</si>
  <si>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</si>
  <si>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</si>
  <si>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</si>
  <si>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</si>
  <si>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</si>
  <si>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</si>
  <si>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</si>
  <si>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</si>
  <si>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</si>
  <si>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</si>
  <si>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</si>
  <si>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</si>
  <si>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</si>
  <si>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</si>
  <si>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</si>
  <si>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</si>
  <si>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</si>
  <si>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</si>
  <si>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</si>
  <si>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</si>
  <si>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</si>
  <si>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</si>
  <si>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</si>
  <si>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</si>
  <si>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</si>
  <si>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</si>
  <si>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</si>
  <si>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</si>
  <si>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</si>
  <si>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</si>
  <si>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</si>
  <si>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</si>
  <si>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</si>
  <si>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</si>
  <si>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</si>
  <si>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</si>
  <si>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</si>
  <si>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</si>
  <si>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</si>
  <si>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</si>
  <si>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</si>
  <si>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</si>
  <si>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</si>
  <si>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</si>
  <si>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</si>
  <si>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</si>
  <si>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</si>
  <si>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</si>
  <si>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</si>
  <si>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</si>
  <si>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</si>
  <si>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</si>
  <si>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</si>
  <si>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</si>
  <si>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</si>
  <si>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</si>
  <si>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</si>
  <si>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</si>
  <si>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</si>
  <si>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</si>
  <si>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</si>
  <si>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</si>
  <si>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</si>
  <si>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</si>
  <si>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</si>
  <si>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</si>
  <si>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</si>
  <si>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</si>
  <si>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</si>
  <si>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</si>
  <si>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</si>
  <si>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</si>
  <si>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</si>
  <si>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</si>
  <si>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</si>
  <si>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</si>
  <si>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</si>
  <si>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</si>
  <si>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</si>
  <si>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</si>
  <si>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</si>
  <si>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</si>
  <si>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</si>
  <si>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</si>
  <si>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</si>
  <si>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</si>
  <si>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</si>
  <si>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</si>
  <si>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</si>
  <si>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</si>
  <si>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</si>
  <si>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</si>
  <si>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</si>
  <si>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</si>
  <si>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</si>
  <si>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</si>
  <si>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</si>
  <si>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</si>
  <si>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</si>
  <si>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</si>
  <si>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</si>
  <si>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</si>
  <si>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</si>
  <si>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</si>
  <si>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</si>
  <si>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</si>
  <si>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</si>
  <si>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</si>
  <si>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</si>
  <si>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</si>
  <si>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</si>
  <si>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</si>
  <si>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</si>
  <si>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</si>
  <si>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</si>
  <si>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</si>
  <si>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</si>
  <si>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</si>
  <si>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</si>
  <si>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</si>
  <si>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</si>
  <si>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</si>
  <si>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</si>
  <si>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204:236</t>
  </si>
  <si>
    <t>204:233289</t>
  </si>
  <si>
    <t>204:214</t>
  </si>
  <si>
    <t>204:517</t>
  </si>
  <si>
    <t>204:508</t>
  </si>
  <si>
    <t>204:207</t>
  </si>
  <si>
    <t>204:232938</t>
  </si>
  <si>
    <t>204:506</t>
  </si>
  <si>
    <t>rtdc.l.rtdc.4009:itc</t>
  </si>
  <si>
    <t>rtdc.l.rtdc.4010:itc</t>
  </si>
  <si>
    <t>DAVIS</t>
  </si>
  <si>
    <t>precipType</t>
  </si>
  <si>
    <t>rain</t>
  </si>
  <si>
    <t>204:233286</t>
  </si>
  <si>
    <t>204:519</t>
  </si>
  <si>
    <t>204:537</t>
  </si>
  <si>
    <t>rtdc.l.rtdc.4049:itc</t>
  </si>
  <si>
    <t>rtdc.l.rtdc.4050:itc</t>
  </si>
  <si>
    <t>AUSTIN</t>
  </si>
  <si>
    <t>204:233278</t>
  </si>
  <si>
    <t>204:509</t>
  </si>
  <si>
    <t>204:528</t>
  </si>
  <si>
    <t>204:233261</t>
  </si>
  <si>
    <t>204:229</t>
  </si>
  <si>
    <t>TRACK WARRANT AUTHORITY</t>
  </si>
  <si>
    <t>Form based authority (4)</t>
  </si>
  <si>
    <t>rtdc.l.rtdc.4001:itc</t>
  </si>
  <si>
    <t>rtdc.l.rtdc.4042:itc</t>
  </si>
  <si>
    <t>rtdc.l.rtdc.4002:itc</t>
  </si>
  <si>
    <t>204:209</t>
  </si>
  <si>
    <t>204:233276</t>
  </si>
  <si>
    <t>204:167</t>
  </si>
  <si>
    <t>204:233259</t>
  </si>
  <si>
    <t>204:227</t>
  </si>
  <si>
    <t>204:533</t>
  </si>
  <si>
    <t>204:232963</t>
  </si>
  <si>
    <t>204:232940</t>
  </si>
  <si>
    <t>300:23316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</si>
  <si>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</si>
  <si>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</si>
  <si>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</si>
  <si>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</si>
  <si>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</si>
  <si>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</si>
  <si>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235-08</t>
  </si>
  <si>
    <t>243-08</t>
  </si>
  <si>
    <t>LESTER</t>
  </si>
  <si>
    <t>rtdc.l.rtdc.4051:itc</t>
  </si>
  <si>
    <t>LOPES</t>
  </si>
  <si>
    <t>KIMBERLY</t>
  </si>
  <si>
    <t>224-08</t>
  </si>
  <si>
    <t>842-08</t>
  </si>
  <si>
    <t>229-08</t>
  </si>
  <si>
    <t>226-08</t>
  </si>
  <si>
    <t>231-08</t>
  </si>
  <si>
    <t>845-08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</si>
  <si>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</si>
  <si>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</si>
  <si>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</si>
  <si>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</si>
  <si>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</si>
  <si>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</si>
  <si>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</si>
  <si>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</si>
  <si>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</si>
  <si>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</si>
  <si>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</si>
  <si>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</si>
  <si>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</si>
  <si>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</si>
  <si>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</si>
  <si>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</si>
  <si>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</si>
  <si>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</si>
  <si>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</si>
  <si>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</si>
  <si>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</si>
  <si>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</si>
  <si>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</si>
  <si>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</si>
  <si>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</si>
  <si>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</si>
  <si>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</si>
  <si>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</si>
  <si>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204:201</t>
  </si>
  <si>
    <t>204:511</t>
  </si>
  <si>
    <t>204:198</t>
  </si>
  <si>
    <t>204:233270</t>
  </si>
  <si>
    <t>204:232</t>
  </si>
  <si>
    <t>204:232981</t>
  </si>
  <si>
    <t>204:225</t>
  </si>
  <si>
    <t>204:469</t>
  </si>
  <si>
    <t>204:232915</t>
  </si>
  <si>
    <t>204:548</t>
  </si>
  <si>
    <t>204:524</t>
  </si>
  <si>
    <t>204:242</t>
  </si>
  <si>
    <t>204:233251</t>
  </si>
  <si>
    <t>204:233266</t>
  </si>
  <si>
    <t>204:232953</t>
  </si>
  <si>
    <t>204:232898</t>
  </si>
  <si>
    <t>204:232917</t>
  </si>
  <si>
    <t>204:232955</t>
  </si>
  <si>
    <t>300:23299</t>
  </si>
  <si>
    <t>300:23304</t>
  </si>
  <si>
    <t>300:58645</t>
  </si>
  <si>
    <t>300:58922</t>
  </si>
  <si>
    <t>300:58912</t>
  </si>
  <si>
    <t>rtdc.l.rtdc.4015:itc</t>
  </si>
  <si>
    <t>242-12</t>
  </si>
  <si>
    <t>ELBAUM</t>
  </si>
  <si>
    <t>MIKE</t>
  </si>
  <si>
    <t>MAELZER</t>
  </si>
  <si>
    <t>KURT</t>
  </si>
  <si>
    <t>DONTE</t>
  </si>
  <si>
    <t>MACDONALD</t>
  </si>
  <si>
    <t>THOMAS</t>
  </si>
  <si>
    <t>BIRENBAUM</t>
  </si>
  <si>
    <t>BADERTSCHER</t>
  </si>
  <si>
    <t>DIANE</t>
  </si>
  <si>
    <t>KILLION</t>
  </si>
  <si>
    <t>DAVID</t>
  </si>
  <si>
    <t>307-12</t>
  </si>
  <si>
    <t>244-12</t>
  </si>
  <si>
    <t>204:766</t>
  </si>
  <si>
    <t>204:233280</t>
  </si>
  <si>
    <t>204:477</t>
  </si>
  <si>
    <t>204:169</t>
  </si>
  <si>
    <t>204:233274</t>
  </si>
  <si>
    <t>204:233230</t>
  </si>
  <si>
    <t>204:233288</t>
  </si>
  <si>
    <t>204:480</t>
  </si>
  <si>
    <t>204:232950</t>
  </si>
  <si>
    <t>204:233301</t>
  </si>
  <si>
    <t>204:491</t>
  </si>
  <si>
    <t>204:200</t>
  </si>
  <si>
    <t>204:192</t>
  </si>
  <si>
    <t>204:233264</t>
  </si>
  <si>
    <t>204:233249</t>
  </si>
  <si>
    <t>204:232926</t>
  </si>
  <si>
    <t>204:502</t>
  </si>
  <si>
    <t>204:522</t>
  </si>
  <si>
    <t>204:233226</t>
  </si>
  <si>
    <t>204:223</t>
  </si>
  <si>
    <t>204:473</t>
  </si>
  <si>
    <t>204:233263</t>
  </si>
  <si>
    <t>204:232980</t>
  </si>
  <si>
    <t>204:232930</t>
  </si>
  <si>
    <t>204:488</t>
  </si>
  <si>
    <t>204:233272</t>
  </si>
  <si>
    <t>204:232959</t>
  </si>
  <si>
    <t>204:191</t>
  </si>
  <si>
    <t>300:58619</t>
  </si>
  <si>
    <t>300:58606</t>
  </si>
  <si>
    <t>300:58918</t>
  </si>
  <si>
    <t>300:58583</t>
  </si>
  <si>
    <t>300:58935</t>
  </si>
  <si>
    <t>300:58602</t>
  </si>
  <si>
    <t>204:1130</t>
  </si>
  <si>
    <t>204:497</t>
  </si>
  <si>
    <t>204:848</t>
  </si>
  <si>
    <t>204:1153</t>
  </si>
  <si>
    <t>204:218</t>
  </si>
  <si>
    <t>300:58643</t>
  </si>
  <si>
    <t>204:232983</t>
  </si>
  <si>
    <t>204:455</t>
  </si>
  <si>
    <t>204:551</t>
  </si>
  <si>
    <t>300:58931</t>
  </si>
  <si>
    <t>204:232921</t>
  </si>
  <si>
    <t>204:249</t>
  </si>
  <si>
    <t>204:553</t>
  </si>
  <si>
    <t>204:233255</t>
  </si>
  <si>
    <t>204:262</t>
  </si>
  <si>
    <t>204:263</t>
  </si>
  <si>
    <t>204:232966</t>
  </si>
  <si>
    <t>204:595</t>
  </si>
  <si>
    <t>204:232945</t>
  </si>
  <si>
    <t>204:252</t>
  </si>
  <si>
    <t>204:573</t>
  </si>
  <si>
    <t>204:156</t>
  </si>
  <si>
    <t>300-13</t>
  </si>
  <si>
    <t>50-13</t>
  </si>
  <si>
    <t>rtdc.l.rtdc.4019:itc</t>
  </si>
  <si>
    <t>102-13</t>
  </si>
  <si>
    <t>800-13</t>
  </si>
  <si>
    <t>121-13</t>
  </si>
  <si>
    <t>rtdc.l.rtdc.4040:itc</t>
  </si>
  <si>
    <t>133-13</t>
  </si>
  <si>
    <t>137-13</t>
  </si>
  <si>
    <t>126-13</t>
  </si>
  <si>
    <t>rtdc.l.rtdc.4020:itc</t>
  </si>
  <si>
    <t>141-13</t>
  </si>
  <si>
    <t>813-13</t>
  </si>
  <si>
    <t>814-13</t>
  </si>
  <si>
    <t>rtdc.l.rtdc.4027:itc</t>
  </si>
  <si>
    <t>144-13</t>
  </si>
  <si>
    <t>56-13</t>
  </si>
  <si>
    <t>818-13</t>
  </si>
  <si>
    <t>TEMPORARY SPEED RESTRICTION</t>
  </si>
  <si>
    <t>172-13</t>
  </si>
  <si>
    <t>177-13</t>
  </si>
  <si>
    <t>179-13</t>
  </si>
  <si>
    <t>186-13</t>
  </si>
  <si>
    <t>827-13</t>
  </si>
  <si>
    <t>835-13</t>
  </si>
  <si>
    <t>836-13</t>
  </si>
  <si>
    <t>214-13</t>
  </si>
  <si>
    <t>229-13</t>
  </si>
  <si>
    <t>rtdc.l.rtdc.4013:itc</t>
  </si>
  <si>
    <t>226-13</t>
  </si>
  <si>
    <t>849-13</t>
  </si>
  <si>
    <t>ROCHA</t>
  </si>
  <si>
    <t>YAOTL</t>
  </si>
  <si>
    <t>51-13</t>
  </si>
  <si>
    <t>SPECTOR</t>
  </si>
  <si>
    <t>101-13</t>
  </si>
  <si>
    <t>52-13</t>
  </si>
  <si>
    <t>302-13</t>
  </si>
  <si>
    <t>103-13</t>
  </si>
  <si>
    <t>rtdc.l.rtdc.4039:itc</t>
  </si>
  <si>
    <t>304-13</t>
  </si>
  <si>
    <t>105-13</t>
  </si>
  <si>
    <t>306-13</t>
  </si>
  <si>
    <t>BARRON</t>
  </si>
  <si>
    <t>PERLA</t>
  </si>
  <si>
    <t>107-13</t>
  </si>
  <si>
    <t>308-13</t>
  </si>
  <si>
    <t>104-13</t>
  </si>
  <si>
    <t>109-13</t>
  </si>
  <si>
    <t>310-13</t>
  </si>
  <si>
    <t>DAVIDSON</t>
  </si>
  <si>
    <t>901-13</t>
  </si>
  <si>
    <t>106-13</t>
  </si>
  <si>
    <t>111-13</t>
  </si>
  <si>
    <t>113-13</t>
  </si>
  <si>
    <t>108-13</t>
  </si>
  <si>
    <t>312-13</t>
  </si>
  <si>
    <t>LAMAR</t>
  </si>
  <si>
    <t>NEKESHA</t>
  </si>
  <si>
    <t>115-13</t>
  </si>
  <si>
    <t>110-13</t>
  </si>
  <si>
    <t>902-13</t>
  </si>
  <si>
    <t>YANAI</t>
  </si>
  <si>
    <t>IAN</t>
  </si>
  <si>
    <t>801-13</t>
  </si>
  <si>
    <t>rtdc.l.rtdc.4014:itc</t>
  </si>
  <si>
    <t>117-13</t>
  </si>
  <si>
    <t>803-13</t>
  </si>
  <si>
    <t>119-13</t>
  </si>
  <si>
    <t>112-13</t>
  </si>
  <si>
    <t>114-13</t>
  </si>
  <si>
    <t>802-13</t>
  </si>
  <si>
    <t>116-13</t>
  </si>
  <si>
    <t>123-13</t>
  </si>
  <si>
    <t>804-13</t>
  </si>
  <si>
    <t>805-13</t>
  </si>
  <si>
    <t>120-13</t>
  </si>
  <si>
    <t>118-13</t>
  </si>
  <si>
    <t>125-13</t>
  </si>
  <si>
    <t>127-13</t>
  </si>
  <si>
    <t>122-13</t>
  </si>
  <si>
    <t>807-13</t>
  </si>
  <si>
    <t>806-13</t>
  </si>
  <si>
    <t>129-13</t>
  </si>
  <si>
    <t>124-13</t>
  </si>
  <si>
    <t>808-13</t>
  </si>
  <si>
    <t>131-13</t>
  </si>
  <si>
    <t>809-13</t>
  </si>
  <si>
    <t>128-13</t>
  </si>
  <si>
    <t>135-13</t>
  </si>
  <si>
    <t>810-13</t>
  </si>
  <si>
    <t>811-13</t>
  </si>
  <si>
    <t>130-13</t>
  </si>
  <si>
    <t>132-13</t>
  </si>
  <si>
    <t>812-13</t>
  </si>
  <si>
    <t>903-13</t>
  </si>
  <si>
    <t>134-13</t>
  </si>
  <si>
    <t>143-13</t>
  </si>
  <si>
    <t>136-13</t>
  </si>
  <si>
    <t>145-13</t>
  </si>
  <si>
    <t>138-13</t>
  </si>
  <si>
    <t>147-13</t>
  </si>
  <si>
    <t>149-13</t>
  </si>
  <si>
    <t>142-13</t>
  </si>
  <si>
    <t>151-13</t>
  </si>
  <si>
    <t>815-13</t>
  </si>
  <si>
    <t>146-13</t>
  </si>
  <si>
    <t>153-13</t>
  </si>
  <si>
    <t>STARKS</t>
  </si>
  <si>
    <t>ANGELINA</t>
  </si>
  <si>
    <t>150-13</t>
  </si>
  <si>
    <t>816-13</t>
  </si>
  <si>
    <t>155-13</t>
  </si>
  <si>
    <t>148-13</t>
  </si>
  <si>
    <t>157-13</t>
  </si>
  <si>
    <t>152-13</t>
  </si>
  <si>
    <t>ROBINSON</t>
  </si>
  <si>
    <t>KADDIBA</t>
  </si>
  <si>
    <t>817-13</t>
  </si>
  <si>
    <t>159-13</t>
  </si>
  <si>
    <t>154-13</t>
  </si>
  <si>
    <t>161-13</t>
  </si>
  <si>
    <t>156-13</t>
  </si>
  <si>
    <t>163-13</t>
  </si>
  <si>
    <t>158-13</t>
  </si>
  <si>
    <t>57-13</t>
  </si>
  <si>
    <t>160-13</t>
  </si>
  <si>
    <t>165-13</t>
  </si>
  <si>
    <t>LEVERE</t>
  </si>
  <si>
    <t>CRAIG</t>
  </si>
  <si>
    <t>819-13</t>
  </si>
  <si>
    <t>167-13</t>
  </si>
  <si>
    <t>162-13</t>
  </si>
  <si>
    <t>169-13</t>
  </si>
  <si>
    <t>820-13</t>
  </si>
  <si>
    <t>164-13</t>
  </si>
  <si>
    <t>171-13</t>
  </si>
  <si>
    <t>166-13</t>
  </si>
  <si>
    <t>173-13</t>
  </si>
  <si>
    <t>168-13</t>
  </si>
  <si>
    <t>175-13</t>
  </si>
  <si>
    <t>821-13</t>
  </si>
  <si>
    <t>170-13</t>
  </si>
  <si>
    <t>822-13</t>
  </si>
  <si>
    <t>174-13</t>
  </si>
  <si>
    <t>181-13</t>
  </si>
  <si>
    <t>176-13</t>
  </si>
  <si>
    <t>823-13</t>
  </si>
  <si>
    <t>183-13</t>
  </si>
  <si>
    <t>178-13</t>
  </si>
  <si>
    <t>185-13</t>
  </si>
  <si>
    <t>824-13</t>
  </si>
  <si>
    <t>180-13</t>
  </si>
  <si>
    <t>187-13</t>
  </si>
  <si>
    <t>182-13</t>
  </si>
  <si>
    <t>189-13</t>
  </si>
  <si>
    <t>184-13</t>
  </si>
  <si>
    <t>191-13</t>
  </si>
  <si>
    <t>825-13</t>
  </si>
  <si>
    <t>904-13</t>
  </si>
  <si>
    <t>193-13</t>
  </si>
  <si>
    <t>188-13</t>
  </si>
  <si>
    <t>195-13</t>
  </si>
  <si>
    <t>826-13</t>
  </si>
  <si>
    <t>190-13</t>
  </si>
  <si>
    <t>197-13</t>
  </si>
  <si>
    <t>192-13</t>
  </si>
  <si>
    <t>828-13</t>
  </si>
  <si>
    <t>199-13</t>
  </si>
  <si>
    <t>829-13</t>
  </si>
  <si>
    <t>194-13</t>
  </si>
  <si>
    <t>196-13</t>
  </si>
  <si>
    <t>201-13</t>
  </si>
  <si>
    <t>830-13</t>
  </si>
  <si>
    <t>198-13</t>
  </si>
  <si>
    <t>203-13</t>
  </si>
  <si>
    <t>831-13</t>
  </si>
  <si>
    <t>205-13</t>
  </si>
  <si>
    <t>200-13</t>
  </si>
  <si>
    <t>832-13</t>
  </si>
  <si>
    <t>207-13</t>
  </si>
  <si>
    <t>833-13</t>
  </si>
  <si>
    <t>202-13</t>
  </si>
  <si>
    <t>75-13</t>
  </si>
  <si>
    <t>STRICKLAND</t>
  </si>
  <si>
    <t>EVAN</t>
  </si>
  <si>
    <t>209-13</t>
  </si>
  <si>
    <t>204-13</t>
  </si>
  <si>
    <t>834-13</t>
  </si>
  <si>
    <t>211-13</t>
  </si>
  <si>
    <t>206-13</t>
  </si>
  <si>
    <t>68-13</t>
  </si>
  <si>
    <t>213-13</t>
  </si>
  <si>
    <t>208-13</t>
  </si>
  <si>
    <t>215-13</t>
  </si>
  <si>
    <t>210-13</t>
  </si>
  <si>
    <t>837-13</t>
  </si>
  <si>
    <t>212-13</t>
  </si>
  <si>
    <t>217-13</t>
  </si>
  <si>
    <t>838-13</t>
  </si>
  <si>
    <t>219-13</t>
  </si>
  <si>
    <t>839-13</t>
  </si>
  <si>
    <t>301-13</t>
  </si>
  <si>
    <t>216-13</t>
  </si>
  <si>
    <t>906-13</t>
  </si>
  <si>
    <t>221-13</t>
  </si>
  <si>
    <t>841-13</t>
  </si>
  <si>
    <t>218-13</t>
  </si>
  <si>
    <t>303-13</t>
  </si>
  <si>
    <t>220-13</t>
  </si>
  <si>
    <t>840-13</t>
  </si>
  <si>
    <t>223-13</t>
  </si>
  <si>
    <t>222-13</t>
  </si>
  <si>
    <t>305-13</t>
  </si>
  <si>
    <t>225-13</t>
  </si>
  <si>
    <t>843-13</t>
  </si>
  <si>
    <t>227-13</t>
  </si>
  <si>
    <t>224-13</t>
  </si>
  <si>
    <t>842-13</t>
  </si>
  <si>
    <t>845-13</t>
  </si>
  <si>
    <t>231-13</t>
  </si>
  <si>
    <t>228-13</t>
  </si>
  <si>
    <t>844-13</t>
  </si>
  <si>
    <t>230-13</t>
  </si>
  <si>
    <t>233-13</t>
  </si>
  <si>
    <t>847-13</t>
  </si>
  <si>
    <t>235-13</t>
  </si>
  <si>
    <t>232-13</t>
  </si>
  <si>
    <t>846-13</t>
  </si>
  <si>
    <t>237-13</t>
  </si>
  <si>
    <t>234-13</t>
  </si>
  <si>
    <t>239-13</t>
  </si>
  <si>
    <t>236-13</t>
  </si>
  <si>
    <t>908-13</t>
  </si>
  <si>
    <t>241-13</t>
  </si>
  <si>
    <t>238-13</t>
  </si>
  <si>
    <t>243-13</t>
  </si>
  <si>
    <t>240-13</t>
  </si>
  <si>
    <t>313-13</t>
  </si>
  <si>
    <t>242-13</t>
  </si>
  <si>
    <t>307-13</t>
  </si>
  <si>
    <t>244-13</t>
  </si>
  <si>
    <t>309-13</t>
  </si>
  <si>
    <t>311-13</t>
  </si>
  <si>
    <t>rtdc.l.rtdc.4065:itc</t>
  </si>
  <si>
    <t>300-14</t>
  </si>
  <si>
    <t>204:774</t>
  </si>
  <si>
    <t>204:232965</t>
  </si>
  <si>
    <t>204:447</t>
  </si>
  <si>
    <t>204:232944</t>
  </si>
  <si>
    <t>204:158</t>
  </si>
  <si>
    <t>204:233293</t>
  </si>
  <si>
    <t>204:233291</t>
  </si>
  <si>
    <t>204:232970</t>
  </si>
  <si>
    <t>204:220</t>
  </si>
  <si>
    <t>204:555</t>
  </si>
  <si>
    <t>204:205</t>
  </si>
  <si>
    <t>204:86353</t>
  </si>
  <si>
    <t>204:181</t>
  </si>
  <si>
    <t>204:462</t>
  </si>
  <si>
    <t>204:233300</t>
  </si>
  <si>
    <t>204:233307</t>
  </si>
  <si>
    <t>204:232984</t>
  </si>
  <si>
    <t>204:500</t>
  </si>
  <si>
    <t>204:233325</t>
  </si>
  <si>
    <t>204:233013</t>
  </si>
  <si>
    <t>204:484</t>
  </si>
  <si>
    <t>204:232969</t>
  </si>
  <si>
    <t>204:362</t>
  </si>
  <si>
    <t>204:232979</t>
  </si>
  <si>
    <t>204:254</t>
  </si>
  <si>
    <t>204:211</t>
  </si>
  <si>
    <t>204:233253</t>
  </si>
  <si>
    <t>204:2252</t>
  </si>
  <si>
    <t>204:679</t>
  </si>
  <si>
    <t>204:520</t>
  </si>
  <si>
    <t>204:233316</t>
  </si>
  <si>
    <t>204:245</t>
  </si>
  <si>
    <t>204:138</t>
  </si>
  <si>
    <t>204:189</t>
  </si>
  <si>
    <t>204:489</t>
  </si>
  <si>
    <t>204:233295</t>
  </si>
  <si>
    <t>204:493</t>
  </si>
  <si>
    <t>204:232978</t>
  </si>
  <si>
    <t>204:233202</t>
  </si>
  <si>
    <t>204:232887</t>
  </si>
  <si>
    <t>204:196</t>
  </si>
  <si>
    <t>204:232923</t>
  </si>
  <si>
    <t>204:544</t>
  </si>
  <si>
    <t>204:233244</t>
  </si>
  <si>
    <t>204:19121</t>
  </si>
  <si>
    <t>204:475</t>
  </si>
  <si>
    <t>204:495</t>
  </si>
  <si>
    <t>204:233238</t>
  </si>
  <si>
    <t>204:526</t>
  </si>
  <si>
    <t>204:233197</t>
  </si>
  <si>
    <t>204:232882</t>
  </si>
  <si>
    <t>204:233212</t>
  </si>
  <si>
    <t>204:232900</t>
  </si>
  <si>
    <t>204:513</t>
  </si>
  <si>
    <t>204:233222</t>
  </si>
  <si>
    <t>204:232902</t>
  </si>
  <si>
    <t>204:233242</t>
  </si>
  <si>
    <t>204:232928</t>
  </si>
  <si>
    <t>204:265</t>
  </si>
  <si>
    <t>204:539</t>
  </si>
  <si>
    <t>204:233195</t>
  </si>
  <si>
    <t>204:232873</t>
  </si>
  <si>
    <t>204:238</t>
  </si>
  <si>
    <t>204:559</t>
  </si>
  <si>
    <t>204:233215</t>
  </si>
  <si>
    <t>204:251</t>
  </si>
  <si>
    <t>204:579</t>
  </si>
  <si>
    <t>204:233176</t>
  </si>
  <si>
    <t>204:232857</t>
  </si>
  <si>
    <t>204:269</t>
  </si>
  <si>
    <t>204:233236</t>
  </si>
  <si>
    <t>204:232908</t>
  </si>
  <si>
    <t>204:582</t>
  </si>
  <si>
    <t>204:233297</t>
  </si>
  <si>
    <t>204:289</t>
  </si>
  <si>
    <t>204:233216</t>
  </si>
  <si>
    <t>204:233218</t>
  </si>
  <si>
    <t>204:233245</t>
  </si>
  <si>
    <t>204:232929</t>
  </si>
  <si>
    <t>204:560</t>
  </si>
  <si>
    <t>204:233225</t>
  </si>
  <si>
    <t>204:232906</t>
  </si>
  <si>
    <t>204:233149</t>
  </si>
  <si>
    <t>204:232846</t>
  </si>
  <si>
    <t>204:276</t>
  </si>
  <si>
    <t>204:531</t>
  </si>
  <si>
    <t>204:232905</t>
  </si>
  <si>
    <t>204:260</t>
  </si>
  <si>
    <t>204:542</t>
  </si>
  <si>
    <t>204:127877</t>
  </si>
  <si>
    <t>204:590</t>
  </si>
  <si>
    <t>204:232942</t>
  </si>
  <si>
    <t>204:50480</t>
  </si>
  <si>
    <t>204:232962</t>
  </si>
  <si>
    <t>204:234</t>
  </si>
  <si>
    <t>204:562</t>
  </si>
  <si>
    <t>204:102922</t>
  </si>
  <si>
    <t>204:64169</t>
  </si>
  <si>
    <t>204:564</t>
  </si>
  <si>
    <t>204:256</t>
  </si>
  <si>
    <t>204:232943</t>
  </si>
  <si>
    <t>204:232925</t>
  </si>
  <si>
    <t>204:280</t>
  </si>
  <si>
    <t>204:19126</t>
  </si>
  <si>
    <t>204:1235</t>
  </si>
  <si>
    <t>204:212</t>
  </si>
  <si>
    <t>204:580</t>
  </si>
  <si>
    <t>204:233199</t>
  </si>
  <si>
    <t>300:23346</t>
  </si>
  <si>
    <t>300:23286</t>
  </si>
  <si>
    <t>300:23294</t>
  </si>
  <si>
    <t>300:23483</t>
  </si>
  <si>
    <t>300:19756</t>
  </si>
  <si>
    <t>300:23050</t>
  </si>
  <si>
    <t>300:22344</t>
  </si>
  <si>
    <t>204:180</t>
  </si>
  <si>
    <t>300:23320</t>
  </si>
  <si>
    <t>204:958</t>
  </si>
  <si>
    <t>300:22627</t>
  </si>
  <si>
    <t>204:438</t>
  </si>
  <si>
    <t>204:3576</t>
  </si>
  <si>
    <t>204:3215</t>
  </si>
  <si>
    <t>204:1175</t>
  </si>
  <si>
    <t>300:23417</t>
  </si>
  <si>
    <t>204:923</t>
  </si>
  <si>
    <t>204:1238</t>
  </si>
  <si>
    <t>300:24244</t>
  </si>
  <si>
    <t>300:23542</t>
  </si>
  <si>
    <t>204:1069</t>
  </si>
  <si>
    <t>204:1477</t>
  </si>
  <si>
    <t>300:58609</t>
  </si>
  <si>
    <t>204:1063</t>
  </si>
  <si>
    <t>300:58905</t>
  </si>
  <si>
    <t>300:58589</t>
  </si>
  <si>
    <t>204:733</t>
  </si>
  <si>
    <t>204:1028</t>
  </si>
  <si>
    <t>300:58909</t>
  </si>
  <si>
    <t>204:782</t>
  </si>
  <si>
    <t>204:1132</t>
  </si>
  <si>
    <t>300:58920</t>
  </si>
  <si>
    <t>300:57240</t>
  </si>
  <si>
    <t>204:836</t>
  </si>
  <si>
    <t>204:1440</t>
  </si>
  <si>
    <t>204:764</t>
  </si>
  <si>
    <t>204:1146</t>
  </si>
  <si>
    <t>300:58926</t>
  </si>
  <si>
    <t>300:58592</t>
  </si>
  <si>
    <t>204:834</t>
  </si>
  <si>
    <t>204:1147</t>
  </si>
  <si>
    <t>300:58613</t>
  </si>
  <si>
    <t>204:4482</t>
  </si>
  <si>
    <t>204:1140</t>
  </si>
  <si>
    <t>300:58608</t>
  </si>
  <si>
    <t>204:853</t>
  </si>
  <si>
    <t>204:1116</t>
  </si>
  <si>
    <t>300:58611</t>
  </si>
  <si>
    <t>204:852</t>
  </si>
  <si>
    <t>204:769</t>
  </si>
  <si>
    <t>204:1046</t>
  </si>
  <si>
    <t>300:58956</t>
  </si>
  <si>
    <t>300:58632</t>
  </si>
  <si>
    <t>204:754</t>
  </si>
  <si>
    <t>204:1049</t>
  </si>
  <si>
    <t>300:58928</t>
  </si>
  <si>
    <t>300:58617</t>
  </si>
  <si>
    <t>204:761</t>
  </si>
  <si>
    <t>204:1025</t>
  </si>
  <si>
    <t>300:58946</t>
  </si>
  <si>
    <t>300:58638</t>
  </si>
  <si>
    <t>204:748</t>
  </si>
  <si>
    <t>204:978</t>
  </si>
  <si>
    <t>300:58630</t>
  </si>
  <si>
    <t>204:717</t>
  </si>
  <si>
    <t>300:58933</t>
  </si>
  <si>
    <t>300:58623</t>
  </si>
  <si>
    <t>204:803</t>
  </si>
  <si>
    <t>204:964</t>
  </si>
  <si>
    <t>300:58604</t>
  </si>
  <si>
    <t>204:705</t>
  </si>
  <si>
    <t>300:58626</t>
  </si>
  <si>
    <t>204:745</t>
  </si>
  <si>
    <t>204:988</t>
  </si>
  <si>
    <t>204:740</t>
  </si>
  <si>
    <t>204:1004</t>
  </si>
  <si>
    <t>300:58969</t>
  </si>
  <si>
    <t>300:58653</t>
  </si>
  <si>
    <t>204:698</t>
  </si>
  <si>
    <t>204:1035</t>
  </si>
  <si>
    <t>204:703</t>
  </si>
  <si>
    <t>204:1000</t>
  </si>
  <si>
    <t>300:58965</t>
  </si>
  <si>
    <t>300:58649</t>
  </si>
  <si>
    <t>204:1009</t>
  </si>
  <si>
    <t>300:58967</t>
  </si>
  <si>
    <t>204:719</t>
  </si>
  <si>
    <t>204:1135</t>
  </si>
  <si>
    <t>300:58958</t>
  </si>
  <si>
    <t>300:58624</t>
  </si>
  <si>
    <t>204:691</t>
  </si>
  <si>
    <t>204:1002</t>
  </si>
  <si>
    <t>300:58929</t>
  </si>
  <si>
    <t>204:976</t>
  </si>
  <si>
    <t>300:29695</t>
  </si>
  <si>
    <t>300:23589</t>
  </si>
  <si>
    <t>204:860</t>
  </si>
  <si>
    <t>204:1060</t>
  </si>
  <si>
    <t>300:24258</t>
  </si>
  <si>
    <t>300:23705</t>
  </si>
  <si>
    <t>204:696</t>
  </si>
  <si>
    <t>300:28770</t>
  </si>
  <si>
    <t>300:28788</t>
  </si>
  <si>
    <t>start /low /b %USERPROFILE%\Documents\GitHub\eaglep3\Utilities\DownloadLogsFromS3.py --loco 4013 --day 2017-11-13</t>
  </si>
  <si>
    <t>start /low /b %USERPROFILE%\Documents\GitHub\eaglep3\Utilities\DownloadLogsFromS3.py --loco 4014 --day 2017-11-13</t>
  </si>
  <si>
    <t>start /low /b %USERPROFILE%\Documents\GitHub\eaglep3\Utilities\DownloadLogsFromS3.py --loco 4039 --day 2017-11-13</t>
  </si>
  <si>
    <t>start /low /b %USERPROFILE%\Documents\GitHub\eaglep3\Utilities\DownloadLogsFromS3.py --loco 4028 --day 2017-11-13</t>
  </si>
  <si>
    <t>start /low /b %USERPROFILE%\Documents\GitHub\eaglep3\Utilities\DownloadLogsFromS3.py --loco 4040 --day 2017-11-13</t>
  </si>
  <si>
    <t>start /low /b %USERPROFILE%\Documents\GitHub\eaglep3\Utilities\DownloadLogsFromS3.py --loco 4035 --day 2017-11-13</t>
  </si>
  <si>
    <t>start /low /b %USERPROFILE%\Documents\GitHub\eaglep3\Utilities\DownloadLogsFromS3.py --loco 4027 --day 2017-11-13</t>
  </si>
  <si>
    <t>start /low /b %USERPROFILE%\Documents\GitHub\eaglep3\Utilities\DownloadLogsFromS3.py --loco 4027 --day 2017-11-14</t>
  </si>
  <si>
    <t>start /low /b %USERPROFILE%\Documents\GitHub\eaglep3\Utilities\DownloadLogsFromS3.py --loco 4019 --day 2017-11-13</t>
  </si>
  <si>
    <t>start /low /b %USERPROFILE%\Documents\GitHub\eaglep3\Utilities\DownloadLogsFromS3.py --loco 4020 --day 2017-11-13</t>
  </si>
  <si>
    <t>start /low /b %USERPROFILE%\Documents\GitHub\eaglep3\Utilities\DownloadLogsFromS3.py --loco 4060 --day 2017-11-13</t>
  </si>
  <si>
    <t>start /low /b %USERPROFILE%\Documents\GitHub\eaglep3\Utilities\DownloadLogsFromS3.py --loco 4060 --day 2017-11-14</t>
  </si>
  <si>
    <t>start /low /b %USERPROFILE%\Documents\GitHub\eaglep3\Utilities\DownloadLogsFromS3.py --loco 4012 --day 2017-11-13</t>
  </si>
  <si>
    <t>start /low /b %USERPROFILE%\Documents\GitHub\eaglep3\Utilities\DownloadLogsFromS3.py --loco 4013 --day 2017-11-14</t>
  </si>
  <si>
    <t>start /low /b %USERPROFILE%\Documents\GitHub\eaglep3\Utilities\DownloadLogsFromS3.py --loco 4036 --day 2017-11-13</t>
  </si>
  <si>
    <t>start /low /b %USERPROFILE%\Documents\GitHub\eaglep3\Utilities\DownloadLogsFromS3.py --loco 4002 --day 2017-11-14</t>
  </si>
  <si>
    <t>start /low /b %USERPROFILE%\Documents\GitHub\eaglep3\Utilities\DownloadLogsFromS3.py --loco 4002 --day 2017-11-13</t>
  </si>
  <si>
    <t>start /low /b %USERPROFILE%\Documents\GitHub\eaglep3\Utilities\DownloadLogsFromS3.py --loco 4036 --day 2017-11-14</t>
  </si>
  <si>
    <t>start /low /b %USERPROFILE%\Documents\GitHub\eaglep3\Utilities\DownloadLogsFromS3.py --loco 4001 --day 2017-11-13</t>
  </si>
  <si>
    <t>Onboard in-route failure</t>
  </si>
  <si>
    <t>Delayed by XING issue - Clayton</t>
  </si>
  <si>
    <t>Delayed by XING issue - Steele</t>
  </si>
  <si>
    <t>Poor GPS at DUS</t>
  </si>
  <si>
    <t>Delayed by XING issues (bad card + semi struck gates)</t>
  </si>
  <si>
    <t>Wi-MAX data drop</t>
  </si>
  <si>
    <t>Selected wrong track</t>
  </si>
  <si>
    <t>Poor GPS under Wewatta</t>
  </si>
  <si>
    <t>Form C</t>
  </si>
  <si>
    <t>Premature downgrade at EC2241RH 224-2T 2N</t>
  </si>
  <si>
    <t>14:16:32 - signal dropped from 180 to 0, anything unusual in logs?</t>
  </si>
  <si>
    <t>Cancelled due to XING delays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</si>
</sst>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6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43052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43052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142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COUNTIFS($N$13:$N$9529,"&gt;0",$AG$13:$AG$9529,I1)</f>
        <v>136</v>
      </c>
      <c r="K5" s="39"/>
      <c r="L5" s="172"/>
      <c r="M5" s="40">
        <f>AVERAGEIFS($N$13:$N$9529,$AG$13:$AG$9529,I1)</f>
        <v>39.815318626993651</v>
      </c>
      <c r="N5" s="38">
        <f t="array" ref="N5">MIN(IF($AG$13:$AG$9529=I1,IF(ISNUMBER($N$13:$N$9529),IF($N$13:$N$9529&gt;0,$N$13:$N$9529))))</f>
        <v>33.800000001210719</v>
      </c>
      <c r="O5" s="3">
        <f t="array" ref="O5">MAX(IF($AG$13:$AG$9529=I1,IF(ISNUMBER($N$13:$N$9529),IF($N$13:$N$9529&gt;0,$N$13:$N$9529))))</f>
        <v>60.999999999767169</v>
      </c>
      <c r="P5" s="2"/>
      <c r="R5" s="163" t="s">
        <v>17</v>
      </c>
      <c r="S5" s="207">
        <f>COUNTIFS($N$13:$N$9529,"&gt;0",$AG$13:$AG$9529,R1)</f>
        <v>49</v>
      </c>
      <c r="T5" s="172"/>
      <c r="U5" s="195"/>
      <c r="V5" s="211">
        <f>AVERAGEIFS($N$13:$N$9529,$AG$13:$AG$9529,R1)</f>
        <v>13.83299319596239</v>
      </c>
      <c r="W5" s="212">
        <f t="array" ref="W5">MIN(IF($AG$13:$AG$9529=R1,IF(ISNUMBER($N$13:$N$9529),IF($N$13:$N$9529&gt;0,$N$13:$N$9529))))</f>
        <v>9.6833333338145167</v>
      </c>
      <c r="X5" s="200">
        <f t="array" ref="X5">MAX(IF($AG$13:$AG$9529=R1,IF(ISNUMBER($N$13:$N$9529),IF($N$13:$N$9529&gt;0,$N$13:$N$9529))))</f>
        <v>23.299999998416752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COUNT($O$13:$O$287)</f>
        <v>0</v>
      </c>
      <c r="K6" s="39"/>
      <c r="L6" s="172"/>
      <c r="M6" s="40">
        <f>IFERROR(AVERAGE($O$13:$O$287),0)</f>
        <v>0</v>
      </c>
      <c r="N6" s="38">
        <f>MIN($O$13:$O$287)</f>
        <v>0</v>
      </c>
      <c r="O6" s="3">
        <f>MAX($O$13:$O$287)</f>
        <v>0</v>
      </c>
      <c r="P6" s="2"/>
      <c r="R6" s="164" t="s">
        <v>43</v>
      </c>
      <c r="S6" s="207">
        <f>COUNT($O$13:$O$287)</f>
        <v>0</v>
      </c>
      <c r="T6" s="172"/>
      <c r="U6" s="195"/>
      <c r="V6" s="211">
        <f>IFERROR(AVERAGE($O$13:$O$287),0)</f>
        <v>0</v>
      </c>
      <c r="W6" s="212">
        <f>MIN($O$13:$O$287)</f>
        <v>0</v>
      </c>
      <c r="X6" s="200">
        <f>MAX($O$13:$O$287)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COUNTIFS($P$13:$P$9529,"&gt;0",$AG$13:$AG$9529,I1)</f>
        <v>6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COUNTIFS($P$13:$P$9529,"&gt;0",$AG$13:$AG$9529,R1)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136</v>
      </c>
      <c r="K8" s="39"/>
      <c r="L8" s="172"/>
      <c r="M8" s="40">
        <f>M5</f>
        <v>39.815318626993651</v>
      </c>
      <c r="N8" s="38">
        <f>N5</f>
        <v>33.800000001210719</v>
      </c>
      <c r="O8" s="3">
        <f>O5</f>
        <v>60.999999999767169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13.83299319596239</v>
      </c>
      <c r="W8" s="212">
        <f>W5</f>
        <v>9.6833333338145167</v>
      </c>
      <c r="X8" s="200">
        <f>X5</f>
        <v>23.299999998416752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0.95774647887323938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- 2017-11-13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AVERAGE(S13:S122)</f>
        <v>0.99845679012345678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660</v>
      </c>
      <c r="B13" s="7">
        <v>4020</v>
      </c>
      <c r="C13" s="21" t="s">
        <v>192</v>
      </c>
      <c r="D13" s="21" t="s">
        <v>871</v>
      </c>
      <c r="E13" s="13">
        <v>43052.133888888886</v>
      </c>
      <c r="F13" s="13">
        <v>43052.135717592595</v>
      </c>
      <c r="G13" s="7">
        <v>71</v>
      </c>
      <c r="H13" s="21" t="s">
        <v>594</v>
      </c>
      <c r="I13" s="13">
        <v>43052.160671296297</v>
      </c>
      <c r="J13" s="7">
        <v>0</v>
      </c>
      <c r="K13" s="89" t="str">
        <f t="shared" ref="K13:K76" si="0">IF(ISEVEN(B13),(B13-1)&amp;"/"&amp;B13,B13&amp;"/"&amp;(B13+1))</f>
        <v>4019/4020</v>
      </c>
      <c r="L13" s="185" t="str">
        <f>VLOOKUP(A13,'Trips&amp;Operators'!$C$1:$G$99911,5,FALSE)</f>
        <v>THOMPSON LESTER</v>
      </c>
      <c r="M13" s="6">
        <f t="shared" ref="M13:M76" si="1">I13-F13</f>
        <v>2.495370370161254E-2</v>
      </c>
      <c r="N13" s="7">
        <f t="shared" ref="N13:P76" si="2">24*60*SUM($M13:$M13)</f>
        <v>35.933333330322057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-13T02:12:48-0700',mode:absolute,to:'2017-11-13T04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204" t="str">
        <f>IF(AA13&lt;VLOOKUP(AG13,Variables!$AC$3:$AD$8,2,FALSE),"Y","N")</f>
        <v>N</v>
      </c>
      <c r="X13" s="204" t="e">
        <f t="shared" ref="X13:X76" si="6">VALUE(LEFT(AD13,4))-VALUE(LEFT(AD12,4))</f>
        <v>#VALUE!</v>
      </c>
      <c r="Y13" s="204">
        <f t="shared" ref="Y13:Y76" si="7">RIGHT(D13,LEN(D13)-4)/10000</f>
        <v>7.7399999999999997E-2</v>
      </c>
      <c r="Z13" s="204">
        <f t="shared" ref="Z13:Z76" si="8">RIGHT(H13,LEN(H13)-4)/10000</f>
        <v>23.327200000000001</v>
      </c>
      <c r="AA13" s="204">
        <f t="shared" ref="AA13:AA76" si="9">ABS(Z13-Y13)</f>
        <v>23.2498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/stypes="app*4020*20171113*"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4020 --swversion DE.1.0.9.0 --startMP 204:774 --initTime 2017-11-13T03:12:48 --startdatetime 2017-11-13T03:15:26 --delay 71 --endMP 204:233272 --enddatetime 2017-11-13T03:51:22 --enforcementcount 0 &gt;&gt;%USERPROFILE%\Documents\GitHub\eaglep3-reporting\EC\2017-11-13-refined-times.txt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{"issue":{"subject":"","project_id":79,"tracker_id":40,"status_id":1,"priority_id":2,"assigned_to_id":338,"start_date":"2017-11-13","description":"","custom_fields":[{"id":1,"name":"Subdivision","value":"EC"},{"id":4,"name":"Milepost","value":"23.3272"},{"id":17,"name":"Train ID","value":"101-13"},{"id":16,"name":"Locomotive ID","value":"4020"},{"id":130,"name":"Impact","value":""},{"id":150,"name":"Time of Event (Mountain Time)","value":"03:51:22"},{"id":151,"name":"Denver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4020 --day 2017-11-13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-13T02:12:48-0700',mode:absolute,to:'2017-11-13T04:51:22-0700'))&amp;_a=(columns:!('Message%20ID',Summary),filters:!(),index:'emp_*',interval:auto,query:(query_string:(analyze_wildcard:!t,query:'%22rtdc.l.rtdc.4020%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628</v>
      </c>
      <c r="B14" s="7">
        <v>4019</v>
      </c>
      <c r="C14" s="21" t="s">
        <v>192</v>
      </c>
      <c r="D14" s="21" t="s">
        <v>481</v>
      </c>
      <c r="E14" s="13">
        <v>43052.1716087963</v>
      </c>
      <c r="F14" s="13">
        <v>43052.175196759257</v>
      </c>
      <c r="G14" s="7">
        <v>71</v>
      </c>
      <c r="H14" s="21" t="s">
        <v>596</v>
      </c>
      <c r="I14" s="13">
        <v>43052.202708333331</v>
      </c>
      <c r="J14" s="7">
        <v>0</v>
      </c>
      <c r="K14" s="89" t="str">
        <f t="shared" si="0"/>
        <v>4019/4020</v>
      </c>
      <c r="L14" s="185" t="str">
        <f>VLOOKUP(A14,'Trips&amp;Operators'!$C$1:$G$99911,5,FALSE)</f>
        <v>THOMPSON LESTER</v>
      </c>
      <c r="M14" s="6">
        <f t="shared" si="1"/>
        <v>2.7511574073287193E-2</v>
      </c>
      <c r="N14" s="7">
        <f t="shared" si="2"/>
        <v>39.616666665533558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-11-13T03:07:07-0700',mode:absolute,to:'2017-11-13T05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23.296299999999999</v>
      </c>
      <c r="Z14" s="204">
        <f t="shared" si="8"/>
        <v>1.9099999999999999E-2</v>
      </c>
      <c r="AA14" s="204">
        <f t="shared" si="9"/>
        <v>23.277199999999997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10"/>
        <v>102</v>
      </c>
      <c r="AE14" s="77" t="str">
        <f t="shared" si="11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14" s="74" t="str">
        <f t="shared" si="12"/>
        <v>"C:\Program Files (x86)\AstroGrep\AstroGrep.exe" /e /r /s /spath="%USERPROFILE%\AppData\Local\Temp\OnboardLogs" /stypes="app*4019*20171113*" /stext=" 11:.+((SYSTEM_STATE.+slice.+state.+changed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4019 --swversion DE.1.0.9.0 --startMP 204:232963 --initTime 2017-11-13T04:07:07 --startdatetime 2017-11-13T04:12:17 --delay 71 --endMP 204:191 --enddatetime 2017-11-13T04:51:54 --enforcementcount 0 &gt;&gt;%USERPROFILE%\Documents\GitHub\eaglep3-reporting\EC\2017-11-13-refined-times.txt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{"issue":{"subject":"","project_id":79,"tracker_id":40,"status_id":1,"priority_id":2,"assigned_to_id":338,"start_date":"2017-11-13","description":"","custom_fields":[{"id":1,"name":"Subdivision","value":"EC"},{"id":4,"name":"Milepost","value":"0.0191"},{"id":17,"name":"Train ID","value":"102-13"},{"id":16,"name":"Locomotive ID","value":"4019"},{"id":130,"name":"Impact","value":""},{"id":150,"name":"Time of Event (Mountain Time)","value":"04:51:54"},{"id":151,"name":"Denver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4019 --day 2017-11-13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-13T03:07:07-0700',mode:absolute,to:'2017-11-13T05:51:54-0700'))&amp;_a=(columns:!('Message%20ID',Summary),filters:!(),index:'emp_*',interval:auto,query:(query_string:(analyze_wildcard:!t,query:'%22rtdc.l.rtdc.4019%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663</v>
      </c>
      <c r="B15" s="7">
        <v>4010</v>
      </c>
      <c r="C15" s="21" t="s">
        <v>192</v>
      </c>
      <c r="D15" s="21" t="s">
        <v>466</v>
      </c>
      <c r="E15" s="13">
        <v>43052.151284722226</v>
      </c>
      <c r="F15" s="13">
        <v>43052.156435185185</v>
      </c>
      <c r="G15" s="7">
        <v>79</v>
      </c>
      <c r="H15" s="21" t="s">
        <v>543</v>
      </c>
      <c r="I15" s="13">
        <v>43052.181666666664</v>
      </c>
      <c r="J15" s="7">
        <v>0</v>
      </c>
      <c r="K15" s="89" t="str">
        <f t="shared" si="0"/>
        <v>4009/4010</v>
      </c>
      <c r="L15" s="185" t="str">
        <f>VLOOKUP(A15,'Trips&amp;Operators'!$C$1:$G$99911,5,FALSE)</f>
        <v>AUSTIN THOMPSON</v>
      </c>
      <c r="M15" s="6">
        <f t="shared" si="1"/>
        <v>2.5231481478840578E-2</v>
      </c>
      <c r="N15" s="7">
        <f t="shared" si="2"/>
        <v>36.333333329530433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-11-13T02:37:51-0700',mode:absolute,to:'2017-11-13T05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5.0900000000000001E-2</v>
      </c>
      <c r="Z15" s="204">
        <f t="shared" si="8"/>
        <v>23.326599999999999</v>
      </c>
      <c r="AA15" s="204">
        <f t="shared" si="9"/>
        <v>23.275700000000001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10"/>
        <v>103</v>
      </c>
      <c r="AE15" s="77" t="str">
        <f t="shared" si="11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15" s="74" t="str">
        <f t="shared" si="12"/>
        <v>"C:\Program Files (x86)\AstroGrep\AstroGrep.exe" /e /r /s /spath="%USERPROFILE%\AppData\Local\Temp\OnboardLogs" /stypes="app*4010*20171113*" /stext=" 11:.+((SYSTEM_STATE.+slice.+state.+changed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103-13 --locoid 4010 --swversion DE.1.0.9.0 --startMP 204:509 --initTime 2017-11-13T03:37:51 --startdatetime 2017-11-13T03:45:16 --delay 79 --endMP 204:233266 --enddatetime 2017-11-13T04:21:36 --enforcementcount 0 &gt;&gt;%USERPROFILE%\Documents\GitHub\eaglep3-reporting\EC\2017-11-13-refined-times.txt</v>
      </c>
      <c r="AI1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{"issue":{"subject":"","project_id":79,"tracker_id":40,"status_id":1,"priority_id":2,"assigned_to_id":338,"start_date":"2017-11-13","description":"","custom_fields":[{"id":1,"name":"Subdivision","value":"EC"},{"id":4,"name":"Milepost","value":"23.3266"},{"id":17,"name":"Train ID","value":"103-13"},{"id":16,"name":"Locomotive ID","value":"4010"},{"id":130,"name":"Impact","value":""},{"id":150,"name":"Time of Event (Mountain Time)","value":"04:21:36"},{"id":151,"name":"Denver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4010 --day 2017-11-13</v>
      </c>
      <c r="AN1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-11-13T02:37:51-0700',mode:absolute,to:'2017-11-13T05:21:36-0700'))&amp;_a=(columns:!('Message%20ID',Summary),filters:!(),index:'emp_*',interval:auto,query:(query_string:(analyze_wildcard:!t,query:'%22rtdc.l.rtdc.4010%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672</v>
      </c>
      <c r="B16" s="7">
        <v>4009</v>
      </c>
      <c r="C16" s="21" t="s">
        <v>192</v>
      </c>
      <c r="D16" s="21" t="s">
        <v>872</v>
      </c>
      <c r="E16" s="13">
        <v>43052.192199074074</v>
      </c>
      <c r="F16" s="13">
        <v>43052.196006944447</v>
      </c>
      <c r="G16" s="7">
        <v>75</v>
      </c>
      <c r="H16" s="21" t="s">
        <v>536</v>
      </c>
      <c r="I16" s="13">
        <v>43052.222337962965</v>
      </c>
      <c r="J16" s="7">
        <v>0</v>
      </c>
      <c r="K16" s="89" t="str">
        <f t="shared" si="0"/>
        <v>4009/4010</v>
      </c>
      <c r="L16" s="185" t="str">
        <f>VLOOKUP(A16,'Trips&amp;Operators'!$C$1:$G$99911,5,FALSE)</f>
        <v>AUSTIN THOMPSON</v>
      </c>
      <c r="M16" s="6">
        <f t="shared" si="1"/>
        <v>2.6331018518249039E-2</v>
      </c>
      <c r="N16" s="7">
        <f t="shared" si="2"/>
        <v>37.916666666278616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-11-13T03:36:46-0700',mode:absolute,to:'2017-11-13T06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23.296500000000002</v>
      </c>
      <c r="Z16" s="204">
        <f t="shared" si="8"/>
        <v>2.2499999999999999E-2</v>
      </c>
      <c r="AA16" s="204">
        <f t="shared" si="9"/>
        <v>23.274000000000001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10"/>
        <v>104</v>
      </c>
      <c r="AE16" s="77" t="str">
        <f t="shared" si="11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16" s="74" t="str">
        <f t="shared" si="12"/>
        <v>"C:\Program Files (x86)\AstroGrep\AstroGrep.exe" /e /r /s /spath="%USERPROFILE%\AppData\Local\Temp\OnboardLogs" /stypes="app*4009*20171113*" /stext=" 12:.+((SYSTEM_STATE.+slice.+state.+changed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104-13 --locoid 4009 --swversion DE.1.0.9.0 --startMP 204:232965 --initTime 2017-11-13T04:36:46 --startdatetime 2017-11-13T04:42:15 --delay 75 --endMP 204:225 --enddatetime 2017-11-13T05:20:10 --enforcementcount 0 &gt;&gt;%USERPROFILE%\Documents\GitHub\eaglep3-reporting\EC\2017-11-13-refined-times.txt</v>
      </c>
      <c r="AI1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{"issue":{"subject":"","project_id":79,"tracker_id":40,"status_id":1,"priority_id":2,"assigned_to_id":338,"start_date":"2017-11-13","description":"","custom_fields":[{"id":1,"name":"Subdivision","value":"EC"},{"id":4,"name":"Milepost","value":"0.0225"},{"id":17,"name":"Train ID","value":"104-13"},{"id":16,"name":"Locomotive ID","value":"4009"},{"id":130,"name":"Impact","value":""},{"id":150,"name":"Time of Event (Mountain Time)","value":"05:20:10"},{"id":151,"name":"Denver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4009 --day 2017-11-13</v>
      </c>
      <c r="AN1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-11-13T03:36:46-0700',mode:absolute,to:'2017-11-13T06:20:10-0700'))&amp;_a=(columns:!('Message%20ID',Summary),filters:!(),index:'emp_*',interval:auto,query:(query_string:(analyze_wildcard:!t,query:'%22rtdc.l.rtdc.4009%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666</v>
      </c>
      <c r="B17" s="7">
        <v>4040</v>
      </c>
      <c r="C17" s="21" t="s">
        <v>192</v>
      </c>
      <c r="D17" s="21" t="s">
        <v>873</v>
      </c>
      <c r="E17" s="13">
        <v>43052.164293981485</v>
      </c>
      <c r="F17" s="13">
        <v>43052.177314814813</v>
      </c>
      <c r="G17" s="7">
        <v>51</v>
      </c>
      <c r="H17" s="21" t="s">
        <v>573</v>
      </c>
      <c r="I17" s="13">
        <v>43052.200925925928</v>
      </c>
      <c r="J17" s="7">
        <v>0</v>
      </c>
      <c r="K17" s="89" t="str">
        <f t="shared" si="0"/>
        <v>4039/4040</v>
      </c>
      <c r="L17" s="185" t="str">
        <f>VLOOKUP(A17,'Trips&amp;Operators'!$C$1:$G$99911,5,FALSE)</f>
        <v>YORK EDGAR</v>
      </c>
      <c r="M17" s="6">
        <f t="shared" si="1"/>
        <v>2.3611111115314998E-2</v>
      </c>
      <c r="N17" s="7">
        <f t="shared" si="2"/>
        <v>34.000000006053597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-11-13T02:56:35-0700',mode:absolute,to:'2017-11-13T05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4.4699999999999997E-2</v>
      </c>
      <c r="Z17" s="204">
        <f t="shared" si="8"/>
        <v>23.327400000000001</v>
      </c>
      <c r="AA17" s="204">
        <f t="shared" si="9"/>
        <v>23.282700000000002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10"/>
        <v>105</v>
      </c>
      <c r="AE17" s="77" t="str">
        <f t="shared" si="1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7" s="74" t="str">
        <f t="shared" si="12"/>
        <v>"C:\Program Files (x86)\AstroGrep\AstroGrep.exe" /e /r /s /spath="%USERPROFILE%\AppData\Local\Temp\OnboardLogs" /stypes="app*4040*20171113*" /stext=" 11:.+((SYSTEM_STATE.+slice.+state.+changed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105-13 --locoid 4040 --swversion DE.1.0.9.0 --startMP 204:447 --initTime 2017-11-13T03:56:35 --startdatetime 2017-11-13T04:15:20 --delay 51 --endMP 204:233274 --enddatetime 2017-11-13T04:49:20 --enforcementcount 0 &gt;&gt;%USERPROFILE%\Documents\GitHub\eaglep3-reporting\EC\2017-11-13-refined-times.txt</v>
      </c>
      <c r="AI1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{"issue":{"subject":"","project_id":79,"tracker_id":40,"status_id":1,"priority_id":2,"assigned_to_id":338,"start_date":"2017-11-13","description":"","custom_fields":[{"id":1,"name":"Subdivision","value":"EC"},{"id":4,"name":"Milepost","value":"23.3274"},{"id":17,"name":"Train ID","value":"105-13"},{"id":16,"name":"Locomotive ID","value":"4040"},{"id":130,"name":"Impact","value":""},{"id":150,"name":"Time of Event (Mountain Time)","value":"04:49:20"},{"id":151,"name":"Denver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4040 --day 2017-11-13</v>
      </c>
      <c r="AN1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-11-13T02:56:35-0700',mode:absolute,to:'2017-11-13T05:49:20-0700'))&amp;_a=(columns:!('Message%20ID',Summary),filters:!(),index:'emp_*',interval:auto,query:(query_string:(analyze_wildcard:!t,query:'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677</v>
      </c>
      <c r="B18" s="7">
        <v>4039</v>
      </c>
      <c r="C18" s="21" t="s">
        <v>192</v>
      </c>
      <c r="D18" s="21" t="s">
        <v>874</v>
      </c>
      <c r="E18" s="13">
        <v>43052.201898148145</v>
      </c>
      <c r="F18" s="13">
        <v>43052.216828703706</v>
      </c>
      <c r="G18" s="7">
        <v>53</v>
      </c>
      <c r="H18" s="21" t="s">
        <v>875</v>
      </c>
      <c r="I18" s="13">
        <v>43052.242129629631</v>
      </c>
      <c r="J18" s="7">
        <v>0</v>
      </c>
      <c r="K18" s="89" t="str">
        <f t="shared" si="0"/>
        <v>4039/4040</v>
      </c>
      <c r="L18" s="185" t="str">
        <f>VLOOKUP(A18,'Trips&amp;Operators'!$C$1:$G$99911,5,FALSE)</f>
        <v>YORK EDGAR</v>
      </c>
      <c r="M18" s="6">
        <f t="shared" si="1"/>
        <v>2.5300925924966577E-2</v>
      </c>
      <c r="N18" s="7">
        <f t="shared" si="2"/>
        <v>36.433333331951872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-11-13T03:50:44-0700',mode:absolute,to:'2017-11-13T06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23.2944</v>
      </c>
      <c r="Z18" s="204">
        <f t="shared" si="8"/>
        <v>1.5800000000000002E-2</v>
      </c>
      <c r="AA18" s="204">
        <f t="shared" si="9"/>
        <v>23.278600000000001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10"/>
        <v>106</v>
      </c>
      <c r="AE18" s="77" t="str">
        <f t="shared" si="11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8" s="74" t="str">
        <f t="shared" si="12"/>
        <v>"C:\Program Files (x86)\AstroGrep\AstroGrep.exe" /e /r /s /spath="%USERPROFILE%\AppData\Local\Temp\OnboardLogs" /stypes="app*4039*20171113*" /stext=" 12:.+((SYSTEM_STATE.+slice.+state.+changed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106-13 --locoid 4039 --swversion DE.1.0.9.0 --startMP 204:232944 --initTime 2017-11-13T04:50:44 --startdatetime 2017-11-13T05:12:14 --delay 53 --endMP 204:158 --enddatetime 2017-11-13T05:48:40 --enforcementcount 0 &gt;&gt;%USERPROFILE%\Documents\GitHub\eaglep3-reporting\EC\2017-11-13-refined-times.txt</v>
      </c>
      <c r="AI18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{"issue":{"subject":"","project_id":79,"tracker_id":40,"status_id":1,"priority_id":2,"assigned_to_id":338,"start_date":"2017-11-13","description":"","custom_fields":[{"id":1,"name":"Subdivision","value":"EC"},{"id":4,"name":"Milepost","value":"0.0158"},{"id":17,"name":"Train ID","value":"106-13"},{"id":16,"name":"Locomotive ID","value":"4039"},{"id":130,"name":"Impact","value":""},{"id":150,"name":"Time of Event (Mountain Time)","value":"05:48:40"},{"id":151,"name":"Denver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4039 --day 2017-11-13</v>
      </c>
      <c r="AN18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-11-13T03:50:44-0700',mode:absolute,to:'2017-11-13T06:48:40-0700'))&amp;_a=(columns:!('Message%20ID',Summary),filters:!(),index:'emp_*',interval:auto,query:(query_string:(analyze_wildcard:!t,query:'%22rtdc.l.rtdc.4039%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670</v>
      </c>
      <c r="B19" s="7">
        <v>4012</v>
      </c>
      <c r="C19" s="21" t="s">
        <v>192</v>
      </c>
      <c r="D19" s="21" t="s">
        <v>604</v>
      </c>
      <c r="E19" s="13">
        <v>43052.177789351852</v>
      </c>
      <c r="F19" s="13">
        <v>43052.187650462962</v>
      </c>
      <c r="G19" s="7">
        <v>80</v>
      </c>
      <c r="H19" s="21" t="s">
        <v>876</v>
      </c>
      <c r="I19" s="13">
        <v>43052.213125000002</v>
      </c>
      <c r="J19" s="7">
        <v>0</v>
      </c>
      <c r="K19" s="89" t="str">
        <f t="shared" si="0"/>
        <v>4011/4012</v>
      </c>
      <c r="L19" s="185" t="str">
        <f>VLOOKUP(A19,'Trips&amp;Operators'!$C$1:$G$99911,5,FALSE)</f>
        <v>BARRON PERLA</v>
      </c>
      <c r="M19" s="6">
        <f t="shared" si="1"/>
        <v>2.5474537040281575E-2</v>
      </c>
      <c r="N19" s="7">
        <f t="shared" si="2"/>
        <v>36.683333338005468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-11-13T03:16:01-0700',mode:absolute,to:'2017-11-13T06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4.9700000000000001E-2</v>
      </c>
      <c r="Z19" s="204">
        <f t="shared" si="8"/>
        <v>23.3293</v>
      </c>
      <c r="AA19" s="204">
        <f t="shared" si="9"/>
        <v>23.279599999999999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10"/>
        <v>107</v>
      </c>
      <c r="AE19" s="77" t="str">
        <f t="shared" si="11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19" s="74" t="str">
        <f t="shared" si="12"/>
        <v>"C:\Program Files (x86)\AstroGrep\AstroGrep.exe" /e /r /s /spath="%USERPROFILE%\AppData\Local\Temp\OnboardLogs" /stypes="app*4012*20171113*" /stext=" 12:.+((SYSTEM_STATE.+slice.+state.+changed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107-13 --locoid 4012 --swversion DE.1.0.9.0 --startMP 204:497 --initTime 2017-11-13T04:16:01 --startdatetime 2017-11-13T04:30:13 --delay 80 --endMP 204:233293 --enddatetime 2017-11-13T05:06:54 --enforcementcount 0 &gt;&gt;%USERPROFILE%\Documents\GitHub\eaglep3-reporting\EC\2017-11-13-refined-times.txt</v>
      </c>
      <c r="AI19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{"issue":{"subject":"","project_id":79,"tracker_id":40,"status_id":1,"priority_id":2,"assigned_to_id":338,"start_date":"2017-11-13","description":"","custom_fields":[{"id":1,"name":"Subdivision","value":"EC"},{"id":4,"name":"Milepost","value":"23.3293"},{"id":17,"name":"Train ID","value":"107-13"},{"id":16,"name":"Locomotive ID","value":"4012"},{"id":130,"name":"Impact","value":""},{"id":150,"name":"Time of Event (Mountain Time)","value":"05:06:54"},{"id":151,"name":"Denver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4012 --day 2017-11-13</v>
      </c>
      <c r="AN19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-11-13T03:16:01-0700',mode:absolute,to:'2017-11-13T06:06:54-0700'))&amp;_a=(columns:!('Message%20ID',Summary),filters:!(),index:'emp_*',interval:auto,query:(query_string:(analyze_wildcard:!t,query:'%22rtdc.l.rtdc.4012%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680</v>
      </c>
      <c r="B20" s="7">
        <v>4011</v>
      </c>
      <c r="C20" s="21" t="s">
        <v>192</v>
      </c>
      <c r="D20" s="21" t="s">
        <v>445</v>
      </c>
      <c r="E20" s="13">
        <v>43052.214166666665</v>
      </c>
      <c r="F20" s="13">
        <v>43052.227384259262</v>
      </c>
      <c r="G20" s="7">
        <v>58</v>
      </c>
      <c r="H20" s="21" t="s">
        <v>446</v>
      </c>
      <c r="I20" s="13">
        <v>43052.253472222219</v>
      </c>
      <c r="J20" s="7">
        <v>0</v>
      </c>
      <c r="K20" s="89" t="str">
        <f t="shared" si="0"/>
        <v>4011/4012</v>
      </c>
      <c r="L20" s="185" t="str">
        <f>VLOOKUP(A20,'Trips&amp;Operators'!$C$1:$G$99911,5,FALSE)</f>
        <v>BARRON PERLA</v>
      </c>
      <c r="M20" s="6">
        <f t="shared" si="1"/>
        <v>2.6087962956808042E-2</v>
      </c>
      <c r="N20" s="7">
        <f t="shared" si="2"/>
        <v>37.56666665780358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-11-13T04:08:24-0700',mode:absolute,to:'2017-11-13T07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23.297699999999999</v>
      </c>
      <c r="Z20" s="204">
        <f t="shared" si="8"/>
        <v>2.3599999999999999E-2</v>
      </c>
      <c r="AA20" s="204">
        <f t="shared" si="9"/>
        <v>23.274100000000001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10"/>
        <v>108</v>
      </c>
      <c r="AE20" s="77" t="str">
        <f t="shared" si="11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20" s="74" t="str">
        <f t="shared" si="12"/>
        <v>"C:\Program Files (x86)\AstroGrep\AstroGrep.exe" /e /r /s /spath="%USERPROFILE%\AppData\Local\Temp\OnboardLogs" /stypes="app*4011*20171113*" /stext=" 13:.+((SYSTEM_STATE.+slice.+state.+changed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108-13 --locoid 4011 --swversion DE.1.0.9.0 --startMP 204:232977 --initTime 2017-11-13T05:08:24 --startdatetime 2017-11-13T05:27:26 --delay 58 --endMP 204:236 --enddatetime 2017-11-13T06:05:00 --enforcementcount 0 &gt;&gt;%USERPROFILE%\Documents\GitHub\eaglep3-reporting\EC\2017-11-13-refined-times.txt</v>
      </c>
      <c r="AI20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{"issue":{"subject":"","project_id":79,"tracker_id":40,"status_id":1,"priority_id":2,"assigned_to_id":338,"start_date":"2017-11-13","description":"","custom_fields":[{"id":1,"name":"Subdivision","value":"EC"},{"id":4,"name":"Milepost","value":"0.0236"},{"id":17,"name":"Train ID","value":"108-13"},{"id":16,"name":"Locomotive ID","value":"4011"},{"id":130,"name":"Impact","value":""},{"id":150,"name":"Time of Event (Mountain Time)","value":"06:05:00"},{"id":151,"name":"Denver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4011 --day 2017-11-13</v>
      </c>
      <c r="AN20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-11-13T04:08:24-0700',mode:absolute,to:'2017-11-13T07:05:00-0700'))&amp;_a=(columns:!('Message%20ID',Summary),filters:!(),index:'emp_*',interval:auto,query:(query_string:(analyze_wildcard:!t,query:'%22rtdc.l.rtdc.4011%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673</v>
      </c>
      <c r="B21" s="7">
        <v>4060</v>
      </c>
      <c r="C21" s="21" t="s">
        <v>192</v>
      </c>
      <c r="D21" s="21" t="s">
        <v>466</v>
      </c>
      <c r="E21" s="13">
        <v>43052.193032407406</v>
      </c>
      <c r="F21" s="13">
        <v>43052.198125000003</v>
      </c>
      <c r="G21" s="7">
        <v>60</v>
      </c>
      <c r="H21" s="21" t="s">
        <v>877</v>
      </c>
      <c r="I21" s="13">
        <v>43052.22283564815</v>
      </c>
      <c r="J21" s="7">
        <v>0</v>
      </c>
      <c r="K21" s="89" t="str">
        <f t="shared" si="0"/>
        <v>4059/4060</v>
      </c>
      <c r="L21" s="185" t="str">
        <f>VLOOKUP(A21,'Trips&amp;Operators'!$C$1:$G$99911,5,FALSE)</f>
        <v>MAELZER KURT</v>
      </c>
      <c r="M21" s="6">
        <f t="shared" si="1"/>
        <v>2.47106481474475E-2</v>
      </c>
      <c r="N21" s="7">
        <f t="shared" si="2"/>
        <v>35.583333332324401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-11-13T03:37:58-0700',mode:absolute,to:'2017-11-13T06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5.0900000000000001E-2</v>
      </c>
      <c r="Z21" s="204">
        <f t="shared" si="8"/>
        <v>23.3291</v>
      </c>
      <c r="AA21" s="204">
        <f t="shared" si="9"/>
        <v>23.278200000000002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10"/>
        <v>109</v>
      </c>
      <c r="AE21" s="77" t="str">
        <f t="shared" si="11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21" s="74" t="str">
        <f t="shared" si="12"/>
        <v>"C:\Program Files (x86)\AstroGrep\AstroGrep.exe" /e /r /s /spath="%USERPROFILE%\AppData\Local\Temp\OnboardLogs" /stypes="app*4060*20171113*" /stext=" 12:.+((SYSTEM_STATE.+slice.+state.+changed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109-13 --locoid 4060 --swversion DE.1.0.9.0 --startMP 204:509 --initTime 2017-11-13T04:37:58 --startdatetime 2017-11-13T04:45:18 --delay 60 --endMP 204:233291 --enddatetime 2017-11-13T05:20:53 --enforcementcount 0 &gt;&gt;%USERPROFILE%\Documents\GitHub\eaglep3-reporting\EC\2017-11-13-refined-times.txt</v>
      </c>
      <c r="AI21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{"issue":{"subject":"","project_id":79,"tracker_id":40,"status_id":1,"priority_id":2,"assigned_to_id":338,"start_date":"2017-11-13","description":"","custom_fields":[{"id":1,"name":"Subdivision","value":"EC"},{"id":4,"name":"Milepost","value":"23.3291"},{"id":17,"name":"Train ID","value":"109-13"},{"id":16,"name":"Locomotive ID","value":"4060"},{"id":130,"name":"Impact","value":""},{"id":150,"name":"Time of Event (Mountain Time)","value":"05:20:53"},{"id":151,"name":"Denver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4060 --day 2017-11-13</v>
      </c>
      <c r="AN21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-11-13T03:37:58-0700',mode:absolute,to:'2017-11-13T06:20:53-0700'))&amp;_a=(columns:!('Message%20ID',Summary),filters:!(),index:'emp_*',interval:auto,query:(query_string:(analyze_wildcard:!t,query:'%22rtdc.l.rtdc.4060%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685</v>
      </c>
      <c r="B22" s="7">
        <v>4059</v>
      </c>
      <c r="C22" s="21" t="s">
        <v>192</v>
      </c>
      <c r="D22" s="21" t="s">
        <v>591</v>
      </c>
      <c r="E22" s="13">
        <v>43052.227569444447</v>
      </c>
      <c r="F22" s="13">
        <v>43052.237662037034</v>
      </c>
      <c r="G22" s="7">
        <v>46</v>
      </c>
      <c r="H22" s="21" t="s">
        <v>475</v>
      </c>
      <c r="I22" s="13">
        <v>43052.264178240737</v>
      </c>
      <c r="J22" s="7">
        <v>0</v>
      </c>
      <c r="K22" s="89" t="str">
        <f t="shared" si="0"/>
        <v>4059/4060</v>
      </c>
      <c r="L22" s="185" t="str">
        <f>VLOOKUP(A22,'Trips&amp;Operators'!$C$1:$G$99911,5,FALSE)</f>
        <v>MAELZER KURT</v>
      </c>
      <c r="M22" s="6">
        <f t="shared" si="1"/>
        <v>2.6516203703067731E-2</v>
      </c>
      <c r="N22" s="7">
        <f t="shared" si="2"/>
        <v>38.183333332417533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-11-13T04:27:42-0700',mode:absolute,to:'2017-11-13T07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23.297999999999998</v>
      </c>
      <c r="Z22" s="204">
        <f t="shared" si="8"/>
        <v>2.0899999999999998E-2</v>
      </c>
      <c r="AA22" s="204">
        <f t="shared" si="9"/>
        <v>23.277099999999997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10"/>
        <v>110</v>
      </c>
      <c r="AE22" s="77" t="str">
        <f t="shared" si="11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22" s="74" t="str">
        <f t="shared" si="12"/>
        <v>"C:\Program Files (x86)\AstroGrep\AstroGrep.exe" /e /r /s /spath="%USERPROFILE%\AppData\Local\Temp\OnboardLogs" /stypes="app*4059*20171113*" /stext=" 13:.+((SYSTEM_STATE.+slice.+state.+changed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110-13 --locoid 4059 --swversion DE.1.0.9.0 --startMP 204:232980 --initTime 2017-11-13T05:27:42 --startdatetime 2017-11-13T05:42:14 --delay 46 --endMP 204:209 --enddatetime 2017-11-13T06:20:25 --enforcementcount 0 &gt;&gt;%USERPROFILE%\Documents\GitHub\eaglep3-reporting\EC\2017-11-13-refined-times.txt</v>
      </c>
      <c r="AI22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{"issue":{"subject":"","project_id":79,"tracker_id":40,"status_id":1,"priority_id":2,"assigned_to_id":338,"start_date":"2017-11-13","description":"","custom_fields":[{"id":1,"name":"Subdivision","value":"EC"},{"id":4,"name":"Milepost","value":"0.0209"},{"id":17,"name":"Train ID","value":"110-13"},{"id":16,"name":"Locomotive ID","value":"4059"},{"id":130,"name":"Impact","value":""},{"id":150,"name":"Time of Event (Mountain Time)","value":"06:20:25"},{"id":151,"name":"Denver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4059 --day 2017-11-13</v>
      </c>
      <c r="AN22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-11-13T04:27:42-0700',mode:absolute,to:'2017-11-13T07:20:25-0700'))&amp;_a=(columns:!('Message%20ID',Summary),filters:!(),index:'emp_*',interval:auto,query:(query_string:(analyze_wildcard:!t,query:'%22rtdc.l.rtdc.4059%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678</v>
      </c>
      <c r="B23" s="7">
        <v>4020</v>
      </c>
      <c r="C23" s="21" t="s">
        <v>192</v>
      </c>
      <c r="D23" s="21" t="s">
        <v>531</v>
      </c>
      <c r="E23" s="13">
        <v>43052.205659722225</v>
      </c>
      <c r="F23" s="13">
        <v>43052.208738425928</v>
      </c>
      <c r="G23" s="7">
        <v>50</v>
      </c>
      <c r="H23" s="21" t="s">
        <v>877</v>
      </c>
      <c r="I23" s="13">
        <v>43052.234201388892</v>
      </c>
      <c r="J23" s="7">
        <v>0</v>
      </c>
      <c r="K23" s="89" t="str">
        <f t="shared" si="0"/>
        <v>4019/4020</v>
      </c>
      <c r="L23" s="185" t="str">
        <f>VLOOKUP(A23,'Trips&amp;Operators'!$C$1:$G$99911,5,FALSE)</f>
        <v>THOMPSON LESTER</v>
      </c>
      <c r="M23" s="6">
        <f t="shared" si="1"/>
        <v>2.5462962963501923E-2</v>
      </c>
      <c r="N23" s="7">
        <f t="shared" si="2"/>
        <v>36.666666667442769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-11-13T03:56:09-0700',mode:absolute,to:'2017-11-13T06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5.11E-2</v>
      </c>
      <c r="Z23" s="204">
        <f t="shared" si="8"/>
        <v>23.3291</v>
      </c>
      <c r="AA23" s="204">
        <f t="shared" si="9"/>
        <v>23.277999999999999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10"/>
        <v>111</v>
      </c>
      <c r="AE23" s="77" t="str">
        <f t="shared" si="11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23" s="74" t="str">
        <f t="shared" si="12"/>
        <v>"C:\Program Files (x86)\AstroGrep\AstroGrep.exe" /e /r /s /spath="%USERPROFILE%\AppData\Local\Temp\OnboardLogs" /stypes="app*4020*20171113*"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111-13 --locoid 4020 --swversion DE.1.0.9.0 --startMP 204:511 --initTime 2017-11-13T04:56:09 --startdatetime 2017-11-13T05:00:35 --delay 50 --endMP 204:233291 --enddatetime 2017-11-13T05:37:15 --enforcementcount 0 &gt;&gt;%USERPROFILE%\Documents\GitHub\eaglep3-reporting\EC\2017-11-13-refined-times.txt</v>
      </c>
      <c r="AI23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{"issue":{"subject":"","project_id":79,"tracker_id":40,"status_id":1,"priority_id":2,"assigned_to_id":338,"start_date":"2017-11-13","description":"","custom_fields":[{"id":1,"name":"Subdivision","value":"EC"},{"id":4,"name":"Milepost","value":"23.3291"},{"id":17,"name":"Train ID","value":"111-13"},{"id":16,"name":"Locomotive ID","value":"4020"},{"id":130,"name":"Impact","value":""},{"id":150,"name":"Time of Event (Mountain Time)","value":"05:37:15"},{"id":151,"name":"Denver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4020 --day 2017-11-13</v>
      </c>
      <c r="AN23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-11-13T03:56:09-0700',mode:absolute,to:'2017-11-13T06:37:15-0700'))&amp;_a=(columns:!('Message%20ID',Summary),filters:!(),index:'emp_*',interval:auto,query:(query_string:(analyze_wildcard:!t,query:'%22rtdc.l.rtdc.4020%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694</v>
      </c>
      <c r="B24" s="7">
        <v>4019</v>
      </c>
      <c r="C24" s="21" t="s">
        <v>192</v>
      </c>
      <c r="D24" s="21" t="s">
        <v>878</v>
      </c>
      <c r="E24" s="13">
        <v>43052.245439814818</v>
      </c>
      <c r="F24" s="13">
        <v>43052.248229166667</v>
      </c>
      <c r="G24" s="7">
        <v>52</v>
      </c>
      <c r="H24" s="21" t="s">
        <v>581</v>
      </c>
      <c r="I24" s="13">
        <v>43052.275451388887</v>
      </c>
      <c r="J24" s="7">
        <v>0</v>
      </c>
      <c r="K24" s="89" t="str">
        <f t="shared" si="0"/>
        <v>4019/4020</v>
      </c>
      <c r="L24" s="185" t="str">
        <f>VLOOKUP(A24,'Trips&amp;Operators'!$C$1:$G$99911,5,FALSE)</f>
        <v>THOMPSON LESTER</v>
      </c>
      <c r="M24" s="6">
        <f t="shared" si="1"/>
        <v>2.7222222219279502E-2</v>
      </c>
      <c r="N24" s="7">
        <f t="shared" si="2"/>
        <v>39.199999995762482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-11-13T04:53:26-0700',mode:absolute,to:'2017-11-13T07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23.297000000000001</v>
      </c>
      <c r="Z24" s="204">
        <f t="shared" si="8"/>
        <v>1.9199999999999998E-2</v>
      </c>
      <c r="AA24" s="204">
        <f t="shared" si="9"/>
        <v>23.277799999999999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10"/>
        <v>112</v>
      </c>
      <c r="AE24" s="77" t="str">
        <f t="shared" si="11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24" s="74" t="str">
        <f t="shared" si="12"/>
        <v>"C:\Program Files (x86)\AstroGrep\AstroGrep.exe" /e /r /s /spath="%USERPROFILE%\AppData\Local\Temp\OnboardLogs" /stypes="app*4019*20171113*" /stext=" 13:.+((SYSTEM_STATE.+slice.+state.+changed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112-13 --locoid 4019 --swversion DE.1.0.9.0 --startMP 204:232970 --initTime 2017-11-13T05:53:26 --startdatetime 2017-11-13T05:57:27 --delay 52 --endMP 204:192 --enddatetime 2017-11-13T06:36:39 --enforcementcount 0 &gt;&gt;%USERPROFILE%\Documents\GitHub\eaglep3-reporting\EC\2017-11-13-refined-times.txt</v>
      </c>
      <c r="AI24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{"issue":{"subject":"","project_id":79,"tracker_id":40,"status_id":1,"priority_id":2,"assigned_to_id":338,"start_date":"2017-11-13","description":"","custom_fields":[{"id":1,"name":"Subdivision","value":"EC"},{"id":4,"name":"Milepost","value":"0.0192"},{"id":17,"name":"Train ID","value":"112-13"},{"id":16,"name":"Locomotive ID","value":"4019"},{"id":130,"name":"Impact","value":""},{"id":150,"name":"Time of Event (Mountain Time)","value":"06:36:39"},{"id":151,"name":"Denver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4019 --day 2017-11-13</v>
      </c>
      <c r="AN24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-11-13T04:53:26-0700',mode:absolute,to:'2017-11-13T07:36:39-0700'))&amp;_a=(columns:!('Message%20ID',Summary),filters:!(),index:'emp_*',interval:auto,query:(query_string:(analyze_wildcard:!t,query:'%22rtdc.l.rtdc.4019%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679</v>
      </c>
      <c r="B25" s="7">
        <v>4028</v>
      </c>
      <c r="C25" s="21" t="s">
        <v>192</v>
      </c>
      <c r="D25" s="21" t="s">
        <v>453</v>
      </c>
      <c r="E25" s="13">
        <v>43052.206990740742</v>
      </c>
      <c r="F25" s="13">
        <v>43052.218958333331</v>
      </c>
      <c r="G25" s="7">
        <v>80</v>
      </c>
      <c r="H25" s="21" t="s">
        <v>575</v>
      </c>
      <c r="I25" s="13">
        <v>43052.244166666664</v>
      </c>
      <c r="J25" s="7">
        <v>0</v>
      </c>
      <c r="K25" s="89" t="str">
        <f t="shared" si="0"/>
        <v>4027/4028</v>
      </c>
      <c r="L25" s="185" t="str">
        <f>VLOOKUP(A25,'Trips&amp;Operators'!$C$1:$G$99911,5,FALSE)</f>
        <v>DAVIDSON DAVID</v>
      </c>
      <c r="M25" s="6">
        <f t="shared" si="1"/>
        <v>2.5208333332557231E-2</v>
      </c>
      <c r="N25" s="7">
        <f t="shared" si="2"/>
        <v>36.299999998882413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-11-13T03:58:04-0700',mode:absolute,to:'2017-11-13T06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5.0599999999999999E-2</v>
      </c>
      <c r="Z25" s="204">
        <f t="shared" si="8"/>
        <v>23.328800000000001</v>
      </c>
      <c r="AA25" s="204">
        <f t="shared" si="9"/>
        <v>23.278200000000002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10"/>
        <v>113</v>
      </c>
      <c r="AE25" s="77" t="str">
        <f t="shared" si="11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25" s="74" t="str">
        <f t="shared" si="12"/>
        <v>"C:\Program Files (x86)\AstroGrep\AstroGrep.exe" /e /r /s /spath="%USERPROFILE%\AppData\Local\Temp\OnboardLogs" /stypes="app*4028*20171113*"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113-13 --locoid 4028 --swversion DE.1.0.9.0 --startMP 204:506 --initTime 2017-11-13T04:58:04 --startdatetime 2017-11-13T05:15:18 --delay 80 --endMP 204:233288 --enddatetime 2017-11-13T05:51:36 --enforcementcount 0 &gt;&gt;%USERPROFILE%\Documents\GitHub\eaglep3-reporting\EC\2017-11-13-refined-times.txt</v>
      </c>
      <c r="AI2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{"issue":{"subject":"","project_id":79,"tracker_id":40,"status_id":1,"priority_id":2,"assigned_to_id":338,"start_date":"2017-11-13","description":"","custom_fields":[{"id":1,"name":"Subdivision","value":"EC"},{"id":4,"name":"Milepost","value":"23.3288"},{"id":17,"name":"Train ID","value":"113-13"},{"id":16,"name":"Locomotive ID","value":"4028"},{"id":130,"name":"Impact","value":""},{"id":150,"name":"Time of Event (Mountain Time)","value":"05:51:36"},{"id":151,"name":"Denver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4028 --day 2017-11-13</v>
      </c>
      <c r="AN2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-11-13T03:58:04-0700',mode:absolute,to:'2017-11-13T06:51:36-0700'))&amp;_a=(columns:!('Message%20ID',Summary),filters:!(),index:'emp_*',interval:auto,query:(query_string:(analyze_wildcard:!t,query:'%22rtdc.l.rtdc.4028%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695</v>
      </c>
      <c r="B26" s="7">
        <v>4027</v>
      </c>
      <c r="C26" s="21" t="s">
        <v>192</v>
      </c>
      <c r="D26" s="21" t="s">
        <v>595</v>
      </c>
      <c r="E26" s="13">
        <v>43052.245740740742</v>
      </c>
      <c r="F26" s="13">
        <v>43052.25854166667</v>
      </c>
      <c r="G26" s="7">
        <v>64</v>
      </c>
      <c r="H26" s="21" t="s">
        <v>879</v>
      </c>
      <c r="I26" s="13">
        <v>43052.285810185182</v>
      </c>
      <c r="J26" s="7">
        <v>0</v>
      </c>
      <c r="K26" s="89" t="str">
        <f t="shared" si="0"/>
        <v>4027/4028</v>
      </c>
      <c r="L26" s="185" t="str">
        <f>VLOOKUP(A26,'Trips&amp;Operators'!$C$1:$G$99911,5,FALSE)</f>
        <v>DAVIDSON DAVID</v>
      </c>
      <c r="M26" s="6">
        <f t="shared" si="1"/>
        <v>2.7268518511846196E-2</v>
      </c>
      <c r="N26" s="7">
        <f t="shared" si="2"/>
        <v>39.266666657058522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-11-13T04:53:52-0700',mode:absolute,to:'2017-11-13T07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23.2959</v>
      </c>
      <c r="Z26" s="204">
        <f t="shared" si="8"/>
        <v>2.1999999999999999E-2</v>
      </c>
      <c r="AA26" s="204">
        <f t="shared" si="9"/>
        <v>23.273900000000001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10"/>
        <v>114</v>
      </c>
      <c r="AE26" s="77" t="str">
        <f t="shared" si="11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26" s="74" t="str">
        <f t="shared" si="12"/>
        <v>"C:\Program Files (x86)\AstroGrep\AstroGrep.exe" /e /r /s /spath="%USERPROFILE%\AppData\Local\Temp\OnboardLogs" /stypes="app*4027*20171113*" /stext=" 13:.+((SYSTEM_STATE.+slice.+state.+changed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114-13 --locoid 4027 --swversion DE.1.0.9.0 --startMP 204:232959 --initTime 2017-11-13T05:53:52 --startdatetime 2017-11-13T06:12:18 --delay 64 --endMP 204:220 --enddatetime 2017-11-13T06:51:34 --enforcementcount 0 &gt;&gt;%USERPROFILE%\Documents\GitHub\eaglep3-reporting\EC\2017-11-13-refined-times.txt</v>
      </c>
      <c r="AI2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{"issue":{"subject":"","project_id":79,"tracker_id":40,"status_id":1,"priority_id":2,"assigned_to_id":338,"start_date":"2017-11-13","description":"","custom_fields":[{"id":1,"name":"Subdivision","value":"EC"},{"id":4,"name":"Milepost","value":"0.022"},{"id":17,"name":"Train ID","value":"114-13"},{"id":16,"name":"Locomotive ID","value":"4027"},{"id":130,"name":"Impact","value":""},{"id":150,"name":"Time of Event (Mountain Time)","value":"06:51:34"},{"id":151,"name":"Denver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4027 --day 2017-11-13</v>
      </c>
      <c r="AN2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-11-13T04:53:52-0700',mode:absolute,to:'2017-11-13T07:51:34-0700'))&amp;_a=(columns:!('Message%20ID',Summary),filters:!(),index:'emp_*',interval:auto,query:(query_string:(analyze_wildcard:!t,query:'%22rtdc.l.rtdc.4027%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684</v>
      </c>
      <c r="B27" s="7">
        <v>4010</v>
      </c>
      <c r="C27" s="21" t="s">
        <v>192</v>
      </c>
      <c r="D27" s="21" t="s">
        <v>880</v>
      </c>
      <c r="E27" s="13">
        <v>43052.225023148145</v>
      </c>
      <c r="F27" s="13">
        <v>43052.22934027778</v>
      </c>
      <c r="G27" s="7">
        <v>49</v>
      </c>
      <c r="H27" s="21" t="s">
        <v>594</v>
      </c>
      <c r="I27" s="13">
        <v>43052.255509259259</v>
      </c>
      <c r="J27" s="7">
        <v>0</v>
      </c>
      <c r="K27" s="89" t="str">
        <f t="shared" si="0"/>
        <v>4009/4010</v>
      </c>
      <c r="L27" s="185" t="str">
        <f>VLOOKUP(A27,'Trips&amp;Operators'!$C$1:$G$99911,5,FALSE)</f>
        <v>AUSTIN THOMPSON</v>
      </c>
      <c r="M27" s="6">
        <f t="shared" si="1"/>
        <v>2.6168981479713693E-2</v>
      </c>
      <c r="N27" s="7">
        <f t="shared" si="2"/>
        <v>37.683333330787718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-11-13T04:24:02-0700',mode:absolute,to:'2017-11-13T07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5.5500000000000001E-2</v>
      </c>
      <c r="Z27" s="204">
        <f t="shared" si="8"/>
        <v>23.327200000000001</v>
      </c>
      <c r="AA27" s="204">
        <f t="shared" si="9"/>
        <v>23.271700000000003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10"/>
        <v>115</v>
      </c>
      <c r="AE27" s="77" t="str">
        <f t="shared" si="11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27" s="74" t="str">
        <f t="shared" si="12"/>
        <v>"C:\Program Files (x86)\AstroGrep\AstroGrep.exe" /e /r /s /spath="%USERPROFILE%\AppData\Local\Temp\OnboardLogs" /stypes="app*4010*20171113*" /stext=" 13:.+((SYSTEM_STATE.+slice.+state.+changed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115-13 --locoid 4010 --swversion DE.1.0.9.0 --startMP 204:555 --initTime 2017-11-13T05:24:02 --startdatetime 2017-11-13T05:30:15 --delay 49 --endMP 204:233272 --enddatetime 2017-11-13T06:07:56 --enforcementcount 0 &gt;&gt;%USERPROFILE%\Documents\GitHub\eaglep3-reporting\EC\2017-11-13-refined-times.txt</v>
      </c>
      <c r="AI2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{"issue":{"subject":"","project_id":79,"tracker_id":40,"status_id":1,"priority_id":2,"assigned_to_id":338,"start_date":"2017-11-13","description":"","custom_fields":[{"id":1,"name":"Subdivision","value":"EC"},{"id":4,"name":"Milepost","value":"23.3272"},{"id":17,"name":"Train ID","value":"115-13"},{"id":16,"name":"Locomotive ID","value":"4010"},{"id":130,"name":"Impact","value":""},{"id":150,"name":"Time of Event (Mountain Time)","value":"06:07:56"},{"id":151,"name":"Denver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4010 --day 2017-11-13</v>
      </c>
      <c r="AN2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-11-13T04:24:02-0700',mode:absolute,to:'2017-11-13T07:07:56-0700'))&amp;_a=(columns:!('Message%20ID',Summary),filters:!(),index:'emp_*',interval:auto,query:(query_string:(analyze_wildcard:!t,query:'%22rtdc.l.rtdc.4010%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697</v>
      </c>
      <c r="B28" s="7">
        <v>4009</v>
      </c>
      <c r="C28" s="21" t="s">
        <v>192</v>
      </c>
      <c r="D28" s="21" t="s">
        <v>445</v>
      </c>
      <c r="E28" s="13">
        <v>43052.266168981485</v>
      </c>
      <c r="F28" s="13">
        <v>43052.268912037034</v>
      </c>
      <c r="G28" s="7">
        <v>49</v>
      </c>
      <c r="H28" s="21" t="s">
        <v>881</v>
      </c>
      <c r="I28" s="13">
        <v>43052.294872685183</v>
      </c>
      <c r="J28" s="7">
        <v>0</v>
      </c>
      <c r="K28" s="89" t="str">
        <f t="shared" si="0"/>
        <v>4009/4010</v>
      </c>
      <c r="L28" s="185" t="str">
        <f>VLOOKUP(A28,'Trips&amp;Operators'!$C$1:$G$99911,5,FALSE)</f>
        <v>AUSTIN THOMPSON</v>
      </c>
      <c r="M28" s="6">
        <f t="shared" si="1"/>
        <v>2.5960648148611654E-2</v>
      </c>
      <c r="N28" s="7">
        <f t="shared" si="2"/>
        <v>37.383333334000781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-11-13T05:23:17-0700',mode:absolute,to:'2017-11-13T08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23.297699999999999</v>
      </c>
      <c r="Z28" s="204">
        <f t="shared" si="8"/>
        <v>2.0500000000000001E-2</v>
      </c>
      <c r="AA28" s="204">
        <f t="shared" si="9"/>
        <v>23.277200000000001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10"/>
        <v>116</v>
      </c>
      <c r="AE28" s="77" t="str">
        <f t="shared" si="11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28" s="74" t="str">
        <f t="shared" si="12"/>
        <v>"C:\Program Files (x86)\AstroGrep\AstroGrep.exe" /e /r /s /spath="%USERPROFILE%\AppData\Local\Temp\OnboardLogs" /stypes="app*4009*20171113*" /stext=" 14:.+((SYSTEM_STATE.+slice.+state.+changed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116-13 --locoid 4009 --swversion DE.1.0.9.0 --startMP 204:232977 --initTime 2017-11-13T06:23:17 --startdatetime 2017-11-13T06:27:14 --delay 49 --endMP 204:205 --enddatetime 2017-11-13T07:04:37 --enforcementcount 0 &gt;&gt;%USERPROFILE%\Documents\GitHub\eaglep3-reporting\EC\2017-11-13-refined-times.txt</v>
      </c>
      <c r="AI28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{"issue":{"subject":"","project_id":79,"tracker_id":40,"status_id":1,"priority_id":2,"assigned_to_id":338,"start_date":"2017-11-13","description":"","custom_fields":[{"id":1,"name":"Subdivision","value":"EC"},{"id":4,"name":"Milepost","value":"0.0205"},{"id":17,"name":"Train ID","value":"116-13"},{"id":16,"name":"Locomotive ID","value":"4009"},{"id":130,"name":"Impact","value":""},{"id":150,"name":"Time of Event (Mountain Time)","value":"07:04:37"},{"id":151,"name":"Denver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4009 --day 2017-11-13</v>
      </c>
      <c r="AN28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-11-13T05:23:17-0700',mode:absolute,to:'2017-11-13T08:04:37-0700'))&amp;_a=(columns:!('Message%20ID',Summary),filters:!(),index:'emp_*',interval:auto,query:(query_string:(analyze_wildcard:!t,query:'%22rtdc.l.rtdc.4009%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691</v>
      </c>
      <c r="B29" s="7">
        <v>4014</v>
      </c>
      <c r="C29" s="21" t="s">
        <v>192</v>
      </c>
      <c r="D29" s="21" t="s">
        <v>571</v>
      </c>
      <c r="E29" s="13">
        <v>43052.236111111109</v>
      </c>
      <c r="F29" s="13">
        <v>43052.239930555559</v>
      </c>
      <c r="G29" s="7">
        <v>70</v>
      </c>
      <c r="H29" s="21" t="s">
        <v>533</v>
      </c>
      <c r="I29" s="13">
        <v>43052.264097222222</v>
      </c>
      <c r="J29" s="7">
        <v>0</v>
      </c>
      <c r="K29" s="89" t="str">
        <f t="shared" si="0"/>
        <v>4013/4014</v>
      </c>
      <c r="L29" s="185" t="str">
        <f>VLOOKUP(A29,'Trips&amp;Operators'!$C$1:$G$99911,5,FALSE)</f>
        <v>LAMAR NEKESHA</v>
      </c>
      <c r="M29" s="6">
        <f t="shared" si="1"/>
        <v>2.4166666662495118E-2</v>
      </c>
      <c r="N29" s="7">
        <f t="shared" si="2"/>
        <v>34.799999993992969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-11-13T04:40:00-0700',mode:absolute,to:'2017-11-13T07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4.7699999999999999E-2</v>
      </c>
      <c r="Z29" s="204">
        <f t="shared" si="8"/>
        <v>23.327000000000002</v>
      </c>
      <c r="AA29" s="204">
        <f t="shared" si="9"/>
        <v>23.279300000000003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10"/>
        <v>117</v>
      </c>
      <c r="AE29" s="77" t="str">
        <f t="shared" si="11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29" s="74" t="str">
        <f t="shared" si="12"/>
        <v>"C:\Program Files (x86)\AstroGrep\AstroGrep.exe" /e /r /s /spath="%USERPROFILE%\AppData\Local\Temp\OnboardLogs" /stypes="app*4014*20171113*"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117-13 --locoid 4014 --swversion DE.1.0.9.0 --startMP 204:477 --initTime 2017-11-13T05:40:00 --startdatetime 2017-11-13T05:45:30 --delay 70 --endMP 204:233270 --enddatetime 2017-11-13T06:20:18 --enforcementcount 0 &gt;&gt;%USERPROFILE%\Documents\GitHub\eaglep3-reporting\EC\2017-11-13-refined-times.txt</v>
      </c>
      <c r="AI29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{"issue":{"subject":"","project_id":79,"tracker_id":40,"status_id":1,"priority_id":2,"assigned_to_id":338,"start_date":"2017-11-13","description":"","custom_fields":[{"id":1,"name":"Subdivision","value":"EC"},{"id":4,"name":"Milepost","value":"23.327"},{"id":17,"name":"Train ID","value":"117-13"},{"id":16,"name":"Locomotive ID","value":"4014"},{"id":130,"name":"Impact","value":""},{"id":150,"name":"Time of Event (Mountain Time)","value":"06:20:18"},{"id":151,"name":"Denver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4014 --day 2017-11-13</v>
      </c>
      <c r="AN29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-11-13T04:40:00-0700',mode:absolute,to:'2017-11-13T07:20:18-0700'))&amp;_a=(columns:!('Message%20ID',Summary),filters:!(),index:'emp_*',interval:auto,query:(query_string:(analyze_wildcard:!t,query:'%22rtdc.l.rtdc.4014%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702</v>
      </c>
      <c r="B30" s="7">
        <v>4013</v>
      </c>
      <c r="C30" s="21" t="s">
        <v>192</v>
      </c>
      <c r="D30" s="21" t="s">
        <v>872</v>
      </c>
      <c r="E30" s="13">
        <v>43052.277291666665</v>
      </c>
      <c r="F30" s="13">
        <v>43052.296111111114</v>
      </c>
      <c r="G30" s="7">
        <v>65</v>
      </c>
      <c r="H30" s="21" t="s">
        <v>872</v>
      </c>
      <c r="I30" s="13">
        <v>43052.309571759259</v>
      </c>
      <c r="J30" s="7">
        <v>0</v>
      </c>
      <c r="K30" s="89" t="str">
        <f t="shared" si="0"/>
        <v>4013/4014</v>
      </c>
      <c r="L30" s="185" t="str">
        <f>VLOOKUP(A30,'Trips&amp;Operators'!$C$1:$G$99911,5,FALSE)</f>
        <v>LAMAR NEKESHA</v>
      </c>
      <c r="M30" s="6">
        <f t="shared" si="1"/>
        <v>1.3460648144246079E-2</v>
      </c>
      <c r="N30" s="7"/>
      <c r="O30" s="7"/>
      <c r="P30" s="7"/>
      <c r="Q30" s="22"/>
      <c r="R30" s="174"/>
      <c r="S30" s="221"/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-11-13T05:39:18-0700',mode:absolute,to:'2017-11-13T08:25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204" t="str">
        <f>IF(AA30&lt;VLOOKUP(AG30,Variables!$AC$3:$AD$8,2,FALSE),"Y","N")</f>
        <v>Y</v>
      </c>
      <c r="X30" s="204">
        <f t="shared" si="6"/>
        <v>1</v>
      </c>
      <c r="Y30" s="204">
        <f t="shared" si="7"/>
        <v>23.296500000000002</v>
      </c>
      <c r="Z30" s="204">
        <f t="shared" si="8"/>
        <v>23.296500000000002</v>
      </c>
      <c r="AA30" s="204">
        <f t="shared" si="9"/>
        <v>0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10"/>
        <v>118</v>
      </c>
      <c r="AE30" s="77" t="str">
        <f t="shared" si="11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30" s="74" t="str">
        <f t="shared" si="12"/>
        <v>"C:\Program Files (x86)\AstroGrep\AstroGrep.exe" /e /r /s /spath="%USERPROFILE%\AppData\Local\Temp\OnboardLogs" /stypes="app*4013*20171113*" /stext=" 14:.+((SYSTEM_STATE.+slice.+state.+changed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118-13 --locoid 4013 --swversion DE.1.0.9.0 --startMP 204:232965 --initTime 2017-11-13T06:39:18 --startdatetime 2017-11-13T07:06:24 --delay 65 --endMP 204:232965 --enddatetime 2017-11-13T07:25:47 --enforcementcount 0 &gt;&gt;%USERPROFILE%\Documents\GitHub\eaglep3-reporting\EC\2017-11-13-refined-times.txt</v>
      </c>
      <c r="AI30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{"issue":{"subject":"","project_id":79,"tracker_id":40,"status_id":1,"priority_id":2,"assigned_to_id":338,"start_date":"2017-11-13","description":"","custom_fields":[{"id":1,"name":"Subdivision","value":"EC"},{"id":4,"name":"Milepost","value":"23.2965"},{"id":17,"name":"Train ID","value":"118-13"},{"id":16,"name":"Locomotive ID","value":"4013"},{"id":130,"name":"Impact","value":""},{"id":150,"name":"Time of Event (Mountain Time)","value":"07:25:47"},{"id":151,"name":"Denver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4013 --day 2017-11-13</v>
      </c>
      <c r="AN30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-11-13T05:39:18-0700',mode:absolute,to:'2017-11-13T08:25:47-0700'))&amp;_a=(columns:!('Message%20ID',Summary),filters:!(),index:'emp_*',interval:auto,query:(query_string:(analyze_wildcard:!t,query:'%22rtdc.l.rtdc.4013%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702</v>
      </c>
      <c r="B31" s="7">
        <v>4013</v>
      </c>
      <c r="C31" s="21" t="s">
        <v>192</v>
      </c>
      <c r="D31" s="21" t="s">
        <v>882</v>
      </c>
      <c r="E31" s="13">
        <v>43052.294444444444</v>
      </c>
      <c r="F31" s="13">
        <v>43052.296111111114</v>
      </c>
      <c r="G31" s="7">
        <v>59</v>
      </c>
      <c r="H31" s="21" t="s">
        <v>883</v>
      </c>
      <c r="I31" s="13">
        <v>43052.309571759259</v>
      </c>
      <c r="J31" s="7">
        <v>0</v>
      </c>
      <c r="K31" s="89" t="str">
        <f t="shared" si="0"/>
        <v>4013/4014</v>
      </c>
      <c r="L31" s="185" t="str">
        <f>VLOOKUP(A31,'Trips&amp;Operators'!$C$1:$G$99911,5,FALSE)</f>
        <v>LAMAR NEKESHA</v>
      </c>
      <c r="M31" s="6">
        <f t="shared" si="1"/>
        <v>1.3460648144246079E-2</v>
      </c>
      <c r="N31" s="7"/>
      <c r="O31" s="7"/>
      <c r="P31" s="7">
        <f t="shared" si="2"/>
        <v>19.383333327714354</v>
      </c>
      <c r="Q31" s="22"/>
      <c r="R31" s="174" t="s">
        <v>1101</v>
      </c>
      <c r="S31" s="221">
        <f t="shared" si="3"/>
        <v>0.83333333333333326</v>
      </c>
      <c r="T31" s="174" t="str">
        <f t="shared" si="4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10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-11-13T06:04:00-0700',mode:absolute,to:'2017-11-13T08:25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1" s="204" t="str">
        <f>IF(AA31&lt;VLOOKUP(AG31,Variables!$AC$3:$AD$8,2,FALSE),"Y","N")</f>
        <v>Y</v>
      </c>
      <c r="X31" s="204">
        <f t="shared" si="6"/>
        <v>0</v>
      </c>
      <c r="Y31" s="204">
        <f t="shared" si="7"/>
        <v>8.6353000000000009</v>
      </c>
      <c r="Z31" s="204">
        <f t="shared" si="8"/>
        <v>1.8100000000000002E-2</v>
      </c>
      <c r="AA31" s="204">
        <f t="shared" si="9"/>
        <v>8.6172000000000004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10"/>
        <v>118</v>
      </c>
      <c r="AE31" s="77" t="str">
        <f t="shared" si="11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31" s="74" t="str">
        <f t="shared" si="12"/>
        <v>"C:\Program Files (x86)\AstroGrep\AstroGrep.exe" /e /r /s /spath="%USERPROFILE%\AppData\Local\Temp\OnboardLogs" /stypes="app*4013*20171113*" /stext=" 14:.+((SYSTEM_STATE.+slice.+state.+changed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118-13 --locoid 4013 --swversion DE.1.0.9.0 --startMP 204:86353 --initTime 2017-11-13T07:04:00 --startdatetime 2017-11-13T07:06:24 --delay 59 --endMP 204:181 --enddatetime 2017-11-13T07:25:47 --enforcementcount 0 &gt;&gt;%USERPROFILE%\Documents\GitHub\eaglep3-reporting\EC\2017-11-13-refined-times.txt</v>
      </c>
      <c r="AI31" s="96" t="str">
        <f t="shared" si="20"/>
        <v>echo {"issue":{"subject":"Onboard in-route failure","project_id":79,"tracker_id":40,"status_id":1,"priority_id":2,"assigned_to_id":338,"start_date":"2017-11-13","description":"","custom_fields":[{"id":1,"name":"Subdivision","value":"EC"},{"id":4,"name":"Milepost","value":"0.0181"},{"id":17,"name":"Train ID","value":"118-13"},{"id":16,"name":"Locomotive ID","value":"4013"},{"id":130,"name":"Impact","value":""},{"id":150,"name":"Time of Event (Mountain Time)","value":"07:25:47"},{"id":151,"name":"Denver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4013 --day 2017-11-13</v>
      </c>
      <c r="AN31" s="151" t="str">
        <f t="shared" si="22"/>
        <v>echo {"issue":{"subject":"Onboard in-route failure","project_id":30,"tracker_id":4,"status_id":1,"priority_id":1,"assigned_to_id":10,"start_date":"2017-11-13","description":"","custom_fields":[{"id":30,"name":"Category","value":"Issue"},{"id":3,"name":"Functional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-11-13T06:04:00-0700',mode:absolute,to:'2017-11-13T08:25:47-0700'))&amp;_a=(columns:!('Message%20ID',Summary),filters:!(),index:'emp_*',interval:auto,query:(query_string:(analyze_wildcard:!t,query:'%22rtdc.l.rtdc.4013%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693</v>
      </c>
      <c r="B32" s="7">
        <v>4040</v>
      </c>
      <c r="C32" s="21" t="s">
        <v>192</v>
      </c>
      <c r="D32" s="21" t="s">
        <v>884</v>
      </c>
      <c r="E32" s="13">
        <v>43052.243680555555</v>
      </c>
      <c r="F32" s="13">
        <v>43052.250196759262</v>
      </c>
      <c r="G32" s="7">
        <v>43</v>
      </c>
      <c r="H32" s="21" t="s">
        <v>885</v>
      </c>
      <c r="I32" s="13">
        <v>43052.274398148147</v>
      </c>
      <c r="J32" s="7">
        <v>0</v>
      </c>
      <c r="K32" s="89" t="str">
        <f t="shared" si="0"/>
        <v>4039/4040</v>
      </c>
      <c r="L32" s="185" t="str">
        <f>VLOOKUP(A32,'Trips&amp;Operators'!$C$1:$G$99911,5,FALSE)</f>
        <v>YORK EDGAR</v>
      </c>
      <c r="M32" s="6">
        <f t="shared" si="1"/>
        <v>2.4201388885558117E-2</v>
      </c>
      <c r="N32" s="7">
        <f t="shared" si="2"/>
        <v>34.849999995203689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-11-13T04:50:54-0700',mode:absolute,to:'2017-11-13T07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4.6199999999999998E-2</v>
      </c>
      <c r="Z32" s="204">
        <f t="shared" si="8"/>
        <v>23.33</v>
      </c>
      <c r="AA32" s="204">
        <f t="shared" si="9"/>
        <v>23.283799999999999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10"/>
        <v>119</v>
      </c>
      <c r="AE32" s="77" t="str">
        <f t="shared" si="1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32" s="74" t="str">
        <f t="shared" si="12"/>
        <v>"C:\Program Files (x86)\AstroGrep\AstroGrep.exe" /e /r /s /spath="%USERPROFILE%\AppData\Local\Temp\OnboardLogs" /stypes="app*4040*20171113*"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119-13 --locoid 4040 --swversion DE.1.0.9.0 --startMP 204:462 --initTime 2017-11-13T05:50:54 --startdatetime 2017-11-13T06:00:17 --delay 43 --endMP 204:233300 --enddatetime 2017-11-13T06:35:08 --enforcementcount 0 &gt;&gt;%USERPROFILE%\Documents\GitHub\eaglep3-reporting\EC\2017-11-13-refined-times.txt</v>
      </c>
      <c r="AI32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{"issue":{"subject":"","project_id":79,"tracker_id":40,"status_id":1,"priority_id":2,"assigned_to_id":338,"start_date":"2017-11-13","description":"","custom_fields":[{"id":1,"name":"Subdivision","value":"EC"},{"id":4,"name":"Milepost","value":"23.33"},{"id":17,"name":"Train ID","value":"119-13"},{"id":16,"name":"Locomotive ID","value":"4040"},{"id":130,"name":"Impact","value":""},{"id":150,"name":"Time of Event (Mountain Time)","value":"06:35:08"},{"id":151,"name":"Denver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4040 --day 2017-11-13</v>
      </c>
      <c r="AN32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-11-13T04:50:54-0700',mode:absolute,to:'2017-11-13T07:35:08-0700'))&amp;_a=(columns:!('Message%20ID',Summary),filters:!(),index:'emp_*',interval:auto,query:(query_string:(analyze_wildcard:!t,query:'%22rtdc.l.rtdc.4040%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701</v>
      </c>
      <c r="B33" s="7">
        <v>4039</v>
      </c>
      <c r="C33" s="21" t="s">
        <v>192</v>
      </c>
      <c r="D33" s="21" t="s">
        <v>535</v>
      </c>
      <c r="E33" s="13">
        <v>43052.275312500002</v>
      </c>
      <c r="F33" s="13">
        <v>43052.28974537037</v>
      </c>
      <c r="G33" s="7">
        <v>71</v>
      </c>
      <c r="H33" s="21" t="s">
        <v>477</v>
      </c>
      <c r="I33" s="13">
        <v>43052.315451388888</v>
      </c>
      <c r="J33" s="7">
        <v>0</v>
      </c>
      <c r="K33" s="89" t="str">
        <f t="shared" si="0"/>
        <v>4039/4040</v>
      </c>
      <c r="L33" s="185" t="str">
        <f>VLOOKUP(A33,'Trips&amp;Operators'!$C$1:$G$99911,5,FALSE)</f>
        <v>YORK EDGAR</v>
      </c>
      <c r="M33" s="6">
        <f t="shared" si="1"/>
        <v>2.5706018517666962E-2</v>
      </c>
      <c r="N33" s="7">
        <f t="shared" si="2"/>
        <v>37.016666665440425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-11-13T05:36:27-0700',mode:absolute,to:'2017-11-13T08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23.298100000000002</v>
      </c>
      <c r="Z33" s="204">
        <f t="shared" si="8"/>
        <v>1.67E-2</v>
      </c>
      <c r="AA33" s="204">
        <f t="shared" si="9"/>
        <v>23.281400000000001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10"/>
        <v>120</v>
      </c>
      <c r="AE33" s="77" t="str">
        <f t="shared" si="11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33" s="74" t="str">
        <f t="shared" si="12"/>
        <v>"C:\Program Files (x86)\AstroGrep\AstroGrep.exe" /e /r /s /spath="%USERPROFILE%\AppData\Local\Temp\OnboardLogs" /stypes="app*4039*20171113*" /stext=" 14:.+((SYSTEM_STATE.+slice.+state.+changed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120-13 --locoid 4039 --swversion DE.1.0.9.0 --startMP 204:232981 --initTime 2017-11-13T06:36:27 --startdatetime 2017-11-13T06:57:14 --delay 71 --endMP 204:167 --enddatetime 2017-11-13T07:34:15 --enforcementcount 0 &gt;&gt;%USERPROFILE%\Documents\GitHub\eaglep3-reporting\EC\2017-11-13-refined-times.txt</v>
      </c>
      <c r="AI33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{"issue":{"subject":"","project_id":79,"tracker_id":40,"status_id":1,"priority_id":2,"assigned_to_id":338,"start_date":"2017-11-13","description":"","custom_fields":[{"id":1,"name":"Subdivision","value":"EC"},{"id":4,"name":"Milepost","value":"0.0167"},{"id":17,"name":"Train ID","value":"120-13"},{"id":16,"name":"Locomotive ID","value":"4039"},{"id":130,"name":"Impact","value":""},{"id":150,"name":"Time of Event (Mountain Time)","value":"07:34:15"},{"id":151,"name":"Denver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4039 --day 2017-11-13</v>
      </c>
      <c r="AN33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-11-13T05:36:27-0700',mode:absolute,to:'2017-11-13T08:34:15-0700'))&amp;_a=(columns:!('Message%20ID',Summary),filters:!(),index:'emp_*',interval:auto,query:(query_string:(analyze_wildcard:!t,query:'%22rtdc.l.rtdc.4039%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630</v>
      </c>
      <c r="B34" s="7">
        <v>4012</v>
      </c>
      <c r="C34" s="21" t="s">
        <v>192</v>
      </c>
      <c r="D34" s="21" t="s">
        <v>539</v>
      </c>
      <c r="E34" s="13">
        <v>43052.255254629628</v>
      </c>
      <c r="F34" s="13">
        <v>43052.26059027778</v>
      </c>
      <c r="G34" s="7">
        <v>60</v>
      </c>
      <c r="H34" s="21" t="s">
        <v>886</v>
      </c>
      <c r="I34" s="13">
        <v>43052.285914351851</v>
      </c>
      <c r="J34" s="7">
        <v>0</v>
      </c>
      <c r="K34" s="89" t="str">
        <f t="shared" si="0"/>
        <v>4011/4012</v>
      </c>
      <c r="L34" s="185" t="str">
        <f>VLOOKUP(A34,'Trips&amp;Operators'!$C$1:$G$99911,5,FALSE)</f>
        <v>BARRON PERLA</v>
      </c>
      <c r="M34" s="6">
        <f t="shared" si="1"/>
        <v>2.5324074071249925E-2</v>
      </c>
      <c r="N34" s="7">
        <f t="shared" si="2"/>
        <v>36.466666662599891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-11-13T05:07:34-0700',mode:absolute,to:'2017-11-13T07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5.4800000000000001E-2</v>
      </c>
      <c r="Z34" s="204">
        <f t="shared" si="8"/>
        <v>23.3307</v>
      </c>
      <c r="AA34" s="204">
        <f t="shared" si="9"/>
        <v>23.2759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10"/>
        <v>121</v>
      </c>
      <c r="AE34" s="77" t="str">
        <f t="shared" si="11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34" s="74" t="str">
        <f t="shared" si="12"/>
        <v>"C:\Program Files (x86)\AstroGrep\AstroGrep.exe" /e /r /s /spath="%USERPROFILE%\AppData\Local\Temp\OnboardLogs" /stypes="app*4012*20171113*"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121-13 --locoid 4012 --swversion DE.1.0.9.0 --startMP 204:548 --initTime 2017-11-13T06:07:34 --startdatetime 2017-11-13T06:15:15 --delay 60 --endMP 204:233307 --enddatetime 2017-11-13T06:51:43 --enforcementcount 0 &gt;&gt;%USERPROFILE%\Documents\GitHub\eaglep3-reporting\EC\2017-11-13-refined-times.txt</v>
      </c>
      <c r="AI34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{"issue":{"subject":"","project_id":79,"tracker_id":40,"status_id":1,"priority_id":2,"assigned_to_id":338,"start_date":"2017-11-13","description":"","custom_fields":[{"id":1,"name":"Subdivision","value":"EC"},{"id":4,"name":"Milepost","value":"23.3307"},{"id":17,"name":"Train ID","value":"121-13"},{"id":16,"name":"Locomotive ID","value":"4012"},{"id":130,"name":"Impact","value":""},{"id":150,"name":"Time of Event (Mountain Time)","value":"06:51:43"},{"id":151,"name":"Denver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4012 --day 2017-11-13</v>
      </c>
      <c r="AN34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-11-13T05:07:34-0700',mode:absolute,to:'2017-11-13T07:51:43-0700'))&amp;_a=(columns:!('Message%20ID',Summary),filters:!(),index:'emp_*',interval:auto,query:(query_string:(analyze_wildcard:!t,query:'%22rtdc.l.rtdc.4012%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705</v>
      </c>
      <c r="B35" s="7">
        <v>4011</v>
      </c>
      <c r="C35" s="21" t="s">
        <v>192</v>
      </c>
      <c r="D35" s="21" t="s">
        <v>887</v>
      </c>
      <c r="E35" s="13">
        <v>43052.287256944444</v>
      </c>
      <c r="F35" s="13">
        <v>43052.300254629627</v>
      </c>
      <c r="G35" s="7">
        <v>82</v>
      </c>
      <c r="H35" s="21" t="s">
        <v>588</v>
      </c>
      <c r="I35" s="13">
        <v>43052.327488425923</v>
      </c>
      <c r="J35" s="7">
        <v>0</v>
      </c>
      <c r="K35" s="89" t="str">
        <f t="shared" si="0"/>
        <v>4011/4012</v>
      </c>
      <c r="L35" s="185" t="str">
        <f>VLOOKUP(A35,'Trips&amp;Operators'!$C$1:$G$99911,5,FALSE)</f>
        <v>BARRON PERLA</v>
      </c>
      <c r="M35" s="6">
        <f t="shared" si="1"/>
        <v>2.7233796296059154E-2</v>
      </c>
      <c r="N35" s="7">
        <f t="shared" si="2"/>
        <v>39.216666666325182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-11-13T05:53:39-0700',mode:absolute,to:'2017-11-13T08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23.298400000000001</v>
      </c>
      <c r="Z35" s="204">
        <f t="shared" si="8"/>
        <v>2.23E-2</v>
      </c>
      <c r="AA35" s="204">
        <f t="shared" si="9"/>
        <v>23.2761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10"/>
        <v>122</v>
      </c>
      <c r="AE35" s="77" t="str">
        <f t="shared" si="11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35" s="74" t="str">
        <f t="shared" si="12"/>
        <v>"C:\Program Files (x86)\AstroGrep\AstroGrep.exe" /e /r /s /spath="%USERPROFILE%\AppData\Local\Temp\OnboardLogs" /stypes="app*4011*20171113*" /stext=" 14:.+((SYSTEM_STATE.+slice.+state.+changed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122-13 --locoid 4011 --swversion DE.1.0.9.0 --startMP 204:232984 --initTime 2017-11-13T06:53:39 --startdatetime 2017-11-13T07:12:22 --delay 82 --endMP 204:223 --enddatetime 2017-11-13T07:51:35 --enforcementcount 0 &gt;&gt;%USERPROFILE%\Documents\GitHub\eaglep3-reporting\EC\2017-11-13-refined-times.txt</v>
      </c>
      <c r="AI3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{"issue":{"subject":"","project_id":79,"tracker_id":40,"status_id":1,"priority_id":2,"assigned_to_id":338,"start_date":"2017-11-13","description":"","custom_fields":[{"id":1,"name":"Subdivision","value":"EC"},{"id":4,"name":"Milepost","value":"0.0223"},{"id":17,"name":"Train ID","value":"122-13"},{"id":16,"name":"Locomotive ID","value":"4011"},{"id":130,"name":"Impact","value":""},{"id":150,"name":"Time of Event (Mountain Time)","value":"07:51:35"},{"id":151,"name":"Denver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4011 --day 2017-11-13</v>
      </c>
      <c r="AN3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-11-13T05:53:39-0700',mode:absolute,to:'2017-11-13T08:51:35-0700'))&amp;_a=(columns:!('Message%20ID',Summary),filters:!(),index:'emp_*',interval:auto,query:(query_string:(analyze_wildcard:!t,query:'%22rtdc.l.rtdc.4011%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698</v>
      </c>
      <c r="B36" s="7">
        <v>4060</v>
      </c>
      <c r="C36" s="21" t="s">
        <v>192</v>
      </c>
      <c r="D36" s="21" t="s">
        <v>888</v>
      </c>
      <c r="E36" s="13">
        <v>43052.267696759256</v>
      </c>
      <c r="F36" s="13">
        <v>43052.271053240744</v>
      </c>
      <c r="G36" s="7">
        <v>52</v>
      </c>
      <c r="H36" s="21" t="s">
        <v>889</v>
      </c>
      <c r="I36" s="13">
        <v>43052.295682870368</v>
      </c>
      <c r="J36" s="7">
        <v>0</v>
      </c>
      <c r="K36" s="89" t="str">
        <f t="shared" si="0"/>
        <v>4059/4060</v>
      </c>
      <c r="L36" s="185" t="str">
        <f>VLOOKUP(A36,'Trips&amp;Operators'!$C$1:$G$99911,5,FALSE)</f>
        <v>MAELZER KURT</v>
      </c>
      <c r="M36" s="6">
        <f t="shared" si="1"/>
        <v>2.4629629624541849E-2</v>
      </c>
      <c r="N36" s="7">
        <f t="shared" si="2"/>
        <v>35.466666659340262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-11-13T05:25:29-0700',mode:absolute,to:'2017-11-13T08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0.05</v>
      </c>
      <c r="Z36" s="204">
        <f t="shared" si="8"/>
        <v>23.3325</v>
      </c>
      <c r="AA36" s="204">
        <f t="shared" si="9"/>
        <v>23.282499999999999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10"/>
        <v>123</v>
      </c>
      <c r="AE36" s="77" t="str">
        <f t="shared" si="11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36" s="74" t="str">
        <f t="shared" si="12"/>
        <v>"C:\Program Files (x86)\AstroGrep\AstroGrep.exe" /e /r /s /spath="%USERPROFILE%\AppData\Local\Temp\OnboardLogs" /stypes="app*4060*20171113*"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123-13 --locoid 4060 --swversion DE.1.0.9.0 --startMP 204:500 --initTime 2017-11-13T06:25:29 --startdatetime 2017-11-13T06:30:19 --delay 52 --endMP 204:233325 --enddatetime 2017-11-13T07:05:47 --enforcementcount 0 &gt;&gt;%USERPROFILE%\Documents\GitHub\eaglep3-reporting\EC\2017-11-13-refined-times.txt</v>
      </c>
      <c r="AI3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{"issue":{"subject":"","project_id":79,"tracker_id":40,"status_id":1,"priority_id":2,"assigned_to_id":338,"start_date":"2017-11-13","description":"","custom_fields":[{"id":1,"name":"Subdivision","value":"EC"},{"id":4,"name":"Milepost","value":"23.3325"},{"id":17,"name":"Train ID","value":"123-13"},{"id":16,"name":"Locomotive ID","value":"4060"},{"id":130,"name":"Impact","value":""},{"id":150,"name":"Time of Event (Mountain Time)","value":"07:05:47"},{"id":151,"name":"Denver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4060 --day 2017-11-13</v>
      </c>
      <c r="AN3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-11-13T05:25:29-0700',mode:absolute,to:'2017-11-13T08:05:47-0700'))&amp;_a=(columns:!('Message%20ID',Summary),filters:!(),index:'emp_*',interval:auto,query:(query_string:(analyze_wildcard:!t,query:'%22rtdc.l.rtdc.4060%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709</v>
      </c>
      <c r="B37" s="7">
        <v>4059</v>
      </c>
      <c r="C37" s="21" t="s">
        <v>192</v>
      </c>
      <c r="D37" s="21" t="s">
        <v>890</v>
      </c>
      <c r="E37" s="13">
        <v>43052.30395833333</v>
      </c>
      <c r="F37" s="13">
        <v>43052.310856481483</v>
      </c>
      <c r="G37" s="7">
        <v>45</v>
      </c>
      <c r="H37" s="21" t="s">
        <v>624</v>
      </c>
      <c r="I37" s="13">
        <v>43052.340451388889</v>
      </c>
      <c r="J37" s="7">
        <v>0</v>
      </c>
      <c r="K37" s="89" t="str">
        <f t="shared" si="0"/>
        <v>4059/4060</v>
      </c>
      <c r="L37" s="185" t="str">
        <f>VLOOKUP(A37,'Trips&amp;Operators'!$C$1:$G$99911,5,FALSE)</f>
        <v>MAELZER KURT</v>
      </c>
      <c r="M37" s="6">
        <f t="shared" si="1"/>
        <v>2.9594907406135462E-2</v>
      </c>
      <c r="N37" s="7">
        <f t="shared" si="2"/>
        <v>42.616666664835066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-11-13T06:17:42-0700',mode:absolute,to:'2017-11-13T09:10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23.301300000000001</v>
      </c>
      <c r="Z37" s="204">
        <f t="shared" si="8"/>
        <v>1.5599999999999999E-2</v>
      </c>
      <c r="AA37" s="204">
        <f t="shared" si="9"/>
        <v>23.285700000000002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10"/>
        <v>124</v>
      </c>
      <c r="AE37" s="77" t="str">
        <f t="shared" si="11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37" s="74" t="str">
        <f t="shared" si="12"/>
        <v>"C:\Program Files (x86)\AstroGrep\AstroGrep.exe" /e /r /s /spath="%USERPROFILE%\AppData\Local\Temp\OnboardLogs" /stypes="app*4059*20171113*" /stext=" 15:.+((SYSTEM_STATE.+slice.+state.+changed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124-13 --locoid 4059 --swversion DE.1.0.9.0 --startMP 204:233013 --initTime 2017-11-13T07:17:42 --startdatetime 2017-11-13T07:27:38 --delay 45 --endMP 204:156 --enddatetime 2017-11-13T08:10:15 --enforcementcount 0 &gt;&gt;%USERPROFILE%\Documents\GitHub\eaglep3-reporting\EC\2017-11-13-refined-times.txt</v>
      </c>
      <c r="AI3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{"issue":{"subject":"","project_id":79,"tracker_id":40,"status_id":1,"priority_id":2,"assigned_to_id":338,"start_date":"2017-11-13","description":"","custom_fields":[{"id":1,"name":"Subdivision","value":"EC"},{"id":4,"name":"Milepost","value":"0.0156"},{"id":17,"name":"Train ID","value":"124-13"},{"id":16,"name":"Locomotive ID","value":"4059"},{"id":130,"name":"Impact","value":""},{"id":150,"name":"Time of Event (Mountain Time)","value":"08:10:15"},{"id":151,"name":"Denver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4059 --day 2017-11-13</v>
      </c>
      <c r="AN3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-11-13T06:17:42-0700',mode:absolute,to:'2017-11-13T09:10:15-0700'))&amp;_a=(columns:!('Message%20ID',Summary),filters:!(),index:'emp_*',interval:auto,query:(query_string:(analyze_wildcard:!t,query:'%22rtdc.l.rtdc.4059%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703</v>
      </c>
      <c r="B38" s="7">
        <v>4020</v>
      </c>
      <c r="C38" s="21" t="s">
        <v>192</v>
      </c>
      <c r="D38" s="21" t="s">
        <v>891</v>
      </c>
      <c r="E38" s="13">
        <v>43052.27988425926</v>
      </c>
      <c r="F38" s="13">
        <v>43052.281550925924</v>
      </c>
      <c r="G38" s="7">
        <v>51</v>
      </c>
      <c r="H38" s="21" t="s">
        <v>533</v>
      </c>
      <c r="I38" s="13">
        <v>43052.305995370371</v>
      </c>
      <c r="J38" s="7">
        <v>0</v>
      </c>
      <c r="K38" s="89" t="str">
        <f t="shared" si="0"/>
        <v>4019/4020</v>
      </c>
      <c r="L38" s="185" t="str">
        <f>VLOOKUP(A38,'Trips&amp;Operators'!$C$1:$G$99911,5,FALSE)</f>
        <v>THOMPSON LESTER</v>
      </c>
      <c r="M38" s="6">
        <f t="shared" si="1"/>
        <v>2.4444444446999114E-2</v>
      </c>
      <c r="N38" s="7">
        <f t="shared" si="2"/>
        <v>35.200000003678724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-11-13T05:43:02-0700',mode:absolute,to:'2017-11-13T08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4.8399999999999999E-2</v>
      </c>
      <c r="Z38" s="204">
        <f t="shared" si="8"/>
        <v>23.327000000000002</v>
      </c>
      <c r="AA38" s="204">
        <f t="shared" si="9"/>
        <v>23.278600000000001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10"/>
        <v>125</v>
      </c>
      <c r="AE38" s="77" t="str">
        <f t="shared" si="11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38" s="74" t="str">
        <f t="shared" si="12"/>
        <v>"C:\Program Files (x86)\AstroGrep\AstroGrep.exe" /e /r /s /spath="%USERPROFILE%\AppData\Local\Temp\OnboardLogs" /stypes="app*4020*20171113*"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125-13 --locoid 4020 --swversion DE.1.0.9.0 --startMP 204:484 --initTime 2017-11-13T06:43:02 --startdatetime 2017-11-13T06:45:26 --delay 51 --endMP 204:233270 --enddatetime 2017-11-13T07:20:38 --enforcementcount 0 &gt;&gt;%USERPROFILE%\Documents\GitHub\eaglep3-reporting\EC\2017-11-13-refined-times.txt</v>
      </c>
      <c r="AI38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{"issue":{"subject":"","project_id":79,"tracker_id":40,"status_id":1,"priority_id":2,"assigned_to_id":338,"start_date":"2017-11-13","description":"","custom_fields":[{"id":1,"name":"Subdivision","value":"EC"},{"id":4,"name":"Milepost","value":"23.327"},{"id":17,"name":"Train ID","value":"125-13"},{"id":16,"name":"Locomotive ID","value":"4020"},{"id":130,"name":"Impact","value":""},{"id":150,"name":"Time of Event (Mountain Time)","value":"07:20:38"},{"id":151,"name":"Denver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4020 --day 2017-11-13</v>
      </c>
      <c r="AN38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-11-13T05:43:02-0700',mode:absolute,to:'2017-11-13T08:20:38-0700'))&amp;_a=(columns:!('Message%20ID',Summary),filters:!(),index:'emp_*',interval:auto,query:(query_string:(analyze_wildcard:!t,query:'%22rtdc.l.rtdc.4020%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634</v>
      </c>
      <c r="B39" s="7">
        <v>4019</v>
      </c>
      <c r="C39" s="21" t="s">
        <v>192</v>
      </c>
      <c r="D39" s="21" t="s">
        <v>892</v>
      </c>
      <c r="E39" s="13">
        <v>43052.318715277775</v>
      </c>
      <c r="F39" s="13">
        <v>43052.321203703701</v>
      </c>
      <c r="G39" s="7">
        <v>55</v>
      </c>
      <c r="H39" s="21" t="s">
        <v>893</v>
      </c>
      <c r="I39" s="13">
        <v>43052.363564814812</v>
      </c>
      <c r="J39" s="7">
        <v>0</v>
      </c>
      <c r="K39" s="89" t="str">
        <f t="shared" si="0"/>
        <v>4019/4020</v>
      </c>
      <c r="L39" s="185" t="str">
        <f>VLOOKUP(A39,'Trips&amp;Operators'!$C$1:$G$99911,5,FALSE)</f>
        <v>THOMPSON LESTER</v>
      </c>
      <c r="M39" s="6">
        <f t="shared" si="1"/>
        <v>4.2361111110949423E-2</v>
      </c>
      <c r="N39" s="7">
        <f t="shared" si="2"/>
        <v>60.999999999767169</v>
      </c>
      <c r="O39" s="7"/>
      <c r="P39" s="7"/>
      <c r="Q39" s="22"/>
      <c r="R39" s="174" t="s">
        <v>1102</v>
      </c>
      <c r="S39" s="221">
        <f t="shared" si="3"/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-11-13T06:38:57-0700',mode:absolute,to:'2017-11-13T09:43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23.296900000000001</v>
      </c>
      <c r="Z39" s="204">
        <f t="shared" si="8"/>
        <v>3.6200000000000003E-2</v>
      </c>
      <c r="AA39" s="204">
        <f t="shared" si="9"/>
        <v>23.2607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10"/>
        <v>126</v>
      </c>
      <c r="AE39" s="77" t="str">
        <f t="shared" si="11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39" s="74" t="str">
        <f t="shared" si="12"/>
        <v>"C:\Program Files (x86)\AstroGrep\AstroGrep.exe" /e /r /s /spath="%USERPROFILE%\AppData\Local\Temp\OnboardLogs" /stypes="app*4019*20171113*" /stext=" 15:.+((SYSTEM_STATE.+slice.+state.+changed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126-13 --locoid 4019 --swversion DE.1.0.9.0 --startMP 204:232969 --initTime 2017-11-13T07:38:57 --startdatetime 2017-11-13T07:42:32 --delay 55 --endMP 204:362 --enddatetime 2017-11-13T08:43:32 --enforcementcount 0 &gt;&gt;%USERPROFILE%\Documents\GitHub\eaglep3-reporting\EC\2017-11-13-refined-times.txt</v>
      </c>
      <c r="AI39" s="96" t="str">
        <f t="shared" si="20"/>
        <v>echo {"issue":{"subject":"Delayed by XING issue - Clayton","project_id":79,"tracker_id":40,"status_id":1,"priority_id":2,"assigned_to_id":338,"start_date":"2017-11-13","description":"","custom_fields":[{"id":1,"name":"Subdivision","value":"EC"},{"id":4,"name":"Milepost","value":"0.0362"},{"id":17,"name":"Train ID","value":"126-13"},{"id":16,"name":"Locomotive ID","value":"4019"},{"id":130,"name":"Impact","value":""},{"id":150,"name":"Time of Event (Mountain Time)","value":"08:43:32"},{"id":151,"name":"Denver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4019 --day 2017-11-13</v>
      </c>
      <c r="AN39" s="151" t="str">
        <f t="shared" si="22"/>
        <v>echo {"issue":{"subject":"Delayed by XING issue - Clayton","project_id":30,"tracker_id":4,"status_id":1,"priority_id":1,"assigned_to_id":10,"start_date":"2017-11-13","description":"","custom_fields":[{"id":30,"name":"Category","value":"Issue"},{"id":3,"name":"Functional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15:43:32"},{"id":29,"name":"Sharepoint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-11-13T06:38:57-0700',mode:absolute,to:'2017-11-13T09:43:32-0700'))&amp;_a=(columns:!('Message%20ID',Summary),filters:!(),index:'emp_*',interval:auto,query:(query_string:(analyze_wildcard:!t,query:'%22rtdc.l.rtdc.4019%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704</v>
      </c>
      <c r="B40" s="7">
        <v>4028</v>
      </c>
      <c r="C40" s="21" t="s">
        <v>192</v>
      </c>
      <c r="D40" s="21" t="s">
        <v>460</v>
      </c>
      <c r="E40" s="13">
        <v>43052.287256944444</v>
      </c>
      <c r="F40" s="13">
        <v>43052.291886574072</v>
      </c>
      <c r="G40" s="7">
        <v>57</v>
      </c>
      <c r="H40" s="21" t="s">
        <v>447</v>
      </c>
      <c r="I40" s="13">
        <v>43052.317164351851</v>
      </c>
      <c r="J40" s="7">
        <v>0</v>
      </c>
      <c r="K40" s="89" t="str">
        <f t="shared" si="0"/>
        <v>4027/4028</v>
      </c>
      <c r="L40" s="185" t="str">
        <f>VLOOKUP(A40,'Trips&amp;Operators'!$C$1:$G$99911,5,FALSE)</f>
        <v>DAVIDSON DAVID</v>
      </c>
      <c r="M40" s="6">
        <f t="shared" si="1"/>
        <v>2.527777777868323E-2</v>
      </c>
      <c r="N40" s="7">
        <f t="shared" si="2"/>
        <v>36.400000001303852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-11-13T05:53:39-0700',mode:absolute,to:'2017-11-13T08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5.1900000000000002E-2</v>
      </c>
      <c r="Z40" s="204">
        <f t="shared" si="8"/>
        <v>23.328900000000001</v>
      </c>
      <c r="AA40" s="204">
        <f t="shared" si="9"/>
        <v>23.277000000000001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 t="shared" si="10"/>
        <v>127</v>
      </c>
      <c r="AE40" s="77" t="str">
        <f t="shared" si="11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40" s="74" t="str">
        <f t="shared" si="12"/>
        <v>"C:\Program Files (x86)\AstroGrep\AstroGrep.exe" /e /r /s /spath="%USERPROFILE%\AppData\Local\Temp\OnboardLogs" /stypes="app*4028*20171113*"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127-13 --locoid 4028 --swversion DE.1.0.9.0 --startMP 204:519 --initTime 2017-11-13T06:53:39 --startdatetime 2017-11-13T07:00:19 --delay 57 --endMP 204:233289 --enddatetime 2017-11-13T07:36:43 --enforcementcount 0 &gt;&gt;%USERPROFILE%\Documents\GitHub\eaglep3-reporting\EC\2017-11-13-refined-times.txt</v>
      </c>
      <c r="AI40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{"issue":{"subject":"","project_id":79,"tracker_id":40,"status_id":1,"priority_id":2,"assigned_to_id":338,"start_date":"2017-11-13","description":"","custom_fields":[{"id":1,"name":"Subdivision","value":"EC"},{"id":4,"name":"Milepost","value":"23.3289"},{"id":17,"name":"Train ID","value":"127-13"},{"id":16,"name":"Locomotive ID","value":"4028"},{"id":130,"name":"Impact","value":""},{"id":150,"name":"Time of Event (Mountain Time)","value":"07:36:43"},{"id":151,"name":"Denver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4028 --day 2017-11-13</v>
      </c>
      <c r="AN40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-11-13T05:53:39-0700',mode:absolute,to:'2017-11-13T08:36:43-0700'))&amp;_a=(columns:!('Message%20ID',Summary),filters:!(),index:'emp_*',interval:auto,query:(query_string:(analyze_wildcard:!t,query:'%22rtdc.l.rtdc.4028%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713</v>
      </c>
      <c r="B41" s="7">
        <v>4027</v>
      </c>
      <c r="C41" s="21" t="s">
        <v>192</v>
      </c>
      <c r="D41" s="21" t="s">
        <v>894</v>
      </c>
      <c r="E41" s="13">
        <v>43052.318738425929</v>
      </c>
      <c r="F41" s="13">
        <v>43052.331446759257</v>
      </c>
      <c r="G41" s="7">
        <v>50</v>
      </c>
      <c r="H41" s="21" t="s">
        <v>895</v>
      </c>
      <c r="I41" s="13">
        <v>43052.367939814816</v>
      </c>
      <c r="J41" s="7">
        <v>0</v>
      </c>
      <c r="K41" s="89" t="str">
        <f t="shared" si="0"/>
        <v>4027/4028</v>
      </c>
      <c r="L41" s="185" t="str">
        <f>VLOOKUP(A41,'Trips&amp;Operators'!$C$1:$G$99911,5,FALSE)</f>
        <v>DAVIDSON DAVID</v>
      </c>
      <c r="M41" s="6">
        <f t="shared" si="1"/>
        <v>3.6493055558821652E-2</v>
      </c>
      <c r="N41" s="7">
        <f t="shared" si="2"/>
        <v>52.550000004703179</v>
      </c>
      <c r="O41" s="7"/>
      <c r="P41" s="7"/>
      <c r="Q41" s="22"/>
      <c r="R41" s="174" t="s">
        <v>1103</v>
      </c>
      <c r="S41" s="221">
        <f t="shared" si="3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-11-13T06:38:59-0700',mode:absolute,to:'2017-11-13T09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23.297899999999998</v>
      </c>
      <c r="Z41" s="204">
        <f t="shared" si="8"/>
        <v>2.5399999999999999E-2</v>
      </c>
      <c r="AA41" s="204">
        <f t="shared" si="9"/>
        <v>23.272499999999997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10"/>
        <v>128</v>
      </c>
      <c r="AE41" s="77" t="str">
        <f t="shared" si="11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41" s="74" t="str">
        <f t="shared" si="12"/>
        <v>"C:\Program Files (x86)\AstroGrep\AstroGrep.exe" /e /r /s /spath="%USERPROFILE%\AppData\Local\Temp\OnboardLogs" /stypes="app*4027*20171113*" /stext=" 15:.+((SYSTEM_STATE.+slice.+state.+changed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128-13 --locoid 4027 --swversion DE.1.0.9.0 --startMP 204:232979 --initTime 2017-11-13T07:38:59 --startdatetime 2017-11-13T07:57:17 --delay 50 --endMP 204:254 --enddatetime 2017-11-13T08:49:50 --enforcementcount 0 &gt;&gt;%USERPROFILE%\Documents\GitHub\eaglep3-reporting\EC\2017-11-13-refined-times.txt</v>
      </c>
      <c r="AI41" s="96" t="str">
        <f t="shared" si="20"/>
        <v>echo {"issue":{"subject":"Delayed by XING issue - Steele","project_id":79,"tracker_id":40,"status_id":1,"priority_id":2,"assigned_to_id":338,"start_date":"2017-11-13","description":"","custom_fields":[{"id":1,"name":"Subdivision","value":"EC"},{"id":4,"name":"Milepost","value":"0.0254"},{"id":17,"name":"Train ID","value":"128-13"},{"id":16,"name":"Locomotive ID","value":"4027"},{"id":130,"name":"Impact","value":""},{"id":150,"name":"Time of Event (Mountain Time)","value":"08:49:50"},{"id":151,"name":"Denver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4027 --day 2017-11-13</v>
      </c>
      <c r="AN41" s="151" t="str">
        <f t="shared" si="22"/>
        <v>echo {"issue":{"subject":"Delayed by XING issue - Steele","project_id":30,"tracker_id":4,"status_id":1,"priority_id":1,"assigned_to_id":10,"start_date":"2017-11-13","description":"","custom_fields":[{"id":30,"name":"Category","value":"Issue"},{"id":3,"name":"Functional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-11-13T06:38:59-0700',mode:absolute,to:'2017-11-13T09:49:50-0700'))&amp;_a=(columns:!('Message%20ID',Summary),filters:!(),index:'emp_*',interval:auto,query:(query_string:(analyze_wildcard:!t,query:'%22rtdc.l.rtdc.4027%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708</v>
      </c>
      <c r="B42" s="7">
        <v>4010</v>
      </c>
      <c r="C42" s="21" t="s">
        <v>192</v>
      </c>
      <c r="D42" s="21" t="s">
        <v>585</v>
      </c>
      <c r="E42" s="13">
        <v>43052.296678240738</v>
      </c>
      <c r="F42" s="13">
        <v>43052.302372685182</v>
      </c>
      <c r="G42" s="7">
        <v>62</v>
      </c>
      <c r="H42" s="21" t="s">
        <v>447</v>
      </c>
      <c r="I42" s="13">
        <v>43052.327453703707</v>
      </c>
      <c r="J42" s="7">
        <v>0</v>
      </c>
      <c r="K42" s="89" t="str">
        <f t="shared" si="0"/>
        <v>4009/4010</v>
      </c>
      <c r="L42" s="185" t="str">
        <f>VLOOKUP(A42,'Trips&amp;Operators'!$C$1:$G$99911,5,FALSE)</f>
        <v>AUSTIN THOMPSON</v>
      </c>
      <c r="M42" s="6">
        <f t="shared" si="1"/>
        <v>2.5081018524360843E-2</v>
      </c>
      <c r="N42" s="7">
        <f t="shared" si="2"/>
        <v>36.116666675079614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-11-13T06:07:13-0700',mode:absolute,to:'2017-11-13T08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5.0200000000000002E-2</v>
      </c>
      <c r="Z42" s="204">
        <f t="shared" si="8"/>
        <v>23.328900000000001</v>
      </c>
      <c r="AA42" s="204">
        <f t="shared" si="9"/>
        <v>23.278700000000001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10"/>
        <v>129</v>
      </c>
      <c r="AE42" s="77" t="str">
        <f t="shared" si="11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42" s="74" t="str">
        <f t="shared" si="12"/>
        <v>"C:\Program Files (x86)\AstroGrep\AstroGrep.exe" /e /r /s /spath="%USERPROFILE%\AppData\Local\Temp\OnboardLogs" /stypes="app*4010*20171113*"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129-13 --locoid 4010 --swversion DE.1.0.9.0 --startMP 204:502 --initTime 2017-11-13T07:07:13 --startdatetime 2017-11-13T07:15:25 --delay 62 --endMP 204:233289 --enddatetime 2017-11-13T07:51:32 --enforcementcount 0 &gt;&gt;%USERPROFILE%\Documents\GitHub\eaglep3-reporting\EC\2017-11-13-refined-times.txt</v>
      </c>
      <c r="AI42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{"issue":{"subject":"","project_id":79,"tracker_id":40,"status_id":1,"priority_id":2,"assigned_to_id":338,"start_date":"2017-11-13","description":"","custom_fields":[{"id":1,"name":"Subdivision","value":"EC"},{"id":4,"name":"Milepost","value":"23.3289"},{"id":17,"name":"Train ID","value":"129-13"},{"id":16,"name":"Locomotive ID","value":"4010"},{"id":130,"name":"Impact","value":""},{"id":150,"name":"Time of Event (Mountain Time)","value":"07:51:32"},{"id":151,"name":"Denver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4010 --day 2017-11-13</v>
      </c>
      <c r="AN42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-11-13T06:07:13-0700',mode:absolute,to:'2017-11-13T08:51:32-0700'))&amp;_a=(columns:!('Message%20ID',Summary),filters:!(),index:'emp_*',interval:auto,query:(query_string:(analyze_wildcard:!t,query:'%22rtdc.l.rtdc.4010%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717</v>
      </c>
      <c r="B43" s="7">
        <v>4009</v>
      </c>
      <c r="C43" s="21" t="s">
        <v>192</v>
      </c>
      <c r="D43" s="21" t="s">
        <v>547</v>
      </c>
      <c r="E43" s="13">
        <v>43052.338842592595</v>
      </c>
      <c r="F43" s="13">
        <v>43052.341886574075</v>
      </c>
      <c r="G43" s="7">
        <v>52</v>
      </c>
      <c r="H43" s="21" t="s">
        <v>479</v>
      </c>
      <c r="I43" s="13">
        <v>43052.374432870369</v>
      </c>
      <c r="J43" s="7">
        <v>0</v>
      </c>
      <c r="K43" s="89" t="str">
        <f t="shared" si="0"/>
        <v>4009/4010</v>
      </c>
      <c r="L43" s="185" t="str">
        <f>VLOOKUP(A43,'Trips&amp;Operators'!$C$1:$G$99911,5,FALSE)</f>
        <v>AUSTIN THOMPSON</v>
      </c>
      <c r="M43" s="6">
        <f t="shared" si="1"/>
        <v>3.2546296293730848E-2</v>
      </c>
      <c r="N43" s="7">
        <f t="shared" si="2"/>
        <v>46.86666666297242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-11-13T07:07:56-0700',mode:absolute,to:'2017-11-13T09:59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23.295500000000001</v>
      </c>
      <c r="Z43" s="204">
        <f t="shared" si="8"/>
        <v>2.2700000000000001E-2</v>
      </c>
      <c r="AA43" s="204">
        <f t="shared" si="9"/>
        <v>23.2728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10"/>
        <v>130</v>
      </c>
      <c r="AE43" s="77" t="str">
        <f t="shared" si="11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43" s="74" t="str">
        <f t="shared" si="12"/>
        <v>"C:\Program Files (x86)\AstroGrep\AstroGrep.exe" /e /r /s /spath="%USERPROFILE%\AppData\Local\Temp\OnboardLogs" /stypes="app*4009*20171113*" /stext=" 15:.+((SYSTEM_STATE.+slice.+state.+changed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130-13 --locoid 4009 --swversion DE.1.0.9.0 --startMP 204:232955 --initTime 2017-11-13T08:07:56 --startdatetime 2017-11-13T08:12:19 --delay 52 --endMP 204:227 --enddatetime 2017-11-13T08:59:11 --enforcementcount 0 &gt;&gt;%USERPROFILE%\Documents\GitHub\eaglep3-reporting\EC\2017-11-13-refined-times.txt</v>
      </c>
      <c r="AI43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{"issue":{"subject":"","project_id":79,"tracker_id":40,"status_id":1,"priority_id":2,"assigned_to_id":338,"start_date":"2017-11-13","description":"","custom_fields":[{"id":1,"name":"Subdivision","value":"EC"},{"id":4,"name":"Milepost","value":"0.0227"},{"id":17,"name":"Train ID","value":"130-13"},{"id":16,"name":"Locomotive ID","value":"4009"},{"id":130,"name":"Impact","value":""},{"id":150,"name":"Time of Event (Mountain Time)","value":"08:59:11"},{"id":151,"name":"Denver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4009 --day 2017-11-13</v>
      </c>
      <c r="AN43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15:59:11"},{"id":29,"name":"Sharepoint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-11-13T07:07:56-0700',mode:absolute,to:'2017-11-13T09:59:11-0700'))&amp;_a=(columns:!('Message%20ID',Summary),filters:!(),index:'emp_*',interval:auto,query:(query_string:(analyze_wildcard:!t,query:'%22rtdc.l.rtdc.4009%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711</v>
      </c>
      <c r="B44" s="7">
        <v>4014</v>
      </c>
      <c r="C44" s="21" t="s">
        <v>192</v>
      </c>
      <c r="D44" s="21" t="s">
        <v>576</v>
      </c>
      <c r="E44" s="13">
        <v>43052.310810185183</v>
      </c>
      <c r="F44" s="13">
        <v>43052.31287037037</v>
      </c>
      <c r="G44" s="7">
        <v>93</v>
      </c>
      <c r="H44" s="21" t="s">
        <v>876</v>
      </c>
      <c r="I44" s="13">
        <v>43052.339918981481</v>
      </c>
      <c r="J44" s="7">
        <v>0</v>
      </c>
      <c r="K44" s="89" t="str">
        <f t="shared" si="0"/>
        <v>4013/4014</v>
      </c>
      <c r="L44" s="185" t="str">
        <f>VLOOKUP(A44,'Trips&amp;Operators'!$C$1:$G$99911,5,FALSE)</f>
        <v>LAMAR NEKESHA</v>
      </c>
      <c r="M44" s="6">
        <f t="shared" si="1"/>
        <v>2.7048611111240461E-2</v>
      </c>
      <c r="N44" s="7">
        <f t="shared" si="2"/>
        <v>38.950000000186265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-11-13T06:27:34-0700',mode:absolute,to:'2017-11-13T09:09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4.8000000000000001E-2</v>
      </c>
      <c r="Z44" s="204">
        <f t="shared" si="8"/>
        <v>23.3293</v>
      </c>
      <c r="AA44" s="204">
        <f t="shared" si="9"/>
        <v>23.281300000000002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10"/>
        <v>131</v>
      </c>
      <c r="AE44" s="77" t="str">
        <f t="shared" si="11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44" s="74" t="str">
        <f t="shared" si="12"/>
        <v>"C:\Program Files (x86)\AstroGrep\AstroGrep.exe" /e /r /s /spath="%USERPROFILE%\AppData\Local\Temp\OnboardLogs" /stypes="app*4014*20171113*"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131-13 --locoid 4014 --swversion DE.1.0.9.0 --startMP 204:480 --initTime 2017-11-13T07:27:34 --startdatetime 2017-11-13T07:30:32 --delay 93 --endMP 204:233293 --enddatetime 2017-11-13T08:09:29 --enforcementcount 0 &gt;&gt;%USERPROFILE%\Documents\GitHub\eaglep3-reporting\EC\2017-11-13-refined-times.txt</v>
      </c>
      <c r="AI44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{"issue":{"subject":"","project_id":79,"tracker_id":40,"status_id":1,"priority_id":2,"assigned_to_id":338,"start_date":"2017-11-13","description":"","custom_fields":[{"id":1,"name":"Subdivision","value":"EC"},{"id":4,"name":"Milepost","value":"23.3293"},{"id":17,"name":"Train ID","value":"131-13"},{"id":16,"name":"Locomotive ID","value":"4014"},{"id":130,"name":"Impact","value":""},{"id":150,"name":"Time of Event (Mountain Time)","value":"08:09:29"},{"id":151,"name":"Denver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4014 --day 2017-11-13</v>
      </c>
      <c r="AN44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-11-13T06:27:34-0700',mode:absolute,to:'2017-11-13T09:09:29-0700'))&amp;_a=(columns:!('Message%20ID',Summary),filters:!(),index:'emp_*',interval:auto,query:(query_string:(analyze_wildcard:!t,query:'%22rtdc.l.rtdc.4014%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718</v>
      </c>
      <c r="B45" s="7">
        <v>4013</v>
      </c>
      <c r="C45" s="21" t="s">
        <v>192</v>
      </c>
      <c r="D45" s="21" t="s">
        <v>595</v>
      </c>
      <c r="E45" s="13">
        <v>43052.347083333334</v>
      </c>
      <c r="F45" s="13">
        <v>43052.352407407408</v>
      </c>
      <c r="G45" s="7">
        <v>110</v>
      </c>
      <c r="H45" s="21" t="s">
        <v>896</v>
      </c>
      <c r="I45" s="13">
        <v>43052.37940972222</v>
      </c>
      <c r="J45" s="7">
        <v>0</v>
      </c>
      <c r="K45" s="89" t="str">
        <f t="shared" si="0"/>
        <v>4013/4014</v>
      </c>
      <c r="L45" s="185" t="str">
        <f>VLOOKUP(A45,'Trips&amp;Operators'!$C$1:$G$99911,5,FALSE)</f>
        <v>LAMAR NEKESHA</v>
      </c>
      <c r="M45" s="6">
        <f t="shared" si="1"/>
        <v>2.700231481139781E-2</v>
      </c>
      <c r="N45" s="7">
        <f t="shared" si="2"/>
        <v>38.883333328412846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-11-13T07:19:48-0700',mode:absolute,to:'2017-11-13T10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si="7"/>
        <v>23.2959</v>
      </c>
      <c r="Z45" s="204">
        <f t="shared" si="8"/>
        <v>2.1100000000000001E-2</v>
      </c>
      <c r="AA45" s="204">
        <f t="shared" si="9"/>
        <v>23.274799999999999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10"/>
        <v>132</v>
      </c>
      <c r="AE45" s="77" t="str">
        <f t="shared" si="11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45" s="74" t="str">
        <f t="shared" si="12"/>
        <v>"C:\Program Files (x86)\AstroGrep\AstroGrep.exe" /e /r /s /spath="%USERPROFILE%\AppData\Local\Temp\OnboardLogs" /stypes="app*4013*20171113*" /stext=" 16:.+((SYSTEM_STATE.+slice.+state.+changed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132-13 --locoid 4013 --swversion DE.1.0.9.0 --startMP 204:232959 --initTime 2017-11-13T08:19:48 --startdatetime 2017-11-13T08:27:28 --delay 110 --endMP 204:211 --enddatetime 2017-11-13T09:06:21 --enforcementcount 0 &gt;&gt;%USERPROFILE%\Documents\GitHub\eaglep3-reporting\EC\2017-11-13-refined-times.txt</v>
      </c>
      <c r="AI4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{"issue":{"subject":"","project_id":79,"tracker_id":40,"status_id":1,"priority_id":2,"assigned_to_id":338,"start_date":"2017-11-13","description":"","custom_fields":[{"id":1,"name":"Subdivision","value":"EC"},{"id":4,"name":"Milepost","value":"0.0211"},{"id":17,"name":"Train ID","value":"132-13"},{"id":16,"name":"Locomotive ID","value":"4013"},{"id":130,"name":"Impact","value":""},{"id":150,"name":"Time of Event (Mountain Time)","value":"09:06:21"},{"id":151,"name":"Denver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4013 --day 2017-11-13</v>
      </c>
      <c r="AN4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-11-13T07:19:48-0700',mode:absolute,to:'2017-11-13T10:06:21-0700'))&amp;_a=(columns:!('Message%20ID',Summary),filters:!(),index:'emp_*',interval:auto,query:(query_string:(analyze_wildcard:!t,query:'%22rtdc.l.rtdc.4013%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632</v>
      </c>
      <c r="B46" s="7">
        <v>4040</v>
      </c>
      <c r="C46" s="21" t="s">
        <v>192</v>
      </c>
      <c r="D46" s="21" t="s">
        <v>589</v>
      </c>
      <c r="E46" s="13">
        <v>43052.317106481481</v>
      </c>
      <c r="F46" s="13">
        <v>43052.323252314818</v>
      </c>
      <c r="G46" s="7">
        <v>49</v>
      </c>
      <c r="H46" s="21" t="s">
        <v>594</v>
      </c>
      <c r="I46" s="13">
        <v>43052.351388888892</v>
      </c>
      <c r="J46" s="7">
        <v>0</v>
      </c>
      <c r="K46" s="89" t="str">
        <f t="shared" si="0"/>
        <v>4039/4040</v>
      </c>
      <c r="L46" s="185" t="str">
        <f>VLOOKUP(A46,'Trips&amp;Operators'!$C$1:$G$99911,5,FALSE)</f>
        <v>YORK EDGAR</v>
      </c>
      <c r="M46" s="6">
        <f t="shared" si="1"/>
        <v>2.8136574073869269E-2</v>
      </c>
      <c r="N46" s="7">
        <f t="shared" si="2"/>
        <v>40.516666666371748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-11-13T06:36:38-0700',mode:absolute,to:'2017-11-13T09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7"/>
        <v>4.7300000000000002E-2</v>
      </c>
      <c r="Z46" s="204">
        <f t="shared" si="8"/>
        <v>23.327200000000001</v>
      </c>
      <c r="AA46" s="204">
        <f t="shared" si="9"/>
        <v>23.279900000000001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10"/>
        <v>133</v>
      </c>
      <c r="AE46" s="77" t="str">
        <f t="shared" si="1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46" s="74" t="str">
        <f t="shared" si="12"/>
        <v>"C:\Program Files (x86)\AstroGrep\AstroGrep.exe" /e /r /s /spath="%USERPROFILE%\AppData\Local\Temp\OnboardLogs" /stypes="app*4040*20171113*"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133-13 --locoid 4040 --swversion DE.1.0.9.0 --startMP 204:473 --initTime 2017-11-13T07:36:38 --startdatetime 2017-11-13T07:45:29 --delay 49 --endMP 204:233272 --enddatetime 2017-11-13T08:26:00 --enforcementcount 0 &gt;&gt;%USERPROFILE%\Documents\GitHub\eaglep3-reporting\EC\2017-11-13-refined-times.txt</v>
      </c>
      <c r="AI4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{"issue":{"subject":"","project_id":79,"tracker_id":40,"status_id":1,"priority_id":2,"assigned_to_id":338,"start_date":"2017-11-13","description":"","custom_fields":[{"id":1,"name":"Subdivision","value":"EC"},{"id":4,"name":"Milepost","value":"23.3272"},{"id":17,"name":"Train ID","value":"133-13"},{"id":16,"name":"Locomotive ID","value":"4040"},{"id":130,"name":"Impact","value":""},{"id":150,"name":"Time of Event (Mountain Time)","value":"08:26:00"},{"id":151,"name":"Denver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4040 --day 2017-11-13</v>
      </c>
      <c r="AN4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-11-13T06:36:38-0700',mode:absolute,to:'2017-11-13T09:26:00-0700'))&amp;_a=(columns:!('Message%20ID',Summary),filters:!(),index:'emp_*',interval:auto,query:(query_string:(analyze_wildcard:!t,query:'%22rtdc.l.rtdc.4040%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721</v>
      </c>
      <c r="B47" s="7">
        <v>4039</v>
      </c>
      <c r="C47" s="21" t="s">
        <v>192</v>
      </c>
      <c r="D47" s="21" t="s">
        <v>872</v>
      </c>
      <c r="E47" s="13">
        <v>43052.352488425924</v>
      </c>
      <c r="F47" s="13">
        <v>43052.362847222219</v>
      </c>
      <c r="G47" s="7">
        <v>58</v>
      </c>
      <c r="H47" s="21" t="s">
        <v>572</v>
      </c>
      <c r="I47" s="13">
        <v>43052.389768518522</v>
      </c>
      <c r="J47" s="7">
        <v>0</v>
      </c>
      <c r="K47" s="89" t="str">
        <f t="shared" si="0"/>
        <v>4039/4040</v>
      </c>
      <c r="L47" s="185" t="str">
        <f>VLOOKUP(A47,'Trips&amp;Operators'!$C$1:$G$99911,5,FALSE)</f>
        <v>YORK EDGAR</v>
      </c>
      <c r="M47" s="6">
        <f t="shared" si="1"/>
        <v>2.6921296303044073E-2</v>
      </c>
      <c r="N47" s="7">
        <f t="shared" si="2"/>
        <v>38.766666676383466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-11-13T07:27:35-0700',mode:absolute,to:'2017-11-13T10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7"/>
        <v>23.296500000000002</v>
      </c>
      <c r="Z47" s="204">
        <f t="shared" si="8"/>
        <v>1.6899999999999998E-2</v>
      </c>
      <c r="AA47" s="204">
        <f t="shared" si="9"/>
        <v>23.279600000000002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10"/>
        <v>134</v>
      </c>
      <c r="AE47" s="77" t="str">
        <f t="shared" si="11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47" s="74" t="str">
        <f t="shared" si="12"/>
        <v>"C:\Program Files (x86)\AstroGrep\AstroGrep.exe" /e /r /s /spath="%USERPROFILE%\AppData\Local\Temp\OnboardLogs" /stypes="app*4039*20171113*" /stext=" 16:.+((SYSTEM_STATE.+slice.+state.+changed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134-13 --locoid 4039 --swversion DE.1.0.9.0 --startMP 204:232965 --initTime 2017-11-13T08:27:35 --startdatetime 2017-11-13T08:42:30 --delay 58 --endMP 204:169 --enddatetime 2017-11-13T09:21:16 --enforcementcount 0 &gt;&gt;%USERPROFILE%\Documents\GitHub\eaglep3-reporting\EC\2017-11-13-refined-times.txt</v>
      </c>
      <c r="AI4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{"issue":{"subject":"","project_id":79,"tracker_id":40,"status_id":1,"priority_id":2,"assigned_to_id":338,"start_date":"2017-11-13","description":"","custom_fields":[{"id":1,"name":"Subdivision","value":"EC"},{"id":4,"name":"Milepost","value":"0.0169"},{"id":17,"name":"Train ID","value":"134-13"},{"id":16,"name":"Locomotive ID","value":"4039"},{"id":130,"name":"Impact","value":""},{"id":150,"name":"Time of Event (Mountain Time)","value":"09:21:16"},{"id":151,"name":"Denver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4039 --day 2017-11-13</v>
      </c>
      <c r="AN4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-11-13T07:27:35-0700',mode:absolute,to:'2017-11-13T10:21:16-0700'))&amp;_a=(columns:!('Message%20ID',Summary),filters:!(),index:'emp_*',interval:auto,query:(query_string:(analyze_wildcard:!t,query:'%22rtdc.l.rtdc.4039%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714</v>
      </c>
      <c r="B48" s="7">
        <v>4012</v>
      </c>
      <c r="C48" s="21" t="s">
        <v>192</v>
      </c>
      <c r="D48" s="21" t="s">
        <v>540</v>
      </c>
      <c r="E48" s="13">
        <v>43052.329467592594</v>
      </c>
      <c r="F48" s="13">
        <v>43052.33353009259</v>
      </c>
      <c r="G48" s="7">
        <v>68</v>
      </c>
      <c r="H48" s="21" t="s">
        <v>897</v>
      </c>
      <c r="I48" s="13">
        <v>43052.36922453704</v>
      </c>
      <c r="J48" s="7">
        <v>0</v>
      </c>
      <c r="K48" s="89" t="str">
        <f t="shared" si="0"/>
        <v>4011/4012</v>
      </c>
      <c r="L48" s="185" t="str">
        <f>VLOOKUP(A48,'Trips&amp;Operators'!$C$1:$G$99911,5,FALSE)</f>
        <v>BARRON PERLA</v>
      </c>
      <c r="M48" s="6">
        <f t="shared" si="1"/>
        <v>3.5694444450200535E-2</v>
      </c>
      <c r="N48" s="7">
        <f t="shared" si="2"/>
        <v>51.400000008288771</v>
      </c>
      <c r="O48" s="7"/>
      <c r="P48" s="7"/>
      <c r="Q48" s="22"/>
      <c r="R48" s="174" t="s">
        <v>1103</v>
      </c>
      <c r="S48" s="221">
        <f t="shared" si="3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-11-13T06:54:26-0700',mode:absolute,to:'2017-11-13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7"/>
        <v>5.2400000000000002E-2</v>
      </c>
      <c r="Z48" s="204">
        <f t="shared" si="8"/>
        <v>23.325299999999999</v>
      </c>
      <c r="AA48" s="204">
        <f t="shared" si="9"/>
        <v>23.2729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10"/>
        <v>135</v>
      </c>
      <c r="AE48" s="77" t="str">
        <f t="shared" si="11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48" s="74" t="str">
        <f t="shared" si="12"/>
        <v>"C:\Program Files (x86)\AstroGrep\AstroGrep.exe" /e /r /s /spath="%USERPROFILE%\AppData\Local\Temp\OnboardLogs" /stypes="app*4012*20171113*"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135-13 --locoid 4012 --swversion DE.1.0.9.0 --startMP 204:524 --initTime 2017-11-13T07:54:26 --startdatetime 2017-11-13T08:00:17 --delay 68 --endMP 204:233253 --enddatetime 2017-11-13T08:51:41 --enforcementcount 0 &gt;&gt;%USERPROFILE%\Documents\GitHub\eaglep3-reporting\EC\2017-11-13-refined-times.txt</v>
      </c>
      <c r="AI48" s="96" t="str">
        <f t="shared" si="20"/>
        <v>echo {"issue":{"subject":"Delayed by XING issue - Steele","project_id":79,"tracker_id":40,"status_id":1,"priority_id":2,"assigned_to_id":338,"start_date":"2017-11-13","description":"","custom_fields":[{"id":1,"name":"Subdivision","value":"EC"},{"id":4,"name":"Milepost","value":"23.3253"},{"id":17,"name":"Train ID","value":"135-13"},{"id":16,"name":"Locomotive ID","value":"4012"},{"id":130,"name":"Impact","value":""},{"id":150,"name":"Time of Event (Mountain Time)","value":"08:51:41"},{"id":151,"name":"Denver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4012 --day 2017-11-13</v>
      </c>
      <c r="AN48" s="151" t="str">
        <f t="shared" si="22"/>
        <v>echo {"issue":{"subject":"Delayed by XING issue - Steele","project_id":30,"tracker_id":4,"status_id":1,"priority_id":1,"assigned_to_id":10,"start_date":"2017-11-13","description":"","custom_fields":[{"id":30,"name":"Category","value":"Issue"},{"id":3,"name":"Functional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-11-13T06:54:26-0700',mode:absolute,to:'2017-11-13T09:51:41-0700'))&amp;_a=(columns:!('Message%20ID',Summary),filters:!(),index:'emp_*',interval:auto,query:(query_string:(analyze_wildcard:!t,query:'%22rtdc.l.rtdc.4012%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723</v>
      </c>
      <c r="B49" s="7">
        <v>4011</v>
      </c>
      <c r="C49" s="21" t="s">
        <v>192</v>
      </c>
      <c r="D49" s="21" t="s">
        <v>482</v>
      </c>
      <c r="E49" s="13">
        <v>43052.370995370373</v>
      </c>
      <c r="F49" s="13">
        <v>43052.373067129629</v>
      </c>
      <c r="G49" s="7">
        <v>67</v>
      </c>
      <c r="H49" s="21" t="s">
        <v>580</v>
      </c>
      <c r="I49" s="13">
        <v>43052.40221064815</v>
      </c>
      <c r="J49" s="7">
        <v>0</v>
      </c>
      <c r="K49" s="89" t="str">
        <f t="shared" si="0"/>
        <v>4011/4012</v>
      </c>
      <c r="L49" s="185" t="str">
        <f>VLOOKUP(A49,'Trips&amp;Operators'!$C$1:$G$99911,5,FALSE)</f>
        <v>BARRON PERLA</v>
      </c>
      <c r="M49" s="6">
        <f t="shared" si="1"/>
        <v>2.9143518520868383E-2</v>
      </c>
      <c r="N49" s="7">
        <f t="shared" si="2"/>
        <v>41.966666670050472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-11-13T07:54:14-0700',mode:absolute,to:'2017-11-13T10:39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7"/>
        <v>23.294</v>
      </c>
      <c r="Z49" s="204">
        <f t="shared" si="8"/>
        <v>0.02</v>
      </c>
      <c r="AA49" s="204">
        <f t="shared" si="9"/>
        <v>23.274000000000001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10"/>
        <v>136</v>
      </c>
      <c r="AE49" s="77" t="str">
        <f t="shared" si="11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49" s="74" t="str">
        <f t="shared" si="12"/>
        <v>"C:\Program Files (x86)\AstroGrep\AstroGrep.exe" /e /r /s /spath="%USERPROFILE%\AppData\Local\Temp\OnboardLogs" /stypes="app*4011*20171113*" /stext=" 16:.+((SYSTEM_STATE.+slice.+state.+changed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136-13 --locoid 4011 --swversion DE.1.0.9.0 --startMP 204:232940 --initTime 2017-11-13T08:54:14 --startdatetime 2017-11-13T08:57:13 --delay 67 --endMP 204:200 --enddatetime 2017-11-13T09:39:11 --enforcementcount 0 &gt;&gt;%USERPROFILE%\Documents\GitHub\eaglep3-reporting\EC\2017-11-13-refined-times.txt</v>
      </c>
      <c r="AI49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{"issue":{"subject":"","project_id":79,"tracker_id":40,"status_id":1,"priority_id":2,"assigned_to_id":338,"start_date":"2017-11-13","description":"","custom_fields":[{"id":1,"name":"Subdivision","value":"EC"},{"id":4,"name":"Milepost","value":"0.02"},{"id":17,"name":"Train ID","value":"136-13"},{"id":16,"name":"Locomotive ID","value":"4011"},{"id":130,"name":"Impact","value":""},{"id":150,"name":"Time of Event (Mountain Time)","value":"09:39:11"},{"id":151,"name":"Denver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4011 --day 2017-11-13</v>
      </c>
      <c r="AN49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-11-13T07:54:14-0700',mode:absolute,to:'2017-11-13T10:39:11-0700'))&amp;_a=(columns:!('Message%20ID',Summary),filters:!(),index:'emp_*',interval:auto,query:(query_string:(analyze_wildcard:!t,query:'%22rtdc.l.rtdc.4011%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633</v>
      </c>
      <c r="B50" s="7">
        <v>4060</v>
      </c>
      <c r="C50" s="21" t="s">
        <v>192</v>
      </c>
      <c r="D50" s="21" t="s">
        <v>898</v>
      </c>
      <c r="E50" s="13">
        <v>43052.342175925929</v>
      </c>
      <c r="F50" s="13">
        <v>43052.344814814816</v>
      </c>
      <c r="G50" s="7">
        <v>46</v>
      </c>
      <c r="H50" s="21" t="s">
        <v>533</v>
      </c>
      <c r="I50" s="13">
        <v>43052.376712962963</v>
      </c>
      <c r="J50" s="7">
        <v>0</v>
      </c>
      <c r="K50" s="89" t="str">
        <f t="shared" si="0"/>
        <v>4059/4060</v>
      </c>
      <c r="L50" s="185" t="str">
        <f>VLOOKUP(A50,'Trips&amp;Operators'!$C$1:$G$99911,5,FALSE)</f>
        <v>MAELZER KURT</v>
      </c>
      <c r="M50" s="6">
        <f t="shared" si="1"/>
        <v>3.1898148146865424E-2</v>
      </c>
      <c r="N50" s="7">
        <f t="shared" si="2"/>
        <v>45.93333333148621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-11-13T07:12:44-0700',mode:absolute,to:'2017-11-13T10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7"/>
        <v>0.22520000000000001</v>
      </c>
      <c r="Z50" s="204">
        <f t="shared" si="8"/>
        <v>23.327000000000002</v>
      </c>
      <c r="AA50" s="204">
        <f t="shared" si="9"/>
        <v>23.101800000000001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10"/>
        <v>137</v>
      </c>
      <c r="AE50" s="77" t="str">
        <f t="shared" si="11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50" s="74" t="str">
        <f t="shared" si="12"/>
        <v>"C:\Program Files (x86)\AstroGrep\AstroGrep.exe" /e /r /s /spath="%USERPROFILE%\AppData\Local\Temp\OnboardLogs" /stypes="app*4060*20171113*" /stext=" 16:.+((SYSTEM_STATE.+slice.+state.+changed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137-13 --locoid 4060 --swversion DE.1.0.9.0 --startMP 204:2252 --initTime 2017-11-13T08:12:44 --startdatetime 2017-11-13T08:16:32 --delay 46 --endMP 204:233270 --enddatetime 2017-11-13T09:02:28 --enforcementcount 0 &gt;&gt;%USERPROFILE%\Documents\GitHub\eaglep3-reporting\EC\2017-11-13-refined-times.txt</v>
      </c>
      <c r="AI50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{"issue":{"subject":"","project_id":79,"tracker_id":40,"status_id":1,"priority_id":2,"assigned_to_id":338,"start_date":"2017-11-13","description":"","custom_fields":[{"id":1,"name":"Subdivision","value":"EC"},{"id":4,"name":"Milepost","value":"23.327"},{"id":17,"name":"Train ID","value":"137-13"},{"id":16,"name":"Locomotive ID","value":"4060"},{"id":130,"name":"Impact","value":""},{"id":150,"name":"Time of Event (Mountain Time)","value":"09:02:28"},{"id":151,"name":"Denver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4060 --day 2017-11-13</v>
      </c>
      <c r="AN50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-11-13T07:12:44-0700',mode:absolute,to:'2017-11-13T10:02:28-0700'))&amp;_a=(columns:!('Message%20ID',Summary),filters:!(),index:'emp_*',interval:auto,query:(query_string:(analyze_wildcard:!t,query:'%22rtdc.l.rtdc.4060%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725</v>
      </c>
      <c r="B51" s="7">
        <v>4059</v>
      </c>
      <c r="C51" s="21" t="s">
        <v>192</v>
      </c>
      <c r="D51" s="21" t="s">
        <v>544</v>
      </c>
      <c r="E51" s="13">
        <v>43052.380856481483</v>
      </c>
      <c r="F51" s="13">
        <v>43052.385289351849</v>
      </c>
      <c r="G51" s="7">
        <v>45</v>
      </c>
      <c r="H51" s="21" t="s">
        <v>596</v>
      </c>
      <c r="I51" s="13">
        <v>43052.411527777775</v>
      </c>
      <c r="J51" s="7">
        <v>0</v>
      </c>
      <c r="K51" s="89" t="str">
        <f t="shared" ref="K51" si="24">IF(ISEVEN(B51),(B51-1)&amp;"/"&amp;B51,B51&amp;"/"&amp;(B51+1))</f>
        <v>4059/4060</v>
      </c>
      <c r="L51" s="185" t="str">
        <f>VLOOKUP(A51,'Trips&amp;Operators'!$C$1:$G$99911,5,FALSE)</f>
        <v>MAELZER KURT</v>
      </c>
      <c r="M51" s="6">
        <f t="shared" ref="M51" si="25">I51-F51</f>
        <v>2.6238425925839692E-2</v>
      </c>
      <c r="N51" s="7">
        <f t="shared" si="2"/>
        <v>37.783333333209157</v>
      </c>
      <c r="O51" s="7"/>
      <c r="P51" s="7"/>
      <c r="Q51" s="22"/>
      <c r="R51" s="174"/>
      <c r="S51" s="221">
        <f t="shared" ref="S51" si="26">1/IF(AG51="EC",12,1)*SUM(U51:U51)</f>
        <v>1</v>
      </c>
      <c r="T51" s="174" t="str">
        <f t="shared" ref="T51" si="27"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ref="V51" si="28"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-13T08:08:26-0700',mode:absolute,to:'2017-11-13T10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ref="Y51" si="29">RIGHT(D51,LEN(D51)-4)/10000</f>
        <v>23.295300000000001</v>
      </c>
      <c r="Z51" s="204">
        <f t="shared" ref="Z51" si="30">RIGHT(H51,LEN(H51)-4)/10000</f>
        <v>1.9099999999999999E-2</v>
      </c>
      <c r="AA51" s="204">
        <f t="shared" ref="AA51" si="31">ABS(Z51-Y51)</f>
        <v>23.276199999999999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ref="AD51" si="32">VALUE(LEFT(A51,LEN(A51)-3))</f>
        <v>138</v>
      </c>
      <c r="AE51" s="77" t="str">
        <f t="shared" ref="AE51" si="33"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51" s="74" t="str">
        <f t="shared" ref="AF51" si="34"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/stypes="app*4059*20171113*" /stext=" 16:.+((SYSTEM_STATE.+slice.+state.+changed )|(ment ac)|(multiple cpu faults)|(system.+state.+changed )|(\[timeout)|(PRM\|1\|D)|(kpr)|(kdp)|(train st.+moving)|(\|lc)|(penalty))"</v>
      </c>
      <c r="AG51" s="182" t="str">
        <f t="shared" ref="AG51" si="35">DetSubdiv(A51)</f>
        <v>EC</v>
      </c>
      <c r="AH51" s="78" t="str">
        <f t="shared" ref="AH51" si="36"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138-13 --locoid 4059 --swversion DE.1.0.9.0 --startMP 204:232953 --initTime 2017-11-13T09:08:26 --startdatetime 2017-11-13T09:14:49 --delay 45 --endMP 204:191 --enddatetime 2017-11-13T09:52:36 --enforcementcount 0 &gt;&gt;%USERPROFILE%\Documents\GitHub\eaglep3-reporting\EC\2017-11-13-refined-times.txt</v>
      </c>
      <c r="AI51" s="96" t="str">
        <f t="shared" ref="AI51" si="37"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{"issue":{"subject":"","project_id":79,"tracker_id":40,"status_id":1,"priority_id":2,"assigned_to_id":338,"start_date":"2017-11-13","description":"","custom_fields":[{"id":1,"name":"Subdivision","value":"EC"},{"id":4,"name":"Milepost","value":"0.0191"},{"id":17,"name":"Train ID","value":"138-13"},{"id":16,"name":"Locomotive ID","value":"4059"},{"id":130,"name":"Impact","value":""},{"id":150,"name":"Time of Event (Mountain Time)","value":"09:52:36"},{"id":151,"name":"Denver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ref="AM51" si="38">"start /low /b "&amp;dls3logs&amp;" --loco "&amp;B51&amp;" --day "&amp;TEXT(F51,"YYYY-MM-DD")</f>
        <v>start /low /b %USERPROFILE%\Documents\GitHub\eaglep3\Utilities\DownloadLogsFromS3.py --loco 4059 --day 2017-11-13</v>
      </c>
      <c r="AN51" s="151" t="str">
        <f t="shared" ref="AN51" si="39"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ref="AO51" si="40"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Message%20ID',Summary),filters:!(),index:'emp_*',interval:auto,query:"&amp;"(query_string:(analyze_wildcard:!t,query:'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-13T08:08:26-0700',mode:absolute,to:'2017-11-13T10:52:36-0700'))&amp;_a=(columns:!('Message%20ID',Summary),filters:!(),index:'emp_*',interval:auto,query:(query_string:(analyze_wildcard:!t,query:'%22rtdc.l.rtdc.4059%22')),sort:!(Time.ISO8601,asc))</v>
      </c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</row>
    <row r="52" spans="1:91" s="1" customFormat="1" x14ac:dyDescent="0.25">
      <c r="A52" s="32" t="s">
        <v>636</v>
      </c>
      <c r="B52" s="7">
        <v>4020</v>
      </c>
      <c r="C52" s="21" t="s">
        <v>192</v>
      </c>
      <c r="D52" s="21" t="s">
        <v>899</v>
      </c>
      <c r="E52" s="13">
        <v>43052.366041666668</v>
      </c>
      <c r="F52" s="13">
        <v>43052.367812500001</v>
      </c>
      <c r="G52" s="7">
        <v>52</v>
      </c>
      <c r="H52" s="21" t="s">
        <v>590</v>
      </c>
      <c r="I52" s="13">
        <v>43052.398784722223</v>
      </c>
      <c r="J52" s="7">
        <v>0</v>
      </c>
      <c r="K52" s="89" t="str">
        <f t="shared" si="0"/>
        <v>4019/4020</v>
      </c>
      <c r="L52" s="185" t="str">
        <f>VLOOKUP(A52,'Trips&amp;Operators'!$C$1:$G$99911,5,FALSE)</f>
        <v>THOMPSON LESTER</v>
      </c>
      <c r="M52" s="6">
        <f t="shared" si="1"/>
        <v>3.0972222222771961E-2</v>
      </c>
      <c r="N52" s="7">
        <f t="shared" si="2"/>
        <v>44.600000000791624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-11-13T07:47:06-0700',mode:absolute,to:'2017-11-13T10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2" s="204" t="str">
        <f>IF(AA52&lt;VLOOKUP(AG52,Variables!$AC$3:$AD$8,2,FALSE),"Y","N")</f>
        <v>N</v>
      </c>
      <c r="X52" s="204">
        <f t="shared" si="6"/>
        <v>3</v>
      </c>
      <c r="Y52" s="204">
        <f t="shared" si="7"/>
        <v>6.7900000000000002E-2</v>
      </c>
      <c r="Z52" s="204">
        <f t="shared" si="8"/>
        <v>23.3263</v>
      </c>
      <c r="AA52" s="204">
        <f t="shared" si="9"/>
        <v>23.258399999999998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10"/>
        <v>141</v>
      </c>
      <c r="AE52" s="77" t="str">
        <f t="shared" si="11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52" s="74" t="str">
        <f t="shared" si="12"/>
        <v>"C:\Program Files (x86)\AstroGrep\AstroGrep.exe" /e /r /s /spath="%USERPROFILE%\AppData\Local\Temp\OnboardLogs" /stypes="app*4020*20171113*"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141-13 --locoid 4020 --swversion DE.1.0.9.0 --startMP 204:679 --initTime 2017-11-13T08:47:06 --startdatetime 2017-11-13T08:49:39 --delay 52 --endMP 204:233263 --enddatetime 2017-11-13T09:34:15 --enforcementcount 0 &gt;&gt;%USERPROFILE%\Documents\GitHub\eaglep3-reporting\EC\2017-11-13-refined-times.txt</v>
      </c>
      <c r="AI52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{"issue":{"subject":"","project_id":79,"tracker_id":40,"status_id":1,"priority_id":2,"assigned_to_id":338,"start_date":"2017-11-13","description":"","custom_fields":[{"id":1,"name":"Subdivision","value":"EC"},{"id":4,"name":"Milepost","value":"23.3263"},{"id":17,"name":"Train ID","value":"141-13"},{"id":16,"name":"Locomotive ID","value":"4020"},{"id":130,"name":"Impact","value":""},{"id":150,"name":"Time of Event (Mountain Time)","value":"09:34:15"},{"id":151,"name":"Denver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4020 --day 2017-11-13</v>
      </c>
      <c r="AN52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-11-13T07:47:06-0700',mode:absolute,to:'2017-11-13T10:34:15-0700'))&amp;_a=(columns:!('Message%20ID',Summary),filters:!(),index:'emp_*',interval:auto,query:(query_string:(analyze_wildcard:!t,query:'%22rtdc.l.rtdc.4020%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728</v>
      </c>
      <c r="B53" s="7">
        <v>4019</v>
      </c>
      <c r="C53" s="21" t="s">
        <v>192</v>
      </c>
      <c r="D53" s="21" t="s">
        <v>452</v>
      </c>
      <c r="E53" s="13">
        <v>43052.402905092589</v>
      </c>
      <c r="F53" s="13">
        <v>43052.404421296298</v>
      </c>
      <c r="G53" s="7">
        <v>70</v>
      </c>
      <c r="H53" s="21" t="s">
        <v>596</v>
      </c>
      <c r="I53" s="13">
        <v>43052.432013888887</v>
      </c>
      <c r="J53" s="7">
        <v>0</v>
      </c>
      <c r="K53" s="89" t="str">
        <f t="shared" si="0"/>
        <v>4019/4020</v>
      </c>
      <c r="L53" s="185" t="str">
        <f>VLOOKUP(A53,'Trips&amp;Operators'!$C$1:$G$99911,5,FALSE)</f>
        <v>THOMPSON LESTER</v>
      </c>
      <c r="M53" s="6">
        <f t="shared" si="1"/>
        <v>2.7592592588916887E-2</v>
      </c>
      <c r="N53" s="7">
        <f t="shared" si="2"/>
        <v>39.733333328040317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-11-13T08:40:11-0700',mode:absolute,to:'2017-11-13T11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7"/>
        <v>23.293800000000001</v>
      </c>
      <c r="Z53" s="204">
        <f t="shared" si="8"/>
        <v>1.9099999999999999E-2</v>
      </c>
      <c r="AA53" s="204">
        <f t="shared" si="9"/>
        <v>23.274699999999999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10"/>
        <v>142</v>
      </c>
      <c r="AE53" s="77" t="str">
        <f t="shared" si="11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53" s="74" t="str">
        <f t="shared" si="12"/>
        <v>"C:\Program Files (x86)\AstroGrep\AstroGrep.exe" /e /r /s /spath="%USERPROFILE%\AppData\Local\Temp\OnboardLogs" /stypes="app*4019*20171113*" /stext=" 17:.+((SYSTEM_STATE.+slice.+state.+changed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142-13 --locoid 4019 --swversion DE.1.0.9.0 --startMP 204:232938 --initTime 2017-11-13T09:40:11 --startdatetime 2017-11-13T09:42:22 --delay 70 --endMP 204:191 --enddatetime 2017-11-13T10:22:06 --enforcementcount 0 &gt;&gt;%USERPROFILE%\Documents\GitHub\eaglep3-reporting\EC\2017-11-13-refined-times.txt</v>
      </c>
      <c r="AI53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{"issue":{"subject":"","project_id":79,"tracker_id":40,"status_id":1,"priority_id":2,"assigned_to_id":338,"start_date":"2017-11-13","description":"","custom_fields":[{"id":1,"name":"Subdivision","value":"EC"},{"id":4,"name":"Milepost","value":"0.0191"},{"id":17,"name":"Train ID","value":"142-13"},{"id":16,"name":"Locomotive ID","value":"4019"},{"id":130,"name":"Impact","value":""},{"id":150,"name":"Time of Event (Mountain Time)","value":"10:22:06"},{"id":151,"name":"Denver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4019 --day 2017-11-13</v>
      </c>
      <c r="AN53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-11-13T08:40:11-0700',mode:absolute,to:'2017-11-13T11:22:06-0700'))&amp;_a=(columns:!('Message%20ID',Summary),filters:!(),index:'emp_*',interval:auto,query:(query_string:(analyze_wildcard:!t,query:'%22rtdc.l.rtdc.4019%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722</v>
      </c>
      <c r="B54" s="7">
        <v>4028</v>
      </c>
      <c r="C54" s="21" t="s">
        <v>192</v>
      </c>
      <c r="D54" s="21" t="s">
        <v>540</v>
      </c>
      <c r="E54" s="13">
        <v>43052.369710648149</v>
      </c>
      <c r="F54" s="13">
        <v>43052.3752662037</v>
      </c>
      <c r="G54" s="7">
        <v>49</v>
      </c>
      <c r="H54" s="21" t="s">
        <v>465</v>
      </c>
      <c r="I54" s="13">
        <v>43052.401296296295</v>
      </c>
      <c r="J54" s="7">
        <v>0</v>
      </c>
      <c r="K54" s="89" t="str">
        <f t="shared" si="0"/>
        <v>4027/4028</v>
      </c>
      <c r="L54" s="185" t="str">
        <f>VLOOKUP(A54,'Trips&amp;Operators'!$C$1:$G$99911,5,FALSE)</f>
        <v>DAVIDSON DAVID</v>
      </c>
      <c r="M54" s="6">
        <f t="shared" si="1"/>
        <v>2.6030092594737653E-2</v>
      </c>
      <c r="N54" s="7">
        <f t="shared" si="2"/>
        <v>37.48333333642222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-11-13T07:52:23-0700',mode:absolute,to:'2017-11-13T10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7"/>
        <v>5.2400000000000002E-2</v>
      </c>
      <c r="Z54" s="204">
        <f t="shared" si="8"/>
        <v>23.3278</v>
      </c>
      <c r="AA54" s="204">
        <f t="shared" si="9"/>
        <v>23.275400000000001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10"/>
        <v>143</v>
      </c>
      <c r="AE54" s="77" t="str">
        <f t="shared" si="11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54" s="74" t="str">
        <f t="shared" si="12"/>
        <v>"C:\Program Files (x86)\AstroGrep\AstroGrep.exe" /e /r /s /spath="%USERPROFILE%\AppData\Local\Temp\OnboardLogs" /stypes="app*4028*20171113*"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143-13 --locoid 4028 --swversion DE.1.0.9.0 --startMP 204:524 --initTime 2017-11-13T08:52:23 --startdatetime 2017-11-13T09:00:23 --delay 49 --endMP 204:233278 --enddatetime 2017-11-13T09:37:52 --enforcementcount 0 &gt;&gt;%USERPROFILE%\Documents\GitHub\eaglep3-reporting\EC\2017-11-13-refined-times.txt</v>
      </c>
      <c r="AI54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{"issue":{"subject":"","project_id":79,"tracker_id":40,"status_id":1,"priority_id":2,"assigned_to_id":338,"start_date":"2017-11-13","description":"","custom_fields":[{"id":1,"name":"Subdivision","value":"EC"},{"id":4,"name":"Milepost","value":"23.3278"},{"id":17,"name":"Train ID","value":"143-13"},{"id":16,"name":"Locomotive ID","value":"4028"},{"id":130,"name":"Impact","value":""},{"id":150,"name":"Time of Event (Mountain Time)","value":"09:37:52"},{"id":151,"name":"Denver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4028 --day 2017-11-13</v>
      </c>
      <c r="AN54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-11-13T07:52:23-0700',mode:absolute,to:'2017-11-13T10:37:52-0700'))&amp;_a=(columns:!('Message%20ID',Summary),filters:!(),index:'emp_*',interval:auto,query:(query_string:(analyze_wildcard:!t,query:'%22rtdc.l.rtdc.4028%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640</v>
      </c>
      <c r="B55" s="7">
        <v>4027</v>
      </c>
      <c r="C55" s="21" t="s">
        <v>192</v>
      </c>
      <c r="D55" s="21" t="s">
        <v>544</v>
      </c>
      <c r="E55" s="13">
        <v>43052.412581018521</v>
      </c>
      <c r="F55" s="13">
        <v>43052.414780092593</v>
      </c>
      <c r="G55" s="7">
        <v>54</v>
      </c>
      <c r="H55" s="21" t="s">
        <v>475</v>
      </c>
      <c r="I55" s="13">
        <v>43052.442384259259</v>
      </c>
      <c r="J55" s="7">
        <v>0</v>
      </c>
      <c r="K55" s="89" t="str">
        <f t="shared" si="0"/>
        <v>4027/4028</v>
      </c>
      <c r="L55" s="185" t="str">
        <f>VLOOKUP(A55,'Trips&amp;Operators'!$C$1:$G$99911,5,FALSE)</f>
        <v>DAVIDSON DAVID</v>
      </c>
      <c r="M55" s="6">
        <f t="shared" si="1"/>
        <v>2.7604166665696539E-2</v>
      </c>
      <c r="N55" s="7">
        <f t="shared" si="2"/>
        <v>39.749999998603016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-11-13T08:54:07-0700',mode:absolute,to:'2017-11-13T11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7"/>
        <v>23.295300000000001</v>
      </c>
      <c r="Z55" s="204">
        <f t="shared" si="8"/>
        <v>2.0899999999999998E-2</v>
      </c>
      <c r="AA55" s="204">
        <f t="shared" si="9"/>
        <v>23.2744</v>
      </c>
      <c r="AB55" s="54" t="str">
        <f>VLOOKUP(A55,Enforcements!$C$7:$K$9,8,0)</f>
        <v>Bulletin (2)</v>
      </c>
      <c r="AC55" s="51" t="str">
        <f>VLOOKUP(A55,Enforcements!$C$7:$E$9,3,0)</f>
        <v>GRADE CROSSING</v>
      </c>
      <c r="AD55" s="179">
        <f t="shared" si="10"/>
        <v>144</v>
      </c>
      <c r="AE55" s="77" t="str">
        <f t="shared" si="11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55" s="74" t="str">
        <f t="shared" si="12"/>
        <v>"C:\Program Files (x86)\AstroGrep\AstroGrep.exe" /e /r /s /spath="%USERPROFILE%\AppData\Local\Temp\OnboardLogs" /stypes="app*4027*20171113*" /stext=" 17:.+((SYSTEM_STATE.+slice.+state.+changed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144-13 --locoid 4027 --swversion DE.1.0.9.0 --startMP 204:232953 --initTime 2017-11-13T09:54:07 --startdatetime 2017-11-13T09:57:17 --delay 54 --endMP 204:209 --enddatetime 2017-11-13T10:37:02 --enforcementcount 0 &gt;&gt;%USERPROFILE%\Documents\GitHub\eaglep3-reporting\EC\2017-11-13-refined-times.txt</v>
      </c>
      <c r="AI5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{"issue":{"subject":"","project_id":79,"tracker_id":40,"status_id":1,"priority_id":2,"assigned_to_id":338,"start_date":"2017-11-13","description":"","custom_fields":[{"id":1,"name":"Subdivision","value":"EC"},{"id":4,"name":"Milepost","value":"0.0209"},{"id":17,"name":"Train ID","value":"144-13"},{"id":16,"name":"Locomotive ID","value":"4027"},{"id":130,"name":"Impact","value":""},{"id":150,"name":"Time of Event (Mountain Time)","value":"10:37:02"},{"id":151,"name":"Denver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4027 --day 2017-11-13</v>
      </c>
      <c r="AN5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-11-13T08:54:07-0700',mode:absolute,to:'2017-11-13T11:37:02-0700'))&amp;_a=(columns:!('Message%20ID',Summary),filters:!(),index:'emp_*',interval:auto,query:(query_string:(analyze_wildcard:!t,query:'%22rtdc.l.rtdc.4027%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724</v>
      </c>
      <c r="B56" s="7">
        <v>4010</v>
      </c>
      <c r="C56" s="21" t="s">
        <v>192</v>
      </c>
      <c r="D56" s="21" t="s">
        <v>900</v>
      </c>
      <c r="E56" s="13">
        <v>43052.380011574074</v>
      </c>
      <c r="F56" s="13">
        <v>43052.385625000003</v>
      </c>
      <c r="G56" s="7">
        <v>56</v>
      </c>
      <c r="H56" s="21" t="s">
        <v>901</v>
      </c>
      <c r="I56" s="13">
        <v>43052.412557870368</v>
      </c>
      <c r="J56" s="7">
        <v>0</v>
      </c>
      <c r="K56" s="89" t="str">
        <f t="shared" si="0"/>
        <v>4009/4010</v>
      </c>
      <c r="L56" s="185" t="str">
        <f>VLOOKUP(A56,'Trips&amp;Operators'!$C$1:$G$99911,5,FALSE)</f>
        <v>AUSTIN THOMPSON</v>
      </c>
      <c r="M56" s="6">
        <f t="shared" si="1"/>
        <v>2.693287036527181E-2</v>
      </c>
      <c r="N56" s="7">
        <f t="shared" si="2"/>
        <v>38.783333325991407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-11-13T08:07:13-0700',mode:absolute,to:'2017-11-13T10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7"/>
        <v>5.1999999999999998E-2</v>
      </c>
      <c r="Z56" s="204">
        <f t="shared" si="8"/>
        <v>23.331600000000002</v>
      </c>
      <c r="AA56" s="204">
        <f t="shared" si="9"/>
        <v>23.279600000000002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10"/>
        <v>145</v>
      </c>
      <c r="AE56" s="77" t="str">
        <f t="shared" si="11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56" s="74" t="str">
        <f t="shared" si="12"/>
        <v>"C:\Program Files (x86)\AstroGrep\AstroGrep.exe" /e /r /s /spath="%USERPROFILE%\AppData\Local\Temp\OnboardLogs" /stypes="app*4010*20171113*"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145-13 --locoid 4010 --swversion DE.1.0.9.0 --startMP 204:520 --initTime 2017-11-13T09:07:13 --startdatetime 2017-11-13T09:15:18 --delay 56 --endMP 204:233316 --enddatetime 2017-11-13T09:54:05 --enforcementcount 0 &gt;&gt;%USERPROFILE%\Documents\GitHub\eaglep3-reporting\EC\2017-11-13-refined-times.txt</v>
      </c>
      <c r="AI5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{"issue":{"subject":"","project_id":79,"tracker_id":40,"status_id":1,"priority_id":2,"assigned_to_id":338,"start_date":"2017-11-13","description":"","custom_fields":[{"id":1,"name":"Subdivision","value":"EC"},{"id":4,"name":"Milepost","value":"23.3316"},{"id":17,"name":"Train ID","value":"145-13"},{"id":16,"name":"Locomotive ID","value":"4010"},{"id":130,"name":"Impact","value":""},{"id":150,"name":"Time of Event (Mountain Time)","value":"09:54:05"},{"id":151,"name":"Denver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4010 --day 2017-11-13</v>
      </c>
      <c r="AN5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-11-13T08:07:13-0700',mode:absolute,to:'2017-11-13T10:54:05-0700'))&amp;_a=(columns:!('Message%20ID',Summary),filters:!(),index:'emp_*',interval:auto,query:(query_string:(analyze_wildcard:!t,query:'%22rtdc.l.rtdc.4010%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731</v>
      </c>
      <c r="B57" s="7">
        <v>4009</v>
      </c>
      <c r="C57" s="21" t="s">
        <v>192</v>
      </c>
      <c r="D57" s="21" t="s">
        <v>892</v>
      </c>
      <c r="E57" s="13">
        <v>43052.423182870371</v>
      </c>
      <c r="F57" s="13">
        <v>43052.425243055557</v>
      </c>
      <c r="G57" s="7">
        <v>91</v>
      </c>
      <c r="H57" s="21" t="s">
        <v>902</v>
      </c>
      <c r="I57" s="13">
        <v>43052.452268518522</v>
      </c>
      <c r="J57" s="7">
        <v>0</v>
      </c>
      <c r="K57" s="89" t="str">
        <f t="shared" si="0"/>
        <v>4009/4010</v>
      </c>
      <c r="L57" s="185" t="str">
        <f>VLOOKUP(A57,'Trips&amp;Operators'!$C$1:$G$99911,5,FALSE)</f>
        <v>AUSTIN THOMPSON</v>
      </c>
      <c r="M57" s="6">
        <f t="shared" si="1"/>
        <v>2.7025462964957114E-2</v>
      </c>
      <c r="N57" s="7">
        <f t="shared" si="2"/>
        <v>38.916666669538245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-11-13T09:09:23-0700',mode:absolute,to:'2017-11-13T11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7"/>
        <v>23.296900000000001</v>
      </c>
      <c r="Z57" s="204">
        <f t="shared" si="8"/>
        <v>2.4500000000000001E-2</v>
      </c>
      <c r="AA57" s="204">
        <f t="shared" si="9"/>
        <v>23.272400000000001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10"/>
        <v>146</v>
      </c>
      <c r="AE57" s="77" t="str">
        <f t="shared" si="11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57" s="74" t="str">
        <f t="shared" si="12"/>
        <v>"C:\Program Files (x86)\AstroGrep\AstroGrep.exe" /e /r /s /spath="%USERPROFILE%\AppData\Local\Temp\OnboardLogs" /stypes="app*4009*20171113*" /stext=" 17:.+((SYSTEM_STATE.+slice.+state.+changed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146-13 --locoid 4009 --swversion DE.1.0.9.0 --startMP 204:232969 --initTime 2017-11-13T10:09:23 --startdatetime 2017-11-13T10:12:21 --delay 91 --endMP 204:245 --enddatetime 2017-11-13T10:51:16 --enforcementcount 0 &gt;&gt;%USERPROFILE%\Documents\GitHub\eaglep3-reporting\EC\2017-11-13-refined-times.txt</v>
      </c>
      <c r="AI5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{"issue":{"subject":"","project_id":79,"tracker_id":40,"status_id":1,"priority_id":2,"assigned_to_id":338,"start_date":"2017-11-13","description":"","custom_fields":[{"id":1,"name":"Subdivision","value":"EC"},{"id":4,"name":"Milepost","value":"0.0245"},{"id":17,"name":"Train ID","value":"146-13"},{"id":16,"name":"Locomotive ID","value":"4009"},{"id":130,"name":"Impact","value":""},{"id":150,"name":"Time of Event (Mountain Time)","value":"10:51:16"},{"id":151,"name":"Denver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4009 --day 2017-11-13</v>
      </c>
      <c r="AN5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-11-13T09:09:23-0700',mode:absolute,to:'2017-11-13T11:51:16-0700'))&amp;_a=(columns:!('Message%20ID',Summary),filters:!(),index:'emp_*',interval:auto,query:(query_string:(analyze_wildcard:!t,query:'%22rtdc.l.rtdc.4009%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726</v>
      </c>
      <c r="B58" s="7">
        <v>4014</v>
      </c>
      <c r="C58" s="21" t="s">
        <v>192</v>
      </c>
      <c r="D58" s="21" t="s">
        <v>449</v>
      </c>
      <c r="E58" s="13">
        <v>43052.393449074072</v>
      </c>
      <c r="F58" s="13">
        <v>43052.396006944444</v>
      </c>
      <c r="G58" s="7">
        <v>55</v>
      </c>
      <c r="H58" s="21" t="s">
        <v>570</v>
      </c>
      <c r="I58" s="13">
        <v>43052.420983796299</v>
      </c>
      <c r="J58" s="7">
        <v>0</v>
      </c>
      <c r="K58" s="89" t="str">
        <f t="shared" si="0"/>
        <v>4013/4014</v>
      </c>
      <c r="L58" s="185" t="str">
        <f>VLOOKUP(A58,'Trips&amp;Operators'!$C$1:$G$99911,5,FALSE)</f>
        <v>LAMAR NEKESHA</v>
      </c>
      <c r="M58" s="6">
        <f t="shared" si="1"/>
        <v>2.4976851855171844E-2</v>
      </c>
      <c r="N58" s="7">
        <f t="shared" si="2"/>
        <v>35.966666671447456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-11-13T08:26:34-0700',mode:absolute,to:'2017-11-13T11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7"/>
        <v>5.1700000000000003E-2</v>
      </c>
      <c r="Z58" s="204">
        <f t="shared" si="8"/>
        <v>23.327999999999999</v>
      </c>
      <c r="AA58" s="204">
        <f t="shared" si="9"/>
        <v>23.276299999999999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10"/>
        <v>147</v>
      </c>
      <c r="AE58" s="77" t="str">
        <f t="shared" si="11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58" s="74" t="str">
        <f t="shared" si="12"/>
        <v>"C:\Program Files (x86)\AstroGrep\AstroGrep.exe" /e /r /s /spath="%USERPROFILE%\AppData\Local\Temp\OnboardLogs" /stypes="app*4014*20171113*" /stext=" 17:.+((SYSTEM_STATE.+slice.+state.+changed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147-13 --locoid 4014 --swversion DE.1.0.9.0 --startMP 204:517 --initTime 2017-11-13T09:26:34 --startdatetime 2017-11-13T09:30:15 --delay 55 --endMP 204:233280 --enddatetime 2017-11-13T10:06:13 --enforcementcount 0 &gt;&gt;%USERPROFILE%\Documents\GitHub\eaglep3-reporting\EC\2017-11-13-refined-times.txt</v>
      </c>
      <c r="AI58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{"issue":{"subject":"","project_id":79,"tracker_id":40,"status_id":1,"priority_id":2,"assigned_to_id":338,"start_date":"2017-11-13","description":"","custom_fields":[{"id":1,"name":"Subdivision","value":"EC"},{"id":4,"name":"Milepost","value":"23.328"},{"id":17,"name":"Train ID","value":"147-13"},{"id":16,"name":"Locomotive ID","value":"4014"},{"id":130,"name":"Impact","value":""},{"id":150,"name":"Time of Event (Mountain Time)","value":"10:06:13"},{"id":151,"name":"Denver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4014 --day 2017-11-13</v>
      </c>
      <c r="AN58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-11-13T08:26:34-0700',mode:absolute,to:'2017-11-13T11:06:13-0700'))&amp;_a=(columns:!('Message%20ID',Summary),filters:!(),index:'emp_*',interval:auto,query:(query_string:(analyze_wildcard:!t,query:'%22rtdc.l.rtdc.4014%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738</v>
      </c>
      <c r="B59" s="7">
        <v>4013</v>
      </c>
      <c r="C59" s="21" t="s">
        <v>192</v>
      </c>
      <c r="D59" s="21" t="s">
        <v>619</v>
      </c>
      <c r="E59" s="13">
        <v>43052.432708333334</v>
      </c>
      <c r="F59" s="13">
        <v>43052.435567129629</v>
      </c>
      <c r="G59" s="7">
        <v>135</v>
      </c>
      <c r="H59" s="21" t="s">
        <v>903</v>
      </c>
      <c r="I59" s="13">
        <v>43052.463125000002</v>
      </c>
      <c r="J59" s="7">
        <v>0</v>
      </c>
      <c r="K59" s="89" t="str">
        <f t="shared" si="0"/>
        <v>4013/4014</v>
      </c>
      <c r="L59" s="185" t="str">
        <f>VLOOKUP(A59,'Trips&amp;Operators'!$C$1:$G$99911,5,FALSE)</f>
        <v>LAMAR NEKESHA</v>
      </c>
      <c r="M59" s="6">
        <f t="shared" si="1"/>
        <v>2.7557870373129845E-2</v>
      </c>
      <c r="N59" s="7">
        <f t="shared" si="2"/>
        <v>39.683333337306976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-11-13T09:23:06-0700',mode:absolute,to:'2017-11-13T12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7"/>
        <v>23.296600000000002</v>
      </c>
      <c r="Z59" s="204">
        <f t="shared" si="8"/>
        <v>1.38E-2</v>
      </c>
      <c r="AA59" s="204">
        <f t="shared" si="9"/>
        <v>23.282800000000002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10"/>
        <v>148</v>
      </c>
      <c r="AE59" s="77" t="str">
        <f t="shared" si="11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59" s="74" t="str">
        <f t="shared" si="12"/>
        <v>"C:\Program Files (x86)\AstroGrep\AstroGrep.exe" /e /r /s /spath="%USERPROFILE%\AppData\Local\Temp\OnboardLogs" /stypes="app*4013*20171113*" /stext=" 18:.+((SYSTEM_STATE.+slice.+state.+changed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148-13 --locoid 4013 --swversion DE.1.0.9.0 --startMP 204:232966 --initTime 2017-11-13T10:23:06 --startdatetime 2017-11-13T10:27:13 --delay 135 --endMP 204:138 --enddatetime 2017-11-13T11:06:54 --enforcementcount 0 &gt;&gt;%USERPROFILE%\Documents\GitHub\eaglep3-reporting\EC\2017-11-13-refined-times.txt</v>
      </c>
      <c r="AI59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{"issue":{"subject":"","project_id":79,"tracker_id":40,"status_id":1,"priority_id":2,"assigned_to_id":338,"start_date":"2017-11-13","description":"","custom_fields":[{"id":1,"name":"Subdivision","value":"EC"},{"id":4,"name":"Milepost","value":"0.0138"},{"id":17,"name":"Train ID","value":"148-13"},{"id":16,"name":"Locomotive ID","value":"4013"},{"id":130,"name":"Impact","value":""},{"id":150,"name":"Time of Event (Mountain Time)","value":"11:06:54"},{"id":151,"name":"Denver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4013 --day 2017-11-13</v>
      </c>
      <c r="AN59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-11-13T09:23:06-0700',mode:absolute,to:'2017-11-13T12:06:54-0700'))&amp;_a=(columns:!('Message%20ID',Summary),filters:!(),index:'emp_*',interval:auto,query:(query_string:(analyze_wildcard:!t,query:'%22rtdc.l.rtdc.4013%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727</v>
      </c>
      <c r="B60" s="7">
        <v>4040</v>
      </c>
      <c r="C60" s="21" t="s">
        <v>192</v>
      </c>
      <c r="D60" s="21" t="s">
        <v>589</v>
      </c>
      <c r="E60" s="13">
        <v>43052.400254629632</v>
      </c>
      <c r="F60" s="13">
        <v>43052.406469907408</v>
      </c>
      <c r="G60" s="7">
        <v>148</v>
      </c>
      <c r="H60" s="21" t="s">
        <v>570</v>
      </c>
      <c r="I60" s="13">
        <v>43052.429942129631</v>
      </c>
      <c r="J60" s="7">
        <v>0</v>
      </c>
      <c r="K60" s="89" t="str">
        <f t="shared" si="0"/>
        <v>4039/4040</v>
      </c>
      <c r="L60" s="185" t="str">
        <f>VLOOKUP(A60,'Trips&amp;Operators'!$C$1:$G$99911,5,FALSE)</f>
        <v>YORK EDGAR</v>
      </c>
      <c r="M60" s="6">
        <f t="shared" si="1"/>
        <v>2.3472222223063E-2</v>
      </c>
      <c r="N60" s="7">
        <f t="shared" si="2"/>
        <v>33.800000001210719</v>
      </c>
      <c r="O60" s="7"/>
      <c r="P60" s="7"/>
      <c r="Q60" s="22"/>
      <c r="R60" s="174"/>
      <c r="S60" s="221">
        <f t="shared" si="3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-11-13T08:36:22-0700',mode:absolute,to:'2017-11-13T11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7"/>
        <v>4.7300000000000002E-2</v>
      </c>
      <c r="Z60" s="204">
        <f t="shared" si="8"/>
        <v>23.327999999999999</v>
      </c>
      <c r="AA60" s="204">
        <f t="shared" si="9"/>
        <v>23.2807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10"/>
        <v>149</v>
      </c>
      <c r="AE60" s="77" t="str">
        <f t="shared" si="1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60" s="74" t="str">
        <f t="shared" si="12"/>
        <v>"C:\Program Files (x86)\AstroGrep\AstroGrep.exe" /e /r /s /spath="%USERPROFILE%\AppData\Local\Temp\OnboardLogs" /stypes="app*4040*20171113*"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149-13 --locoid 4040 --swversion DE.1.0.9.0 --startMP 204:473 --initTime 2017-11-13T09:36:22 --startdatetime 2017-11-13T09:45:19 --delay 148 --endMP 204:233280 --enddatetime 2017-11-13T10:19:07 --enforcementcount 0 &gt;&gt;%USERPROFILE%\Documents\GitHub\eaglep3-reporting\EC\2017-11-13-refined-times.txt</v>
      </c>
      <c r="AI60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{"issue":{"subject":"","project_id":79,"tracker_id":40,"status_id":1,"priority_id":2,"assigned_to_id":338,"start_date":"2017-11-13","description":"","custom_fields":[{"id":1,"name":"Subdivision","value":"EC"},{"id":4,"name":"Milepost","value":"23.328"},{"id":17,"name":"Train ID","value":"149-13"},{"id":16,"name":"Locomotive ID","value":"4040"},{"id":130,"name":"Impact","value":""},{"id":150,"name":"Time of Event (Mountain Time)","value":"10:19:07"},{"id":151,"name":"Denver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4040 --day 2017-11-13</v>
      </c>
      <c r="AN60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-11-13T08:36:22-0700',mode:absolute,to:'2017-11-13T11:19:07-0700'))&amp;_a=(columns:!('Message%20ID',Summary),filters:!(),index:'emp_*',interval:auto,query:(query_string:(analyze_wildcard:!t,query:'%22rtdc.l.rtdc.4040%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735</v>
      </c>
      <c r="B61" s="7">
        <v>4039</v>
      </c>
      <c r="C61" s="21" t="s">
        <v>192</v>
      </c>
      <c r="D61" s="21" t="s">
        <v>547</v>
      </c>
      <c r="E61" s="13">
        <v>43052.430902777778</v>
      </c>
      <c r="F61" s="13">
        <v>43052.446053240739</v>
      </c>
      <c r="G61" s="7">
        <v>55</v>
      </c>
      <c r="H61" s="21" t="s">
        <v>904</v>
      </c>
      <c r="I61" s="13">
        <v>43052.474814814814</v>
      </c>
      <c r="J61" s="7">
        <v>0</v>
      </c>
      <c r="K61" s="89" t="str">
        <f t="shared" si="0"/>
        <v>4039/4040</v>
      </c>
      <c r="L61" s="185" t="str">
        <f>VLOOKUP(A61,'Trips&amp;Operators'!$C$1:$G$99911,5,FALSE)</f>
        <v>YORK EDGAR</v>
      </c>
      <c r="M61" s="6">
        <f t="shared" si="1"/>
        <v>2.8761574074451346E-2</v>
      </c>
      <c r="N61" s="7">
        <f t="shared" si="2"/>
        <v>41.416666667209938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-11-13T09:20:30-0700',mode:absolute,to:'2017-11-13T12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7"/>
        <v>23.295500000000001</v>
      </c>
      <c r="Z61" s="204">
        <f t="shared" si="8"/>
        <v>1.89E-2</v>
      </c>
      <c r="AA61" s="204">
        <f t="shared" si="9"/>
        <v>23.276600000000002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10"/>
        <v>150</v>
      </c>
      <c r="AE61" s="77" t="str">
        <f t="shared" si="11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61" s="74" t="str">
        <f t="shared" si="12"/>
        <v>"C:\Program Files (x86)\AstroGrep\AstroGrep.exe" /e /r /s /spath="%USERPROFILE%\AppData\Local\Temp\OnboardLogs" /stypes="app*4039*20171113*" /stext=" 18:.+((SYSTEM_STATE.+slice.+state.+changed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150-13 --locoid 4039 --swversion DE.1.0.9.0 --startMP 204:232955 --initTime 2017-11-13T10:20:30 --startdatetime 2017-11-13T10:42:19 --delay 55 --endMP 204:189 --enddatetime 2017-11-13T11:23:44 --enforcementcount 0 &gt;&gt;%USERPROFILE%\Documents\GitHub\eaglep3-reporting\EC\2017-11-13-refined-times.txt</v>
      </c>
      <c r="AI61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{"issue":{"subject":"","project_id":79,"tracker_id":40,"status_id":1,"priority_id":2,"assigned_to_id":338,"start_date":"2017-11-13","description":"","custom_fields":[{"id":1,"name":"Subdivision","value":"EC"},{"id":4,"name":"Milepost","value":"0.0189"},{"id":17,"name":"Train ID","value":"150-13"},{"id":16,"name":"Locomotive ID","value":"4039"},{"id":130,"name":"Impact","value":""},{"id":150,"name":"Time of Event (Mountain Time)","value":"11:23:44"},{"id":151,"name":"Denver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4039 --day 2017-11-13</v>
      </c>
      <c r="AN61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-11-13T09:20:30-0700',mode:absolute,to:'2017-11-13T12:23:44-0700'))&amp;_a=(columns:!('Message%20ID',Summary),filters:!(),index:'emp_*',interval:auto,query:(query_string:(analyze_wildcard:!t,query:'%22rtdc.l.rtdc.4039%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729</v>
      </c>
      <c r="B62" s="7">
        <v>4012</v>
      </c>
      <c r="C62" s="21" t="s">
        <v>192</v>
      </c>
      <c r="D62" s="21" t="s">
        <v>905</v>
      </c>
      <c r="E62" s="13">
        <v>43052.414236111108</v>
      </c>
      <c r="F62" s="13">
        <v>43052.419016203705</v>
      </c>
      <c r="G62" s="7">
        <v>139</v>
      </c>
      <c r="H62" s="21" t="s">
        <v>906</v>
      </c>
      <c r="I62" s="13">
        <v>43052.444571759261</v>
      </c>
      <c r="J62" s="7">
        <v>0</v>
      </c>
      <c r="K62" s="89" t="str">
        <f t="shared" si="0"/>
        <v>4011/4012</v>
      </c>
      <c r="L62" s="185" t="str">
        <f>VLOOKUP(A62,'Trips&amp;Operators'!$C$1:$G$99911,5,FALSE)</f>
        <v>BARRON PERLA</v>
      </c>
      <c r="M62" s="6">
        <f t="shared" si="1"/>
        <v>2.5555555555911269E-2</v>
      </c>
      <c r="N62" s="7">
        <f t="shared" si="2"/>
        <v>36.800000000512227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-11-13T08:56:30-0700',mode:absolute,to:'2017-11-13T11:40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7"/>
        <v>4.8899999999999999E-2</v>
      </c>
      <c r="Z62" s="204">
        <f t="shared" si="8"/>
        <v>23.329499999999999</v>
      </c>
      <c r="AA62" s="204">
        <f t="shared" si="9"/>
        <v>23.2806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10"/>
        <v>151</v>
      </c>
      <c r="AE62" s="77" t="str">
        <f t="shared" si="11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62" s="74" t="str">
        <f t="shared" si="12"/>
        <v>"C:\Program Files (x86)\AstroGrep\AstroGrep.exe" /e /r /s /spath="%USERPROFILE%\AppData\Local\Temp\OnboardLogs" /stypes="app*4012*20171113*"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151-13 --locoid 4012 --swversion DE.1.0.9.0 --startMP 204:489 --initTime 2017-11-13T09:56:30 --startdatetime 2017-11-13T10:03:23 --delay 139 --endMP 204:233295 --enddatetime 2017-11-13T10:40:11 --enforcementcount 0 &gt;&gt;%USERPROFILE%\Documents\GitHub\eaglep3-reporting\EC\2017-11-13-refined-times.txt</v>
      </c>
      <c r="AI62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{"issue":{"subject":"","project_id":79,"tracker_id":40,"status_id":1,"priority_id":2,"assigned_to_id":338,"start_date":"2017-11-13","description":"","custom_fields":[{"id":1,"name":"Subdivision","value":"EC"},{"id":4,"name":"Milepost","value":"23.3295"},{"id":17,"name":"Train ID","value":"151-13"},{"id":16,"name":"Locomotive ID","value":"4012"},{"id":130,"name":"Impact","value":""},{"id":150,"name":"Time of Event (Mountain Time)","value":"10:40:11"},{"id":151,"name":"Denver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4012 --day 2017-11-13</v>
      </c>
      <c r="AN62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-11-13T08:56:30-0700',mode:absolute,to:'2017-11-13T11:40:11-0700'))&amp;_a=(columns:!('Message%20ID',Summary),filters:!(),index:'emp_*',interval:auto,query:(query_string:(analyze_wildcard:!t,query:'%22rtdc.l.rtdc.4012%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740</v>
      </c>
      <c r="B63" s="7">
        <v>4011</v>
      </c>
      <c r="C63" s="21" t="s">
        <v>192</v>
      </c>
      <c r="D63" s="21" t="s">
        <v>609</v>
      </c>
      <c r="E63" s="13">
        <v>43052.447523148148</v>
      </c>
      <c r="F63" s="13">
        <v>43052.456400462965</v>
      </c>
      <c r="G63" s="7">
        <v>54</v>
      </c>
      <c r="H63" s="21" t="s">
        <v>588</v>
      </c>
      <c r="I63" s="13">
        <v>43052.4846875</v>
      </c>
      <c r="J63" s="7">
        <v>0</v>
      </c>
      <c r="K63" s="89" t="str">
        <f t="shared" si="0"/>
        <v>4011/4012</v>
      </c>
      <c r="L63" s="185" t="str">
        <f>VLOOKUP(A63,'Trips&amp;Operators'!$C$1:$G$99911,5,FALSE)</f>
        <v>BARRON PERLA</v>
      </c>
      <c r="M63" s="6">
        <f t="shared" si="1"/>
        <v>2.8287037035624962E-2</v>
      </c>
      <c r="N63" s="7">
        <f t="shared" si="2"/>
        <v>40.733333331299946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-11-13T09:44:26-0700',mode:absolute,to:'2017-11-13T12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7"/>
        <v>23.298300000000001</v>
      </c>
      <c r="Z63" s="204">
        <f t="shared" si="8"/>
        <v>2.23E-2</v>
      </c>
      <c r="AA63" s="204">
        <f t="shared" si="9"/>
        <v>23.276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10"/>
        <v>152</v>
      </c>
      <c r="AE63" s="77" t="str">
        <f t="shared" si="11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63" s="74" t="str">
        <f t="shared" si="12"/>
        <v>"C:\Program Files (x86)\AstroGrep\AstroGrep.exe" /e /r /s /spath="%USERPROFILE%\AppData\Local\Temp\OnboardLogs" /stypes="app*4011*20171113*" /stext=" 18:.+((SYSTEM_STATE.+slice.+state.+changed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152-13 --locoid 4011 --swversion DE.1.0.9.0 --startMP 204:232983 --initTime 2017-11-13T10:44:26 --startdatetime 2017-11-13T10:57:13 --delay 54 --endMP 204:223 --enddatetime 2017-11-13T11:37:57 --enforcementcount 0 &gt;&gt;%USERPROFILE%\Documents\GitHub\eaglep3-reporting\EC\2017-11-13-refined-times.txt</v>
      </c>
      <c r="AI63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{"issue":{"subject":"","project_id":79,"tracker_id":40,"status_id":1,"priority_id":2,"assigned_to_id":338,"start_date":"2017-11-13","description":"","custom_fields":[{"id":1,"name":"Subdivision","value":"EC"},{"id":4,"name":"Milepost","value":"0.0223"},{"id":17,"name":"Train ID","value":"152-13"},{"id":16,"name":"Locomotive ID","value":"4011"},{"id":130,"name":"Impact","value":""},{"id":150,"name":"Time of Event (Mountain Time)","value":"11:37:57"},{"id":151,"name":"Denver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4011 --day 2017-11-13</v>
      </c>
      <c r="AN63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-11-13T09:44:26-0700',mode:absolute,to:'2017-11-13T12:37:57-0700'))&amp;_a=(columns:!('Message%20ID',Summary),filters:!(),index:'emp_*',interval:auto,query:(query_string:(analyze_wildcard:!t,query:'%22rtdc.l.rtdc.4011%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732</v>
      </c>
      <c r="B64" s="7">
        <v>4060</v>
      </c>
      <c r="C64" s="21" t="s">
        <v>192</v>
      </c>
      <c r="D64" s="21" t="s">
        <v>907</v>
      </c>
      <c r="E64" s="13">
        <v>43052.421435185184</v>
      </c>
      <c r="F64" s="13">
        <v>43052.42832175926</v>
      </c>
      <c r="G64" s="7">
        <v>496</v>
      </c>
      <c r="H64" s="21" t="s">
        <v>578</v>
      </c>
      <c r="I64" s="13">
        <v>43052.454351851855</v>
      </c>
      <c r="J64" s="7">
        <v>0</v>
      </c>
      <c r="K64" s="89" t="str">
        <f t="shared" si="0"/>
        <v>4059/4060</v>
      </c>
      <c r="L64" s="185" t="str">
        <f>VLOOKUP(A64,'Trips&amp;Operators'!$C$1:$G$99911,5,FALSE)</f>
        <v>STARKS ANGELINA</v>
      </c>
      <c r="M64" s="6">
        <f t="shared" si="1"/>
        <v>2.6030092594737653E-2</v>
      </c>
      <c r="N64" s="7">
        <f t="shared" si="2"/>
        <v>37.48333333642222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-11-13T09:06:52-0700',mode:absolute,to:'2017-11-13T11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7"/>
        <v>4.9299999999999997E-2</v>
      </c>
      <c r="Z64" s="204">
        <f t="shared" si="8"/>
        <v>23.330100000000002</v>
      </c>
      <c r="AA64" s="204">
        <f t="shared" si="9"/>
        <v>23.280800000000003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10"/>
        <v>153</v>
      </c>
      <c r="AE64" s="77" t="str">
        <f t="shared" si="11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64" s="74" t="str">
        <f t="shared" si="12"/>
        <v>"C:\Program Files (x86)\AstroGrep\AstroGrep.exe" /e /r /s /spath="%USERPROFILE%\AppData\Local\Temp\OnboardLogs" /stypes="app*4060*20171113*"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153-13 --locoid 4060 --swversion DE.1.0.9.0 --startMP 204:493 --initTime 2017-11-13T10:06:52 --startdatetime 2017-11-13T10:16:47 --delay 496 --endMP 204:233301 --enddatetime 2017-11-13T10:54:16 --enforcementcount 0 &gt;&gt;%USERPROFILE%\Documents\GitHub\eaglep3-reporting\EC\2017-11-13-refined-times.txt</v>
      </c>
      <c r="AI64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{"issue":{"subject":"","project_id":79,"tracker_id":40,"status_id":1,"priority_id":2,"assigned_to_id":338,"start_date":"2017-11-13","description":"","custom_fields":[{"id":1,"name":"Subdivision","value":"EC"},{"id":4,"name":"Milepost","value":"23.3301"},{"id":17,"name":"Train ID","value":"153-13"},{"id":16,"name":"Locomotive ID","value":"4060"},{"id":130,"name":"Impact","value":""},{"id":150,"name":"Time of Event (Mountain Time)","value":"10:54:16"},{"id":151,"name":"Denver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4060 --day 2017-11-13</v>
      </c>
      <c r="AN64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-11-13T09:06:52-0700',mode:absolute,to:'2017-11-13T11:54:16-0700'))&amp;_a=(columns:!('Message%20ID',Summary),filters:!(),index:'emp_*',interval:auto,query:(query_string:(analyze_wildcard:!t,query:'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745</v>
      </c>
      <c r="B65" s="7">
        <v>4059</v>
      </c>
      <c r="C65" s="21" t="s">
        <v>192</v>
      </c>
      <c r="D65" s="21" t="s">
        <v>908</v>
      </c>
      <c r="E65" s="13">
        <v>43052.456875000003</v>
      </c>
      <c r="F65" s="13">
        <v>43052.467187499999</v>
      </c>
      <c r="G65" s="7">
        <v>69</v>
      </c>
      <c r="H65" s="21" t="s">
        <v>477</v>
      </c>
      <c r="I65" s="13">
        <v>43052.497314814813</v>
      </c>
      <c r="J65" s="7">
        <v>0</v>
      </c>
      <c r="K65" s="89" t="str">
        <f t="shared" si="0"/>
        <v>4059/4060</v>
      </c>
      <c r="L65" s="185" t="str">
        <f>VLOOKUP(A65,'Trips&amp;Operators'!$C$1:$G$99911,5,FALSE)</f>
        <v>STARKS ANGELINA</v>
      </c>
      <c r="M65" s="6">
        <f t="shared" si="1"/>
        <v>3.0127314814308193E-2</v>
      </c>
      <c r="N65" s="7">
        <f t="shared" si="2"/>
        <v>43.383333332603797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-11-13T09:57:54-0700',mode:absolute,to:'2017-11-13T12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7"/>
        <v>23.297799999999999</v>
      </c>
      <c r="Z65" s="204">
        <f t="shared" si="8"/>
        <v>1.67E-2</v>
      </c>
      <c r="AA65" s="204">
        <f t="shared" si="9"/>
        <v>23.281099999999999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10"/>
        <v>154</v>
      </c>
      <c r="AE65" s="77" t="str">
        <f t="shared" si="11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65" s="74" t="str">
        <f t="shared" si="12"/>
        <v>"C:\Program Files (x86)\AstroGrep\AstroGrep.exe" /e /r /s /spath="%USERPROFILE%\AppData\Local\Temp\OnboardLogs" /stypes="app*4059*20171113*" /stext=" 18:.+((SYSTEM_STATE.+slice.+state.+changed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154-13 --locoid 4059 --swversion DE.1.0.9.0 --startMP 204:232978 --initTime 2017-11-13T10:57:54 --startdatetime 2017-11-13T11:12:45 --delay 69 --endMP 204:167 --enddatetime 2017-11-13T11:56:08 --enforcementcount 0 &gt;&gt;%USERPROFILE%\Documents\GitHub\eaglep3-reporting\EC\2017-11-13-refined-times.txt</v>
      </c>
      <c r="AI6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{"issue":{"subject":"","project_id":79,"tracker_id":40,"status_id":1,"priority_id":2,"assigned_to_id":338,"start_date":"2017-11-13","description":"","custom_fields":[{"id":1,"name":"Subdivision","value":"EC"},{"id":4,"name":"Milepost","value":"0.0167"},{"id":17,"name":"Train ID","value":"154-13"},{"id":16,"name":"Locomotive ID","value":"4059"},{"id":130,"name":"Impact","value":""},{"id":150,"name":"Time of Event (Mountain Time)","value":"11:56:08"},{"id":151,"name":"Denver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4059 --day 2017-11-13</v>
      </c>
      <c r="AN6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-11-13T09:57:54-0700',mode:absolute,to:'2017-11-13T12:56:08-0700'))&amp;_a=(columns:!('Message%20ID',Summary),filters:!(),index:'emp_*',interval:auto,query:(query_string:(analyze_wildcard:!t,query:'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737</v>
      </c>
      <c r="B66" s="7">
        <v>4020</v>
      </c>
      <c r="C66" s="21" t="s">
        <v>192</v>
      </c>
      <c r="D66" s="21" t="s">
        <v>450</v>
      </c>
      <c r="E66" s="13">
        <v>43052.433425925927</v>
      </c>
      <c r="F66" s="13">
        <v>43052.437743055554</v>
      </c>
      <c r="G66" s="7">
        <v>63</v>
      </c>
      <c r="H66" s="21" t="s">
        <v>909</v>
      </c>
      <c r="I66" s="13">
        <v>43052.462337962963</v>
      </c>
      <c r="J66" s="7">
        <v>0</v>
      </c>
      <c r="K66" s="89" t="str">
        <f t="shared" si="0"/>
        <v>4019/4020</v>
      </c>
      <c r="L66" s="185" t="str">
        <f>VLOOKUP(A66,'Trips&amp;Operators'!$C$1:$G$99911,5,FALSE)</f>
        <v>MACDONALD THOMAS</v>
      </c>
      <c r="M66" s="6">
        <f t="shared" si="1"/>
        <v>2.4594907408754807E-2</v>
      </c>
      <c r="N66" s="7">
        <f t="shared" si="2"/>
        <v>35.416666668606922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-11-13T09:24:08-0700',mode:absolute,to:'2017-11-13T12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7"/>
        <v>5.0799999999999998E-2</v>
      </c>
      <c r="Z66" s="204">
        <f t="shared" si="8"/>
        <v>23.3202</v>
      </c>
      <c r="AA66" s="204">
        <f t="shared" si="9"/>
        <v>23.269400000000001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10"/>
        <v>155</v>
      </c>
      <c r="AE66" s="77" t="str">
        <f t="shared" si="11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66" s="74" t="str">
        <f t="shared" si="12"/>
        <v>"C:\Program Files (x86)\AstroGrep\AstroGrep.exe" /e /r /s /spath="%USERPROFILE%\AppData\Local\Temp\OnboardLogs" /stypes="app*4020*20171113*" /stext=" 18:.+((SYSTEM_STATE.+slice.+state.+changed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155-13 --locoid 4020 --swversion DE.1.0.9.0 --startMP 204:508 --initTime 2017-11-13T10:24:08 --startdatetime 2017-11-13T10:30:21 --delay 63 --endMP 204:233202 --enddatetime 2017-11-13T11:05:46 --enforcementcount 0 &gt;&gt;%USERPROFILE%\Documents\GitHub\eaglep3-reporting\EC\2017-11-13-refined-times.txt</v>
      </c>
      <c r="AI6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{"issue":{"subject":"","project_id":79,"tracker_id":40,"status_id":1,"priority_id":2,"assigned_to_id":338,"start_date":"2017-11-13","description":"","custom_fields":[{"id":1,"name":"Subdivision","value":"EC"},{"id":4,"name":"Milepost","value":"23.3202"},{"id":17,"name":"Train ID","value":"155-13"},{"id":16,"name":"Locomotive ID","value":"4020"},{"id":130,"name":"Impact","value":""},{"id":150,"name":"Time of Event (Mountain Time)","value":"11:05:46"},{"id":151,"name":"Denver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4020 --day 2017-11-13</v>
      </c>
      <c r="AN6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-11-13T09:24:08-0700',mode:absolute,to:'2017-11-13T12:05:46-0700'))&amp;_a=(columns:!('Message%20ID',Summary),filters:!(),index:'emp_*',interval:auto,query:(query_string:(analyze_wildcard:!t,query:'%22rtdc.l.rtdc.4020%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747</v>
      </c>
      <c r="B67" s="7">
        <v>4019</v>
      </c>
      <c r="C67" s="21" t="s">
        <v>192</v>
      </c>
      <c r="D67" s="21" t="s">
        <v>910</v>
      </c>
      <c r="E67" s="13">
        <v>43052.475902777776</v>
      </c>
      <c r="F67" s="13">
        <v>43052.477662037039</v>
      </c>
      <c r="G67" s="7">
        <v>61</v>
      </c>
      <c r="H67" s="21" t="s">
        <v>911</v>
      </c>
      <c r="I67" s="13">
        <v>43052.50854166667</v>
      </c>
      <c r="J67" s="7">
        <v>0</v>
      </c>
      <c r="K67" s="89" t="str">
        <f t="shared" si="0"/>
        <v>4019/4020</v>
      </c>
      <c r="L67" s="185" t="str">
        <f>VLOOKUP(A67,'Trips&amp;Operators'!$C$1:$G$99911,5,FALSE)</f>
        <v>MACDONALD THOMAS</v>
      </c>
      <c r="M67" s="6">
        <f t="shared" si="1"/>
        <v>3.0879629630362615E-2</v>
      </c>
      <c r="N67" s="7">
        <f t="shared" si="2"/>
        <v>44.466666667722166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-11-13T10:25:18-0700',mode:absolute,to:'2017-11-13T13:12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7"/>
        <v>23.288699999999999</v>
      </c>
      <c r="Z67" s="204">
        <f t="shared" si="8"/>
        <v>1.9599999999999999E-2</v>
      </c>
      <c r="AA67" s="204">
        <f t="shared" si="9"/>
        <v>23.269099999999998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10"/>
        <v>156</v>
      </c>
      <c r="AE67" s="77" t="str">
        <f t="shared" si="11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67" s="74" t="str">
        <f t="shared" si="12"/>
        <v>"C:\Program Files (x86)\AstroGrep\AstroGrep.exe" /e /r /s /spath="%USERPROFILE%\AppData\Local\Temp\OnboardLogs" /stypes="app*4019*20171113*" /stext=" 19:.+((SYSTEM_STATE.+slice.+state.+changed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156-13 --locoid 4019 --swversion DE.1.0.9.0 --startMP 204:232887 --initTime 2017-11-13T11:25:18 --startdatetime 2017-11-13T11:27:50 --delay 61 --endMP 204:196 --enddatetime 2017-11-13T12:12:18 --enforcementcount 0 &gt;&gt;%USERPROFILE%\Documents\GitHub\eaglep3-reporting\EC\2017-11-13-refined-times.txt</v>
      </c>
      <c r="AI6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{"issue":{"subject":"","project_id":79,"tracker_id":40,"status_id":1,"priority_id":2,"assigned_to_id":338,"start_date":"2017-11-13","description":"","custom_fields":[{"id":1,"name":"Subdivision","value":"EC"},{"id":4,"name":"Milepost","value":"0.0196"},{"id":17,"name":"Train ID","value":"156-13"},{"id":16,"name":"Locomotive ID","value":"4019"},{"id":130,"name":"Impact","value":""},{"id":150,"name":"Time of Event (Mountain Time)","value":"12:12:18"},{"id":151,"name":"Denver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4019 --day 2017-11-13</v>
      </c>
      <c r="AN6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19:12:18"},{"id":29,"name":"Sharepoint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-11-13T10:25:18-0700',mode:absolute,to:'2017-11-13T13:12:18-0700'))&amp;_a=(columns:!('Message%20ID',Summary),filters:!(),index:'emp_*',interval:auto,query:(query_string:(analyze_wildcard:!t,query:'%22rtdc.l.rtdc.4019%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739</v>
      </c>
      <c r="B68" s="7">
        <v>4028</v>
      </c>
      <c r="C68" s="21" t="s">
        <v>192</v>
      </c>
      <c r="D68" s="21" t="s">
        <v>900</v>
      </c>
      <c r="E68" s="13">
        <v>43052.445138888892</v>
      </c>
      <c r="F68" s="13">
        <v>43052.448101851849</v>
      </c>
      <c r="G68" s="7">
        <v>69</v>
      </c>
      <c r="H68" s="21" t="s">
        <v>574</v>
      </c>
      <c r="I68" s="13">
        <v>43052.472881944443</v>
      </c>
      <c r="J68" s="7">
        <v>0</v>
      </c>
      <c r="K68" s="89" t="str">
        <f t="shared" si="0"/>
        <v>4027/4028</v>
      </c>
      <c r="L68" s="185" t="str">
        <f>VLOOKUP(A68,'Trips&amp;Operators'!$C$1:$G$99911,5,FALSE)</f>
        <v>BADERTSCHER DIANE</v>
      </c>
      <c r="M68" s="6">
        <f t="shared" si="1"/>
        <v>2.4780092593573499E-2</v>
      </c>
      <c r="N68" s="7">
        <f t="shared" si="2"/>
        <v>35.683333334745839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-11-13T09:41:00-0700',mode:absolute,to:'2017-11-13T12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7"/>
        <v>5.1999999999999998E-2</v>
      </c>
      <c r="Z68" s="204">
        <f t="shared" si="8"/>
        <v>23.323</v>
      </c>
      <c r="AA68" s="204">
        <f t="shared" si="9"/>
        <v>23.271000000000001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10"/>
        <v>157</v>
      </c>
      <c r="AE68" s="77" t="str">
        <f t="shared" si="11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68" s="74" t="str">
        <f t="shared" si="12"/>
        <v>"C:\Program Files (x86)\AstroGrep\AstroGrep.exe" /e /r /s /spath="%USERPROFILE%\AppData\Local\Temp\OnboardLogs" /stypes="app*4028*20171113*"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157-13 --locoid 4028 --swversion DE.1.0.9.0 --startMP 204:520 --initTime 2017-11-13T10:41:00 --startdatetime 2017-11-13T10:45:16 --delay 69 --endMP 204:233230 --enddatetime 2017-11-13T11:20:57 --enforcementcount 0 &gt;&gt;%USERPROFILE%\Documents\GitHub\eaglep3-reporting\EC\2017-11-13-refined-times.txt</v>
      </c>
      <c r="AI68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{"issue":{"subject":"","project_id":79,"tracker_id":40,"status_id":1,"priority_id":2,"assigned_to_id":338,"start_date":"2017-11-13","description":"","custom_fields":[{"id":1,"name":"Subdivision","value":"EC"},{"id":4,"name":"Milepost","value":"23.323"},{"id":17,"name":"Train ID","value":"157-13"},{"id":16,"name":"Locomotive ID","value":"4028"},{"id":130,"name":"Impact","value":""},{"id":150,"name":"Time of Event (Mountain Time)","value":"11:20:57"},{"id":151,"name":"Denver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4028 --day 2017-11-13</v>
      </c>
      <c r="AN68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-11-13T09:41:00-0700',mode:absolute,to:'2017-11-13T12:20:57-0700'))&amp;_a=(columns:!('Message%20ID',Summary),filters:!(),index:'emp_*',interval:auto,query:(query_string:(analyze_wildcard:!t,query:'%22rtdc.l.rtdc.4028%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749</v>
      </c>
      <c r="B69" s="7">
        <v>4027</v>
      </c>
      <c r="C69" s="21" t="s">
        <v>192</v>
      </c>
      <c r="D69" s="21" t="s">
        <v>912</v>
      </c>
      <c r="E69" s="13">
        <v>43052.477905092594</v>
      </c>
      <c r="F69" s="13">
        <v>43052.487662037034</v>
      </c>
      <c r="G69" s="7">
        <v>125</v>
      </c>
      <c r="H69" s="21" t="s">
        <v>448</v>
      </c>
      <c r="I69" s="13">
        <v>43052.516539351855</v>
      </c>
      <c r="J69" s="7">
        <v>0</v>
      </c>
      <c r="K69" s="89" t="str">
        <f t="shared" si="0"/>
        <v>4027/4028</v>
      </c>
      <c r="L69" s="185" t="str">
        <f>VLOOKUP(A69,'Trips&amp;Operators'!$C$1:$G$99911,5,FALSE)</f>
        <v>BADERTSCHER DIANE</v>
      </c>
      <c r="M69" s="6">
        <f t="shared" si="1"/>
        <v>2.8877314820419997E-2</v>
      </c>
      <c r="N69" s="7">
        <f t="shared" si="2"/>
        <v>41.583333341404796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-11-13T10:28:11-0700',mode:absolute,to:'2017-11-13T13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7"/>
        <v>23.292300000000001</v>
      </c>
      <c r="Z69" s="204">
        <f t="shared" si="8"/>
        <v>2.1399999999999999E-2</v>
      </c>
      <c r="AA69" s="204">
        <f t="shared" si="9"/>
        <v>23.270900000000001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10"/>
        <v>158</v>
      </c>
      <c r="AE69" s="77" t="str">
        <f t="shared" si="11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69" s="74" t="str">
        <f t="shared" si="12"/>
        <v>"C:\Program Files (x86)\AstroGrep\AstroGrep.exe" /e /r /s /spath="%USERPROFILE%\AppData\Local\Temp\OnboardLogs" /stypes="app*4027*20171113*" /stext=" 19:.+((SYSTEM_STATE.+slice.+state.+changed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158-13 --locoid 4027 --swversion DE.1.0.9.0 --startMP 204:232923 --initTime 2017-11-13T11:28:11 --startdatetime 2017-11-13T11:42:14 --delay 125 --endMP 204:214 --enddatetime 2017-11-13T12:23:49 --enforcementcount 0 &gt;&gt;%USERPROFILE%\Documents\GitHub\eaglep3-reporting\EC\2017-11-13-refined-times.txt</v>
      </c>
      <c r="AI69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{"issue":{"subject":"","project_id":79,"tracker_id":40,"status_id":1,"priority_id":2,"assigned_to_id":338,"start_date":"2017-11-13","description":"","custom_fields":[{"id":1,"name":"Subdivision","value":"EC"},{"id":4,"name":"Milepost","value":"0.0214"},{"id":17,"name":"Train ID","value":"158-13"},{"id":16,"name":"Locomotive ID","value":"4027"},{"id":130,"name":"Impact","value":""},{"id":150,"name":"Time of Event (Mountain Time)","value":"12:23:49"},{"id":151,"name":"Denver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4027 --day 2017-11-13</v>
      </c>
      <c r="AN69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-11-13T10:28:11-0700',mode:absolute,to:'2017-11-13T13:23:49-0700'))&amp;_a=(columns:!('Message%20ID',Summary),filters:!(),index:'emp_*',interval:auto,query:(query_string:(analyze_wildcard:!t,query:'%22rtdc.l.rtdc.4027%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744</v>
      </c>
      <c r="B70" s="7">
        <v>4010</v>
      </c>
      <c r="C70" s="21" t="s">
        <v>192</v>
      </c>
      <c r="D70" s="21" t="s">
        <v>913</v>
      </c>
      <c r="E70" s="13">
        <v>43052.455358796295</v>
      </c>
      <c r="F70" s="13">
        <v>43052.458518518521</v>
      </c>
      <c r="G70" s="7">
        <v>61</v>
      </c>
      <c r="H70" s="21" t="s">
        <v>914</v>
      </c>
      <c r="I70" s="13">
        <v>43052.48300925926</v>
      </c>
      <c r="J70" s="7">
        <v>0</v>
      </c>
      <c r="K70" s="89" t="str">
        <f t="shared" si="0"/>
        <v>4009/4010</v>
      </c>
      <c r="L70" s="185" t="str">
        <f>VLOOKUP(A70,'Trips&amp;Operators'!$C$1:$G$99911,5,FALSE)</f>
        <v>BIRENBAUM THOMAS</v>
      </c>
      <c r="M70" s="6">
        <f t="shared" si="1"/>
        <v>2.4490740739565808E-2</v>
      </c>
      <c r="N70" s="7">
        <f t="shared" si="2"/>
        <v>35.266666664974764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-11-13T09:55:43-0700',mode:absolute,to:'2017-11-13T12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7"/>
        <v>5.4399999999999997E-2</v>
      </c>
      <c r="Z70" s="204">
        <f t="shared" si="8"/>
        <v>23.324400000000001</v>
      </c>
      <c r="AA70" s="204">
        <f t="shared" si="9"/>
        <v>23.27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10"/>
        <v>159</v>
      </c>
      <c r="AE70" s="77" t="str">
        <f t="shared" si="11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70" s="74" t="str">
        <f t="shared" si="12"/>
        <v>"C:\Program Files (x86)\AstroGrep\AstroGrep.exe" /e /r /s /spath="%USERPROFILE%\AppData\Local\Temp\OnboardLogs" /stypes="app*4010*20171113*"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159-13 --locoid 4010 --swversion DE.1.0.9.0 --startMP 204:544 --initTime 2017-11-13T10:55:43 --startdatetime 2017-11-13T11:00:16 --delay 61 --endMP 204:233244 --enddatetime 2017-11-13T11:35:32 --enforcementcount 0 &gt;&gt;%USERPROFILE%\Documents\GitHub\eaglep3-reporting\EC\2017-11-13-refined-times.txt</v>
      </c>
      <c r="AI70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{"issue":{"subject":"","project_id":79,"tracker_id":40,"status_id":1,"priority_id":2,"assigned_to_id":338,"start_date":"2017-11-13","description":"","custom_fields":[{"id":1,"name":"Subdivision","value":"EC"},{"id":4,"name":"Milepost","value":"23.3244"},{"id":17,"name":"Train ID","value":"159-13"},{"id":16,"name":"Locomotive ID","value":"4010"},{"id":130,"name":"Impact","value":""},{"id":150,"name":"Time of Event (Mountain Time)","value":"11:35:32"},{"id":151,"name":"Denver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4010 --day 2017-11-13</v>
      </c>
      <c r="AN70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-11-13T09:55:43-0700',mode:absolute,to:'2017-11-13T12:35:32-0700'))&amp;_a=(columns:!('Message%20ID',Summary),filters:!(),index:'emp_*',interval:auto,query:(query_string:(analyze_wildcard:!t,query:'%22rtdc.l.rtdc.4010%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751</v>
      </c>
      <c r="B71" s="7">
        <v>4009</v>
      </c>
      <c r="C71" s="21" t="s">
        <v>192</v>
      </c>
      <c r="D71" s="21" t="s">
        <v>584</v>
      </c>
      <c r="E71" s="13">
        <v>43052.484270833331</v>
      </c>
      <c r="F71" s="13">
        <v>43052.498159722221</v>
      </c>
      <c r="G71" s="7">
        <v>71</v>
      </c>
      <c r="H71" s="21" t="s">
        <v>904</v>
      </c>
      <c r="I71" s="13">
        <v>43052.525578703702</v>
      </c>
      <c r="J71" s="7">
        <v>0</v>
      </c>
      <c r="K71" s="89" t="str">
        <f t="shared" si="0"/>
        <v>4009/4010</v>
      </c>
      <c r="L71" s="185" t="str">
        <f>VLOOKUP(A71,'Trips&amp;Operators'!$C$1:$G$99911,5,FALSE)</f>
        <v>BIRENBAUM THOMAS</v>
      </c>
      <c r="M71" s="6">
        <f t="shared" si="1"/>
        <v>2.7418981480877846E-2</v>
      </c>
      <c r="N71" s="7">
        <f t="shared" si="2"/>
        <v>39.483333332464099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-11-13T10:37:21-0700',mode:absolute,to:'2017-11-13T13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7"/>
        <v>23.2926</v>
      </c>
      <c r="Z71" s="204">
        <f t="shared" si="8"/>
        <v>1.89E-2</v>
      </c>
      <c r="AA71" s="204">
        <f t="shared" si="9"/>
        <v>23.273700000000002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10"/>
        <v>160</v>
      </c>
      <c r="AE71" s="77" t="str">
        <f t="shared" si="11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71" s="74" t="str">
        <f t="shared" si="12"/>
        <v>"C:\Program Files (x86)\AstroGrep\AstroGrep.exe" /e /r /s /spath="%USERPROFILE%\AppData\Local\Temp\OnboardLogs" /stypes="app*4009*20171113*" /stext=" 19:.+((SYSTEM_STATE.+slice.+state.+changed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160-13 --locoid 4009 --swversion DE.1.0.9.0 --startMP 204:232926 --initTime 2017-11-13T11:37:21 --startdatetime 2017-11-13T11:57:21 --delay 71 --endMP 204:189 --enddatetime 2017-11-13T12:36:50 --enforcementcount 0 &gt;&gt;%USERPROFILE%\Documents\GitHub\eaglep3-reporting\EC\2017-11-13-refined-times.txt</v>
      </c>
      <c r="AI71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{"issue":{"subject":"","project_id":79,"tracker_id":40,"status_id":1,"priority_id":2,"assigned_to_id":338,"start_date":"2017-11-13","description":"","custom_fields":[{"id":1,"name":"Subdivision","value":"EC"},{"id":4,"name":"Milepost","value":"0.0189"},{"id":17,"name":"Train ID","value":"160-13"},{"id":16,"name":"Locomotive ID","value":"4009"},{"id":130,"name":"Impact","value":""},{"id":150,"name":"Time of Event (Mountain Time)","value":"12:36:50"},{"id":151,"name":"Denver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4009 --day 2017-11-13</v>
      </c>
      <c r="AN71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-11-13T10:37:21-0700',mode:absolute,to:'2017-11-13T13:36:50-0700'))&amp;_a=(columns:!('Message%20ID',Summary),filters:!(),index:'emp_*',interval:auto,query:(query_string:(analyze_wildcard:!t,query:'%22rtdc.l.rtdc.4009%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746</v>
      </c>
      <c r="B72" s="7">
        <v>4014</v>
      </c>
      <c r="C72" s="21" t="s">
        <v>192</v>
      </c>
      <c r="D72" s="21" t="s">
        <v>915</v>
      </c>
      <c r="E72" s="13">
        <v>43052.475023148145</v>
      </c>
      <c r="F72" s="13">
        <v>43052.475949074076</v>
      </c>
      <c r="G72" s="7">
        <v>39</v>
      </c>
      <c r="H72" s="21" t="s">
        <v>468</v>
      </c>
      <c r="I72" s="13">
        <v>43052.501875000002</v>
      </c>
      <c r="J72" s="7">
        <v>0</v>
      </c>
      <c r="K72" s="89" t="str">
        <f t="shared" si="0"/>
        <v>4013/4014</v>
      </c>
      <c r="L72" s="185" t="str">
        <f>VLOOKUP(A72,'Trips&amp;Operators'!$C$1:$G$99911,5,FALSE)</f>
        <v>DAVIS MICHAEL</v>
      </c>
      <c r="M72" s="6">
        <f t="shared" si="1"/>
        <v>2.5925925925548654E-2</v>
      </c>
      <c r="N72" s="7"/>
      <c r="O72" s="7"/>
      <c r="P72" s="7">
        <f t="shared" si="2"/>
        <v>37.333333332790062</v>
      </c>
      <c r="Q72" s="22"/>
      <c r="R72" s="174" t="s">
        <v>1104</v>
      </c>
      <c r="S72" s="221">
        <f t="shared" si="3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-11-13T10:24:02-0700',mode:absolute,to:'2017-11-13T13:02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2" s="204" t="str">
        <f>IF(AA72&lt;VLOOKUP(AG72,Variables!$AC$3:$AD$8,2,FALSE),"Y","N")</f>
        <v>Y</v>
      </c>
      <c r="X72" s="204">
        <f t="shared" si="6"/>
        <v>1</v>
      </c>
      <c r="Y72" s="204">
        <f t="shared" si="7"/>
        <v>1.9120999999999999</v>
      </c>
      <c r="Z72" s="204">
        <f t="shared" si="8"/>
        <v>23.3261</v>
      </c>
      <c r="AA72" s="204">
        <f t="shared" si="9"/>
        <v>21.414000000000001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10"/>
        <v>161</v>
      </c>
      <c r="AE72" s="77" t="str">
        <f t="shared" si="11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72" s="74" t="str">
        <f t="shared" si="12"/>
        <v>"C:\Program Files (x86)\AstroGrep\AstroGrep.exe" /e /r /s /spath="%USERPROFILE%\AppData\Local\Temp\OnboardLogs" /stypes="app*4014*20171113*" /stext=" 19:.+((SYSTEM_STATE.+slice.+state.+changed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161-13 --locoid 4014 --swversion DE.1.0.9.0 --startMP 204:19121 --initTime 2017-11-13T11:24:02 --startdatetime 2017-11-13T11:25:22 --delay 39 --endMP 204:233261 --enddatetime 2017-11-13T12:02:42 --enforcementcount 0 &gt;&gt;%USERPROFILE%\Documents\GitHub\eaglep3-reporting\EC\2017-11-13-refined-times.txt</v>
      </c>
      <c r="AI72" s="96" t="str">
        <f t="shared" si="20"/>
        <v>echo {"issue":{"subject":"Poor GPS at DUS","project_id":79,"tracker_id":40,"status_id":1,"priority_id":2,"assigned_to_id":338,"start_date":"2017-11-13","description":"","custom_fields":[{"id":1,"name":"Subdivision","value":"EC"},{"id":4,"name":"Milepost","value":"23.3261"},{"id":17,"name":"Train ID","value":"161-13"},{"id":16,"name":"Locomotive ID","value":"4014"},{"id":130,"name":"Impact","value":""},{"id":150,"name":"Time of Event (Mountain Time)","value":"12:02:42"},{"id":151,"name":"Denver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4014 --day 2017-11-13</v>
      </c>
      <c r="AN72" s="151" t="str">
        <f t="shared" si="22"/>
        <v>echo {"issue":{"subject":"Poor GPS at DUS","project_id":30,"tracker_id":4,"status_id":1,"priority_id":1,"assigned_to_id":10,"start_date":"2017-11-13","description":"","custom_fields":[{"id":30,"name":"Category","value":"Issue"},{"id":3,"name":"Functional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19:02:42"},{"id":29,"name":"Sharepoint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-11-13T10:24:02-0700',mode:absolute,to:'2017-11-13T13:02:42-0700'))&amp;_a=(columns:!('Message%20ID',Summary),filters:!(),index:'emp_*',interval:auto,query:(query_string:(analyze_wildcard:!t,query:'%22rtdc.l.rtdc.4014%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746</v>
      </c>
      <c r="B73" s="7">
        <v>4014</v>
      </c>
      <c r="C73" s="21" t="s">
        <v>192</v>
      </c>
      <c r="D73" s="21" t="s">
        <v>579</v>
      </c>
      <c r="E73" s="13">
        <v>43052.466793981483</v>
      </c>
      <c r="F73" s="13">
        <v>43052.475949074076</v>
      </c>
      <c r="G73" s="7">
        <v>102</v>
      </c>
      <c r="H73" s="21" t="s">
        <v>916</v>
      </c>
      <c r="I73" s="13">
        <v>43052.501875000002</v>
      </c>
      <c r="J73" s="7">
        <v>0</v>
      </c>
      <c r="K73" s="89" t="str">
        <f t="shared" si="0"/>
        <v>4013/4014</v>
      </c>
      <c r="L73" s="185" t="str">
        <f>VLOOKUP(A73,'Trips&amp;Operators'!$C$1:$G$99911,5,FALSE)</f>
        <v>DAVIS MICHAEL</v>
      </c>
      <c r="M73" s="6">
        <f t="shared" si="1"/>
        <v>2.5925925925548654E-2</v>
      </c>
      <c r="N73" s="7"/>
      <c r="O73" s="7"/>
      <c r="P73" s="7"/>
      <c r="Q73" s="22"/>
      <c r="R73" s="174"/>
      <c r="S73" s="221"/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-11-13T10:12:11-0700',mode:absolute,to:'2017-11-13T13:02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204" t="str">
        <f>IF(AA73&lt;VLOOKUP(AG73,Variables!$AC$3:$AD$8,2,FALSE),"Y","N")</f>
        <v>Y</v>
      </c>
      <c r="X73" s="204">
        <f t="shared" si="6"/>
        <v>0</v>
      </c>
      <c r="Y73" s="204">
        <f t="shared" si="7"/>
        <v>4.9099999999999998E-2</v>
      </c>
      <c r="Z73" s="204">
        <f t="shared" si="8"/>
        <v>4.7500000000000001E-2</v>
      </c>
      <c r="AA73" s="204">
        <f t="shared" si="9"/>
        <v>1.5999999999999973E-3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10"/>
        <v>161</v>
      </c>
      <c r="AE73" s="77" t="str">
        <f t="shared" si="11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73" s="74" t="str">
        <f t="shared" si="12"/>
        <v>"C:\Program Files (x86)\AstroGrep\AstroGrep.exe" /e /r /s /spath="%USERPROFILE%\AppData\Local\Temp\OnboardLogs" /stypes="app*4014*20171113*" /stext=" 19:.+((SYSTEM_STATE.+slice.+state.+changed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161-13 --locoid 4014 --swversion DE.1.0.9.0 --startMP 204:491 --initTime 2017-11-13T11:12:11 --startdatetime 2017-11-13T11:25:22 --delay 102 --endMP 204:475 --enddatetime 2017-11-13T12:02:42 --enforcementcount 0 &gt;&gt;%USERPROFILE%\Documents\GitHub\eaglep3-reporting\EC\2017-11-13-refined-times.txt</v>
      </c>
      <c r="AI73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{"issue":{"subject":"","project_id":79,"tracker_id":40,"status_id":1,"priority_id":2,"assigned_to_id":338,"start_date":"2017-11-13","description":"","custom_fields":[{"id":1,"name":"Subdivision","value":"EC"},{"id":4,"name":"Milepost","value":"0.0475"},{"id":17,"name":"Train ID","value":"161-13"},{"id":16,"name":"Locomotive ID","value":"4014"},{"id":130,"name":"Impact","value":""},{"id":150,"name":"Time of Event (Mountain Time)","value":"12:02:42"},{"id":151,"name":"Denver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4014 --day 2017-11-13</v>
      </c>
      <c r="AN73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19:02:42"},{"id":29,"name":"Sharepoint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-11-13T10:12:11-0700',mode:absolute,to:'2017-11-13T13:02:42-0700'))&amp;_a=(columns:!('Message%20ID',Summary),filters:!(),index:'emp_*',interval:auto,query:(query_string:(analyze_wildcard:!t,query:'%22rtdc.l.rtdc.4014%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757</v>
      </c>
      <c r="B74" s="7">
        <v>4013</v>
      </c>
      <c r="C74" s="21" t="s">
        <v>192</v>
      </c>
      <c r="D74" s="21" t="s">
        <v>613</v>
      </c>
      <c r="E74" s="13">
        <v>43052.50571759259</v>
      </c>
      <c r="F74" s="13">
        <v>43052.508645833332</v>
      </c>
      <c r="G74" s="7">
        <v>90</v>
      </c>
      <c r="H74" s="21" t="s">
        <v>469</v>
      </c>
      <c r="I74" s="13">
        <v>43052.53837962963</v>
      </c>
      <c r="J74" s="7">
        <v>0</v>
      </c>
      <c r="K74" s="89" t="str">
        <f t="shared" si="0"/>
        <v>4013/4014</v>
      </c>
      <c r="L74" s="185" t="str">
        <f>VLOOKUP(A74,'Trips&amp;Operators'!$C$1:$G$99911,5,FALSE)</f>
        <v>DAVIS MICHAEL</v>
      </c>
      <c r="M74" s="6">
        <f t="shared" si="1"/>
        <v>2.973379629838746E-2</v>
      </c>
      <c r="N74" s="7">
        <f t="shared" si="2"/>
        <v>42.816666669677943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-11-13T11:08:14-0700',mode:absolute,to:'2017-11-13T13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7"/>
        <v>23.292100000000001</v>
      </c>
      <c r="Z74" s="204">
        <f t="shared" si="8"/>
        <v>2.29E-2</v>
      </c>
      <c r="AA74" s="204">
        <f t="shared" si="9"/>
        <v>23.269200000000001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10"/>
        <v>162</v>
      </c>
      <c r="AE74" s="77" t="str">
        <f t="shared" si="11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74" s="74" t="str">
        <f t="shared" si="12"/>
        <v>"C:\Program Files (x86)\AstroGrep\AstroGrep.exe" /e /r /s /spath="%USERPROFILE%\AppData\Local\Temp\OnboardLogs" /stypes="app*4013*20171113*" /stext=" 19:.+((SYSTEM_STATE.+slice.+state.+changed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162-13 --locoid 4013 --swversion DE.1.0.9.0 --startMP 204:232921 --initTime 2017-11-13T12:08:14 --startdatetime 2017-11-13T12:12:27 --delay 90 --endMP 204:229 --enddatetime 2017-11-13T12:55:16 --enforcementcount 0 &gt;&gt;%USERPROFILE%\Documents\GitHub\eaglep3-reporting\EC\2017-11-13-refined-times.txt</v>
      </c>
      <c r="AI74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{"issue":{"subject":"","project_id":79,"tracker_id":40,"status_id":1,"priority_id":2,"assigned_to_id":338,"start_date":"2017-11-13","description":"","custom_fields":[{"id":1,"name":"Subdivision","value":"EC"},{"id":4,"name":"Milepost","value":"0.0229"},{"id":17,"name":"Train ID","value":"162-13"},{"id":16,"name":"Locomotive ID","value":"4013"},{"id":130,"name":"Impact","value":""},{"id":150,"name":"Time of Event (Mountain Time)","value":"12:55:16"},{"id":151,"name":"Denver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4013 --day 2017-11-13</v>
      </c>
      <c r="AN74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-11-13T11:08:14-0700',mode:absolute,to:'2017-11-13T13:55:16-0700'))&amp;_a=(columns:!('Message%20ID',Summary),filters:!(),index:'emp_*',interval:auto,query:(query_string:(analyze_wildcard:!t,query:'%22rtdc.l.rtdc.4013%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748</v>
      </c>
      <c r="B75" s="7">
        <v>4040</v>
      </c>
      <c r="C75" s="21" t="s">
        <v>192</v>
      </c>
      <c r="D75" s="21" t="s">
        <v>917</v>
      </c>
      <c r="E75" s="13">
        <v>43052.47724537037</v>
      </c>
      <c r="F75" s="13">
        <v>43052.479884259257</v>
      </c>
      <c r="G75" s="7">
        <v>66</v>
      </c>
      <c r="H75" s="21" t="s">
        <v>918</v>
      </c>
      <c r="I75" s="13">
        <v>43052.506724537037</v>
      </c>
      <c r="J75" s="7">
        <v>0</v>
      </c>
      <c r="K75" s="89" t="str">
        <f t="shared" si="0"/>
        <v>4039/4040</v>
      </c>
      <c r="L75" s="185" t="str">
        <f>VLOOKUP(A75,'Trips&amp;Operators'!$C$1:$G$99911,5,FALSE)</f>
        <v>STEWART MICHAEL</v>
      </c>
      <c r="M75" s="6">
        <f t="shared" si="1"/>
        <v>2.6840277780138422E-2</v>
      </c>
      <c r="N75" s="7">
        <f t="shared" si="2"/>
        <v>38.650000003399327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-11-13T10:27:14-0700',mode:absolute,to:'2017-11-13T13:09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7"/>
        <v>4.9500000000000002E-2</v>
      </c>
      <c r="Z75" s="204">
        <f t="shared" si="8"/>
        <v>23.323799999999999</v>
      </c>
      <c r="AA75" s="204">
        <f t="shared" si="9"/>
        <v>23.2743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10"/>
        <v>163</v>
      </c>
      <c r="AE75" s="77" t="str">
        <f t="shared" si="1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75" s="74" t="str">
        <f t="shared" si="12"/>
        <v>"C:\Program Files (x86)\AstroGrep\AstroGrep.exe" /e /r /s /spath="%USERPROFILE%\AppData\Local\Temp\OnboardLogs" /stypes="app*4040*20171113*" /stext=" 19:.+((SYSTEM_STATE.+slice.+state.+changed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163-13 --locoid 4040 --swversion DE.1.0.9.0 --startMP 204:495 --initTime 2017-11-13T11:27:14 --startdatetime 2017-11-13T11:31:02 --delay 66 --endMP 204:233238 --enddatetime 2017-11-13T12:09:41 --enforcementcount 0 &gt;&gt;%USERPROFILE%\Documents\GitHub\eaglep3-reporting\EC\2017-11-13-refined-times.txt</v>
      </c>
      <c r="AI75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{"issue":{"subject":"","project_id":79,"tracker_id":40,"status_id":1,"priority_id":2,"assigned_to_id":338,"start_date":"2017-11-13","description":"","custom_fields":[{"id":1,"name":"Subdivision","value":"EC"},{"id":4,"name":"Milepost","value":"23.3238"},{"id":17,"name":"Train ID","value":"163-13"},{"id":16,"name":"Locomotive ID","value":"4040"},{"id":130,"name":"Impact","value":""},{"id":150,"name":"Time of Event (Mountain Time)","value":"12:09:41"},{"id":151,"name":"Denver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4040 --day 2017-11-13</v>
      </c>
      <c r="AN75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-11-13T10:27:14-0700',mode:absolute,to:'2017-11-13T13:09:41-0700'))&amp;_a=(columns:!('Message%20ID',Summary),filters:!(),index:'emp_*',interval:auto,query:(query_string:(analyze_wildcard:!t,query:'%22rtdc.l.rtdc.4040%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760</v>
      </c>
      <c r="B76" s="7">
        <v>4039</v>
      </c>
      <c r="C76" s="21" t="s">
        <v>192</v>
      </c>
      <c r="D76" s="21" t="s">
        <v>613</v>
      </c>
      <c r="E76" s="13">
        <v>43052.516875000001</v>
      </c>
      <c r="F76" s="13">
        <v>43052.518969907411</v>
      </c>
      <c r="G76" s="7">
        <v>81</v>
      </c>
      <c r="H76" s="21" t="s">
        <v>451</v>
      </c>
      <c r="I76" s="13">
        <v>43052.551145833335</v>
      </c>
      <c r="J76" s="7">
        <v>0</v>
      </c>
      <c r="K76" s="89" t="str">
        <f t="shared" si="0"/>
        <v>4039/4040</v>
      </c>
      <c r="L76" s="185" t="str">
        <f>VLOOKUP(A76,'Trips&amp;Operators'!$C$1:$G$99911,5,FALSE)</f>
        <v>STEWART MICHAEL</v>
      </c>
      <c r="M76" s="6">
        <f t="shared" si="1"/>
        <v>3.2175925924093463E-2</v>
      </c>
      <c r="N76" s="7">
        <f t="shared" si="2"/>
        <v>46.333333330694586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-11-13T11:24:18-0700',mode:absolute,to:'2017-11-13T14:13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7"/>
        <v>23.292100000000001</v>
      </c>
      <c r="Z76" s="204">
        <f t="shared" si="8"/>
        <v>2.07E-2</v>
      </c>
      <c r="AA76" s="204">
        <f t="shared" si="9"/>
        <v>23.2714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10"/>
        <v>164</v>
      </c>
      <c r="AE76" s="77" t="str">
        <f t="shared" si="11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76" s="74" t="str">
        <f t="shared" si="12"/>
        <v>"C:\Program Files (x86)\AstroGrep\AstroGrep.exe" /e /r /s /spath="%USERPROFILE%\AppData\Local\Temp\OnboardLogs" /stypes="app*4039*20171113*" /stext=" 20:.+((SYSTEM_STATE.+slice.+state.+changed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164-13 --locoid 4039 --swversion DE.1.0.9.0 --startMP 204:232921 --initTime 2017-11-13T12:24:18 --startdatetime 2017-11-13T12:27:19 --delay 81 --endMP 204:207 --enddatetime 2017-11-13T13:13:39 --enforcementcount 0 &gt;&gt;%USERPROFILE%\Documents\GitHub\eaglep3-reporting\EC\2017-11-13-refined-times.txt</v>
      </c>
      <c r="AI76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{"issue":{"subject":"","project_id":79,"tracker_id":40,"status_id":1,"priority_id":2,"assigned_to_id":338,"start_date":"2017-11-13","description":"","custom_fields":[{"id":1,"name":"Subdivision","value":"EC"},{"id":4,"name":"Milepost","value":"0.0207"},{"id":17,"name":"Train ID","value":"164-13"},{"id":16,"name":"Locomotive ID","value":"4039"},{"id":130,"name":"Impact","value":""},{"id":150,"name":"Time of Event (Mountain Time)","value":"13:13:39"},{"id":151,"name":"Denver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4039 --day 2017-11-13</v>
      </c>
      <c r="AN76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20:13:39"},{"id":29,"name":"Sharepoint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-11-13T11:24:18-0700',mode:absolute,to:'2017-11-13T14:13:39-0700'))&amp;_a=(columns:!('Message%20ID',Summary),filters:!(),index:'emp_*',interval:auto,query:(query_string:(analyze_wildcard:!t,query:'%22rtdc.l.rtdc.4039%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752</v>
      </c>
      <c r="B77" s="7">
        <v>4012</v>
      </c>
      <c r="C77" s="21" t="s">
        <v>192</v>
      </c>
      <c r="D77" s="21" t="s">
        <v>919</v>
      </c>
      <c r="E77" s="13">
        <v>43052.486990740741</v>
      </c>
      <c r="F77" s="13">
        <v>43052.490833333337</v>
      </c>
      <c r="G77" s="7">
        <v>75</v>
      </c>
      <c r="H77" s="21" t="s">
        <v>920</v>
      </c>
      <c r="I77" s="13">
        <v>43052.517175925925</v>
      </c>
      <c r="J77" s="7">
        <v>0</v>
      </c>
      <c r="K77" s="89" t="str">
        <f t="shared" ref="K77:K140" si="41">IF(ISEVEN(B77),(B77-1)&amp;"/"&amp;B77,B77&amp;"/"&amp;(B77+1))</f>
        <v>4011/4012</v>
      </c>
      <c r="L77" s="185" t="str">
        <f>VLOOKUP(A77,'Trips&amp;Operators'!$C$1:$G$99911,5,FALSE)</f>
        <v>LEVERE CRAIG</v>
      </c>
      <c r="M77" s="6">
        <f t="shared" ref="M77:M140" si="42">I77-F77</f>
        <v>2.6342592587752733E-2</v>
      </c>
      <c r="N77" s="7">
        <f t="shared" ref="N77:P139" si="43">24*60*SUM($M77:$M77)</f>
        <v>37.933333326363936</v>
      </c>
      <c r="O77" s="7"/>
      <c r="P77" s="7"/>
      <c r="Q77" s="22"/>
      <c r="R77" s="174"/>
      <c r="S77" s="221">
        <f t="shared" ref="S77:S138" si="44">1/IF(AG77="EC",12,1)*SUM(U77:U77)</f>
        <v>1</v>
      </c>
      <c r="T77" s="174" t="str">
        <f t="shared" ref="T77:T140" si="45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-13T10:41:16-0700',mode:absolute,to:'2017-11-13T13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204" t="str">
        <f>IF(AA77&lt;VLOOKUP(AG77,Variables!$AC$3:$AD$8,2,FALSE),"Y","N")</f>
        <v>N</v>
      </c>
      <c r="X77" s="204">
        <f t="shared" ref="X77:X140" si="47">VALUE(LEFT(AD77,4))-VALUE(LEFT(AD76,4))</f>
        <v>1</v>
      </c>
      <c r="Y77" s="204">
        <f t="shared" ref="Y77:Y140" si="48">RIGHT(D77,LEN(D77)-4)/10000</f>
        <v>5.2600000000000001E-2</v>
      </c>
      <c r="Z77" s="204">
        <f t="shared" ref="Z77:Z140" si="49">RIGHT(H77,LEN(H77)-4)/10000</f>
        <v>23.319700000000001</v>
      </c>
      <c r="AA77" s="204">
        <f t="shared" ref="AA77:AA140" si="50">ABS(Z77-Y77)</f>
        <v>23.267099999999999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51">VALUE(LEFT(A77,LEN(A77)-3))</f>
        <v>165</v>
      </c>
      <c r="AE77" s="77" t="str">
        <f t="shared" ref="AE77:AE140" si="5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77" s="74" t="str">
        <f t="shared" ref="AF77:AF140" si="5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/stypes="app*4012*20171113*"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54">DetSubdiv(A77)</f>
        <v>EC</v>
      </c>
      <c r="AH77" s="78" t="str">
        <f t="shared" si="19"/>
        <v>"%USERPROFILE%\Documents\GitHub\eaglep3\Utilities\RefineRTDCRunTimes.py" --tripid 165-13 --locoid 4012 --swversion DE.1.0.9.0 --startMP 204:526 --initTime 2017-11-13T11:41:16 --startdatetime 2017-11-13T11:46:48 --delay 75 --endMP 204:233197 --enddatetime 2017-11-13T12:24:44 --enforcementcount 0 &gt;&gt;%USERPROFILE%\Documents\GitHub\eaglep3-reporting\EC\2017-11-13-refined-times.txt</v>
      </c>
      <c r="AI77" s="96" t="str">
        <f t="shared" si="20"/>
        <v>echo {"issue":{"subject":"","project_id":79,"tracker_id":40,"status_id":1,"priority_id":2,"assigned_to_id":338,"start_date":"2017-11-13","description":"","custom_fields":[{"id":1,"name":"Subdivision","value":"EC"},{"id":4,"name":"Milepost","value":"23.3197"},{"id":17,"name":"Train ID","value":"165-13"},{"id":16,"name":"Locomotive ID","value":"4012"},{"id":130,"name":"Impact","value":""},{"id":150,"name":"Time of Event (Mountain Time)","value":"12:24:44"},{"id":151,"name":"Denver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4012 --day 2017-11-13</v>
      </c>
      <c r="AN77" s="151" t="str">
        <f t="shared" si="22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-11-13T10:41:16-0700',mode:absolute,to:'2017-11-13T13:24:44-0700'))&amp;_a=(columns:!('Message%20ID',Summary),filters:!(),index:'emp_*',interval:auto,query:(query_string:(analyze_wildcard:!t,query:'%22rtdc.l.rtdc.4012%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762</v>
      </c>
      <c r="B78" s="7">
        <v>4011</v>
      </c>
      <c r="C78" s="21" t="s">
        <v>192</v>
      </c>
      <c r="D78" s="21" t="s">
        <v>921</v>
      </c>
      <c r="E78" s="13">
        <v>43052.523287037038</v>
      </c>
      <c r="F78" s="13">
        <v>43052.529432870368</v>
      </c>
      <c r="G78" s="7">
        <v>72</v>
      </c>
      <c r="H78" s="21" t="s">
        <v>541</v>
      </c>
      <c r="I78" s="13">
        <v>43052.564606481479</v>
      </c>
      <c r="J78" s="7">
        <v>0</v>
      </c>
      <c r="K78" s="89" t="str">
        <f t="shared" si="41"/>
        <v>4011/4012</v>
      </c>
      <c r="L78" s="185" t="str">
        <f>VLOOKUP(A78,'Trips&amp;Operators'!$C$1:$G$99911,5,FALSE)</f>
        <v>LEVERE CRAIG</v>
      </c>
      <c r="M78" s="6">
        <f t="shared" si="42"/>
        <v>3.51736111115315E-2</v>
      </c>
      <c r="N78" s="7">
        <f t="shared" si="43"/>
        <v>50.65000000060536</v>
      </c>
      <c r="O78" s="7"/>
      <c r="P78" s="7"/>
      <c r="Q78" s="22"/>
      <c r="R78" s="174" t="s">
        <v>1105</v>
      </c>
      <c r="S78" s="221">
        <f t="shared" si="44"/>
        <v>1</v>
      </c>
      <c r="T78" s="174" t="str">
        <f t="shared" si="45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6"/>
        <v>https://d0f6bd738d7f1b3e5a7ca70fe4ff75f0.us-east-1.aws.found.io/app/kibana#/discover/Steve-Slow-Train-Analysis-(2080s-and-2083s)?_g=(refreshInterval:(display:Off,pause:!f,section:0,value:0),time:(from:'2017-11-13T11:33:32-0700',mode:absolute,to:'2017-11-13T14:33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204" t="str">
        <f>IF(AA78&lt;VLOOKUP(AG78,Variables!$AC$3:$AD$8,2,FALSE),"Y","N")</f>
        <v>N</v>
      </c>
      <c r="X78" s="204">
        <f t="shared" si="47"/>
        <v>1</v>
      </c>
      <c r="Y78" s="204">
        <f t="shared" si="48"/>
        <v>23.2882</v>
      </c>
      <c r="Z78" s="204">
        <f t="shared" si="49"/>
        <v>2.4199999999999999E-2</v>
      </c>
      <c r="AA78" s="204">
        <f t="shared" si="50"/>
        <v>23.263999999999999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51"/>
        <v>166</v>
      </c>
      <c r="AE78" s="77" t="str">
        <f t="shared" si="52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78" s="74" t="str">
        <f t="shared" si="53"/>
        <v>"C:\Program Files (x86)\AstroGrep\AstroGrep.exe" /e /r /s /spath="%USERPROFILE%\AppData\Local\Temp\OnboardLogs" /stypes="app*4011*20171113*" /stext=" 20:.+((SYSTEM_STATE.+slice.+state.+changed )|(ment ac)|(multiple cpu faults)|(system.+state.+changed )|(\[timeout)|(PRM\|1\|D)|(kpr)|(kdp)|(train st.+moving)|(\|lc)|(penalty))"</v>
      </c>
      <c r="AG78" s="182" t="str">
        <f t="shared" si="54"/>
        <v>EC</v>
      </c>
      <c r="AH78" s="78" t="str">
        <f t="shared" ref="AH78:AH141" si="5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166-13 --locoid 4011 --swversion DE.1.0.9.0 --startMP 204:232882 --initTime 2017-11-13T12:33:32 --startdatetime 2017-11-13T12:42:23 --delay 72 --endMP 204:242 --enddatetime 2017-11-13T13:33:02 --enforcementcount 0 &gt;&gt;%USERPROFILE%\Documents\GitHub\eaglep3-reporting\EC\2017-11-13-refined-times.txt</v>
      </c>
      <c r="AI78" s="96" t="str">
        <f t="shared" ref="AI78:AI141" si="5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{"issue":{"subject":"Delayed by XING issues (bad card + semi struck gates)","project_id":79,"tracker_id":40,"status_id":1,"priority_id":2,"assigned_to_id":338,"start_date":"2017-11-13","description":"","custom_fields":[{"id":1,"name":"Subdivision","value":"EC"},{"id":4,"name":"Milepost","value":"0.0242"},{"id":17,"name":"Train ID","value":"166-13"},{"id":16,"name":"Locomotive ID","value":"4011"},{"id":130,"name":"Impact","value":""},{"id":150,"name":"Time of Event (Mountain Time)","value":"13:33:02"},{"id":151,"name":"Denver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1" si="57">"start /low /b "&amp;dls3logs&amp;" --loco "&amp;B78&amp;" --day "&amp;TEXT(F78,"YYYY-MM-DD")</f>
        <v>start /low /b %USERPROFILE%\Documents\GitHub\eaglep3\Utilities\DownloadLogsFromS3.py --loco 4011 --day 2017-11-13</v>
      </c>
      <c r="AN78" s="151" t="str">
        <f t="shared" ref="AN78:AN141" si="58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XING issues (bad card + semi struck gates)","project_id":30,"tracker_id":4,"status_id":1,"priority_id":1,"assigned_to_id":10,"start_date":"2017-11-13","description":"","custom_fields":[{"id":30,"name":"Category","value":"Issue"},{"id":3,"name":"Functional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20:33:02"},{"id":29,"name":"Sharepoint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1" si="59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-13T11:33:32-0700',mode:absolute,to:'2017-11-13T14:33:02-0700'))&amp;_a=(columns:!('Message%20ID',Summary),filters:!(),index:'emp_*',interval:auto,query:(query_string:(analyze_wildcard:!t,query:'%22rtdc.l.rtdc.4011%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756</v>
      </c>
      <c r="B79" s="7">
        <v>4060</v>
      </c>
      <c r="C79" s="21" t="s">
        <v>192</v>
      </c>
      <c r="D79" s="21" t="s">
        <v>610</v>
      </c>
      <c r="E79" s="13">
        <v>43052.498368055552</v>
      </c>
      <c r="F79" s="13">
        <v>43052.500983796293</v>
      </c>
      <c r="G79" s="7">
        <v>60</v>
      </c>
      <c r="H79" s="21" t="s">
        <v>922</v>
      </c>
      <c r="I79" s="13">
        <v>43052.526192129626</v>
      </c>
      <c r="J79" s="7">
        <v>0</v>
      </c>
      <c r="K79" s="89" t="str">
        <f t="shared" si="41"/>
        <v>4059/4060</v>
      </c>
      <c r="L79" s="185" t="str">
        <f>VLOOKUP(A79,'Trips&amp;Operators'!$C$1:$G$99911,5,FALSE)</f>
        <v>GUZMAN DANNY</v>
      </c>
      <c r="M79" s="6">
        <f t="shared" si="42"/>
        <v>2.5208333332557231E-2</v>
      </c>
      <c r="N79" s="7">
        <f t="shared" si="43"/>
        <v>36.299999998882413</v>
      </c>
      <c r="O79" s="7"/>
      <c r="P79" s="7"/>
      <c r="Q79" s="22"/>
      <c r="R79" s="174"/>
      <c r="S79" s="221">
        <f t="shared" si="44"/>
        <v>1</v>
      </c>
      <c r="T79" s="174" t="str">
        <f t="shared" si="45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6"/>
        <v>https://d0f6bd738d7f1b3e5a7ca70fe4ff75f0.us-east-1.aws.found.io/app/kibana#/discover/Steve-Slow-Train-Analysis-(2080s-and-2083s)?_g=(refreshInterval:(display:Off,pause:!f,section:0,value:0),time:(from:'2017-11-13T10:57:39-0700',mode:absolute,to:'2017-11-13T13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04" t="str">
        <f>IF(AA79&lt;VLOOKUP(AG79,Variables!$AC$3:$AD$8,2,FALSE),"Y","N")</f>
        <v>N</v>
      </c>
      <c r="X79" s="204">
        <f t="shared" si="47"/>
        <v>1</v>
      </c>
      <c r="Y79" s="204">
        <f t="shared" si="48"/>
        <v>4.5499999999999999E-2</v>
      </c>
      <c r="Z79" s="204">
        <f t="shared" si="49"/>
        <v>23.321200000000001</v>
      </c>
      <c r="AA79" s="204">
        <f t="shared" si="50"/>
        <v>23.275700000000001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51"/>
        <v>167</v>
      </c>
      <c r="AE79" s="77" t="str">
        <f t="shared" si="52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79" s="74" t="str">
        <f t="shared" si="53"/>
        <v>"C:\Program Files (x86)\AstroGrep\AstroGrep.exe" /e /r /s /spath="%USERPROFILE%\AppData\Local\Temp\OnboardLogs" /stypes="app*4060*20171113*" /stext=" 19:.+((SYSTEM_STATE.+slice.+state.+changed )|(ment ac)|(multiple cpu faults)|(system.+state.+changed )|(\[timeout)|(PRM\|1\|D)|(kpr)|(kdp)|(train st.+moving)|(\|lc)|(penalty))"</v>
      </c>
      <c r="AG79" s="182" t="str">
        <f t="shared" si="54"/>
        <v>EC</v>
      </c>
      <c r="AH79" s="78" t="str">
        <f t="shared" si="55"/>
        <v>"%USERPROFILE%\Documents\GitHub\eaglep3\Utilities\RefineRTDCRunTimes.py" --tripid 167-13 --locoid 4060 --swversion DE.1.0.9.0 --startMP 204:455 --initTime 2017-11-13T11:57:39 --startdatetime 2017-11-13T12:01:25 --delay 60 --endMP 204:233212 --enddatetime 2017-11-13T12:37:43 --enforcementcount 0 &gt;&gt;%USERPROFILE%\Documents\GitHub\eaglep3-reporting\EC\2017-11-13-refined-times.txt</v>
      </c>
      <c r="AI79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{"issue":{"subject":"","project_id":79,"tracker_id":40,"status_id":1,"priority_id":2,"assigned_to_id":338,"start_date":"2017-11-13","description":"","custom_fields":[{"id":1,"name":"Subdivision","value":"EC"},{"id":4,"name":"Milepost","value":"23.3212"},{"id":17,"name":"Train ID","value":"167-13"},{"id":16,"name":"Locomotive ID","value":"4060"},{"id":130,"name":"Impact","value":""},{"id":150,"name":"Time of Event (Mountain Time)","value":"12:37:43"},{"id":151,"name":"Denver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57"/>
        <v>start /low /b %USERPROFILE%\Documents\GitHub\eaglep3\Utilities\DownloadLogsFromS3.py --loco 4060 --day 2017-11-13</v>
      </c>
      <c r="AN79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9"/>
        <v>https://d0f6bd738d7f1b3e5a7ca70fe4ff75f0.us-east-1.aws.found.io/app/kibana#/discover/Steve-Slow-Train-Analysis-(2080s-and-2083s)?_g=(refreshInterval:(display:Off,pause:!f,section:0,value:0),time:(from:'2017-11-13T10:57:39-0700',mode:absolute,to:'2017-11-13T13:37:43-0700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764</v>
      </c>
      <c r="B80" s="7">
        <v>4059</v>
      </c>
      <c r="C80" s="21" t="s">
        <v>192</v>
      </c>
      <c r="D80" s="21" t="s">
        <v>923</v>
      </c>
      <c r="E80" s="13">
        <v>43052.53052083333</v>
      </c>
      <c r="F80" s="13">
        <v>43052.539756944447</v>
      </c>
      <c r="G80" s="7">
        <v>67</v>
      </c>
      <c r="H80" s="21" t="s">
        <v>614</v>
      </c>
      <c r="I80" s="13">
        <v>43052.571493055555</v>
      </c>
      <c r="J80" s="7">
        <v>0</v>
      </c>
      <c r="K80" s="89" t="str">
        <f t="shared" si="41"/>
        <v>4059/4060</v>
      </c>
      <c r="L80" s="185" t="str">
        <f>VLOOKUP(A80,'Trips&amp;Operators'!$C$1:$G$99911,5,FALSE)</f>
        <v>GUZMAN DANNY</v>
      </c>
      <c r="M80" s="6">
        <f t="shared" si="42"/>
        <v>3.1736111108330078E-2</v>
      </c>
      <c r="N80" s="7">
        <f t="shared" si="43"/>
        <v>45.699999995995313</v>
      </c>
      <c r="O80" s="7"/>
      <c r="P80" s="7"/>
      <c r="Q80" s="22"/>
      <c r="R80" s="174" t="s">
        <v>1105</v>
      </c>
      <c r="S80" s="221">
        <f t="shared" si="44"/>
        <v>1</v>
      </c>
      <c r="T80" s="174" t="str">
        <f t="shared" si="45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6"/>
        <v>https://d0f6bd738d7f1b3e5a7ca70fe4ff75f0.us-east-1.aws.found.io/app/kibana#/discover/Steve-Slow-Train-Analysis-(2080s-and-2083s)?_g=(refreshInterval:(display:Off,pause:!f,section:0,value:0),time:(from:'2017-11-13T11:43:57-0700',mode:absolute,to:'2017-11-13T14:42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04" t="str">
        <f>IF(AA80&lt;VLOOKUP(AG80,Variables!$AC$3:$AD$8,2,FALSE),"Y","N")</f>
        <v>N</v>
      </c>
      <c r="X80" s="204">
        <f t="shared" si="47"/>
        <v>1</v>
      </c>
      <c r="Y80" s="204">
        <f t="shared" si="48"/>
        <v>23.29</v>
      </c>
      <c r="Z80" s="204">
        <f t="shared" si="49"/>
        <v>2.4899999999999999E-2</v>
      </c>
      <c r="AA80" s="204">
        <f t="shared" si="50"/>
        <v>23.2651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51"/>
        <v>168</v>
      </c>
      <c r="AE80" s="77" t="str">
        <f t="shared" si="52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80" s="74" t="str">
        <f t="shared" si="53"/>
        <v>"C:\Program Files (x86)\AstroGrep\AstroGrep.exe" /e /r /s /spath="%USERPROFILE%\AppData\Local\Temp\OnboardLogs" /stypes="app*4059*20171113*" /stext=" 20:.+((SYSTEM_STATE.+slice.+state.+changed )|(ment ac)|(multiple cpu faults)|(system.+state.+changed )|(\[timeout)|(PRM\|1\|D)|(kpr)|(kdp)|(train st.+moving)|(\|lc)|(penalty))"</v>
      </c>
      <c r="AG80" s="182" t="str">
        <f t="shared" si="54"/>
        <v>EC</v>
      </c>
      <c r="AH80" s="78" t="str">
        <f t="shared" si="55"/>
        <v>"%USERPROFILE%\Documents\GitHub\eaglep3\Utilities\RefineRTDCRunTimes.py" --tripid 168-13 --locoid 4059 --swversion DE.1.0.9.0 --startMP 204:232900 --initTime 2017-11-13T12:43:57 --startdatetime 2017-11-13T12:57:15 --delay 67 --endMP 204:249 --enddatetime 2017-11-13T13:42:57 --enforcementcount 0 &gt;&gt;%USERPROFILE%\Documents\GitHub\eaglep3-reporting\EC\2017-11-13-refined-times.txt</v>
      </c>
      <c r="AI80" s="96" t="str">
        <f t="shared" si="56"/>
        <v>echo {"issue":{"subject":"Delayed by XING issues (bad card + semi struck gates)","project_id":79,"tracker_id":40,"status_id":1,"priority_id":2,"assigned_to_id":338,"start_date":"2017-11-13","description":"","custom_fields":[{"id":1,"name":"Subdivision","value":"EC"},{"id":4,"name":"Milepost","value":"0.0249"},{"id":17,"name":"Train ID","value":"168-13"},{"id":16,"name":"Locomotive ID","value":"4059"},{"id":130,"name":"Impact","value":""},{"id":150,"name":"Time of Event (Mountain Time)","value":"13:42:57"},{"id":151,"name":"Denver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57"/>
        <v>start /low /b %USERPROFILE%\Documents\GitHub\eaglep3\Utilities\DownloadLogsFromS3.py --loco 4059 --day 2017-11-13</v>
      </c>
      <c r="AN80" s="151" t="str">
        <f t="shared" si="58"/>
        <v>echo {"issue":{"subject":"Delayed by XING issues (bad card + semi struck gates)","project_id":30,"tracker_id":4,"status_id":1,"priority_id":1,"assigned_to_id":10,"start_date":"2017-11-13","description":"","custom_fields":[{"id":30,"name":"Category","value":"Issue"},{"id":3,"name":"Functional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20:42:57"},{"id":29,"name":"Sharepoint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9"/>
        <v>https://d0f6bd738d7f1b3e5a7ca70fe4ff75f0.us-east-1.aws.found.io/app/kibana#/discover/Steve-Slow-Train-Analysis-(2080s-and-2083s)?_g=(refreshInterval:(display:Off,pause:!f,section:0,value:0),time:(from:'2017-11-13T11:43:57-0700',mode:absolute,to:'2017-11-13T14:42:57-0700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758</v>
      </c>
      <c r="B81" s="7">
        <v>4020</v>
      </c>
      <c r="C81" s="21" t="s">
        <v>192</v>
      </c>
      <c r="D81" s="21" t="s">
        <v>924</v>
      </c>
      <c r="E81" s="13">
        <v>43052.50990740741</v>
      </c>
      <c r="F81" s="13">
        <v>43052.51258101852</v>
      </c>
      <c r="G81" s="7">
        <v>88</v>
      </c>
      <c r="H81" s="21" t="s">
        <v>925</v>
      </c>
      <c r="I81" s="13">
        <v>43052.538946759261</v>
      </c>
      <c r="J81" s="7">
        <v>0</v>
      </c>
      <c r="K81" s="89" t="str">
        <f t="shared" si="41"/>
        <v>4019/4020</v>
      </c>
      <c r="L81" s="185" t="str">
        <f>VLOOKUP(A81,'Trips&amp;Operators'!$C$1:$G$99911,5,FALSE)</f>
        <v>SAFIEF AEIMEN</v>
      </c>
      <c r="M81" s="6">
        <f t="shared" si="42"/>
        <v>2.6365740741312038E-2</v>
      </c>
      <c r="N81" s="7">
        <f t="shared" si="43"/>
        <v>37.966666667489335</v>
      </c>
      <c r="O81" s="7"/>
      <c r="P81" s="7"/>
      <c r="Q81" s="22"/>
      <c r="R81" s="174"/>
      <c r="S81" s="221">
        <f t="shared" si="44"/>
        <v>1</v>
      </c>
      <c r="T81" s="174" t="str">
        <f t="shared" si="45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6"/>
        <v>https://d0f6bd738d7f1b3e5a7ca70fe4ff75f0.us-east-1.aws.found.io/app/kibana#/discover/Steve-Slow-Train-Analysis-(2080s-and-2083s)?_g=(refreshInterval:(display:Off,pause:!f,section:0,value:0),time:(from:'2017-11-13T11:14:16-0700',mode:absolute,to:'2017-11-13T13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204" t="str">
        <f>IF(AA81&lt;VLOOKUP(AG81,Variables!$AC$3:$AD$8,2,FALSE),"Y","N")</f>
        <v>N</v>
      </c>
      <c r="X81" s="204">
        <f t="shared" si="47"/>
        <v>1</v>
      </c>
      <c r="Y81" s="204">
        <f t="shared" si="48"/>
        <v>5.1299999999999998E-2</v>
      </c>
      <c r="Z81" s="204">
        <f t="shared" si="49"/>
        <v>23.322199999999999</v>
      </c>
      <c r="AA81" s="204">
        <f t="shared" si="50"/>
        <v>23.270899999999997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51"/>
        <v>169</v>
      </c>
      <c r="AE81" s="77" t="str">
        <f t="shared" si="52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81" s="74" t="str">
        <f t="shared" si="53"/>
        <v>"C:\Program Files (x86)\AstroGrep\AstroGrep.exe" /e /r /s /spath="%USERPROFILE%\AppData\Local\Temp\OnboardLogs" /stypes="app*4020*20171113*" /stext=" 19:.+((SYSTEM_STATE.+slice.+state.+changed )|(ment ac)|(multiple cpu faults)|(system.+state.+changed )|(\[timeout)|(PRM\|1\|D)|(kpr)|(kdp)|(train st.+moving)|(\|lc)|(penalty))"</v>
      </c>
      <c r="AG81" s="182" t="str">
        <f t="shared" si="54"/>
        <v>EC</v>
      </c>
      <c r="AH81" s="78" t="str">
        <f t="shared" si="55"/>
        <v>"%USERPROFILE%\Documents\GitHub\eaglep3\Utilities\RefineRTDCRunTimes.py" --tripid 169-13 --locoid 4020 --swversion DE.1.0.9.0 --startMP 204:513 --initTime 2017-11-13T12:14:16 --startdatetime 2017-11-13T12:18:07 --delay 88 --endMP 204:233222 --enddatetime 2017-11-13T12:56:05 --enforcementcount 0 &gt;&gt;%USERPROFILE%\Documents\GitHub\eaglep3-reporting\EC\2017-11-13-refined-times.txt</v>
      </c>
      <c r="AI8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{"issue":{"subject":"","project_id":79,"tracker_id":40,"status_id":1,"priority_id":2,"assigned_to_id":338,"start_date":"2017-11-13","description":"","custom_fields":[{"id":1,"name":"Subdivision","value":"EC"},{"id":4,"name":"Milepost","value":"23.3222"},{"id":17,"name":"Train ID","value":"169-13"},{"id":16,"name":"Locomotive ID","value":"4020"},{"id":130,"name":"Impact","value":""},{"id":150,"name":"Time of Event (Mountain Time)","value":"12:56:05"},{"id":151,"name":"Denver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57"/>
        <v>start /low /b %USERPROFILE%\Documents\GitHub\eaglep3\Utilities\DownloadLogsFromS3.py --loco 4020 --day 2017-11-13</v>
      </c>
      <c r="AN81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9"/>
        <v>https://d0f6bd738d7f1b3e5a7ca70fe4ff75f0.us-east-1.aws.found.io/app/kibana#/discover/Steve-Slow-Train-Analysis-(2080s-and-2083s)?_g=(refreshInterval:(display:Off,pause:!f,section:0,value:0),time:(from:'2017-11-13T11:14:16-0700',mode:absolute,to:'2017-11-13T13:56:05-0700'))&amp;_a=(columns:!('Message%20ID',Summary),filters:!(),index:'emp_*',interval:auto,query:(query_string:(analyze_wildcard:!t,query:'%22rtdc.l.rtdc.4020%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767</v>
      </c>
      <c r="B82" s="7">
        <v>4019</v>
      </c>
      <c r="C82" s="21" t="s">
        <v>192</v>
      </c>
      <c r="D82" s="21" t="s">
        <v>926</v>
      </c>
      <c r="E82" s="13">
        <v>43052.544641203705</v>
      </c>
      <c r="F82" s="13">
        <v>43052.550682870373</v>
      </c>
      <c r="G82" s="7">
        <v>105</v>
      </c>
      <c r="H82" s="21" t="s">
        <v>588</v>
      </c>
      <c r="I82" s="13">
        <v>43052.582326388889</v>
      </c>
      <c r="J82" s="7">
        <v>0</v>
      </c>
      <c r="K82" s="89" t="str">
        <f t="shared" si="41"/>
        <v>4019/4020</v>
      </c>
      <c r="L82" s="185" t="str">
        <f>VLOOKUP(A82,'Trips&amp;Operators'!$C$1:$G$99911,5,FALSE)</f>
        <v>SAFIEF AEIMEN</v>
      </c>
      <c r="M82" s="6">
        <f t="shared" si="42"/>
        <v>3.1643518515920732E-2</v>
      </c>
      <c r="N82" s="7">
        <f t="shared" si="43"/>
        <v>45.566666662925854</v>
      </c>
      <c r="O82" s="7"/>
      <c r="P82" s="7"/>
      <c r="Q82" s="22"/>
      <c r="R82" s="174" t="s">
        <v>1105</v>
      </c>
      <c r="S82" s="221">
        <f t="shared" si="44"/>
        <v>1</v>
      </c>
      <c r="T82" s="174" t="str">
        <f t="shared" si="45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6"/>
        <v>https://d0f6bd738d7f1b3e5a7ca70fe4ff75f0.us-east-1.aws.found.io/app/kibana#/discover/Steve-Slow-Train-Analysis-(2080s-and-2083s)?_g=(refreshInterval:(display:Off,pause:!f,section:0,value:0),time:(from:'2017-11-13T12:04:17-0700',mode:absolute,to:'2017-11-13T14:58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204" t="str">
        <f>IF(AA82&lt;VLOOKUP(AG82,Variables!$AC$3:$AD$8,2,FALSE),"Y","N")</f>
        <v>N</v>
      </c>
      <c r="X82" s="204">
        <f t="shared" si="47"/>
        <v>1</v>
      </c>
      <c r="Y82" s="204">
        <f t="shared" si="48"/>
        <v>23.290199999999999</v>
      </c>
      <c r="Z82" s="204">
        <f t="shared" si="49"/>
        <v>2.23E-2</v>
      </c>
      <c r="AA82" s="204">
        <f t="shared" si="50"/>
        <v>23.267899999999997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51"/>
        <v>170</v>
      </c>
      <c r="AE82" s="77" t="str">
        <f t="shared" si="52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82" s="74" t="str">
        <f t="shared" si="53"/>
        <v>"C:\Program Files (x86)\AstroGrep\AstroGrep.exe" /e /r /s /spath="%USERPROFILE%\AppData\Local\Temp\OnboardLogs" /stypes="app*4019*20171113*" /stext=" 20:.+((SYSTEM_STATE.+slice.+state.+changed )|(ment ac)|(multiple cpu faults)|(system.+state.+changed )|(\[timeout)|(PRM\|1\|D)|(kpr)|(kdp)|(train st.+moving)|(\|lc)|(penalty))"</v>
      </c>
      <c r="AG82" s="182" t="str">
        <f t="shared" si="54"/>
        <v>EC</v>
      </c>
      <c r="AH82" s="78" t="str">
        <f t="shared" si="55"/>
        <v>"%USERPROFILE%\Documents\GitHub\eaglep3\Utilities\RefineRTDCRunTimes.py" --tripid 170-13 --locoid 4019 --swversion DE.1.0.9.0 --startMP 204:232902 --initTime 2017-11-13T13:04:17 --startdatetime 2017-11-13T13:12:59 --delay 105 --endMP 204:223 --enddatetime 2017-11-13T13:58:33 --enforcementcount 0 &gt;&gt;%USERPROFILE%\Documents\GitHub\eaglep3-reporting\EC\2017-11-13-refined-times.txt</v>
      </c>
      <c r="AI82" s="96" t="str">
        <f t="shared" si="56"/>
        <v>echo {"issue":{"subject":"Delayed by XING issues (bad card + semi struck gates)","project_id":79,"tracker_id":40,"status_id":1,"priority_id":2,"assigned_to_id":338,"start_date":"2017-11-13","description":"","custom_fields":[{"id":1,"name":"Subdivision","value":"EC"},{"id":4,"name":"Milepost","value":"0.0223"},{"id":17,"name":"Train ID","value":"170-13"},{"id":16,"name":"Locomotive ID","value":"4019"},{"id":130,"name":"Impact","value":""},{"id":150,"name":"Time of Event (Mountain Time)","value":"13:58:33"},{"id":151,"name":"Denver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57"/>
        <v>start /low /b %USERPROFILE%\Documents\GitHub\eaglep3\Utilities\DownloadLogsFromS3.py --loco 4019 --day 2017-11-13</v>
      </c>
      <c r="AN82" s="151" t="str">
        <f t="shared" si="58"/>
        <v>echo {"issue":{"subject":"Delayed by XING issues (bad card + semi struck gates)","project_id":30,"tracker_id":4,"status_id":1,"priority_id":1,"assigned_to_id":10,"start_date":"2017-11-13","description":"","custom_fields":[{"id":30,"name":"Category","value":"Issue"},{"id":3,"name":"Functional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9"/>
        <v>https://d0f6bd738d7f1b3e5a7ca70fe4ff75f0.us-east-1.aws.found.io/app/kibana#/discover/Steve-Slow-Train-Analysis-(2080s-and-2083s)?_g=(refreshInterval:(display:Off,pause:!f,section:0,value:0),time:(from:'2017-11-13T12:04:17-0700',mode:absolute,to:'2017-11-13T14:58:33-0700'))&amp;_a=(columns:!('Message%20ID',Summary),filters:!(),index:'emp_*',interval:auto,query:(query_string:(analyze_wildcard:!t,query:'%22rtdc.l.rtdc.4019%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761</v>
      </c>
      <c r="B83" s="7">
        <v>4028</v>
      </c>
      <c r="C83" s="21" t="s">
        <v>192</v>
      </c>
      <c r="D83" s="21" t="s">
        <v>466</v>
      </c>
      <c r="E83" s="13">
        <v>43052.518310185187</v>
      </c>
      <c r="F83" s="13">
        <v>43052.521006944444</v>
      </c>
      <c r="G83" s="7">
        <v>53</v>
      </c>
      <c r="H83" s="21" t="s">
        <v>927</v>
      </c>
      <c r="I83" s="13">
        <v>43052.550613425927</v>
      </c>
      <c r="J83" s="7">
        <v>0</v>
      </c>
      <c r="K83" s="89" t="str">
        <f t="shared" si="41"/>
        <v>4027/4028</v>
      </c>
      <c r="L83" s="185" t="str">
        <f>VLOOKUP(A83,'Trips&amp;Operators'!$C$1:$G$99911,5,FALSE)</f>
        <v>BADERTSCHER DIANE</v>
      </c>
      <c r="M83" s="6">
        <f t="shared" si="42"/>
        <v>2.9606481482915115E-2</v>
      </c>
      <c r="N83" s="7">
        <f t="shared" si="43"/>
        <v>42.633333335397765</v>
      </c>
      <c r="O83" s="7"/>
      <c r="P83" s="7"/>
      <c r="Q83" s="22"/>
      <c r="R83" s="174"/>
      <c r="S83" s="221">
        <f t="shared" si="44"/>
        <v>1</v>
      </c>
      <c r="T83" s="174" t="str">
        <f t="shared" si="45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6"/>
        <v>https://d0f6bd738d7f1b3e5a7ca70fe4ff75f0.us-east-1.aws.found.io/app/kibana#/discover/Steve-Slow-Train-Analysis-(2080s-and-2083s)?_g=(refreshInterval:(display:Off,pause:!f,section:0,value:0),time:(from:'2017-11-13T11:26:22-0700',mode:absolute,to:'2017-11-13T14:12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204" t="str">
        <f>IF(AA83&lt;VLOOKUP(AG83,Variables!$AC$3:$AD$8,2,FALSE),"Y","N")</f>
        <v>N</v>
      </c>
      <c r="X83" s="204">
        <f t="shared" si="47"/>
        <v>1</v>
      </c>
      <c r="Y83" s="204">
        <f t="shared" si="48"/>
        <v>5.0900000000000001E-2</v>
      </c>
      <c r="Z83" s="204">
        <f t="shared" si="49"/>
        <v>23.324200000000001</v>
      </c>
      <c r="AA83" s="204">
        <f t="shared" si="50"/>
        <v>23.273300000000003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51"/>
        <v>171</v>
      </c>
      <c r="AE83" s="77" t="str">
        <f t="shared" si="52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83" s="74" t="str">
        <f t="shared" si="53"/>
        <v>"C:\Program Files (x86)\AstroGrep\AstroGrep.exe" /e /r /s /spath="%USERPROFILE%\AppData\Local\Temp\OnboardLogs" /stypes="app*4028*20171113*" /stext=" 20:.+((SYSTEM_STATE.+slice.+state.+changed )|(ment ac)|(multiple cpu faults)|(system.+state.+changed )|(\[timeout)|(PRM\|1\|D)|(kpr)|(kdp)|(train st.+moving)|(\|lc)|(penalty))"</v>
      </c>
      <c r="AG83" s="182" t="str">
        <f t="shared" si="54"/>
        <v>EC</v>
      </c>
      <c r="AH83" s="78" t="str">
        <f t="shared" si="55"/>
        <v>"%USERPROFILE%\Documents\GitHub\eaglep3\Utilities\RefineRTDCRunTimes.py" --tripid 171-13 --locoid 4028 --swversion DE.1.0.9.0 --startMP 204:509 --initTime 2017-11-13T12:26:22 --startdatetime 2017-11-13T12:30:15 --delay 53 --endMP 204:233242 --enddatetime 2017-11-13T13:12:53 --enforcementcount 0 &gt;&gt;%USERPROFILE%\Documents\GitHub\eaglep3-reporting\EC\2017-11-13-refined-times.txt</v>
      </c>
      <c r="AI83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{"issue":{"subject":"","project_id":79,"tracker_id":40,"status_id":1,"priority_id":2,"assigned_to_id":338,"start_date":"2017-11-13","description":"","custom_fields":[{"id":1,"name":"Subdivision","value":"EC"},{"id":4,"name":"Milepost","value":"23.3242"},{"id":17,"name":"Train ID","value":"171-13"},{"id":16,"name":"Locomotive ID","value":"4028"},{"id":130,"name":"Impact","value":""},{"id":150,"name":"Time of Event (Mountain Time)","value":"13:12:53"},{"id":151,"name":"Denver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57"/>
        <v>start /low /b %USERPROFILE%\Documents\GitHub\eaglep3\Utilities\DownloadLogsFromS3.py --loco 4028 --day 2017-11-13</v>
      </c>
      <c r="AN83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20:12:53"},{"id":29,"name":"Sharepoint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9"/>
        <v>https://d0f6bd738d7f1b3e5a7ca70fe4ff75f0.us-east-1.aws.found.io/app/kibana#/discover/Steve-Slow-Train-Analysis-(2080s-and-2083s)?_g=(refreshInterval:(display:Off,pause:!f,section:0,value:0),time:(from:'2017-11-13T11:26:22-0700',mode:absolute,to:'2017-11-13T14:12:53-0700'))&amp;_a=(columns:!('Message%20ID',Summary),filters:!(),index:'emp_*',interval:auto,query:(query_string:(analyze_wildcard:!t,query:'%22rtdc.l.rtdc.4028%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644</v>
      </c>
      <c r="B84" s="7">
        <v>4027</v>
      </c>
      <c r="C84" s="21" t="s">
        <v>192</v>
      </c>
      <c r="D84" s="21" t="s">
        <v>928</v>
      </c>
      <c r="E84" s="13">
        <v>43052.553310185183</v>
      </c>
      <c r="F84" s="13">
        <v>43052.560833333337</v>
      </c>
      <c r="G84" s="7">
        <v>113</v>
      </c>
      <c r="H84" s="21" t="s">
        <v>929</v>
      </c>
      <c r="I84" s="13">
        <v>43052.595995370371</v>
      </c>
      <c r="J84" s="7">
        <v>0</v>
      </c>
      <c r="K84" s="89" t="str">
        <f t="shared" si="41"/>
        <v>4027/4028</v>
      </c>
      <c r="L84" s="185" t="str">
        <f>VLOOKUP(A84,'Trips&amp;Operators'!$C$1:$G$99911,5,FALSE)</f>
        <v>BADERTSCHER DIANE</v>
      </c>
      <c r="M84" s="6">
        <f t="shared" si="42"/>
        <v>3.5162037034751847E-2</v>
      </c>
      <c r="N84" s="7">
        <f t="shared" si="43"/>
        <v>50.63333333004266</v>
      </c>
      <c r="O84" s="7"/>
      <c r="P84" s="7"/>
      <c r="Q84" s="22"/>
      <c r="R84" s="174" t="s">
        <v>1105</v>
      </c>
      <c r="S84" s="221">
        <f t="shared" si="44"/>
        <v>1</v>
      </c>
      <c r="T84" s="174" t="str">
        <f t="shared" si="45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6"/>
        <v>https://d0f6bd738d7f1b3e5a7ca70fe4ff75f0.us-east-1.aws.found.io/app/kibana#/discover/Steve-Slow-Train-Analysis-(2080s-and-2083s)?_g=(refreshInterval:(display:Off,pause:!f,section:0,value:0),time:(from:'2017-11-13T12:16:46-0700',mode:absolute,to:'2017-11-13T15:18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204" t="str">
        <f>IF(AA84&lt;VLOOKUP(AG84,Variables!$AC$3:$AD$8,2,FALSE),"Y","N")</f>
        <v>N</v>
      </c>
      <c r="X84" s="204">
        <f t="shared" si="47"/>
        <v>1</v>
      </c>
      <c r="Y84" s="204">
        <f t="shared" si="48"/>
        <v>23.2928</v>
      </c>
      <c r="Z84" s="204">
        <f t="shared" si="49"/>
        <v>2.6499999999999999E-2</v>
      </c>
      <c r="AA84" s="204">
        <f t="shared" si="50"/>
        <v>23.266300000000001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 t="shared" si="51"/>
        <v>172</v>
      </c>
      <c r="AE84" s="77" t="str">
        <f t="shared" si="52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84" s="74" t="str">
        <f t="shared" si="53"/>
        <v>"C:\Program Files (x86)\AstroGrep\AstroGrep.exe" /e /r /s /spath="%USERPROFILE%\AppData\Local\Temp\OnboardLogs" /stypes="app*4027*20171113*" /stext=" 21:.+((SYSTEM_STATE.+slice.+state.+changed )|(ment ac)|(multiple cpu faults)|(system.+state.+changed )|(\[timeout)|(PRM\|1\|D)|(kpr)|(kdp)|(train st.+moving)|(\|lc)|(penalty))"</v>
      </c>
      <c r="AG84" s="182" t="str">
        <f t="shared" si="54"/>
        <v>EC</v>
      </c>
      <c r="AH84" s="78" t="str">
        <f t="shared" si="55"/>
        <v>"%USERPROFILE%\Documents\GitHub\eaglep3\Utilities\RefineRTDCRunTimes.py" --tripid 172-13 --locoid 4027 --swversion DE.1.0.9.0 --startMP 204:232928 --initTime 2017-11-13T13:16:46 --startdatetime 2017-11-13T13:27:36 --delay 113 --endMP 204:265 --enddatetime 2017-11-13T14:18:14 --enforcementcount 0 &gt;&gt;%USERPROFILE%\Documents\GitHub\eaglep3-reporting\EC\2017-11-13-refined-times.txt</v>
      </c>
      <c r="AI84" s="96" t="str">
        <f t="shared" si="56"/>
        <v>echo {"issue":{"subject":"Delayed by XING issues (bad card + semi struck gates)","project_id":79,"tracker_id":40,"status_id":1,"priority_id":2,"assigned_to_id":338,"start_date":"2017-11-13","description":"","custom_fields":[{"id":1,"name":"Subdivision","value":"EC"},{"id":4,"name":"Milepost","value":"0.0265"},{"id":17,"name":"Train ID","value":"172-13"},{"id":16,"name":"Locomotive ID","value":"4027"},{"id":130,"name":"Impact","value":""},{"id":150,"name":"Time of Event (Mountain Time)","value":"14:18:14"},{"id":151,"name":"Denver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57"/>
        <v>start /low /b %USERPROFILE%\Documents\GitHub\eaglep3\Utilities\DownloadLogsFromS3.py --loco 4027 --day 2017-11-13</v>
      </c>
      <c r="AN84" s="151" t="str">
        <f t="shared" si="58"/>
        <v>echo {"issue":{"subject":"Delayed by XING issues (bad card + semi struck gates)","project_id":30,"tracker_id":4,"status_id":1,"priority_id":1,"assigned_to_id":10,"start_date":"2017-11-13","description":"","custom_fields":[{"id":30,"name":"Category","value":"Issue"},{"id":3,"name":"Functional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9"/>
        <v>https://d0f6bd738d7f1b3e5a7ca70fe4ff75f0.us-east-1.aws.found.io/app/kibana#/discover/Steve-Slow-Train-Analysis-(2080s-and-2083s)?_g=(refreshInterval:(display:Off,pause:!f,section:0,value:0),time:(from:'2017-11-13T12:16:46-0700',mode:absolute,to:'2017-11-13T15:18:14-0700'))&amp;_a=(columns:!('Message%20ID',Summary),filters:!(),index:'emp_*',interval:auto,query:(query_string:(analyze_wildcard:!t,query:'%22rtdc.l.rtdc.4027%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763</v>
      </c>
      <c r="B85" s="7">
        <v>4010</v>
      </c>
      <c r="C85" s="21" t="s">
        <v>192</v>
      </c>
      <c r="D85" s="21" t="s">
        <v>593</v>
      </c>
      <c r="E85" s="13">
        <v>43052.527627314812</v>
      </c>
      <c r="F85" s="13">
        <v>43052.531493055554</v>
      </c>
      <c r="G85" s="7">
        <v>69</v>
      </c>
      <c r="H85" s="21" t="s">
        <v>542</v>
      </c>
      <c r="I85" s="13">
        <v>43052.564108796294</v>
      </c>
      <c r="J85" s="7">
        <v>0</v>
      </c>
      <c r="K85" s="89" t="str">
        <f t="shared" si="41"/>
        <v>4009/4010</v>
      </c>
      <c r="L85" s="185" t="str">
        <f>VLOOKUP(A85,'Trips&amp;Operators'!$C$1:$G$99911,5,FALSE)</f>
        <v>SMITH MICHAEL</v>
      </c>
      <c r="M85" s="6">
        <f t="shared" si="42"/>
        <v>3.2615740739856847E-2</v>
      </c>
      <c r="N85" s="7">
        <f t="shared" si="43"/>
        <v>46.966666665393859</v>
      </c>
      <c r="O85" s="7"/>
      <c r="P85" s="7"/>
      <c r="Q85" s="22"/>
      <c r="R85" s="174"/>
      <c r="S85" s="221">
        <f t="shared" si="44"/>
        <v>1</v>
      </c>
      <c r="T85" s="174" t="str">
        <f t="shared" si="45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6"/>
        <v>https://d0f6bd738d7f1b3e5a7ca70fe4ff75f0.us-east-1.aws.found.io/app/kibana#/discover/Steve-Slow-Train-Analysis-(2080s-and-2083s)?_g=(refreshInterval:(display:Off,pause:!f,section:0,value:0),time:(from:'2017-11-13T11:39:47-0700',mode:absolute,to:'2017-11-13T14:32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204" t="str">
        <f>IF(AA85&lt;VLOOKUP(AG85,Variables!$AC$3:$AD$8,2,FALSE),"Y","N")</f>
        <v>N</v>
      </c>
      <c r="X85" s="204">
        <f t="shared" si="47"/>
        <v>1</v>
      </c>
      <c r="Y85" s="204">
        <f t="shared" si="48"/>
        <v>4.8800000000000003E-2</v>
      </c>
      <c r="Z85" s="204">
        <f t="shared" si="49"/>
        <v>23.325099999999999</v>
      </c>
      <c r="AA85" s="204">
        <f t="shared" si="50"/>
        <v>23.276299999999999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51"/>
        <v>173</v>
      </c>
      <c r="AE85" s="77" t="str">
        <f t="shared" si="52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85" s="74" t="str">
        <f t="shared" si="53"/>
        <v>"C:\Program Files (x86)\AstroGrep\AstroGrep.exe" /e /r /s /spath="%USERPROFILE%\AppData\Local\Temp\OnboardLogs" /stypes="app*4010*20171113*" /stext=" 20:.+((SYSTEM_STATE.+slice.+state.+changed )|(ment ac)|(multiple cpu faults)|(system.+state.+changed )|(\[timeout)|(PRM\|1\|D)|(kpr)|(kdp)|(train st.+moving)|(\|lc)|(penalty))"</v>
      </c>
      <c r="AG85" s="182" t="str">
        <f t="shared" si="54"/>
        <v>EC</v>
      </c>
      <c r="AH85" s="78" t="str">
        <f t="shared" si="55"/>
        <v>"%USERPROFILE%\Documents\GitHub\eaglep3\Utilities\RefineRTDCRunTimes.py" --tripid 173-13 --locoid 4010 --swversion DE.1.0.9.0 --startMP 204:488 --initTime 2017-11-13T12:39:47 --startdatetime 2017-11-13T12:45:21 --delay 69 --endMP 204:233251 --enddatetime 2017-11-13T13:32:19 --enforcementcount 0 &gt;&gt;%USERPROFILE%\Documents\GitHub\eaglep3-reporting\EC\2017-11-13-refined-times.txt</v>
      </c>
      <c r="AI85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{"issue":{"subject":"","project_id":79,"tracker_id":40,"status_id":1,"priority_id":2,"assigned_to_id":338,"start_date":"2017-11-13","description":"","custom_fields":[{"id":1,"name":"Subdivision","value":"EC"},{"id":4,"name":"Milepost","value":"23.3251"},{"id":17,"name":"Train ID","value":"173-13"},{"id":16,"name":"Locomotive ID","value":"4010"},{"id":130,"name":"Impact","value":""},{"id":150,"name":"Time of Event (Mountain Time)","value":"13:32:19"},{"id":151,"name":"Denver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57"/>
        <v>start /low /b %USERPROFILE%\Documents\GitHub\eaglep3\Utilities\DownloadLogsFromS3.py --loco 4010 --day 2017-11-13</v>
      </c>
      <c r="AN85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20:32:19"},{"id":29,"name":"Sharepoint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9"/>
        <v>https://d0f6bd738d7f1b3e5a7ca70fe4ff75f0.us-east-1.aws.found.io/app/kibana#/discover/Steve-Slow-Train-Analysis-(2080s-and-2083s)?_g=(refreshInterval:(display:Off,pause:!f,section:0,value:0),time:(from:'2017-11-13T11:39:47-0700',mode:absolute,to:'2017-11-13T14:32:19-0700'))&amp;_a=(columns:!('Message%20ID',Summary),filters:!(),index:'emp_*',interval:auto,query:(query_string:(analyze_wildcard:!t,query:'%22rtdc.l.rtdc.4010%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769</v>
      </c>
      <c r="B86" s="7">
        <v>4009</v>
      </c>
      <c r="C86" s="21" t="s">
        <v>192</v>
      </c>
      <c r="D86" s="21" t="s">
        <v>912</v>
      </c>
      <c r="E86" s="13">
        <v>43052.566099537034</v>
      </c>
      <c r="F86" s="13">
        <v>43052.571006944447</v>
      </c>
      <c r="G86" s="7">
        <v>81</v>
      </c>
      <c r="H86" s="21" t="s">
        <v>446</v>
      </c>
      <c r="I86" s="13">
        <v>43052.602337962962</v>
      </c>
      <c r="J86" s="7">
        <v>0</v>
      </c>
      <c r="K86" s="89" t="str">
        <f t="shared" si="41"/>
        <v>4009/4010</v>
      </c>
      <c r="L86" s="185" t="str">
        <f>VLOOKUP(A86,'Trips&amp;Operators'!$C$1:$G$99911,5,FALSE)</f>
        <v>SMITH MICHAEL</v>
      </c>
      <c r="M86" s="6">
        <f t="shared" si="42"/>
        <v>3.1331018515629694E-2</v>
      </c>
      <c r="N86" s="7">
        <f t="shared" si="43"/>
        <v>45.116666662506759</v>
      </c>
      <c r="O86" s="7"/>
      <c r="P86" s="7"/>
      <c r="Q86" s="22"/>
      <c r="R86" s="174"/>
      <c r="S86" s="221">
        <f t="shared" si="44"/>
        <v>1</v>
      </c>
      <c r="T86" s="174" t="str">
        <f t="shared" si="45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6"/>
        <v>https://d0f6bd738d7f1b3e5a7ca70fe4ff75f0.us-east-1.aws.found.io/app/kibana#/discover/Steve-Slow-Train-Analysis-(2080s-and-2083s)?_g=(refreshInterval:(display:Off,pause:!f,section:0,value:0),time:(from:'2017-11-13T12:35:11-0700',mode:absolute,to:'2017-11-13T15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204" t="str">
        <f>IF(AA86&lt;VLOOKUP(AG86,Variables!$AC$3:$AD$8,2,FALSE),"Y","N")</f>
        <v>N</v>
      </c>
      <c r="X86" s="204">
        <f t="shared" si="47"/>
        <v>1</v>
      </c>
      <c r="Y86" s="204">
        <f t="shared" si="48"/>
        <v>23.292300000000001</v>
      </c>
      <c r="Z86" s="204">
        <f t="shared" si="49"/>
        <v>2.3599999999999999E-2</v>
      </c>
      <c r="AA86" s="204">
        <f t="shared" si="50"/>
        <v>23.268700000000003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51"/>
        <v>174</v>
      </c>
      <c r="AE86" s="77" t="str">
        <f t="shared" si="52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86" s="74" t="str">
        <f t="shared" si="53"/>
        <v>"C:\Program Files (x86)\AstroGrep\AstroGrep.exe" /e /r /s /spath="%USERPROFILE%\AppData\Local\Temp\OnboardLogs" /stypes="app*4009*20171113*" /stext=" 21:.+((SYSTEM_STATE.+slice.+state.+changed )|(ment ac)|(multiple cpu faults)|(system.+state.+changed )|(\[timeout)|(PRM\|1\|D)|(kpr)|(kdp)|(train st.+moving)|(\|lc)|(penalty))"</v>
      </c>
      <c r="AG86" s="182" t="str">
        <f t="shared" si="54"/>
        <v>EC</v>
      </c>
      <c r="AH86" s="78" t="str">
        <f t="shared" si="55"/>
        <v>"%USERPROFILE%\Documents\GitHub\eaglep3\Utilities\RefineRTDCRunTimes.py" --tripid 174-13 --locoid 4009 --swversion DE.1.0.9.0 --startMP 204:232923 --initTime 2017-11-13T13:35:11 --startdatetime 2017-11-13T13:42:15 --delay 81 --endMP 204:236 --enddatetime 2017-11-13T14:27:22 --enforcementcount 0 &gt;&gt;%USERPROFILE%\Documents\GitHub\eaglep3-reporting\EC\2017-11-13-refined-times.txt</v>
      </c>
      <c r="AI86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{"issue":{"subject":"","project_id":79,"tracker_id":40,"status_id":1,"priority_id":2,"assigned_to_id":338,"start_date":"2017-11-13","description":"","custom_fields":[{"id":1,"name":"Subdivision","value":"EC"},{"id":4,"name":"Milepost","value":"0.0236"},{"id":17,"name":"Train ID","value":"174-13"},{"id":16,"name":"Locomotive ID","value":"4009"},{"id":130,"name":"Impact","value":""},{"id":150,"name":"Time of Event (Mountain Time)","value":"14:27:22"},{"id":151,"name":"Denver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57"/>
        <v>start /low /b %USERPROFILE%\Documents\GitHub\eaglep3\Utilities\DownloadLogsFromS3.py --loco 4009 --day 2017-11-13</v>
      </c>
      <c r="AN86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9"/>
        <v>https://d0f6bd738d7f1b3e5a7ca70fe4ff75f0.us-east-1.aws.found.io/app/kibana#/discover/Steve-Slow-Train-Analysis-(2080s-and-2083s)?_g=(refreshInterval:(display:Off,pause:!f,section:0,value:0),time:(from:'2017-11-13T12:35:11-0700',mode:absolute,to:'2017-11-13T15:27:22-0700'))&amp;_a=(columns:!('Message%20ID',Summary),filters:!(),index:'emp_*',interval:auto,query:(query_string:(analyze_wildcard:!t,query:'%22rtdc.l.rtdc.4009%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765</v>
      </c>
      <c r="B87" s="7">
        <v>4014</v>
      </c>
      <c r="C87" s="21" t="s">
        <v>192</v>
      </c>
      <c r="D87" s="21" t="s">
        <v>930</v>
      </c>
      <c r="E87" s="13">
        <v>43052.539490740739</v>
      </c>
      <c r="F87" s="13">
        <v>43052.542384259257</v>
      </c>
      <c r="G87" s="7">
        <v>55</v>
      </c>
      <c r="H87" s="21" t="s">
        <v>583</v>
      </c>
      <c r="I87" s="13">
        <v>43052.573287037034</v>
      </c>
      <c r="J87" s="7">
        <v>0</v>
      </c>
      <c r="K87" s="89" t="str">
        <f t="shared" si="41"/>
        <v>4013/4014</v>
      </c>
      <c r="L87" s="185" t="str">
        <f>VLOOKUP(A87,'Trips&amp;Operators'!$C$1:$G$99911,5,FALSE)</f>
        <v>DAVIS MICHAEL</v>
      </c>
      <c r="M87" s="6">
        <f t="shared" si="42"/>
        <v>3.0902777776645962E-2</v>
      </c>
      <c r="N87" s="7">
        <f t="shared" si="43"/>
        <v>44.499999998370185</v>
      </c>
      <c r="O87" s="7"/>
      <c r="P87" s="7"/>
      <c r="Q87" s="22"/>
      <c r="R87" s="174"/>
      <c r="S87" s="221">
        <f t="shared" si="44"/>
        <v>1</v>
      </c>
      <c r="T87" s="174" t="str">
        <f t="shared" si="45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6"/>
        <v>https://d0f6bd738d7f1b3e5a7ca70fe4ff75f0.us-east-1.aws.found.io/app/kibana#/discover/Steve-Slow-Train-Analysis-(2080s-and-2083s)?_g=(refreshInterval:(display:Off,pause:!f,section:0,value:0),time:(from:'2017-11-13T11:56:52-0700',mode:absolute,to:'2017-11-13T14:45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204" t="str">
        <f>IF(AA87&lt;VLOOKUP(AG87,Variables!$AC$3:$AD$8,2,FALSE),"Y","N")</f>
        <v>N</v>
      </c>
      <c r="X87" s="204">
        <f t="shared" si="47"/>
        <v>1</v>
      </c>
      <c r="Y87" s="204">
        <f t="shared" si="48"/>
        <v>5.3900000000000003E-2</v>
      </c>
      <c r="Z87" s="204">
        <f t="shared" si="49"/>
        <v>23.3249</v>
      </c>
      <c r="AA87" s="204">
        <f t="shared" si="50"/>
        <v>23.271000000000001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51"/>
        <v>175</v>
      </c>
      <c r="AE87" s="77" t="str">
        <f t="shared" si="52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87" s="74" t="str">
        <f t="shared" si="53"/>
        <v>"C:\Program Files (x86)\AstroGrep\AstroGrep.exe" /e /r /s /spath="%USERPROFILE%\AppData\Local\Temp\OnboardLogs" /stypes="app*4014*20171113*" /stext=" 20:.+((SYSTEM_STATE.+slice.+state.+changed )|(ment ac)|(multiple cpu faults)|(system.+state.+changed )|(\[timeout)|(PRM\|1\|D)|(kpr)|(kdp)|(train st.+moving)|(\|lc)|(penalty))"</v>
      </c>
      <c r="AG87" s="182" t="str">
        <f t="shared" si="54"/>
        <v>EC</v>
      </c>
      <c r="AH87" s="78" t="str">
        <f t="shared" si="55"/>
        <v>"%USERPROFILE%\Documents\GitHub\eaglep3\Utilities\RefineRTDCRunTimes.py" --tripid 175-13 --locoid 4014 --swversion DE.1.0.9.0 --startMP 204:539 --initTime 2017-11-13T12:56:52 --startdatetime 2017-11-13T13:01:02 --delay 55 --endMP 204:233249 --enddatetime 2017-11-13T13:45:32 --enforcementcount 0 &gt;&gt;%USERPROFILE%\Documents\GitHub\eaglep3-reporting\EC\2017-11-13-refined-times.txt</v>
      </c>
      <c r="AI87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{"issue":{"subject":"","project_id":79,"tracker_id":40,"status_id":1,"priority_id":2,"assigned_to_id":338,"start_date":"2017-11-13","description":"","custom_fields":[{"id":1,"name":"Subdivision","value":"EC"},{"id":4,"name":"Milepost","value":"23.3249"},{"id":17,"name":"Train ID","value":"175-13"},{"id":16,"name":"Locomotive ID","value":"4014"},{"id":130,"name":"Impact","value":""},{"id":150,"name":"Time of Event (Mountain Time)","value":"13:45:32"},{"id":151,"name":"Denver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57"/>
        <v>start /low /b %USERPROFILE%\Documents\GitHub\eaglep3\Utilities\DownloadLogsFromS3.py --loco 4014 --day 2017-11-13</v>
      </c>
      <c r="AN87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20:45:32"},{"id":29,"name":"Sharepoint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9"/>
        <v>https://d0f6bd738d7f1b3e5a7ca70fe4ff75f0.us-east-1.aws.found.io/app/kibana#/discover/Steve-Slow-Train-Analysis-(2080s-and-2083s)?_g=(refreshInterval:(display:Off,pause:!f,section:0,value:0),time:(from:'2017-11-13T11:56:52-0700',mode:absolute,to:'2017-11-13T14:45:32-0700'))&amp;_a=(columns:!('Message%20ID',Summary),filters:!(),index:'emp_*',interval:auto,query:(query_string:(analyze_wildcard:!t,query:'%22rtdc.l.rtdc.4014%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771</v>
      </c>
      <c r="B88" s="7">
        <v>4013</v>
      </c>
      <c r="C88" s="21" t="s">
        <v>192</v>
      </c>
      <c r="D88" s="21" t="s">
        <v>621</v>
      </c>
      <c r="E88" s="13">
        <v>43052.578599537039</v>
      </c>
      <c r="F88" s="13">
        <v>43052.581585648149</v>
      </c>
      <c r="G88" s="7">
        <v>75</v>
      </c>
      <c r="H88" s="21" t="s">
        <v>879</v>
      </c>
      <c r="I88" s="13">
        <v>43052.610578703701</v>
      </c>
      <c r="J88" s="7">
        <v>0</v>
      </c>
      <c r="K88" s="89" t="str">
        <f t="shared" si="41"/>
        <v>4013/4014</v>
      </c>
      <c r="L88" s="185" t="str">
        <f>VLOOKUP(A88,'Trips&amp;Operators'!$C$1:$G$99911,5,FALSE)</f>
        <v>DAVIS MICHAEL</v>
      </c>
      <c r="M88" s="6">
        <f t="shared" si="42"/>
        <v>2.8993055551836733E-2</v>
      </c>
      <c r="N88" s="7">
        <f t="shared" si="43"/>
        <v>41.749999994644895</v>
      </c>
      <c r="O88" s="7"/>
      <c r="P88" s="7"/>
      <c r="Q88" s="22"/>
      <c r="R88" s="174"/>
      <c r="S88" s="221">
        <f t="shared" si="44"/>
        <v>1</v>
      </c>
      <c r="T88" s="174" t="str">
        <f t="shared" si="45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6"/>
        <v>https://d0f6bd738d7f1b3e5a7ca70fe4ff75f0.us-east-1.aws.found.io/app/kibana#/discover/Steve-Slow-Train-Analysis-(2080s-and-2083s)?_g=(refreshInterval:(display:Off,pause:!f,section:0,value:0),time:(from:'2017-11-13T12:53:11-0700',mode:absolute,to:'2017-11-13T15:39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204" t="str">
        <f>IF(AA88&lt;VLOOKUP(AG88,Variables!$AC$3:$AD$8,2,FALSE),"Y","N")</f>
        <v>N</v>
      </c>
      <c r="X88" s="204">
        <f t="shared" si="47"/>
        <v>1</v>
      </c>
      <c r="Y88" s="204">
        <f t="shared" si="48"/>
        <v>23.294499999999999</v>
      </c>
      <c r="Z88" s="204">
        <f t="shared" si="49"/>
        <v>2.1999999999999999E-2</v>
      </c>
      <c r="AA88" s="204">
        <f t="shared" si="50"/>
        <v>23.272500000000001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51"/>
        <v>176</v>
      </c>
      <c r="AE88" s="77" t="str">
        <f t="shared" si="52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88" s="74" t="str">
        <f t="shared" si="53"/>
        <v>"C:\Program Files (x86)\AstroGrep\AstroGrep.exe" /e /r /s /spath="%USERPROFILE%\AppData\Local\Temp\OnboardLogs" /stypes="app*4013*20171113*" /stext=" 21:.+((SYSTEM_STATE.+slice.+state.+changed )|(ment ac)|(multiple cpu faults)|(system.+state.+changed )|(\[timeout)|(PRM\|1\|D)|(kpr)|(kdp)|(train st.+moving)|(\|lc)|(penalty))"</v>
      </c>
      <c r="AG88" s="182" t="str">
        <f t="shared" si="54"/>
        <v>EC</v>
      </c>
      <c r="AH88" s="78" t="str">
        <f t="shared" si="55"/>
        <v>"%USERPROFILE%\Documents\GitHub\eaglep3\Utilities\RefineRTDCRunTimes.py" --tripid 176-13 --locoid 4013 --swversion DE.1.0.9.0 --startMP 204:232945 --initTime 2017-11-13T13:53:11 --startdatetime 2017-11-13T13:57:29 --delay 75 --endMP 204:220 --enddatetime 2017-11-13T14:39:14 --enforcementcount 0 &gt;&gt;%USERPROFILE%\Documents\GitHub\eaglep3-reporting\EC\2017-11-13-refined-times.txt</v>
      </c>
      <c r="AI88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{"issue":{"subject":"","project_id":79,"tracker_id":40,"status_id":1,"priority_id":2,"assigned_to_id":338,"start_date":"2017-11-13","description":"","custom_fields":[{"id":1,"name":"Subdivision","value":"EC"},{"id":4,"name":"Milepost","value":"0.022"},{"id":17,"name":"Train ID","value":"176-13"},{"id":16,"name":"Locomotive ID","value":"4013"},{"id":130,"name":"Impact","value":""},{"id":150,"name":"Time of Event (Mountain Time)","value":"14:39:14"},{"id":151,"name":"Denver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57"/>
        <v>start /low /b %USERPROFILE%\Documents\GitHub\eaglep3\Utilities\DownloadLogsFromS3.py --loco 4013 --day 2017-11-13</v>
      </c>
      <c r="AN88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9"/>
        <v>https://d0f6bd738d7f1b3e5a7ca70fe4ff75f0.us-east-1.aws.found.io/app/kibana#/discover/Steve-Slow-Train-Analysis-(2080s-and-2083s)?_g=(refreshInterval:(display:Off,pause:!f,section:0,value:0),time:(from:'2017-11-13T12:53:11-0700',mode:absolute,to:'2017-11-13T15:39:14-0700'))&amp;_a=(columns:!('Message%20ID',Summary),filters:!(),index:'emp_*',interval:auto,query:(query_string:(analyze_wildcard:!t,query:'%22rtdc.l.rtdc.4013%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645</v>
      </c>
      <c r="B89" s="7">
        <v>4040</v>
      </c>
      <c r="C89" s="21" t="s">
        <v>192</v>
      </c>
      <c r="D89" s="21" t="s">
        <v>467</v>
      </c>
      <c r="E89" s="13">
        <v>43052.553553240738</v>
      </c>
      <c r="F89" s="13">
        <v>43052.554837962962</v>
      </c>
      <c r="G89" s="7">
        <v>56</v>
      </c>
      <c r="H89" s="21" t="s">
        <v>931</v>
      </c>
      <c r="I89" s="13">
        <v>43052.585393518515</v>
      </c>
      <c r="J89" s="7">
        <v>0</v>
      </c>
      <c r="K89" s="89" t="str">
        <f t="shared" si="41"/>
        <v>4039/4040</v>
      </c>
      <c r="L89" s="185" t="str">
        <f>VLOOKUP(A89,'Trips&amp;Operators'!$C$1:$G$99911,5,FALSE)</f>
        <v>STEWART MICHAEL</v>
      </c>
      <c r="M89" s="6">
        <f t="shared" si="42"/>
        <v>3.0555555553291924E-2</v>
      </c>
      <c r="N89" s="7">
        <f t="shared" si="43"/>
        <v>43.999999996740371</v>
      </c>
      <c r="O89" s="7"/>
      <c r="P89" s="7"/>
      <c r="Q89" s="22"/>
      <c r="R89" s="174"/>
      <c r="S89" s="221">
        <f t="shared" si="44"/>
        <v>1</v>
      </c>
      <c r="T89" s="174" t="str">
        <f t="shared" si="45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6"/>
        <v>https://d0f6bd738d7f1b3e5a7ca70fe4ff75f0.us-east-1.aws.found.io/app/kibana#/discover/Steve-Slow-Train-Analysis-(2080s-and-2083s)?_g=(refreshInterval:(display:Off,pause:!f,section:0,value:0),time:(from:'2017-11-13T12:17:07-0700',mode:absolute,to:'2017-11-13T15:02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204" t="str">
        <f>IF(AA89&lt;VLOOKUP(AG89,Variables!$AC$3:$AD$8,2,FALSE),"Y","N")</f>
        <v>N</v>
      </c>
      <c r="X89" s="204">
        <f t="shared" si="47"/>
        <v>1</v>
      </c>
      <c r="Y89" s="204">
        <f t="shared" si="48"/>
        <v>5.28E-2</v>
      </c>
      <c r="Z89" s="204">
        <f t="shared" si="49"/>
        <v>23.319500000000001</v>
      </c>
      <c r="AA89" s="204">
        <f t="shared" si="50"/>
        <v>23.2667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51"/>
        <v>177</v>
      </c>
      <c r="AE89" s="77" t="str">
        <f t="shared" si="52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89" s="74" t="str">
        <f t="shared" si="53"/>
        <v>"C:\Program Files (x86)\AstroGrep\AstroGrep.exe" /e /r /s /spath="%USERPROFILE%\AppData\Local\Temp\OnboardLogs" /stypes="app*4040*20171113*" /stext=" 21:.+((SYSTEM_STATE.+slice.+state.+changed )|(ment ac)|(multiple cpu faults)|(system.+state.+changed )|(\[timeout)|(PRM\|1\|D)|(kpr)|(kdp)|(train st.+moving)|(\|lc)|(penalty))"</v>
      </c>
      <c r="AG89" s="182" t="str">
        <f t="shared" si="54"/>
        <v>EC</v>
      </c>
      <c r="AH89" s="78" t="str">
        <f t="shared" si="55"/>
        <v>"%USERPROFILE%\Documents\GitHub\eaglep3\Utilities\RefineRTDCRunTimes.py" --tripid 177-13 --locoid 4040 --swversion DE.1.0.9.0 --startMP 204:528 --initTime 2017-11-13T13:17:07 --startdatetime 2017-11-13T13:18:58 --delay 56 --endMP 204:233195 --enddatetime 2017-11-13T14:02:58 --enforcementcount 0 &gt;&gt;%USERPROFILE%\Documents\GitHub\eaglep3-reporting\EC\2017-11-13-refined-times.txt</v>
      </c>
      <c r="AI89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{"issue":{"subject":"","project_id":79,"tracker_id":40,"status_id":1,"priority_id":2,"assigned_to_id":338,"start_date":"2017-11-13","description":"","custom_fields":[{"id":1,"name":"Subdivision","value":"EC"},{"id":4,"name":"Milepost","value":"23.3195"},{"id":17,"name":"Train ID","value":"177-13"},{"id":16,"name":"Locomotive ID","value":"4040"},{"id":130,"name":"Impact","value":""},{"id":150,"name":"Time of Event (Mountain Time)","value":"14:02:58"},{"id":151,"name":"Denver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57"/>
        <v>start /low /b %USERPROFILE%\Documents\GitHub\eaglep3\Utilities\DownloadLogsFromS3.py --loco 4040 --day 2017-11-13</v>
      </c>
      <c r="AN89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21:02:58"},{"id":29,"name":"Sharepoint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9"/>
        <v>https://d0f6bd738d7f1b3e5a7ca70fe4ff75f0.us-east-1.aws.found.io/app/kibana#/discover/Steve-Slow-Train-Analysis-(2080s-and-2083s)?_g=(refreshInterval:(display:Off,pause:!f,section:0,value:0),time:(from:'2017-11-13T12:17:07-0700',mode:absolute,to:'2017-11-13T15:02:58-0700'))&amp;_a=(columns:!('Message%20ID',Summary),filters:!(),index:'emp_*',interval:auto,query:(query_string:(analyze_wildcard:!t,query:'%22rtdc.l.rtdc.4040%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774</v>
      </c>
      <c r="B90" s="7">
        <v>4039</v>
      </c>
      <c r="C90" s="21" t="s">
        <v>192</v>
      </c>
      <c r="D90" s="21" t="s">
        <v>932</v>
      </c>
      <c r="E90" s="13">
        <v>43052.589363425926</v>
      </c>
      <c r="F90" s="13">
        <v>43052.591898148145</v>
      </c>
      <c r="G90" s="7">
        <v>86</v>
      </c>
      <c r="H90" s="21" t="s">
        <v>933</v>
      </c>
      <c r="I90" s="13">
        <v>43052.620879629627</v>
      </c>
      <c r="J90" s="7">
        <v>0</v>
      </c>
      <c r="K90" s="89" t="str">
        <f t="shared" si="41"/>
        <v>4039/4040</v>
      </c>
      <c r="L90" s="185" t="str">
        <f>VLOOKUP(A90,'Trips&amp;Operators'!$C$1:$G$99911,5,FALSE)</f>
        <v>STEWART MICHAEL</v>
      </c>
      <c r="M90" s="6">
        <f t="shared" si="42"/>
        <v>2.8981481482333038E-2</v>
      </c>
      <c r="N90" s="7">
        <f t="shared" si="43"/>
        <v>41.733333334559575</v>
      </c>
      <c r="O90" s="7"/>
      <c r="P90" s="7"/>
      <c r="Q90" s="22"/>
      <c r="R90" s="174"/>
      <c r="S90" s="221">
        <f t="shared" si="44"/>
        <v>1</v>
      </c>
      <c r="T90" s="174" t="str">
        <f t="shared" si="45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6"/>
        <v>https://d0f6bd738d7f1b3e5a7ca70fe4ff75f0.us-east-1.aws.found.io/app/kibana#/discover/Steve-Slow-Train-Analysis-(2080s-and-2083s)?_g=(refreshInterval:(display:Off,pause:!f,section:0,value:0),time:(from:'2017-11-13T13:08:41-0700',mode:absolute,to:'2017-11-13T15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204" t="str">
        <f>IF(AA90&lt;VLOOKUP(AG90,Variables!$AC$3:$AD$8,2,FALSE),"Y","N")</f>
        <v>N</v>
      </c>
      <c r="X90" s="204">
        <f t="shared" si="47"/>
        <v>1</v>
      </c>
      <c r="Y90" s="204">
        <f t="shared" si="48"/>
        <v>23.287299999999998</v>
      </c>
      <c r="Z90" s="204">
        <f t="shared" si="49"/>
        <v>2.3800000000000002E-2</v>
      </c>
      <c r="AA90" s="204">
        <f t="shared" si="50"/>
        <v>23.263499999999997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51"/>
        <v>178</v>
      </c>
      <c r="AE90" s="77" t="str">
        <f t="shared" si="52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90" s="74" t="str">
        <f t="shared" si="53"/>
        <v>"C:\Program Files (x86)\AstroGrep\AstroGrep.exe" /e /r /s /spath="%USERPROFILE%\AppData\Local\Temp\OnboardLogs" /stypes="app*4039*20171113*" /stext=" 21:.+((SYSTEM_STATE.+slice.+state.+changed )|(ment ac)|(multiple cpu faults)|(system.+state.+changed )|(\[timeout)|(PRM\|1\|D)|(kpr)|(kdp)|(train st.+moving)|(\|lc)|(penalty))"</v>
      </c>
      <c r="AG90" s="182" t="str">
        <f t="shared" si="54"/>
        <v>EC</v>
      </c>
      <c r="AH90" s="78" t="str">
        <f t="shared" si="55"/>
        <v>"%USERPROFILE%\Documents\GitHub\eaglep3\Utilities\RefineRTDCRunTimes.py" --tripid 178-13 --locoid 4039 --swversion DE.1.0.9.0 --startMP 204:232873 --initTime 2017-11-13T14:08:41 --startdatetime 2017-11-13T14:12:20 --delay 86 --endMP 204:238 --enddatetime 2017-11-13T14:54:04 --enforcementcount 0 &gt;&gt;%USERPROFILE%\Documents\GitHub\eaglep3-reporting\EC\2017-11-13-refined-times.txt</v>
      </c>
      <c r="AI90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{"issue":{"subject":"","project_id":79,"tracker_id":40,"status_id":1,"priority_id":2,"assigned_to_id":338,"start_date":"2017-11-13","description":"","custom_fields":[{"id":1,"name":"Subdivision","value":"EC"},{"id":4,"name":"Milepost","value":"0.0238"},{"id":17,"name":"Train ID","value":"178-13"},{"id":16,"name":"Locomotive ID","value":"4039"},{"id":130,"name":"Impact","value":""},{"id":150,"name":"Time of Event (Mountain Time)","value":"14:54:04"},{"id":151,"name":"Denver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57"/>
        <v>start /low /b %USERPROFILE%\Documents\GitHub\eaglep3\Utilities\DownloadLogsFromS3.py --loco 4039 --day 2017-11-13</v>
      </c>
      <c r="AN90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9"/>
        <v>https://d0f6bd738d7f1b3e5a7ca70fe4ff75f0.us-east-1.aws.found.io/app/kibana#/discover/Steve-Slow-Train-Analysis-(2080s-and-2083s)?_g=(refreshInterval:(display:Off,pause:!f,section:0,value:0),time:(from:'2017-11-13T13:08:41-0700',mode:absolute,to:'2017-11-13T15:54:04-0700'))&amp;_a=(columns:!('Message%20ID',Summary),filters:!(),index:'emp_*',interval:auto,query:(query_string:(analyze_wildcard:!t,query:'%22rtdc.l.rtdc.4039%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646</v>
      </c>
      <c r="B91" s="7">
        <v>4012</v>
      </c>
      <c r="C91" s="21" t="s">
        <v>192</v>
      </c>
      <c r="D91" s="21" t="s">
        <v>934</v>
      </c>
      <c r="E91" s="13">
        <v>43052.565601851849</v>
      </c>
      <c r="F91" s="13">
        <v>43052.567037037035</v>
      </c>
      <c r="G91" s="7">
        <v>51</v>
      </c>
      <c r="H91" s="21" t="s">
        <v>935</v>
      </c>
      <c r="I91" s="13">
        <v>43052.598136574074</v>
      </c>
      <c r="J91" s="7">
        <v>0</v>
      </c>
      <c r="K91" s="89" t="str">
        <f t="shared" si="41"/>
        <v>4011/4012</v>
      </c>
      <c r="L91" s="185" t="str">
        <f>VLOOKUP(A91,'Trips&amp;Operators'!$C$1:$G$99911,5,FALSE)</f>
        <v>LEVERE CRAIG</v>
      </c>
      <c r="M91" s="6">
        <f t="shared" si="42"/>
        <v>3.1099537038244307E-2</v>
      </c>
      <c r="N91" s="7">
        <f t="shared" si="43"/>
        <v>44.783333335071802</v>
      </c>
      <c r="O91" s="7"/>
      <c r="P91" s="7"/>
      <c r="Q91" s="22"/>
      <c r="R91" s="174"/>
      <c r="S91" s="221">
        <f t="shared" si="44"/>
        <v>1</v>
      </c>
      <c r="T91" s="174" t="str">
        <f t="shared" si="45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6"/>
        <v>https://d0f6bd738d7f1b3e5a7ca70fe4ff75f0.us-east-1.aws.found.io/app/kibana#/discover/Steve-Slow-Train-Analysis-(2080s-and-2083s)?_g=(refreshInterval:(display:Off,pause:!f,section:0,value:0),time:(from:'2017-11-13T12:34:28-0700',mode:absolute,to:'2017-11-13T15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204" t="str">
        <f>IF(AA91&lt;VLOOKUP(AG91,Variables!$AC$3:$AD$8,2,FALSE),"Y","N")</f>
        <v>N</v>
      </c>
      <c r="X91" s="204">
        <f t="shared" si="47"/>
        <v>1</v>
      </c>
      <c r="Y91" s="204">
        <f t="shared" si="48"/>
        <v>5.5899999999999998E-2</v>
      </c>
      <c r="Z91" s="204">
        <f t="shared" si="49"/>
        <v>23.3215</v>
      </c>
      <c r="AA91" s="204">
        <f t="shared" si="50"/>
        <v>23.265599999999999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51"/>
        <v>179</v>
      </c>
      <c r="AE91" s="77" t="str">
        <f t="shared" si="52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91" s="74" t="str">
        <f t="shared" si="53"/>
        <v>"C:\Program Files (x86)\AstroGrep\AstroGrep.exe" /e /r /s /spath="%USERPROFILE%\AppData\Local\Temp\OnboardLogs" /stypes="app*4012*20171113*" /stext=" 21:.+((SYSTEM_STATE.+slice.+state.+changed )|(ment ac)|(multiple cpu faults)|(system.+state.+changed )|(\[timeout)|(PRM\|1\|D)|(kpr)|(kdp)|(train st.+moving)|(\|lc)|(penalty))"</v>
      </c>
      <c r="AG91" s="182" t="str">
        <f t="shared" si="54"/>
        <v>EC</v>
      </c>
      <c r="AH91" s="78" t="str">
        <f t="shared" si="55"/>
        <v>"%USERPROFILE%\Documents\GitHub\eaglep3\Utilities\RefineRTDCRunTimes.py" --tripid 179-13 --locoid 4012 --swversion DE.1.0.9.0 --startMP 204:559 --initTime 2017-11-13T13:34:28 --startdatetime 2017-11-13T13:36:32 --delay 51 --endMP 204:233215 --enddatetime 2017-11-13T14:21:19 --enforcementcount 0 &gt;&gt;%USERPROFILE%\Documents\GitHub\eaglep3-reporting\EC\2017-11-13-refined-times.txt</v>
      </c>
      <c r="AI9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{"issue":{"subject":"","project_id":79,"tracker_id":40,"status_id":1,"priority_id":2,"assigned_to_id":338,"start_date":"2017-11-13","description":"","custom_fields":[{"id":1,"name":"Subdivision","value":"EC"},{"id":4,"name":"Milepost","value":"23.3215"},{"id":17,"name":"Train ID","value":"179-13"},{"id":16,"name":"Locomotive ID","value":"4012"},{"id":130,"name":"Impact","value":""},{"id":150,"name":"Time of Event (Mountain Time)","value":"14:21:19"},{"id":151,"name":"Denver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57"/>
        <v>start /low /b %USERPROFILE%\Documents\GitHub\eaglep3\Utilities\DownloadLogsFromS3.py --loco 4012 --day 2017-11-13</v>
      </c>
      <c r="AN91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9"/>
        <v>https://d0f6bd738d7f1b3e5a7ca70fe4ff75f0.us-east-1.aws.found.io/app/kibana#/discover/Steve-Slow-Train-Analysis-(2080s-and-2083s)?_g=(refreshInterval:(display:Off,pause:!f,section:0,value:0),time:(from:'2017-11-13T12:34:28-0700',mode:absolute,to:'2017-11-13T15:21:19-0700'))&amp;_a=(columns:!('Message%20ID',Summary),filters:!(),index:'emp_*',interval:auto,query:(query_string:(analyze_wildcard:!t,query:'%22rtdc.l.rtdc.4012%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777</v>
      </c>
      <c r="B92" s="7">
        <v>4011</v>
      </c>
      <c r="C92" s="21" t="s">
        <v>192</v>
      </c>
      <c r="D92" s="21" t="s">
        <v>545</v>
      </c>
      <c r="E92" s="13">
        <v>43052.601087962961</v>
      </c>
      <c r="F92" s="13">
        <v>43052.604837962965</v>
      </c>
      <c r="G92" s="7">
        <v>58</v>
      </c>
      <c r="H92" s="21" t="s">
        <v>936</v>
      </c>
      <c r="I92" s="13">
        <v>43052.634918981479</v>
      </c>
      <c r="J92" s="7">
        <v>0</v>
      </c>
      <c r="K92" s="89" t="str">
        <f t="shared" si="41"/>
        <v>4011/4012</v>
      </c>
      <c r="L92" s="185" t="str">
        <f>VLOOKUP(A92,'Trips&amp;Operators'!$C$1:$G$99911,5,FALSE)</f>
        <v>LEVERE CRAIG</v>
      </c>
      <c r="M92" s="6">
        <f t="shared" si="42"/>
        <v>3.0081018514465541E-2</v>
      </c>
      <c r="N92" s="7">
        <f t="shared" si="43"/>
        <v>43.316666660830379</v>
      </c>
      <c r="O92" s="7"/>
      <c r="P92" s="7"/>
      <c r="Q92" s="22"/>
      <c r="R92" s="174"/>
      <c r="S92" s="221">
        <f t="shared" si="44"/>
        <v>1</v>
      </c>
      <c r="T92" s="174" t="str">
        <f t="shared" si="45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6"/>
        <v>https://d0f6bd738d7f1b3e5a7ca70fe4ff75f0.us-east-1.aws.found.io/app/kibana#/discover/Steve-Slow-Train-Analysis-(2080s-and-2083s)?_g=(refreshInterval:(display:Off,pause:!f,section:0,value:0),time:(from:'2017-11-13T13:25:34-0700',mode:absolute,to:'2017-11-13T16:14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204" t="str">
        <f>IF(AA92&lt;VLOOKUP(AG92,Variables!$AC$3:$AD$8,2,FALSE),"Y","N")</f>
        <v>N</v>
      </c>
      <c r="X92" s="204">
        <f t="shared" si="47"/>
        <v>1</v>
      </c>
      <c r="Y92" s="204">
        <f t="shared" si="48"/>
        <v>23.2898</v>
      </c>
      <c r="Z92" s="204">
        <f t="shared" si="49"/>
        <v>2.5100000000000001E-2</v>
      </c>
      <c r="AA92" s="204">
        <f t="shared" si="50"/>
        <v>23.264700000000001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51"/>
        <v>180</v>
      </c>
      <c r="AE92" s="77" t="str">
        <f t="shared" si="52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92" s="74" t="str">
        <f t="shared" si="53"/>
        <v>"C:\Program Files (x86)\AstroGrep\AstroGrep.exe" /e /r /s /spath="%USERPROFILE%\AppData\Local\Temp\OnboardLogs" /stypes="app*4011*20171113*" /stext=" 22:.+((SYSTEM_STATE.+slice.+state.+changed )|(ment ac)|(multiple cpu faults)|(system.+state.+changed )|(\[timeout)|(PRM\|1\|D)|(kpr)|(kdp)|(train st.+moving)|(\|lc)|(penalty))"</v>
      </c>
      <c r="AG92" s="182" t="str">
        <f t="shared" si="54"/>
        <v>EC</v>
      </c>
      <c r="AH92" s="78" t="str">
        <f t="shared" si="55"/>
        <v>"%USERPROFILE%\Documents\GitHub\eaglep3\Utilities\RefineRTDCRunTimes.py" --tripid 180-13 --locoid 4011 --swversion DE.1.0.9.0 --startMP 204:232898 --initTime 2017-11-13T14:25:34 --startdatetime 2017-11-13T14:30:58 --delay 58 --endMP 204:251 --enddatetime 2017-11-13T15:14:17 --enforcementcount 0 &gt;&gt;%USERPROFILE%\Documents\GitHub\eaglep3-reporting\EC\2017-11-13-refined-times.txt</v>
      </c>
      <c r="AI92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{"issue":{"subject":"","project_id":79,"tracker_id":40,"status_id":1,"priority_id":2,"assigned_to_id":338,"start_date":"2017-11-13","description":"","custom_fields":[{"id":1,"name":"Subdivision","value":"EC"},{"id":4,"name":"Milepost","value":"0.0251"},{"id":17,"name":"Train ID","value":"180-13"},{"id":16,"name":"Locomotive ID","value":"4011"},{"id":130,"name":"Impact","value":""},{"id":150,"name":"Time of Event (Mountain Time)","value":"15:14:17"},{"id":151,"name":"Denver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57"/>
        <v>start /low /b %USERPROFILE%\Documents\GitHub\eaglep3\Utilities\DownloadLogsFromS3.py --loco 4011 --day 2017-11-13</v>
      </c>
      <c r="AN92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22:14:17"},{"id":29,"name":"Sharepoint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9"/>
        <v>https://d0f6bd738d7f1b3e5a7ca70fe4ff75f0.us-east-1.aws.found.io/app/kibana#/discover/Steve-Slow-Train-Analysis-(2080s-and-2083s)?_g=(refreshInterval:(display:Off,pause:!f,section:0,value:0),time:(from:'2017-11-13T13:25:34-0700',mode:absolute,to:'2017-11-13T16:14:17-0700'))&amp;_a=(columns:!('Message%20ID',Summary),filters:!(),index:'emp_*',interval:auto,query:(query_string:(analyze_wildcard:!t,query:'%22rtdc.l.rtdc.4011%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770</v>
      </c>
      <c r="B93" s="7">
        <v>4060</v>
      </c>
      <c r="C93" s="21" t="s">
        <v>192</v>
      </c>
      <c r="D93" s="21" t="s">
        <v>937</v>
      </c>
      <c r="E93" s="13">
        <v>43052.572546296295</v>
      </c>
      <c r="F93" s="13">
        <v>43052.573877314811</v>
      </c>
      <c r="G93" s="7">
        <v>45</v>
      </c>
      <c r="H93" s="21" t="s">
        <v>938</v>
      </c>
      <c r="I93" s="13">
        <v>43052.605509259258</v>
      </c>
      <c r="J93" s="7">
        <v>0</v>
      </c>
      <c r="K93" s="89" t="str">
        <f t="shared" si="41"/>
        <v>4059/4060</v>
      </c>
      <c r="L93" s="185" t="str">
        <f>VLOOKUP(A93,'Trips&amp;Operators'!$C$1:$G$99911,5,FALSE)</f>
        <v>GUZMAN DANNY</v>
      </c>
      <c r="M93" s="6">
        <f t="shared" si="42"/>
        <v>3.1631944446417037E-2</v>
      </c>
      <c r="N93" s="7">
        <f t="shared" si="43"/>
        <v>45.550000002840534</v>
      </c>
      <c r="O93" s="7"/>
      <c r="P93" s="7"/>
      <c r="Q93" s="22"/>
      <c r="R93" s="174"/>
      <c r="S93" s="221">
        <f t="shared" si="44"/>
        <v>1</v>
      </c>
      <c r="T93" s="174" t="str">
        <f t="shared" si="45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6"/>
        <v>https://d0f6bd738d7f1b3e5a7ca70fe4ff75f0.us-east-1.aws.found.io/app/kibana#/discover/Steve-Slow-Train-Analysis-(2080s-and-2083s)?_g=(refreshInterval:(display:Off,pause:!f,section:0,value:0),time:(from:'2017-11-13T12:44:28-0700',mode:absolute,to:'2017-11-13T15:31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04" t="str">
        <f>IF(AA93&lt;VLOOKUP(AG93,Variables!$AC$3:$AD$8,2,FALSE),"Y","N")</f>
        <v>N</v>
      </c>
      <c r="X93" s="204">
        <f t="shared" si="47"/>
        <v>1</v>
      </c>
      <c r="Y93" s="204">
        <f t="shared" si="48"/>
        <v>5.79E-2</v>
      </c>
      <c r="Z93" s="204">
        <f t="shared" si="49"/>
        <v>23.317599999999999</v>
      </c>
      <c r="AA93" s="204">
        <f t="shared" si="50"/>
        <v>23.259699999999999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51"/>
        <v>181</v>
      </c>
      <c r="AE93" s="77" t="str">
        <f t="shared" si="52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93" s="74" t="str">
        <f t="shared" si="53"/>
        <v>"C:\Program Files (x86)\AstroGrep\AstroGrep.exe" /e /r /s /spath="%USERPROFILE%\AppData\Local\Temp\OnboardLogs" /stypes="app*4060*20171113*" /stext=" 21:.+((SYSTEM_STATE.+slice.+state.+changed )|(ment ac)|(multiple cpu faults)|(system.+state.+changed )|(\[timeout)|(PRM\|1\|D)|(kpr)|(kdp)|(train st.+moving)|(\|lc)|(penalty))"</v>
      </c>
      <c r="AG93" s="182" t="str">
        <f t="shared" si="54"/>
        <v>EC</v>
      </c>
      <c r="AH93" s="78" t="str">
        <f t="shared" si="55"/>
        <v>"%USERPROFILE%\Documents\GitHub\eaglep3\Utilities\RefineRTDCRunTimes.py" --tripid 181-13 --locoid 4060 --swversion DE.1.0.9.0 --startMP 204:579 --initTime 2017-11-13T13:44:28 --startdatetime 2017-11-13T13:46:23 --delay 45 --endMP 204:233176 --enddatetime 2017-11-13T14:31:56 --enforcementcount 0 &gt;&gt;%USERPROFILE%\Documents\GitHub\eaglep3-reporting\EC\2017-11-13-refined-times.txt</v>
      </c>
      <c r="AI93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{"issue":{"subject":"","project_id":79,"tracker_id":40,"status_id":1,"priority_id":2,"assigned_to_id":338,"start_date":"2017-11-13","description":"","custom_fields":[{"id":1,"name":"Subdivision","value":"EC"},{"id":4,"name":"Milepost","value":"23.3176"},{"id":17,"name":"Train ID","value":"181-13"},{"id":16,"name":"Locomotive ID","value":"4060"},{"id":130,"name":"Impact","value":""},{"id":150,"name":"Time of Event (Mountain Time)","value":"14:31:56"},{"id":151,"name":"Denver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57"/>
        <v>start /low /b %USERPROFILE%\Documents\GitHub\eaglep3\Utilities\DownloadLogsFromS3.py --loco 4060 --day 2017-11-13</v>
      </c>
      <c r="AN93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21:31:56"},{"id":29,"name":"Sharepoint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9"/>
        <v>https://d0f6bd738d7f1b3e5a7ca70fe4ff75f0.us-east-1.aws.found.io/app/kibana#/discover/Steve-Slow-Train-Analysis-(2080s-and-2083s)?_g=(refreshInterval:(display:Off,pause:!f,section:0,value:0),time:(from:'2017-11-13T12:44:28-0700',mode:absolute,to:'2017-11-13T15:31:56-0700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779</v>
      </c>
      <c r="B94" s="7">
        <v>4059</v>
      </c>
      <c r="C94" s="21" t="s">
        <v>192</v>
      </c>
      <c r="D94" s="21" t="s">
        <v>939</v>
      </c>
      <c r="E94" s="13">
        <v>43052.60728009259</v>
      </c>
      <c r="F94" s="13">
        <v>43052.612673611111</v>
      </c>
      <c r="G94" s="7">
        <v>54</v>
      </c>
      <c r="H94" s="21" t="s">
        <v>940</v>
      </c>
      <c r="I94" s="13">
        <v>43052.639745370368</v>
      </c>
      <c r="J94" s="7">
        <v>0</v>
      </c>
      <c r="K94" s="89" t="str">
        <f t="shared" si="41"/>
        <v>4059/4060</v>
      </c>
      <c r="L94" s="185" t="str">
        <f>VLOOKUP(A94,'Trips&amp;Operators'!$C$1:$G$99911,5,FALSE)</f>
        <v>GUZMAN DANNY</v>
      </c>
      <c r="M94" s="6">
        <f t="shared" si="42"/>
        <v>2.7071759257523809E-2</v>
      </c>
      <c r="N94" s="7">
        <f t="shared" si="43"/>
        <v>38.983333330834284</v>
      </c>
      <c r="O94" s="7"/>
      <c r="P94" s="7"/>
      <c r="Q94" s="22"/>
      <c r="R94" s="174"/>
      <c r="S94" s="221">
        <f t="shared" si="44"/>
        <v>1</v>
      </c>
      <c r="T94" s="174" t="str">
        <f t="shared" si="45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6"/>
        <v>https://d0f6bd738d7f1b3e5a7ca70fe4ff75f0.us-east-1.aws.found.io/app/kibana#/discover/Steve-Slow-Train-Analysis-(2080s-and-2083s)?_g=(refreshInterval:(display:Off,pause:!f,section:0,value:0),time:(from:'2017-11-13T13:34:29-0700',mode:absolute,to:'2017-11-13T16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04" t="str">
        <f>IF(AA94&lt;VLOOKUP(AG94,Variables!$AC$3:$AD$8,2,FALSE),"Y","N")</f>
        <v>N</v>
      </c>
      <c r="X94" s="204">
        <f t="shared" si="47"/>
        <v>1</v>
      </c>
      <c r="Y94" s="204">
        <f t="shared" si="48"/>
        <v>23.285699999999999</v>
      </c>
      <c r="Z94" s="204">
        <f t="shared" si="49"/>
        <v>2.69E-2</v>
      </c>
      <c r="AA94" s="204">
        <f t="shared" si="50"/>
        <v>23.258799999999997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51"/>
        <v>182</v>
      </c>
      <c r="AE94" s="77" t="str">
        <f t="shared" si="52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94" s="74" t="str">
        <f t="shared" si="53"/>
        <v>"C:\Program Files (x86)\AstroGrep\AstroGrep.exe" /e /r /s /spath="%USERPROFILE%\AppData\Local\Temp\OnboardLogs" /stypes="app*4059*20171113*" /stext=" 22:.+((SYSTEM_STATE.+slice.+state.+changed )|(ment ac)|(multiple cpu faults)|(system.+state.+changed )|(\[timeout)|(PRM\|1\|D)|(kpr)|(kdp)|(train st.+moving)|(\|lc)|(penalty))"</v>
      </c>
      <c r="AG94" s="182" t="str">
        <f t="shared" si="54"/>
        <v>EC</v>
      </c>
      <c r="AH94" s="78" t="str">
        <f t="shared" si="55"/>
        <v>"%USERPROFILE%\Documents\GitHub\eaglep3\Utilities\RefineRTDCRunTimes.py" --tripid 182-13 --locoid 4059 --swversion DE.1.0.9.0 --startMP 204:232857 --initTime 2017-11-13T14:34:29 --startdatetime 2017-11-13T14:42:15 --delay 54 --endMP 204:269 --enddatetime 2017-11-13T15:21:14 --enforcementcount 0 &gt;&gt;%USERPROFILE%\Documents\GitHub\eaglep3-reporting\EC\2017-11-13-refined-times.txt</v>
      </c>
      <c r="AI94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{"issue":{"subject":"","project_id":79,"tracker_id":40,"status_id":1,"priority_id":2,"assigned_to_id":338,"start_date":"2017-11-13","description":"","custom_fields":[{"id":1,"name":"Subdivision","value":"EC"},{"id":4,"name":"Milepost","value":"0.0269"},{"id":17,"name":"Train ID","value":"182-13"},{"id":16,"name":"Locomotive ID","value":"4059"},{"id":130,"name":"Impact","value":""},{"id":150,"name":"Time of Event (Mountain Time)","value":"15:21:14"},{"id":151,"name":"Denver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57"/>
        <v>start /low /b %USERPROFILE%\Documents\GitHub\eaglep3\Utilities\DownloadLogsFromS3.py --loco 4059 --day 2017-11-13</v>
      </c>
      <c r="AN94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9"/>
        <v>https://d0f6bd738d7f1b3e5a7ca70fe4ff75f0.us-east-1.aws.found.io/app/kibana#/discover/Steve-Slow-Train-Analysis-(2080s-and-2083s)?_g=(refreshInterval:(display:Off,pause:!f,section:0,value:0),time:(from:'2017-11-13T13:34:29-0700',mode:absolute,to:'2017-11-13T16:21:14-0700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773</v>
      </c>
      <c r="B95" s="7">
        <v>4020</v>
      </c>
      <c r="C95" s="21" t="s">
        <v>192</v>
      </c>
      <c r="D95" s="21" t="s">
        <v>461</v>
      </c>
      <c r="E95" s="13">
        <v>43052.583877314813</v>
      </c>
      <c r="F95" s="13">
        <v>43052.585451388892</v>
      </c>
      <c r="G95" s="7">
        <v>57</v>
      </c>
      <c r="H95" s="21" t="s">
        <v>941</v>
      </c>
      <c r="I95" s="13">
        <v>43052.611956018518</v>
      </c>
      <c r="J95" s="7">
        <v>0</v>
      </c>
      <c r="K95" s="89" t="str">
        <f t="shared" si="41"/>
        <v>4019/4020</v>
      </c>
      <c r="L95" s="185" t="str">
        <f>VLOOKUP(A95,'Trips&amp;Operators'!$C$1:$G$99911,5,FALSE)</f>
        <v>SAFIEF AEIMEN</v>
      </c>
      <c r="M95" s="6">
        <f t="shared" si="42"/>
        <v>2.6504629626288079E-2</v>
      </c>
      <c r="N95" s="7">
        <f t="shared" si="43"/>
        <v>38.166666661854833</v>
      </c>
      <c r="O95" s="7"/>
      <c r="P95" s="7"/>
      <c r="Q95" s="22"/>
      <c r="R95" s="174"/>
      <c r="S95" s="221">
        <f t="shared" si="44"/>
        <v>1</v>
      </c>
      <c r="T95" s="174" t="str">
        <f t="shared" si="45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6"/>
        <v>https://d0f6bd738d7f1b3e5a7ca70fe4ff75f0.us-east-1.aws.found.io/app/kibana#/discover/Steve-Slow-Train-Analysis-(2080s-and-2083s)?_g=(refreshInterval:(display:Off,pause:!f,section:0,value:0),time:(from:'2017-11-13T13:00:47-0700',mode:absolute,to:'2017-11-13T15:41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204" t="str">
        <f>IF(AA95&lt;VLOOKUP(AG95,Variables!$AC$3:$AD$8,2,FALSE),"Y","N")</f>
        <v>N</v>
      </c>
      <c r="X95" s="204">
        <f t="shared" si="47"/>
        <v>1</v>
      </c>
      <c r="Y95" s="204">
        <f t="shared" si="48"/>
        <v>5.3699999999999998E-2</v>
      </c>
      <c r="Z95" s="204">
        <f t="shared" si="49"/>
        <v>23.323599999999999</v>
      </c>
      <c r="AA95" s="204">
        <f t="shared" si="50"/>
        <v>23.2699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51"/>
        <v>183</v>
      </c>
      <c r="AE95" s="77" t="str">
        <f t="shared" si="52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95" s="74" t="str">
        <f t="shared" si="53"/>
        <v>"C:\Program Files (x86)\AstroGrep\AstroGrep.exe" /e /r /s /spath="%USERPROFILE%\AppData\Local\Temp\OnboardLogs" /stypes="app*4020*20171113*" /stext=" 21:.+((SYSTEM_STATE.+slice.+state.+changed )|(ment ac)|(multiple cpu faults)|(system.+state.+changed )|(\[timeout)|(PRM\|1\|D)|(kpr)|(kdp)|(train st.+moving)|(\|lc)|(penalty))"</v>
      </c>
      <c r="AG95" s="182" t="str">
        <f t="shared" si="54"/>
        <v>EC</v>
      </c>
      <c r="AH95" s="78" t="str">
        <f t="shared" si="55"/>
        <v>"%USERPROFILE%\Documents\GitHub\eaglep3\Utilities\RefineRTDCRunTimes.py" --tripid 183-13 --locoid 4020 --swversion DE.1.0.9.0 --startMP 204:537 --initTime 2017-11-13T14:00:47 --startdatetime 2017-11-13T14:03:03 --delay 57 --endMP 204:233236 --enddatetime 2017-11-13T14:41:13 --enforcementcount 0 &gt;&gt;%USERPROFILE%\Documents\GitHub\eaglep3-reporting\EC\2017-11-13-refined-times.txt</v>
      </c>
      <c r="AI95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{"issue":{"subject":"","project_id":79,"tracker_id":40,"status_id":1,"priority_id":2,"assigned_to_id":338,"start_date":"2017-11-13","description":"","custom_fields":[{"id":1,"name":"Subdivision","value":"EC"},{"id":4,"name":"Milepost","value":"23.3236"},{"id":17,"name":"Train ID","value":"183-13"},{"id":16,"name":"Locomotive ID","value":"4020"},{"id":130,"name":"Impact","value":""},{"id":150,"name":"Time of Event (Mountain Time)","value":"14:41:13"},{"id":151,"name":"Denver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57"/>
        <v>start /low /b %USERPROFILE%\Documents\GitHub\eaglep3\Utilities\DownloadLogsFromS3.py --loco 4020 --day 2017-11-13</v>
      </c>
      <c r="AN95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9"/>
        <v>https://d0f6bd738d7f1b3e5a7ca70fe4ff75f0.us-east-1.aws.found.io/app/kibana#/discover/Steve-Slow-Train-Analysis-(2080s-and-2083s)?_g=(refreshInterval:(display:Off,pause:!f,section:0,value:0),time:(from:'2017-11-13T13:00:47-0700',mode:absolute,to:'2017-11-13T15:41:13-0700'))&amp;_a=(columns:!('Message%20ID',Summary),filters:!(),index:'emp_*',interval:auto,query:(query_string:(analyze_wildcard:!t,query:'%22rtdc.l.rtdc.4020%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781</v>
      </c>
      <c r="B96" s="7">
        <v>4019</v>
      </c>
      <c r="C96" s="21" t="s">
        <v>192</v>
      </c>
      <c r="D96" s="21" t="s">
        <v>942</v>
      </c>
      <c r="E96" s="13">
        <v>43052.619444444441</v>
      </c>
      <c r="F96" s="13">
        <v>43052.623784722222</v>
      </c>
      <c r="G96" s="7">
        <v>75</v>
      </c>
      <c r="H96" s="21" t="s">
        <v>879</v>
      </c>
      <c r="I96" s="13">
        <v>43052.651550925926</v>
      </c>
      <c r="J96" s="7">
        <v>0</v>
      </c>
      <c r="K96" s="89" t="str">
        <f t="shared" si="41"/>
        <v>4019/4020</v>
      </c>
      <c r="L96" s="185" t="str">
        <f>VLOOKUP(A96,'Trips&amp;Operators'!$C$1:$G$99911,5,FALSE)</f>
        <v>SAFIEF AEIMEN</v>
      </c>
      <c r="M96" s="6">
        <f t="shared" si="42"/>
        <v>2.7766203704231884E-2</v>
      </c>
      <c r="N96" s="7">
        <f t="shared" si="43"/>
        <v>39.983333334093913</v>
      </c>
      <c r="O96" s="7"/>
      <c r="P96" s="7"/>
      <c r="Q96" s="22"/>
      <c r="R96" s="174"/>
      <c r="S96" s="221">
        <f t="shared" si="44"/>
        <v>1</v>
      </c>
      <c r="T96" s="174" t="str">
        <f t="shared" si="45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6"/>
        <v>https://d0f6bd738d7f1b3e5a7ca70fe4ff75f0.us-east-1.aws.found.io/app/kibana#/discover/Steve-Slow-Train-Analysis-(2080s-and-2083s)?_g=(refreshInterval:(display:Off,pause:!f,section:0,value:0),time:(from:'2017-11-13T13:52:00-0700',mode:absolute,to:'2017-11-13T16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204" t="str">
        <f>IF(AA96&lt;VLOOKUP(AG96,Variables!$AC$3:$AD$8,2,FALSE),"Y","N")</f>
        <v>N</v>
      </c>
      <c r="X96" s="204">
        <f t="shared" si="47"/>
        <v>1</v>
      </c>
      <c r="Y96" s="204">
        <f t="shared" si="48"/>
        <v>23.290800000000001</v>
      </c>
      <c r="Z96" s="204">
        <f t="shared" si="49"/>
        <v>2.1999999999999999E-2</v>
      </c>
      <c r="AA96" s="204">
        <f t="shared" si="50"/>
        <v>23.268800000000002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51"/>
        <v>184</v>
      </c>
      <c r="AE96" s="77" t="str">
        <f t="shared" si="52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96" s="74" t="str">
        <f t="shared" si="53"/>
        <v>"C:\Program Files (x86)\AstroGrep\AstroGrep.exe" /e /r /s /spath="%USERPROFILE%\AppData\Local\Temp\OnboardLogs" /stypes="app*4019*20171113*" /stext=" 22:.+((SYSTEM_STATE.+slice.+state.+changed )|(ment ac)|(multiple cpu faults)|(system.+state.+changed )|(\[timeout)|(PRM\|1\|D)|(kpr)|(kdp)|(train st.+moving)|(\|lc)|(penalty))"</v>
      </c>
      <c r="AG96" s="182" t="str">
        <f t="shared" si="54"/>
        <v>EC</v>
      </c>
      <c r="AH96" s="78" t="str">
        <f t="shared" si="55"/>
        <v>"%USERPROFILE%\Documents\GitHub\eaglep3\Utilities\RefineRTDCRunTimes.py" --tripid 184-13 --locoid 4019 --swversion DE.1.0.9.0 --startMP 204:232908 --initTime 2017-11-13T14:52:00 --startdatetime 2017-11-13T14:58:15 --delay 75 --endMP 204:220 --enddatetime 2017-11-13T15:38:14 --enforcementcount 0 &gt;&gt;%USERPROFILE%\Documents\GitHub\eaglep3-reporting\EC\2017-11-13-refined-times.txt</v>
      </c>
      <c r="AI96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{"issue":{"subject":"","project_id":79,"tracker_id":40,"status_id":1,"priority_id":2,"assigned_to_id":338,"start_date":"2017-11-13","description":"","custom_fields":[{"id":1,"name":"Subdivision","value":"EC"},{"id":4,"name":"Milepost","value":"0.022"},{"id":17,"name":"Train ID","value":"184-13"},{"id":16,"name":"Locomotive ID","value":"4019"},{"id":130,"name":"Impact","value":""},{"id":150,"name":"Time of Event (Mountain Time)","value":"15:38:14"},{"id":151,"name":"Denver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57"/>
        <v>start /low /b %USERPROFILE%\Documents\GitHub\eaglep3\Utilities\DownloadLogsFromS3.py --loco 4019 --day 2017-11-13</v>
      </c>
      <c r="AN96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9"/>
        <v>https://d0f6bd738d7f1b3e5a7ca70fe4ff75f0.us-east-1.aws.found.io/app/kibana#/discover/Steve-Slow-Train-Analysis-(2080s-and-2083s)?_g=(refreshInterval:(display:Off,pause:!f,section:0,value:0),time:(from:'2017-11-13T13:52:00-0700',mode:absolute,to:'2017-11-13T16:38:14-0700'))&amp;_a=(columns:!('Message%20ID',Summary),filters:!(),index:'emp_*',interval:auto,query:(query_string:(analyze_wildcard:!t,query:'%22rtdc.l.rtdc.4019%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775</v>
      </c>
      <c r="B97" s="7">
        <v>4028</v>
      </c>
      <c r="C97" s="21" t="s">
        <v>192</v>
      </c>
      <c r="D97" s="21" t="s">
        <v>943</v>
      </c>
      <c r="E97" s="13">
        <v>43052.597210648149</v>
      </c>
      <c r="F97" s="13">
        <v>43052.599074074074</v>
      </c>
      <c r="G97" s="7">
        <v>60</v>
      </c>
      <c r="H97" s="21" t="s">
        <v>587</v>
      </c>
      <c r="I97" s="13">
        <v>43052.626875000002</v>
      </c>
      <c r="J97" s="7">
        <v>0</v>
      </c>
      <c r="K97" s="89" t="str">
        <f t="shared" si="41"/>
        <v>4027/4028</v>
      </c>
      <c r="L97" s="185" t="str">
        <f>VLOOKUP(A97,'Trips&amp;Operators'!$C$1:$G$99911,5,FALSE)</f>
        <v>BADERTSCHER DIANE</v>
      </c>
      <c r="M97" s="6">
        <f t="shared" si="42"/>
        <v>2.7800925927294884E-2</v>
      </c>
      <c r="N97" s="7">
        <f t="shared" si="43"/>
        <v>40.033333335304633</v>
      </c>
      <c r="O97" s="7"/>
      <c r="P97" s="7"/>
      <c r="Q97" s="22"/>
      <c r="R97" s="174"/>
      <c r="S97" s="221">
        <f t="shared" si="44"/>
        <v>1</v>
      </c>
      <c r="T97" s="174" t="str">
        <f t="shared" si="45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6"/>
        <v>https://d0f6bd738d7f1b3e5a7ca70fe4ff75f0.us-east-1.aws.found.io/app/kibana#/discover/Steve-Slow-Train-Analysis-(2080s-and-2083s)?_g=(refreshInterval:(display:Off,pause:!f,section:0,value:0),time:(from:'2017-11-13T13:19:59-0700',mode:absolute,to:'2017-11-13T16:02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204" t="str">
        <f>IF(AA97&lt;VLOOKUP(AG97,Variables!$AC$3:$AD$8,2,FALSE),"Y","N")</f>
        <v>N</v>
      </c>
      <c r="X97" s="204">
        <f t="shared" si="47"/>
        <v>1</v>
      </c>
      <c r="Y97" s="204">
        <f t="shared" si="48"/>
        <v>5.8200000000000002E-2</v>
      </c>
      <c r="Z97" s="204">
        <f t="shared" si="49"/>
        <v>23.322600000000001</v>
      </c>
      <c r="AA97" s="204">
        <f t="shared" si="50"/>
        <v>23.264400000000002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51"/>
        <v>185</v>
      </c>
      <c r="AE97" s="77" t="str">
        <f t="shared" si="52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97" s="74" t="str">
        <f t="shared" si="53"/>
        <v>"C:\Program Files (x86)\AstroGrep\AstroGrep.exe" /e /r /s /spath="%USERPROFILE%\AppData\Local\Temp\OnboardLogs" /stypes="app*4028*20171113*" /stext=" 22:.+((SYSTEM_STATE.+slice.+state.+changed )|(ment ac)|(multiple cpu faults)|(system.+state.+changed )|(\[timeout)|(PRM\|1\|D)|(kpr)|(kdp)|(train st.+moving)|(\|lc)|(penalty))"</v>
      </c>
      <c r="AG97" s="182" t="str">
        <f t="shared" si="54"/>
        <v>EC</v>
      </c>
      <c r="AH97" s="78" t="str">
        <f t="shared" si="55"/>
        <v>"%USERPROFILE%\Documents\GitHub\eaglep3\Utilities\RefineRTDCRunTimes.py" --tripid 185-13 --locoid 4028 --swversion DE.1.0.9.0 --startMP 204:582 --initTime 2017-11-13T14:19:59 --startdatetime 2017-11-13T14:22:40 --delay 60 --endMP 204:233226 --enddatetime 2017-11-13T15:02:42 --enforcementcount 0 &gt;&gt;%USERPROFILE%\Documents\GitHub\eaglep3-reporting\EC\2017-11-13-refined-times.txt</v>
      </c>
      <c r="AI97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{"issue":{"subject":"","project_id":79,"tracker_id":40,"status_id":1,"priority_id":2,"assigned_to_id":338,"start_date":"2017-11-13","description":"","custom_fields":[{"id":1,"name":"Subdivision","value":"EC"},{"id":4,"name":"Milepost","value":"23.3226"},{"id":17,"name":"Train ID","value":"185-13"},{"id":16,"name":"Locomotive ID","value":"4028"},{"id":130,"name":"Impact","value":""},{"id":150,"name":"Time of Event (Mountain Time)","value":"15:02:42"},{"id":151,"name":"Denver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57"/>
        <v>start /low /b %USERPROFILE%\Documents\GitHub\eaglep3\Utilities\DownloadLogsFromS3.py --loco 4028 --day 2017-11-13</v>
      </c>
      <c r="AN97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22:02:42"},{"id":29,"name":"Sharepoint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9"/>
        <v>https://d0f6bd738d7f1b3e5a7ca70fe4ff75f0.us-east-1.aws.found.io/app/kibana#/discover/Steve-Slow-Train-Analysis-(2080s-and-2083s)?_g=(refreshInterval:(display:Off,pause:!f,section:0,value:0),time:(from:'2017-11-13T13:19:59-0700',mode:absolute,to:'2017-11-13T16:02:42-0700'))&amp;_a=(columns:!('Message%20ID',Summary),filters:!(),index:'emp_*',interval:auto,query:(query_string:(analyze_wildcard:!t,query:'%22rtdc.l.rtdc.4028%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647</v>
      </c>
      <c r="B98" s="7">
        <v>4027</v>
      </c>
      <c r="C98" s="21" t="s">
        <v>192</v>
      </c>
      <c r="D98" s="21" t="s">
        <v>923</v>
      </c>
      <c r="E98" s="13">
        <v>43052.628888888888</v>
      </c>
      <c r="F98" s="13">
        <v>43052.63349537037</v>
      </c>
      <c r="G98" s="7">
        <v>79</v>
      </c>
      <c r="H98" s="21" t="s">
        <v>617</v>
      </c>
      <c r="I98" s="13">
        <v>43052.663240740738</v>
      </c>
      <c r="J98" s="7">
        <v>0</v>
      </c>
      <c r="K98" s="89" t="str">
        <f t="shared" si="41"/>
        <v>4027/4028</v>
      </c>
      <c r="L98" s="185" t="str">
        <f>VLOOKUP(A98,'Trips&amp;Operators'!$C$1:$G$99911,5,FALSE)</f>
        <v>BADERTSCHER DIANE</v>
      </c>
      <c r="M98" s="6">
        <f t="shared" si="42"/>
        <v>2.9745370367891155E-2</v>
      </c>
      <c r="N98" s="7">
        <f t="shared" si="43"/>
        <v>42.833333329763263</v>
      </c>
      <c r="O98" s="7"/>
      <c r="P98" s="7"/>
      <c r="Q98" s="22"/>
      <c r="R98" s="174"/>
      <c r="S98" s="221">
        <f t="shared" si="44"/>
        <v>1</v>
      </c>
      <c r="T98" s="174" t="str">
        <f t="shared" si="45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6"/>
        <v>https://d0f6bd738d7f1b3e5a7ca70fe4ff75f0.us-east-1.aws.found.io/app/kibana#/discover/Steve-Slow-Train-Analysis-(2080s-and-2083s)?_g=(refreshInterval:(display:Off,pause:!f,section:0,value:0),time:(from:'2017-11-13T14:05:36-0700',mode:absolute,to:'2017-11-13T16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204" t="str">
        <f>IF(AA98&lt;VLOOKUP(AG98,Variables!$AC$3:$AD$8,2,FALSE),"Y","N")</f>
        <v>N</v>
      </c>
      <c r="X98" s="204">
        <f t="shared" si="47"/>
        <v>1</v>
      </c>
      <c r="Y98" s="204">
        <f t="shared" si="48"/>
        <v>23.29</v>
      </c>
      <c r="Z98" s="204">
        <f t="shared" si="49"/>
        <v>2.6200000000000001E-2</v>
      </c>
      <c r="AA98" s="204">
        <f t="shared" si="50"/>
        <v>23.2638</v>
      </c>
      <c r="AB98" s="54" t="str">
        <f>VLOOKUP(A98,Enforcements!$C$7:$K$9,8,0)</f>
        <v>Bulletin (2)</v>
      </c>
      <c r="AC98" s="51" t="str">
        <f>VLOOKUP(A98,Enforcements!$C$7:$E$9,3,0)</f>
        <v>GRADE CROSSING</v>
      </c>
      <c r="AD98" s="179">
        <f t="shared" si="51"/>
        <v>186</v>
      </c>
      <c r="AE98" s="77" t="str">
        <f t="shared" si="52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98" s="74" t="str">
        <f t="shared" si="53"/>
        <v>"C:\Program Files (x86)\AstroGrep\AstroGrep.exe" /e /r /s /spath="%USERPROFILE%\AppData\Local\Temp\OnboardLogs" /stypes="app*4027*20171113*" /stext=" 22:.+((SYSTEM_STATE.+slice.+state.+changed )|(ment ac)|(multiple cpu faults)|(system.+state.+changed )|(\[timeout)|(PRM\|1\|D)|(kpr)|(kdp)|(train st.+moving)|(\|lc)|(penalty))"</v>
      </c>
      <c r="AG98" s="182" t="str">
        <f t="shared" si="54"/>
        <v>EC</v>
      </c>
      <c r="AH98" s="78" t="str">
        <f t="shared" si="55"/>
        <v>"%USERPROFILE%\Documents\GitHub\eaglep3\Utilities\RefineRTDCRunTimes.py" --tripid 186-13 --locoid 4027 --swversion DE.1.0.9.0 --startMP 204:232900 --initTime 2017-11-13T15:05:36 --startdatetime 2017-11-13T15:12:14 --delay 79 --endMP 204:262 --enddatetime 2017-11-13T15:55:04 --enforcementcount 0 &gt;&gt;%USERPROFILE%\Documents\GitHub\eaglep3-reporting\EC\2017-11-13-refined-times.txt</v>
      </c>
      <c r="AI98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{"issue":{"subject":"","project_id":79,"tracker_id":40,"status_id":1,"priority_id":2,"assigned_to_id":338,"start_date":"2017-11-13","description":"","custom_fields":[{"id":1,"name":"Subdivision","value":"EC"},{"id":4,"name":"Milepost","value":"0.0262"},{"id":17,"name":"Train ID","value":"186-13"},{"id":16,"name":"Locomotive ID","value":"4027"},{"id":130,"name":"Impact","value":""},{"id":150,"name":"Time of Event (Mountain Time)","value":"15:55:04"},{"id":151,"name":"Denver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57"/>
        <v>start /low /b %USERPROFILE%\Documents\GitHub\eaglep3\Utilities\DownloadLogsFromS3.py --loco 4027 --day 2017-11-13</v>
      </c>
      <c r="AN98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9"/>
        <v>https://d0f6bd738d7f1b3e5a7ca70fe4ff75f0.us-east-1.aws.found.io/app/kibana#/discover/Steve-Slow-Train-Analysis-(2080s-and-2083s)?_g=(refreshInterval:(display:Off,pause:!f,section:0,value:0),time:(from:'2017-11-13T14:05:36-0700',mode:absolute,to:'2017-11-13T16:55:04-0700'))&amp;_a=(columns:!('Message%20ID',Summary),filters:!(),index:'emp_*',interval:auto,query:(query_string:(analyze_wildcard:!t,query:'%22rtdc.l.rtdc.4027%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778</v>
      </c>
      <c r="B99" s="7">
        <v>4010</v>
      </c>
      <c r="C99" s="21" t="s">
        <v>192</v>
      </c>
      <c r="D99" s="21" t="s">
        <v>615</v>
      </c>
      <c r="E99" s="13">
        <v>43052.603402777779</v>
      </c>
      <c r="F99" s="13">
        <v>43052.604872685188</v>
      </c>
      <c r="G99" s="7">
        <v>56</v>
      </c>
      <c r="H99" s="21" t="s">
        <v>944</v>
      </c>
      <c r="I99" s="13">
        <v>43052.63177083333</v>
      </c>
      <c r="J99" s="7">
        <v>0</v>
      </c>
      <c r="K99" s="89" t="str">
        <f t="shared" si="41"/>
        <v>4009/4010</v>
      </c>
      <c r="L99" s="185" t="str">
        <f>VLOOKUP(A99,'Trips&amp;Operators'!$C$1:$G$99911,5,FALSE)</f>
        <v>SMITH MICHAEL</v>
      </c>
      <c r="M99" s="6">
        <f t="shared" si="42"/>
        <v>2.6898148142208811E-2</v>
      </c>
      <c r="N99" s="7">
        <f t="shared" si="43"/>
        <v>38.733333324780688</v>
      </c>
      <c r="O99" s="7"/>
      <c r="P99" s="7"/>
      <c r="Q99" s="22"/>
      <c r="R99" s="174"/>
      <c r="S99" s="221">
        <f t="shared" si="44"/>
        <v>1</v>
      </c>
      <c r="T99" s="174" t="str">
        <f t="shared" si="45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6"/>
        <v>https://d0f6bd738d7f1b3e5a7ca70fe4ff75f0.us-east-1.aws.found.io/app/kibana#/discover/Steve-Slow-Train-Analysis-(2080s-and-2083s)?_g=(refreshInterval:(display:Off,pause:!f,section:0,value:0),time:(from:'2017-11-13T13:28:54-0700',mode:absolute,to:'2017-11-13T16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204" t="str">
        <f>IF(AA99&lt;VLOOKUP(AG99,Variables!$AC$3:$AD$8,2,FALSE),"Y","N")</f>
        <v>N</v>
      </c>
      <c r="X99" s="204">
        <f t="shared" si="47"/>
        <v>1</v>
      </c>
      <c r="Y99" s="204">
        <f t="shared" si="48"/>
        <v>5.5300000000000002E-2</v>
      </c>
      <c r="Z99" s="204">
        <f t="shared" si="49"/>
        <v>23.329699999999999</v>
      </c>
      <c r="AA99" s="204">
        <f t="shared" si="50"/>
        <v>23.2744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51"/>
        <v>187</v>
      </c>
      <c r="AE99" s="77" t="str">
        <f t="shared" si="52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99" s="74" t="str">
        <f t="shared" si="53"/>
        <v>"C:\Program Files (x86)\AstroGrep\AstroGrep.exe" /e /r /s /spath="%USERPROFILE%\AppData\Local\Temp\OnboardLogs" /stypes="app*4010*20171113*" /stext=" 22:.+((SYSTEM_STATE.+slice.+state.+changed )|(ment ac)|(multiple cpu faults)|(system.+state.+changed )|(\[timeout)|(PRM\|1\|D)|(kpr)|(kdp)|(train st.+moving)|(\|lc)|(penalty))"</v>
      </c>
      <c r="AG99" s="182" t="str">
        <f t="shared" si="54"/>
        <v>EC</v>
      </c>
      <c r="AH99" s="78" t="str">
        <f t="shared" si="55"/>
        <v>"%USERPROFILE%\Documents\GitHub\eaglep3\Utilities\RefineRTDCRunTimes.py" --tripid 187-13 --locoid 4010 --swversion DE.1.0.9.0 --startMP 204:553 --initTime 2017-11-13T14:28:54 --startdatetime 2017-11-13T14:31:01 --delay 56 --endMP 204:233297 --enddatetime 2017-11-13T15:09:45 --enforcementcount 0 &gt;&gt;%USERPROFILE%\Documents\GitHub\eaglep3-reporting\EC\2017-11-13-refined-times.txt</v>
      </c>
      <c r="AI99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{"issue":{"subject":"","project_id":79,"tracker_id":40,"status_id":1,"priority_id":2,"assigned_to_id":338,"start_date":"2017-11-13","description":"","custom_fields":[{"id":1,"name":"Subdivision","value":"EC"},{"id":4,"name":"Milepost","value":"23.3297"},{"id":17,"name":"Train ID","value":"187-13"},{"id":16,"name":"Locomotive ID","value":"4010"},{"id":130,"name":"Impact","value":""},{"id":150,"name":"Time of Event (Mountain Time)","value":"15:09:45"},{"id":151,"name":"Denver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57"/>
        <v>start /low /b %USERPROFILE%\Documents\GitHub\eaglep3\Utilities\DownloadLogsFromS3.py --loco 4010 --day 2017-11-13</v>
      </c>
      <c r="AN99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9"/>
        <v>https://d0f6bd738d7f1b3e5a7ca70fe4ff75f0.us-east-1.aws.found.io/app/kibana#/discover/Steve-Slow-Train-Analysis-(2080s-and-2083s)?_g=(refreshInterval:(display:Off,pause:!f,section:0,value:0),time:(from:'2017-11-13T13:28:54-0700',mode:absolute,to:'2017-11-13T16:09:45-0700'))&amp;_a=(columns:!('Message%20ID',Summary),filters:!(),index:'emp_*',interval:auto,query:(query_string:(analyze_wildcard:!t,query:'%22rtdc.l.rtdc.4010%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786</v>
      </c>
      <c r="B100" s="7">
        <v>4009</v>
      </c>
      <c r="C100" s="21" t="s">
        <v>192</v>
      </c>
      <c r="D100" s="21" t="s">
        <v>619</v>
      </c>
      <c r="E100" s="13">
        <v>43052.63863425926</v>
      </c>
      <c r="F100" s="13">
        <v>43052.644155092596</v>
      </c>
      <c r="G100" s="7">
        <v>62</v>
      </c>
      <c r="H100" s="21" t="s">
        <v>945</v>
      </c>
      <c r="I100" s="13">
        <v>43052.672939814816</v>
      </c>
      <c r="J100" s="7">
        <v>0</v>
      </c>
      <c r="K100" s="89" t="str">
        <f t="shared" si="41"/>
        <v>4009/4010</v>
      </c>
      <c r="L100" s="185" t="str">
        <f>VLOOKUP(A100,'Trips&amp;Operators'!$C$1:$G$99911,5,FALSE)</f>
        <v>SMITH MICHAEL</v>
      </c>
      <c r="M100" s="6">
        <f t="shared" si="42"/>
        <v>2.8784722220734693E-2</v>
      </c>
      <c r="N100" s="7">
        <f t="shared" si="43"/>
        <v>41.449999997857958</v>
      </c>
      <c r="O100" s="7"/>
      <c r="P100" s="7"/>
      <c r="Q100" s="22"/>
      <c r="R100" s="174"/>
      <c r="S100" s="221">
        <f t="shared" si="44"/>
        <v>1</v>
      </c>
      <c r="T100" s="174" t="str">
        <f t="shared" si="45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6"/>
        <v>https://d0f6bd738d7f1b3e5a7ca70fe4ff75f0.us-east-1.aws.found.io/app/kibana#/discover/Steve-Slow-Train-Analysis-(2080s-and-2083s)?_g=(refreshInterval:(display:Off,pause:!f,section:0,value:0),time:(from:'2017-11-13T14:19:38-0700',mode:absolute,to:'2017-11-13T17:09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204" t="str">
        <f>IF(AA100&lt;VLOOKUP(AG100,Variables!$AC$3:$AD$8,2,FALSE),"Y","N")</f>
        <v>N</v>
      </c>
      <c r="X100" s="204">
        <f t="shared" si="47"/>
        <v>1</v>
      </c>
      <c r="Y100" s="204">
        <f t="shared" si="48"/>
        <v>23.296600000000002</v>
      </c>
      <c r="Z100" s="204">
        <f t="shared" si="49"/>
        <v>2.8899999999999999E-2</v>
      </c>
      <c r="AA100" s="204">
        <f t="shared" si="50"/>
        <v>23.267700000000001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51"/>
        <v>188</v>
      </c>
      <c r="AE100" s="77" t="str">
        <f t="shared" si="52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100" s="74" t="str">
        <f t="shared" si="53"/>
        <v>"C:\Program Files (x86)\AstroGrep\AstroGrep.exe" /e /r /s /spath="%USERPROFILE%\AppData\Local\Temp\OnboardLogs" /stypes="app*4009*20171113*" /stext=" 23:.+((SYSTEM_STATE.+slice.+state.+changed )|(ment ac)|(multiple cpu faults)|(system.+state.+changed )|(\[timeout)|(PRM\|1\|D)|(kpr)|(kdp)|(train st.+moving)|(\|lc)|(penalty))"</v>
      </c>
      <c r="AG100" s="182" t="str">
        <f t="shared" si="54"/>
        <v>EC</v>
      </c>
      <c r="AH100" s="78" t="str">
        <f t="shared" si="55"/>
        <v>"%USERPROFILE%\Documents\GitHub\eaglep3\Utilities\RefineRTDCRunTimes.py" --tripid 188-13 --locoid 4009 --swversion DE.1.0.9.0 --startMP 204:232966 --initTime 2017-11-13T15:19:38 --startdatetime 2017-11-13T15:27:35 --delay 62 --endMP 204:289 --enddatetime 2017-11-13T16:09:02 --enforcementcount 0 &gt;&gt;%USERPROFILE%\Documents\GitHub\eaglep3-reporting\EC\2017-11-13-refined-times.txt</v>
      </c>
      <c r="AI100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{"issue":{"subject":"","project_id":79,"tracker_id":40,"status_id":1,"priority_id":2,"assigned_to_id":338,"start_date":"2017-11-13","description":"","custom_fields":[{"id":1,"name":"Subdivision","value":"EC"},{"id":4,"name":"Milepost","value":"0.0289"},{"id":17,"name":"Train ID","value":"188-13"},{"id":16,"name":"Locomotive ID","value":"4009"},{"id":130,"name":"Impact","value":""},{"id":150,"name":"Time of Event (Mountain Time)","value":"16:09:02"},{"id":151,"name":"Denver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57"/>
        <v>start /low /b %USERPROFILE%\Documents\GitHub\eaglep3\Utilities\DownloadLogsFromS3.py --loco 4009 --day 2017-11-13</v>
      </c>
      <c r="AN100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9"/>
        <v>https://d0f6bd738d7f1b3e5a7ca70fe4ff75f0.us-east-1.aws.found.io/app/kibana#/discover/Steve-Slow-Train-Analysis-(2080s-and-2083s)?_g=(refreshInterval:(display:Off,pause:!f,section:0,value:0),time:(from:'2017-11-13T14:19:38-0700',mode:absolute,to:'2017-11-13T17:09:02-0700'))&amp;_a=(columns:!('Message%20ID',Summary),filters:!(),index:'emp_*',interval:auto,query:(query_string:(analyze_wildcard:!t,query:'%22rtdc.l.rtdc.4009%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780</v>
      </c>
      <c r="B101" s="7">
        <v>4014</v>
      </c>
      <c r="C101" s="21" t="s">
        <v>192</v>
      </c>
      <c r="D101" s="21" t="s">
        <v>586</v>
      </c>
      <c r="E101" s="13">
        <v>43052.611793981479</v>
      </c>
      <c r="F101" s="13">
        <v>43052.614884259259</v>
      </c>
      <c r="G101" s="7">
        <v>67</v>
      </c>
      <c r="H101" s="21" t="s">
        <v>906</v>
      </c>
      <c r="I101" s="13">
        <v>43052.642048611109</v>
      </c>
      <c r="J101" s="7">
        <v>0</v>
      </c>
      <c r="K101" s="89" t="str">
        <f t="shared" si="41"/>
        <v>4013/4014</v>
      </c>
      <c r="L101" s="185" t="str">
        <f>VLOOKUP(A101,'Trips&amp;Operators'!$C$1:$G$99911,5,FALSE)</f>
        <v>DAVIS MICHAEL</v>
      </c>
      <c r="M101" s="6">
        <f t="shared" si="42"/>
        <v>2.7164351849933155E-2</v>
      </c>
      <c r="N101" s="7">
        <f t="shared" si="43"/>
        <v>39.116666663903743</v>
      </c>
      <c r="O101" s="7"/>
      <c r="P101" s="7"/>
      <c r="Q101" s="22"/>
      <c r="R101" s="174"/>
      <c r="S101" s="221">
        <f t="shared" si="44"/>
        <v>1</v>
      </c>
      <c r="T101" s="174" t="str">
        <f t="shared" si="45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6"/>
        <v>https://d0f6bd738d7f1b3e5a7ca70fe4ff75f0.us-east-1.aws.found.io/app/kibana#/discover/Steve-Slow-Train-Analysis-(2080s-and-2083s)?_g=(refreshInterval:(display:Off,pause:!f,section:0,value:0),time:(from:'2017-11-13T13:40:59-0700',mode:absolute,to:'2017-11-13T16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204" t="str">
        <f>IF(AA101&lt;VLOOKUP(AG101,Variables!$AC$3:$AD$8,2,FALSE),"Y","N")</f>
        <v>N</v>
      </c>
      <c r="X101" s="204">
        <f t="shared" si="47"/>
        <v>1</v>
      </c>
      <c r="Y101" s="204">
        <f t="shared" si="48"/>
        <v>5.2200000000000003E-2</v>
      </c>
      <c r="Z101" s="204">
        <f t="shared" si="49"/>
        <v>23.329499999999999</v>
      </c>
      <c r="AA101" s="204">
        <f t="shared" si="50"/>
        <v>23.2773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51"/>
        <v>189</v>
      </c>
      <c r="AE101" s="77" t="str">
        <f t="shared" si="52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101" s="74" t="str">
        <f t="shared" si="53"/>
        <v>"C:\Program Files (x86)\AstroGrep\AstroGrep.exe" /e /r /s /spath="%USERPROFILE%\AppData\Local\Temp\OnboardLogs" /stypes="app*4014*20171113*" /stext=" 22:.+((SYSTEM_STATE.+slice.+state.+changed )|(ment ac)|(multiple cpu faults)|(system.+state.+changed )|(\[timeout)|(PRM\|1\|D)|(kpr)|(kdp)|(train st.+moving)|(\|lc)|(penalty))"</v>
      </c>
      <c r="AG101" s="182" t="str">
        <f t="shared" si="54"/>
        <v>EC</v>
      </c>
      <c r="AH101" s="78" t="str">
        <f t="shared" si="55"/>
        <v>"%USERPROFILE%\Documents\GitHub\eaglep3\Utilities\RefineRTDCRunTimes.py" --tripid 189-13 --locoid 4014 --swversion DE.1.0.9.0 --startMP 204:522 --initTime 2017-11-13T14:40:59 --startdatetime 2017-11-13T14:45:26 --delay 67 --endMP 204:233295 --enddatetime 2017-11-13T15:24:33 --enforcementcount 0 &gt;&gt;%USERPROFILE%\Documents\GitHub\eaglep3-reporting\EC\2017-11-13-refined-times.txt</v>
      </c>
      <c r="AI10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{"issue":{"subject":"","project_id":79,"tracker_id":40,"status_id":1,"priority_id":2,"assigned_to_id":338,"start_date":"2017-11-13","description":"","custom_fields":[{"id":1,"name":"Subdivision","value":"EC"},{"id":4,"name":"Milepost","value":"23.3295"},{"id":17,"name":"Train ID","value":"189-13"},{"id":16,"name":"Locomotive ID","value":"4014"},{"id":130,"name":"Impact","value":""},{"id":150,"name":"Time of Event (Mountain Time)","value":"15:24:33"},{"id":151,"name":"Denver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57"/>
        <v>start /low /b %USERPROFILE%\Documents\GitHub\eaglep3\Utilities\DownloadLogsFromS3.py --loco 4014 --day 2017-11-13</v>
      </c>
      <c r="AN101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9"/>
        <v>https://d0f6bd738d7f1b3e5a7ca70fe4ff75f0.us-east-1.aws.found.io/app/kibana#/discover/Steve-Slow-Train-Analysis-(2080s-and-2083s)?_g=(refreshInterval:(display:Off,pause:!f,section:0,value:0),time:(from:'2017-11-13T13:40:59-0700',mode:absolute,to:'2017-11-13T16:24:33-0700'))&amp;_a=(columns:!('Message%20ID',Summary),filters:!(),index:'emp_*',interval:auto,query:(query_string:(analyze_wildcard:!t,query:'%22rtdc.l.rtdc.4014%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789</v>
      </c>
      <c r="B102" s="7">
        <v>4013</v>
      </c>
      <c r="C102" s="21" t="s">
        <v>192</v>
      </c>
      <c r="D102" s="21" t="s">
        <v>544</v>
      </c>
      <c r="E102" s="13">
        <v>43052.652916666666</v>
      </c>
      <c r="F102" s="13">
        <v>43052.654560185183</v>
      </c>
      <c r="G102" s="7">
        <v>60</v>
      </c>
      <c r="H102" s="21" t="s">
        <v>607</v>
      </c>
      <c r="I102" s="13">
        <v>43052.685578703706</v>
      </c>
      <c r="J102" s="7">
        <v>0</v>
      </c>
      <c r="K102" s="89" t="str">
        <f t="shared" si="41"/>
        <v>4013/4014</v>
      </c>
      <c r="L102" s="185" t="str">
        <f>VLOOKUP(A102,'Trips&amp;Operators'!$C$1:$G$99911,5,FALSE)</f>
        <v>DAVIS MICHAEL</v>
      </c>
      <c r="M102" s="6">
        <f t="shared" si="42"/>
        <v>3.1018518522614613E-2</v>
      </c>
      <c r="N102" s="7">
        <f t="shared" si="43"/>
        <v>44.666666672565043</v>
      </c>
      <c r="O102" s="7"/>
      <c r="P102" s="7"/>
      <c r="Q102" s="22"/>
      <c r="R102" s="174"/>
      <c r="S102" s="221">
        <f t="shared" si="44"/>
        <v>1</v>
      </c>
      <c r="T102" s="174" t="str">
        <f t="shared" si="45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6"/>
        <v>https://d0f6bd738d7f1b3e5a7ca70fe4ff75f0.us-east-1.aws.found.io/app/kibana#/discover/Steve-Slow-Train-Analysis-(2080s-and-2083s)?_g=(refreshInterval:(display:Off,pause:!f,section:0,value:0),time:(from:'2017-11-13T14:40:12-0700',mode:absolute,to:'2017-11-13T17:27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204" t="str">
        <f>IF(AA102&lt;VLOOKUP(AG102,Variables!$AC$3:$AD$8,2,FALSE),"Y","N")</f>
        <v>N</v>
      </c>
      <c r="X102" s="204">
        <f t="shared" si="47"/>
        <v>1</v>
      </c>
      <c r="Y102" s="204">
        <f t="shared" si="48"/>
        <v>23.295300000000001</v>
      </c>
      <c r="Z102" s="204">
        <f t="shared" si="49"/>
        <v>2.18E-2</v>
      </c>
      <c r="AA102" s="204">
        <f t="shared" si="50"/>
        <v>23.273500000000002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51"/>
        <v>190</v>
      </c>
      <c r="AE102" s="77" t="str">
        <f t="shared" si="52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102" s="74" t="str">
        <f t="shared" si="53"/>
        <v>"C:\Program Files (x86)\AstroGrep\AstroGrep.exe" /e /r /s /spath="%USERPROFILE%\AppData\Local\Temp\OnboardLogs" /stypes="app*4013*20171113*" /stext=" 23:.+((SYSTEM_STATE.+slice.+state.+changed )|(ment ac)|(multiple cpu faults)|(system.+state.+changed )|(\[timeout)|(PRM\|1\|D)|(kpr)|(kdp)|(train st.+moving)|(\|lc)|(penalty))"</v>
      </c>
      <c r="AG102" s="182" t="str">
        <f t="shared" si="54"/>
        <v>EC</v>
      </c>
      <c r="AH102" s="78" t="str">
        <f t="shared" si="55"/>
        <v>"%USERPROFILE%\Documents\GitHub\eaglep3\Utilities\RefineRTDCRunTimes.py" --tripid 190-13 --locoid 4013 --swversion DE.1.0.9.0 --startMP 204:232953 --initTime 2017-11-13T15:40:12 --startdatetime 2017-11-13T15:42:34 --delay 60 --endMP 204:218 --enddatetime 2017-11-13T16:27:14 --enforcementcount 0 &gt;&gt;%USERPROFILE%\Documents\GitHub\eaglep3-reporting\EC\2017-11-13-refined-times.txt</v>
      </c>
      <c r="AI102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{"issue":{"subject":"","project_id":79,"tracker_id":40,"status_id":1,"priority_id":2,"assigned_to_id":338,"start_date":"2017-11-13","description":"","custom_fields":[{"id":1,"name":"Subdivision","value":"EC"},{"id":4,"name":"Milepost","value":"0.0218"},{"id":17,"name":"Train ID","value":"190-13"},{"id":16,"name":"Locomotive ID","value":"4013"},{"id":130,"name":"Impact","value":""},{"id":150,"name":"Time of Event (Mountain Time)","value":"16:27:14"},{"id":151,"name":"Denver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57"/>
        <v>start /low /b %USERPROFILE%\Documents\GitHub\eaglep3\Utilities\DownloadLogsFromS3.py --loco 4013 --day 2017-11-13</v>
      </c>
      <c r="AN102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9"/>
        <v>https://d0f6bd738d7f1b3e5a7ca70fe4ff75f0.us-east-1.aws.found.io/app/kibana#/discover/Steve-Slow-Train-Analysis-(2080s-and-2083s)?_g=(refreshInterval:(display:Off,pause:!f,section:0,value:0),time:(from:'2017-11-13T14:40:12-0700',mode:absolute,to:'2017-11-13T17:27:14-0700'))&amp;_a=(columns:!('Message%20ID',Summary),filters:!(),index:'emp_*',interval:auto,query:(query_string:(analyze_wildcard:!t,query:'%22rtdc.l.rtdc.4013%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782</v>
      </c>
      <c r="B103" s="7">
        <v>4040</v>
      </c>
      <c r="C103" s="21" t="s">
        <v>192</v>
      </c>
      <c r="D103" s="21" t="s">
        <v>537</v>
      </c>
      <c r="E103" s="13">
        <v>43052.62295138889</v>
      </c>
      <c r="F103" s="13">
        <v>43052.625254629631</v>
      </c>
      <c r="G103" s="7">
        <v>55</v>
      </c>
      <c r="H103" s="21" t="s">
        <v>876</v>
      </c>
      <c r="I103" s="13">
        <v>43052.650775462964</v>
      </c>
      <c r="J103" s="7">
        <v>0</v>
      </c>
      <c r="K103" s="89" t="str">
        <f t="shared" si="41"/>
        <v>4039/4040</v>
      </c>
      <c r="L103" s="185" t="str">
        <f>VLOOKUP(A103,'Trips&amp;Operators'!$C$1:$G$99911,5,FALSE)</f>
        <v>STEWART MICHAEL</v>
      </c>
      <c r="M103" s="6">
        <f t="shared" si="42"/>
        <v>2.5520833332848269E-2</v>
      </c>
      <c r="N103" s="7">
        <f t="shared" si="43"/>
        <v>36.749999999301508</v>
      </c>
      <c r="O103" s="7"/>
      <c r="P103" s="7"/>
      <c r="Q103" s="22"/>
      <c r="R103" s="174"/>
      <c r="S103" s="221">
        <f t="shared" si="44"/>
        <v>1</v>
      </c>
      <c r="T103" s="174" t="str">
        <f t="shared" si="45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6"/>
        <v>https://d0f6bd738d7f1b3e5a7ca70fe4ff75f0.us-east-1.aws.found.io/app/kibana#/discover/Steve-Slow-Train-Analysis-(2080s-and-2083s)?_g=(refreshInterval:(display:Off,pause:!f,section:0,value:0),time:(from:'2017-11-13T13:57:03-0700',mode:absolute,to:'2017-11-13T16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204" t="str">
        <f>IF(AA103&lt;VLOOKUP(AG103,Variables!$AC$3:$AD$8,2,FALSE),"Y","N")</f>
        <v>N</v>
      </c>
      <c r="X103" s="204">
        <f t="shared" si="47"/>
        <v>1</v>
      </c>
      <c r="Y103" s="204">
        <f t="shared" si="48"/>
        <v>4.6899999999999997E-2</v>
      </c>
      <c r="Z103" s="204">
        <f t="shared" si="49"/>
        <v>23.3293</v>
      </c>
      <c r="AA103" s="204">
        <f t="shared" si="50"/>
        <v>23.282399999999999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51"/>
        <v>191</v>
      </c>
      <c r="AE103" s="77" t="str">
        <f t="shared" si="52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03" s="74" t="str">
        <f t="shared" si="53"/>
        <v>"C:\Program Files (x86)\AstroGrep\AstroGrep.exe" /e /r /s /spath="%USERPROFILE%\AppData\Local\Temp\OnboardLogs" /stypes="app*4040*20171113*" /stext=" 22:.+((SYSTEM_STATE.+slice.+state.+changed )|(ment ac)|(multiple cpu faults)|(system.+state.+changed )|(\[timeout)|(PRM\|1\|D)|(kpr)|(kdp)|(train st.+moving)|(\|lc)|(penalty))"</v>
      </c>
      <c r="AG103" s="182" t="str">
        <f t="shared" si="54"/>
        <v>EC</v>
      </c>
      <c r="AH103" s="78" t="str">
        <f t="shared" si="55"/>
        <v>"%USERPROFILE%\Documents\GitHub\eaglep3\Utilities\RefineRTDCRunTimes.py" --tripid 191-13 --locoid 4040 --swversion DE.1.0.9.0 --startMP 204:469 --initTime 2017-11-13T14:57:03 --startdatetime 2017-11-13T15:00:22 --delay 55 --endMP 204:233293 --enddatetime 2017-11-13T15:37:07 --enforcementcount 0 &gt;&gt;%USERPROFILE%\Documents\GitHub\eaglep3-reporting\EC\2017-11-13-refined-times.txt</v>
      </c>
      <c r="AI103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{"issue":{"subject":"","project_id":79,"tracker_id":40,"status_id":1,"priority_id":2,"assigned_to_id":338,"start_date":"2017-11-13","description":"","custom_fields":[{"id":1,"name":"Subdivision","value":"EC"},{"id":4,"name":"Milepost","value":"23.3293"},{"id":17,"name":"Train ID","value":"191-13"},{"id":16,"name":"Locomotive ID","value":"4040"},{"id":130,"name":"Impact","value":""},{"id":150,"name":"Time of Event (Mountain Time)","value":"15:37:07"},{"id":151,"name":"Denver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57"/>
        <v>start /low /b %USERPROFILE%\Documents\GitHub\eaglep3\Utilities\DownloadLogsFromS3.py --loco 4040 --day 2017-11-13</v>
      </c>
      <c r="AN103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9"/>
        <v>https://d0f6bd738d7f1b3e5a7ca70fe4ff75f0.us-east-1.aws.found.io/app/kibana#/discover/Steve-Slow-Train-Analysis-(2080s-and-2083s)?_g=(refreshInterval:(display:Off,pause:!f,section:0,value:0),time:(from:'2017-11-13T13:57:03-0700',mode:absolute,to:'2017-11-13T16:37:07-0700'))&amp;_a=(columns:!('Message%20ID',Summary),filters:!(),index:'emp_*',interval:auto,query:(query_string:(analyze_wildcard:!t,query:'%22rtdc.l.rtdc.4040%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791</v>
      </c>
      <c r="B104" s="7">
        <v>4039</v>
      </c>
      <c r="C104" s="21" t="s">
        <v>192</v>
      </c>
      <c r="D104" s="21" t="s">
        <v>595</v>
      </c>
      <c r="E104" s="13">
        <v>43052.659895833334</v>
      </c>
      <c r="F104" s="13">
        <v>43052.664826388886</v>
      </c>
      <c r="G104" s="7">
        <v>62</v>
      </c>
      <c r="H104" s="21" t="s">
        <v>896</v>
      </c>
      <c r="I104" s="13">
        <v>43052.692615740743</v>
      </c>
      <c r="J104" s="7">
        <v>0</v>
      </c>
      <c r="K104" s="89" t="str">
        <f t="shared" si="41"/>
        <v>4039/4040</v>
      </c>
      <c r="L104" s="185" t="str">
        <f>VLOOKUP(A104,'Trips&amp;Operators'!$C$1:$G$99911,5,FALSE)</f>
        <v>STEWART MICHAEL</v>
      </c>
      <c r="M104" s="6">
        <f t="shared" si="42"/>
        <v>2.7789351857791189E-2</v>
      </c>
      <c r="N104" s="7">
        <f t="shared" si="43"/>
        <v>40.016666675219312</v>
      </c>
      <c r="O104" s="7"/>
      <c r="P104" s="7"/>
      <c r="Q104" s="22"/>
      <c r="R104" s="174"/>
      <c r="S104" s="221">
        <f t="shared" si="44"/>
        <v>1</v>
      </c>
      <c r="T104" s="174" t="str">
        <f t="shared" si="45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6"/>
        <v>https://d0f6bd738d7f1b3e5a7ca70fe4ff75f0.us-east-1.aws.found.io/app/kibana#/discover/Steve-Slow-Train-Analysis-(2080s-and-2083s)?_g=(refreshInterval:(display:Off,pause:!f,section:0,value:0),time:(from:'2017-11-13T14:50:15-0700',mode:absolute,to:'2017-11-13T17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204" t="str">
        <f>IF(AA104&lt;VLOOKUP(AG104,Variables!$AC$3:$AD$8,2,FALSE),"Y","N")</f>
        <v>N</v>
      </c>
      <c r="X104" s="204">
        <f t="shared" si="47"/>
        <v>1</v>
      </c>
      <c r="Y104" s="204">
        <f t="shared" si="48"/>
        <v>23.2959</v>
      </c>
      <c r="Z104" s="204">
        <f t="shared" si="49"/>
        <v>2.1100000000000001E-2</v>
      </c>
      <c r="AA104" s="204">
        <f t="shared" si="50"/>
        <v>23.274799999999999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51"/>
        <v>192</v>
      </c>
      <c r="AE104" s="77" t="str">
        <f t="shared" si="52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04" s="74" t="str">
        <f t="shared" si="53"/>
        <v>"C:\Program Files (x86)\AstroGrep\AstroGrep.exe" /e /r /s /spath="%USERPROFILE%\AppData\Local\Temp\OnboardLogs" /stypes="app*4039*20171113*" /stext=" 23:.+((SYSTEM_STATE.+slice.+state.+changed )|(ment ac)|(multiple cpu faults)|(system.+state.+changed )|(\[timeout)|(PRM\|1\|D)|(kpr)|(kdp)|(train st.+moving)|(\|lc)|(penalty))"</v>
      </c>
      <c r="AG104" s="182" t="str">
        <f t="shared" si="54"/>
        <v>EC</v>
      </c>
      <c r="AH104" s="78" t="str">
        <f t="shared" si="55"/>
        <v>"%USERPROFILE%\Documents\GitHub\eaglep3\Utilities\RefineRTDCRunTimes.py" --tripid 192-13 --locoid 4039 --swversion DE.1.0.9.0 --startMP 204:232959 --initTime 2017-11-13T15:50:15 --startdatetime 2017-11-13T15:57:21 --delay 62 --endMP 204:211 --enddatetime 2017-11-13T16:37:22 --enforcementcount 0 &gt;&gt;%USERPROFILE%\Documents\GitHub\eaglep3-reporting\EC\2017-11-13-refined-times.txt</v>
      </c>
      <c r="AI104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{"issue":{"subject":"","project_id":79,"tracker_id":40,"status_id":1,"priority_id":2,"assigned_to_id":338,"start_date":"2017-11-13","description":"","custom_fields":[{"id":1,"name":"Subdivision","value":"EC"},{"id":4,"name":"Milepost","value":"0.0211"},{"id":17,"name":"Train ID","value":"192-13"},{"id":16,"name":"Locomotive ID","value":"4039"},{"id":130,"name":"Impact","value":""},{"id":150,"name":"Time of Event (Mountain Time)","value":"16:37:22"},{"id":151,"name":"Denver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57"/>
        <v>start /low /b %USERPROFILE%\Documents\GitHub\eaglep3\Utilities\DownloadLogsFromS3.py --loco 4039 --day 2017-11-13</v>
      </c>
      <c r="AN104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9"/>
        <v>https://d0f6bd738d7f1b3e5a7ca70fe4ff75f0.us-east-1.aws.found.io/app/kibana#/discover/Steve-Slow-Train-Analysis-(2080s-and-2083s)?_g=(refreshInterval:(display:Off,pause:!f,section:0,value:0),time:(from:'2017-11-13T14:50:15-0700',mode:absolute,to:'2017-11-13T17:37:22-0700'))&amp;_a=(columns:!('Message%20ID',Summary),filters:!(),index:'emp_*',interval:auto,query:(query_string:(analyze_wildcard:!t,query:'%22rtdc.l.rtdc.4039%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785</v>
      </c>
      <c r="B105" s="7">
        <v>4012</v>
      </c>
      <c r="C105" s="21" t="s">
        <v>192</v>
      </c>
      <c r="D105" s="21" t="s">
        <v>539</v>
      </c>
      <c r="E105" s="13">
        <v>43052.63590277778</v>
      </c>
      <c r="F105" s="13">
        <v>43052.637337962966</v>
      </c>
      <c r="G105" s="7">
        <v>50</v>
      </c>
      <c r="H105" s="21" t="s">
        <v>946</v>
      </c>
      <c r="I105" s="13">
        <v>43052.664351851854</v>
      </c>
      <c r="J105" s="7">
        <v>0</v>
      </c>
      <c r="K105" s="89" t="str">
        <f t="shared" si="41"/>
        <v>4011/4012</v>
      </c>
      <c r="L105" s="185" t="str">
        <f>VLOOKUP(A105,'Trips&amp;Operators'!$C$1:$G$99911,5,FALSE)</f>
        <v>LEVERE CRAIG</v>
      </c>
      <c r="M105" s="6">
        <f t="shared" si="42"/>
        <v>2.7013888888177462E-2</v>
      </c>
      <c r="N105" s="7">
        <f t="shared" si="43"/>
        <v>38.899999998975545</v>
      </c>
      <c r="O105" s="7"/>
      <c r="P105" s="7"/>
      <c r="Q105" s="22"/>
      <c r="R105" s="174"/>
      <c r="S105" s="221">
        <f t="shared" si="44"/>
        <v>1</v>
      </c>
      <c r="T105" s="174" t="str">
        <f t="shared" si="45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6"/>
        <v>https://d0f6bd738d7f1b3e5a7ca70fe4ff75f0.us-east-1.aws.found.io/app/kibana#/discover/Steve-Slow-Train-Analysis-(2080s-and-2083s)?_g=(refreshInterval:(display:Off,pause:!f,section:0,value:0),time:(from:'2017-11-13T14:15:42-0700',mode:absolute,to:'2017-11-13T16:56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204" t="str">
        <f>IF(AA105&lt;VLOOKUP(AG105,Variables!$AC$3:$AD$8,2,FALSE),"Y","N")</f>
        <v>N</v>
      </c>
      <c r="X105" s="204">
        <f t="shared" si="47"/>
        <v>1</v>
      </c>
      <c r="Y105" s="204">
        <f t="shared" si="48"/>
        <v>5.4800000000000001E-2</v>
      </c>
      <c r="Z105" s="204">
        <f t="shared" si="49"/>
        <v>23.3216</v>
      </c>
      <c r="AA105" s="204">
        <f t="shared" si="50"/>
        <v>23.2668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51"/>
        <v>193</v>
      </c>
      <c r="AE105" s="77" t="str">
        <f t="shared" si="52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105" s="74" t="str">
        <f t="shared" si="53"/>
        <v>"C:\Program Files (x86)\AstroGrep\AstroGrep.exe" /e /r /s /spath="%USERPROFILE%\AppData\Local\Temp\OnboardLogs" /stypes="app*4012*20171113*" /stext=" 22:.+((SYSTEM_STATE.+slice.+state.+changed )|(ment ac)|(multiple cpu faults)|(system.+state.+changed )|(\[timeout)|(PRM\|1\|D)|(kpr)|(kdp)|(train st.+moving)|(\|lc)|(penalty))"</v>
      </c>
      <c r="AG105" s="182" t="str">
        <f t="shared" si="54"/>
        <v>EC</v>
      </c>
      <c r="AH105" s="78" t="str">
        <f t="shared" si="55"/>
        <v>"%USERPROFILE%\Documents\GitHub\eaglep3\Utilities\RefineRTDCRunTimes.py" --tripid 193-13 --locoid 4012 --swversion DE.1.0.9.0 --startMP 204:548 --initTime 2017-11-13T15:15:42 --startdatetime 2017-11-13T15:17:46 --delay 50 --endMP 204:233216 --enddatetime 2017-11-13T15:56:40 --enforcementcount 0 &gt;&gt;%USERPROFILE%\Documents\GitHub\eaglep3-reporting\EC\2017-11-13-refined-times.txt</v>
      </c>
      <c r="AI105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{"issue":{"subject":"","project_id":79,"tracker_id":40,"status_id":1,"priority_id":2,"assigned_to_id":338,"start_date":"2017-11-13","description":"","custom_fields":[{"id":1,"name":"Subdivision","value":"EC"},{"id":4,"name":"Milepost","value":"23.3216"},{"id":17,"name":"Train ID","value":"193-13"},{"id":16,"name":"Locomotive ID","value":"4012"},{"id":130,"name":"Impact","value":""},{"id":150,"name":"Time of Event (Mountain Time)","value":"15:56:40"},{"id":151,"name":"Denver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57"/>
        <v>start /low /b %USERPROFILE%\Documents\GitHub\eaglep3\Utilities\DownloadLogsFromS3.py --loco 4012 --day 2017-11-13</v>
      </c>
      <c r="AN105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9"/>
        <v>https://d0f6bd738d7f1b3e5a7ca70fe4ff75f0.us-east-1.aws.found.io/app/kibana#/discover/Steve-Slow-Train-Analysis-(2080s-and-2083s)?_g=(refreshInterval:(display:Off,pause:!f,section:0,value:0),time:(from:'2017-11-13T14:15:42-0700',mode:absolute,to:'2017-11-13T16:56:40-0700'))&amp;_a=(columns:!('Message%20ID',Summary),filters:!(),index:'emp_*',interval:auto,query:(query_string:(analyze_wildcard:!t,query:'%22rtdc.l.rtdc.4012%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795</v>
      </c>
      <c r="B106" s="7">
        <v>4011</v>
      </c>
      <c r="C106" s="21" t="s">
        <v>192</v>
      </c>
      <c r="D106" s="21" t="s">
        <v>613</v>
      </c>
      <c r="E106" s="13">
        <v>43052.66983796296</v>
      </c>
      <c r="F106" s="13">
        <v>43052.675185185188</v>
      </c>
      <c r="G106" s="7">
        <v>62</v>
      </c>
      <c r="H106" s="21" t="s">
        <v>614</v>
      </c>
      <c r="I106" s="13">
        <v>43052.704270833332</v>
      </c>
      <c r="J106" s="7">
        <v>0</v>
      </c>
      <c r="K106" s="89" t="str">
        <f t="shared" si="41"/>
        <v>4011/4012</v>
      </c>
      <c r="L106" s="185" t="str">
        <f>VLOOKUP(A106,'Trips&amp;Operators'!$C$1:$G$99911,5,FALSE)</f>
        <v>LEVERE CRAIG</v>
      </c>
      <c r="M106" s="6">
        <f t="shared" si="42"/>
        <v>2.9085648144246079E-2</v>
      </c>
      <c r="N106" s="7">
        <f t="shared" si="43"/>
        <v>41.883333327714354</v>
      </c>
      <c r="O106" s="7"/>
      <c r="P106" s="7"/>
      <c r="Q106" s="22"/>
      <c r="R106" s="174"/>
      <c r="S106" s="221">
        <f t="shared" si="44"/>
        <v>1</v>
      </c>
      <c r="T106" s="174" t="str">
        <f t="shared" si="45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6"/>
        <v>https://d0f6bd738d7f1b3e5a7ca70fe4ff75f0.us-east-1.aws.found.io/app/kibana#/discover/Steve-Slow-Train-Analysis-(2080s-and-2083s)?_g=(refreshInterval:(display:Off,pause:!f,section:0,value:0),time:(from:'2017-11-13T15:04:34-0700',mode:absolute,to:'2017-11-13T17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204" t="str">
        <f>IF(AA106&lt;VLOOKUP(AG106,Variables!$AC$3:$AD$8,2,FALSE),"Y","N")</f>
        <v>N</v>
      </c>
      <c r="X106" s="204">
        <f t="shared" si="47"/>
        <v>1</v>
      </c>
      <c r="Y106" s="204">
        <f t="shared" si="48"/>
        <v>23.292100000000001</v>
      </c>
      <c r="Z106" s="204">
        <f t="shared" si="49"/>
        <v>2.4899999999999999E-2</v>
      </c>
      <c r="AA106" s="204">
        <f t="shared" si="50"/>
        <v>23.267200000000003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51"/>
        <v>194</v>
      </c>
      <c r="AE106" s="77" t="str">
        <f t="shared" si="52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106" s="74" t="str">
        <f t="shared" si="53"/>
        <v>"C:\Program Files (x86)\AstroGrep\AstroGrep.exe" /e /r /s /spath="%USERPROFILE%\AppData\Local\Temp\OnboardLogs" /stypes="app*4011*20171113*" /stext=" 23:.+((SYSTEM_STATE.+slice.+state.+changed )|(ment ac)|(multiple cpu faults)|(system.+state.+changed )|(\[timeout)|(PRM\|1\|D)|(kpr)|(kdp)|(train st.+moving)|(\|lc)|(penalty))"</v>
      </c>
      <c r="AG106" s="182" t="str">
        <f t="shared" si="54"/>
        <v>EC</v>
      </c>
      <c r="AH106" s="78" t="str">
        <f t="shared" si="55"/>
        <v>"%USERPROFILE%\Documents\GitHub\eaglep3\Utilities\RefineRTDCRunTimes.py" --tripid 194-13 --locoid 4011 --swversion DE.1.0.9.0 --startMP 204:232921 --initTime 2017-11-13T16:04:34 --startdatetime 2017-11-13T16:12:16 --delay 62 --endMP 204:249 --enddatetime 2017-11-13T16:54:09 --enforcementcount 0 &gt;&gt;%USERPROFILE%\Documents\GitHub\eaglep3-reporting\EC\2017-11-13-refined-times.txt</v>
      </c>
      <c r="AI106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{"issue":{"subject":"","project_id":79,"tracker_id":40,"status_id":1,"priority_id":2,"assigned_to_id":338,"start_date":"2017-11-13","description":"","custom_fields":[{"id":1,"name":"Subdivision","value":"EC"},{"id":4,"name":"Milepost","value":"0.0249"},{"id":17,"name":"Train ID","value":"194-13"},{"id":16,"name":"Locomotive ID","value":"4011"},{"id":130,"name":"Impact","value":""},{"id":150,"name":"Time of Event (Mountain Time)","value":"16:54:09"},{"id":151,"name":"Denver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57"/>
        <v>start /low /b %USERPROFILE%\Documents\GitHub\eaglep3\Utilities\DownloadLogsFromS3.py --loco 4011 --day 2017-11-13</v>
      </c>
      <c r="AN106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9"/>
        <v>https://d0f6bd738d7f1b3e5a7ca70fe4ff75f0.us-east-1.aws.found.io/app/kibana#/discover/Steve-Slow-Train-Analysis-(2080s-and-2083s)?_g=(refreshInterval:(display:Off,pause:!f,section:0,value:0),time:(from:'2017-11-13T15:04:34-0700',mode:absolute,to:'2017-11-13T17:54:09-0700'))&amp;_a=(columns:!('Message%20ID',Summary),filters:!(),index:'emp_*',interval:auto,query:(query_string:(analyze_wildcard:!t,query:'%22rtdc.l.rtdc.4011%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787</v>
      </c>
      <c r="B107" s="7">
        <v>4060</v>
      </c>
      <c r="C107" s="21" t="s">
        <v>192</v>
      </c>
      <c r="D107" s="21" t="s">
        <v>611</v>
      </c>
      <c r="E107" s="13">
        <v>43052.642743055556</v>
      </c>
      <c r="F107" s="13">
        <v>43052.646053240744</v>
      </c>
      <c r="G107" s="7">
        <v>56</v>
      </c>
      <c r="H107" s="21" t="s">
        <v>927</v>
      </c>
      <c r="I107" s="13">
        <v>43052.671759259261</v>
      </c>
      <c r="J107" s="7">
        <v>0</v>
      </c>
      <c r="K107" s="89" t="str">
        <f t="shared" si="41"/>
        <v>4059/4060</v>
      </c>
      <c r="L107" s="185" t="str">
        <f>VLOOKUP(A107,'Trips&amp;Operators'!$C$1:$G$99911,5,FALSE)</f>
        <v>GUZMAN DANNY</v>
      </c>
      <c r="M107" s="6">
        <f t="shared" si="42"/>
        <v>2.5706018517666962E-2</v>
      </c>
      <c r="N107" s="7">
        <f t="shared" si="43"/>
        <v>37.016666665440425</v>
      </c>
      <c r="O107" s="7"/>
      <c r="P107" s="7"/>
      <c r="Q107" s="22"/>
      <c r="R107" s="174"/>
      <c r="S107" s="221">
        <f t="shared" si="44"/>
        <v>1</v>
      </c>
      <c r="T107" s="174" t="str">
        <f t="shared" si="45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6"/>
        <v>https://d0f6bd738d7f1b3e5a7ca70fe4ff75f0.us-east-1.aws.found.io/app/kibana#/discover/Steve-Slow-Train-Analysis-(2080s-and-2083s)?_g=(refreshInterval:(display:Off,pause:!f,section:0,value:0),time:(from:'2017-11-13T14:25:33-0700',mode:absolute,to:'2017-11-13T17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04" t="str">
        <f>IF(AA107&lt;VLOOKUP(AG107,Variables!$AC$3:$AD$8,2,FALSE),"Y","N")</f>
        <v>N</v>
      </c>
      <c r="X107" s="204">
        <f t="shared" si="47"/>
        <v>1</v>
      </c>
      <c r="Y107" s="204">
        <f t="shared" si="48"/>
        <v>5.5100000000000003E-2</v>
      </c>
      <c r="Z107" s="204">
        <f t="shared" si="49"/>
        <v>23.324200000000001</v>
      </c>
      <c r="AA107" s="204">
        <f t="shared" si="50"/>
        <v>23.269100000000002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51"/>
        <v>195</v>
      </c>
      <c r="AE107" s="77" t="str">
        <f t="shared" si="52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107" s="74" t="str">
        <f t="shared" si="53"/>
        <v>"C:\Program Files (x86)\AstroGrep\AstroGrep.exe" /e /r /s /spath="%USERPROFILE%\AppData\Local\Temp\OnboardLogs" /stypes="app*4060*20171113*" /stext=" 23:.+((SYSTEM_STATE.+slice.+state.+changed )|(ment ac)|(multiple cpu faults)|(system.+state.+changed )|(\[timeout)|(PRM\|1\|D)|(kpr)|(kdp)|(train st.+moving)|(\|lc)|(penalty))"</v>
      </c>
      <c r="AG107" s="182" t="str">
        <f t="shared" si="54"/>
        <v>EC</v>
      </c>
      <c r="AH107" s="78" t="str">
        <f t="shared" si="55"/>
        <v>"%USERPROFILE%\Documents\GitHub\eaglep3\Utilities\RefineRTDCRunTimes.py" --tripid 195-13 --locoid 4060 --swversion DE.1.0.9.0 --startMP 204:551 --initTime 2017-11-13T15:25:33 --startdatetime 2017-11-13T15:30:19 --delay 56 --endMP 204:233242 --enddatetime 2017-11-13T16:07:20 --enforcementcount 0 &gt;&gt;%USERPROFILE%\Documents\GitHub\eaglep3-reporting\EC\2017-11-13-refined-times.txt</v>
      </c>
      <c r="AI107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{"issue":{"subject":"","project_id":79,"tracker_id":40,"status_id":1,"priority_id":2,"assigned_to_id":338,"start_date":"2017-11-13","description":"","custom_fields":[{"id":1,"name":"Subdivision","value":"EC"},{"id":4,"name":"Milepost","value":"23.3242"},{"id":17,"name":"Train ID","value":"195-13"},{"id":16,"name":"Locomotive ID","value":"4060"},{"id":130,"name":"Impact","value":""},{"id":150,"name":"Time of Event (Mountain Time)","value":"16:07:20"},{"id":151,"name":"Denver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57"/>
        <v>start /low /b %USERPROFILE%\Documents\GitHub\eaglep3\Utilities\DownloadLogsFromS3.py --loco 4060 --day 2017-11-13</v>
      </c>
      <c r="AN107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9"/>
        <v>https://d0f6bd738d7f1b3e5a7ca70fe4ff75f0.us-east-1.aws.found.io/app/kibana#/discover/Steve-Slow-Train-Analysis-(2080s-and-2083s)?_g=(refreshInterval:(display:Off,pause:!f,section:0,value:0),time:(from:'2017-11-13T14:25:33-0700',mode:absolute,to:'2017-11-13T17:07:20-0700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796</v>
      </c>
      <c r="B108" s="7">
        <v>4059</v>
      </c>
      <c r="C108" s="21" t="s">
        <v>192</v>
      </c>
      <c r="D108" s="21" t="s">
        <v>584</v>
      </c>
      <c r="E108" s="13">
        <v>43052.672743055555</v>
      </c>
      <c r="F108" s="13">
        <v>43052.685648148145</v>
      </c>
      <c r="G108" s="7">
        <v>60</v>
      </c>
      <c r="H108" s="21" t="s">
        <v>614</v>
      </c>
      <c r="I108" s="13">
        <v>43052.713865740741</v>
      </c>
      <c r="J108" s="7">
        <v>0</v>
      </c>
      <c r="K108" s="89" t="str">
        <f t="shared" si="41"/>
        <v>4059/4060</v>
      </c>
      <c r="L108" s="185" t="str">
        <f>VLOOKUP(A108,'Trips&amp;Operators'!$C$1:$G$99911,5,FALSE)</f>
        <v>GUZMAN DANNY</v>
      </c>
      <c r="M108" s="6">
        <f t="shared" si="42"/>
        <v>2.8217592596774921E-2</v>
      </c>
      <c r="N108" s="7">
        <f t="shared" si="43"/>
        <v>40.633333339355886</v>
      </c>
      <c r="O108" s="7"/>
      <c r="P108" s="7"/>
      <c r="Q108" s="22"/>
      <c r="R108" s="174"/>
      <c r="S108" s="221">
        <f t="shared" si="44"/>
        <v>1</v>
      </c>
      <c r="T108" s="174" t="str">
        <f t="shared" si="45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6"/>
        <v>https://d0f6bd738d7f1b3e5a7ca70fe4ff75f0.us-east-1.aws.found.io/app/kibana#/discover/Steve-Slow-Train-Analysis-(2080s-and-2083s)?_g=(refreshInterval:(display:Off,pause:!f,section:0,value:0),time:(from:'2017-11-13T15:08:45-0700',mode:absolute,to:'2017-11-13T18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04" t="str">
        <f>IF(AA108&lt;VLOOKUP(AG108,Variables!$AC$3:$AD$8,2,FALSE),"Y","N")</f>
        <v>N</v>
      </c>
      <c r="X108" s="204">
        <f t="shared" si="47"/>
        <v>1</v>
      </c>
      <c r="Y108" s="204">
        <f t="shared" si="48"/>
        <v>23.2926</v>
      </c>
      <c r="Z108" s="204">
        <f t="shared" si="49"/>
        <v>2.4899999999999999E-2</v>
      </c>
      <c r="AA108" s="204">
        <f t="shared" si="50"/>
        <v>23.267700000000001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51"/>
        <v>196</v>
      </c>
      <c r="AE108" s="77" t="str">
        <f t="shared" si="52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108" s="74" t="str">
        <f t="shared" si="53"/>
        <v>"C:\Program Files (x86)\AstroGrep\AstroGrep.exe" /e /r /s /spath="%USERPROFILE%\AppData\Local\Temp\OnboardLogs" /stypes="app*4059*20171114*" /stext=" 00:.+((SYSTEM_STATE.+slice.+state.+changed )|(ment ac)|(multiple cpu faults)|(system.+state.+changed )|(\[timeout)|(PRM\|1\|D)|(kpr)|(kdp)|(train st.+moving)|(\|lc)|(penalty))"</v>
      </c>
      <c r="AG108" s="182" t="str">
        <f t="shared" si="54"/>
        <v>EC</v>
      </c>
      <c r="AH108" s="78" t="str">
        <f t="shared" si="55"/>
        <v>"%USERPROFILE%\Documents\GitHub\eaglep3\Utilities\RefineRTDCRunTimes.py" --tripid 196-13 --locoid 4059 --swversion DE.1.0.9.0 --startMP 204:232926 --initTime 2017-11-13T16:08:45 --startdatetime 2017-11-13T16:27:20 --delay 60 --endMP 204:249 --enddatetime 2017-11-13T17:07:58 --enforcementcount 0 &gt;&gt;%USERPROFILE%\Documents\GitHub\eaglep3-reporting\EC\2017-11-13-refined-times.txt</v>
      </c>
      <c r="AI108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{"issue":{"subject":"","project_id":79,"tracker_id":40,"status_id":1,"priority_id":2,"assigned_to_id":338,"start_date":"2017-11-13","description":"","custom_fields":[{"id":1,"name":"Subdivision","value":"EC"},{"id":4,"name":"Milepost","value":"0.0249"},{"id":17,"name":"Train ID","value":"196-13"},{"id":16,"name":"Locomotive ID","value":"4059"},{"id":130,"name":"Impact","value":""},{"id":150,"name":"Time of Event (Mountain Time)","value":"17:07:58"},{"id":151,"name":"Denver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57"/>
        <v>start /low /b %USERPROFILE%\Documents\GitHub\eaglep3\Utilities\DownloadLogsFromS3.py --loco 4059 --day 2017-11-13</v>
      </c>
      <c r="AN108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9"/>
        <v>https://d0f6bd738d7f1b3e5a7ca70fe4ff75f0.us-east-1.aws.found.io/app/kibana#/discover/Steve-Slow-Train-Analysis-(2080s-and-2083s)?_g=(refreshInterval:(display:Off,pause:!f,section:0,value:0),time:(from:'2017-11-13T15:08:45-0700',mode:absolute,to:'2017-11-13T18:07:58-0700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790</v>
      </c>
      <c r="B109" s="7">
        <v>4020</v>
      </c>
      <c r="C109" s="21" t="s">
        <v>192</v>
      </c>
      <c r="D109" s="21" t="s">
        <v>888</v>
      </c>
      <c r="E109" s="13">
        <v>43052.653749999998</v>
      </c>
      <c r="F109" s="13">
        <v>43052.656655092593</v>
      </c>
      <c r="G109" s="7">
        <v>96</v>
      </c>
      <c r="H109" s="21" t="s">
        <v>947</v>
      </c>
      <c r="I109" s="13">
        <v>43052.683171296296</v>
      </c>
      <c r="J109" s="7">
        <v>0</v>
      </c>
      <c r="K109" s="89" t="str">
        <f t="shared" si="41"/>
        <v>4019/4020</v>
      </c>
      <c r="L109" s="185" t="str">
        <f>VLOOKUP(A109,'Trips&amp;Operators'!$C$1:$G$99911,5,FALSE)</f>
        <v>SAFIEF AEIMEN</v>
      </c>
      <c r="M109" s="6">
        <f t="shared" si="42"/>
        <v>2.6516203703067731E-2</v>
      </c>
      <c r="N109" s="7">
        <f t="shared" si="43"/>
        <v>38.183333332417533</v>
      </c>
      <c r="O109" s="7"/>
      <c r="P109" s="7"/>
      <c r="Q109" s="22"/>
      <c r="R109" s="174"/>
      <c r="S109" s="221">
        <f t="shared" si="44"/>
        <v>1</v>
      </c>
      <c r="T109" s="174" t="str">
        <f t="shared" si="45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6"/>
        <v>https://d0f6bd738d7f1b3e5a7ca70fe4ff75f0.us-east-1.aws.found.io/app/kibana#/discover/Steve-Slow-Train-Analysis-(2080s-and-2083s)?_g=(refreshInterval:(display:Off,pause:!f,section:0,value:0),time:(from:'2017-11-13T14:41:24-0700',mode:absolute,to:'2017-11-13T17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204" t="str">
        <f>IF(AA109&lt;VLOOKUP(AG109,Variables!$AC$3:$AD$8,2,FALSE),"Y","N")</f>
        <v>N</v>
      </c>
      <c r="X109" s="204">
        <f t="shared" si="47"/>
        <v>1</v>
      </c>
      <c r="Y109" s="204">
        <f t="shared" si="48"/>
        <v>0.05</v>
      </c>
      <c r="Z109" s="204">
        <f t="shared" si="49"/>
        <v>23.3218</v>
      </c>
      <c r="AA109" s="204">
        <f t="shared" si="50"/>
        <v>23.271799999999999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51"/>
        <v>197</v>
      </c>
      <c r="AE109" s="77" t="str">
        <f t="shared" si="52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109" s="74" t="str">
        <f t="shared" si="53"/>
        <v>"C:\Program Files (x86)\AstroGrep\AstroGrep.exe" /e /r /s /spath="%USERPROFILE%\AppData\Local\Temp\OnboardLogs" /stypes="app*4020*20171113*" /stext=" 23:.+((SYSTEM_STATE.+slice.+state.+changed )|(ment ac)|(multiple cpu faults)|(system.+state.+changed )|(\[timeout)|(PRM\|1\|D)|(kpr)|(kdp)|(train st.+moving)|(\|lc)|(penalty))"</v>
      </c>
      <c r="AG109" s="182" t="str">
        <f t="shared" si="54"/>
        <v>EC</v>
      </c>
      <c r="AH109" s="78" t="str">
        <f t="shared" si="55"/>
        <v>"%USERPROFILE%\Documents\GitHub\eaglep3\Utilities\RefineRTDCRunTimes.py" --tripid 197-13 --locoid 4020 --swversion DE.1.0.9.0 --startMP 204:500 --initTime 2017-11-13T15:41:24 --startdatetime 2017-11-13T15:45:35 --delay 96 --endMP 204:233218 --enddatetime 2017-11-13T16:23:46 --enforcementcount 0 &gt;&gt;%USERPROFILE%\Documents\GitHub\eaglep3-reporting\EC\2017-11-13-refined-times.txt</v>
      </c>
      <c r="AI109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{"issue":{"subject":"","project_id":79,"tracker_id":40,"status_id":1,"priority_id":2,"assigned_to_id":338,"start_date":"2017-11-13","description":"","custom_fields":[{"id":1,"name":"Subdivision","value":"EC"},{"id":4,"name":"Milepost","value":"23.3218"},{"id":17,"name":"Train ID","value":"197-13"},{"id":16,"name":"Locomotive ID","value":"4020"},{"id":130,"name":"Impact","value":""},{"id":150,"name":"Time of Event (Mountain Time)","value":"16:23:46"},{"id":151,"name":"Denver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57"/>
        <v>start /low /b %USERPROFILE%\Documents\GitHub\eaglep3\Utilities\DownloadLogsFromS3.py --loco 4020 --day 2017-11-13</v>
      </c>
      <c r="AN109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9"/>
        <v>https://d0f6bd738d7f1b3e5a7ca70fe4ff75f0.us-east-1.aws.found.io/app/kibana#/discover/Steve-Slow-Train-Analysis-(2080s-and-2083s)?_g=(refreshInterval:(display:Off,pause:!f,section:0,value:0),time:(from:'2017-11-13T14:41:24-0700',mode:absolute,to:'2017-11-13T17:23:46-0700'))&amp;_a=(columns:!('Message%20ID',Summary),filters:!(),index:'emp_*',interval:auto,query:(query_string:(analyze_wildcard:!t,query:'%22rtdc.l.rtdc.4020%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799</v>
      </c>
      <c r="B110" s="7">
        <v>4019</v>
      </c>
      <c r="C110" s="21" t="s">
        <v>192</v>
      </c>
      <c r="D110" s="21" t="s">
        <v>546</v>
      </c>
      <c r="E110" s="13">
        <v>43052.685798611114</v>
      </c>
      <c r="F110" s="13">
        <v>43052.696018518516</v>
      </c>
      <c r="G110" s="7">
        <v>70</v>
      </c>
      <c r="H110" s="21" t="s">
        <v>448</v>
      </c>
      <c r="I110" s="13">
        <v>43052.724849537037</v>
      </c>
      <c r="J110" s="7">
        <v>0</v>
      </c>
      <c r="K110" s="89" t="str">
        <f t="shared" si="41"/>
        <v>4019/4020</v>
      </c>
      <c r="L110" s="185" t="str">
        <f>VLOOKUP(A110,'Trips&amp;Operators'!$C$1:$G$99911,5,FALSE)</f>
        <v>SAFIEF AEIMEN</v>
      </c>
      <c r="M110" s="6">
        <f t="shared" si="42"/>
        <v>2.8831018520577345E-2</v>
      </c>
      <c r="N110" s="7">
        <f t="shared" si="43"/>
        <v>41.516666669631377</v>
      </c>
      <c r="O110" s="7"/>
      <c r="P110" s="7"/>
      <c r="Q110" s="22"/>
      <c r="R110" s="174"/>
      <c r="S110" s="221">
        <f t="shared" si="44"/>
        <v>1</v>
      </c>
      <c r="T110" s="174" t="str">
        <f t="shared" si="45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6"/>
        <v>https://d0f6bd738d7f1b3e5a7ca70fe4ff75f0.us-east-1.aws.found.io/app/kibana#/discover/Steve-Slow-Train-Analysis-(2080s-and-2083s)?_g=(refreshInterval:(display:Off,pause:!f,section:0,value:0),time:(from:'2017-11-13T15:27:33-0700',mode:absolute,to:'2017-11-13T18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204" t="str">
        <f>IF(AA110&lt;VLOOKUP(AG110,Variables!$AC$3:$AD$8,2,FALSE),"Y","N")</f>
        <v>N</v>
      </c>
      <c r="X110" s="204">
        <f t="shared" si="47"/>
        <v>1</v>
      </c>
      <c r="Y110" s="204">
        <f t="shared" si="48"/>
        <v>23.291699999999999</v>
      </c>
      <c r="Z110" s="204">
        <f t="shared" si="49"/>
        <v>2.1399999999999999E-2</v>
      </c>
      <c r="AA110" s="204">
        <f t="shared" si="50"/>
        <v>23.270299999999999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51"/>
        <v>198</v>
      </c>
      <c r="AE110" s="77" t="str">
        <f t="shared" si="52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110" s="74" t="str">
        <f t="shared" si="53"/>
        <v>"C:\Program Files (x86)\AstroGrep\AstroGrep.exe" /e /r /s /spath="%USERPROFILE%\AppData\Local\Temp\OnboardLogs" /stypes="app*4019*20171114*" /stext=" 00:.+((SYSTEM_STATE.+slice.+state.+changed )|(ment ac)|(multiple cpu faults)|(system.+state.+changed )|(\[timeout)|(PRM\|1\|D)|(kpr)|(kdp)|(train st.+moving)|(\|lc)|(penalty))"</v>
      </c>
      <c r="AG110" s="182" t="str">
        <f t="shared" si="54"/>
        <v>EC</v>
      </c>
      <c r="AH110" s="78" t="str">
        <f t="shared" si="55"/>
        <v>"%USERPROFILE%\Documents\GitHub\eaglep3\Utilities\RefineRTDCRunTimes.py" --tripid 198-13 --locoid 4019 --swversion DE.1.0.9.0 --startMP 204:232917 --initTime 2017-11-13T16:27:33 --startdatetime 2017-11-13T16:42:16 --delay 70 --endMP 204:214 --enddatetime 2017-11-13T17:23:47 --enforcementcount 0 &gt;&gt;%USERPROFILE%\Documents\GitHub\eaglep3-reporting\EC\2017-11-13-refined-times.txt</v>
      </c>
      <c r="AI110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{"issue":{"subject":"","project_id":79,"tracker_id":40,"status_id":1,"priority_id":2,"assigned_to_id":338,"start_date":"2017-11-13","description":"","custom_fields":[{"id":1,"name":"Subdivision","value":"EC"},{"id":4,"name":"Milepost","value":"0.0214"},{"id":17,"name":"Train ID","value":"198-13"},{"id":16,"name":"Locomotive ID","value":"4019"},{"id":130,"name":"Impact","value":""},{"id":150,"name":"Time of Event (Mountain Time)","value":"17:23:47"},{"id":151,"name":"Denver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57"/>
        <v>start /low /b %USERPROFILE%\Documents\GitHub\eaglep3\Utilities\DownloadLogsFromS3.py --loco 4019 --day 2017-11-13</v>
      </c>
      <c r="AN110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9"/>
        <v>https://d0f6bd738d7f1b3e5a7ca70fe4ff75f0.us-east-1.aws.found.io/app/kibana#/discover/Steve-Slow-Train-Analysis-(2080s-and-2083s)?_g=(refreshInterval:(display:Off,pause:!f,section:0,value:0),time:(from:'2017-11-13T15:27:33-0700',mode:absolute,to:'2017-11-13T18:23:47-0700'))&amp;_a=(columns:!('Message%20ID',Summary),filters:!(),index:'emp_*',interval:auto,query:(query_string:(analyze_wildcard:!t,query:'%22rtdc.l.rtdc.4019%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793</v>
      </c>
      <c r="B111" s="7">
        <v>4028</v>
      </c>
      <c r="C111" s="21" t="s">
        <v>192</v>
      </c>
      <c r="D111" s="21" t="s">
        <v>623</v>
      </c>
      <c r="E111" s="13">
        <v>43052.664988425924</v>
      </c>
      <c r="F111" s="13">
        <v>43052.667118055557</v>
      </c>
      <c r="G111" s="7">
        <v>94</v>
      </c>
      <c r="H111" s="21" t="s">
        <v>918</v>
      </c>
      <c r="I111" s="13">
        <v>43052.694444444445</v>
      </c>
      <c r="J111" s="7">
        <v>0</v>
      </c>
      <c r="K111" s="89" t="str">
        <f t="shared" si="41"/>
        <v>4027/4028</v>
      </c>
      <c r="L111" s="185" t="str">
        <f>VLOOKUP(A111,'Trips&amp;Operators'!$C$1:$G$99911,5,FALSE)</f>
        <v>BADERTSCHER DIANE</v>
      </c>
      <c r="M111" s="6">
        <f t="shared" si="42"/>
        <v>2.73263888884685E-2</v>
      </c>
      <c r="N111" s="7">
        <f t="shared" si="43"/>
        <v>39.34999999939464</v>
      </c>
      <c r="O111" s="7"/>
      <c r="P111" s="7"/>
      <c r="Q111" s="22"/>
      <c r="R111" s="174"/>
      <c r="S111" s="221">
        <f t="shared" si="44"/>
        <v>1</v>
      </c>
      <c r="T111" s="174" t="str">
        <f t="shared" si="45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6"/>
        <v>https://d0f6bd738d7f1b3e5a7ca70fe4ff75f0.us-east-1.aws.found.io/app/kibana#/discover/Steve-Slow-Train-Analysis-(2080s-and-2083s)?_g=(refreshInterval:(display:Off,pause:!f,section:0,value:0),time:(from:'2017-11-13T14:57:35-0700',mode:absolute,to:'2017-11-13T17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204" t="str">
        <f>IF(AA111&lt;VLOOKUP(AG111,Variables!$AC$3:$AD$8,2,FALSE),"Y","N")</f>
        <v>N</v>
      </c>
      <c r="X111" s="204">
        <f t="shared" si="47"/>
        <v>1</v>
      </c>
      <c r="Y111" s="204">
        <f t="shared" si="48"/>
        <v>5.7299999999999997E-2</v>
      </c>
      <c r="Z111" s="204">
        <f t="shared" si="49"/>
        <v>23.323799999999999</v>
      </c>
      <c r="AA111" s="204">
        <f t="shared" si="50"/>
        <v>23.266499999999997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51"/>
        <v>199</v>
      </c>
      <c r="AE111" s="77" t="str">
        <f t="shared" si="52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111" s="74" t="str">
        <f t="shared" si="53"/>
        <v>"C:\Program Files (x86)\AstroGrep\AstroGrep.exe" /e /r /s /spath="%USERPROFILE%\AppData\Local\Temp\OnboardLogs" /stypes="app*4028*20171113*" /stext=" 23:.+((SYSTEM_STATE.+slice.+state.+changed )|(ment ac)|(multiple cpu faults)|(system.+state.+changed )|(\[timeout)|(PRM\|1\|D)|(kpr)|(kdp)|(train st.+moving)|(\|lc)|(penalty))"</v>
      </c>
      <c r="AG111" s="182" t="str">
        <f t="shared" si="54"/>
        <v>EC</v>
      </c>
      <c r="AH111" s="78" t="str">
        <f t="shared" si="55"/>
        <v>"%USERPROFILE%\Documents\GitHub\eaglep3\Utilities\RefineRTDCRunTimes.py" --tripid 199-13 --locoid 4028 --swversion DE.1.0.9.0 --startMP 204:573 --initTime 2017-11-13T15:57:35 --startdatetime 2017-11-13T16:00:39 --delay 94 --endMP 204:233238 --enddatetime 2017-11-13T16:40:00 --enforcementcount 0 &gt;&gt;%USERPROFILE%\Documents\GitHub\eaglep3-reporting\EC\2017-11-13-refined-times.txt</v>
      </c>
      <c r="AI11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{"issue":{"subject":"","project_id":79,"tracker_id":40,"status_id":1,"priority_id":2,"assigned_to_id":338,"start_date":"2017-11-13","description":"","custom_fields":[{"id":1,"name":"Subdivision","value":"EC"},{"id":4,"name":"Milepost","value":"23.3238"},{"id":17,"name":"Train ID","value":"199-13"},{"id":16,"name":"Locomotive ID","value":"4028"},{"id":130,"name":"Impact","value":""},{"id":150,"name":"Time of Event (Mountain Time)","value":"16:40:00"},{"id":151,"name":"Denver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57"/>
        <v>start /low /b %USERPROFILE%\Documents\GitHub\eaglep3\Utilities\DownloadLogsFromS3.py --loco 4028 --day 2017-11-13</v>
      </c>
      <c r="AN111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9"/>
        <v>https://d0f6bd738d7f1b3e5a7ca70fe4ff75f0.us-east-1.aws.found.io/app/kibana#/discover/Steve-Slow-Train-Analysis-(2080s-and-2083s)?_g=(refreshInterval:(display:Off,pause:!f,section:0,value:0),time:(from:'2017-11-13T14:57:35-0700',mode:absolute,to:'2017-11-13T17:40:00-0700'))&amp;_a=(columns:!('Message%20ID',Summary),filters:!(),index:'emp_*',interval:auto,query:(query_string:(analyze_wildcard:!t,query:'%22rtdc.l.rtdc.4028%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803</v>
      </c>
      <c r="B112" s="7">
        <v>4027</v>
      </c>
      <c r="C112" s="21" t="s">
        <v>192</v>
      </c>
      <c r="D112" s="21" t="s">
        <v>584</v>
      </c>
      <c r="E112" s="13">
        <v>43052.701331018521</v>
      </c>
      <c r="F112" s="13">
        <v>43052.706423611111</v>
      </c>
      <c r="G112" s="7">
        <v>74</v>
      </c>
      <c r="H112" s="21" t="s">
        <v>532</v>
      </c>
      <c r="I112" s="13">
        <v>43052.738958333335</v>
      </c>
      <c r="J112" s="7">
        <v>0</v>
      </c>
      <c r="K112" s="89" t="str">
        <f t="shared" si="41"/>
        <v>4027/4028</v>
      </c>
      <c r="L112" s="185" t="str">
        <f>VLOOKUP(A112,'Trips&amp;Operators'!$C$1:$G$99911,5,FALSE)</f>
        <v>BADERTSCHER DIANE</v>
      </c>
      <c r="M112" s="6">
        <f t="shared" si="42"/>
        <v>3.2534722224227153E-2</v>
      </c>
      <c r="N112" s="7">
        <f t="shared" si="43"/>
        <v>46.8500000028871</v>
      </c>
      <c r="O112" s="7"/>
      <c r="P112" s="7"/>
      <c r="Q112" s="22"/>
      <c r="R112" s="174"/>
      <c r="S112" s="221">
        <f t="shared" si="44"/>
        <v>1</v>
      </c>
      <c r="T112" s="174" t="str">
        <f t="shared" si="45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6"/>
        <v>https://d0f6bd738d7f1b3e5a7ca70fe4ff75f0.us-east-1.aws.found.io/app/kibana#/discover/Steve-Slow-Train-Analysis-(2080s-and-2083s)?_g=(refreshInterval:(display:Off,pause:!f,section:0,value:0),time:(from:'2017-11-13T15:49:55-0700',mode:absolute,to:'2017-11-13T18:44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204" t="str">
        <f>IF(AA112&lt;VLOOKUP(AG112,Variables!$AC$3:$AD$8,2,FALSE),"Y","N")</f>
        <v>N</v>
      </c>
      <c r="X112" s="204">
        <f t="shared" si="47"/>
        <v>1</v>
      </c>
      <c r="Y112" s="204">
        <f t="shared" si="48"/>
        <v>23.2926</v>
      </c>
      <c r="Z112" s="204">
        <f t="shared" si="49"/>
        <v>1.9800000000000002E-2</v>
      </c>
      <c r="AA112" s="204">
        <f t="shared" si="50"/>
        <v>23.2728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51"/>
        <v>200</v>
      </c>
      <c r="AE112" s="77" t="str">
        <f t="shared" si="52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112" s="74" t="str">
        <f t="shared" si="53"/>
        <v>"C:\Program Files (x86)\AstroGrep\AstroGrep.exe" /e /r /s /spath="%USERPROFILE%\AppData\Local\Temp\OnboardLogs" /stypes="app*4027*20171114*" /stext=" 00:.+((SYSTEM_STATE.+slice.+state.+changed )|(ment ac)|(multiple cpu faults)|(system.+state.+changed )|(\[timeout)|(PRM\|1\|D)|(kpr)|(kdp)|(train st.+moving)|(\|lc)|(penalty))"</v>
      </c>
      <c r="AG112" s="182" t="str">
        <f t="shared" si="54"/>
        <v>EC</v>
      </c>
      <c r="AH112" s="78" t="str">
        <f t="shared" si="55"/>
        <v>"%USERPROFILE%\Documents\GitHub\eaglep3\Utilities\RefineRTDCRunTimes.py" --tripid 200-13 --locoid 4027 --swversion DE.1.0.9.0 --startMP 204:232926 --initTime 2017-11-13T16:49:55 --startdatetime 2017-11-13T16:57:15 --delay 74 --endMP 204:198 --enddatetime 2017-11-13T17:44:06 --enforcementcount 0 &gt;&gt;%USERPROFILE%\Documents\GitHub\eaglep3-reporting\EC\2017-11-13-refined-times.txt</v>
      </c>
      <c r="AI112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{"issue":{"subject":"","project_id":79,"tracker_id":40,"status_id":1,"priority_id":2,"assigned_to_id":338,"start_date":"2017-11-13","description":"","custom_fields":[{"id":1,"name":"Subdivision","value":"EC"},{"id":4,"name":"Milepost","value":"0.0198"},{"id":17,"name":"Train ID","value":"200-13"},{"id":16,"name":"Locomotive ID","value":"4027"},{"id":130,"name":"Impact","value":""},{"id":150,"name":"Time of Event (Mountain Time)","value":"17:44:06"},{"id":151,"name":"Denver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57"/>
        <v>start /low /b %USERPROFILE%\Documents\GitHub\eaglep3\Utilities\DownloadLogsFromS3.py --loco 4027 --day 2017-11-13</v>
      </c>
      <c r="AN112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00:44:06"},{"id":29,"name":"Sharepoint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9"/>
        <v>https://d0f6bd738d7f1b3e5a7ca70fe4ff75f0.us-east-1.aws.found.io/app/kibana#/discover/Steve-Slow-Train-Analysis-(2080s-and-2083s)?_g=(refreshInterval:(display:Off,pause:!f,section:0,value:0),time:(from:'2017-11-13T15:49:55-0700',mode:absolute,to:'2017-11-13T18:44:06-0700'))&amp;_a=(columns:!('Message%20ID',Summary),filters:!(),index:'emp_*',interval:auto,query:(query_string:(analyze_wildcard:!t,query:'%22rtdc.l.rtdc.4027%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797</v>
      </c>
      <c r="B113" s="7">
        <v>4010</v>
      </c>
      <c r="C113" s="21" t="s">
        <v>192</v>
      </c>
      <c r="D113" s="21" t="s">
        <v>620</v>
      </c>
      <c r="E113" s="13">
        <v>43052.674421296295</v>
      </c>
      <c r="F113" s="13">
        <v>43052.677303240744</v>
      </c>
      <c r="G113" s="7">
        <v>59</v>
      </c>
      <c r="H113" s="21" t="s">
        <v>459</v>
      </c>
      <c r="I113" s="13">
        <v>43052.703321759262</v>
      </c>
      <c r="J113" s="7">
        <v>0</v>
      </c>
      <c r="K113" s="89" t="str">
        <f t="shared" si="41"/>
        <v>4009/4010</v>
      </c>
      <c r="L113" s="185" t="str">
        <f>VLOOKUP(A113,'Trips&amp;Operators'!$C$1:$G$99911,5,FALSE)</f>
        <v>SMITH MICHAEL</v>
      </c>
      <c r="M113" s="6">
        <f t="shared" si="42"/>
        <v>2.6018518517958E-2</v>
      </c>
      <c r="N113" s="7">
        <f t="shared" si="43"/>
        <v>37.46666666585952</v>
      </c>
      <c r="O113" s="7"/>
      <c r="P113" s="7"/>
      <c r="Q113" s="22"/>
      <c r="R113" s="174"/>
      <c r="S113" s="221">
        <f t="shared" si="44"/>
        <v>1</v>
      </c>
      <c r="T113" s="174" t="str">
        <f t="shared" si="45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6"/>
        <v>https://d0f6bd738d7f1b3e5a7ca70fe4ff75f0.us-east-1.aws.found.io/app/kibana#/discover/Steve-Slow-Train-Analysis-(2080s-and-2083s)?_g=(refreshInterval:(display:Off,pause:!f,section:0,value:0),time:(from:'2017-11-13T15:11:10-0700',mode:absolute,to:'2017-11-13T17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3" s="204" t="str">
        <f>IF(AA113&lt;VLOOKUP(AG113,Variables!$AC$3:$AD$8,2,FALSE),"Y","N")</f>
        <v>N</v>
      </c>
      <c r="X113" s="204">
        <f t="shared" si="47"/>
        <v>1</v>
      </c>
      <c r="Y113" s="204">
        <f t="shared" si="48"/>
        <v>5.9499999999999997E-2</v>
      </c>
      <c r="Z113" s="204">
        <f t="shared" si="49"/>
        <v>23.328600000000002</v>
      </c>
      <c r="AA113" s="204">
        <f t="shared" si="50"/>
        <v>23.269100000000002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51"/>
        <v>201</v>
      </c>
      <c r="AE113" s="77" t="str">
        <f t="shared" si="52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113" s="74" t="str">
        <f t="shared" si="53"/>
        <v>"C:\Program Files (x86)\AstroGrep\AstroGrep.exe" /e /r /s /spath="%USERPROFILE%\AppData\Local\Temp\OnboardLogs" /stypes="app*4010*20171113*" /stext=" 23:.+((SYSTEM_STATE.+slice.+state.+changed )|(ment ac)|(multiple cpu faults)|(system.+state.+changed )|(\[timeout)|(PRM\|1\|D)|(kpr)|(kdp)|(train st.+moving)|(\|lc)|(penalty))"</v>
      </c>
      <c r="AG113" s="182" t="str">
        <f t="shared" si="54"/>
        <v>EC</v>
      </c>
      <c r="AH113" s="78" t="str">
        <f t="shared" si="55"/>
        <v>"%USERPROFILE%\Documents\GitHub\eaglep3\Utilities\RefineRTDCRunTimes.py" --tripid 201-13 --locoid 4010 --swversion DE.1.0.9.0 --startMP 204:595 --initTime 2017-11-13T16:11:10 --startdatetime 2017-11-13T16:15:19 --delay 59 --endMP 204:233286 --enddatetime 2017-11-13T16:52:47 --enforcementcount 0 &gt;&gt;%USERPROFILE%\Documents\GitHub\eaglep3-reporting\EC\2017-11-13-refined-times.txt</v>
      </c>
      <c r="AI113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{"issue":{"subject":"","project_id":79,"tracker_id":40,"status_id":1,"priority_id":2,"assigned_to_id":338,"start_date":"2017-11-13","description":"","custom_fields":[{"id":1,"name":"Subdivision","value":"EC"},{"id":4,"name":"Milepost","value":"23.3286"},{"id":17,"name":"Train ID","value":"201-13"},{"id":16,"name":"Locomotive ID","value":"4010"},{"id":130,"name":"Impact","value":""},{"id":150,"name":"Time of Event (Mountain Time)","value":"16:52:47"},{"id":151,"name":"Denver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57"/>
        <v>start /low /b %USERPROFILE%\Documents\GitHub\eaglep3\Utilities\DownloadLogsFromS3.py --loco 4010 --day 2017-11-13</v>
      </c>
      <c r="AN113" s="151" t="str">
        <f t="shared" si="58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9"/>
        <v>https://d0f6bd738d7f1b3e5a7ca70fe4ff75f0.us-east-1.aws.found.io/app/kibana#/discover/Steve-Slow-Train-Analysis-(2080s-and-2083s)?_g=(refreshInterval:(display:Off,pause:!f,section:0,value:0),time:(from:'2017-11-13T15:11:10-0700',mode:absolute,to:'2017-11-13T17:52:47-0700'))&amp;_a=(columns:!('Message%20ID',Summary),filters:!(),index:'emp_*',interval:auto,query:(query_string:(analyze_wildcard:!t,query:'%22rtdc.l.rtdc.4010%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807</v>
      </c>
      <c r="B114" s="7">
        <v>4009</v>
      </c>
      <c r="C114" s="21" t="s">
        <v>192</v>
      </c>
      <c r="D114" s="21" t="s">
        <v>872</v>
      </c>
      <c r="E114" s="13">
        <v>43052.709756944445</v>
      </c>
      <c r="F114" s="13">
        <v>43052.716886574075</v>
      </c>
      <c r="G114" s="7">
        <v>61</v>
      </c>
      <c r="H114" s="21" t="s">
        <v>933</v>
      </c>
      <c r="I114" s="13">
        <v>43052.744756944441</v>
      </c>
      <c r="J114" s="7">
        <v>0</v>
      </c>
      <c r="K114" s="89" t="str">
        <f t="shared" si="41"/>
        <v>4009/4010</v>
      </c>
      <c r="L114" s="185" t="str">
        <f>VLOOKUP(A114,'Trips&amp;Operators'!$C$1:$G$99911,5,FALSE)</f>
        <v>SMITH MICHAEL</v>
      </c>
      <c r="M114" s="6">
        <f t="shared" si="42"/>
        <v>2.7870370366144925E-2</v>
      </c>
      <c r="N114" s="7">
        <f t="shared" si="43"/>
        <v>40.133333327248693</v>
      </c>
      <c r="O114" s="7"/>
      <c r="P114" s="7"/>
      <c r="Q114" s="22"/>
      <c r="R114" s="174"/>
      <c r="S114" s="221">
        <f t="shared" si="44"/>
        <v>1</v>
      </c>
      <c r="T114" s="174" t="str">
        <f t="shared" si="45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6"/>
        <v>https://d0f6bd738d7f1b3e5a7ca70fe4ff75f0.us-east-1.aws.found.io/app/kibana#/discover/Steve-Slow-Train-Analysis-(2080s-and-2083s)?_g=(refreshInterval:(display:Off,pause:!f,section:0,value:0),time:(from:'2017-11-13T16:02:03-0700',mode:absolute,to:'2017-11-13T18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204" t="str">
        <f>IF(AA114&lt;VLOOKUP(AG114,Variables!$AC$3:$AD$8,2,FALSE),"Y","N")</f>
        <v>N</v>
      </c>
      <c r="X114" s="204">
        <f t="shared" si="47"/>
        <v>1</v>
      </c>
      <c r="Y114" s="204">
        <f t="shared" si="48"/>
        <v>23.296500000000002</v>
      </c>
      <c r="Z114" s="204">
        <f t="shared" si="49"/>
        <v>2.3800000000000002E-2</v>
      </c>
      <c r="AA114" s="204">
        <f t="shared" si="50"/>
        <v>23.2727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51"/>
        <v>202</v>
      </c>
      <c r="AE114" s="77" t="str">
        <f t="shared" si="52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114" s="74" t="str">
        <f t="shared" si="53"/>
        <v>"C:\Program Files (x86)\AstroGrep\AstroGrep.exe" /e /r /s /spath="%USERPROFILE%\AppData\Local\Temp\OnboardLogs" /stypes="app*4009*20171114*" /stext=" 00:.+((SYSTEM_STATE.+slice.+state.+changed )|(ment ac)|(multiple cpu faults)|(system.+state.+changed )|(\[timeout)|(PRM\|1\|D)|(kpr)|(kdp)|(train st.+moving)|(\|lc)|(penalty))"</v>
      </c>
      <c r="AG114" s="182" t="str">
        <f t="shared" si="54"/>
        <v>EC</v>
      </c>
      <c r="AH114" s="78" t="str">
        <f t="shared" si="55"/>
        <v>"%USERPROFILE%\Documents\GitHub\eaglep3\Utilities\RefineRTDCRunTimes.py" --tripid 202-13 --locoid 4009 --swversion DE.1.0.9.0 --startMP 204:232965 --initTime 2017-11-13T17:02:03 --startdatetime 2017-11-13T17:12:19 --delay 61 --endMP 204:238 --enddatetime 2017-11-13T17:52:27 --enforcementcount 0 &gt;&gt;%USERPROFILE%\Documents\GitHub\eaglep3-reporting\EC\2017-11-13-refined-times.txt</v>
      </c>
      <c r="AI114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{"issue":{"subject":"","project_id":79,"tracker_id":40,"status_id":1,"priority_id":2,"assigned_to_id":338,"start_date":"2017-11-13","description":"","custom_fields":[{"id":1,"name":"Subdivision","value":"EC"},{"id":4,"name":"Milepost","value":"0.0238"},{"id":17,"name":"Train ID","value":"202-13"},{"id":16,"name":"Locomotive ID","value":"4009"},{"id":130,"name":"Impact","value":""},{"id":150,"name":"Time of Event (Mountain Time)","value":"17:52:27"},{"id":151,"name":"Denver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57"/>
        <v>start /low /b %USERPROFILE%\Documents\GitHub\eaglep3\Utilities\DownloadLogsFromS3.py --loco 4009 --day 2017-11-13</v>
      </c>
      <c r="AN114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9"/>
        <v>https://d0f6bd738d7f1b3e5a7ca70fe4ff75f0.us-east-1.aws.found.io/app/kibana#/discover/Steve-Slow-Train-Analysis-(2080s-and-2083s)?_g=(refreshInterval:(display:Off,pause:!f,section:0,value:0),time:(from:'2017-11-13T16:02:03-0700',mode:absolute,to:'2017-11-13T18:52:27-0700'))&amp;_a=(columns:!('Message%20ID',Summary),filters:!(),index:'emp_*',interval:auto,query:(query_string:(analyze_wildcard:!t,query:'%22rtdc.l.rtdc.4009%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800</v>
      </c>
      <c r="B115" s="7">
        <v>4014</v>
      </c>
      <c r="C115" s="21" t="s">
        <v>192</v>
      </c>
      <c r="D115" s="21" t="s">
        <v>924</v>
      </c>
      <c r="E115" s="13">
        <v>43052.68677083333</v>
      </c>
      <c r="F115" s="13">
        <v>43052.688391203701</v>
      </c>
      <c r="G115" s="7">
        <v>67</v>
      </c>
      <c r="H115" s="21" t="s">
        <v>465</v>
      </c>
      <c r="I115" s="13">
        <v>43052.716898148145</v>
      </c>
      <c r="J115" s="7">
        <v>0</v>
      </c>
      <c r="K115" s="89" t="str">
        <f t="shared" si="41"/>
        <v>4013/4014</v>
      </c>
      <c r="L115" s="185" t="str">
        <f>VLOOKUP(A115,'Trips&amp;Operators'!$C$1:$G$99911,5,FALSE)</f>
        <v>DAVIS MICHAEL</v>
      </c>
      <c r="M115" s="6">
        <f t="shared" si="42"/>
        <v>2.8506944443506654E-2</v>
      </c>
      <c r="N115" s="7">
        <f t="shared" si="43"/>
        <v>41.049999998649582</v>
      </c>
      <c r="O115" s="7"/>
      <c r="P115" s="7"/>
      <c r="Q115" s="22"/>
      <c r="R115" s="174"/>
      <c r="S115" s="221">
        <f t="shared" si="44"/>
        <v>1</v>
      </c>
      <c r="T115" s="174" t="str">
        <f t="shared" si="45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6"/>
        <v>https://d0f6bd738d7f1b3e5a7ca70fe4ff75f0.us-east-1.aws.found.io/app/kibana#/discover/Steve-Slow-Train-Analysis-(2080s-and-2083s)?_g=(refreshInterval:(display:Off,pause:!f,section:0,value:0),time:(from:'2017-11-13T15:28:57-0700',mode:absolute,to:'2017-11-13T18:12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204" t="str">
        <f>IF(AA115&lt;VLOOKUP(AG115,Variables!$AC$3:$AD$8,2,FALSE),"Y","N")</f>
        <v>N</v>
      </c>
      <c r="X115" s="204">
        <f t="shared" si="47"/>
        <v>1</v>
      </c>
      <c r="Y115" s="204">
        <f t="shared" si="48"/>
        <v>5.1299999999999998E-2</v>
      </c>
      <c r="Z115" s="204">
        <f t="shared" si="49"/>
        <v>23.3278</v>
      </c>
      <c r="AA115" s="204">
        <f t="shared" si="50"/>
        <v>23.276499999999999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51"/>
        <v>203</v>
      </c>
      <c r="AE115" s="77" t="str">
        <f t="shared" si="52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115" s="74" t="str">
        <f t="shared" si="53"/>
        <v>"C:\Program Files (x86)\AstroGrep\AstroGrep.exe" /e /r /s /spath="%USERPROFILE%\AppData\Local\Temp\OnboardLogs" /stypes="app*4014*20171114*" /stext=" 00:.+((SYSTEM_STATE.+slice.+state.+changed )|(ment ac)|(multiple cpu faults)|(system.+state.+changed )|(\[timeout)|(PRM\|1\|D)|(kpr)|(kdp)|(train st.+moving)|(\|lc)|(penalty))"</v>
      </c>
      <c r="AG115" s="182" t="str">
        <f t="shared" si="54"/>
        <v>EC</v>
      </c>
      <c r="AH115" s="78" t="str">
        <f t="shared" si="55"/>
        <v>"%USERPROFILE%\Documents\GitHub\eaglep3\Utilities\RefineRTDCRunTimes.py" --tripid 203-13 --locoid 4014 --swversion DE.1.0.9.0 --startMP 204:513 --initTime 2017-11-13T16:28:57 --startdatetime 2017-11-13T16:31:17 --delay 67 --endMP 204:233278 --enddatetime 2017-11-13T17:12:20 --enforcementcount 0 &gt;&gt;%USERPROFILE%\Documents\GitHub\eaglep3-reporting\EC\2017-11-13-refined-times.txt</v>
      </c>
      <c r="AI115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{"issue":{"subject":"","project_id":79,"tracker_id":40,"status_id":1,"priority_id":2,"assigned_to_id":338,"start_date":"2017-11-13","description":"","custom_fields":[{"id":1,"name":"Subdivision","value":"EC"},{"id":4,"name":"Milepost","value":"23.3278"},{"id":17,"name":"Train ID","value":"203-13"},{"id":16,"name":"Locomotive ID","value":"4014"},{"id":130,"name":"Impact","value":""},{"id":150,"name":"Time of Event (Mountain Time)","value":"17:12:20"},{"id":151,"name":"Denver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57"/>
        <v>start /low /b %USERPROFILE%\Documents\GitHub\eaglep3\Utilities\DownloadLogsFromS3.py --loco 4014 --day 2017-11-13</v>
      </c>
      <c r="AN115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9"/>
        <v>https://d0f6bd738d7f1b3e5a7ca70fe4ff75f0.us-east-1.aws.found.io/app/kibana#/discover/Steve-Slow-Train-Analysis-(2080s-and-2083s)?_g=(refreshInterval:(display:Off,pause:!f,section:0,value:0),time:(from:'2017-11-13T15:28:57-0700',mode:absolute,to:'2017-11-13T18:12:20-0700'))&amp;_a=(columns:!('Message%20ID',Summary),filters:!(),index:'emp_*',interval:auto,query:(query_string:(analyze_wildcard:!t,query:'%22rtdc.l.rtdc.4014%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812</v>
      </c>
      <c r="B116" s="7">
        <v>4013</v>
      </c>
      <c r="C116" s="21" t="s">
        <v>192</v>
      </c>
      <c r="D116" s="21" t="s">
        <v>619</v>
      </c>
      <c r="E116" s="13">
        <v>43052.724444444444</v>
      </c>
      <c r="F116" s="13">
        <v>43052.727430555555</v>
      </c>
      <c r="G116" s="7">
        <v>66</v>
      </c>
      <c r="H116" s="21" t="s">
        <v>469</v>
      </c>
      <c r="I116" s="13">
        <v>43052.759930555556</v>
      </c>
      <c r="J116" s="7">
        <v>0</v>
      </c>
      <c r="K116" s="89" t="str">
        <f t="shared" si="41"/>
        <v>4013/4014</v>
      </c>
      <c r="L116" s="185" t="str">
        <f>VLOOKUP(A116,'Trips&amp;Operators'!$C$1:$G$99911,5,FALSE)</f>
        <v>DAVIS MICHAEL</v>
      </c>
      <c r="M116" s="6">
        <f t="shared" si="42"/>
        <v>3.2500000001164153E-2</v>
      </c>
      <c r="N116" s="7">
        <f t="shared" si="43"/>
        <v>46.800000001676381</v>
      </c>
      <c r="O116" s="7"/>
      <c r="P116" s="7"/>
      <c r="Q116" s="22"/>
      <c r="R116" s="174"/>
      <c r="S116" s="221">
        <f t="shared" si="44"/>
        <v>1</v>
      </c>
      <c r="T116" s="174" t="str">
        <f t="shared" si="45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6"/>
        <v>https://d0f6bd738d7f1b3e5a7ca70fe4ff75f0.us-east-1.aws.found.io/app/kibana#/discover/Steve-Slow-Train-Analysis-(2080s-and-2083s)?_g=(refreshInterval:(display:Off,pause:!f,section:0,value:0),time:(from:'2017-11-13T16:23:12-0700',mode:absolute,to:'2017-11-13T19:14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204" t="str">
        <f>IF(AA116&lt;VLOOKUP(AG116,Variables!$AC$3:$AD$8,2,FALSE),"Y","N")</f>
        <v>N</v>
      </c>
      <c r="X116" s="204">
        <f t="shared" si="47"/>
        <v>1</v>
      </c>
      <c r="Y116" s="204">
        <f t="shared" si="48"/>
        <v>23.296600000000002</v>
      </c>
      <c r="Z116" s="204">
        <f t="shared" si="49"/>
        <v>2.29E-2</v>
      </c>
      <c r="AA116" s="204">
        <f t="shared" si="50"/>
        <v>23.273700000000002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51"/>
        <v>204</v>
      </c>
      <c r="AE116" s="77" t="str">
        <f t="shared" si="52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116" s="74" t="str">
        <f t="shared" si="53"/>
        <v>"C:\Program Files (x86)\AstroGrep\AstroGrep.exe" /e /r /s /spath="%USERPROFILE%\AppData\Local\Temp\OnboardLogs" /stypes="app*4013*20171114*" /stext=" 01:.+((SYSTEM_STATE.+slice.+state.+changed )|(ment ac)|(multiple cpu faults)|(system.+state.+changed )|(\[timeout)|(PRM\|1\|D)|(kpr)|(kdp)|(train st.+moving)|(\|lc)|(penalty))"</v>
      </c>
      <c r="AG116" s="182" t="str">
        <f t="shared" si="54"/>
        <v>EC</v>
      </c>
      <c r="AH116" s="78" t="str">
        <f t="shared" si="55"/>
        <v>"%USERPROFILE%\Documents\GitHub\eaglep3\Utilities\RefineRTDCRunTimes.py" --tripid 204-13 --locoid 4013 --swversion DE.1.0.9.0 --startMP 204:232966 --initTime 2017-11-13T17:23:12 --startdatetime 2017-11-13T17:27:30 --delay 66 --endMP 204:229 --enddatetime 2017-11-13T18:14:18 --enforcementcount 0 &gt;&gt;%USERPROFILE%\Documents\GitHub\eaglep3-reporting\EC\2017-11-13-refined-times.txt</v>
      </c>
      <c r="AI116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{"issue":{"subject":"","project_id":79,"tracker_id":40,"status_id":1,"priority_id":2,"assigned_to_id":338,"start_date":"2017-11-13","description":"","custom_fields":[{"id":1,"name":"Subdivision","value":"EC"},{"id":4,"name":"Milepost","value":"0.0229"},{"id":17,"name":"Train ID","value":"204-13"},{"id":16,"name":"Locomotive ID","value":"4013"},{"id":130,"name":"Impact","value":""},{"id":150,"name":"Time of Event (Mountain Time)","value":"18:14:18"},{"id":151,"name":"Denver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57"/>
        <v>start /low /b %USERPROFILE%\Documents\GitHub\eaglep3\Utilities\DownloadLogsFromS3.py --loco 4013 --day 2017-11-13</v>
      </c>
      <c r="AN116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01:14:18"},{"id":29,"name":"Sharepoint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9"/>
        <v>https://d0f6bd738d7f1b3e5a7ca70fe4ff75f0.us-east-1.aws.found.io/app/kibana#/discover/Steve-Slow-Train-Analysis-(2080s-and-2083s)?_g=(refreshInterval:(display:Off,pause:!f,section:0,value:0),time:(from:'2017-11-13T16:23:12-0700',mode:absolute,to:'2017-11-13T19:14:18-0700'))&amp;_a=(columns:!('Message%20ID',Summary),filters:!(),index:'emp_*',interval:auto,query:(query_string:(analyze_wildcard:!t,query:'%22rtdc.l.rtdc.4013%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802</v>
      </c>
      <c r="B117" s="7">
        <v>4040</v>
      </c>
      <c r="C117" s="21" t="s">
        <v>192</v>
      </c>
      <c r="D117" s="21" t="s">
        <v>611</v>
      </c>
      <c r="E117" s="13">
        <v>43052.694374999999</v>
      </c>
      <c r="F117" s="13">
        <v>43052.698252314818</v>
      </c>
      <c r="G117" s="7">
        <v>60</v>
      </c>
      <c r="H117" s="21" t="s">
        <v>948</v>
      </c>
      <c r="I117" s="13">
        <v>43052.725300925929</v>
      </c>
      <c r="J117" s="7">
        <v>0</v>
      </c>
      <c r="K117" s="89" t="str">
        <f t="shared" si="41"/>
        <v>4039/4040</v>
      </c>
      <c r="L117" s="185" t="str">
        <f>VLOOKUP(A117,'Trips&amp;Operators'!$C$1:$G$99911,5,FALSE)</f>
        <v>STEWART MICHAEL</v>
      </c>
      <c r="M117" s="6">
        <f t="shared" si="42"/>
        <v>2.7048611111240461E-2</v>
      </c>
      <c r="N117" s="7">
        <f t="shared" si="43"/>
        <v>38.950000000186265</v>
      </c>
      <c r="O117" s="7"/>
      <c r="P117" s="7"/>
      <c r="Q117" s="22"/>
      <c r="R117" s="174"/>
      <c r="S117" s="221">
        <f t="shared" si="44"/>
        <v>1</v>
      </c>
      <c r="T117" s="174" t="str">
        <f t="shared" si="45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6"/>
        <v>https://d0f6bd738d7f1b3e5a7ca70fe4ff75f0.us-east-1.aws.found.io/app/kibana#/discover/Steve-Slow-Train-Analysis-(2080s-and-2083s)?_g=(refreshInterval:(display:Off,pause:!f,section:0,value:0),time:(from:'2017-11-13T15:39:54-0700',mode:absolute,to:'2017-11-13T18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204" t="str">
        <f>IF(AA117&lt;VLOOKUP(AG117,Variables!$AC$3:$AD$8,2,FALSE),"Y","N")</f>
        <v>N</v>
      </c>
      <c r="X117" s="204">
        <f t="shared" si="47"/>
        <v>1</v>
      </c>
      <c r="Y117" s="204">
        <f t="shared" si="48"/>
        <v>5.5100000000000003E-2</v>
      </c>
      <c r="Z117" s="204">
        <f t="shared" si="49"/>
        <v>23.3245</v>
      </c>
      <c r="AA117" s="204">
        <f t="shared" si="50"/>
        <v>23.269400000000001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51"/>
        <v>205</v>
      </c>
      <c r="AE117" s="77" t="str">
        <f t="shared" si="52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17" s="74" t="str">
        <f t="shared" si="53"/>
        <v>"C:\Program Files (x86)\AstroGrep\AstroGrep.exe" /e /r /s /spath="%USERPROFILE%\AppData\Local\Temp\OnboardLogs" /stypes="app*4040*20171114*" /stext=" 00:.+((SYSTEM_STATE.+slice.+state.+changed )|(ment ac)|(multiple cpu faults)|(system.+state.+changed )|(\[timeout)|(PRM\|1\|D)|(kpr)|(kdp)|(train st.+moving)|(\|lc)|(penalty))"</v>
      </c>
      <c r="AG117" s="182" t="str">
        <f t="shared" si="54"/>
        <v>EC</v>
      </c>
      <c r="AH117" s="78" t="str">
        <f t="shared" si="55"/>
        <v>"%USERPROFILE%\Documents\GitHub\eaglep3\Utilities\RefineRTDCRunTimes.py" --tripid 205-13 --locoid 4040 --swversion DE.1.0.9.0 --startMP 204:551 --initTime 2017-11-13T16:39:54 --startdatetime 2017-11-13T16:45:29 --delay 60 --endMP 204:233245 --enddatetime 2017-11-13T17:24:26 --enforcementcount 0 &gt;&gt;%USERPROFILE%\Documents\GitHub\eaglep3-reporting\EC\2017-11-13-refined-times.txt</v>
      </c>
      <c r="AI117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{"issue":{"subject":"","project_id":79,"tracker_id":40,"status_id":1,"priority_id":2,"assigned_to_id":338,"start_date":"2017-11-13","description":"","custom_fields":[{"id":1,"name":"Subdivision","value":"EC"},{"id":4,"name":"Milepost","value":"23.3245"},{"id":17,"name":"Train ID","value":"205-13"},{"id":16,"name":"Locomotive ID","value":"4040"},{"id":130,"name":"Impact","value":""},{"id":150,"name":"Time of Event (Mountain Time)","value":"17:24:26"},{"id":151,"name":"Denver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57"/>
        <v>start /low /b %USERPROFILE%\Documents\GitHub\eaglep3\Utilities\DownloadLogsFromS3.py --loco 4040 --day 2017-11-13</v>
      </c>
      <c r="AN117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9"/>
        <v>https://d0f6bd738d7f1b3e5a7ca70fe4ff75f0.us-east-1.aws.found.io/app/kibana#/discover/Steve-Slow-Train-Analysis-(2080s-and-2083s)?_g=(refreshInterval:(display:Off,pause:!f,section:0,value:0),time:(from:'2017-11-13T15:39:54-0700',mode:absolute,to:'2017-11-13T18:24:26-0700'))&amp;_a=(columns:!('Message%20ID',Summary),filters:!(),index:'emp_*',interval:auto,query:(query_string:(analyze_wildcard:!t,query:'%22rtdc.l.rtdc.4040%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815</v>
      </c>
      <c r="B118" s="7">
        <v>4039</v>
      </c>
      <c r="C118" s="21" t="s">
        <v>192</v>
      </c>
      <c r="D118" s="21" t="s">
        <v>949</v>
      </c>
      <c r="E118" s="13">
        <v>43052.73333333333</v>
      </c>
      <c r="F118" s="13">
        <v>43052.737835648149</v>
      </c>
      <c r="G118" s="7">
        <v>55</v>
      </c>
      <c r="H118" s="21" t="s">
        <v>534</v>
      </c>
      <c r="I118" s="13">
        <v>43052.766018518516</v>
      </c>
      <c r="J118" s="7">
        <v>0</v>
      </c>
      <c r="K118" s="89" t="str">
        <f t="shared" si="41"/>
        <v>4039/4040</v>
      </c>
      <c r="L118" s="185" t="str">
        <f>VLOOKUP(A118,'Trips&amp;Operators'!$C$1:$G$99911,5,FALSE)</f>
        <v>STEWART MICHAEL</v>
      </c>
      <c r="M118" s="6">
        <f t="shared" si="42"/>
        <v>2.8182870366435964E-2</v>
      </c>
      <c r="N118" s="7">
        <f t="shared" si="43"/>
        <v>40.583333327667788</v>
      </c>
      <c r="O118" s="7"/>
      <c r="P118" s="7"/>
      <c r="Q118" s="22"/>
      <c r="R118" s="174"/>
      <c r="S118" s="221">
        <f t="shared" si="44"/>
        <v>1</v>
      </c>
      <c r="T118" s="174" t="str">
        <f t="shared" si="45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6"/>
        <v>https://d0f6bd738d7f1b3e5a7ca70fe4ff75f0.us-east-1.aws.found.io/app/kibana#/discover/Steve-Slow-Train-Analysis-(2080s-and-2083s)?_g=(refreshInterval:(display:Off,pause:!f,section:0,value:0),time:(from:'2017-11-13T16:36:00-0700',mode:absolute,to:'2017-11-13T19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204" t="str">
        <f>IF(AA118&lt;VLOOKUP(AG118,Variables!$AC$3:$AD$8,2,FALSE),"Y","N")</f>
        <v>N</v>
      </c>
      <c r="X118" s="204">
        <f t="shared" si="47"/>
        <v>1</v>
      </c>
      <c r="Y118" s="204">
        <f t="shared" si="48"/>
        <v>23.292899999999999</v>
      </c>
      <c r="Z118" s="204">
        <f t="shared" si="49"/>
        <v>2.3199999999999998E-2</v>
      </c>
      <c r="AA118" s="204">
        <f t="shared" si="50"/>
        <v>23.2697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51"/>
        <v>206</v>
      </c>
      <c r="AE118" s="77" t="str">
        <f t="shared" si="52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18" s="74" t="str">
        <f t="shared" si="53"/>
        <v>"C:\Program Files (x86)\AstroGrep\AstroGrep.exe" /e /r /s /spath="%USERPROFILE%\AppData\Local\Temp\OnboardLogs" /stypes="app*4039*20171114*" /stext=" 01:.+((SYSTEM_STATE.+slice.+state.+changed )|(ment ac)|(multiple cpu faults)|(system.+state.+changed )|(\[timeout)|(PRM\|1\|D)|(kpr)|(kdp)|(train st.+moving)|(\|lc)|(penalty))"</v>
      </c>
      <c r="AG118" s="182" t="str">
        <f t="shared" si="54"/>
        <v>EC</v>
      </c>
      <c r="AH118" s="78" t="str">
        <f t="shared" si="55"/>
        <v>"%USERPROFILE%\Documents\GitHub\eaglep3\Utilities\RefineRTDCRunTimes.py" --tripid 206-13 --locoid 4039 --swversion DE.1.0.9.0 --startMP 204:232929 --initTime 2017-11-13T17:36:00 --startdatetime 2017-11-13T17:42:29 --delay 55 --endMP 204:232 --enddatetime 2017-11-13T18:23:04 --enforcementcount 0 &gt;&gt;%USERPROFILE%\Documents\GitHub\eaglep3-reporting\EC\2017-11-13-refined-times.txt</v>
      </c>
      <c r="AI118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{"issue":{"subject":"","project_id":79,"tracker_id":40,"status_id":1,"priority_id":2,"assigned_to_id":338,"start_date":"2017-11-13","description":"","custom_fields":[{"id":1,"name":"Subdivision","value":"EC"},{"id":4,"name":"Milepost","value":"0.0232"},{"id":17,"name":"Train ID","value":"206-13"},{"id":16,"name":"Locomotive ID","value":"4039"},{"id":130,"name":"Impact","value":""},{"id":150,"name":"Time of Event (Mountain Time)","value":"18:23:04"},{"id":151,"name":"Denver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57"/>
        <v>start /low /b %USERPROFILE%\Documents\GitHub\eaglep3\Utilities\DownloadLogsFromS3.py --loco 4039 --day 2017-11-13</v>
      </c>
      <c r="AN118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9"/>
        <v>https://d0f6bd738d7f1b3e5a7ca70fe4ff75f0.us-east-1.aws.found.io/app/kibana#/discover/Steve-Slow-Train-Analysis-(2080s-and-2083s)?_g=(refreshInterval:(display:Off,pause:!f,section:0,value:0),time:(from:'2017-11-13T16:36:00-0700',mode:absolute,to:'2017-11-13T19:23:04-0700'))&amp;_a=(columns:!('Message%20ID',Summary),filters:!(),index:'emp_*',interval:auto,query:(query_string:(analyze_wildcard:!t,query:'%22rtdc.l.rtdc.4039%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805</v>
      </c>
      <c r="B119" s="7">
        <v>4012</v>
      </c>
      <c r="C119" s="21" t="s">
        <v>192</v>
      </c>
      <c r="D119" s="21" t="s">
        <v>950</v>
      </c>
      <c r="E119" s="13">
        <v>43052.705509259256</v>
      </c>
      <c r="F119" s="13">
        <v>43052.708599537036</v>
      </c>
      <c r="G119" s="7">
        <v>66</v>
      </c>
      <c r="H119" s="21" t="s">
        <v>951</v>
      </c>
      <c r="I119" s="13">
        <v>43052.736724537041</v>
      </c>
      <c r="J119" s="7">
        <v>0</v>
      </c>
      <c r="K119" s="89" t="str">
        <f t="shared" si="41"/>
        <v>4011/4012</v>
      </c>
      <c r="L119" s="185" t="str">
        <f>VLOOKUP(A119,'Trips&amp;Operators'!$C$1:$G$99911,5,FALSE)</f>
        <v>LEVERE CRAIG</v>
      </c>
      <c r="M119" s="6">
        <f t="shared" si="42"/>
        <v>2.8125000004365575E-2</v>
      </c>
      <c r="N119" s="7">
        <f t="shared" si="43"/>
        <v>40.500000006286427</v>
      </c>
      <c r="O119" s="7"/>
      <c r="P119" s="7"/>
      <c r="Q119" s="22"/>
      <c r="R119" s="174"/>
      <c r="S119" s="221">
        <f t="shared" si="44"/>
        <v>1</v>
      </c>
      <c r="T119" s="174" t="str">
        <f t="shared" si="45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6"/>
        <v>https://d0f6bd738d7f1b3e5a7ca70fe4ff75f0.us-east-1.aws.found.io/app/kibana#/discover/Steve-Slow-Train-Analysis-(2080s-and-2083s)?_g=(refreshInterval:(display:Off,pause:!f,section:0,value:0),time:(from:'2017-11-13T15:55:56-0700',mode:absolute,to:'2017-11-13T18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204" t="str">
        <f>IF(AA119&lt;VLOOKUP(AG119,Variables!$AC$3:$AD$8,2,FALSE),"Y","N")</f>
        <v>N</v>
      </c>
      <c r="X119" s="204">
        <f t="shared" si="47"/>
        <v>1</v>
      </c>
      <c r="Y119" s="204">
        <f t="shared" si="48"/>
        <v>5.6000000000000001E-2</v>
      </c>
      <c r="Z119" s="204">
        <f t="shared" si="49"/>
        <v>23.322500000000002</v>
      </c>
      <c r="AA119" s="204">
        <f t="shared" si="50"/>
        <v>23.266500000000001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51"/>
        <v>207</v>
      </c>
      <c r="AE119" s="77" t="str">
        <f t="shared" si="52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119" s="74" t="str">
        <f t="shared" si="53"/>
        <v>"C:\Program Files (x86)\AstroGrep\AstroGrep.exe" /e /r /s /spath="%USERPROFILE%\AppData\Local\Temp\OnboardLogs" /stypes="app*4012*20171114*" /stext=" 00:.+((SYSTEM_STATE.+slice.+state.+changed )|(ment ac)|(multiple cpu faults)|(system.+state.+changed )|(\[timeout)|(PRM\|1\|D)|(kpr)|(kdp)|(train st.+moving)|(\|lc)|(penalty))"</v>
      </c>
      <c r="AG119" s="182" t="str">
        <f t="shared" si="54"/>
        <v>EC</v>
      </c>
      <c r="AH119" s="78" t="str">
        <f t="shared" si="55"/>
        <v>"%USERPROFILE%\Documents\GitHub\eaglep3\Utilities\RefineRTDCRunTimes.py" --tripid 207-13 --locoid 4012 --swversion DE.1.0.9.0 --startMP 204:560 --initTime 2017-11-13T16:55:56 --startdatetime 2017-11-13T17:00:23 --delay 66 --endMP 204:233225 --enddatetime 2017-11-13T17:40:53 --enforcementcount 0 &gt;&gt;%USERPROFILE%\Documents\GitHub\eaglep3-reporting\EC\2017-11-13-refined-times.txt</v>
      </c>
      <c r="AI119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{"issue":{"subject":"","project_id":79,"tracker_id":40,"status_id":1,"priority_id":2,"assigned_to_id":338,"start_date":"2017-11-13","description":"","custom_fields":[{"id":1,"name":"Subdivision","value":"EC"},{"id":4,"name":"Milepost","value":"23.3225"},{"id":17,"name":"Train ID","value":"207-13"},{"id":16,"name":"Locomotive ID","value":"4012"},{"id":130,"name":"Impact","value":""},{"id":150,"name":"Time of Event (Mountain Time)","value":"17:40:53"},{"id":151,"name":"Denver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57"/>
        <v>start /low /b %USERPROFILE%\Documents\GitHub\eaglep3\Utilities\DownloadLogsFromS3.py --loco 4012 --day 2017-11-13</v>
      </c>
      <c r="AN119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9"/>
        <v>https://d0f6bd738d7f1b3e5a7ca70fe4ff75f0.us-east-1.aws.found.io/app/kibana#/discover/Steve-Slow-Train-Analysis-(2080s-and-2083s)?_g=(refreshInterval:(display:Off,pause:!f,section:0,value:0),time:(from:'2017-11-13T15:55:56-0700',mode:absolute,to:'2017-11-13T18:40:53-0700'))&amp;_a=(columns:!('Message%20ID',Summary),filters:!(),index:'emp_*',interval:auto,query:(query_string:(analyze_wildcard:!t,query:'%22rtdc.l.rtdc.4012%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818</v>
      </c>
      <c r="B120" s="7">
        <v>4011</v>
      </c>
      <c r="C120" s="21" t="s">
        <v>192</v>
      </c>
      <c r="D120" s="21" t="s">
        <v>952</v>
      </c>
      <c r="E120" s="13">
        <v>43052.743263888886</v>
      </c>
      <c r="F120" s="13">
        <v>43052.748113425929</v>
      </c>
      <c r="G120" s="7">
        <v>72</v>
      </c>
      <c r="H120" s="21" t="s">
        <v>933</v>
      </c>
      <c r="I120" s="13">
        <v>43052.777395833335</v>
      </c>
      <c r="J120" s="7">
        <v>0</v>
      </c>
      <c r="K120" s="89" t="str">
        <f t="shared" si="41"/>
        <v>4011/4012</v>
      </c>
      <c r="L120" s="185" t="str">
        <f>VLOOKUP(A120,'Trips&amp;Operators'!$C$1:$G$99911,5,FALSE)</f>
        <v>LEVERE CRAIG</v>
      </c>
      <c r="M120" s="6">
        <f t="shared" si="42"/>
        <v>2.9282407405844424E-2</v>
      </c>
      <c r="N120" s="7">
        <f t="shared" si="43"/>
        <v>42.16666666441597</v>
      </c>
      <c r="O120" s="7"/>
      <c r="P120" s="7"/>
      <c r="Q120" s="22"/>
      <c r="R120" s="174"/>
      <c r="S120" s="221">
        <f t="shared" si="44"/>
        <v>1</v>
      </c>
      <c r="T120" s="174" t="str">
        <f t="shared" si="45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6"/>
        <v>https://d0f6bd738d7f1b3e5a7ca70fe4ff75f0.us-east-1.aws.found.io/app/kibana#/discover/Steve-Slow-Train-Analysis-(2080s-and-2083s)?_g=(refreshInterval:(display:Off,pause:!f,section:0,value:0),time:(from:'2017-11-13T16:50:18-0700',mode:absolute,to:'2017-11-13T19:39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204" t="str">
        <f>IF(AA120&lt;VLOOKUP(AG120,Variables!$AC$3:$AD$8,2,FALSE),"Y","N")</f>
        <v>N</v>
      </c>
      <c r="X120" s="204">
        <f t="shared" si="47"/>
        <v>1</v>
      </c>
      <c r="Y120" s="204">
        <f t="shared" si="48"/>
        <v>23.290600000000001</v>
      </c>
      <c r="Z120" s="204">
        <f t="shared" si="49"/>
        <v>2.3800000000000002E-2</v>
      </c>
      <c r="AA120" s="204">
        <f t="shared" si="50"/>
        <v>23.2668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51"/>
        <v>208</v>
      </c>
      <c r="AE120" s="77" t="str">
        <f t="shared" si="52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120" s="74" t="str">
        <f t="shared" si="53"/>
        <v>"C:\Program Files (x86)\AstroGrep\AstroGrep.exe" /e /r /s /spath="%USERPROFILE%\AppData\Local\Temp\OnboardLogs" /stypes="app*4011*20171114*" /stext=" 01:.+((SYSTEM_STATE.+slice.+state.+changed )|(ment ac)|(multiple cpu faults)|(system.+state.+changed )|(\[timeout)|(PRM\|1\|D)|(kpr)|(kdp)|(train st.+moving)|(\|lc)|(penalty))"</v>
      </c>
      <c r="AG120" s="182" t="str">
        <f t="shared" si="54"/>
        <v>EC</v>
      </c>
      <c r="AH120" s="78" t="str">
        <f t="shared" si="55"/>
        <v>"%USERPROFILE%\Documents\GitHub\eaglep3\Utilities\RefineRTDCRunTimes.py" --tripid 208-13 --locoid 4011 --swversion DE.1.0.9.0 --startMP 204:232906 --initTime 2017-11-13T17:50:18 --startdatetime 2017-11-13T17:57:17 --delay 72 --endMP 204:238 --enddatetime 2017-11-13T18:39:27 --enforcementcount 0 &gt;&gt;%USERPROFILE%\Documents\GitHub\eaglep3-reporting\EC\2017-11-13-refined-times.txt</v>
      </c>
      <c r="AI120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{"issue":{"subject":"","project_id":79,"tracker_id":40,"status_id":1,"priority_id":2,"assigned_to_id":338,"start_date":"2017-11-13","description":"","custom_fields":[{"id":1,"name":"Subdivision","value":"EC"},{"id":4,"name":"Milepost","value":"0.0238"},{"id":17,"name":"Train ID","value":"208-13"},{"id":16,"name":"Locomotive ID","value":"4011"},{"id":130,"name":"Impact","value":""},{"id":150,"name":"Time of Event (Mountain Time)","value":"18:39:27"},{"id":151,"name":"Denver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57"/>
        <v>start /low /b %USERPROFILE%\Documents\GitHub\eaglep3\Utilities\DownloadLogsFromS3.py --loco 4011 --day 2017-11-13</v>
      </c>
      <c r="AN120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9"/>
        <v>https://d0f6bd738d7f1b3e5a7ca70fe4ff75f0.us-east-1.aws.found.io/app/kibana#/discover/Steve-Slow-Train-Analysis-(2080s-and-2083s)?_g=(refreshInterval:(display:Off,pause:!f,section:0,value:0),time:(from:'2017-11-13T16:50:18-0700',mode:absolute,to:'2017-11-13T19:39:27-0700'))&amp;_a=(columns:!('Message%20ID',Summary),filters:!(),index:'emp_*',interval:auto,query:(query_string:(analyze_wildcard:!t,query:'%22rtdc.l.rtdc.4011%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811</v>
      </c>
      <c r="B121" s="7">
        <v>4060</v>
      </c>
      <c r="C121" s="21" t="s">
        <v>192</v>
      </c>
      <c r="D121" s="21" t="s">
        <v>461</v>
      </c>
      <c r="E121" s="13">
        <v>43052.716041666667</v>
      </c>
      <c r="F121" s="13">
        <v>43052.718912037039</v>
      </c>
      <c r="G121" s="7">
        <v>50</v>
      </c>
      <c r="H121" s="21" t="s">
        <v>953</v>
      </c>
      <c r="I121" s="13">
        <v>43052.745370370372</v>
      </c>
      <c r="J121" s="7">
        <v>0</v>
      </c>
      <c r="K121" s="89" t="str">
        <f t="shared" si="41"/>
        <v>4059/4060</v>
      </c>
      <c r="L121" s="185" t="str">
        <f>VLOOKUP(A121,'Trips&amp;Operators'!$C$1:$G$99911,5,FALSE)</f>
        <v>GUZMAN DANNY</v>
      </c>
      <c r="M121" s="6">
        <f t="shared" si="42"/>
        <v>2.6458333333721384E-2</v>
      </c>
      <c r="N121" s="7">
        <f t="shared" si="43"/>
        <v>38.100000000558794</v>
      </c>
      <c r="O121" s="7"/>
      <c r="P121" s="7"/>
      <c r="Q121" s="22"/>
      <c r="R121" s="174"/>
      <c r="S121" s="221">
        <f t="shared" si="44"/>
        <v>1</v>
      </c>
      <c r="T121" s="174" t="str">
        <f t="shared" si="45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6"/>
        <v>https://d0f6bd738d7f1b3e5a7ca70fe4ff75f0.us-east-1.aws.found.io/app/kibana#/discover/Steve-Slow-Train-Analysis-(2080s-and-2083s)?_g=(refreshInterval:(display:Off,pause:!f,section:0,value:0),time:(from:'2017-11-13T16:11:06-0700',mode:absolute,to:'2017-11-13T18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04" t="str">
        <f>IF(AA121&lt;VLOOKUP(AG121,Variables!$AC$3:$AD$8,2,FALSE),"Y","N")</f>
        <v>N</v>
      </c>
      <c r="X121" s="204">
        <f t="shared" si="47"/>
        <v>1</v>
      </c>
      <c r="Y121" s="204">
        <f t="shared" si="48"/>
        <v>5.3699999999999998E-2</v>
      </c>
      <c r="Z121" s="204">
        <f t="shared" si="49"/>
        <v>23.314900000000002</v>
      </c>
      <c r="AA121" s="204">
        <f t="shared" si="50"/>
        <v>23.261200000000002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51"/>
        <v>209</v>
      </c>
      <c r="AE121" s="77" t="str">
        <f t="shared" si="52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121" s="74" t="str">
        <f t="shared" si="53"/>
        <v>"C:\Program Files (x86)\AstroGrep\AstroGrep.exe" /e /r /s /spath="%USERPROFILE%\AppData\Local\Temp\OnboardLogs" /stypes="app*4060*20171114*" /stext=" 00:.+((SYSTEM_STATE.+slice.+state.+changed )|(ment ac)|(multiple cpu faults)|(system.+state.+changed )|(\[timeout)|(PRM\|1\|D)|(kpr)|(kdp)|(train st.+moving)|(\|lc)|(penalty))"</v>
      </c>
      <c r="AG121" s="182" t="str">
        <f t="shared" si="54"/>
        <v>EC</v>
      </c>
      <c r="AH121" s="78" t="str">
        <f t="shared" si="55"/>
        <v>"%USERPROFILE%\Documents\GitHub\eaglep3\Utilities\RefineRTDCRunTimes.py" --tripid 209-13 --locoid 4060 --swversion DE.1.0.9.0 --startMP 204:537 --initTime 2017-11-13T17:11:06 --startdatetime 2017-11-13T17:15:14 --delay 50 --endMP 204:233149 --enddatetime 2017-11-13T17:53:20 --enforcementcount 0 &gt;&gt;%USERPROFILE%\Documents\GitHub\eaglep3-reporting\EC\2017-11-13-refined-times.txt</v>
      </c>
      <c r="AI12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{"issue":{"subject":"","project_id":79,"tracker_id":40,"status_id":1,"priority_id":2,"assigned_to_id":338,"start_date":"2017-11-13","description":"","custom_fields":[{"id":1,"name":"Subdivision","value":"EC"},{"id":4,"name":"Milepost","value":"23.3149"},{"id":17,"name":"Train ID","value":"209-13"},{"id":16,"name":"Locomotive ID","value":"4060"},{"id":130,"name":"Impact","value":""},{"id":150,"name":"Time of Event (Mountain Time)","value":"17:53:20"},{"id":151,"name":"Denver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57"/>
        <v>start /low /b %USERPROFILE%\Documents\GitHub\eaglep3\Utilities\DownloadLogsFromS3.py --loco 4060 --day 2017-11-13</v>
      </c>
      <c r="AN121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9"/>
        <v>https://d0f6bd738d7f1b3e5a7ca70fe4ff75f0.us-east-1.aws.found.io/app/kibana#/discover/Steve-Slow-Train-Analysis-(2080s-and-2083s)?_g=(refreshInterval:(display:Off,pause:!f,section:0,value:0),time:(from:'2017-11-13T16:11:06-0700',mode:absolute,to:'2017-11-13T18:53:20-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820</v>
      </c>
      <c r="B122" s="7">
        <v>4059</v>
      </c>
      <c r="C122" s="21" t="s">
        <v>192</v>
      </c>
      <c r="D122" s="21" t="s">
        <v>954</v>
      </c>
      <c r="E122" s="13">
        <v>43052.747164351851</v>
      </c>
      <c r="F122" s="13">
        <v>43052.758518518516</v>
      </c>
      <c r="G122" s="7">
        <v>62</v>
      </c>
      <c r="H122" s="21" t="s">
        <v>955</v>
      </c>
      <c r="I122" s="13">
        <v>43052.788229166668</v>
      </c>
      <c r="J122" s="7">
        <v>0</v>
      </c>
      <c r="K122" s="89" t="str">
        <f t="shared" si="41"/>
        <v>4059/4060</v>
      </c>
      <c r="L122" s="185" t="str">
        <f>VLOOKUP(A122,'Trips&amp;Operators'!$C$1:$G$99911,5,FALSE)</f>
        <v>GUZMAN DANNY</v>
      </c>
      <c r="M122" s="6">
        <f t="shared" si="42"/>
        <v>2.9710648152104113E-2</v>
      </c>
      <c r="N122" s="7">
        <f t="shared" si="43"/>
        <v>42.783333339029923</v>
      </c>
      <c r="O122" s="7"/>
      <c r="P122" s="7"/>
      <c r="Q122" s="22"/>
      <c r="R122" s="174"/>
      <c r="S122" s="221">
        <f t="shared" si="44"/>
        <v>1</v>
      </c>
      <c r="T122" s="174" t="str">
        <f t="shared" si="45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6"/>
        <v>https://d0f6bd738d7f1b3e5a7ca70fe4ff75f0.us-east-1.aws.found.io/app/kibana#/discover/Steve-Slow-Train-Analysis-(2080s-and-2083s)?_g=(refreshInterval:(display:Off,pause:!f,section:0,value:0),time:(from:'2017-11-13T16:55:55-0700',mode:absolute,to:'2017-11-13T19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04" t="str">
        <f>IF(AA122&lt;VLOOKUP(AG122,Variables!$AC$3:$AD$8,2,FALSE),"Y","N")</f>
        <v>N</v>
      </c>
      <c r="X122" s="204">
        <f t="shared" si="47"/>
        <v>1</v>
      </c>
      <c r="Y122" s="204">
        <f t="shared" si="48"/>
        <v>23.284600000000001</v>
      </c>
      <c r="Z122" s="204">
        <f t="shared" si="49"/>
        <v>2.76E-2</v>
      </c>
      <c r="AA122" s="204">
        <f t="shared" si="50"/>
        <v>23.257000000000001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51"/>
        <v>210</v>
      </c>
      <c r="AE122" s="77" t="str">
        <f t="shared" si="52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122" s="74" t="str">
        <f t="shared" si="53"/>
        <v>"C:\Program Files (x86)\AstroGrep\AstroGrep.exe" /e /r /s /spath="%USERPROFILE%\AppData\Local\Temp\OnboardLogs" /stypes="app*4059*20171114*" /stext=" 01:.+((SYSTEM_STATE.+slice.+state.+changed )|(ment ac)|(multiple cpu faults)|(system.+state.+changed )|(\[timeout)|(PRM\|1\|D)|(kpr)|(kdp)|(train st.+moving)|(\|lc)|(penalty))"</v>
      </c>
      <c r="AG122" s="182" t="str">
        <f t="shared" si="54"/>
        <v>EC</v>
      </c>
      <c r="AH122" s="78" t="str">
        <f t="shared" si="55"/>
        <v>"%USERPROFILE%\Documents\GitHub\eaglep3\Utilities\RefineRTDCRunTimes.py" --tripid 210-13 --locoid 4059 --swversion DE.1.0.9.0 --startMP 204:232846 --initTime 2017-11-13T17:55:55 --startdatetime 2017-11-13T18:12:16 --delay 62 --endMP 204:276 --enddatetime 2017-11-13T18:55:03 --enforcementcount 0 &gt;&gt;%USERPROFILE%\Documents\GitHub\eaglep3-reporting\EC\2017-11-13-refined-times.txt</v>
      </c>
      <c r="AI122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{"issue":{"subject":"","project_id":79,"tracker_id":40,"status_id":1,"priority_id":2,"assigned_to_id":338,"start_date":"2017-11-13","description":"","custom_fields":[{"id":1,"name":"Subdivision","value":"EC"},{"id":4,"name":"Milepost","value":"0.0276"},{"id":17,"name":"Train ID","value":"210-13"},{"id":16,"name":"Locomotive ID","value":"4059"},{"id":130,"name":"Impact","value":""},{"id":150,"name":"Time of Event (Mountain Time)","value":"18:55:03"},{"id":151,"name":"Denver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57"/>
        <v>start /low /b %USERPROFILE%\Documents\GitHub\eaglep3\Utilities\DownloadLogsFromS3.py --loco 4059 --day 2017-11-13</v>
      </c>
      <c r="AN122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9"/>
        <v>https://d0f6bd738d7f1b3e5a7ca70fe4ff75f0.us-east-1.aws.found.io/app/kibana#/discover/Steve-Slow-Train-Analysis-(2080s-and-2083s)?_g=(refreshInterval:(display:Off,pause:!f,section:0,value:0),time:(from:'2017-11-13T16:55:55-0700',mode:absolute,to:'2017-11-13T19:55:03-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814</v>
      </c>
      <c r="B123" s="7">
        <v>4020</v>
      </c>
      <c r="C123" s="21" t="s">
        <v>192</v>
      </c>
      <c r="D123" s="21" t="s">
        <v>956</v>
      </c>
      <c r="E123" s="13">
        <v>43052.727106481485</v>
      </c>
      <c r="F123" s="13">
        <v>43052.729363425926</v>
      </c>
      <c r="G123" s="7">
        <v>68</v>
      </c>
      <c r="H123" s="21" t="s">
        <v>574</v>
      </c>
      <c r="I123" s="13">
        <v>43052.75545138889</v>
      </c>
      <c r="J123" s="7">
        <v>0</v>
      </c>
      <c r="K123" s="89" t="str">
        <f t="shared" si="41"/>
        <v>4019/4020</v>
      </c>
      <c r="L123" s="185" t="str">
        <f>VLOOKUP(A123,'Trips&amp;Operators'!$C$1:$G$99911,5,FALSE)</f>
        <v>SAFIEF AEIMEN</v>
      </c>
      <c r="M123" s="6">
        <f t="shared" si="42"/>
        <v>2.6087962964083999E-2</v>
      </c>
      <c r="N123" s="7">
        <f t="shared" si="43"/>
        <v>37.566666668280959</v>
      </c>
      <c r="O123" s="7"/>
      <c r="P123" s="7"/>
      <c r="Q123" s="22"/>
      <c r="R123" s="174"/>
      <c r="S123" s="221">
        <f t="shared" si="44"/>
        <v>1</v>
      </c>
      <c r="T123" s="174" t="str">
        <f t="shared" si="45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6"/>
        <v>https://d0f6bd738d7f1b3e5a7ca70fe4ff75f0.us-east-1.aws.found.io/app/kibana#/discover/Steve-Slow-Train-Analysis-(2080s-and-2083s)?_g=(refreshInterval:(display:Off,pause:!f,section:0,value:0),time:(from:'2017-11-13T16:27:02-0700',mode:absolute,to:'2017-11-13T19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204" t="str">
        <f>IF(AA123&lt;VLOOKUP(AG123,Variables!$AC$3:$AD$8,2,FALSE),"Y","N")</f>
        <v>N</v>
      </c>
      <c r="X123" s="204">
        <f t="shared" si="47"/>
        <v>1</v>
      </c>
      <c r="Y123" s="204">
        <f t="shared" si="48"/>
        <v>5.3100000000000001E-2</v>
      </c>
      <c r="Z123" s="204">
        <f t="shared" si="49"/>
        <v>23.323</v>
      </c>
      <c r="AA123" s="204">
        <f t="shared" si="50"/>
        <v>23.2699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51"/>
        <v>211</v>
      </c>
      <c r="AE123" s="77" t="str">
        <f t="shared" si="52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123" s="74" t="str">
        <f t="shared" si="53"/>
        <v>"C:\Program Files (x86)\AstroGrep\AstroGrep.exe" /e /r /s /spath="%USERPROFILE%\AppData\Local\Temp\OnboardLogs" /stypes="app*4020*20171114*" /stext=" 01:.+((SYSTEM_STATE.+slice.+state.+changed )|(ment ac)|(multiple cpu faults)|(system.+state.+changed )|(\[timeout)|(PRM\|1\|D)|(kpr)|(kdp)|(train st.+moving)|(\|lc)|(penalty))"</v>
      </c>
      <c r="AG123" s="182" t="str">
        <f t="shared" si="54"/>
        <v>EC</v>
      </c>
      <c r="AH123" s="78" t="str">
        <f t="shared" si="55"/>
        <v>"%USERPROFILE%\Documents\GitHub\eaglep3\Utilities\RefineRTDCRunTimes.py" --tripid 211-13 --locoid 4020 --swversion DE.1.0.9.0 --startMP 204:531 --initTime 2017-11-13T17:27:02 --startdatetime 2017-11-13T17:30:17 --delay 68 --endMP 204:233230 --enddatetime 2017-11-13T18:07:51 --enforcementcount 0 &gt;&gt;%USERPROFILE%\Documents\GitHub\eaglep3-reporting\EC\2017-11-13-refined-times.txt</v>
      </c>
      <c r="AI123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{"issue":{"subject":"","project_id":79,"tracker_id":40,"status_id":1,"priority_id":2,"assigned_to_id":338,"start_date":"2017-11-13","description":"","custom_fields":[{"id":1,"name":"Subdivision","value":"EC"},{"id":4,"name":"Milepost","value":"23.323"},{"id":17,"name":"Train ID","value":"211-13"},{"id":16,"name":"Locomotive ID","value":"4020"},{"id":130,"name":"Impact","value":""},{"id":150,"name":"Time of Event (Mountain Time)","value":"18:07:51"},{"id":151,"name":"Denver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57"/>
        <v>start /low /b %USERPROFILE%\Documents\GitHub\eaglep3\Utilities\DownloadLogsFromS3.py --loco 4020 --day 2017-11-13</v>
      </c>
      <c r="AN123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9"/>
        <v>https://d0f6bd738d7f1b3e5a7ca70fe4ff75f0.us-east-1.aws.found.io/app/kibana#/discover/Steve-Slow-Train-Analysis-(2080s-and-2083s)?_g=(refreshInterval:(display:Off,pause:!f,section:0,value:0),time:(from:'2017-11-13T16:27:02-0700',mode:absolute,to:'2017-11-13T19:07:51-0700'))&amp;_a=(columns:!('Message%20ID',Summary),filters:!(),index:'emp_*',interval:auto,query:(query_string:(analyze_wildcard:!t,query:'%22rtdc.l.rtdc.4020%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822</v>
      </c>
      <c r="B124" s="7">
        <v>4019</v>
      </c>
      <c r="C124" s="21" t="s">
        <v>192</v>
      </c>
      <c r="D124" s="21" t="s">
        <v>546</v>
      </c>
      <c r="E124" s="13">
        <v>43052.758946759262</v>
      </c>
      <c r="F124" s="13">
        <v>43052.768923611111</v>
      </c>
      <c r="G124" s="7">
        <v>100</v>
      </c>
      <c r="H124" s="21" t="s">
        <v>451</v>
      </c>
      <c r="I124" s="13">
        <v>43052.798009259262</v>
      </c>
      <c r="J124" s="7">
        <v>0</v>
      </c>
      <c r="K124" s="89" t="str">
        <f t="shared" si="41"/>
        <v>4019/4020</v>
      </c>
      <c r="L124" s="185" t="str">
        <f>VLOOKUP(A124,'Trips&amp;Operators'!$C$1:$G$99911,5,FALSE)</f>
        <v>SAFIEF AEIMEN</v>
      </c>
      <c r="M124" s="6">
        <f t="shared" si="42"/>
        <v>2.9085648151522037E-2</v>
      </c>
      <c r="N124" s="7">
        <f t="shared" si="43"/>
        <v>41.883333338191733</v>
      </c>
      <c r="O124" s="7"/>
      <c r="P124" s="7"/>
      <c r="Q124" s="22"/>
      <c r="R124" s="174"/>
      <c r="S124" s="221">
        <f t="shared" si="44"/>
        <v>1</v>
      </c>
      <c r="T124" s="174" t="str">
        <f t="shared" si="45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6"/>
        <v>https://d0f6bd738d7f1b3e5a7ca70fe4ff75f0.us-east-1.aws.found.io/app/kibana#/discover/Steve-Slow-Train-Analysis-(2080s-and-2083s)?_g=(refreshInterval:(display:Off,pause:!f,section:0,value:0),time:(from:'2017-11-13T17:12:53-0700',mode:absolute,to:'2017-11-13T20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204" t="str">
        <f>IF(AA124&lt;VLOOKUP(AG124,Variables!$AC$3:$AD$8,2,FALSE),"Y","N")</f>
        <v>N</v>
      </c>
      <c r="X124" s="204">
        <f t="shared" si="47"/>
        <v>1</v>
      </c>
      <c r="Y124" s="204">
        <f t="shared" si="48"/>
        <v>23.291699999999999</v>
      </c>
      <c r="Z124" s="204">
        <f t="shared" si="49"/>
        <v>2.07E-2</v>
      </c>
      <c r="AA124" s="204">
        <f t="shared" si="50"/>
        <v>23.270999999999997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51"/>
        <v>212</v>
      </c>
      <c r="AE124" s="77" t="str">
        <f t="shared" si="52"/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AF124" s="74" t="str">
        <f t="shared" si="53"/>
        <v>"C:\Program Files (x86)\AstroGrep\AstroGrep.exe" /e /r /s /spath="%USERPROFILE%\AppData\Local\Temp\OnboardLogs" /stypes="app*4019*20171114*" /stext=" 02:.+((SYSTEM_STATE.+slice.+state.+changed )|(ment ac)|(multiple cpu faults)|(system.+state.+changed )|(\[timeout)|(PRM\|1\|D)|(kpr)|(kdp)|(train st.+moving)|(\|lc)|(penalty))"</v>
      </c>
      <c r="AG124" s="182" t="str">
        <f t="shared" si="54"/>
        <v>EC</v>
      </c>
      <c r="AH124" s="78" t="str">
        <f t="shared" si="55"/>
        <v>"%USERPROFILE%\Documents\GitHub\eaglep3\Utilities\RefineRTDCRunTimes.py" --tripid 212-13 --locoid 4019 --swversion DE.1.0.9.0 --startMP 204:232917 --initTime 2017-11-13T18:12:53 --startdatetime 2017-11-13T18:27:15 --delay 100 --endMP 204:207 --enddatetime 2017-11-13T19:09:08 --enforcementcount 0 &gt;&gt;%USERPROFILE%\Documents\GitHub\eaglep3-reporting\EC\2017-11-13-refined-times.txt</v>
      </c>
      <c r="AI124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{"issue":{"subject":"","project_id":79,"tracker_id":40,"status_id":1,"priority_id":2,"assigned_to_id":338,"start_date":"2017-11-13","description":"","custom_fields":[{"id":1,"name":"Subdivision","value":"EC"},{"id":4,"name":"Milepost","value":"0.0207"},{"id":17,"name":"Train ID","value":"212-13"},{"id":16,"name":"Locomotive ID","value":"4019"},{"id":130,"name":"Impact","value":""},{"id":150,"name":"Time of Event (Mountain Time)","value":"19:09:08"},{"id":151,"name":"Denver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57"/>
        <v>start /low /b %USERPROFILE%\Documents\GitHub\eaglep3\Utilities\DownloadLogsFromS3.py --loco 4019 --day 2017-11-13</v>
      </c>
      <c r="AN124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9"/>
        <v>https://d0f6bd738d7f1b3e5a7ca70fe4ff75f0.us-east-1.aws.found.io/app/kibana#/discover/Steve-Slow-Train-Analysis-(2080s-and-2083s)?_g=(refreshInterval:(display:Off,pause:!f,section:0,value:0),time:(from:'2017-11-13T17:12:53-0700',mode:absolute,to:'2017-11-13T20:09:08-0700'))&amp;_a=(columns:!('Message%20ID',Summary),filters:!(),index:'emp_*',interval:auto,query:(query_string:(analyze_wildcard:!t,query:'%22rtdc.l.rtdc.4019%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817</v>
      </c>
      <c r="B125" s="7">
        <v>4028</v>
      </c>
      <c r="C125" s="21" t="s">
        <v>192</v>
      </c>
      <c r="D125" s="21" t="s">
        <v>924</v>
      </c>
      <c r="E125" s="13">
        <v>43052.740046296298</v>
      </c>
      <c r="F125" s="13">
        <v>43052.741782407407</v>
      </c>
      <c r="G125" s="7">
        <v>68</v>
      </c>
      <c r="H125" s="21" t="s">
        <v>947</v>
      </c>
      <c r="I125" s="13">
        <v>43052.767291666663</v>
      </c>
      <c r="J125" s="7">
        <v>0</v>
      </c>
      <c r="K125" s="89" t="str">
        <f t="shared" si="41"/>
        <v>4027/4028</v>
      </c>
      <c r="L125" s="185" t="str">
        <f>VLOOKUP(A125,'Trips&amp;Operators'!$C$1:$G$99911,5,FALSE)</f>
        <v>LOZA FIDEL</v>
      </c>
      <c r="M125" s="6">
        <f t="shared" si="42"/>
        <v>2.5509259256068617E-2</v>
      </c>
      <c r="N125" s="7">
        <f t="shared" si="43"/>
        <v>36.733333328738809</v>
      </c>
      <c r="O125" s="7"/>
      <c r="P125" s="7"/>
      <c r="Q125" s="22"/>
      <c r="R125" s="174"/>
      <c r="S125" s="221">
        <f t="shared" si="44"/>
        <v>1</v>
      </c>
      <c r="T125" s="174" t="str">
        <f t="shared" si="45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6"/>
        <v>https://d0f6bd738d7f1b3e5a7ca70fe4ff75f0.us-east-1.aws.found.io/app/kibana#/discover/Steve-Slow-Train-Analysis-(2080s-and-2083s)?_g=(refreshInterval:(display:Off,pause:!f,section:0,value:0),time:(from:'2017-11-13T16:45:40-0700',mode:absolute,to:'2017-11-13T19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204" t="str">
        <f>IF(AA125&lt;VLOOKUP(AG125,Variables!$AC$3:$AD$8,2,FALSE),"Y","N")</f>
        <v>N</v>
      </c>
      <c r="X125" s="204">
        <f t="shared" si="47"/>
        <v>1</v>
      </c>
      <c r="Y125" s="204">
        <f t="shared" si="48"/>
        <v>5.1299999999999998E-2</v>
      </c>
      <c r="Z125" s="204">
        <f t="shared" si="49"/>
        <v>23.3218</v>
      </c>
      <c r="AA125" s="204">
        <f t="shared" si="50"/>
        <v>23.270499999999998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51"/>
        <v>213</v>
      </c>
      <c r="AE125" s="77" t="str">
        <f t="shared" si="52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125" s="74" t="str">
        <f t="shared" si="53"/>
        <v>"C:\Program Files (x86)\AstroGrep\AstroGrep.exe" /e /r /s /spath="%USERPROFILE%\AppData\Local\Temp\OnboardLogs" /stypes="app*4028*20171114*" /stext=" 01:.+((SYSTEM_STATE.+slice.+state.+changed )|(ment ac)|(multiple cpu faults)|(system.+state.+changed )|(\[timeout)|(PRM\|1\|D)|(kpr)|(kdp)|(train st.+moving)|(\|lc)|(penalty))"</v>
      </c>
      <c r="AG125" s="182" t="str">
        <f t="shared" si="54"/>
        <v>EC</v>
      </c>
      <c r="AH125" s="78" t="str">
        <f t="shared" si="55"/>
        <v>"%USERPROFILE%\Documents\GitHub\eaglep3\Utilities\RefineRTDCRunTimes.py" --tripid 213-13 --locoid 4028 --swversion DE.1.0.9.0 --startMP 204:513 --initTime 2017-11-13T17:45:40 --startdatetime 2017-11-13T17:48:10 --delay 68 --endMP 204:233218 --enddatetime 2017-11-13T18:24:54 --enforcementcount 0 &gt;&gt;%USERPROFILE%\Documents\GitHub\eaglep3-reporting\EC\2017-11-13-refined-times.txt</v>
      </c>
      <c r="AI125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{"issue":{"subject":"","project_id":79,"tracker_id":40,"status_id":1,"priority_id":2,"assigned_to_id":338,"start_date":"2017-11-13","description":"","custom_fields":[{"id":1,"name":"Subdivision","value":"EC"},{"id":4,"name":"Milepost","value":"23.3218"},{"id":17,"name":"Train ID","value":"213-13"},{"id":16,"name":"Locomotive ID","value":"4028"},{"id":130,"name":"Impact","value":""},{"id":150,"name":"Time of Event (Mountain Time)","value":"18:24:54"},{"id":151,"name":"Denver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57"/>
        <v>start /low /b %USERPROFILE%\Documents\GitHub\eaglep3\Utilities\DownloadLogsFromS3.py --loco 4028 --day 2017-11-13</v>
      </c>
      <c r="AN125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9"/>
        <v>https://d0f6bd738d7f1b3e5a7ca70fe4ff75f0.us-east-1.aws.found.io/app/kibana#/discover/Steve-Slow-Train-Analysis-(2080s-and-2083s)?_g=(refreshInterval:(display:Off,pause:!f,section:0,value:0),time:(from:'2017-11-13T16:45:40-0700',mode:absolute,to:'2017-11-13T19:24:54-0700'))&amp;_a=(columns:!('Message%20ID',Summary),filters:!(),index:'emp_*',interval:auto,query:(query_string:(analyze_wildcard:!t,query:'%22rtdc.l.rtdc.4028%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651</v>
      </c>
      <c r="B126" s="7">
        <v>4027</v>
      </c>
      <c r="C126" s="21" t="s">
        <v>192</v>
      </c>
      <c r="D126" s="21" t="s">
        <v>957</v>
      </c>
      <c r="E126" s="13">
        <v>43052.775046296294</v>
      </c>
      <c r="F126" s="13">
        <v>43052.780740740738</v>
      </c>
      <c r="G126" s="7">
        <v>101</v>
      </c>
      <c r="H126" s="21" t="s">
        <v>479</v>
      </c>
      <c r="I126" s="13">
        <v>43052.809687499997</v>
      </c>
      <c r="J126" s="7">
        <v>0</v>
      </c>
      <c r="K126" s="89" t="str">
        <f t="shared" si="41"/>
        <v>4027/4028</v>
      </c>
      <c r="L126" s="185" t="str">
        <f>VLOOKUP(A126,'Trips&amp;Operators'!$C$1:$G$99911,5,FALSE)</f>
        <v>LOZA FIDEL</v>
      </c>
      <c r="M126" s="6">
        <f t="shared" si="42"/>
        <v>2.8946759259270038E-2</v>
      </c>
      <c r="N126" s="7">
        <f t="shared" si="43"/>
        <v>41.683333333348855</v>
      </c>
      <c r="O126" s="7"/>
      <c r="P126" s="7"/>
      <c r="Q126" s="22"/>
      <c r="R126" s="174"/>
      <c r="S126" s="221">
        <f t="shared" si="44"/>
        <v>1</v>
      </c>
      <c r="T126" s="174" t="str">
        <f t="shared" si="45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6"/>
        <v>https://d0f6bd738d7f1b3e5a7ca70fe4ff75f0.us-east-1.aws.found.io/app/kibana#/discover/Steve-Slow-Train-Analysis-(2080s-and-2083s)?_g=(refreshInterval:(display:Off,pause:!f,section:0,value:0),time:(from:'2017-11-13T17:36:04-0700',mode:absolute,to:'2017-11-13T20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204" t="str">
        <f>IF(AA126&lt;VLOOKUP(AG126,Variables!$AC$3:$AD$8,2,FALSE),"Y","N")</f>
        <v>N</v>
      </c>
      <c r="X126" s="204">
        <f t="shared" si="47"/>
        <v>1</v>
      </c>
      <c r="Y126" s="204">
        <f t="shared" si="48"/>
        <v>23.290500000000002</v>
      </c>
      <c r="Z126" s="204">
        <f t="shared" si="49"/>
        <v>2.2700000000000001E-2</v>
      </c>
      <c r="AA126" s="204">
        <f t="shared" si="50"/>
        <v>23.267800000000001</v>
      </c>
      <c r="AB126" s="54" t="str">
        <f>VLOOKUP(A126,Enforcements!$C$7:$K$9,8,0)</f>
        <v>Bulletin (2)</v>
      </c>
      <c r="AC126" s="51" t="str">
        <f>VLOOKUP(A126,Enforcements!$C$7:$E$9,3,0)</f>
        <v>GRADE CROSSING</v>
      </c>
      <c r="AD126" s="179">
        <f t="shared" si="51"/>
        <v>214</v>
      </c>
      <c r="AE126" s="77" t="str">
        <f t="shared" si="52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126" s="74" t="str">
        <f t="shared" si="53"/>
        <v>"C:\Program Files (x86)\AstroGrep\AstroGrep.exe" /e /r /s /spath="%USERPROFILE%\AppData\Local\Temp\OnboardLogs" /stypes="app*4027*20171114*" /stext=" 02:.+((SYSTEM_STATE.+slice.+state.+changed )|(ment ac)|(multiple cpu faults)|(system.+state.+changed )|(\[timeout)|(PRM\|1\|D)|(kpr)|(kdp)|(train st.+moving)|(\|lc)|(penalty))"</v>
      </c>
      <c r="AG126" s="182" t="str">
        <f t="shared" si="54"/>
        <v>EC</v>
      </c>
      <c r="AH126" s="78" t="str">
        <f t="shared" si="55"/>
        <v>"%USERPROFILE%\Documents\GitHub\eaglep3\Utilities\RefineRTDCRunTimes.py" --tripid 214-13 --locoid 4027 --swversion DE.1.0.9.0 --startMP 204:232905 --initTime 2017-11-13T18:36:04 --startdatetime 2017-11-13T18:44:16 --delay 101 --endMP 204:227 --enddatetime 2017-11-13T19:25:57 --enforcementcount 0 &gt;&gt;%USERPROFILE%\Documents\GitHub\eaglep3-reporting\EC\2017-11-13-refined-times.txt</v>
      </c>
      <c r="AI126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{"issue":{"subject":"","project_id":79,"tracker_id":40,"status_id":1,"priority_id":2,"assigned_to_id":338,"start_date":"2017-11-13","description":"","custom_fields":[{"id":1,"name":"Subdivision","value":"EC"},{"id":4,"name":"Milepost","value":"0.0227"},{"id":17,"name":"Train ID","value":"214-13"},{"id":16,"name":"Locomotive ID","value":"4027"},{"id":130,"name":"Impact","value":""},{"id":150,"name":"Time of Event (Mountain Time)","value":"19:25:57"},{"id":151,"name":"Denver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57"/>
        <v>start /low /b %USERPROFILE%\Documents\GitHub\eaglep3\Utilities\DownloadLogsFromS3.py --loco 4027 --day 2017-11-13</v>
      </c>
      <c r="AN126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9"/>
        <v>https://d0f6bd738d7f1b3e5a7ca70fe4ff75f0.us-east-1.aws.found.io/app/kibana#/discover/Steve-Slow-Train-Analysis-(2080s-and-2083s)?_g=(refreshInterval:(display:Off,pause:!f,section:0,value:0),time:(from:'2017-11-13T17:36:04-0700',mode:absolute,to:'2017-11-13T20:25:57-0700'))&amp;_a=(columns:!('Message%20ID',Summary),filters:!(),index:'emp_*',interval:auto,query:(query_string:(analyze_wildcard:!t,query:'%22rtdc.l.rtdc.4027%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819</v>
      </c>
      <c r="B127" s="7">
        <v>4010</v>
      </c>
      <c r="C127" s="21" t="s">
        <v>192</v>
      </c>
      <c r="D127" s="21" t="s">
        <v>930</v>
      </c>
      <c r="E127" s="13">
        <v>43052.74658564815</v>
      </c>
      <c r="F127" s="13">
        <v>43052.750277777777</v>
      </c>
      <c r="G127" s="7">
        <v>67</v>
      </c>
      <c r="H127" s="21" t="s">
        <v>885</v>
      </c>
      <c r="I127" s="13">
        <v>43052.777141203704</v>
      </c>
      <c r="J127" s="7">
        <v>0</v>
      </c>
      <c r="K127" s="89" t="str">
        <f t="shared" si="41"/>
        <v>4009/4010</v>
      </c>
      <c r="L127" s="185" t="str">
        <f>VLOOKUP(A127,'Trips&amp;Operators'!$C$1:$G$99911,5,FALSE)</f>
        <v>SMITH MICHAEL</v>
      </c>
      <c r="M127" s="6">
        <f t="shared" si="42"/>
        <v>2.6863425926421769E-2</v>
      </c>
      <c r="N127" s="7">
        <f t="shared" si="43"/>
        <v>38.683333334047347</v>
      </c>
      <c r="O127" s="7"/>
      <c r="P127" s="7"/>
      <c r="Q127" s="22"/>
      <c r="R127" s="174"/>
      <c r="S127" s="221">
        <f t="shared" si="44"/>
        <v>1</v>
      </c>
      <c r="T127" s="174" t="str">
        <f t="shared" si="45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6"/>
        <v>https://d0f6bd738d7f1b3e5a7ca70fe4ff75f0.us-east-1.aws.found.io/app/kibana#/discover/Steve-Slow-Train-Analysis-(2080s-and-2083s)?_g=(refreshInterval:(display:Off,pause:!f,section:0,value:0),time:(from:'2017-11-13T16:55:05-0700',mode:absolute,to:'2017-11-13T19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204" t="str">
        <f>IF(AA127&lt;VLOOKUP(AG127,Variables!$AC$3:$AD$8,2,FALSE),"Y","N")</f>
        <v>N</v>
      </c>
      <c r="X127" s="204">
        <f t="shared" si="47"/>
        <v>1</v>
      </c>
      <c r="Y127" s="204">
        <f t="shared" si="48"/>
        <v>5.3900000000000003E-2</v>
      </c>
      <c r="Z127" s="204">
        <f t="shared" si="49"/>
        <v>23.33</v>
      </c>
      <c r="AA127" s="204">
        <f t="shared" si="50"/>
        <v>23.2761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51"/>
        <v>215</v>
      </c>
      <c r="AE127" s="77" t="str">
        <f t="shared" si="52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127" s="74" t="str">
        <f t="shared" si="53"/>
        <v>"C:\Program Files (x86)\AstroGrep\AstroGrep.exe" /e /r /s /spath="%USERPROFILE%\AppData\Local\Temp\OnboardLogs" /stypes="app*4010*20171114*" /stext=" 01:.+((SYSTEM_STATE.+slice.+state.+changed )|(ment ac)|(multiple cpu faults)|(system.+state.+changed )|(\[timeout)|(PRM\|1\|D)|(kpr)|(kdp)|(train st.+moving)|(\|lc)|(penalty))"</v>
      </c>
      <c r="AG127" s="182" t="str">
        <f t="shared" si="54"/>
        <v>EC</v>
      </c>
      <c r="AH127" s="78" t="str">
        <f t="shared" si="55"/>
        <v>"%USERPROFILE%\Documents\GitHub\eaglep3\Utilities\RefineRTDCRunTimes.py" --tripid 215-13 --locoid 4010 --swversion DE.1.0.9.0 --startMP 204:539 --initTime 2017-11-13T17:55:05 --startdatetime 2017-11-13T18:00:24 --delay 67 --endMP 204:233300 --enddatetime 2017-11-13T18:39:05 --enforcementcount 0 &gt;&gt;%USERPROFILE%\Documents\GitHub\eaglep3-reporting\EC\2017-11-13-refined-times.txt</v>
      </c>
      <c r="AI127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{"issue":{"subject":"","project_id":79,"tracker_id":40,"status_id":1,"priority_id":2,"assigned_to_id":338,"start_date":"2017-11-13","description":"","custom_fields":[{"id":1,"name":"Subdivision","value":"EC"},{"id":4,"name":"Milepost","value":"23.33"},{"id":17,"name":"Train ID","value":"215-13"},{"id":16,"name":"Locomotive ID","value":"4010"},{"id":130,"name":"Impact","value":""},{"id":150,"name":"Time of Event (Mountain Time)","value":"18:39:05"},{"id":151,"name":"Denver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57"/>
        <v>start /low /b %USERPROFILE%\Documents\GitHub\eaglep3\Utilities\DownloadLogsFromS3.py --loco 4010 --day 2017-11-13</v>
      </c>
      <c r="AN127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9"/>
        <v>https://d0f6bd738d7f1b3e5a7ca70fe4ff75f0.us-east-1.aws.found.io/app/kibana#/discover/Steve-Slow-Train-Analysis-(2080s-and-2083s)?_g=(refreshInterval:(display:Off,pause:!f,section:0,value:0),time:(from:'2017-11-13T16:55:05-0700',mode:absolute,to:'2017-11-13T19:39:05-0700'))&amp;_a=(columns:!('Message%20ID',Summary),filters:!(),index:'emp_*',interval:auto,query:(query_string:(analyze_wildcard:!t,query:'%22rtdc.l.rtdc.4010%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828</v>
      </c>
      <c r="B128" s="7">
        <v>4009</v>
      </c>
      <c r="C128" s="21" t="s">
        <v>192</v>
      </c>
      <c r="D128" s="21" t="s">
        <v>609</v>
      </c>
      <c r="E128" s="13">
        <v>43052.783321759256</v>
      </c>
      <c r="F128" s="13">
        <v>43052.789768518516</v>
      </c>
      <c r="G128" s="7">
        <v>61</v>
      </c>
      <c r="H128" s="21" t="s">
        <v>958</v>
      </c>
      <c r="I128" s="13">
        <v>43052.819155092591</v>
      </c>
      <c r="J128" s="7">
        <v>0</v>
      </c>
      <c r="K128" s="89" t="str">
        <f t="shared" si="41"/>
        <v>4009/4010</v>
      </c>
      <c r="L128" s="185" t="str">
        <f>VLOOKUP(A128,'Trips&amp;Operators'!$C$1:$G$99911,5,FALSE)</f>
        <v>SMITH MICHAEL</v>
      </c>
      <c r="M128" s="6">
        <f t="shared" si="42"/>
        <v>2.9386574075033423E-2</v>
      </c>
      <c r="N128" s="7">
        <f t="shared" si="43"/>
        <v>42.316666668048128</v>
      </c>
      <c r="O128" s="7"/>
      <c r="P128" s="7"/>
      <c r="Q128" s="22"/>
      <c r="R128" s="174"/>
      <c r="S128" s="221">
        <f t="shared" si="44"/>
        <v>1</v>
      </c>
      <c r="T128" s="174" t="str">
        <f t="shared" si="45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6"/>
        <v>https://d0f6bd738d7f1b3e5a7ca70fe4ff75f0.us-east-1.aws.found.io/app/kibana#/discover/Steve-Slow-Train-Analysis-(2080s-and-2083s)?_g=(refreshInterval:(display:Off,pause:!f,section:0,value:0),time:(from:'2017-11-13T17:47:59-0700',mode:absolute,to:'2017-11-13T20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204" t="str">
        <f>IF(AA128&lt;VLOOKUP(AG128,Variables!$AC$3:$AD$8,2,FALSE),"Y","N")</f>
        <v>N</v>
      </c>
      <c r="X128" s="204">
        <f t="shared" si="47"/>
        <v>1</v>
      </c>
      <c r="Y128" s="204">
        <f t="shared" si="48"/>
        <v>23.298300000000001</v>
      </c>
      <c r="Z128" s="204">
        <f t="shared" si="49"/>
        <v>2.5999999999999999E-2</v>
      </c>
      <c r="AA128" s="204">
        <f t="shared" si="50"/>
        <v>23.272300000000001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51"/>
        <v>216</v>
      </c>
      <c r="AE128" s="77" t="str">
        <f t="shared" si="52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128" s="74" t="str">
        <f t="shared" si="53"/>
        <v>"C:\Program Files (x86)\AstroGrep\AstroGrep.exe" /e /r /s /spath="%USERPROFILE%\AppData\Local\Temp\OnboardLogs" /stypes="app*4009*20171114*" /stext=" 02:.+((SYSTEM_STATE.+slice.+state.+changed )|(ment ac)|(multiple cpu faults)|(system.+state.+changed )|(\[timeout)|(PRM\|1\|D)|(kpr)|(kdp)|(train st.+moving)|(\|lc)|(penalty))"</v>
      </c>
      <c r="AG128" s="182" t="str">
        <f t="shared" si="54"/>
        <v>EC</v>
      </c>
      <c r="AH128" s="78" t="str">
        <f t="shared" si="55"/>
        <v>"%USERPROFILE%\Documents\GitHub\eaglep3\Utilities\RefineRTDCRunTimes.py" --tripid 216-13 --locoid 4009 --swversion DE.1.0.9.0 --startMP 204:232983 --initTime 2017-11-13T18:47:59 --startdatetime 2017-11-13T18:57:16 --delay 61 --endMP 204:260 --enddatetime 2017-11-13T19:39:35 --enforcementcount 0 &gt;&gt;%USERPROFILE%\Documents\GitHub\eaglep3-reporting\EC\2017-11-13-refined-times.txt</v>
      </c>
      <c r="AI128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{"issue":{"subject":"","project_id":79,"tracker_id":40,"status_id":1,"priority_id":2,"assigned_to_id":338,"start_date":"2017-11-13","description":"","custom_fields":[{"id":1,"name":"Subdivision","value":"EC"},{"id":4,"name":"Milepost","value":"0.026"},{"id":17,"name":"Train ID","value":"216-13"},{"id":16,"name":"Locomotive ID","value":"4009"},{"id":130,"name":"Impact","value":""},{"id":150,"name":"Time of Event (Mountain Time)","value":"19:39:35"},{"id":151,"name":"Denver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57"/>
        <v>start /low /b %USERPROFILE%\Documents\GitHub\eaglep3\Utilities\DownloadLogsFromS3.py --loco 4009 --day 2017-11-13</v>
      </c>
      <c r="AN128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9"/>
        <v>https://d0f6bd738d7f1b3e5a7ca70fe4ff75f0.us-east-1.aws.found.io/app/kibana#/discover/Steve-Slow-Train-Analysis-(2080s-and-2083s)?_g=(refreshInterval:(display:Off,pause:!f,section:0,value:0),time:(from:'2017-11-13T17:47:59-0700',mode:absolute,to:'2017-11-13T20:39:35-0700'))&amp;_a=(columns:!('Message%20ID',Summary),filters:!(),index:'emp_*',interval:auto,query:(query_string:(analyze_wildcard:!t,query:'%22rtdc.l.rtdc.4009%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823</v>
      </c>
      <c r="B129" s="7">
        <v>4014</v>
      </c>
      <c r="C129" s="21" t="s">
        <v>192</v>
      </c>
      <c r="D129" s="21" t="s">
        <v>959</v>
      </c>
      <c r="E129" s="13">
        <v>43052.76189814815</v>
      </c>
      <c r="F129" s="13">
        <v>43052.764050925929</v>
      </c>
      <c r="G129" s="7">
        <v>83</v>
      </c>
      <c r="H129" s="21" t="s">
        <v>587</v>
      </c>
      <c r="I129" s="13">
        <v>43052.789988425924</v>
      </c>
      <c r="J129" s="7">
        <v>0</v>
      </c>
      <c r="K129" s="89" t="str">
        <f t="shared" si="41"/>
        <v>4013/4014</v>
      </c>
      <c r="L129" s="185" t="str">
        <f>VLOOKUP(A129,'Trips&amp;Operators'!$C$1:$G$99911,5,FALSE)</f>
        <v>RESPASS AARON</v>
      </c>
      <c r="M129" s="6">
        <f t="shared" si="42"/>
        <v>2.5937499995052349E-2</v>
      </c>
      <c r="N129" s="7">
        <f t="shared" si="43"/>
        <v>37.349999992875382</v>
      </c>
      <c r="O129" s="7"/>
      <c r="P129" s="7"/>
      <c r="Q129" s="22"/>
      <c r="R129" s="174"/>
      <c r="S129" s="221">
        <f t="shared" si="44"/>
        <v>1</v>
      </c>
      <c r="T129" s="174" t="str">
        <f t="shared" si="45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6"/>
        <v>https://d0f6bd738d7f1b3e5a7ca70fe4ff75f0.us-east-1.aws.found.io/app/kibana#/discover/Steve-Slow-Train-Analysis-(2080s-and-2083s)?_g=(refreshInterval:(display:Off,pause:!f,section:0,value:0),time:(from:'2017-11-13T17:17:08-0700',mode:absolute,to:'2017-11-13T19:57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204" t="str">
        <f>IF(AA129&lt;VLOOKUP(AG129,Variables!$AC$3:$AD$8,2,FALSE),"Y","N")</f>
        <v>N</v>
      </c>
      <c r="X129" s="204">
        <f t="shared" si="47"/>
        <v>1</v>
      </c>
      <c r="Y129" s="204">
        <f t="shared" si="48"/>
        <v>5.4199999999999998E-2</v>
      </c>
      <c r="Z129" s="204">
        <f t="shared" si="49"/>
        <v>23.322600000000001</v>
      </c>
      <c r="AA129" s="204">
        <f t="shared" si="50"/>
        <v>23.2684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51"/>
        <v>217</v>
      </c>
      <c r="AE129" s="77" t="str">
        <f t="shared" si="52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129" s="74" t="str">
        <f t="shared" si="53"/>
        <v>"C:\Program Files (x86)\AstroGrep\AstroGrep.exe" /e /r /s /spath="%USERPROFILE%\AppData\Local\Temp\OnboardLogs" /stypes="app*4014*20171114*" /stext=" 01:.+((SYSTEM_STATE.+slice.+state.+changed )|(ment ac)|(multiple cpu faults)|(system.+state.+changed )|(\[timeout)|(PRM\|1\|D)|(kpr)|(kdp)|(train st.+moving)|(\|lc)|(penalty))"</v>
      </c>
      <c r="AG129" s="182" t="str">
        <f t="shared" si="54"/>
        <v>EC</v>
      </c>
      <c r="AH129" s="78" t="str">
        <f t="shared" si="55"/>
        <v>"%USERPROFILE%\Documents\GitHub\eaglep3\Utilities\RefineRTDCRunTimes.py" --tripid 217-13 --locoid 4014 --swversion DE.1.0.9.0 --startMP 204:542 --initTime 2017-11-13T18:17:08 --startdatetime 2017-11-13T18:20:14 --delay 83 --endMP 204:233226 --enddatetime 2017-11-13T18:57:35 --enforcementcount 0 &gt;&gt;%USERPROFILE%\Documents\GitHub\eaglep3-reporting\EC\2017-11-13-refined-times.txt</v>
      </c>
      <c r="AI129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{"issue":{"subject":"","project_id":79,"tracker_id":40,"status_id":1,"priority_id":2,"assigned_to_id":338,"start_date":"2017-11-13","description":"","custom_fields":[{"id":1,"name":"Subdivision","value":"EC"},{"id":4,"name":"Milepost","value":"23.3226"},{"id":17,"name":"Train ID","value":"217-13"},{"id":16,"name":"Locomotive ID","value":"4014"},{"id":130,"name":"Impact","value":""},{"id":150,"name":"Time of Event (Mountain Time)","value":"18:57:35"},{"id":151,"name":"Denver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57"/>
        <v>start /low /b %USERPROFILE%\Documents\GitHub\eaglep3\Utilities\DownloadLogsFromS3.py --loco 4014 --day 2017-11-13</v>
      </c>
      <c r="AN129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9"/>
        <v>https://d0f6bd738d7f1b3e5a7ca70fe4ff75f0.us-east-1.aws.found.io/app/kibana#/discover/Steve-Slow-Train-Analysis-(2080s-and-2083s)?_g=(refreshInterval:(display:Off,pause:!f,section:0,value:0),time:(from:'2017-11-13T17:17:08-0700',mode:absolute,to:'2017-11-13T19:57:35-0700'))&amp;_a=(columns:!('Message%20ID',Summary),filters:!(),index:'emp_*',interval:auto,query:(query_string:(analyze_wildcard:!t,query:'%22rtdc.l.rtdc.4014%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832</v>
      </c>
      <c r="B130" s="7">
        <v>4013</v>
      </c>
      <c r="C130" s="21" t="s">
        <v>192</v>
      </c>
      <c r="D130" s="21" t="s">
        <v>538</v>
      </c>
      <c r="E130" s="13">
        <v>43052.793993055559</v>
      </c>
      <c r="F130" s="13">
        <v>43052.833506944444</v>
      </c>
      <c r="G130" s="7">
        <v>63</v>
      </c>
      <c r="H130" s="21" t="s">
        <v>618</v>
      </c>
      <c r="I130" s="13">
        <v>43052.857847222222</v>
      </c>
      <c r="J130" s="7">
        <v>0</v>
      </c>
      <c r="K130" s="89" t="str">
        <f t="shared" si="41"/>
        <v>4013/4014</v>
      </c>
      <c r="L130" s="185" t="str">
        <f>VLOOKUP(A130,'Trips&amp;Operators'!$C$1:$G$99911,5,FALSE)</f>
        <v>RESPASS AARON</v>
      </c>
      <c r="M130" s="6">
        <f t="shared" si="42"/>
        <v>2.4340277777810115E-2</v>
      </c>
      <c r="N130" s="7">
        <f t="shared" si="43"/>
        <v>35.050000000046566</v>
      </c>
      <c r="O130" s="7"/>
      <c r="P130" s="7"/>
      <c r="Q130" s="22"/>
      <c r="R130" s="174"/>
      <c r="S130" s="221">
        <f t="shared" si="44"/>
        <v>1</v>
      </c>
      <c r="T130" s="174" t="str">
        <f t="shared" si="45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6"/>
        <v>https://d0f6bd738d7f1b3e5a7ca70fe4ff75f0.us-east-1.aws.found.io/app/kibana#/discover/Steve-Slow-Train-Analysis-(2080s-and-2083s)?_g=(refreshInterval:(display:Off,pause:!f,section:0,value:0),time:(from:'2017-11-13T18:03:21-0700',mode:absolute,to:'2017-11-13T21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204" t="str">
        <f>IF(AA130&lt;VLOOKUP(AG130,Variables!$AC$3:$AD$8,2,FALSE),"Y","N")</f>
        <v>N</v>
      </c>
      <c r="X130" s="204">
        <f t="shared" si="47"/>
        <v>1</v>
      </c>
      <c r="Y130" s="204">
        <f t="shared" si="48"/>
        <v>23.291499999999999</v>
      </c>
      <c r="Z130" s="204">
        <f t="shared" si="49"/>
        <v>2.63E-2</v>
      </c>
      <c r="AA130" s="204">
        <f t="shared" si="50"/>
        <v>23.2652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51"/>
        <v>218</v>
      </c>
      <c r="AE130" s="77" t="str">
        <f t="shared" si="52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130" s="74" t="str">
        <f t="shared" si="53"/>
        <v>"C:\Program Files (x86)\AstroGrep\AstroGrep.exe" /e /r /s /spath="%USERPROFILE%\AppData\Local\Temp\OnboardLogs" /stypes="app*4013*20171114*" /stext=" 03:.+((SYSTEM_STATE.+slice.+state.+changed )|(ment ac)|(multiple cpu faults)|(system.+state.+changed )|(\[timeout)|(PRM\|1\|D)|(kpr)|(kdp)|(train st.+moving)|(\|lc)|(penalty))"</v>
      </c>
      <c r="AG130" s="182" t="str">
        <f t="shared" si="54"/>
        <v>EC</v>
      </c>
      <c r="AH130" s="78" t="str">
        <f t="shared" si="55"/>
        <v>"%USERPROFILE%\Documents\GitHub\eaglep3\Utilities\RefineRTDCRunTimes.py" --tripid 218-13 --locoid 4013 --swversion DE.1.0.9.0 --startMP 204:232915 --initTime 2017-11-13T19:03:21 --startdatetime 2017-11-13T20:00:15 --delay 63 --endMP 204:263 --enddatetime 2017-11-13T20:35:18 --enforcementcount 0 &gt;&gt;%USERPROFILE%\Documents\GitHub\eaglep3-reporting\EC\2017-11-13-refined-times.txt</v>
      </c>
      <c r="AI130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{"issue":{"subject":"","project_id":79,"tracker_id":40,"status_id":1,"priority_id":2,"assigned_to_id":338,"start_date":"2017-11-13","description":"","custom_fields":[{"id":1,"name":"Subdivision","value":"EC"},{"id":4,"name":"Milepost","value":"0.0263"},{"id":17,"name":"Train ID","value":"218-13"},{"id":16,"name":"Locomotive ID","value":"4013"},{"id":130,"name":"Impact","value":""},{"id":150,"name":"Time of Event (Mountain Time)","value":"20:35:18"},{"id":151,"name":"Denver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57"/>
        <v>start /low /b %USERPROFILE%\Documents\GitHub\eaglep3\Utilities\DownloadLogsFromS3.py --loco 4013 --day 2017-11-13</v>
      </c>
      <c r="AN130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9"/>
        <v>https://d0f6bd738d7f1b3e5a7ca70fe4ff75f0.us-east-1.aws.found.io/app/kibana#/discover/Steve-Slow-Train-Analysis-(2080s-and-2083s)?_g=(refreshInterval:(display:Off,pause:!f,section:0,value:0),time:(from:'2017-11-13T18:03:21-0700',mode:absolute,to:'2017-11-13T21:35:18-0700'))&amp;_a=(columns:!('Message%20ID',Summary),filters:!(),index:'emp_*',interval:auto,query:(query_string:(analyze_wildcard:!t,query:'%22rtdc.l.rtdc.4013%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825</v>
      </c>
      <c r="B131" s="7">
        <v>4040</v>
      </c>
      <c r="C131" s="21" t="s">
        <v>192</v>
      </c>
      <c r="D131" s="21" t="s">
        <v>480</v>
      </c>
      <c r="E131" s="13">
        <v>43052.769409722219</v>
      </c>
      <c r="F131" s="13">
        <v>43052.771064814813</v>
      </c>
      <c r="G131" s="7">
        <v>80</v>
      </c>
      <c r="H131" s="21" t="s">
        <v>927</v>
      </c>
      <c r="I131" s="13">
        <v>43052.79855324074</v>
      </c>
      <c r="J131" s="7">
        <v>0</v>
      </c>
      <c r="K131" s="89" t="str">
        <f t="shared" si="41"/>
        <v>4039/4040</v>
      </c>
      <c r="L131" s="185" t="str">
        <f>VLOOKUP(A131,'Trips&amp;Operators'!$C$1:$G$99911,5,FALSE)</f>
        <v>WILLIAMS DONTE</v>
      </c>
      <c r="M131" s="6">
        <f t="shared" si="42"/>
        <v>2.7488425927003846E-2</v>
      </c>
      <c r="N131" s="7">
        <f t="shared" si="43"/>
        <v>39.583333334885538</v>
      </c>
      <c r="O131" s="7"/>
      <c r="P131" s="7"/>
      <c r="Q131" s="22"/>
      <c r="R131" s="174"/>
      <c r="S131" s="221">
        <f t="shared" si="44"/>
        <v>1</v>
      </c>
      <c r="T131" s="174" t="str">
        <f t="shared" si="45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6"/>
        <v>https://d0f6bd738d7f1b3e5a7ca70fe4ff75f0.us-east-1.aws.found.io/app/kibana#/discover/Steve-Slow-Train-Analysis-(2080s-and-2083s)?_g=(refreshInterval:(display:Off,pause:!f,section:0,value:0),time:(from:'2017-11-13T17:27:57-0700',mode:absolute,to:'2017-11-13T20:09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1" s="204" t="str">
        <f>IF(AA131&lt;VLOOKUP(AG131,Variables!$AC$3:$AD$8,2,FALSE),"Y","N")</f>
        <v>N</v>
      </c>
      <c r="X131" s="204">
        <f t="shared" si="47"/>
        <v>1</v>
      </c>
      <c r="Y131" s="204">
        <f t="shared" si="48"/>
        <v>5.33E-2</v>
      </c>
      <c r="Z131" s="204">
        <f t="shared" si="49"/>
        <v>23.324200000000001</v>
      </c>
      <c r="AA131" s="204">
        <f t="shared" si="50"/>
        <v>23.270900000000001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51"/>
        <v>219</v>
      </c>
      <c r="AE131" s="77" t="str">
        <f t="shared" si="52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31" s="74" t="str">
        <f t="shared" si="53"/>
        <v>"C:\Program Files (x86)\AstroGrep\AstroGrep.exe" /e /r /s /spath="%USERPROFILE%\AppData\Local\Temp\OnboardLogs" /stypes="app*4040*20171114*" /stext=" 02:.+((SYSTEM_STATE.+slice.+state.+changed )|(ment ac)|(multiple cpu faults)|(system.+state.+changed )|(\[timeout)|(PRM\|1\|D)|(kpr)|(kdp)|(train st.+moving)|(\|lc)|(penalty))"</v>
      </c>
      <c r="AG131" s="182" t="str">
        <f t="shared" si="54"/>
        <v>EC</v>
      </c>
      <c r="AH131" s="78" t="str">
        <f t="shared" si="55"/>
        <v>"%USERPROFILE%\Documents\GitHub\eaglep3\Utilities\RefineRTDCRunTimes.py" --tripid 219-13 --locoid 4040 --swversion DE.1.0.9.0 --startMP 204:533 --initTime 2017-11-13T18:27:57 --startdatetime 2017-11-13T18:30:20 --delay 80 --endMP 204:233242 --enddatetime 2017-11-13T19:09:55 --enforcementcount 0 &gt;&gt;%USERPROFILE%\Documents\GitHub\eaglep3-reporting\EC\2017-11-13-refined-times.txt</v>
      </c>
      <c r="AI13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{"issue":{"subject":"","project_id":79,"tracker_id":40,"status_id":1,"priority_id":2,"assigned_to_id":338,"start_date":"2017-11-13","description":"","custom_fields":[{"id":1,"name":"Subdivision","value":"EC"},{"id":4,"name":"Milepost","value":"23.3242"},{"id":17,"name":"Train ID","value":"219-13"},{"id":16,"name":"Locomotive ID","value":"4040"},{"id":130,"name":"Impact","value":""},{"id":150,"name":"Time of Event (Mountain Time)","value":"19:09:55"},{"id":151,"name":"Denver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57"/>
        <v>start /low /b %USERPROFILE%\Documents\GitHub\eaglep3\Utilities\DownloadLogsFromS3.py --loco 4040 --day 2017-11-13</v>
      </c>
      <c r="AN131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9"/>
        <v>https://d0f6bd738d7f1b3e5a7ca70fe4ff75f0.us-east-1.aws.found.io/app/kibana#/discover/Steve-Slow-Train-Analysis-(2080s-and-2083s)?_g=(refreshInterval:(display:Off,pause:!f,section:0,value:0),time:(from:'2017-11-13T17:27:57-0700',mode:absolute,to:'2017-11-13T20:09:55-0700'))&amp;_a=(columns:!('Message%20ID',Summary),filters:!(),index:'emp_*',interval:auto,query:(query_string:(analyze_wildcard:!t,query:'%22rtdc.l.rtdc.4040%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834</v>
      </c>
      <c r="B132" s="7">
        <v>4039</v>
      </c>
      <c r="C132" s="21" t="s">
        <v>192</v>
      </c>
      <c r="D132" s="21" t="s">
        <v>960</v>
      </c>
      <c r="E132" s="13">
        <v>43052.821018518516</v>
      </c>
      <c r="F132" s="13">
        <v>43052.823912037034</v>
      </c>
      <c r="G132" s="7">
        <v>130</v>
      </c>
      <c r="H132" s="21" t="s">
        <v>530</v>
      </c>
      <c r="I132" s="13">
        <v>43052.842268518521</v>
      </c>
      <c r="J132" s="7">
        <v>0</v>
      </c>
      <c r="K132" s="89" t="str">
        <f t="shared" si="41"/>
        <v>4039/4040</v>
      </c>
      <c r="L132" s="185" t="str">
        <f>VLOOKUP(A132,'Trips&amp;Operators'!$C$1:$G$99911,5,FALSE)</f>
        <v>WILLIAMS DONTE</v>
      </c>
      <c r="M132" s="6">
        <f t="shared" si="42"/>
        <v>1.8356481486989651E-2</v>
      </c>
      <c r="N132" s="7"/>
      <c r="O132" s="7"/>
      <c r="P132" s="7">
        <f t="shared" si="43"/>
        <v>26.433333341265097</v>
      </c>
      <c r="Q132" s="22"/>
      <c r="R132" s="174" t="s">
        <v>1101</v>
      </c>
      <c r="S132" s="221">
        <f t="shared" si="44"/>
        <v>1</v>
      </c>
      <c r="T132" s="174" t="str">
        <f t="shared" si="45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6"/>
        <v>https://d0f6bd738d7f1b3e5a7ca70fe4ff75f0.us-east-1.aws.found.io/app/kibana#/discover/Steve-Slow-Train-Analysis-(2080s-and-2083s)?_g=(refreshInterval:(display:Off,pause:!f,section:0,value:0),time:(from:'2017-11-13T18:42:16-0700',mode:absolute,to:'2017-11-13T21:12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2" s="204" t="str">
        <f>IF(AA132&lt;VLOOKUP(AG132,Variables!$AC$3:$AD$8,2,FALSE),"Y","N")</f>
        <v>Y</v>
      </c>
      <c r="X132" s="204">
        <f t="shared" si="47"/>
        <v>1</v>
      </c>
      <c r="Y132" s="204">
        <f t="shared" si="48"/>
        <v>12.787699999999999</v>
      </c>
      <c r="Z132" s="204">
        <f t="shared" si="49"/>
        <v>2.01E-2</v>
      </c>
      <c r="AA132" s="204">
        <f t="shared" si="50"/>
        <v>12.7676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51"/>
        <v>220</v>
      </c>
      <c r="AE132" s="77" t="str">
        <f t="shared" si="52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32" s="74" t="str">
        <f t="shared" si="53"/>
        <v>"C:\Program Files (x86)\AstroGrep\AstroGrep.exe" /e /r /s /spath="%USERPROFILE%\AppData\Local\Temp\OnboardLogs" /stypes="app*4039*20171114*" /stext=" 03:.+((SYSTEM_STATE.+slice.+state.+changed )|(ment ac)|(multiple cpu faults)|(system.+state.+changed )|(\[timeout)|(PRM\|1\|D)|(kpr)|(kdp)|(train st.+moving)|(\|lc)|(penalty))"</v>
      </c>
      <c r="AG132" s="182" t="str">
        <f t="shared" si="54"/>
        <v>EC</v>
      </c>
      <c r="AH132" s="78" t="str">
        <f t="shared" si="55"/>
        <v>"%USERPROFILE%\Documents\GitHub\eaglep3\Utilities\RefineRTDCRunTimes.py" --tripid 220-13 --locoid 4039 --swversion DE.1.0.9.0 --startMP 204:127877 --initTime 2017-11-13T19:42:16 --startdatetime 2017-11-13T19:46:26 --delay 130 --endMP 204:201 --enddatetime 2017-11-13T20:12:52 --enforcementcount 0 &gt;&gt;%USERPROFILE%\Documents\GitHub\eaglep3-reporting\EC\2017-11-13-refined-times.txt</v>
      </c>
      <c r="AI132" s="96" t="str">
        <f t="shared" si="56"/>
        <v>echo {"issue":{"subject":"Onboard in-route failure","project_id":79,"tracker_id":40,"status_id":1,"priority_id":2,"assigned_to_id":338,"start_date":"2017-11-13","description":"","custom_fields":[{"id":1,"name":"Subdivision","value":"EC"},{"id":4,"name":"Milepost","value":"0.0201"},{"id":17,"name":"Train ID","value":"220-13"},{"id":16,"name":"Locomotive ID","value":"4039"},{"id":130,"name":"Impact","value":""},{"id":150,"name":"Time of Event (Mountain Time)","value":"20:12:52"},{"id":151,"name":"Denver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57"/>
        <v>start /low /b %USERPROFILE%\Documents\GitHub\eaglep3\Utilities\DownloadLogsFromS3.py --loco 4039 --day 2017-11-13</v>
      </c>
      <c r="AN132" s="151" t="str">
        <f t="shared" si="58"/>
        <v>echo {"issue":{"subject":"Onboard in-route failure","project_id":30,"tracker_id":4,"status_id":1,"priority_id":1,"assigned_to_id":10,"start_date":"2017-11-14","description":"","custom_fields":[{"id":30,"name":"Category","value":"Issue"},{"id":3,"name":"Functional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03:12:52"},{"id":29,"name":"Sharepoint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9"/>
        <v>https://d0f6bd738d7f1b3e5a7ca70fe4ff75f0.us-east-1.aws.found.io/app/kibana#/discover/Steve-Slow-Train-Analysis-(2080s-and-2083s)?_g=(refreshInterval:(display:Off,pause:!f,section:0,value:0),time:(from:'2017-11-13T18:42:16-0700',mode:absolute,to:'2017-11-13T21:12:52-0700'))&amp;_a=(columns:!('Message%20ID',Summary),filters:!(),index:'emp_*',interval:auto,query:(query_string:(analyze_wildcard:!t,query:'%22rtdc.l.rtdc.4039%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834</v>
      </c>
      <c r="B133" s="7">
        <v>4039</v>
      </c>
      <c r="C133" s="21" t="s">
        <v>192</v>
      </c>
      <c r="D133" s="21" t="s">
        <v>452</v>
      </c>
      <c r="E133" s="13">
        <v>43052.806273148148</v>
      </c>
      <c r="F133" s="13">
        <v>43052.823912037034</v>
      </c>
      <c r="G133" s="7">
        <v>77</v>
      </c>
      <c r="H133" s="21" t="s">
        <v>452</v>
      </c>
      <c r="I133" s="13">
        <v>43052.842268518521</v>
      </c>
      <c r="J133" s="7">
        <v>0</v>
      </c>
      <c r="K133" s="89" t="str">
        <f t="shared" si="41"/>
        <v>4039/4040</v>
      </c>
      <c r="L133" s="185" t="str">
        <f>VLOOKUP(A133,'Trips&amp;Operators'!$C$1:$G$99911,5,FALSE)</f>
        <v>WILLIAMS DONTE</v>
      </c>
      <c r="M133" s="6">
        <f t="shared" si="42"/>
        <v>1.8356481486989651E-2</v>
      </c>
      <c r="N133" s="7"/>
      <c r="O133" s="7"/>
      <c r="P133" s="7"/>
      <c r="Q133" s="22"/>
      <c r="R133" s="174"/>
      <c r="S133" s="221"/>
      <c r="T133" s="174" t="str">
        <f t="shared" si="45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216" t="str">
        <f t="shared" si="46"/>
        <v>https://d0f6bd738d7f1b3e5a7ca70fe4ff75f0.us-east-1.aws.found.io/app/kibana#/discover/Steve-Slow-Train-Analysis-(2080s-and-2083s)?_g=(refreshInterval:(display:Off,pause:!f,section:0,value:0),time:(from:'2017-11-13T18:21:02-0700',mode:absolute,to:'2017-11-13T21:12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204" t="str">
        <f>IF(AA133&lt;VLOOKUP(AG133,Variables!$AC$3:$AD$8,2,FALSE),"Y","N")</f>
        <v>Y</v>
      </c>
      <c r="X133" s="204">
        <f t="shared" si="47"/>
        <v>0</v>
      </c>
      <c r="Y133" s="204">
        <f t="shared" si="48"/>
        <v>23.293800000000001</v>
      </c>
      <c r="Z133" s="204">
        <f t="shared" si="49"/>
        <v>23.293800000000001</v>
      </c>
      <c r="AA133" s="204">
        <f t="shared" si="50"/>
        <v>0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51"/>
        <v>220</v>
      </c>
      <c r="AE133" s="77" t="str">
        <f t="shared" si="52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33" s="74" t="str">
        <f t="shared" si="53"/>
        <v>"C:\Program Files (x86)\AstroGrep\AstroGrep.exe" /e /r /s /spath="%USERPROFILE%\AppData\Local\Temp\OnboardLogs" /stypes="app*4039*20171114*" /stext=" 03:.+((SYSTEM_STATE.+slice.+state.+changed )|(ment ac)|(multiple cpu faults)|(system.+state.+changed )|(\[timeout)|(PRM\|1\|D)|(kpr)|(kdp)|(train st.+moving)|(\|lc)|(penalty))"</v>
      </c>
      <c r="AG133" s="182" t="str">
        <f t="shared" si="54"/>
        <v>EC</v>
      </c>
      <c r="AH133" s="78" t="str">
        <f t="shared" si="55"/>
        <v>"%USERPROFILE%\Documents\GitHub\eaglep3\Utilities\RefineRTDCRunTimes.py" --tripid 220-13 --locoid 4039 --swversion DE.1.0.9.0 --startMP 204:232938 --initTime 2017-11-13T19:21:02 --startdatetime 2017-11-13T19:46:26 --delay 77 --endMP 204:232938 --enddatetime 2017-11-13T20:12:52 --enforcementcount 0 &gt;&gt;%USERPROFILE%\Documents\GitHub\eaglep3-reporting\EC\2017-11-13-refined-times.txt</v>
      </c>
      <c r="AI133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{"issue":{"subject":"","project_id":79,"tracker_id":40,"status_id":1,"priority_id":2,"assigned_to_id":338,"start_date":"2017-11-13","description":"","custom_fields":[{"id":1,"name":"Subdivision","value":"EC"},{"id":4,"name":"Milepost","value":"23.2938"},{"id":17,"name":"Train ID","value":"220-13"},{"id":16,"name":"Locomotive ID","value":"4039"},{"id":130,"name":"Impact","value":""},{"id":150,"name":"Time of Event (Mountain Time)","value":"20:12:52"},{"id":151,"name":"Denver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57"/>
        <v>start /low /b %USERPROFILE%\Documents\GitHub\eaglep3\Utilities\DownloadLogsFromS3.py --loco 4039 --day 2017-11-13</v>
      </c>
      <c r="AN133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03:12:52"},{"id":29,"name":"Sharepoint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9"/>
        <v>https://d0f6bd738d7f1b3e5a7ca70fe4ff75f0.us-east-1.aws.found.io/app/kibana#/discover/Steve-Slow-Train-Analysis-(2080s-and-2083s)?_g=(refreshInterval:(display:Off,pause:!f,section:0,value:0),time:(from:'2017-11-13T18:21:02-0700',mode:absolute,to:'2017-11-13T21:12:52-0700'))&amp;_a=(columns:!('Message%20ID',Summary),filters:!(),index:'emp_*',interval:auto,query:(query_string:(analyze_wildcard:!t,query:'%22rtdc.l.rtdc.4039%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830</v>
      </c>
      <c r="B134" s="7">
        <v>4060</v>
      </c>
      <c r="C134" s="21" t="s">
        <v>192</v>
      </c>
      <c r="D134" s="21" t="s">
        <v>961</v>
      </c>
      <c r="E134" s="13">
        <v>43052.789537037039</v>
      </c>
      <c r="F134" s="13">
        <v>43052.791828703703</v>
      </c>
      <c r="G134" s="7">
        <v>69</v>
      </c>
      <c r="H134" s="21" t="s">
        <v>616</v>
      </c>
      <c r="I134" s="13">
        <v>43052.816643518519</v>
      </c>
      <c r="J134" s="7">
        <v>0</v>
      </c>
      <c r="K134" s="89" t="str">
        <f t="shared" si="41"/>
        <v>4059/4060</v>
      </c>
      <c r="L134" s="185" t="str">
        <f>VLOOKUP(A134,'Trips&amp;Operators'!$C$1:$G$99911,5,FALSE)</f>
        <v>ELBAUM MIKE</v>
      </c>
      <c r="M134" s="6">
        <f t="shared" si="42"/>
        <v>2.4814814816636499E-2</v>
      </c>
      <c r="N134" s="7">
        <f t="shared" si="43"/>
        <v>35.733333335956559</v>
      </c>
      <c r="O134" s="7"/>
      <c r="P134" s="7"/>
      <c r="Q134" s="22"/>
      <c r="R134" s="174"/>
      <c r="S134" s="221">
        <f t="shared" si="44"/>
        <v>1</v>
      </c>
      <c r="T134" s="174" t="str">
        <f t="shared" si="45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6"/>
        <v>https://d0f6bd738d7f1b3e5a7ca70fe4ff75f0.us-east-1.aws.found.io/app/kibana#/discover/Steve-Slow-Train-Analysis-(2080s-and-2083s)?_g=(refreshInterval:(display:Off,pause:!f,section:0,value:0),time:(from:'2017-11-13T17:56:56-0700',mode:absolute,to:'2017-11-13T20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4" s="204" t="str">
        <f>IF(AA134&lt;VLOOKUP(AG134,Variables!$AC$3:$AD$8,2,FALSE),"Y","N")</f>
        <v>N</v>
      </c>
      <c r="X134" s="204">
        <f t="shared" si="47"/>
        <v>1</v>
      </c>
      <c r="Y134" s="204">
        <f t="shared" si="48"/>
        <v>5.8999999999999997E-2</v>
      </c>
      <c r="Z134" s="204">
        <f t="shared" si="49"/>
        <v>23.325500000000002</v>
      </c>
      <c r="AA134" s="204">
        <f t="shared" si="50"/>
        <v>23.266500000000001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51"/>
        <v>221</v>
      </c>
      <c r="AE134" s="77" t="str">
        <f t="shared" si="52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134" s="74" t="str">
        <f t="shared" si="53"/>
        <v>"C:\Program Files (x86)\AstroGrep\AstroGrep.exe" /e /r /s /spath="%USERPROFILE%\AppData\Local\Temp\OnboardLogs" /stypes="app*4060*20171114*" /stext=" 02:.+((SYSTEM_STATE.+slice.+state.+changed )|(ment ac)|(multiple cpu faults)|(system.+state.+changed )|(\[timeout)|(PRM\|1\|D)|(kpr)|(kdp)|(train st.+moving)|(\|lc)|(penalty))"</v>
      </c>
      <c r="AG134" s="182" t="str">
        <f t="shared" si="54"/>
        <v>EC</v>
      </c>
      <c r="AH134" s="78" t="str">
        <f t="shared" si="55"/>
        <v>"%USERPROFILE%\Documents\GitHub\eaglep3\Utilities\RefineRTDCRunTimes.py" --tripid 221-13 --locoid 4060 --swversion DE.1.0.9.0 --startMP 204:590 --initTime 2017-11-13T18:56:56 --startdatetime 2017-11-13T19:00:14 --delay 69 --endMP 204:233255 --enddatetime 2017-11-13T19:35:58 --enforcementcount 0 &gt;&gt;%USERPROFILE%\Documents\GitHub\eaglep3-reporting\EC\2017-11-13-refined-times.txt</v>
      </c>
      <c r="AI134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{"issue":{"subject":"","project_id":79,"tracker_id":40,"status_id":1,"priority_id":2,"assigned_to_id":338,"start_date":"2017-11-13","description":"","custom_fields":[{"id":1,"name":"Subdivision","value":"EC"},{"id":4,"name":"Milepost","value":"23.3255"},{"id":17,"name":"Train ID","value":"221-13"},{"id":16,"name":"Locomotive ID","value":"4060"},{"id":130,"name":"Impact","value":""},{"id":150,"name":"Time of Event (Mountain Time)","value":"19:35:58"},{"id":151,"name":"Denver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57"/>
        <v>start /low /b %USERPROFILE%\Documents\GitHub\eaglep3\Utilities\DownloadLogsFromS3.py --loco 4060 --day 2017-11-13</v>
      </c>
      <c r="AN134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9"/>
        <v>https://d0f6bd738d7f1b3e5a7ca70fe4ff75f0.us-east-1.aws.found.io/app/kibana#/discover/Steve-Slow-Train-Analysis-(2080s-and-2083s)?_g=(refreshInterval:(display:Off,pause:!f,section:0,value:0),time:(from:'2017-11-13T17:56:56-0700',mode:absolute,to:'2017-11-13T20:35:58-0700'))&amp;_a=(columns:!('Message%20ID',Summary),filters:!(),index:'emp_*',interval:auto,query:(query_string:(analyze_wildcard:!t,query:'%22rtdc.l.rtdc.4060%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837</v>
      </c>
      <c r="B135" s="7">
        <v>4059</v>
      </c>
      <c r="C135" s="21" t="s">
        <v>192</v>
      </c>
      <c r="D135" s="21" t="s">
        <v>962</v>
      </c>
      <c r="E135" s="13">
        <v>43052.817835648151</v>
      </c>
      <c r="F135" s="13">
        <v>43052.832777777781</v>
      </c>
      <c r="G135" s="7">
        <v>82</v>
      </c>
      <c r="H135" s="21" t="s">
        <v>929</v>
      </c>
      <c r="I135" s="13">
        <v>43052.859930555554</v>
      </c>
      <c r="J135" s="7">
        <v>0</v>
      </c>
      <c r="K135" s="89" t="str">
        <f t="shared" si="41"/>
        <v>4059/4060</v>
      </c>
      <c r="L135" s="185" t="str">
        <f>VLOOKUP(A135,'Trips&amp;Operators'!$C$1:$G$99911,5,FALSE)</f>
        <v>ELBAUM MIKE</v>
      </c>
      <c r="M135" s="6">
        <f t="shared" si="42"/>
        <v>2.7152777773153502E-2</v>
      </c>
      <c r="N135" s="7">
        <f t="shared" si="43"/>
        <v>39.099999993341044</v>
      </c>
      <c r="O135" s="7"/>
      <c r="P135" s="7"/>
      <c r="Q135" s="22"/>
      <c r="R135" s="174"/>
      <c r="S135" s="221">
        <f t="shared" si="44"/>
        <v>1</v>
      </c>
      <c r="T135" s="174" t="str">
        <f t="shared" si="45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6"/>
        <v>https://d0f6bd738d7f1b3e5a7ca70fe4ff75f0.us-east-1.aws.found.io/app/kibana#/discover/Steve-Slow-Train-Analysis-(2080s-and-2083s)?_g=(refreshInterval:(display:Off,pause:!f,section:0,value:0),time:(from:'2017-11-13T18:37:41-0700',mode:absolute,to:'2017-11-13T21:38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5" s="204" t="str">
        <f>IF(AA135&lt;VLOOKUP(AG135,Variables!$AC$3:$AD$8,2,FALSE),"Y","N")</f>
        <v>N</v>
      </c>
      <c r="X135" s="204">
        <f t="shared" si="47"/>
        <v>1</v>
      </c>
      <c r="Y135" s="204">
        <f t="shared" si="48"/>
        <v>23.2942</v>
      </c>
      <c r="Z135" s="204">
        <f t="shared" si="49"/>
        <v>2.6499999999999999E-2</v>
      </c>
      <c r="AA135" s="204">
        <f t="shared" si="50"/>
        <v>23.267700000000001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51"/>
        <v>222</v>
      </c>
      <c r="AE135" s="77" t="str">
        <f t="shared" si="52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135" s="74" t="str">
        <f t="shared" si="53"/>
        <v>"C:\Program Files (x86)\AstroGrep\AstroGrep.exe" /e /r /s /spath="%USERPROFILE%\AppData\Local\Temp\OnboardLogs" /stypes="app*4059*20171114*" /stext=" 03:.+((SYSTEM_STATE.+slice.+state.+changed )|(ment ac)|(multiple cpu faults)|(system.+state.+changed )|(\[timeout)|(PRM\|1\|D)|(kpr)|(kdp)|(train st.+moving)|(\|lc)|(penalty))"</v>
      </c>
      <c r="AG135" s="182" t="str">
        <f t="shared" si="54"/>
        <v>EC</v>
      </c>
      <c r="AH135" s="78" t="str">
        <f t="shared" si="55"/>
        <v>"%USERPROFILE%\Documents\GitHub\eaglep3\Utilities\RefineRTDCRunTimes.py" --tripid 222-13 --locoid 4059 --swversion DE.1.0.9.0 --startMP 204:232942 --initTime 2017-11-13T19:37:41 --startdatetime 2017-11-13T19:59:12 --delay 82 --endMP 204:265 --enddatetime 2017-11-13T20:38:18 --enforcementcount 0 &gt;&gt;%USERPROFILE%\Documents\GitHub\eaglep3-reporting\EC\2017-11-13-refined-times.txt</v>
      </c>
      <c r="AI135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{"issue":{"subject":"","project_id":79,"tracker_id":40,"status_id":1,"priority_id":2,"assigned_to_id":338,"start_date":"2017-11-13","description":"","custom_fields":[{"id":1,"name":"Subdivision","value":"EC"},{"id":4,"name":"Milepost","value":"0.0265"},{"id":17,"name":"Train ID","value":"222-13"},{"id":16,"name":"Locomotive ID","value":"4059"},{"id":130,"name":"Impact","value":""},{"id":150,"name":"Time of Event (Mountain Time)","value":"20:38:18"},{"id":151,"name":"Denver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57"/>
        <v>start /low /b %USERPROFILE%\Documents\GitHub\eaglep3\Utilities\DownloadLogsFromS3.py --loco 4059 --day 2017-11-13</v>
      </c>
      <c r="AN135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9"/>
        <v>https://d0f6bd738d7f1b3e5a7ca70fe4ff75f0.us-east-1.aws.found.io/app/kibana#/discover/Steve-Slow-Train-Analysis-(2080s-and-2083s)?_g=(refreshInterval:(display:Off,pause:!f,section:0,value:0),time:(from:'2017-11-13T18:37:41-0700',mode:absolute,to:'2017-11-13T21:38:18-0700'))&amp;_a=(columns:!('Message%20ID',Summary),filters:!(),index:'emp_*',interval:auto,query:(query_string:(analyze_wildcard:!t,query:'%22rtdc.l.rtdc.4059%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836</v>
      </c>
      <c r="B136" s="7">
        <v>4028</v>
      </c>
      <c r="C136" s="21" t="s">
        <v>192</v>
      </c>
      <c r="D136" s="21" t="s">
        <v>531</v>
      </c>
      <c r="E136" s="13">
        <v>43052.811736111114</v>
      </c>
      <c r="F136" s="13">
        <v>43052.813530092593</v>
      </c>
      <c r="G136" s="7">
        <v>93</v>
      </c>
      <c r="H136" s="21" t="s">
        <v>963</v>
      </c>
      <c r="I136" s="13">
        <v>43052.823437500003</v>
      </c>
      <c r="J136" s="7">
        <v>0</v>
      </c>
      <c r="K136" s="89" t="str">
        <f t="shared" si="41"/>
        <v>4027/4028</v>
      </c>
      <c r="L136" s="185" t="str">
        <f>VLOOKUP(A136,'Trips&amp;Operators'!$C$1:$G$99911,5,FALSE)</f>
        <v>LOZA FIDEL</v>
      </c>
      <c r="M136" s="6">
        <f t="shared" si="42"/>
        <v>9.9074074096279219E-3</v>
      </c>
      <c r="N136" s="7"/>
      <c r="O136" s="7"/>
      <c r="P136" s="7">
        <f t="shared" si="43"/>
        <v>14.266666669864208</v>
      </c>
      <c r="Q136" s="22"/>
      <c r="R136" s="174" t="s">
        <v>1106</v>
      </c>
      <c r="S136" s="221">
        <f t="shared" si="44"/>
        <v>0.41666666666666663</v>
      </c>
      <c r="T136" s="174" t="str">
        <f t="shared" si="45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5</v>
      </c>
      <c r="V136" s="216" t="str">
        <f t="shared" si="46"/>
        <v>https://d0f6bd738d7f1b3e5a7ca70fe4ff75f0.us-east-1.aws.found.io/app/kibana#/discover/Steve-Slow-Train-Analysis-(2080s-and-2083s)?_g=(refreshInterval:(display:Off,pause:!f,section:0,value:0),time:(from:'2017-11-13T18:28:54-0700',mode:absolute,to:'2017-11-13T20:45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>IF(AA136&lt;VLOOKUP(AG136,Variables!$AC$3:$AD$8,2,FALSE),"Y","N")</f>
        <v>Y</v>
      </c>
      <c r="X136" s="204">
        <f t="shared" si="47"/>
        <v>1</v>
      </c>
      <c r="Y136" s="204">
        <f t="shared" si="48"/>
        <v>5.11E-2</v>
      </c>
      <c r="Z136" s="204">
        <f t="shared" si="49"/>
        <v>5.048</v>
      </c>
      <c r="AA136" s="204">
        <f t="shared" si="50"/>
        <v>4.9969000000000001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51"/>
        <v>223</v>
      </c>
      <c r="AE136" s="77" t="str">
        <f t="shared" si="52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136" s="74" t="str">
        <f t="shared" si="53"/>
        <v>"C:\Program Files (x86)\AstroGrep\AstroGrep.exe" /e /r /s /spath="%USERPROFILE%\AppData\Local\Temp\OnboardLogs" /stypes="app*4028*20171114*" /stext=" 02:.+((SYSTEM_STATE.+slice.+state.+changed )|(ment ac)|(multiple cpu faults)|(system.+state.+changed )|(\[timeout)|(PRM\|1\|D)|(kpr)|(kdp)|(train st.+moving)|(\|lc)|(penalty))"</v>
      </c>
      <c r="AG136" s="182" t="str">
        <f t="shared" si="54"/>
        <v>EC</v>
      </c>
      <c r="AH136" s="78" t="str">
        <f t="shared" si="55"/>
        <v>"%USERPROFILE%\Documents\GitHub\eaglep3\Utilities\RefineRTDCRunTimes.py" --tripid 223-13 --locoid 4028 --swversion DE.1.0.9.0 --startMP 204:511 --initTime 2017-11-13T19:28:54 --startdatetime 2017-11-13T19:31:29 --delay 93 --endMP 204:50480 --enddatetime 2017-11-13T19:45:45 --enforcementcount 0 &gt;&gt;%USERPROFILE%\Documents\GitHub\eaglep3-reporting\EC\2017-11-13-refined-times.txt</v>
      </c>
      <c r="AI136" s="96" t="str">
        <f t="shared" si="56"/>
        <v>echo {"issue":{"subject":"Wi-MAX data drop","project_id":79,"tracker_id":40,"status_id":1,"priority_id":2,"assigned_to_id":338,"start_date":"2017-11-13","description":"","custom_fields":[{"id":1,"name":"Subdivision","value":"EC"},{"id":4,"name":"Milepost","value":"5.048"},{"id":17,"name":"Train ID","value":"223-13"},{"id":16,"name":"Locomotive ID","value":"4028"},{"id":130,"name":"Impact","value":""},{"id":150,"name":"Time of Event (Mountain Time)","value":"19:45:45"},{"id":151,"name":"Denver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57"/>
        <v>start /low /b %USERPROFILE%\Documents\GitHub\eaglep3\Utilities\DownloadLogsFromS3.py --loco 4028 --day 2017-11-13</v>
      </c>
      <c r="AN136" s="151" t="str">
        <f t="shared" si="58"/>
        <v>echo {"issue":{"subject":"Wi-MAX data drop","project_id":30,"tracker_id":4,"status_id":1,"priority_id":1,"assigned_to_id":10,"start_date":"2017-11-14","description":"","custom_fields":[{"id":30,"name":"Category","value":"Issue"},{"id":3,"name":"Functional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02:45:45"},{"id":29,"name":"Sharepoint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9"/>
        <v>https://d0f6bd738d7f1b3e5a7ca70fe4ff75f0.us-east-1.aws.found.io/app/kibana#/discover/Steve-Slow-Train-Analysis-(2080s-and-2083s)?_g=(refreshInterval:(display:Off,pause:!f,section:0,value:0),time:(from:'2017-11-13T18:28:54-0700',mode:absolute,to:'2017-11-13T20:45:45-0700'))&amp;_a=(columns:!('Message%20ID',Summary),filters:!(),index:'emp_*',interval:auto,query:(query_string:(analyze_wildcard:!t,query:'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842</v>
      </c>
      <c r="B137" s="7">
        <v>4027</v>
      </c>
      <c r="C137" s="21" t="s">
        <v>192</v>
      </c>
      <c r="D137" s="21" t="s">
        <v>964</v>
      </c>
      <c r="E137" s="13">
        <v>43052.851006944446</v>
      </c>
      <c r="F137" s="13">
        <v>43052.85297453704</v>
      </c>
      <c r="G137" s="7">
        <v>91</v>
      </c>
      <c r="H137" s="21" t="s">
        <v>965</v>
      </c>
      <c r="I137" s="13">
        <v>43052.879189814812</v>
      </c>
      <c r="J137" s="7">
        <v>0</v>
      </c>
      <c r="K137" s="89" t="str">
        <f t="shared" si="41"/>
        <v>4027/4028</v>
      </c>
      <c r="L137" s="185" t="str">
        <f>VLOOKUP(A137,'Trips&amp;Operators'!$C$1:$G$99911,5,FALSE)</f>
        <v>LOZA FIDEL</v>
      </c>
      <c r="M137" s="6">
        <f t="shared" si="42"/>
        <v>2.6215277772280388E-2</v>
      </c>
      <c r="N137" s="7">
        <f t="shared" si="43"/>
        <v>37.749999992083758</v>
      </c>
      <c r="O137" s="7"/>
      <c r="P137" s="7"/>
      <c r="Q137" s="22"/>
      <c r="R137" s="174"/>
      <c r="S137" s="221">
        <f t="shared" si="44"/>
        <v>1</v>
      </c>
      <c r="T137" s="174" t="str">
        <f t="shared" si="45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6"/>
        <v>https://d0f6bd738d7f1b3e5a7ca70fe4ff75f0.us-east-1.aws.found.io/app/kibana#/discover/Steve-Slow-Train-Analysis-(2080s-and-2083s)?_g=(refreshInterval:(display:Off,pause:!f,section:0,value:0),time:(from:'2017-11-13T19:25:27-0700',mode:absolute,to:'2017-11-13T22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>IF(AA137&lt;VLOOKUP(AG137,Variables!$AC$3:$AD$8,2,FALSE),"Y","N")</f>
        <v>N</v>
      </c>
      <c r="X137" s="204">
        <f t="shared" si="47"/>
        <v>1</v>
      </c>
      <c r="Y137" s="204">
        <f t="shared" si="48"/>
        <v>23.296199999999999</v>
      </c>
      <c r="Z137" s="204">
        <f t="shared" si="49"/>
        <v>2.3400000000000001E-2</v>
      </c>
      <c r="AA137" s="204">
        <f t="shared" si="50"/>
        <v>23.2728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51"/>
        <v>224</v>
      </c>
      <c r="AE137" s="77" t="str">
        <f t="shared" si="52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137" s="74" t="str">
        <f t="shared" si="53"/>
        <v>"C:\Program Files (x86)\AstroGrep\AstroGrep.exe" /e /r /s /spath="%USERPROFILE%\AppData\Local\Temp\OnboardLogs" /stypes="app*4027*20171114*" /stext=" 04:.+((SYSTEM_STATE.+slice.+state.+changed )|(ment ac)|(multiple cpu faults)|(system.+state.+changed )|(\[timeout)|(PRM\|1\|D)|(kpr)|(kdp)|(train st.+moving)|(\|lc)|(penalty))"</v>
      </c>
      <c r="AG137" s="182" t="str">
        <f t="shared" si="54"/>
        <v>EC</v>
      </c>
      <c r="AH137" s="78" t="str">
        <f t="shared" si="55"/>
        <v>"%USERPROFILE%\Documents\GitHub\eaglep3\Utilities\RefineRTDCRunTimes.py" --tripid 224-13 --locoid 4027 --swversion DE.1.0.9.0 --startMP 204:232962 --initTime 2017-11-13T20:25:27 --startdatetime 2017-11-13T20:28:17 --delay 91 --endMP 204:234 --enddatetime 2017-11-13T21:06:02 --enforcementcount 0 &gt;&gt;%USERPROFILE%\Documents\GitHub\eaglep3-reporting\EC\2017-11-13-refined-times.txt</v>
      </c>
      <c r="AI137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{"issue":{"subject":"","project_id":79,"tracker_id":40,"status_id":1,"priority_id":2,"assigned_to_id":338,"start_date":"2017-11-13","description":"","custom_fields":[{"id":1,"name":"Subdivision","value":"EC"},{"id":4,"name":"Milepost","value":"0.0234"},{"id":17,"name":"Train ID","value":"224-13"},{"id":16,"name":"Locomotive ID","value":"4027"},{"id":130,"name":"Impact","value":""},{"id":150,"name":"Time of Event (Mountain Time)","value":"21:06:02"},{"id":151,"name":"Denver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57"/>
        <v>start /low /b %USERPROFILE%\Documents\GitHub\eaglep3\Utilities\DownloadLogsFromS3.py --loco 4027 --day 2017-11-13</v>
      </c>
      <c r="AN137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9"/>
        <v>https://d0f6bd738d7f1b3e5a7ca70fe4ff75f0.us-east-1.aws.found.io/app/kibana#/discover/Steve-Slow-Train-Analysis-(2080s-and-2083s)?_g=(refreshInterval:(display:Off,pause:!f,section:0,value:0),time:(from:'2017-11-13T19:25:27-0700',mode:absolute,to:'2017-11-13T22:06:02-0700'))&amp;_a=(columns:!('Message%20ID',Summary),filters:!(),index:'emp_*',interval:auto,query:(query_string:(analyze_wildcard:!t,query:'%22rtdc.l.rtdc.4027%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839</v>
      </c>
      <c r="B138" s="7">
        <v>4014</v>
      </c>
      <c r="C138" s="21" t="s">
        <v>192</v>
      </c>
      <c r="D138" s="21" t="s">
        <v>966</v>
      </c>
      <c r="E138" s="13">
        <v>43052.831342592595</v>
      </c>
      <c r="F138" s="13">
        <v>43052.833506944444</v>
      </c>
      <c r="G138" s="7">
        <v>54</v>
      </c>
      <c r="H138" s="21" t="s">
        <v>476</v>
      </c>
      <c r="I138" s="13">
        <v>43052.857847222222</v>
      </c>
      <c r="J138" s="7">
        <v>0</v>
      </c>
      <c r="K138" s="89" t="str">
        <f t="shared" si="41"/>
        <v>4013/4014</v>
      </c>
      <c r="L138" s="185" t="str">
        <f>VLOOKUP(A138,'Trips&amp;Operators'!$C$1:$G$99911,5,FALSE)</f>
        <v>RESPASS AARON</v>
      </c>
      <c r="M138" s="6">
        <f t="shared" si="42"/>
        <v>2.4340277777810115E-2</v>
      </c>
      <c r="N138" s="7">
        <f t="shared" si="43"/>
        <v>35.050000000046566</v>
      </c>
      <c r="O138" s="7"/>
      <c r="P138" s="7"/>
      <c r="Q138" s="22"/>
      <c r="R138" s="174"/>
      <c r="S138" s="221">
        <f t="shared" si="44"/>
        <v>1</v>
      </c>
      <c r="T138" s="174" t="str">
        <f t="shared" si="45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6"/>
        <v>https://d0f6bd738d7f1b3e5a7ca70fe4ff75f0.us-east-1.aws.found.io/app/kibana#/discover/Steve-Slow-Train-Analysis-(2080s-and-2083s)?_g=(refreshInterval:(display:Off,pause:!f,section:0,value:0),time:(from:'2017-11-13T18:57:08-0700',mode:absolute,to:'2017-11-13T21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8" s="204" t="str">
        <f>IF(AA138&lt;VLOOKUP(AG138,Variables!$AC$3:$AD$8,2,FALSE),"Y","N")</f>
        <v>N</v>
      </c>
      <c r="X138" s="204">
        <f t="shared" si="47"/>
        <v>1</v>
      </c>
      <c r="Y138" s="204">
        <f t="shared" si="48"/>
        <v>5.62E-2</v>
      </c>
      <c r="Z138" s="204">
        <f t="shared" si="49"/>
        <v>23.3276</v>
      </c>
      <c r="AA138" s="204">
        <f t="shared" si="50"/>
        <v>23.2714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51"/>
        <v>225</v>
      </c>
      <c r="AE138" s="77" t="str">
        <f t="shared" si="52"/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138" s="74" t="str">
        <f t="shared" si="53"/>
        <v>"C:\Program Files (x86)\AstroGrep\AstroGrep.exe" /e /r /s /spath="%USERPROFILE%\AppData\Local\Temp\OnboardLogs" /stypes="app*4014*20171114*" /stext=" 03:.+((SYSTEM_STATE.+slice.+state.+changed )|(ment ac)|(multiple cpu faults)|(system.+state.+changed )|(\[timeout)|(PRM\|1\|D)|(kpr)|(kdp)|(train st.+moving)|(\|lc)|(penalty))"</v>
      </c>
      <c r="AG138" s="182" t="str">
        <f t="shared" si="54"/>
        <v>EC</v>
      </c>
      <c r="AH138" s="78" t="str">
        <f t="shared" si="55"/>
        <v>"%USERPROFILE%\Documents\GitHub\eaglep3\Utilities\RefineRTDCRunTimes.py" --tripid 225-13 --locoid 4014 --swversion DE.1.0.9.0 --startMP 204:562 --initTime 2017-11-13T19:57:08 --startdatetime 2017-11-13T20:00:15 --delay 54 --endMP 204:233276 --enddatetime 2017-11-13T20:35:18 --enforcementcount 0 &gt;&gt;%USERPROFILE%\Documents\GitHub\eaglep3-reporting\EC\2017-11-13-refined-times.txt</v>
      </c>
      <c r="AI138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{"issue":{"subject":"","project_id":79,"tracker_id":40,"status_id":1,"priority_id":2,"assigned_to_id":338,"start_date":"2017-11-13","description":"","custom_fields":[{"id":1,"name":"Subdivision","value":"EC"},{"id":4,"name":"Milepost","value":"23.3276"},{"id":17,"name":"Train ID","value":"225-13"},{"id":16,"name":"Locomotive ID","value":"4014"},{"id":130,"name":"Impact","value":""},{"id":150,"name":"Time of Event (Mountain Time)","value":"20:35:18"},{"id":151,"name":"Denver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57"/>
        <v>start /low /b %USERPROFILE%\Documents\GitHub\eaglep3\Utilities\DownloadLogsFromS3.py --loco 4014 --day 2017-11-13</v>
      </c>
      <c r="AN138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9"/>
        <v>https://d0f6bd738d7f1b3e5a7ca70fe4ff75f0.us-east-1.aws.found.io/app/kibana#/discover/Steve-Slow-Train-Analysis-(2080s-and-2083s)?_g=(refreshInterval:(display:Off,pause:!f,section:0,value:0),time:(from:'2017-11-13T18:57:08-0700',mode:absolute,to:'2017-11-13T21:35:18-0700'))&amp;_a=(columns:!('Message%20ID',Summary),filters:!(),index:'emp_*',interval:auto,query:(query_string:(analyze_wildcard:!t,query:'%22rtdc.l.rtdc.4014%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654</v>
      </c>
      <c r="B139" s="7">
        <v>4013</v>
      </c>
      <c r="C139" s="21" t="s">
        <v>192</v>
      </c>
      <c r="D139" s="21" t="s">
        <v>577</v>
      </c>
      <c r="E139" s="13">
        <v>43052.866967592592</v>
      </c>
      <c r="F139" s="13">
        <v>43052.891898148147</v>
      </c>
      <c r="G139" s="7">
        <v>91</v>
      </c>
      <c r="H139" s="21" t="s">
        <v>967</v>
      </c>
      <c r="I139" s="13">
        <v>43052.902777777781</v>
      </c>
      <c r="J139" s="7">
        <v>0</v>
      </c>
      <c r="K139" s="89" t="str">
        <f t="shared" si="41"/>
        <v>4013/4014</v>
      </c>
      <c r="L139" s="185" t="str">
        <f>VLOOKUP(A139,'Trips&amp;Operators'!$C$1:$G$99911,5,FALSE)</f>
        <v>RESPASS AARON</v>
      </c>
      <c r="M139" s="6">
        <f t="shared" si="42"/>
        <v>1.0879629633564036E-2</v>
      </c>
      <c r="N139" s="7"/>
      <c r="O139" s="7"/>
      <c r="P139" s="7">
        <f t="shared" si="43"/>
        <v>15.666666672332212</v>
      </c>
      <c r="Q139" s="22"/>
      <c r="R139" s="174" t="s">
        <v>1106</v>
      </c>
      <c r="S139" s="221">
        <f>1/IF(AG139="EC",12,1)*SUM(U139:U140)</f>
        <v>0.91666666666666663</v>
      </c>
      <c r="T139" s="174" t="str">
        <f t="shared" si="45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2</v>
      </c>
      <c r="V139" s="216" t="str">
        <f t="shared" si="46"/>
        <v>https://d0f6bd738d7f1b3e5a7ca70fe4ff75f0.us-east-1.aws.found.io/app/kibana#/discover/Steve-Slow-Train-Analysis-(2080s-and-2083s)?_g=(refreshInterval:(display:Off,pause:!f,section:0,value:0),time:(from:'2017-11-13T19:48:26-0700',mode:absolute,to:'2017-11-13T22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9" s="204" t="str">
        <f>IF(AA139&lt;VLOOKUP(AG139,Variables!$AC$3:$AD$8,2,FALSE),"Y","N")</f>
        <v>Y</v>
      </c>
      <c r="X139" s="204">
        <f t="shared" si="47"/>
        <v>1</v>
      </c>
      <c r="Y139" s="204">
        <f t="shared" si="48"/>
        <v>23.295000000000002</v>
      </c>
      <c r="Z139" s="204">
        <f t="shared" si="49"/>
        <v>10.292199999999999</v>
      </c>
      <c r="AA139" s="204">
        <f t="shared" si="50"/>
        <v>13.002800000000002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51"/>
        <v>226</v>
      </c>
      <c r="AE139" s="77" t="str">
        <f t="shared" si="52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139" s="74" t="str">
        <f t="shared" si="53"/>
        <v>"C:\Program Files (x86)\AstroGrep\AstroGrep.exe" /e /r /s /spath="%USERPROFILE%\AppData\Local\Temp\OnboardLogs" /stypes="app*4013*20171114*" /stext=" 04:.+((SYSTEM_STATE.+slice.+state.+changed )|(ment ac)|(multiple cpu faults)|(system.+state.+changed )|(\[timeout)|(PRM\|1\|D)|(kpr)|(kdp)|(train st.+moving)|(\|lc)|(penalty))"</v>
      </c>
      <c r="AG139" s="182" t="str">
        <f t="shared" si="54"/>
        <v>EC</v>
      </c>
      <c r="AH139" s="78" t="str">
        <f t="shared" si="55"/>
        <v>"%USERPROFILE%\Documents\GitHub\eaglep3\Utilities\RefineRTDCRunTimes.py" --tripid 226-13 --locoid 4013 --swversion DE.1.0.9.0 --startMP 204:232950 --initTime 2017-11-13T20:48:26 --startdatetime 2017-11-13T21:24:20 --delay 91 --endMP 204:102922 --enddatetime 2017-11-13T21:40:00 --enforcementcount 0 &gt;&gt;%USERPROFILE%\Documents\GitHub\eaglep3-reporting\EC\2017-11-13-refined-times.txt</v>
      </c>
      <c r="AI139" s="96" t="str">
        <f t="shared" si="56"/>
        <v>echo {"issue":{"subject":"Wi-MAX data drop","project_id":79,"tracker_id":40,"status_id":1,"priority_id":2,"assigned_to_id":338,"start_date":"2017-11-13","description":"","custom_fields":[{"id":1,"name":"Subdivision","value":"EC"},{"id":4,"name":"Milepost","value":"10.2922"},{"id":17,"name":"Train ID","value":"226-13"},{"id":16,"name":"Locomotive ID","value":"4013"},{"id":130,"name":"Impact","value":""},{"id":150,"name":"Time of Event (Mountain Time)","value":"21:40:00"},{"id":151,"name":"Denver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57"/>
        <v>start /low /b %USERPROFILE%\Documents\GitHub\eaglep3\Utilities\DownloadLogsFromS3.py --loco 4013 --day 2017-11-13</v>
      </c>
      <c r="AN139" s="151" t="str">
        <f t="shared" si="58"/>
        <v>echo {"issue":{"subject":"Wi-MAX data drop","project_id":30,"tracker_id":4,"status_id":1,"priority_id":1,"assigned_to_id":10,"start_date":"2017-11-14","description":"","custom_fields":[{"id":30,"name":"Category","value":"Issue"},{"id":3,"name":"Functional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9"/>
        <v>https://d0f6bd738d7f1b3e5a7ca70fe4ff75f0.us-east-1.aws.found.io/app/kibana#/discover/Steve-Slow-Train-Analysis-(2080s-and-2083s)?_g=(refreshInterval:(display:Off,pause:!f,section:0,value:0),time:(from:'2017-11-13T19:48:26-0700',mode:absolute,to:'2017-11-13T22:40:00-0700'))&amp;_a=(columns:!('Message%20ID',Summary),filters:!(),index:'emp_*',interval:auto,query:(query_string:(analyze_wildcard:!t,query:'%22rtdc.l.rtdc.4013%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654</v>
      </c>
      <c r="B140" s="7">
        <v>4013</v>
      </c>
      <c r="C140" s="21" t="s">
        <v>192</v>
      </c>
      <c r="D140" s="21" t="s">
        <v>968</v>
      </c>
      <c r="E140" s="13">
        <v>43052.891006944446</v>
      </c>
      <c r="F140" s="13">
        <v>43052.891898148147</v>
      </c>
      <c r="G140" s="7">
        <v>43</v>
      </c>
      <c r="H140" s="21" t="s">
        <v>936</v>
      </c>
      <c r="I140" s="13">
        <v>43052.902777777781</v>
      </c>
      <c r="J140" s="7">
        <v>0</v>
      </c>
      <c r="K140" s="89" t="str">
        <f t="shared" si="41"/>
        <v>4013/4014</v>
      </c>
      <c r="L140" s="185" t="str">
        <f>VLOOKUP(A140,'Trips&amp;Operators'!$C$1:$G$99911,5,FALSE)</f>
        <v>RESPASS AARON</v>
      </c>
      <c r="M140" s="6">
        <f t="shared" si="42"/>
        <v>1.0879629633564036E-2</v>
      </c>
      <c r="N140" s="7"/>
      <c r="O140" s="7"/>
      <c r="P140" s="7"/>
      <c r="Q140" s="22"/>
      <c r="R140" s="174"/>
      <c r="S140" s="221"/>
      <c r="T140" s="174" t="str">
        <f t="shared" si="45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9</v>
      </c>
      <c r="V140" s="216" t="str">
        <f t="shared" si="46"/>
        <v>https://d0f6bd738d7f1b3e5a7ca70fe4ff75f0.us-east-1.aws.found.io/app/kibana#/discover/Steve-Slow-Train-Analysis-(2080s-and-2083s)?_g=(refreshInterval:(display:Off,pause:!f,section:0,value:0),time:(from:'2017-11-13T20:23:03-0700',mode:absolute,to:'2017-11-13T22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204" t="str">
        <f>IF(AA140&lt;VLOOKUP(AG140,Variables!$AC$3:$AD$8,2,FALSE),"Y","N")</f>
        <v>Y</v>
      </c>
      <c r="X140" s="204">
        <f t="shared" si="47"/>
        <v>0</v>
      </c>
      <c r="Y140" s="204">
        <f t="shared" si="48"/>
        <v>6.4169</v>
      </c>
      <c r="Z140" s="204">
        <f t="shared" si="49"/>
        <v>2.5100000000000001E-2</v>
      </c>
      <c r="AA140" s="204">
        <f t="shared" si="50"/>
        <v>6.3917999999999999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51"/>
        <v>226</v>
      </c>
      <c r="AE140" s="77" t="str">
        <f t="shared" si="52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140" s="74" t="str">
        <f t="shared" si="53"/>
        <v>"C:\Program Files (x86)\AstroGrep\AstroGrep.exe" /e /r /s /spath="%USERPROFILE%\AppData\Local\Temp\OnboardLogs" /stypes="app*4013*20171114*" /stext=" 04:.+((SYSTEM_STATE.+slice.+state.+changed )|(ment ac)|(multiple cpu faults)|(system.+state.+changed )|(\[timeout)|(PRM\|1\|D)|(kpr)|(kdp)|(train st.+moving)|(\|lc)|(penalty))"</v>
      </c>
      <c r="AG140" s="182" t="str">
        <f t="shared" si="54"/>
        <v>EC</v>
      </c>
      <c r="AH140" s="78" t="str">
        <f t="shared" si="55"/>
        <v>"%USERPROFILE%\Documents\GitHub\eaglep3\Utilities\RefineRTDCRunTimes.py" --tripid 226-13 --locoid 4013 --swversion DE.1.0.9.0 --startMP 204:64169 --initTime 2017-11-13T21:23:03 --startdatetime 2017-11-13T21:24:20 --delay 43 --endMP 204:251 --enddatetime 2017-11-13T21:40:00 --enforcementcount 0 &gt;&gt;%USERPROFILE%\Documents\GitHub\eaglep3-reporting\EC\2017-11-13-refined-times.txt</v>
      </c>
      <c r="AI140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{"issue":{"subject":"","project_id":79,"tracker_id":40,"status_id":1,"priority_id":2,"assigned_to_id":338,"start_date":"2017-11-13","description":"","custom_fields":[{"id":1,"name":"Subdivision","value":"EC"},{"id":4,"name":"Milepost","value":"0.0251"},{"id":17,"name":"Train ID","value":"226-13"},{"id":16,"name":"Locomotive ID","value":"4013"},{"id":130,"name":"Impact","value":""},{"id":150,"name":"Time of Event (Mountain Time)","value":"21:40:00"},{"id":151,"name":"Denver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57"/>
        <v>start /low /b %USERPROFILE%\Documents\GitHub\eaglep3\Utilities\DownloadLogsFromS3.py --loco 4013 --day 2017-11-13</v>
      </c>
      <c r="AN140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9"/>
        <v>https://d0f6bd738d7f1b3e5a7ca70fe4ff75f0.us-east-1.aws.found.io/app/kibana#/discover/Steve-Slow-Train-Analysis-(2080s-and-2083s)?_g=(refreshInterval:(display:Off,pause:!f,section:0,value:0),time:(from:'2017-11-13T20:23:03-0700',mode:absolute,to:'2017-11-13T22:40:00-0700'))&amp;_a=(columns:!('Message%20ID',Summary),filters:!(),index:'emp_*',interval:auto,query:(query_string:(analyze_wildcard:!t,query:'%22rtdc.l.rtdc.4013%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841</v>
      </c>
      <c r="B141" s="7">
        <v>4040</v>
      </c>
      <c r="C141" s="21" t="s">
        <v>192</v>
      </c>
      <c r="D141" s="21" t="s">
        <v>453</v>
      </c>
      <c r="E141" s="13">
        <v>43052.849282407406</v>
      </c>
      <c r="F141" s="13">
        <v>43052.854456018518</v>
      </c>
      <c r="G141" s="7">
        <v>75</v>
      </c>
      <c r="H141" s="21" t="s">
        <v>478</v>
      </c>
      <c r="I141" s="13">
        <v>43052.881423611114</v>
      </c>
      <c r="J141" s="7">
        <v>0</v>
      </c>
      <c r="K141" s="89" t="str">
        <f t="shared" ref="K141:K207" si="60">IF(ISEVEN(B141),(B141-1)&amp;"/"&amp;B141,B141&amp;"/"&amp;(B141+1))</f>
        <v>4039/4040</v>
      </c>
      <c r="L141" s="185" t="str">
        <f>VLOOKUP(A141,'Trips&amp;Operators'!$C$1:$G$99911,5,FALSE)</f>
        <v>WILLIAMS DONTE</v>
      </c>
      <c r="M141" s="6">
        <f t="shared" ref="M141:M207" si="61">I141-F141</f>
        <v>2.6967592595610768E-2</v>
      </c>
      <c r="N141" s="7">
        <f t="shared" ref="N141:P207" si="62">24*60*SUM($M141:$M141)</f>
        <v>38.833333337679505</v>
      </c>
      <c r="O141" s="7"/>
      <c r="P141" s="7"/>
      <c r="Q141" s="22"/>
      <c r="R141" s="174"/>
      <c r="S141" s="221">
        <f t="shared" ref="S141:S207" si="63">1/IF(AG141="EC",12,1)*SUM(U141:U141)</f>
        <v>1</v>
      </c>
      <c r="T141" s="174" t="str">
        <f t="shared" ref="T141:T207" si="64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7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-13T19:22:58-0700',mode:absolute,to:'2017-11-13T22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1" s="204" t="str">
        <f>IF(AA141&lt;VLOOKUP(AG141,Variables!$AC$3:$AD$8,2,FALSE),"Y","N")</f>
        <v>N</v>
      </c>
      <c r="X141" s="204">
        <f t="shared" ref="X141:X207" si="66">VALUE(LEFT(AD141,4))-VALUE(LEFT(AD140,4))</f>
        <v>1</v>
      </c>
      <c r="Y141" s="204">
        <f t="shared" ref="Y141:Y207" si="67">RIGHT(D141,LEN(D141)-4)/10000</f>
        <v>5.0599999999999999E-2</v>
      </c>
      <c r="Z141" s="204">
        <f t="shared" ref="Z141:Z207" si="68">RIGHT(H141,LEN(H141)-4)/10000</f>
        <v>23.325900000000001</v>
      </c>
      <c r="AA141" s="204">
        <f t="shared" ref="AA141:AA207" si="69">ABS(Z141-Y141)</f>
        <v>23.275300000000001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7" si="70">VALUE(LEFT(A141,LEN(A141)-3))</f>
        <v>227</v>
      </c>
      <c r="AE141" s="77" t="str">
        <f t="shared" ref="AE141:AE207" si="7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41" s="74" t="str">
        <f t="shared" ref="AF141:AF207" si="7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/stypes="app*4040*20171114*" /stext=" 04:.+((SYSTEM_STATE.+slice.+state.+changed )|(ment ac)|(multiple cpu faults)|(system.+state.+changed )|(\[timeout)|(PRM\|1\|D)|(kpr)|(kdp)|(train st.+moving)|(\|lc)|(penalty))"</v>
      </c>
      <c r="AG141" s="182" t="str">
        <f t="shared" ref="AG141:AG207" si="73">DetSubdiv(A141)</f>
        <v>EC</v>
      </c>
      <c r="AH141" s="78" t="str">
        <f t="shared" si="55"/>
        <v>"%USERPROFILE%\Documents\GitHub\eaglep3\Utilities\RefineRTDCRunTimes.py" --tripid 227-13 --locoid 4040 --swversion DE.1.0.9.0 --startMP 204:506 --initTime 2017-11-13T20:22:58 --startdatetime 2017-11-13T20:30:25 --delay 75 --endMP 204:233259 --enddatetime 2017-11-13T21:09:15 --enforcementcount 0 &gt;&gt;%USERPROFILE%\Documents\GitHub\eaglep3-reporting\EC\2017-11-13-refined-times.txt</v>
      </c>
      <c r="AI141" s="96" t="str">
        <f t="shared" si="56"/>
        <v>echo {"issue":{"subject":"","project_id":79,"tracker_id":40,"status_id":1,"priority_id":2,"assigned_to_id":338,"start_date":"2017-11-13","description":"","custom_fields":[{"id":1,"name":"Subdivision","value":"EC"},{"id":4,"name":"Milepost","value":"23.3259"},{"id":17,"name":"Train ID","value":"227-13"},{"id":16,"name":"Locomotive ID","value":"4040"},{"id":130,"name":"Impact","value":""},{"id":150,"name":"Time of Event (Mountain Time)","value":"21:09:15"},{"id":151,"name":"Denver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57"/>
        <v>start /low /b %USERPROFILE%\Documents\GitHub\eaglep3\Utilities\DownloadLogsFromS3.py --loco 4040 --day 2017-11-13</v>
      </c>
      <c r="AN141" s="151" t="str">
        <f t="shared" si="58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9"/>
        <v>https://d0f6bd738d7f1b3e5a7ca70fe4ff75f0.us-east-1.aws.found.io/app/kibana#/discover/Steve-Slow-Train-Analysis-(2080s-and-2083s)?_g=(refreshInterval:(display:Off,pause:!f,section:0,value:0),time:(from:'2017-11-13T19:22:58-0700',mode:absolute,to:'2017-11-13T22:09:15-0700'))&amp;_a=(columns:!('Message%20ID',Summary),filters:!(),index:'emp_*',interval:auto,query:(query_string:(analyze_wildcard:!t,query:'%22rtdc.l.rtdc.4040%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846</v>
      </c>
      <c r="B142" s="7">
        <v>4039</v>
      </c>
      <c r="C142" s="21" t="s">
        <v>192</v>
      </c>
      <c r="D142" s="21" t="s">
        <v>453</v>
      </c>
      <c r="E142" s="13">
        <v>43052.849282407406</v>
      </c>
      <c r="F142" s="13">
        <v>43052.89402777778</v>
      </c>
      <c r="G142" s="7">
        <v>75</v>
      </c>
      <c r="H142" s="21" t="s">
        <v>478</v>
      </c>
      <c r="I142" s="13">
        <v>43052.922997685186</v>
      </c>
      <c r="J142" s="7">
        <v>0</v>
      </c>
      <c r="K142" s="89" t="str">
        <f t="shared" ref="K142" si="74">IF(ISEVEN(B142),(B142-1)&amp;"/"&amp;B142,B142&amp;"/"&amp;(B142+1))</f>
        <v>4039/4040</v>
      </c>
      <c r="L142" s="185" t="str">
        <f>VLOOKUP(A142,'Trips&amp;Operators'!$C$1:$G$99911,5,FALSE)</f>
        <v>WILLIAMS DONTE</v>
      </c>
      <c r="M142" s="6">
        <f t="shared" ref="M142" si="75">I142-F142</f>
        <v>2.8969907405553386E-2</v>
      </c>
      <c r="N142" s="7">
        <f t="shared" si="62"/>
        <v>41.716666663996875</v>
      </c>
      <c r="O142" s="7"/>
      <c r="P142" s="7"/>
      <c r="Q142" s="22"/>
      <c r="R142" s="174"/>
      <c r="S142" s="221">
        <f t="shared" ref="S142" si="76">1/IF(AG142="EC",12,1)*SUM(U142:U142)</f>
        <v>1</v>
      </c>
      <c r="T142" s="174" t="str">
        <f t="shared" ref="T142" si="77"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ref="V142" si="7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-13T19:22:58-0700',mode:absolute,to:'2017-11-13T23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2" s="204" t="str">
        <f>IF(AA142&lt;VLOOKUP(AG142,Variables!$AC$3:$AD$8,2,FALSE),"Y","N")</f>
        <v>N</v>
      </c>
      <c r="X142" s="204">
        <f t="shared" ref="X142:X143" si="79">VALUE(LEFT(AD142,4))-VALUE(LEFT(AD141,4))</f>
        <v>1</v>
      </c>
      <c r="Y142" s="204">
        <v>23.296199999999999</v>
      </c>
      <c r="Z142" s="204">
        <v>2.3400000000000001E-2</v>
      </c>
      <c r="AA142" s="204">
        <f t="shared" ref="AA142" si="80">ABS(Z142-Y142)</f>
        <v>23.2728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ref="AD142" si="81">VALUE(LEFT(A142,LEN(A142)-3))</f>
        <v>228</v>
      </c>
      <c r="AE142" s="77" t="str">
        <f t="shared" ref="AE142" si="82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42" s="74" t="str">
        <f t="shared" ref="AF142" si="83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/stypes="app*4039*20171114*" /stext=" 05:.+((SYSTEM_STATE.+slice.+state.+changed )|(ment ac)|(multiple cpu faults)|(system.+state.+changed )|(\[timeout)|(PRM\|1\|D)|(kpr)|(kdp)|(train st.+moving)|(\|lc)|(penalty))"</v>
      </c>
      <c r="AG142" s="182" t="str">
        <f t="shared" ref="AG142" si="84">DetSubdiv(A142)</f>
        <v>EC</v>
      </c>
      <c r="AH142" s="78" t="str">
        <f t="shared" ref="AH142" si="8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228-13 --locoid 4039 --swversion DE.1.0.9.0 --startMP 204:506 --initTime 2017-11-13T20:22:58 --startdatetime 2017-11-13T21:27:24 --delay 75 --endMP 204:233259 --enddatetime 2017-11-13T22:09:07 --enforcementcount 0 &gt;&gt;%USERPROFILE%\Documents\GitHub\eaglep3-reporting\EC\2017-11-13-refined-times.txt</v>
      </c>
      <c r="AI142" s="96" t="str">
        <f t="shared" ref="AI142" si="8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{"issue":{"subject":"","project_id":79,"tracker_id":40,"status_id":1,"priority_id":2,"assigned_to_id":338,"start_date":"2017-11-13","description":"","custom_fields":[{"id":1,"name":"Subdivision","value":"EC"},{"id":4,"name":"Milepost","value":"0.0234"},{"id":17,"name":"Train ID","value":"228-13"},{"id":16,"name":"Locomotive ID","value":"4039"},{"id":130,"name":"Impact","value":""},{"id":150,"name":"Time of Event (Mountain Time)","value":"22:09:07"},{"id":151,"name":"Denver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" si="87">"start /low /b "&amp;dls3logs&amp;" --loco "&amp;B142&amp;" --day "&amp;TEXT(F142,"YYYY-MM-DD")</f>
        <v>start /low /b %USERPROFILE%\Documents\GitHub\eaglep3\Utilities\DownloadLogsFromS3.py --loco 4039 --day 2017-11-13</v>
      </c>
      <c r="AN142" s="151" t="str">
        <f t="shared" ref="AN142" si="8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05:09:07"},{"id":29,"name":"Sharepoint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" si="8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-13T19:22:58-0700',mode:absolute,to:'2017-11-13T23:09:07-0700'))&amp;_a=(columns:!('Message%20ID',Summary),filters:!(),index:'emp_*',interval:auto,query:(query_string:(analyze_wildcard:!t,query:'%22rtdc.l.rtdc.4039%22')),sort:!(Time.ISO8601,asc))</v>
      </c>
    </row>
    <row r="143" spans="1:91" s="20" customFormat="1" x14ac:dyDescent="0.25">
      <c r="A143" s="32" t="s">
        <v>652</v>
      </c>
      <c r="B143" s="7">
        <v>4060</v>
      </c>
      <c r="C143" s="21" t="s">
        <v>192</v>
      </c>
      <c r="D143" s="21" t="s">
        <v>969</v>
      </c>
      <c r="E143" s="13">
        <v>43052.861655092594</v>
      </c>
      <c r="F143" s="13">
        <v>43052.875150462962</v>
      </c>
      <c r="G143" s="7">
        <v>54</v>
      </c>
      <c r="H143" s="21" t="s">
        <v>543</v>
      </c>
      <c r="I143" s="13">
        <v>43052.900023148148</v>
      </c>
      <c r="J143" s="7">
        <v>0</v>
      </c>
      <c r="K143" s="89" t="str">
        <f t="shared" si="60"/>
        <v>4059/4060</v>
      </c>
      <c r="L143" s="185" t="str">
        <f>VLOOKUP(A143,'Trips&amp;Operators'!$C$1:$G$99911,5,FALSE)</f>
        <v>ELBAUM MIKE</v>
      </c>
      <c r="M143" s="6">
        <f t="shared" si="61"/>
        <v>2.4872685185982846E-2</v>
      </c>
      <c r="N143" s="7">
        <f t="shared" si="62"/>
        <v>35.816666667815298</v>
      </c>
      <c r="O143" s="7"/>
      <c r="P143" s="7"/>
      <c r="Q143" s="22"/>
      <c r="R143" s="174"/>
      <c r="S143" s="221">
        <f t="shared" si="63"/>
        <v>1</v>
      </c>
      <c r="T143" s="174" t="str">
        <f t="shared" si="64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5"/>
        <v>https://d0f6bd738d7f1b3e5a7ca70fe4ff75f0.us-east-1.aws.found.io/app/kibana#/discover/Steve-Slow-Train-Analysis-(2080s-and-2083s)?_g=(refreshInterval:(display:Off,pause:!f,section:0,value:0),time:(from:'2017-11-13T19:40:47-0700',mode:absolute,to:'2017-11-13T22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3" s="204" t="str">
        <f>IF(AA143&lt;VLOOKUP(AG143,Variables!$AC$3:$AD$8,2,FALSE),"Y","N")</f>
        <v>N</v>
      </c>
      <c r="X143" s="204">
        <f t="shared" si="79"/>
        <v>1</v>
      </c>
      <c r="Y143" s="204">
        <f t="shared" si="67"/>
        <v>5.6399999999999999E-2</v>
      </c>
      <c r="Z143" s="204">
        <f t="shared" si="68"/>
        <v>23.326599999999999</v>
      </c>
      <c r="AA143" s="204">
        <f t="shared" si="69"/>
        <v>23.270199999999999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70"/>
        <v>229</v>
      </c>
      <c r="AE143" s="77" t="str">
        <f t="shared" si="71"/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143" s="74" t="str">
        <f t="shared" si="72"/>
        <v>"C:\Program Files (x86)\AstroGrep\AstroGrep.exe" /e /r /s /spath="%USERPROFILE%\AppData\Local\Temp\OnboardLogs" /stypes="app*4060*20171114*" /stext=" 04:.+((SYSTEM_STATE.+slice.+state.+changed )|(ment ac)|(multiple cpu faults)|(system.+state.+changed )|(\[timeout)|(PRM\|1\|D)|(kpr)|(kdp)|(train st.+moving)|(\|lc)|(penalty))"</v>
      </c>
      <c r="AG143" s="182" t="str">
        <f t="shared" si="73"/>
        <v>EC</v>
      </c>
      <c r="AH143" s="78" t="str">
        <f t="shared" ref="AH143:AH208" si="9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229-13 --locoid 4060 --swversion DE.1.0.9.0 --startMP 204:564 --initTime 2017-11-13T20:40:47 --startdatetime 2017-11-13T21:00:13 --delay 54 --endMP 204:233266 --enddatetime 2017-11-13T21:36:02 --enforcementcount 0 &gt;&gt;%USERPROFILE%\Documents\GitHub\eaglep3-reporting\EC\2017-11-13-refined-times.txt</v>
      </c>
      <c r="AI143" s="96" t="str">
        <f t="shared" ref="AI143:AI208" si="9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{"issue":{"subject":"","project_id":79,"tracker_id":40,"status_id":1,"priority_id":2,"assigned_to_id":338,"start_date":"2017-11-13","description":"","custom_fields":[{"id":1,"name":"Subdivision","value":"EC"},{"id":4,"name":"Milepost","value":"23.3266"},{"id":17,"name":"Train ID","value":"229-13"},{"id":16,"name":"Locomotive ID","value":"4060"},{"id":130,"name":"Impact","value":""},{"id":150,"name":"Time of Event (Mountain Time)","value":"21:36:02"},{"id":151,"name":"Denver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08" si="92">"start /low /b "&amp;dls3logs&amp;" --loco "&amp;B143&amp;" --day "&amp;TEXT(F143,"YYYY-MM-DD")</f>
        <v>start /low /b %USERPROFILE%\Documents\GitHub\eaglep3\Utilities\DownloadLogsFromS3.py --loco 4060 --day 2017-11-13</v>
      </c>
      <c r="AN143" s="151" t="str">
        <f t="shared" ref="AN143:AN208" si="9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8" si="9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-13T19:40:47-0700',mode:absolute,to:'2017-11-13T22:36:02-0700'))&amp;_a=(columns:!('Message%20ID',Summary),filters:!(),index:'emp_*',interval:auto,query:(query_string:(analyze_wildcard:!t,query:'%22rtdc.l.rtdc.4060%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848</v>
      </c>
      <c r="B144" s="7">
        <v>4059</v>
      </c>
      <c r="C144" s="21" t="s">
        <v>192</v>
      </c>
      <c r="D144" s="21" t="s">
        <v>452</v>
      </c>
      <c r="E144" s="13">
        <v>43052.901666666665</v>
      </c>
      <c r="F144" s="13">
        <v>43052.914722222224</v>
      </c>
      <c r="G144" s="7">
        <v>48</v>
      </c>
      <c r="H144" s="21" t="s">
        <v>970</v>
      </c>
      <c r="I144" s="13">
        <v>43052.939826388887</v>
      </c>
      <c r="J144" s="7">
        <v>0</v>
      </c>
      <c r="K144" s="89" t="str">
        <f t="shared" si="60"/>
        <v>4059/4060</v>
      </c>
      <c r="L144" s="185" t="str">
        <f>VLOOKUP(A144,'Trips&amp;Operators'!$C$1:$G$99911,5,FALSE)</f>
        <v>ELBAUM MIKE</v>
      </c>
      <c r="M144" s="6">
        <f t="shared" si="61"/>
        <v>2.5104166663368233E-2</v>
      </c>
      <c r="N144" s="7">
        <f t="shared" si="62"/>
        <v>36.149999995250255</v>
      </c>
      <c r="O144" s="7"/>
      <c r="P144" s="7"/>
      <c r="Q144" s="22"/>
      <c r="R144" s="174"/>
      <c r="S144" s="221">
        <f t="shared" si="63"/>
        <v>1</v>
      </c>
      <c r="T144" s="174" t="str">
        <f t="shared" si="64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5"/>
        <v>https://d0f6bd738d7f1b3e5a7ca70fe4ff75f0.us-east-1.aws.found.io/app/kibana#/discover/Steve-Slow-Train-Analysis-(2080s-and-2083s)?_g=(refreshInterval:(display:Off,pause:!f,section:0,value:0),time:(from:'2017-11-13T20:38:24-0700',mode:absolute,to:'2017-11-13T23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4" s="204" t="str">
        <f>IF(AA144&lt;VLOOKUP(AG144,Variables!$AC$3:$AD$8,2,FALSE),"Y","N")</f>
        <v>N</v>
      </c>
      <c r="X144" s="204">
        <f t="shared" si="66"/>
        <v>1</v>
      </c>
      <c r="Y144" s="204">
        <f t="shared" si="67"/>
        <v>23.293800000000001</v>
      </c>
      <c r="Z144" s="204">
        <f t="shared" si="68"/>
        <v>2.5600000000000001E-2</v>
      </c>
      <c r="AA144" s="204">
        <f t="shared" si="69"/>
        <v>23.2682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70"/>
        <v>230</v>
      </c>
      <c r="AE144" s="77" t="str">
        <f t="shared" si="71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144" s="74" t="str">
        <f t="shared" si="72"/>
        <v>"C:\Program Files (x86)\AstroGrep\AstroGrep.exe" /e /r /s /spath="%USERPROFILE%\AppData\Local\Temp\OnboardLogs" /stypes="app*4059*20171114*" /stext=" 05:.+((SYSTEM_STATE.+slice.+state.+changed )|(ment ac)|(multiple cpu faults)|(system.+state.+changed )|(\[timeout)|(PRM\|1\|D)|(kpr)|(kdp)|(train st.+moving)|(\|lc)|(penalty))"</v>
      </c>
      <c r="AG144" s="182" t="str">
        <f t="shared" si="73"/>
        <v>EC</v>
      </c>
      <c r="AH144" s="78" t="str">
        <f t="shared" si="90"/>
        <v>"%USERPROFILE%\Documents\GitHub\eaglep3\Utilities\RefineRTDCRunTimes.py" --tripid 230-13 --locoid 4059 --swversion DE.1.0.9.0 --startMP 204:232938 --initTime 2017-11-13T21:38:24 --startdatetime 2017-11-13T21:57:12 --delay 48 --endMP 204:256 --enddatetime 2017-11-13T22:33:21 --enforcementcount 0 &gt;&gt;%USERPROFILE%\Documents\GitHub\eaglep3-reporting\EC\2017-11-13-refined-times.txt</v>
      </c>
      <c r="AI144" s="96" t="str">
        <f t="shared" si="91"/>
        <v>echo {"issue":{"subject":"","project_id":79,"tracker_id":40,"status_id":1,"priority_id":2,"assigned_to_id":338,"start_date":"2017-11-13","description":"","custom_fields":[{"id":1,"name":"Subdivision","value":"EC"},{"id":4,"name":"Milepost","value":"0.0256"},{"id":17,"name":"Train ID","value":"230-13"},{"id":16,"name":"Locomotive ID","value":"4059"},{"id":130,"name":"Impact","value":""},{"id":150,"name":"Time of Event (Mountain Time)","value":"22:33:21"},{"id":151,"name":"Denver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92"/>
        <v>start /low /b %USERPROFILE%\Documents\GitHub\eaglep3\Utilities\DownloadLogsFromS3.py --loco 4059 --day 2017-11-13</v>
      </c>
      <c r="AN144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05:33:21"},{"id":29,"name":"Sharepoint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94"/>
        <v>https://d0f6bd738d7f1b3e5a7ca70fe4ff75f0.us-east-1.aws.found.io/app/kibana#/discover/Steve-Slow-Train-Analysis-(2080s-and-2083s)?_g=(refreshInterval:(display:Off,pause:!f,section:0,value:0),time:(from:'2017-11-13T20:38:24-0700',mode:absolute,to:'2017-11-13T23:33:21-0700'))&amp;_a=(columns:!('Message%20ID',Summary),filters:!(),index:'emp_*',interval:auto,query:(query_string:(analyze_wildcard:!t,query:'%22rtdc.l.rtdc.4059%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845</v>
      </c>
      <c r="B145" s="7">
        <v>4028</v>
      </c>
      <c r="C145" s="21" t="s">
        <v>192</v>
      </c>
      <c r="D145" s="21" t="s">
        <v>934</v>
      </c>
      <c r="E145" s="13">
        <v>43052.880949074075</v>
      </c>
      <c r="F145" s="13">
        <v>43052.896041666667</v>
      </c>
      <c r="G145" s="7">
        <v>73</v>
      </c>
      <c r="H145" s="21" t="s">
        <v>897</v>
      </c>
      <c r="I145" s="13">
        <v>43052.920972222222</v>
      </c>
      <c r="J145" s="7">
        <v>0</v>
      </c>
      <c r="K145" s="89" t="str">
        <f t="shared" si="60"/>
        <v>4027/4028</v>
      </c>
      <c r="L145" s="185" t="str">
        <f>VLOOKUP(A145,'Trips&amp;Operators'!$C$1:$G$99911,5,FALSE)</f>
        <v>LOZA FIDEL</v>
      </c>
      <c r="M145" s="6">
        <f t="shared" si="61"/>
        <v>2.4930555555329192E-2</v>
      </c>
      <c r="N145" s="7">
        <f t="shared" si="62"/>
        <v>35.899999999674037</v>
      </c>
      <c r="O145" s="7"/>
      <c r="P145" s="7"/>
      <c r="Q145" s="22"/>
      <c r="R145" s="174"/>
      <c r="S145" s="221">
        <f t="shared" si="63"/>
        <v>1</v>
      </c>
      <c r="T145" s="174" t="str">
        <f t="shared" si="64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5"/>
        <v>https://d0f6bd738d7f1b3e5a7ca70fe4ff75f0.us-east-1.aws.found.io/app/kibana#/discover/Steve-Slow-Train-Analysis-(2080s-and-2083s)?_g=(refreshInterval:(display:Off,pause:!f,section:0,value:0),time:(from:'2017-11-13T20:08:34-0700',mode:absolute,to:'2017-11-13T23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204" t="str">
        <f>IF(AA145&lt;VLOOKUP(AG145,Variables!$AC$3:$AD$8,2,FALSE),"Y","N")</f>
        <v>N</v>
      </c>
      <c r="X145" s="204">
        <f t="shared" si="66"/>
        <v>1</v>
      </c>
      <c r="Y145" s="204">
        <f t="shared" si="67"/>
        <v>5.5899999999999998E-2</v>
      </c>
      <c r="Z145" s="204">
        <f t="shared" si="68"/>
        <v>23.325299999999999</v>
      </c>
      <c r="AA145" s="204">
        <f t="shared" si="69"/>
        <v>23.269399999999997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70"/>
        <v>231</v>
      </c>
      <c r="AE145" s="77" t="str">
        <f t="shared" si="71"/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145" s="74" t="str">
        <f t="shared" si="72"/>
        <v>"C:\Program Files (x86)\AstroGrep\AstroGrep.exe" /e /r /s /spath="%USERPROFILE%\AppData\Local\Temp\OnboardLogs" /stypes="app*4028*20171114*" /stext=" 05:.+((SYSTEM_STATE.+slice.+state.+changed )|(ment ac)|(multiple cpu faults)|(system.+state.+changed )|(\[timeout)|(PRM\|1\|D)|(kpr)|(kdp)|(train st.+moving)|(\|lc)|(penalty))"</v>
      </c>
      <c r="AG145" s="182" t="str">
        <f t="shared" si="73"/>
        <v>EC</v>
      </c>
      <c r="AH145" s="78" t="str">
        <f t="shared" si="90"/>
        <v>"%USERPROFILE%\Documents\GitHub\eaglep3\Utilities\RefineRTDCRunTimes.py" --tripid 231-13 --locoid 4028 --swversion DE.1.0.9.0 --startMP 204:559 --initTime 2017-11-13T21:08:34 --startdatetime 2017-11-13T21:30:18 --delay 73 --endMP 204:233253 --enddatetime 2017-11-13T22:06:12 --enforcementcount 0 &gt;&gt;%USERPROFILE%\Documents\GitHub\eaglep3-reporting\EC\2017-11-13-refined-times.txt</v>
      </c>
      <c r="AI145" s="96" t="str">
        <f t="shared" si="91"/>
        <v>echo {"issue":{"subject":"","project_id":79,"tracker_id":40,"status_id":1,"priority_id":2,"assigned_to_id":338,"start_date":"2017-11-13","description":"","custom_fields":[{"id":1,"name":"Subdivision","value":"EC"},{"id":4,"name":"Milepost","value":"23.3253"},{"id":17,"name":"Train ID","value":"231-13"},{"id":16,"name":"Locomotive ID","value":"4028"},{"id":130,"name":"Impact","value":""},{"id":150,"name":"Time of Event (Mountain Time)","value":"22:06:12"},{"id":151,"name":"Denver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92"/>
        <v>start /low /b %USERPROFILE%\Documents\GitHub\eaglep3\Utilities\DownloadLogsFromS3.py --loco 4028 --day 2017-11-13</v>
      </c>
      <c r="AN145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4"/>
        <v>https://d0f6bd738d7f1b3e5a7ca70fe4ff75f0.us-east-1.aws.found.io/app/kibana#/discover/Steve-Slow-Train-Analysis-(2080s-and-2083s)?_g=(refreshInterval:(display:Off,pause:!f,section:0,value:0),time:(from:'2017-11-13T20:08:34-0700',mode:absolute,to:'2017-11-13T23:06:12-0700'))&amp;_a=(columns:!('Message%20ID',Summary),filters:!(),index:'emp_*',interval:auto,query:(query_string:(analyze_wildcard:!t,query:'%22rtdc.l.rtdc.4028%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852</v>
      </c>
      <c r="B146" s="7">
        <v>4027</v>
      </c>
      <c r="C146" s="21" t="s">
        <v>192</v>
      </c>
      <c r="D146" s="21" t="s">
        <v>971</v>
      </c>
      <c r="E146" s="13">
        <v>43052.93378472222</v>
      </c>
      <c r="F146" s="13">
        <v>43052.935717592591</v>
      </c>
      <c r="G146" s="7">
        <v>52</v>
      </c>
      <c r="H146" s="21" t="s">
        <v>451</v>
      </c>
      <c r="I146" s="13">
        <v>43052.961284722223</v>
      </c>
      <c r="J146" s="7">
        <v>0</v>
      </c>
      <c r="K146" s="89" t="str">
        <f t="shared" si="60"/>
        <v>4027/4028</v>
      </c>
      <c r="L146" s="185" t="str">
        <f>VLOOKUP(A146,'Trips&amp;Operators'!$C$1:$G$99911,5,FALSE)</f>
        <v>LOZA FIDEL</v>
      </c>
      <c r="M146" s="6">
        <f t="shared" si="61"/>
        <v>2.5567129632690921E-2</v>
      </c>
      <c r="N146" s="7">
        <f t="shared" si="62"/>
        <v>36.816666671074927</v>
      </c>
      <c r="O146" s="7"/>
      <c r="P146" s="7"/>
      <c r="Q146" s="22"/>
      <c r="R146" s="174"/>
      <c r="S146" s="221">
        <f t="shared" si="63"/>
        <v>1</v>
      </c>
      <c r="T146" s="174" t="str">
        <f t="shared" si="64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5"/>
        <v>https://d0f6bd738d7f1b3e5a7ca70fe4ff75f0.us-east-1.aws.found.io/app/kibana#/discover/Steve-Slow-Train-Analysis-(2080s-and-2083s)?_g=(refreshInterval:(display:Off,pause:!f,section:0,value:0),time:(from:'2017-11-13T21:24:39-0700',mode:absolute,to:'2017-11-14T00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204" t="str">
        <f>IF(AA146&lt;VLOOKUP(AG146,Variables!$AC$3:$AD$8,2,FALSE),"Y","N")</f>
        <v>N</v>
      </c>
      <c r="X146" s="204">
        <f t="shared" si="66"/>
        <v>1</v>
      </c>
      <c r="Y146" s="204">
        <f t="shared" si="67"/>
        <v>23.2943</v>
      </c>
      <c r="Z146" s="204">
        <f t="shared" si="68"/>
        <v>2.07E-2</v>
      </c>
      <c r="AA146" s="204">
        <f t="shared" si="69"/>
        <v>23.273599999999998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70"/>
        <v>232</v>
      </c>
      <c r="AE146" s="77" t="str">
        <f t="shared" si="71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146" s="74" t="str">
        <f t="shared" si="72"/>
        <v>"C:\Program Files (x86)\AstroGrep\AstroGrep.exe" /e /r /s /spath="%USERPROFILE%\AppData\Local\Temp\OnboardLogs" /stypes="app*4027*20171114*" /stext=" 06:.+((SYSTEM_STATE.+slice.+state.+changed )|(ment ac)|(multiple cpu faults)|(system.+state.+changed )|(\[timeout)|(PRM\|1\|D)|(kpr)|(kdp)|(train st.+moving)|(\|lc)|(penalty))"</v>
      </c>
      <c r="AG146" s="182" t="str">
        <f t="shared" si="73"/>
        <v>EC</v>
      </c>
      <c r="AH146" s="78" t="str">
        <f t="shared" si="90"/>
        <v>"%USERPROFILE%\Documents\GitHub\eaglep3\Utilities\RefineRTDCRunTimes.py" --tripid 232-13 --locoid 4027 --swversion DE.1.0.9.0 --startMP 204:232943 --initTime 2017-11-13T22:24:39 --startdatetime 2017-11-13T22:27:26 --delay 52 --endMP 204:207 --enddatetime 2017-11-13T23:04:15 --enforcementcount 0 &gt;&gt;%USERPROFILE%\Documents\GitHub\eaglep3-reporting\EC\2017-11-13-refined-times.txt</v>
      </c>
      <c r="AI146" s="96" t="str">
        <f t="shared" si="91"/>
        <v>echo {"issue":{"subject":"","project_id":79,"tracker_id":40,"status_id":1,"priority_id":2,"assigned_to_id":338,"start_date":"2017-11-13","description":"","custom_fields":[{"id":1,"name":"Subdivision","value":"EC"},{"id":4,"name":"Milepost","value":"0.0207"},{"id":17,"name":"Train ID","value":"232-13"},{"id":16,"name":"Locomotive ID","value":"4027"},{"id":130,"name":"Impact","value":""},{"id":150,"name":"Time of Event (Mountain Time)","value":"23:04:15"},{"id":151,"name":"Denver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92"/>
        <v>start /low /b %USERPROFILE%\Documents\GitHub\eaglep3\Utilities\DownloadLogsFromS3.py --loco 4027 --day 2017-11-13</v>
      </c>
      <c r="AN146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4"/>
        <v>https://d0f6bd738d7f1b3e5a7ca70fe4ff75f0.us-east-1.aws.found.io/app/kibana#/discover/Steve-Slow-Train-Analysis-(2080s-and-2083s)?_g=(refreshInterval:(display:Off,pause:!f,section:0,value:0),time:(from:'2017-11-13T21:24:39-0700',mode:absolute,to:'2017-11-14T00:04:15-0700'))&amp;_a=(columns:!('Message%20ID',Summary),filters:!(),index:'emp_*',interval:auto,query:(query_string:(analyze_wildcard:!t,query:'%22rtdc.l.rtdc.4027%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849</v>
      </c>
      <c r="B147" s="7">
        <v>4014</v>
      </c>
      <c r="C147" s="21" t="s">
        <v>192</v>
      </c>
      <c r="D147" s="21" t="s">
        <v>971</v>
      </c>
      <c r="E147" s="13">
        <v>43052.93378472222</v>
      </c>
      <c r="F147" s="13">
        <v>43052.916909722226</v>
      </c>
      <c r="G147" s="7">
        <v>52</v>
      </c>
      <c r="H147" s="21" t="s">
        <v>451</v>
      </c>
      <c r="I147" s="13">
        <v>43052.940717592595</v>
      </c>
      <c r="J147" s="7">
        <v>0</v>
      </c>
      <c r="K147" s="89" t="str">
        <f t="shared" ref="K147" si="95">IF(ISEVEN(B147),(B147-1)&amp;"/"&amp;B147,B147&amp;"/"&amp;(B147+1))</f>
        <v>4013/4014</v>
      </c>
      <c r="L147" s="185" t="str">
        <f>VLOOKUP(A147,'Trips&amp;Operators'!$C$1:$G$99911,5,FALSE)</f>
        <v>RESPASS AARON</v>
      </c>
      <c r="M147" s="6">
        <f t="shared" ref="M147" si="96">I147-F147</f>
        <v>2.3807870369637385E-2</v>
      </c>
      <c r="N147" s="7">
        <f t="shared" si="62"/>
        <v>34.283333332277834</v>
      </c>
      <c r="O147" s="7"/>
      <c r="P147" s="7"/>
      <c r="Q147" s="22"/>
      <c r="R147" s="174"/>
      <c r="S147" s="221">
        <f t="shared" ref="S147" si="97">1/IF(AG147="EC",12,1)*SUM(U147:U147)</f>
        <v>1</v>
      </c>
      <c r="T147" s="174" t="str">
        <f t="shared" ref="T147" si="98"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ref="V147" si="99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-13T21:24:39-0700',mode:absolute,to:'2017-11-13T23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204" t="str">
        <f>IF(AA147&lt;VLOOKUP(AG147,Variables!$AC$3:$AD$8,2,FALSE),"Y","N")</f>
        <v>N</v>
      </c>
      <c r="X147" s="204">
        <f t="shared" ref="X147:X148" si="100">VALUE(LEFT(AD147,4))-VALUE(LEFT(AD146,4))</f>
        <v>1</v>
      </c>
      <c r="Y147" s="204">
        <v>5.5899999999999998E-2</v>
      </c>
      <c r="Z147" s="204">
        <v>23.325299999999999</v>
      </c>
      <c r="AA147" s="204">
        <f t="shared" ref="AA147" si="101">ABS(Z147-Y147)</f>
        <v>23.269399999999997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ref="AD147" si="102">VALUE(LEFT(A147,LEN(A147)-3))</f>
        <v>233</v>
      </c>
      <c r="AE147" s="77" t="str">
        <f t="shared" ref="AE147" si="103"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s3://rtdc.mdm.uploadarchive.raw/RTDC4014/ "%USERPROFILE%\AppData\Local\Temp\OnboardLogs"\RTDC4014\2017-11-13 --exclude "*" --recursive --include "*20171113*" &amp; "%USERPROFILE%\Documents\GitHub\mrs-test-scripts\Headless Mode &amp; Sideloading\WalkAndUnGZ.bat" "%USERPROFILE%\AppData\Local\Temp\OnboardLogs"\RTDC4014\2017-11-13 &amp; 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</v>
      </c>
      <c r="AF147" s="74" t="str">
        <f t="shared" ref="AF147" si="104"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/stypes="app*4014*20171114*" /stext=" 05:.+((SYSTEM_STATE.+slice.+state.+changed )|(ment ac)|(multiple cpu faults)|(system.+state.+changed )|(\[timeout)|(PRM\|1\|D)|(kpr)|(kdp)|(train st.+moving)|(\|lc)|(penalty))"</v>
      </c>
      <c r="AG147" s="182" t="str">
        <f t="shared" ref="AG147" si="105">DetSubdiv(A147)</f>
        <v>EC</v>
      </c>
      <c r="AH147" s="78" t="str">
        <f t="shared" ref="AH147" si="106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233-13 --locoid 4014 --swversion DE.1.0.9.0 --startMP 204:232943 --initTime 2017-11-13T22:24:39 --startdatetime 2017-11-13T22:00:21 --delay 52 --endMP 204:207 --enddatetime 2017-11-13T22:34:38 --enforcementcount 0 &gt;&gt;%USERPROFILE%\Documents\GitHub\eaglep3-reporting\EC\2017-11-13-refined-times.txt</v>
      </c>
      <c r="AI147" s="96" t="str">
        <f t="shared" ref="AI147" si="107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{"issue":{"subject":"","project_id":79,"tracker_id":40,"status_id":1,"priority_id":2,"assigned_to_id":338,"start_date":"2017-11-13","description":"","custom_fields":[{"id":1,"name":"Subdivision","value":"EC"},{"id":4,"name":"Milepost","value":"23.3253"},{"id":17,"name":"Train ID","value":"233-13"},{"id":16,"name":"Locomotive ID","value":"4014"},{"id":130,"name":"Impact","value":""},{"id":150,"name":"Time of Event (Mountain Time)","value":"22:34:38"},{"id":151,"name":"Denver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ref="AM147" si="108">"start /low /b "&amp;dls3logs&amp;" --loco "&amp;B147&amp;" --day "&amp;TEXT(F147,"YYYY-MM-DD")</f>
        <v>start /low /b %USERPROFILE%\Documents\GitHub\eaglep3\Utilities\DownloadLogsFromS3.py --loco 4014 --day 2017-11-13</v>
      </c>
      <c r="AN147" s="151" t="str">
        <f t="shared" ref="AN147" si="109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" si="110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-13T21:24:39-0700',mode:absolute,to:'2017-11-13T23:34:38-0700'))&amp;_a=(columns:!('Message%20ID',Summary),filters:!(),index:'emp_*',interval:auto,query:(query_string:(analyze_wildcard:!t,query:'%22rtdc.l.rtdc.4014%22')),sort:!(Time.ISO8601,asc))</v>
      </c>
    </row>
    <row r="148" spans="1:91" s="20" customFormat="1" x14ac:dyDescent="0.25">
      <c r="A148" s="32" t="s">
        <v>855</v>
      </c>
      <c r="B148" s="7">
        <v>4013</v>
      </c>
      <c r="C148" s="21" t="s">
        <v>192</v>
      </c>
      <c r="D148" s="21" t="s">
        <v>972</v>
      </c>
      <c r="E148" s="13">
        <v>43052.949120370373</v>
      </c>
      <c r="F148" s="13">
        <v>43052.956516203703</v>
      </c>
      <c r="G148" s="7">
        <v>69</v>
      </c>
      <c r="H148" s="21" t="s">
        <v>973</v>
      </c>
      <c r="I148" s="13">
        <v>43052.984965277778</v>
      </c>
      <c r="J148" s="7">
        <v>0</v>
      </c>
      <c r="K148" s="89" t="str">
        <f t="shared" si="60"/>
        <v>4013/4014</v>
      </c>
      <c r="L148" s="185" t="str">
        <f>VLOOKUP(A148,'Trips&amp;Operators'!$C$1:$G$99911,5,FALSE)</f>
        <v>RESPASS AARON</v>
      </c>
      <c r="M148" s="6">
        <f t="shared" si="61"/>
        <v>2.8449074074160308E-2</v>
      </c>
      <c r="N148" s="7">
        <f t="shared" si="62"/>
        <v>40.966666666790843</v>
      </c>
      <c r="O148" s="7"/>
      <c r="P148" s="7"/>
      <c r="Q148" s="22"/>
      <c r="R148" s="174"/>
      <c r="S148" s="221">
        <f t="shared" si="63"/>
        <v>1</v>
      </c>
      <c r="T148" s="174" t="str">
        <f t="shared" si="64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5"/>
        <v>https://d0f6bd738d7f1b3e5a7ca70fe4ff75f0.us-east-1.aws.found.io/app/kibana#/discover/Steve-Slow-Train-Analysis-(2080s-and-2083s)?_g=(refreshInterval:(display:Off,pause:!f,section:0,value:0),time:(from:'2017-11-13T21:46:44-0700',mode:absolute,to:'2017-11-14T00:38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204" t="str">
        <f>IF(AA148&lt;VLOOKUP(AG148,Variables!$AC$3:$AD$8,2,FALSE),"Y","N")</f>
        <v>N</v>
      </c>
      <c r="X148" s="204">
        <f t="shared" si="100"/>
        <v>1</v>
      </c>
      <c r="Y148" s="204">
        <f t="shared" si="67"/>
        <v>23.2925</v>
      </c>
      <c r="Z148" s="204">
        <f t="shared" si="68"/>
        <v>2.8000000000000001E-2</v>
      </c>
      <c r="AA148" s="204">
        <f t="shared" si="69"/>
        <v>23.264500000000002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70"/>
        <v>234</v>
      </c>
      <c r="AE148" s="77" t="str">
        <f t="shared" si="71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148" s="74" t="str">
        <f t="shared" si="72"/>
        <v>"C:\Program Files (x86)\AstroGrep\AstroGrep.exe" /e /r /s /spath="%USERPROFILE%\AppData\Local\Temp\OnboardLogs" /stypes="app*4013*20171114*" /stext=" 06:.+((SYSTEM_STATE.+slice.+state.+changed )|(ment ac)|(multiple cpu faults)|(system.+state.+changed )|(\[timeout)|(PRM\|1\|D)|(kpr)|(kdp)|(train st.+moving)|(\|lc)|(penalty))"</v>
      </c>
      <c r="AG148" s="182" t="str">
        <f t="shared" si="73"/>
        <v>EC</v>
      </c>
      <c r="AH148" s="78" t="str">
        <f t="shared" si="90"/>
        <v>"%USERPROFILE%\Documents\GitHub\eaglep3\Utilities\RefineRTDCRunTimes.py" --tripid 234-13 --locoid 4013 --swversion DE.1.0.9.0 --startMP 204:232925 --initTime 2017-11-13T22:46:44 --startdatetime 2017-11-13T22:57:23 --delay 69 --endMP 204:280 --enddatetime 2017-11-13T23:38:21 --enforcementcount 0 &gt;&gt;%USERPROFILE%\Documents\GitHub\eaglep3-reporting\EC\2017-11-13-refined-times.txt</v>
      </c>
      <c r="AI148" s="96" t="str">
        <f t="shared" si="91"/>
        <v>echo {"issue":{"subject":"","project_id":79,"tracker_id":40,"status_id":1,"priority_id":2,"assigned_to_id":338,"start_date":"2017-11-13","description":"","custom_fields":[{"id":1,"name":"Subdivision","value":"EC"},{"id":4,"name":"Milepost","value":"0.028"},{"id":17,"name":"Train ID","value":"234-13"},{"id":16,"name":"Locomotive ID","value":"4013"},{"id":130,"name":"Impact","value":""},{"id":150,"name":"Time of Event (Mountain Time)","value":"23:38:21"},{"id":151,"name":"Denver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92"/>
        <v>start /low /b %USERPROFILE%\Documents\GitHub\eaglep3\Utilities\DownloadLogsFromS3.py --loco 4013 --day 2017-11-13</v>
      </c>
      <c r="AN148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4"/>
        <v>https://d0f6bd738d7f1b3e5a7ca70fe4ff75f0.us-east-1.aws.found.io/app/kibana#/discover/Steve-Slow-Train-Analysis-(2080s-and-2083s)?_g=(refreshInterval:(display:Off,pause:!f,section:0,value:0),time:(from:'2017-11-13T21:46:44-0700',mode:absolute,to:'2017-11-14T00:38:21-0700'))&amp;_a=(columns:!('Message%20ID',Summary),filters:!(),index:'emp_*',interval:auto,query:(query_string:(analyze_wildcard:!t,query:'%22rtdc.l.rtdc.4013%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851</v>
      </c>
      <c r="B149" s="7">
        <v>4040</v>
      </c>
      <c r="C149" s="21" t="s">
        <v>192</v>
      </c>
      <c r="D149" s="21" t="s">
        <v>974</v>
      </c>
      <c r="E149" s="13">
        <v>43052.941736111112</v>
      </c>
      <c r="F149" s="13">
        <v>43052.942928240744</v>
      </c>
      <c r="G149" s="7">
        <v>64</v>
      </c>
      <c r="H149" s="21" t="s">
        <v>574</v>
      </c>
      <c r="I149" s="13">
        <v>43052.965115740742</v>
      </c>
      <c r="J149" s="7">
        <v>0</v>
      </c>
      <c r="K149" s="89" t="str">
        <f t="shared" si="60"/>
        <v>4039/4040</v>
      </c>
      <c r="L149" s="185" t="str">
        <f>VLOOKUP(A149,'Trips&amp;Operators'!$C$1:$G$99911,5,FALSE)</f>
        <v>WILLIAMS DONTE</v>
      </c>
      <c r="M149" s="6">
        <f t="shared" si="61"/>
        <v>2.2187499998835847E-2</v>
      </c>
      <c r="N149" s="7"/>
      <c r="O149" s="7"/>
      <c r="P149" s="7">
        <f t="shared" si="62"/>
        <v>31.949999998323619</v>
      </c>
      <c r="Q149" s="22"/>
      <c r="R149" s="174" t="s">
        <v>1107</v>
      </c>
      <c r="S149" s="221">
        <f t="shared" si="63"/>
        <v>1</v>
      </c>
      <c r="T149" s="174" t="str">
        <f t="shared" si="64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5"/>
        <v>https://d0f6bd738d7f1b3e5a7ca70fe4ff75f0.us-east-1.aws.found.io/app/kibana#/discover/Steve-Slow-Train-Analysis-(2080s-and-2083s)?_g=(refreshInterval:(display:Off,pause:!f,section:0,value:0),time:(from:'2017-11-13T21:36:06-0700',mode:absolute,to:'2017-11-14T00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9" s="204" t="str">
        <f>IF(AA149&lt;VLOOKUP(AG149,Variables!$AC$3:$AD$8,2,FALSE),"Y","N")</f>
        <v>Y</v>
      </c>
      <c r="X149" s="204">
        <f t="shared" si="66"/>
        <v>1</v>
      </c>
      <c r="Y149" s="204">
        <f t="shared" si="67"/>
        <v>1.9126000000000001</v>
      </c>
      <c r="Z149" s="204">
        <f t="shared" si="68"/>
        <v>23.323</v>
      </c>
      <c r="AA149" s="204">
        <f t="shared" si="69"/>
        <v>21.410399999999999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70"/>
        <v>235</v>
      </c>
      <c r="AE149" s="77" t="str">
        <f t="shared" si="7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49" s="74" t="str">
        <f t="shared" si="72"/>
        <v>"C:\Program Files (x86)\AstroGrep\AstroGrep.exe" /e /r /s /spath="%USERPROFILE%\AppData\Local\Temp\OnboardLogs" /stypes="app*4040*20171114*" /stext=" 06:.+((SYSTEM_STATE.+slice.+state.+changed )|(ment ac)|(multiple cpu faults)|(system.+state.+changed )|(\[timeout)|(PRM\|1\|D)|(kpr)|(kdp)|(train st.+moving)|(\|lc)|(penalty))"</v>
      </c>
      <c r="AG149" s="182" t="str">
        <f t="shared" si="73"/>
        <v>EC</v>
      </c>
      <c r="AH149" s="78" t="str">
        <f t="shared" si="90"/>
        <v>"%USERPROFILE%\Documents\GitHub\eaglep3\Utilities\RefineRTDCRunTimes.py" --tripid 235-13 --locoid 4040 --swversion DE.1.0.9.0 --startMP 204:19126 --initTime 2017-11-13T22:36:06 --startdatetime 2017-11-13T22:37:49 --delay 64 --endMP 204:233230 --enddatetime 2017-11-13T23:09:46 --enforcementcount 0 &gt;&gt;%USERPROFILE%\Documents\GitHub\eaglep3-reporting\EC\2017-11-13-refined-times.txt</v>
      </c>
      <c r="AI149" s="96" t="str">
        <f t="shared" si="91"/>
        <v>echo {"issue":{"subject":"Selected wrong track","project_id":79,"tracker_id":40,"status_id":1,"priority_id":2,"assigned_to_id":338,"start_date":"2017-11-13","description":"","custom_fields":[{"id":1,"name":"Subdivision","value":"EC"},{"id":4,"name":"Milepost","value":"23.323"},{"id":17,"name":"Train ID","value":"235-13"},{"id":16,"name":"Locomotive ID","value":"4040"},{"id":130,"name":"Impact","value":""},{"id":150,"name":"Time of Event (Mountain Time)","value":"23:09:46"},{"id":151,"name":"Denver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92"/>
        <v>start /low /b %USERPROFILE%\Documents\GitHub\eaglep3\Utilities\DownloadLogsFromS3.py --loco 4040 --day 2017-11-13</v>
      </c>
      <c r="AN149" s="151" t="str">
        <f t="shared" si="93"/>
        <v>echo {"issue":{"subject":"Selected wrong track","project_id":30,"tracker_id":4,"status_id":1,"priority_id":1,"assigned_to_id":10,"start_date":"2017-11-14","description":"","custom_fields":[{"id":30,"name":"Category","value":"Issue"},{"id":3,"name":"Functional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4"/>
        <v>https://d0f6bd738d7f1b3e5a7ca70fe4ff75f0.us-east-1.aws.found.io/app/kibana#/discover/Steve-Slow-Train-Analysis-(2080s-and-2083s)?_g=(refreshInterval:(display:Off,pause:!f,section:0,value:0),time:(from:'2017-11-13T21:36:06-0700',mode:absolute,to:'2017-11-14T00:09:46-0700'))&amp;_a=(columns:!('Message%20ID',Summary),filters:!(),index:'emp_*',interval:auto,query:(query_string:(analyze_wildcard:!t,query:'%22rtdc.l.rtdc.4040%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851</v>
      </c>
      <c r="B150" s="7">
        <v>4040</v>
      </c>
      <c r="C150" s="21" t="s">
        <v>192</v>
      </c>
      <c r="D150" s="21" t="s">
        <v>466</v>
      </c>
      <c r="E150" s="13">
        <v>43052.930763888886</v>
      </c>
      <c r="F150" s="13">
        <v>43052.942928240744</v>
      </c>
      <c r="G150" s="7">
        <v>83</v>
      </c>
      <c r="H150" s="21" t="s">
        <v>975</v>
      </c>
      <c r="I150" s="13">
        <v>43052.965115740742</v>
      </c>
      <c r="J150" s="7">
        <v>0</v>
      </c>
      <c r="K150" s="89" t="str">
        <f t="shared" si="60"/>
        <v>4039/4040</v>
      </c>
      <c r="L150" s="185" t="str">
        <f>VLOOKUP(A150,'Trips&amp;Operators'!$C$1:$G$99911,5,FALSE)</f>
        <v>WILLIAMS DONTE</v>
      </c>
      <c r="M150" s="6">
        <f t="shared" si="61"/>
        <v>2.2187499998835847E-2</v>
      </c>
      <c r="N150" s="7"/>
      <c r="O150" s="7"/>
      <c r="P150" s="7"/>
      <c r="Q150" s="22"/>
      <c r="R150" s="174"/>
      <c r="S150" s="221"/>
      <c r="T150" s="174" t="str">
        <f t="shared" si="64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16" t="str">
        <f t="shared" si="65"/>
        <v>https://d0f6bd738d7f1b3e5a7ca70fe4ff75f0.us-east-1.aws.found.io/app/kibana#/discover/Steve-Slow-Train-Analysis-(2080s-and-2083s)?_g=(refreshInterval:(display:Off,pause:!f,section:0,value:0),time:(from:'2017-11-13T21:20:18-0700',mode:absolute,to:'2017-11-14T00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204" t="str">
        <f>IF(AA150&lt;VLOOKUP(AG150,Variables!$AC$3:$AD$8,2,FALSE),"Y","N")</f>
        <v>Y</v>
      </c>
      <c r="X150" s="204">
        <f t="shared" si="66"/>
        <v>0</v>
      </c>
      <c r="Y150" s="204">
        <f t="shared" si="67"/>
        <v>5.0900000000000001E-2</v>
      </c>
      <c r="Z150" s="204">
        <f t="shared" si="68"/>
        <v>0.1235</v>
      </c>
      <c r="AA150" s="204">
        <f t="shared" si="69"/>
        <v>7.2599999999999998E-2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70"/>
        <v>235</v>
      </c>
      <c r="AE150" s="77" t="str">
        <f t="shared" si="71"/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AF150" s="74" t="str">
        <f t="shared" si="72"/>
        <v>"C:\Program Files (x86)\AstroGrep\AstroGrep.exe" /e /r /s /spath="%USERPROFILE%\AppData\Local\Temp\OnboardLogs" /stypes="app*4040*20171114*" /stext=" 06:.+((SYSTEM_STATE.+slice.+state.+changed )|(ment ac)|(multiple cpu faults)|(system.+state.+changed )|(\[timeout)|(PRM\|1\|D)|(kpr)|(kdp)|(train st.+moving)|(\|lc)|(penalty))"</v>
      </c>
      <c r="AG150" s="182" t="str">
        <f t="shared" si="73"/>
        <v>EC</v>
      </c>
      <c r="AH150" s="78" t="str">
        <f t="shared" si="90"/>
        <v>"%USERPROFILE%\Documents\GitHub\eaglep3\Utilities\RefineRTDCRunTimes.py" --tripid 235-13 --locoid 4040 --swversion DE.1.0.9.0 --startMP 204:509 --initTime 2017-11-13T22:20:18 --startdatetime 2017-11-13T22:37:49 --delay 83 --endMP 204:1235 --enddatetime 2017-11-13T23:09:46 --enforcementcount 0 &gt;&gt;%USERPROFILE%\Documents\GitHub\eaglep3-reporting\EC\2017-11-13-refined-times.txt</v>
      </c>
      <c r="AI150" s="96" t="str">
        <f t="shared" si="91"/>
        <v>echo {"issue":{"subject":"","project_id":79,"tracker_id":40,"status_id":1,"priority_id":2,"assigned_to_id":338,"start_date":"2017-11-13","description":"","custom_fields":[{"id":1,"name":"Subdivision","value":"EC"},{"id":4,"name":"Milepost","value":"0.1235"},{"id":17,"name":"Train ID","value":"235-13"},{"id":16,"name":"Locomotive ID","value":"4040"},{"id":130,"name":"Impact","value":""},{"id":150,"name":"Time of Event (Mountain Time)","value":"23:09:46"},{"id":151,"name":"Denver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92"/>
        <v>start /low /b %USERPROFILE%\Documents\GitHub\eaglep3\Utilities\DownloadLogsFromS3.py --loco 4040 --day 2017-11-13</v>
      </c>
      <c r="AN150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4"/>
        <v>https://d0f6bd738d7f1b3e5a7ca70fe4ff75f0.us-east-1.aws.found.io/app/kibana#/discover/Steve-Slow-Train-Analysis-(2080s-and-2083s)?_g=(refreshInterval:(display:Off,pause:!f,section:0,value:0),time:(from:'2017-11-13T21:20:18-0700',mode:absolute,to:'2017-11-14T00:09:46-0700'))&amp;_a=(columns:!('Message%20ID',Summary),filters:!(),index:'emp_*',interval:auto,query:(query_string:(analyze_wildcard:!t,query:'%22rtdc.l.rtdc.4040%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857</v>
      </c>
      <c r="B151" s="7">
        <v>4039</v>
      </c>
      <c r="C151" s="21" t="s">
        <v>192</v>
      </c>
      <c r="D151" s="21" t="s">
        <v>538</v>
      </c>
      <c r="E151" s="13">
        <v>43052.972268518519</v>
      </c>
      <c r="F151" s="13">
        <v>43052.977384259262</v>
      </c>
      <c r="G151" s="7">
        <v>84</v>
      </c>
      <c r="H151" s="21" t="s">
        <v>581</v>
      </c>
      <c r="I151" s="13">
        <v>43053.005104166667</v>
      </c>
      <c r="J151" s="7">
        <v>0</v>
      </c>
      <c r="K151" s="89" t="str">
        <f t="shared" si="60"/>
        <v>4039/4040</v>
      </c>
      <c r="L151" s="185" t="str">
        <f>VLOOKUP(A151,'Trips&amp;Operators'!$C$1:$G$99911,5,FALSE)</f>
        <v>WILLIAMS DONTE</v>
      </c>
      <c r="M151" s="6">
        <f t="shared" si="61"/>
        <v>2.7719907404389232E-2</v>
      </c>
      <c r="N151" s="7">
        <f t="shared" si="62"/>
        <v>39.916666662320495</v>
      </c>
      <c r="O151" s="7"/>
      <c r="P151" s="7"/>
      <c r="Q151" s="22"/>
      <c r="R151" s="174"/>
      <c r="S151" s="221">
        <f t="shared" si="63"/>
        <v>1</v>
      </c>
      <c r="T151" s="174" t="str">
        <f t="shared" si="64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5"/>
        <v>https://d0f6bd738d7f1b3e5a7ca70fe4ff75f0.us-east-1.aws.found.io/app/kibana#/discover/Steve-Slow-Train-Analysis-(2080s-and-2083s)?_g=(refreshInterval:(display:Off,pause:!f,section:0,value:0),time:(from:'2017-11-13T22:20:04-0700',mode:absolute,to:'2017-11-14T01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204" t="str">
        <f>IF(AA151&lt;VLOOKUP(AG151,Variables!$AC$3:$AD$8,2,FALSE),"Y","N")</f>
        <v>N</v>
      </c>
      <c r="X151" s="204">
        <f t="shared" si="66"/>
        <v>1</v>
      </c>
      <c r="Y151" s="204">
        <f t="shared" si="67"/>
        <v>23.291499999999999</v>
      </c>
      <c r="Z151" s="204">
        <f t="shared" si="68"/>
        <v>1.9199999999999998E-2</v>
      </c>
      <c r="AA151" s="204">
        <f t="shared" si="69"/>
        <v>23.272299999999998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70"/>
        <v>236</v>
      </c>
      <c r="AE151" s="77" t="str">
        <f t="shared" si="71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151" s="74" t="str">
        <f t="shared" si="72"/>
        <v>"C:\Program Files (x86)\AstroGrep\AstroGrep.exe" /e /r /s /spath="%USERPROFILE%\AppData\Local\Temp\OnboardLogs" /stypes="app*4039*20171114*" /stext=" 07:.+((SYSTEM_STATE.+slice.+state.+changed )|(ment ac)|(multiple cpu faults)|(system.+state.+changed )|(\[timeout)|(PRM\|1\|D)|(kpr)|(kdp)|(train st.+moving)|(\|lc)|(penalty))"</v>
      </c>
      <c r="AG151" s="182" t="str">
        <f t="shared" si="73"/>
        <v>EC</v>
      </c>
      <c r="AH151" s="78" t="str">
        <f t="shared" si="90"/>
        <v>"%USERPROFILE%\Documents\GitHub\eaglep3\Utilities\RefineRTDCRunTimes.py" --tripid 236-13 --locoid 4039 --swversion DE.1.0.9.0 --startMP 204:232915 --initTime 2017-11-13T23:20:04 --startdatetime 2017-11-13T23:27:26 --delay 84 --endMP 204:192 --enddatetime 2017-11-14T00:07:21 --enforcementcount 0 &gt;&gt;%USERPROFILE%\Documents\GitHub\eaglep3-reporting\EC\2017-11-13-refined-times.txt</v>
      </c>
      <c r="AI151" s="96" t="str">
        <f t="shared" si="91"/>
        <v>echo {"issue":{"subject":"","project_id":79,"tracker_id":40,"status_id":1,"priority_id":2,"assigned_to_id":338,"start_date":"2017-11-14","description":"","custom_fields":[{"id":1,"name":"Subdivision","value":"EC"},{"id":4,"name":"Milepost","value":"0.0192"},{"id":17,"name":"Train ID","value":"236-13"},{"id":16,"name":"Locomotive ID","value":"4039"},{"id":130,"name":"Impact","value":""},{"id":150,"name":"Time of Event (Mountain Time)","value":"00:07:21"},{"id":151,"name":"Denver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92"/>
        <v>start /low /b %USERPROFILE%\Documents\GitHub\eaglep3\Utilities\DownloadLogsFromS3.py --loco 4039 --day 2017-11-13</v>
      </c>
      <c r="AN151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4"/>
        <v>https://d0f6bd738d7f1b3e5a7ca70fe4ff75f0.us-east-1.aws.found.io/app/kibana#/discover/Steve-Slow-Train-Analysis-(2080s-and-2083s)?_g=(refreshInterval:(display:Off,pause:!f,section:0,value:0),time:(from:'2017-11-13T22:20:04-0700',mode:absolute,to:'2017-11-14T01:07:21-0700'))&amp;_a=(columns:!('Message%20ID',Summary),filters:!(),index:'emp_*',interval:auto,query:(query_string:(analyze_wildcard:!t,query:'%22rtdc.l.rtdc.4039%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854</v>
      </c>
      <c r="B152" s="7">
        <v>4060</v>
      </c>
      <c r="C152" s="21" t="s">
        <v>192</v>
      </c>
      <c r="D152" s="21" t="s">
        <v>538</v>
      </c>
      <c r="E152" s="13">
        <v>43052.972268518519</v>
      </c>
      <c r="F152" s="13">
        <v>43052.958541666667</v>
      </c>
      <c r="G152" s="7">
        <v>84</v>
      </c>
      <c r="H152" s="21" t="s">
        <v>581</v>
      </c>
      <c r="I152" s="13">
        <v>43052.982986111114</v>
      </c>
      <c r="J152" s="7">
        <v>0</v>
      </c>
      <c r="K152" s="89" t="str">
        <f t="shared" ref="K152" si="111">IF(ISEVEN(B152),(B152-1)&amp;"/"&amp;B152,B152&amp;"/"&amp;(B152+1))</f>
        <v>4059/4060</v>
      </c>
      <c r="L152" s="185" t="str">
        <f>VLOOKUP(A152,'Trips&amp;Operators'!$C$1:$G$99911,5,FALSE)</f>
        <v>GUNTHIER ERIC</v>
      </c>
      <c r="M152" s="6">
        <f t="shared" ref="M152" si="112">I152-F152</f>
        <v>2.4444444446999114E-2</v>
      </c>
      <c r="N152" s="7">
        <f t="shared" si="62"/>
        <v>35.200000003678724</v>
      </c>
      <c r="O152" s="7"/>
      <c r="P152" s="7"/>
      <c r="Q152" s="22"/>
      <c r="R152" s="174"/>
      <c r="S152" s="221">
        <f t="shared" ref="S152" si="113">1/IF(AG152="EC",12,1)*SUM(U152:U152)</f>
        <v>1</v>
      </c>
      <c r="T152" s="174" t="str">
        <f t="shared" ref="T152" si="114"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ref="V152" si="115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-13T22:20:04-0700',mode:absolute,to:'2017-11-14T00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2" s="204" t="str">
        <f>IF(AA152&lt;VLOOKUP(AG152,Variables!$AC$3:$AD$8,2,FALSE),"Y","N")</f>
        <v>N</v>
      </c>
      <c r="X152" s="204">
        <f t="shared" ref="X152:X153" si="116">VALUE(LEFT(AD152,4))-VALUE(LEFT(AD151,4))</f>
        <v>1</v>
      </c>
      <c r="Y152" s="204">
        <v>5.5899999999999998E-2</v>
      </c>
      <c r="Z152" s="204">
        <v>23.325299999999999</v>
      </c>
      <c r="AA152" s="204">
        <f t="shared" ref="AA152" si="117">ABS(Z152-Y152)</f>
        <v>23.269399999999997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ref="AD152" si="118">VALUE(LEFT(A152,LEN(A152)-3))</f>
        <v>237</v>
      </c>
      <c r="AE152" s="77" t="str">
        <f t="shared" ref="AE152" si="119"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AF152" s="74" t="str">
        <f t="shared" ref="AF152" si="120"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/stypes="app*4060*20171114*" /stext=" 06:.+((SYSTEM_STATE.+slice.+state.+changed )|(ment ac)|(multiple cpu faults)|(system.+state.+changed )|(\[timeout)|(PRM\|1\|D)|(kpr)|(kdp)|(train st.+moving)|(\|lc)|(penalty))"</v>
      </c>
      <c r="AG152" s="182" t="str">
        <f t="shared" ref="AG152" si="121">DetSubdiv(A152)</f>
        <v>EC</v>
      </c>
      <c r="AH152" s="78" t="str">
        <f t="shared" ref="AH152" si="122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237-13 --locoid 4060 --swversion DE.1.0.9.0 --startMP 204:232915 --initTime 2017-11-13T23:20:04 --startdatetime 2017-11-13T23:00:18 --delay 84 --endMP 204:192 --enddatetime 2017-11-13T23:35:30 --enforcementcount 0 &gt;&gt;%USERPROFILE%\Documents\GitHub\eaglep3-reporting\EC\2017-11-13-refined-times.txt</v>
      </c>
      <c r="AI152" s="96" t="str">
        <f t="shared" ref="AI152" si="123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{"issue":{"subject":"","project_id":79,"tracker_id":40,"status_id":1,"priority_id":2,"assigned_to_id":338,"start_date":"2017-11-13","description":"","custom_fields":[{"id":1,"name":"Subdivision","value":"EC"},{"id":4,"name":"Milepost","value":"23.3253"},{"id":17,"name":"Train ID","value":"237-13"},{"id":16,"name":"Locomotive ID","value":"4060"},{"id":130,"name":"Impact","value":""},{"id":150,"name":"Time of Event (Mountain Time)","value":"23:35:30"},{"id":151,"name":"Denver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ref="AM152" si="124">"start /low /b "&amp;dls3logs&amp;" --loco "&amp;B152&amp;" --day "&amp;TEXT(F152,"YYYY-MM-DD")</f>
        <v>start /low /b %USERPROFILE%\Documents\GitHub\eaglep3\Utilities\DownloadLogsFromS3.py --loco 4060 --day 2017-11-13</v>
      </c>
      <c r="AN152" s="151" t="str">
        <f t="shared" ref="AN152" si="125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ref="AO152" si="126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-13T22:20:04-0700',mode:absolute,to:'2017-11-14T00:35:30-0700'))&amp;_a=(columns:!('Message%20ID',Summary),filters:!(),index:'emp_*',interval:auto,query:(query_string:(analyze_wildcard:!t,query:'%22rtdc.l.rtdc.4060%22')),sort:!(Time.ISO8601,asc))</v>
      </c>
    </row>
    <row r="153" spans="1:91" s="20" customFormat="1" x14ac:dyDescent="0.25">
      <c r="A153" s="32" t="s">
        <v>860</v>
      </c>
      <c r="B153" s="7">
        <v>4059</v>
      </c>
      <c r="C153" s="21" t="s">
        <v>192</v>
      </c>
      <c r="D153" s="21" t="s">
        <v>538</v>
      </c>
      <c r="E153" s="13">
        <v>43052.984791666669</v>
      </c>
      <c r="F153" s="13">
        <v>43052.998090277775</v>
      </c>
      <c r="G153" s="7">
        <v>923</v>
      </c>
      <c r="H153" s="21" t="s">
        <v>976</v>
      </c>
      <c r="I153" s="13">
        <v>43053.025000000001</v>
      </c>
      <c r="J153" s="7">
        <v>0</v>
      </c>
      <c r="K153" s="89" t="str">
        <f t="shared" si="60"/>
        <v>4059/4060</v>
      </c>
      <c r="L153" s="185" t="str">
        <f>VLOOKUP(A153,'Trips&amp;Operators'!$C$1:$G$99911,5,FALSE)</f>
        <v>GUNTHIER ERIC</v>
      </c>
      <c r="M153" s="6">
        <f t="shared" si="61"/>
        <v>2.6909722226264421E-2</v>
      </c>
      <c r="N153" s="7">
        <f t="shared" si="62"/>
        <v>38.750000005820766</v>
      </c>
      <c r="O153" s="7"/>
      <c r="P153" s="7"/>
      <c r="Q153" s="22"/>
      <c r="R153" s="174"/>
      <c r="S153" s="221">
        <f t="shared" si="63"/>
        <v>1</v>
      </c>
      <c r="T153" s="174" t="str">
        <f t="shared" si="64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5"/>
        <v>https://d0f6bd738d7f1b3e5a7ca70fe4ff75f0.us-east-1.aws.found.io/app/kibana#/discover/Steve-Slow-Train-Analysis-(2080s-and-2083s)?_g=(refreshInterval:(display:Off,pause:!f,section:0,value:0),time:(from:'2017-11-13T22:38:06-0700',mode:absolute,to:'2017-11-14T01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3" s="204" t="str">
        <f>IF(AA153&lt;VLOOKUP(AG153,Variables!$AC$3:$AD$8,2,FALSE),"Y","N")</f>
        <v>N</v>
      </c>
      <c r="X153" s="204">
        <f t="shared" si="116"/>
        <v>1</v>
      </c>
      <c r="Y153" s="204">
        <f t="shared" si="67"/>
        <v>23.291499999999999</v>
      </c>
      <c r="Z153" s="204">
        <f t="shared" si="68"/>
        <v>2.12E-2</v>
      </c>
      <c r="AA153" s="204">
        <f t="shared" si="69"/>
        <v>23.270299999999999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70"/>
        <v>238</v>
      </c>
      <c r="AE153" s="77" t="str">
        <f t="shared" si="71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153" s="74" t="str">
        <f t="shared" si="72"/>
        <v>"C:\Program Files (x86)\AstroGrep\AstroGrep.exe" /e /r /s /spath="%USERPROFILE%\AppData\Local\Temp\OnboardLogs" /stypes="app*4059*20171114*" /stext=" 07:.+((SYSTEM_STATE.+slice.+state.+changed )|(ment ac)|(multiple cpu faults)|(system.+state.+changed )|(\[timeout)|(PRM\|1\|D)|(kpr)|(kdp)|(train st.+moving)|(\|lc)|(penalty))"</v>
      </c>
      <c r="AG153" s="182" t="str">
        <f t="shared" si="73"/>
        <v>EC</v>
      </c>
      <c r="AH153" s="78" t="str">
        <f t="shared" si="90"/>
        <v>"%USERPROFILE%\Documents\GitHub\eaglep3\Utilities\RefineRTDCRunTimes.py" --tripid 238-13 --locoid 4059 --swversion DE.1.0.9.0 --startMP 204:232915 --initTime 2017-11-13T23:38:06 --startdatetime 2017-11-13T23:57:15 --delay 923 --endMP 204:212 --enddatetime 2017-11-14T00:36:00 --enforcementcount 0 &gt;&gt;%USERPROFILE%\Documents\GitHub\eaglep3-reporting\EC\2017-11-13-refined-times.txt</v>
      </c>
      <c r="AI153" s="96" t="str">
        <f t="shared" si="91"/>
        <v>echo {"issue":{"subject":"","project_id":79,"tracker_id":40,"status_id":1,"priority_id":2,"assigned_to_id":338,"start_date":"2017-11-14","description":"","custom_fields":[{"id":1,"name":"Subdivision","value":"EC"},{"id":4,"name":"Milepost","value":"0.0212"},{"id":17,"name":"Train ID","value":"238-13"},{"id":16,"name":"Locomotive ID","value":"4059"},{"id":130,"name":"Impact","value":""},{"id":150,"name":"Time of Event (Mountain Time)","value":"00:36:00"},{"id":151,"name":"Denver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92"/>
        <v>start /low /b %USERPROFILE%\Documents\GitHub\eaglep3\Utilities\DownloadLogsFromS3.py --loco 4059 --day 2017-11-13</v>
      </c>
      <c r="AN153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4"/>
        <v>https://d0f6bd738d7f1b3e5a7ca70fe4ff75f0.us-east-1.aws.found.io/app/kibana#/discover/Steve-Slow-Train-Analysis-(2080s-and-2083s)?_g=(refreshInterval:(display:Off,pause:!f,section:0,value:0),time:(from:'2017-11-13T22:38:06-0700',mode:absolute,to:'2017-11-14T01:36:00-0700'))&amp;_a=(columns:!('Message%20ID',Summary),filters:!(),index:'emp_*',interval:auto,query:(query_string:(analyze_wildcard:!t,query:'%22rtdc.l.rtdc.4059%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856</v>
      </c>
      <c r="B154" s="7">
        <v>4028</v>
      </c>
      <c r="C154" s="21" t="s">
        <v>192</v>
      </c>
      <c r="D154" s="21" t="s">
        <v>538</v>
      </c>
      <c r="E154" s="13">
        <v>43052.984791666669</v>
      </c>
      <c r="F154" s="13">
        <v>43052.979375000003</v>
      </c>
      <c r="G154" s="7">
        <v>923</v>
      </c>
      <c r="H154" s="21" t="s">
        <v>976</v>
      </c>
      <c r="I154" s="13">
        <v>43053.003784722219</v>
      </c>
      <c r="J154" s="7">
        <v>0</v>
      </c>
      <c r="K154" s="89" t="str">
        <f t="shared" ref="K154" si="127">IF(ISEVEN(B154),(B154-1)&amp;"/"&amp;B154,B154&amp;"/"&amp;(B154+1))</f>
        <v>4027/4028</v>
      </c>
      <c r="L154" s="185" t="str">
        <f>VLOOKUP(A154,'Trips&amp;Operators'!$C$1:$G$99911,5,FALSE)</f>
        <v>LOZA FIDEL</v>
      </c>
      <c r="M154" s="6">
        <f t="shared" ref="M154" si="128">I154-F154</f>
        <v>2.4409722216660157E-2</v>
      </c>
      <c r="N154" s="7">
        <f t="shared" si="62"/>
        <v>35.149999991990626</v>
      </c>
      <c r="O154" s="7"/>
      <c r="P154" s="7"/>
      <c r="Q154" s="22"/>
      <c r="R154" s="174"/>
      <c r="S154" s="221">
        <f t="shared" ref="S154" si="129">1/IF(AG154="EC",12,1)*SUM(U154:U154)</f>
        <v>1</v>
      </c>
      <c r="T154" s="174" t="str">
        <f t="shared" ref="T154" si="130"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ref="V154" si="131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-13T22:38:06-0700',mode:absolute,to:'2017-11-14T01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4" s="204" t="str">
        <f>IF(AA154&lt;VLOOKUP(AG154,Variables!$AC$3:$AD$8,2,FALSE),"Y","N")</f>
        <v>N</v>
      </c>
      <c r="X154" s="204">
        <f t="shared" ref="X154:X155" si="132">VALUE(LEFT(AD154,4))-VALUE(LEFT(AD153,4))</f>
        <v>1</v>
      </c>
      <c r="Y154" s="204">
        <v>5.5899999999999998E-2</v>
      </c>
      <c r="Z154" s="204">
        <v>23.325299999999999</v>
      </c>
      <c r="AA154" s="204">
        <f t="shared" ref="AA154" si="133">ABS(Z154-Y154)</f>
        <v>23.269399999999997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ref="AD154" si="134">VALUE(LEFT(A154,LEN(A154)-3))</f>
        <v>239</v>
      </c>
      <c r="AE154" s="77" t="str">
        <f t="shared" ref="AE154" si="135"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s3://rtdc.mdm.uploadarchive.raw/RTDC4028/ "%USERPROFILE%\AppData\Local\Temp\OnboardLogs"\RTDC4028\2017-11-13 --exclude "*" --recursive --include "*20171113*" &amp; "%USERPROFILE%\Documents\GitHub\mrs-test-scripts\Headless Mode &amp; Sideloading\WalkAndUnGZ.bat" "%USERPROFILE%\AppData\Local\Temp\OnboardLogs"\RTDC4028\2017-11-13 &amp; 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</v>
      </c>
      <c r="AF154" s="74" t="str">
        <f t="shared" ref="AF154" si="136"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/stypes="app*4028*20171114*" /stext=" 07:.+((SYSTEM_STATE.+slice.+state.+changed )|(ment ac)|(multiple cpu faults)|(system.+state.+changed )|(\[timeout)|(PRM\|1\|D)|(kpr)|(kdp)|(train st.+moving)|(\|lc)|(penalty))"</v>
      </c>
      <c r="AG154" s="182" t="str">
        <f t="shared" ref="AG154" si="137">DetSubdiv(A154)</f>
        <v>EC</v>
      </c>
      <c r="AH154" s="78" t="str">
        <f t="shared" ref="AH154" si="138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239-13 --locoid 4028 --swversion DE.1.0.9.0 --startMP 204:232915 --initTime 2017-11-13T23:38:06 --startdatetime 2017-11-13T23:30:18 --delay 923 --endMP 204:212 --enddatetime 2017-11-14T00:05:27 --enforcementcount 0 &gt;&gt;%USERPROFILE%\Documents\GitHub\eaglep3-reporting\EC\2017-11-13-refined-times.txt</v>
      </c>
      <c r="AI154" s="96" t="str">
        <f t="shared" ref="AI154" si="139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{"issue":{"subject":"","project_id":79,"tracker_id":40,"status_id":1,"priority_id":2,"assigned_to_id":338,"start_date":"2017-11-14","description":"","custom_fields":[{"id":1,"name":"Subdivision","value":"EC"},{"id":4,"name":"Milepost","value":"23.3253"},{"id":17,"name":"Train ID","value":"239-13"},{"id":16,"name":"Locomotive ID","value":"4028"},{"id":130,"name":"Impact","value":""},{"id":150,"name":"Time of Event (Mountain Time)","value":"00:05:27"},{"id":151,"name":"Denver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ref="AM154" si="140">"start /low /b "&amp;dls3logs&amp;" --loco "&amp;B154&amp;" --day "&amp;TEXT(F154,"YYYY-MM-DD")</f>
        <v>start /low /b %USERPROFILE%\Documents\GitHub\eaglep3\Utilities\DownloadLogsFromS3.py --loco 4028 --day 2017-11-13</v>
      </c>
      <c r="AN154" s="151" t="str">
        <f t="shared" ref="AN154" si="141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07:05:27"},{"id":29,"name":"Sharepoint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ref="AO154" si="142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-13T22:38:06-0700',mode:absolute,to:'2017-11-14T01:05:27-0700'))&amp;_a=(columns:!('Message%20ID',Summary),filters:!(),index:'emp_*',interval:auto,query:(query_string:(analyze_wildcard:!t,query:'%22rtdc.l.rtdc.4028%22')),sort:!(Time.ISO8601,asc))</v>
      </c>
    </row>
    <row r="155" spans="1:91" s="20" customFormat="1" x14ac:dyDescent="0.25">
      <c r="A155" s="32" t="s">
        <v>862</v>
      </c>
      <c r="B155" s="7">
        <v>4027</v>
      </c>
      <c r="C155" s="21" t="s">
        <v>192</v>
      </c>
      <c r="D155" s="21" t="s">
        <v>592</v>
      </c>
      <c r="E155" s="13">
        <v>43053.013680555552</v>
      </c>
      <c r="F155" s="13">
        <v>43053.018935185188</v>
      </c>
      <c r="G155" s="7">
        <v>117</v>
      </c>
      <c r="H155" s="21" t="s">
        <v>451</v>
      </c>
      <c r="I155" s="13">
        <v>43053.044432870367</v>
      </c>
      <c r="J155" s="7">
        <v>0</v>
      </c>
      <c r="K155" s="89" t="str">
        <f t="shared" si="60"/>
        <v>4027/4028</v>
      </c>
      <c r="L155" s="185" t="str">
        <f>VLOOKUP(A155,'Trips&amp;Operators'!$C$1:$G$99911,5,FALSE)</f>
        <v>LOZA FIDEL</v>
      </c>
      <c r="M155" s="6">
        <f t="shared" si="61"/>
        <v>2.5497685179288965E-2</v>
      </c>
      <c r="N155" s="7">
        <f t="shared" si="62"/>
        <v>36.716666658176109</v>
      </c>
      <c r="O155" s="7"/>
      <c r="P155" s="7"/>
      <c r="Q155" s="22"/>
      <c r="R155" s="174"/>
      <c r="S155" s="221">
        <f t="shared" si="63"/>
        <v>1</v>
      </c>
      <c r="T155" s="174" t="str">
        <f t="shared" si="64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5"/>
        <v>https://d0f6bd738d7f1b3e5a7ca70fe4ff75f0.us-east-1.aws.found.io/app/kibana#/discover/Steve-Slow-Train-Analysis-(2080s-and-2083s)?_g=(refreshInterval:(display:Off,pause:!f,section:0,value:0),time:(from:'2017-11-13T23:19:42-0700',mode:absolute,to:'2017-11-14T02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204" t="str">
        <f>IF(AA155&lt;VLOOKUP(AG155,Variables!$AC$3:$AD$8,2,FALSE),"Y","N")</f>
        <v>N</v>
      </c>
      <c r="X155" s="204">
        <f t="shared" si="132"/>
        <v>1</v>
      </c>
      <c r="Y155" s="204">
        <f t="shared" si="67"/>
        <v>23.292999999999999</v>
      </c>
      <c r="Z155" s="204">
        <f t="shared" si="68"/>
        <v>2.07E-2</v>
      </c>
      <c r="AA155" s="204">
        <f t="shared" si="69"/>
        <v>23.272299999999998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70"/>
        <v>240</v>
      </c>
      <c r="AE155" s="77" t="str">
        <f t="shared" si="71"/>
        <v>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 &amp; aws s3 cp s3://rtdc.mdm.uploadarchive.raw/RTDC4027/ "%USERPROFILE%\AppData\Local\Temp\OnboardLogs"\RTDC4027\2017-11-15 --exclude "*" --recursive --include "*20171115*" &amp; "%USERPROFILE%\Documents\GitHub\mrs-test-scripts\Headless Mode &amp; Sideloading\WalkAndUnGZ.bat" "%USERPROFILE%\AppData\Local\Temp\OnboardLogs"\RTDC4027\2017-11-15</v>
      </c>
      <c r="AF155" s="74" t="str">
        <f t="shared" si="72"/>
        <v>"C:\Program Files (x86)\AstroGrep\AstroGrep.exe" /e /r /s /spath="%USERPROFILE%\AppData\Local\Temp\OnboardLogs" /stypes="app*4027*20171114*" /stext=" 08:.+((SYSTEM_STATE.+slice.+state.+changed )|(ment ac)|(multiple cpu faults)|(system.+state.+changed )|(\[timeout)|(PRM\|1\|D)|(kpr)|(kdp)|(train st.+moving)|(\|lc)|(penalty))"</v>
      </c>
      <c r="AG155" s="182" t="str">
        <f t="shared" si="73"/>
        <v>EC</v>
      </c>
      <c r="AH155" s="78" t="str">
        <f t="shared" si="90"/>
        <v>"%USERPROFILE%\Documents\GitHub\eaglep3\Utilities\RefineRTDCRunTimes.py" --tripid 240-13 --locoid 4027 --swversion DE.1.0.9.0 --startMP 204:232930 --initTime 2017-11-14T00:19:42 --startdatetime 2017-11-14T00:27:16 --delay 117 --endMP 204:207 --enddatetime 2017-11-14T01:03:59 --enforcementcount 0 &gt;&gt;%USERPROFILE%\Documents\GitHub\eaglep3-reporting\EC\2017-11-13-refined-times.txt</v>
      </c>
      <c r="AI155" s="96" t="str">
        <f t="shared" si="91"/>
        <v>echo {"issue":{"subject":"","project_id":79,"tracker_id":40,"status_id":1,"priority_id":2,"assigned_to_id":338,"start_date":"2017-11-14","description":"","custom_fields":[{"id":1,"name":"Subdivision","value":"EC"},{"id":4,"name":"Milepost","value":"0.0207"},{"id":17,"name":"Train ID","value":"240-13"},{"id":16,"name":"Locomotive ID","value":"4027"},{"id":130,"name":"Impact","value":""},{"id":150,"name":"Time of Event (Mountain Time)","value":"01:03:59"},{"id":151,"name":"Denver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92"/>
        <v>start /low /b %USERPROFILE%\Documents\GitHub\eaglep3\Utilities\DownloadLogsFromS3.py --loco 4027 --day 2017-11-14</v>
      </c>
      <c r="AN155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08:03:59"},{"id":29,"name":"Sharepoint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4"/>
        <v>https://d0f6bd738d7f1b3e5a7ca70fe4ff75f0.us-east-1.aws.found.io/app/kibana#/discover/Steve-Slow-Train-Analysis-(2080s-and-2083s)?_g=(refreshInterval:(display:Off,pause:!f,section:0,value:0),time:(from:'2017-11-13T23:19:42-0700',mode:absolute,to:'2017-11-14T02:03:59-0700'))&amp;_a=(columns:!('Message%20ID',Summary),filters:!(),index:'emp_*',interval:auto,query:(query_string:(analyze_wildcard:!t,query:'%22rtdc.l.rtdc.4027%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859</v>
      </c>
      <c r="B156" s="7">
        <v>4014</v>
      </c>
      <c r="C156" s="21" t="s">
        <v>192</v>
      </c>
      <c r="D156" s="21" t="s">
        <v>977</v>
      </c>
      <c r="E156" s="13">
        <v>43052.987442129626</v>
      </c>
      <c r="F156" s="13">
        <v>43053.000173611108</v>
      </c>
      <c r="G156" s="7">
        <v>103</v>
      </c>
      <c r="H156" s="21" t="s">
        <v>582</v>
      </c>
      <c r="I156" s="13">
        <v>43053.024212962962</v>
      </c>
      <c r="J156" s="7">
        <v>0</v>
      </c>
      <c r="K156" s="89" t="str">
        <f t="shared" si="60"/>
        <v>4013/4014</v>
      </c>
      <c r="L156" s="185" t="str">
        <f>VLOOKUP(A156,'Trips&amp;Operators'!$C$1:$G$99911,5,FALSE)</f>
        <v>RESPASS AARON</v>
      </c>
      <c r="M156" s="6">
        <f t="shared" si="61"/>
        <v>2.4039351854298729E-2</v>
      </c>
      <c r="N156" s="7">
        <f t="shared" si="62"/>
        <v>34.61666667019017</v>
      </c>
      <c r="O156" s="7"/>
      <c r="P156" s="7"/>
      <c r="Q156" s="22"/>
      <c r="R156" s="174"/>
      <c r="S156" s="221">
        <f t="shared" si="63"/>
        <v>1</v>
      </c>
      <c r="T156" s="174" t="str">
        <f t="shared" si="64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5"/>
        <v>https://d0f6bd738d7f1b3e5a7ca70fe4ff75f0.us-east-1.aws.found.io/app/kibana#/discover/Steve-Slow-Train-Analysis-(2080s-and-2083s)?_g=(refreshInterval:(display:Off,pause:!f,section:0,value:0),time:(from:'2017-11-13T22:41:55-0700',mode:absolute,to:'2017-11-14T01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204" t="str">
        <f>IF(AA156&lt;VLOOKUP(AG156,Variables!$AC$3:$AD$8,2,FALSE),"Y","N")</f>
        <v>N</v>
      </c>
      <c r="X156" s="204">
        <f t="shared" si="66"/>
        <v>1</v>
      </c>
      <c r="Y156" s="204">
        <f t="shared" si="67"/>
        <v>5.8000000000000003E-2</v>
      </c>
      <c r="Z156" s="204">
        <f t="shared" si="68"/>
        <v>23.3264</v>
      </c>
      <c r="AA156" s="204">
        <f t="shared" si="69"/>
        <v>23.2684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70"/>
        <v>241</v>
      </c>
      <c r="AE156" s="77" t="str">
        <f t="shared" si="71"/>
        <v>aws s3 cp s3://rtdc.mdm.uploadarchive.raw/RTDC4014/ "%USERPROFILE%\AppData\Local\Temp\OnboardLogs"\RTDC4014\2017-11-14 --exclude "*" --recursive --include "*20171114*" &amp; "%USERPROFILE%\Documents\GitHub\mrs-test-scripts\Headless Mode &amp; Sideloading\WalkAndUnGZ.bat" "%USERPROFILE%\AppData\Local\Temp\OnboardLogs"\RTDC4014\2017-11-14 &amp; aws s3 cp s3://rtdc.mdm.uploadarchive.raw/RTDC4014/ "%USERPROFILE%\AppData\Local\Temp\OnboardLogs"\RTDC4014\2017-11-15 --exclude "*" --recursive --include "*20171115*" &amp; "%USERPROFILE%\Documents\GitHub\mrs-test-scripts\Headless Mode &amp; Sideloading\WalkAndUnGZ.bat" "%USERPROFILE%\AppData\Local\Temp\OnboardLogs"\RTDC4014\2017-11-15</v>
      </c>
      <c r="AF156" s="74" t="str">
        <f t="shared" si="72"/>
        <v>"C:\Program Files (x86)\AstroGrep\AstroGrep.exe" /e /r /s /spath="%USERPROFILE%\AppData\Local\Temp\OnboardLogs" /stypes="app*4014*20171114*" /stext=" 07:.+((SYSTEM_STATE.+slice.+state.+changed )|(ment ac)|(multiple cpu faults)|(system.+state.+changed )|(\[timeout)|(PRM\|1\|D)|(kpr)|(kdp)|(train st.+moving)|(\|lc)|(penalty))"</v>
      </c>
      <c r="AG156" s="182" t="str">
        <f t="shared" si="73"/>
        <v>EC</v>
      </c>
      <c r="AH156" s="78" t="str">
        <f t="shared" si="90"/>
        <v>"%USERPROFILE%\Documents\GitHub\eaglep3\Utilities\RefineRTDCRunTimes.py" --tripid 241-13 --locoid 4014 --swversion DE.1.0.9.0 --startMP 204:580 --initTime 2017-11-13T23:41:55 --startdatetime 2017-11-14T00:00:15 --delay 103 --endMP 204:233264 --enddatetime 2017-11-14T00:34:52 --enforcementcount 0 &gt;&gt;%USERPROFILE%\Documents\GitHub\eaglep3-reporting\EC\2017-11-13-refined-times.txt</v>
      </c>
      <c r="AI156" s="96" t="str">
        <f t="shared" si="91"/>
        <v>echo {"issue":{"subject":"","project_id":79,"tracker_id":40,"status_id":1,"priority_id":2,"assigned_to_id":338,"start_date":"2017-11-14","description":"","custom_fields":[{"id":1,"name":"Subdivision","value":"EC"},{"id":4,"name":"Milepost","value":"23.3264"},{"id":17,"name":"Train ID","value":"241-13"},{"id":16,"name":"Locomotive ID","value":"4014"},{"id":130,"name":"Impact","value":""},{"id":150,"name":"Time of Event (Mountain Time)","value":"00:34:52"},{"id":151,"name":"Denver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92"/>
        <v>start /low /b %USERPROFILE%\Documents\GitHub\eaglep3\Utilities\DownloadLogsFromS3.py --loco 4014 --day 2017-11-14</v>
      </c>
      <c r="AN156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4"/>
        <v>https://d0f6bd738d7f1b3e5a7ca70fe4ff75f0.us-east-1.aws.found.io/app/kibana#/discover/Steve-Slow-Train-Analysis-(2080s-and-2083s)?_g=(refreshInterval:(display:Off,pause:!f,section:0,value:0),time:(from:'2017-11-13T22:41:55-0700',mode:absolute,to:'2017-11-14T01:34:52-0700'))&amp;_a=(columns:!('Message%20ID',Summary),filters:!(),index:'emp_*',interval:auto,query:(query_string:(analyze_wildcard:!t,query:'%22rtdc.l.rtdc.4014%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864</v>
      </c>
      <c r="B157" s="7">
        <v>4013</v>
      </c>
      <c r="C157" s="21" t="s">
        <v>192</v>
      </c>
      <c r="D157" s="21" t="s">
        <v>592</v>
      </c>
      <c r="E157" s="13">
        <v>43053.0309375</v>
      </c>
      <c r="F157" s="13">
        <v>43053.039780092593</v>
      </c>
      <c r="G157" s="7">
        <v>81</v>
      </c>
      <c r="H157" s="21" t="s">
        <v>622</v>
      </c>
      <c r="I157" s="13">
        <v>43053.066064814811</v>
      </c>
      <c r="J157" s="7">
        <v>0</v>
      </c>
      <c r="K157" s="89" t="str">
        <f t="shared" si="60"/>
        <v>4013/4014</v>
      </c>
      <c r="L157" s="185" t="str">
        <f>VLOOKUP(A157,'Trips&amp;Operators'!$C$1:$G$99911,5,FALSE)</f>
        <v>RESPASS AARON</v>
      </c>
      <c r="M157" s="6">
        <f t="shared" si="61"/>
        <v>2.6284722218406387E-2</v>
      </c>
      <c r="N157" s="7">
        <f t="shared" si="62"/>
        <v>37.849999994505197</v>
      </c>
      <c r="O157" s="7"/>
      <c r="P157" s="7"/>
      <c r="Q157" s="22"/>
      <c r="R157" s="174"/>
      <c r="S157" s="221">
        <f t="shared" si="63"/>
        <v>1</v>
      </c>
      <c r="T157" s="174" t="str">
        <f t="shared" si="64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5"/>
        <v>https://d0f6bd738d7f1b3e5a7ca70fe4ff75f0.us-east-1.aws.found.io/app/kibana#/discover/Steve-Slow-Train-Analysis-(2080s-and-2083s)?_g=(refreshInterval:(display:Off,pause:!f,section:0,value:0),time:(from:'2017-11-13T23:44:33-0700',mode:absolute,to:'2017-11-14T02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204" t="str">
        <f>IF(AA157&lt;VLOOKUP(AG157,Variables!$AC$3:$AD$8,2,FALSE),"Y","N")</f>
        <v>N</v>
      </c>
      <c r="X157" s="204">
        <f t="shared" si="66"/>
        <v>1</v>
      </c>
      <c r="Y157" s="204">
        <f t="shared" si="67"/>
        <v>23.292999999999999</v>
      </c>
      <c r="Z157" s="204">
        <f t="shared" si="68"/>
        <v>2.52E-2</v>
      </c>
      <c r="AA157" s="204">
        <f t="shared" si="69"/>
        <v>23.267799999999998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70"/>
        <v>242</v>
      </c>
      <c r="AE157" s="77" t="str">
        <f t="shared" si="71"/>
        <v>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 &amp; aws s3 cp s3://rtdc.mdm.uploadarchive.raw/RTDC4013/ "%USERPROFILE%\AppData\Local\Temp\OnboardLogs"\RTDC4013\2017-11-15 --exclude "*" --recursive --include "*20171115*" &amp; "%USERPROFILE%\Documents\GitHub\mrs-test-scripts\Headless Mode &amp; Sideloading\WalkAndUnGZ.bat" "%USERPROFILE%\AppData\Local\Temp\OnboardLogs"\RTDC4013\2017-11-15</v>
      </c>
      <c r="AF157" s="74" t="str">
        <f t="shared" si="72"/>
        <v>"C:\Program Files (x86)\AstroGrep\AstroGrep.exe" /e /r /s /spath="%USERPROFILE%\AppData\Local\Temp\OnboardLogs" /stypes="app*4013*20171114*" /stext=" 08:.+((SYSTEM_STATE.+slice.+state.+changed )|(ment ac)|(multiple cpu faults)|(system.+state.+changed )|(\[timeout)|(PRM\|1\|D)|(kpr)|(kdp)|(train st.+moving)|(\|lc)|(penalty))"</v>
      </c>
      <c r="AG157" s="182" t="str">
        <f t="shared" si="73"/>
        <v>EC</v>
      </c>
      <c r="AH157" s="78" t="str">
        <f t="shared" si="90"/>
        <v>"%USERPROFILE%\Documents\GitHub\eaglep3\Utilities\RefineRTDCRunTimes.py" --tripid 242-13 --locoid 4013 --swversion DE.1.0.9.0 --startMP 204:232930 --initTime 2017-11-14T00:44:33 --startdatetime 2017-11-14T00:57:17 --delay 81 --endMP 204:252 --enddatetime 2017-11-14T01:35:08 --enforcementcount 0 &gt;&gt;%USERPROFILE%\Documents\GitHub\eaglep3-reporting\EC\2017-11-13-refined-times.txt</v>
      </c>
      <c r="AI157" s="96" t="str">
        <f t="shared" si="91"/>
        <v>echo {"issue":{"subject":"","project_id":79,"tracker_id":40,"status_id":1,"priority_id":2,"assigned_to_id":338,"start_date":"2017-11-14","description":"","custom_fields":[{"id":1,"name":"Subdivision","value":"EC"},{"id":4,"name":"Milepost","value":"0.0252"},{"id":17,"name":"Train ID","value":"242-13"},{"id":16,"name":"Locomotive ID","value":"4013"},{"id":130,"name":"Impact","value":""},{"id":150,"name":"Time of Event (Mountain Time)","value":"01:35:08"},{"id":151,"name":"Denver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92"/>
        <v>start /low /b %USERPROFILE%\Documents\GitHub\eaglep3\Utilities\DownloadLogsFromS3.py --loco 4013 --day 2017-11-14</v>
      </c>
      <c r="AN157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08:35:08"},{"id":29,"name":"Sharepoint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94"/>
        <v>https://d0f6bd738d7f1b3e5a7ca70fe4ff75f0.us-east-1.aws.found.io/app/kibana#/discover/Steve-Slow-Train-Analysis-(2080s-and-2083s)?_g=(refreshInterval:(display:Off,pause:!f,section:0,value:0),time:(from:'2017-11-13T23:44:33-0700',mode:absolute,to:'2017-11-14T02:35:08-0700'))&amp;_a=(columns:!('Message%20ID',Summary),filters:!(),index:'emp_*',interval:auto,query:(query_string:(analyze_wildcard:!t,query:'%22rtdc.l.rtdc.4013%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861</v>
      </c>
      <c r="B158" s="7">
        <v>4040</v>
      </c>
      <c r="C158" s="21" t="s">
        <v>192</v>
      </c>
      <c r="D158" s="21" t="s">
        <v>466</v>
      </c>
      <c r="E158" s="13">
        <v>43053.011736111112</v>
      </c>
      <c r="F158" s="13">
        <v>43053.021053240744</v>
      </c>
      <c r="G158" s="7">
        <v>66</v>
      </c>
      <c r="H158" s="21" t="s">
        <v>978</v>
      </c>
      <c r="I158" s="13">
        <v>43053.045856481483</v>
      </c>
      <c r="J158" s="7">
        <v>0</v>
      </c>
      <c r="K158" s="89" t="str">
        <f t="shared" si="60"/>
        <v>4039/4040</v>
      </c>
      <c r="L158" s="185" t="str">
        <f>VLOOKUP(A158,'Trips&amp;Operators'!$C$1:$G$99911,5,FALSE)</f>
        <v>WILLIAMS DONTE</v>
      </c>
      <c r="M158" s="6">
        <f t="shared" si="61"/>
        <v>2.4803240739856847E-2</v>
      </c>
      <c r="N158" s="7">
        <f t="shared" si="62"/>
        <v>35.716666665393859</v>
      </c>
      <c r="O158" s="7"/>
      <c r="P158" s="7"/>
      <c r="Q158" s="22"/>
      <c r="R158" s="174"/>
      <c r="S158" s="221">
        <f t="shared" si="63"/>
        <v>1</v>
      </c>
      <c r="T158" s="174" t="str">
        <f t="shared" si="64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5"/>
        <v>https://d0f6bd738d7f1b3e5a7ca70fe4ff75f0.us-east-1.aws.found.io/app/kibana#/discover/Steve-Slow-Train-Analysis-(2080s-and-2083s)?_g=(refreshInterval:(display:Off,pause:!f,section:0,value:0),time:(from:'2017-11-13T23:16:54-0700',mode:absolute,to:'2017-11-14T02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8" s="204" t="str">
        <f>IF(AA158&lt;VLOOKUP(AG158,Variables!$AC$3:$AD$8,2,FALSE),"Y","N")</f>
        <v>N</v>
      </c>
      <c r="X158" s="204">
        <f t="shared" si="66"/>
        <v>1</v>
      </c>
      <c r="Y158" s="204">
        <f t="shared" si="67"/>
        <v>5.0900000000000001E-2</v>
      </c>
      <c r="Z158" s="204">
        <f t="shared" si="68"/>
        <v>23.319900000000001</v>
      </c>
      <c r="AA158" s="204">
        <f t="shared" si="69"/>
        <v>23.269000000000002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70"/>
        <v>243</v>
      </c>
      <c r="AE158" s="77" t="str">
        <f t="shared" si="71"/>
        <v>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 &amp; aws s3 cp s3://rtdc.mdm.uploadarchive.raw/RTDC4040/ "%USERPROFILE%\AppData\Local\Temp\OnboardLogs"\RTDC4040\2017-11-15 --exclude "*" --recursive --include "*20171115*" &amp; "%USERPROFILE%\Documents\GitHub\mrs-test-scripts\Headless Mode &amp; Sideloading\WalkAndUnGZ.bat" "%USERPROFILE%\AppData\Local\Temp\OnboardLogs"\RTDC4040\2017-11-15</v>
      </c>
      <c r="AF158" s="74" t="str">
        <f t="shared" si="72"/>
        <v>"C:\Program Files (x86)\AstroGrep\AstroGrep.exe" /e /r /s /spath="%USERPROFILE%\AppData\Local\Temp\OnboardLogs" /stypes="app*4040*20171114*" /stext=" 08:.+((SYSTEM_STATE.+slice.+state.+changed )|(ment ac)|(multiple cpu faults)|(system.+state.+changed )|(\[timeout)|(PRM\|1\|D)|(kpr)|(kdp)|(train st.+moving)|(\|lc)|(penalty))"</v>
      </c>
      <c r="AG158" s="182" t="str">
        <f t="shared" si="73"/>
        <v>EC</v>
      </c>
      <c r="AH158" s="78" t="str">
        <f t="shared" si="90"/>
        <v>"%USERPROFILE%\Documents\GitHub\eaglep3\Utilities\RefineRTDCRunTimes.py" --tripid 243-13 --locoid 4040 --swversion DE.1.0.9.0 --startMP 204:509 --initTime 2017-11-14T00:16:54 --startdatetime 2017-11-14T00:30:19 --delay 66 --endMP 204:233199 --enddatetime 2017-11-14T01:06:02 --enforcementcount 0 &gt;&gt;%USERPROFILE%\Documents\GitHub\eaglep3-reporting\EC\2017-11-13-refined-times.txt</v>
      </c>
      <c r="AI158" s="96" t="str">
        <f t="shared" si="91"/>
        <v>echo {"issue":{"subject":"","project_id":79,"tracker_id":40,"status_id":1,"priority_id":2,"assigned_to_id":338,"start_date":"2017-11-14","description":"","custom_fields":[{"id":1,"name":"Subdivision","value":"EC"},{"id":4,"name":"Milepost","value":"23.3199"},{"id":17,"name":"Train ID","value":"243-13"},{"id":16,"name":"Locomotive ID","value":"4040"},{"id":130,"name":"Impact","value":""},{"id":150,"name":"Time of Event (Mountain Time)","value":"01:06:02"},{"id":151,"name":"Denver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92"/>
        <v>start /low /b %USERPROFILE%\Documents\GitHub\eaglep3\Utilities\DownloadLogsFromS3.py --loco 4040 --day 2017-11-14</v>
      </c>
      <c r="AN158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4"/>
        <v>https://d0f6bd738d7f1b3e5a7ca70fe4ff75f0.us-east-1.aws.found.io/app/kibana#/discover/Steve-Slow-Train-Analysis-(2080s-and-2083s)?_g=(refreshInterval:(display:Off,pause:!f,section:0,value:0),time:(from:'2017-11-13T23:16:54-0700',mode:absolute,to:'2017-11-14T02:06:02-0700'))&amp;_a=(columns:!('Message%20ID',Summary),filters:!(),index:'emp_*',interval:auto,query:(query_string:(analyze_wildcard:!t,query:'%22rtdc.l.rtdc.4040%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866</v>
      </c>
      <c r="B159" s="7">
        <v>4039</v>
      </c>
      <c r="C159" s="21" t="s">
        <v>192</v>
      </c>
      <c r="D159" s="21" t="s">
        <v>466</v>
      </c>
      <c r="E159" s="13">
        <v>43053.011736111112</v>
      </c>
      <c r="F159" s="13">
        <v>43053.060590277775</v>
      </c>
      <c r="G159" s="7">
        <v>66</v>
      </c>
      <c r="H159" s="21" t="s">
        <v>978</v>
      </c>
      <c r="I159" s="13">
        <v>43053.08666666667</v>
      </c>
      <c r="J159" s="7">
        <v>0</v>
      </c>
      <c r="K159" s="89" t="str">
        <f t="shared" ref="K159" si="143">IF(ISEVEN(B159),(B159-1)&amp;"/"&amp;B159,B159&amp;"/"&amp;(B159+1))</f>
        <v>4039/4040</v>
      </c>
      <c r="L159" s="185" t="str">
        <f>VLOOKUP(A159,'Trips&amp;Operators'!$C$1:$G$99911,5,FALSE)</f>
        <v>WILLIAMS DONTE</v>
      </c>
      <c r="M159" s="6">
        <f t="shared" ref="M159" si="144">I159-F159</f>
        <v>2.6076388894580305E-2</v>
      </c>
      <c r="N159" s="7">
        <f t="shared" si="62"/>
        <v>37.550000008195639</v>
      </c>
      <c r="O159" s="7"/>
      <c r="P159" s="7"/>
      <c r="Q159" s="22"/>
      <c r="R159" s="174"/>
      <c r="S159" s="221">
        <f t="shared" ref="S159" si="145">1/IF(AG159="EC",12,1)*SUM(U159:U159)</f>
        <v>1</v>
      </c>
      <c r="T159" s="174" t="str">
        <f t="shared" ref="T159" si="146"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ref="V159" si="147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-13T23:16:54-0700',mode:absolute,to:'2017-11-14T03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204" t="str">
        <f>IF(AA159&lt;VLOOKUP(AG159,Variables!$AC$3:$AD$8,2,FALSE),"Y","N")</f>
        <v>N</v>
      </c>
      <c r="X159" s="204">
        <f t="shared" ref="X159:X160" si="148">VALUE(LEFT(AD159,4))-VALUE(LEFT(AD158,4))</f>
        <v>1</v>
      </c>
      <c r="Y159" s="204">
        <v>23.292999999999999</v>
      </c>
      <c r="Z159" s="204">
        <v>2.52E-2</v>
      </c>
      <c r="AA159" s="204">
        <f t="shared" ref="AA159" si="149">ABS(Z159-Y159)</f>
        <v>23.267799999999998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ref="AD159" si="150">VALUE(LEFT(A159,LEN(A159)-3))</f>
        <v>244</v>
      </c>
      <c r="AE159" s="77" t="str">
        <f t="shared" ref="AE159" si="151"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 &amp; aws s3 cp s3://rtdc.mdm.uploadarchive.raw/RTDC4039/ "%USERPROFILE%\AppData\Local\Temp\OnboardLogs"\RTDC4039\2017-11-15 --exclude "*" --recursive --include "*20171115*" &amp; "%USERPROFILE%\Documents\GitHub\mrs-test-scripts\Headless Mode &amp; Sideloading\WalkAndUnGZ.bat" "%USERPROFILE%\AppData\Local\Temp\OnboardLogs"\RTDC4039\2017-11-15</v>
      </c>
      <c r="AF159" s="74" t="str">
        <f t="shared" ref="AF159" si="152"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/stypes="app*4039*20171114*" /stext=" 09:.+((SYSTEM_STATE.+slice.+state.+changed )|(ment ac)|(multiple cpu faults)|(system.+state.+changed )|(\[timeout)|(PRM\|1\|D)|(kpr)|(kdp)|(train st.+moving)|(\|lc)|(penalty))"</v>
      </c>
      <c r="AG159" s="182" t="str">
        <f t="shared" ref="AG159" si="153">DetSubdiv(A159)</f>
        <v>EC</v>
      </c>
      <c r="AH159" s="78" t="str">
        <f t="shared" ref="AH159" si="154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244-13 --locoid 4039 --swversion DE.1.0.9.0 --startMP 204:509 --initTime 2017-11-14T00:16:54 --startdatetime 2017-11-14T01:27:15 --delay 66 --endMP 204:233199 --enddatetime 2017-11-14T02:04:48 --enforcementcount 0 &gt;&gt;%USERPROFILE%\Documents\GitHub\eaglep3-reporting\EC\2017-11-13-refined-times.txt</v>
      </c>
      <c r="AI159" s="96" t="str">
        <f t="shared" ref="AI159" si="155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{"issue":{"subject":"","project_id":79,"tracker_id":40,"status_id":1,"priority_id":2,"assigned_to_id":338,"start_date":"2017-11-14","description":"","custom_fields":[{"id":1,"name":"Subdivision","value":"EC"},{"id":4,"name":"Milepost","value":"0.0252"},{"id":17,"name":"Train ID","value":"244-13"},{"id":16,"name":"Locomotive ID","value":"4039"},{"id":130,"name":"Impact","value":""},{"id":150,"name":"Time of Event (Mountain Time)","value":"02:04:48"},{"id":151,"name":"Denver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ref="AM159" si="156">"start /low /b "&amp;dls3logs&amp;" --loco "&amp;B159&amp;" --day "&amp;TEXT(F159,"YYYY-MM-DD")</f>
        <v>start /low /b %USERPROFILE%\Documents\GitHub\eaglep3\Utilities\DownloadLogsFromS3.py --loco 4039 --day 2017-11-14</v>
      </c>
      <c r="AN159" s="151" t="str">
        <f t="shared" ref="AN159" si="157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09:04:48"},{"id":29,"name":"Sharepoint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ref="AO159" si="158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-13T23:16:54-0700',mode:absolute,to:'2017-11-14T03:04:48-0700'))&amp;_a=(columns:!('Message%20ID',Summary),filters:!(),index:'emp_*',interval:auto,query:(query_string:(analyze_wildcard:!t,query:'%22rtdc.l.rtdc.4039%22')),sort:!(Time.ISO8601,asc))</v>
      </c>
    </row>
    <row r="160" spans="1:91" s="20" customFormat="1" x14ac:dyDescent="0.25">
      <c r="A160" s="32" t="s">
        <v>629</v>
      </c>
      <c r="B160" s="7">
        <v>4001</v>
      </c>
      <c r="C160" s="21" t="s">
        <v>192</v>
      </c>
      <c r="D160" s="21" t="s">
        <v>1001</v>
      </c>
      <c r="E160" s="13">
        <v>43052.208240740743</v>
      </c>
      <c r="F160" s="13">
        <v>43052.210405092592</v>
      </c>
      <c r="G160" s="7">
        <v>139</v>
      </c>
      <c r="H160" s="21" t="s">
        <v>569</v>
      </c>
      <c r="I160" s="13">
        <v>43052.226585648146</v>
      </c>
      <c r="J160" s="7">
        <v>0</v>
      </c>
      <c r="K160" s="89" t="str">
        <f t="shared" si="60"/>
        <v>4001/4002</v>
      </c>
      <c r="L160" s="185" t="str">
        <f>VLOOKUP(A160,'Trips&amp;Operators'!$C$1:$G$99911,5,FALSE)</f>
        <v>MACDONALD THOMAS</v>
      </c>
      <c r="M160" s="6">
        <f t="shared" si="61"/>
        <v>1.6180555554456078E-2</v>
      </c>
      <c r="N160" s="7">
        <f t="shared" si="62"/>
        <v>23.299999998416752</v>
      </c>
      <c r="O160" s="7"/>
      <c r="P160" s="7"/>
      <c r="Q160" s="22"/>
      <c r="R160" s="174"/>
      <c r="S160" s="221">
        <f t="shared" si="63"/>
        <v>1</v>
      </c>
      <c r="T160" s="174" t="str">
        <f t="shared" si="64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5"/>
        <v>https://d0f6bd738d7f1b3e5a7ca70fe4ff75f0.us-east-1.aws.found.io/app/kibana#/discover/Steve-Slow-Train-Analysis-(2080s-and-2083s)?_g=(refreshInterval:(display:Off,pause:!f,section:0,value:0),time:(from:'2017-11-13T03:59:52-0700',mode:absolute,to:'2017-11-13T06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204" t="str">
        <f>IF(AA160&lt;VLOOKUP(AG160,Variables!$AC$3:$AD$8,2,FALSE),"Y","N")</f>
        <v>N</v>
      </c>
      <c r="X160" s="204">
        <f t="shared" si="148"/>
        <v>556</v>
      </c>
      <c r="Y160" s="204">
        <f t="shared" si="67"/>
        <v>5.8609</v>
      </c>
      <c r="Z160" s="204">
        <f t="shared" si="68"/>
        <v>7.6600000000000001E-2</v>
      </c>
      <c r="AA160" s="204">
        <f t="shared" si="69"/>
        <v>5.7843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70"/>
        <v>800</v>
      </c>
      <c r="AE160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60" s="74" t="str">
        <f t="shared" si="72"/>
        <v>"C:\Program Files (x86)\AstroGrep\AstroGrep.exe" /e /r /s /spath="%USERPROFILE%\AppData\Local\Temp\OnboardLogs" /stypes="app*4001*20171113*" /stext=" 12:.+((SYSTEM_STATE.+slice.+state.+changed )|(ment ac)|(multiple cpu faults)|(system.+state.+changed )|(\[timeout)|(PRM\|1\|D)|(kpr)|(kdp)|(train st.+moving)|(\|lc)|(penalty))"</v>
      </c>
      <c r="AG160" s="182" t="str">
        <f t="shared" si="73"/>
        <v>NW</v>
      </c>
      <c r="AH160" s="78" t="str">
        <f t="shared" si="90"/>
        <v>"%USERPROFILE%\Documents\GitHub\eaglep3\Utilities\RefineRTDCRunTimes.py" --tripid 800-13 --locoid 4001 --swversion DE.1.0.9.0 --startMP 300:58609 --initTime 2017-11-13T04:59:52 --startdatetime 2017-11-13T05:02:59 --delay 139 --endMP 204:766 --enddatetime 2017-11-13T05:26:17 --enforcementcount 0 &gt;&gt;%USERPROFILE%\Documents\GitHub\eaglep3-reporting\EC\2017-11-13-refined-times.txt</v>
      </c>
      <c r="AI160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{"issue":{"subject":"","project_id":79,"tracker_id":40,"status_id":1,"priority_id":2,"assigned_to_id":338,"start_date":"2017-11-13","description":"","custom_fields":[{"id":1,"name":"Subdivision","value":"NW"},{"id":4,"name":"Milepost","value":"0.0766"},{"id":17,"name":"Train ID","value":"800-13"},{"id":16,"name":"Locomotive ID","value":"4001"},{"id":130,"name":"Impact","value":""},{"id":150,"name":"Time of Event (Mountain Time)","value":"05:26:17"},{"id":151,"name":"Denver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92"/>
        <v>start /low /b %USERPROFILE%\Documents\GitHub\eaglep3\Utilities\DownloadLogsFromS3.py --loco 4001 --day 2017-11-13</v>
      </c>
      <c r="AN160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4"/>
        <v>https://d0f6bd738d7f1b3e5a7ca70fe4ff75f0.us-east-1.aws.found.io/app/kibana#/discover/Steve-Slow-Train-Analysis-(2080s-and-2083s)?_g=(refreshInterval:(display:Off,pause:!f,section:0,value:0),time:(from:'2017-11-13T03:59:52-0700',mode:absolute,to:'2017-11-13T06:26:17-0700'))&amp;_a=(columns:!('Message%20ID',Summary),filters:!(),index:'emp_*',interval:auto,query:(query_string:(analyze_wildcard:!t,query:'%22rtdc.l.rtdc.4001%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689</v>
      </c>
      <c r="B161" s="7">
        <v>4002</v>
      </c>
      <c r="C161" s="21" t="s">
        <v>192</v>
      </c>
      <c r="D161" s="21" t="s">
        <v>1002</v>
      </c>
      <c r="E161" s="13">
        <v>43052.23364583333</v>
      </c>
      <c r="F161" s="13">
        <v>43052.236284722225</v>
      </c>
      <c r="G161" s="7">
        <v>85</v>
      </c>
      <c r="H161" s="21" t="s">
        <v>1003</v>
      </c>
      <c r="I161" s="13">
        <v>43052.245462962965</v>
      </c>
      <c r="J161" s="7">
        <v>0</v>
      </c>
      <c r="K161" s="89" t="str">
        <f t="shared" si="60"/>
        <v>4001/4002</v>
      </c>
      <c r="L161" s="185" t="str">
        <f>VLOOKUP(A161,'Trips&amp;Operators'!$C$1:$G$99911,5,FALSE)</f>
        <v>MACDONALD THOMAS</v>
      </c>
      <c r="M161" s="6">
        <f t="shared" si="61"/>
        <v>9.1782407398568466E-3</v>
      </c>
      <c r="N161" s="7">
        <f t="shared" si="62"/>
        <v>13.216666665393859</v>
      </c>
      <c r="O161" s="7"/>
      <c r="P161" s="7"/>
      <c r="Q161" s="22"/>
      <c r="R161" s="174"/>
      <c r="S161" s="221">
        <f t="shared" si="63"/>
        <v>1</v>
      </c>
      <c r="T161" s="174" t="str">
        <f t="shared" si="64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5"/>
        <v>https://d0f6bd738d7f1b3e5a7ca70fe4ff75f0.us-east-1.aws.found.io/app/kibana#/discover/Steve-Slow-Train-Analysis-(2080s-and-2083s)?_g=(refreshInterval:(display:Off,pause:!f,section:0,value:0),time:(from:'2017-11-13T04:36:27-0700',mode:absolute,to:'2017-11-13T06:53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1" s="204" t="str">
        <f>IF(AA161&lt;VLOOKUP(AG161,Variables!$AC$3:$AD$8,2,FALSE),"Y","N")</f>
        <v>N</v>
      </c>
      <c r="X161" s="204">
        <f t="shared" si="66"/>
        <v>1</v>
      </c>
      <c r="Y161" s="204">
        <f t="shared" si="67"/>
        <v>0.10630000000000001</v>
      </c>
      <c r="Z161" s="204">
        <f t="shared" si="68"/>
        <v>5.8905000000000003</v>
      </c>
      <c r="AA161" s="204">
        <f t="shared" si="69"/>
        <v>5.7842000000000002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70"/>
        <v>801</v>
      </c>
      <c r="AE161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61" s="74" t="str">
        <f t="shared" si="72"/>
        <v>"C:\Program Files (x86)\AstroGrep\AstroGrep.exe" /e /r /s /spath="%USERPROFILE%\AppData\Local\Temp\OnboardLogs" /stypes="app*4002*20171113*" /stext=" 12:.+((SYSTEM_STATE.+slice.+state.+changed )|(ment ac)|(multiple cpu faults)|(system.+state.+changed )|(\[timeout)|(PRM\|1\|D)|(kpr)|(kdp)|(train st.+moving)|(\|lc)|(penalty))"</v>
      </c>
      <c r="AG161" s="182" t="str">
        <f t="shared" si="73"/>
        <v>NW</v>
      </c>
      <c r="AH161" s="78" t="str">
        <f t="shared" si="90"/>
        <v>"%USERPROFILE%\Documents\GitHub\eaglep3\Utilities\RefineRTDCRunTimes.py" --tripid 801-13 --locoid 4002 --swversion DE.1.0.9.0 --startMP 204:1063 --initTime 2017-11-13T05:36:27 --startdatetime 2017-11-13T05:40:15 --delay 85 --endMP 300:58905 --enddatetime 2017-11-13T05:53:28 --enforcementcount 0 &gt;&gt;%USERPROFILE%\Documents\GitHub\eaglep3-reporting\EC\2017-11-13-refined-times.txt</v>
      </c>
      <c r="AI161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{"issue":{"subject":"","project_id":79,"tracker_id":40,"status_id":1,"priority_id":2,"assigned_to_id":338,"start_date":"2017-11-13","description":"","custom_fields":[{"id":1,"name":"Subdivision","value":"NW"},{"id":4,"name":"Milepost","value":"5.8905"},{"id":17,"name":"Train ID","value":"801-13"},{"id":16,"name":"Locomotive ID","value":"4002"},{"id":130,"name":"Impact","value":""},{"id":150,"name":"Time of Event (Mountain Time)","value":"05:53:28"},{"id":151,"name":"Denver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92"/>
        <v>start /low /b %USERPROFILE%\Documents\GitHub\eaglep3\Utilities\DownloadLogsFromS3.py --loco 4002 --day 2017-11-13</v>
      </c>
      <c r="AN161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4"/>
        <v>https://d0f6bd738d7f1b3e5a7ca70fe4ff75f0.us-east-1.aws.found.io/app/kibana#/discover/Steve-Slow-Train-Analysis-(2080s-and-2083s)?_g=(refreshInterval:(display:Off,pause:!f,section:0,value:0),time:(from:'2017-11-13T04:36:27-0700',mode:absolute,to:'2017-11-13T06:53:28-0700'))&amp;_a=(columns:!('Message%20ID',Summary),filters:!(),index:'emp_*',interval:auto,query:(query_string:(analyze_wildcard:!t,query:'%22rtdc.l.rtdc.4002%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696</v>
      </c>
      <c r="B162" s="7">
        <v>4001</v>
      </c>
      <c r="C162" s="21" t="s">
        <v>192</v>
      </c>
      <c r="D162" s="21" t="s">
        <v>1004</v>
      </c>
      <c r="E162" s="13">
        <v>43052.246157407404</v>
      </c>
      <c r="F162" s="13">
        <v>43052.259027777778</v>
      </c>
      <c r="G162" s="7">
        <v>47</v>
      </c>
      <c r="H162" s="21" t="s">
        <v>1005</v>
      </c>
      <c r="I162" s="13">
        <v>43052.268078703702</v>
      </c>
      <c r="J162" s="7">
        <v>0</v>
      </c>
      <c r="K162" s="89" t="str">
        <f t="shared" si="60"/>
        <v>4001/4002</v>
      </c>
      <c r="L162" s="185" t="str">
        <f>VLOOKUP(A162,'Trips&amp;Operators'!$C$1:$G$99911,5,FALSE)</f>
        <v>MACDONALD THOMAS</v>
      </c>
      <c r="M162" s="6">
        <f t="shared" si="61"/>
        <v>9.0509259243845008E-3</v>
      </c>
      <c r="N162" s="7">
        <f t="shared" si="62"/>
        <v>13.033333331113681</v>
      </c>
      <c r="O162" s="7"/>
      <c r="P162" s="7"/>
      <c r="Q162" s="22"/>
      <c r="R162" s="174"/>
      <c r="S162" s="221">
        <f t="shared" si="63"/>
        <v>1</v>
      </c>
      <c r="T162" s="174" t="str">
        <f t="shared" si="64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5"/>
        <v>https://d0f6bd738d7f1b3e5a7ca70fe4ff75f0.us-east-1.aws.found.io/app/kibana#/discover/Steve-Slow-Train-Analysis-(2080s-and-2083s)?_g=(refreshInterval:(display:Off,pause:!f,section:0,value:0),time:(from:'2017-11-13T04:54:28-0700',mode:absolute,to:'2017-11-13T07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2" s="204" t="str">
        <f>IF(AA162&lt;VLOOKUP(AG162,Variables!$AC$3:$AD$8,2,FALSE),"Y","N")</f>
        <v>N</v>
      </c>
      <c r="X162" s="204">
        <f t="shared" si="66"/>
        <v>1</v>
      </c>
      <c r="Y162" s="204">
        <f t="shared" si="67"/>
        <v>5.8589000000000002</v>
      </c>
      <c r="Z162" s="204">
        <f t="shared" si="68"/>
        <v>7.3300000000000004E-2</v>
      </c>
      <c r="AA162" s="204">
        <f t="shared" si="69"/>
        <v>5.7856000000000005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70"/>
        <v>802</v>
      </c>
      <c r="AE162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62" s="74" t="str">
        <f t="shared" si="72"/>
        <v>"C:\Program Files (x86)\AstroGrep\AstroGrep.exe" /e /r /s /spath="%USERPROFILE%\AppData\Local\Temp\OnboardLogs" /stypes="app*4001*20171113*" /stext=" 13:.+((SYSTEM_STATE.+slice.+state.+changed )|(ment ac)|(multiple cpu faults)|(system.+state.+changed )|(\[timeout)|(PRM\|1\|D)|(kpr)|(kdp)|(train st.+moving)|(\|lc)|(penalty))"</v>
      </c>
      <c r="AG162" s="182" t="str">
        <f t="shared" si="73"/>
        <v>NW</v>
      </c>
      <c r="AH162" s="78" t="str">
        <f t="shared" si="90"/>
        <v>"%USERPROFILE%\Documents\GitHub\eaglep3\Utilities\RefineRTDCRunTimes.py" --tripid 802-13 --locoid 4001 --swversion DE.1.0.9.0 --startMP 300:58589 --initTime 2017-11-13T05:54:28 --startdatetime 2017-11-13T06:13:00 --delay 47 --endMP 204:733 --enddatetime 2017-11-13T06:26:02 --enforcementcount 0 &gt;&gt;%USERPROFILE%\Documents\GitHub\eaglep3-reporting\EC\2017-11-13-refined-times.txt</v>
      </c>
      <c r="AI162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{"issue":{"subject":"","project_id":79,"tracker_id":40,"status_id":1,"priority_id":2,"assigned_to_id":338,"start_date":"2017-11-13","description":"","custom_fields":[{"id":1,"name":"Subdivision","value":"NW"},{"id":4,"name":"Milepost","value":"0.0733"},{"id":17,"name":"Train ID","value":"802-13"},{"id":16,"name":"Locomotive ID","value":"4001"},{"id":130,"name":"Impact","value":""},{"id":150,"name":"Time of Event (Mountain Time)","value":"06:26:02"},{"id":151,"name":"Denver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92"/>
        <v>start /low /b %USERPROFILE%\Documents\GitHub\eaglep3\Utilities\DownloadLogsFromS3.py --loco 4001 --day 2017-11-13</v>
      </c>
      <c r="AN162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4"/>
        <v>https://d0f6bd738d7f1b3e5a7ca70fe4ff75f0.us-east-1.aws.found.io/app/kibana#/discover/Steve-Slow-Train-Analysis-(2080s-and-2083s)?_g=(refreshInterval:(display:Off,pause:!f,section:0,value:0),time:(from:'2017-11-13T04:54:28-0700',mode:absolute,to:'2017-11-13T07:26:02-0700'))&amp;_a=(columns:!('Message%20ID',Summary),filters:!(),index:'emp_*',interval:auto,query:(query_string:(analyze_wildcard:!t,query:'%22rtdc.l.rtdc.4001%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692</v>
      </c>
      <c r="B163" s="7">
        <v>4036</v>
      </c>
      <c r="C163" s="21" t="s">
        <v>192</v>
      </c>
      <c r="D163" s="21" t="s">
        <v>606</v>
      </c>
      <c r="E163" s="13">
        <v>43052.239837962959</v>
      </c>
      <c r="F163" s="13">
        <v>43052.256412037037</v>
      </c>
      <c r="G163" s="7">
        <v>68</v>
      </c>
      <c r="H163" s="21" t="s">
        <v>551</v>
      </c>
      <c r="I163" s="13">
        <v>43052.267199074071</v>
      </c>
      <c r="J163" s="7">
        <v>0</v>
      </c>
      <c r="K163" s="89" t="str">
        <f t="shared" si="60"/>
        <v>4035/4036</v>
      </c>
      <c r="L163" s="185" t="str">
        <f>VLOOKUP(A163,'Trips&amp;Operators'!$C$1:$G$99911,5,FALSE)</f>
        <v>YANAI IAN</v>
      </c>
      <c r="M163" s="6">
        <f t="shared" si="61"/>
        <v>1.0787037033878732E-2</v>
      </c>
      <c r="N163" s="7">
        <f t="shared" si="62"/>
        <v>15.533333328785375</v>
      </c>
      <c r="O163" s="7"/>
      <c r="P163" s="7"/>
      <c r="Q163" s="22"/>
      <c r="R163" s="174"/>
      <c r="S163" s="221">
        <f t="shared" si="63"/>
        <v>1</v>
      </c>
      <c r="T163" s="174" t="str">
        <f t="shared" si="64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5"/>
        <v>https://d0f6bd738d7f1b3e5a7ca70fe4ff75f0.us-east-1.aws.found.io/app/kibana#/discover/Steve-Slow-Train-Analysis-(2080s-and-2083s)?_g=(refreshInterval:(display:Off,pause:!f,section:0,value:0),time:(from:'2017-11-13T04:45:22-0700',mode:absolute,to:'2017-11-13T07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3" s="204" t="str">
        <f>IF(AA163&lt;VLOOKUP(AG163,Variables!$AC$3:$AD$8,2,FALSE),"Y","N")</f>
        <v>N</v>
      </c>
      <c r="X163" s="204">
        <f t="shared" si="66"/>
        <v>1</v>
      </c>
      <c r="Y163" s="204">
        <f t="shared" si="67"/>
        <v>0.1153</v>
      </c>
      <c r="Z163" s="204">
        <f t="shared" si="68"/>
        <v>5.8921999999999999</v>
      </c>
      <c r="AA163" s="204">
        <f t="shared" si="69"/>
        <v>5.7768999999999995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70"/>
        <v>803</v>
      </c>
      <c r="AE163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63" s="74" t="str">
        <f t="shared" si="72"/>
        <v>"C:\Program Files (x86)\AstroGrep\AstroGrep.exe" /e /r /s /spath="%USERPROFILE%\AppData\Local\Temp\OnboardLogs" /stypes="app*4036*20171113*" /stext=" 13:.+((SYSTEM_STATE.+slice.+state.+changed )|(ment ac)|(multiple cpu faults)|(system.+state.+changed )|(\[timeout)|(PRM\|1\|D)|(kpr)|(kdp)|(train st.+moving)|(\|lc)|(penalty))"</v>
      </c>
      <c r="AG163" s="182" t="str">
        <f t="shared" si="73"/>
        <v>NW</v>
      </c>
      <c r="AH163" s="78" t="str">
        <f t="shared" si="90"/>
        <v>"%USERPROFILE%\Documents\GitHub\eaglep3\Utilities\RefineRTDCRunTimes.py" --tripid 803-13 --locoid 4036 --swversion DE.1.0.9.0 --startMP 204:1153 --initTime 2017-11-13T05:45:22 --startdatetime 2017-11-13T06:09:14 --delay 68 --endMP 300:58922 --enddatetime 2017-11-13T06:24:46 --enforcementcount 0 &gt;&gt;%USERPROFILE%\Documents\GitHub\eaglep3-reporting\EC\2017-11-13-refined-times.txt</v>
      </c>
      <c r="AI163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{"issue":{"subject":"","project_id":79,"tracker_id":40,"status_id":1,"priority_id":2,"assigned_to_id":338,"start_date":"2017-11-13","description":"","custom_fields":[{"id":1,"name":"Subdivision","value":"NW"},{"id":4,"name":"Milepost","value":"5.8922"},{"id":17,"name":"Train ID","value":"803-13"},{"id":16,"name":"Locomotive ID","value":"4036"},{"id":130,"name":"Impact","value":""},{"id":150,"name":"Time of Event (Mountain Time)","value":"06:24:46"},{"id":151,"name":"Denver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92"/>
        <v>start /low /b %USERPROFILE%\Documents\GitHub\eaglep3\Utilities\DownloadLogsFromS3.py --loco 4036 --day 2017-11-13</v>
      </c>
      <c r="AN163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4"/>
        <v>https://d0f6bd738d7f1b3e5a7ca70fe4ff75f0.us-east-1.aws.found.io/app/kibana#/discover/Steve-Slow-Train-Analysis-(2080s-and-2083s)?_g=(refreshInterval:(display:Off,pause:!f,section:0,value:0),time:(from:'2017-11-13T04:45:22-0700',mode:absolute,to:'2017-11-13T07:24:46-0700'))&amp;_a=(columns:!('Message%20ID',Summary),filters:!(),index:'emp_*',interval:auto,query:(query_string:(analyze_wildcard:!t,query:'%22rtdc.l.rtdc.4036%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699</v>
      </c>
      <c r="B164" s="7">
        <v>4035</v>
      </c>
      <c r="C164" s="21" t="s">
        <v>192</v>
      </c>
      <c r="D164" s="21" t="s">
        <v>598</v>
      </c>
      <c r="E164" s="13">
        <v>43052.267905092594</v>
      </c>
      <c r="F164" s="13">
        <v>43052.279166666667</v>
      </c>
      <c r="G164" s="7">
        <v>53</v>
      </c>
      <c r="H164" s="21" t="s">
        <v>605</v>
      </c>
      <c r="I164" s="13">
        <v>43052.287974537037</v>
      </c>
      <c r="J164" s="7">
        <v>0</v>
      </c>
      <c r="K164" s="89" t="str">
        <f t="shared" si="60"/>
        <v>4035/4036</v>
      </c>
      <c r="L164" s="185" t="str">
        <f>VLOOKUP(A164,'Trips&amp;Operators'!$C$1:$G$99911,5,FALSE)</f>
        <v>YANAI IAN</v>
      </c>
      <c r="M164" s="6">
        <f t="shared" si="61"/>
        <v>8.8078703702194616E-3</v>
      </c>
      <c r="N164" s="7">
        <f t="shared" si="62"/>
        <v>12.683333333116025</v>
      </c>
      <c r="O164" s="7"/>
      <c r="P164" s="7"/>
      <c r="Q164" s="22"/>
      <c r="R164" s="174"/>
      <c r="S164" s="221">
        <f t="shared" si="63"/>
        <v>1</v>
      </c>
      <c r="T164" s="174" t="str">
        <f t="shared" si="64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5"/>
        <v>https://d0f6bd738d7f1b3e5a7ca70fe4ff75f0.us-east-1.aws.found.io/app/kibana#/discover/Steve-Slow-Train-Analysis-(2080s-and-2083s)?_g=(refreshInterval:(display:Off,pause:!f,section:0,value:0),time:(from:'2017-11-13T05:25:47-0700',mode:absolute,to:'2017-11-13T07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4" s="204" t="str">
        <f>IF(AA164&lt;VLOOKUP(AG164,Variables!$AC$3:$AD$8,2,FALSE),"Y","N")</f>
        <v>N</v>
      </c>
      <c r="X164" s="204">
        <f t="shared" si="66"/>
        <v>1</v>
      </c>
      <c r="Y164" s="204">
        <f t="shared" si="67"/>
        <v>5.8605999999999998</v>
      </c>
      <c r="Z164" s="204">
        <f t="shared" si="68"/>
        <v>8.48E-2</v>
      </c>
      <c r="AA164" s="204">
        <f t="shared" si="69"/>
        <v>5.7757999999999994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70"/>
        <v>804</v>
      </c>
      <c r="AE164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64" s="74" t="str">
        <f t="shared" si="72"/>
        <v>"C:\Program Files (x86)\AstroGrep\AstroGrep.exe" /e /r /s /spath="%USERPROFILE%\AppData\Local\Temp\OnboardLogs" /stypes="app*4035*20171113*" /stext=" 13:.+((SYSTEM_STATE.+slice.+state.+changed )|(ment ac)|(multiple cpu faults)|(system.+state.+changed )|(\[timeout)|(PRM\|1\|D)|(kpr)|(kdp)|(train st.+moving)|(\|lc)|(penalty))"</v>
      </c>
      <c r="AG164" s="182" t="str">
        <f t="shared" si="73"/>
        <v>NW</v>
      </c>
      <c r="AH164" s="78" t="str">
        <f t="shared" si="90"/>
        <v>"%USERPROFILE%\Documents\GitHub\eaglep3\Utilities\RefineRTDCRunTimes.py" --tripid 804-13 --locoid 4035 --swversion DE.1.0.9.0 --startMP 300:58606 --initTime 2017-11-13T06:25:47 --startdatetime 2017-11-13T06:42:00 --delay 53 --endMP 204:848 --enddatetime 2017-11-13T06:54:41 --enforcementcount 0 &gt;&gt;%USERPROFILE%\Documents\GitHub\eaglep3-reporting\EC\2017-11-13-refined-times.txt</v>
      </c>
      <c r="AI164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{"issue":{"subject":"","project_id":79,"tracker_id":40,"status_id":1,"priority_id":2,"assigned_to_id":338,"start_date":"2017-11-13","description":"","custom_fields":[{"id":1,"name":"Subdivision","value":"NW"},{"id":4,"name":"Milepost","value":"0.0848"},{"id":17,"name":"Train ID","value":"804-13"},{"id":16,"name":"Locomotive ID","value":"4035"},{"id":130,"name":"Impact","value":""},{"id":150,"name":"Time of Event (Mountain Time)","value":"06:54:41"},{"id":151,"name":"Denver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92"/>
        <v>start /low /b %USERPROFILE%\Documents\GitHub\eaglep3\Utilities\DownloadLogsFromS3.py --loco 4035 --day 2017-11-13</v>
      </c>
      <c r="AN164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4"/>
        <v>https://d0f6bd738d7f1b3e5a7ca70fe4ff75f0.us-east-1.aws.found.io/app/kibana#/discover/Steve-Slow-Train-Analysis-(2080s-and-2083s)?_g=(refreshInterval:(display:Off,pause:!f,section:0,value:0),time:(from:'2017-11-13T05:25:47-0700',mode:absolute,to:'2017-11-13T07:54:41-0700'))&amp;_a=(columns:!('Message%20ID',Summary),filters:!(),index:'emp_*',interval:auto,query:(query_string:(analyze_wildcard:!t,query:'%22rtdc.l.rtdc.4035%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700</v>
      </c>
      <c r="B165" s="7">
        <v>4002</v>
      </c>
      <c r="C165" s="21" t="s">
        <v>192</v>
      </c>
      <c r="D165" s="21" t="s">
        <v>1006</v>
      </c>
      <c r="E165" s="13">
        <v>43052.274259259262</v>
      </c>
      <c r="F165" s="13">
        <v>43052.278437499997</v>
      </c>
      <c r="G165" s="7">
        <v>208</v>
      </c>
      <c r="H165" s="21" t="s">
        <v>1007</v>
      </c>
      <c r="I165" s="13">
        <v>43052.287893518522</v>
      </c>
      <c r="J165" s="7">
        <v>0</v>
      </c>
      <c r="K165" s="89" t="str">
        <f t="shared" si="60"/>
        <v>4001/4002</v>
      </c>
      <c r="L165" s="185" t="str">
        <f>VLOOKUP(A165,'Trips&amp;Operators'!$C$1:$G$99911,5,FALSE)</f>
        <v>MACDONALD THOMAS</v>
      </c>
      <c r="M165" s="6">
        <f t="shared" si="61"/>
        <v>9.456018524360843E-3</v>
      </c>
      <c r="N165" s="7">
        <f t="shared" si="62"/>
        <v>13.616666675079614</v>
      </c>
      <c r="O165" s="7"/>
      <c r="P165" s="7"/>
      <c r="Q165" s="22"/>
      <c r="R165" s="174"/>
      <c r="S165" s="221">
        <f t="shared" si="63"/>
        <v>1</v>
      </c>
      <c r="T165" s="174" t="str">
        <f t="shared" si="64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5"/>
        <v>https://d0f6bd738d7f1b3e5a7ca70fe4ff75f0.us-east-1.aws.found.io/app/kibana#/discover/Steve-Slow-Train-Analysis-(2080s-and-2083s)?_g=(refreshInterval:(display:Off,pause:!f,section:0,value:0),time:(from:'2017-11-13T05:34:56-0700',mode:absolute,to:'2017-11-13T07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5" s="204" t="str">
        <f>IF(AA165&lt;VLOOKUP(AG165,Variables!$AC$3:$AD$8,2,FALSE),"Y","N")</f>
        <v>N</v>
      </c>
      <c r="X165" s="204">
        <f t="shared" si="66"/>
        <v>1</v>
      </c>
      <c r="Y165" s="204">
        <f t="shared" si="67"/>
        <v>0.1028</v>
      </c>
      <c r="Z165" s="204">
        <f t="shared" si="68"/>
        <v>5.8909000000000002</v>
      </c>
      <c r="AA165" s="204">
        <f t="shared" si="69"/>
        <v>5.7881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70"/>
        <v>805</v>
      </c>
      <c r="AE165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65" s="74" t="str">
        <f t="shared" si="72"/>
        <v>"C:\Program Files (x86)\AstroGrep\AstroGrep.exe" /e /r /s /spath="%USERPROFILE%\AppData\Local\Temp\OnboardLogs" /stypes="app*4002*20171113*" /stext=" 13:.+((SYSTEM_STATE.+slice.+state.+changed )|(ment ac)|(multiple cpu faults)|(system.+state.+changed )|(\[timeout)|(PRM\|1\|D)|(kpr)|(kdp)|(train st.+moving)|(\|lc)|(penalty))"</v>
      </c>
      <c r="AG165" s="182" t="str">
        <f t="shared" si="73"/>
        <v>NW</v>
      </c>
      <c r="AH165" s="78" t="str">
        <f t="shared" si="90"/>
        <v>"%USERPROFILE%\Documents\GitHub\eaglep3\Utilities\RefineRTDCRunTimes.py" --tripid 805-13 --locoid 4002 --swversion DE.1.0.9.0 --startMP 204:1028 --initTime 2017-11-13T06:34:56 --startdatetime 2017-11-13T06:40:57 --delay 208 --endMP 300:58909 --enddatetime 2017-11-13T06:54:34 --enforcementcount 0 &gt;&gt;%USERPROFILE%\Documents\GitHub\eaglep3-reporting\EC\2017-11-13-refined-times.txt</v>
      </c>
      <c r="AI165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{"issue":{"subject":"","project_id":79,"tracker_id":40,"status_id":1,"priority_id":2,"assigned_to_id":338,"start_date":"2017-11-13","description":"","custom_fields":[{"id":1,"name":"Subdivision","value":"NW"},{"id":4,"name":"Milepost","value":"5.8909"},{"id":17,"name":"Train ID","value":"805-13"},{"id":16,"name":"Locomotive ID","value":"4002"},{"id":130,"name":"Impact","value":""},{"id":150,"name":"Time of Event (Mountain Time)","value":"06:54:34"},{"id":151,"name":"Denver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92"/>
        <v>start /low /b %USERPROFILE%\Documents\GitHub\eaglep3\Utilities\DownloadLogsFromS3.py --loco 4002 --day 2017-11-13</v>
      </c>
      <c r="AN165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4"/>
        <v>https://d0f6bd738d7f1b3e5a7ca70fe4ff75f0.us-east-1.aws.found.io/app/kibana#/discover/Steve-Slow-Train-Analysis-(2080s-and-2083s)?_g=(refreshInterval:(display:Off,pause:!f,section:0,value:0),time:(from:'2017-11-13T05:34:56-0700',mode:absolute,to:'2017-11-13T07:54:34-0700'))&amp;_a=(columns:!('Message%20ID',Summary),filters:!(),index:'emp_*',interval:auto,query:(query_string:(analyze_wildcard:!t,query:'%22rtdc.l.rtdc.4002%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707</v>
      </c>
      <c r="B166" s="7">
        <v>4001</v>
      </c>
      <c r="C166" s="21" t="s">
        <v>192</v>
      </c>
      <c r="D166" s="21" t="s">
        <v>600</v>
      </c>
      <c r="E166" s="13">
        <v>43052.288587962961</v>
      </c>
      <c r="F166" s="13">
        <v>43052.300694444442</v>
      </c>
      <c r="G166" s="7">
        <v>155</v>
      </c>
      <c r="H166" s="21" t="s">
        <v>1008</v>
      </c>
      <c r="I166" s="13">
        <v>43052.310740740744</v>
      </c>
      <c r="J166" s="7">
        <v>0</v>
      </c>
      <c r="K166" s="89" t="str">
        <f t="shared" si="60"/>
        <v>4001/4002</v>
      </c>
      <c r="L166" s="185" t="str">
        <f>VLOOKUP(A166,'Trips&amp;Operators'!$C$1:$G$99911,5,FALSE)</f>
        <v>MACDONALD THOMAS</v>
      </c>
      <c r="M166" s="6">
        <f t="shared" si="61"/>
        <v>1.004629630187992E-2</v>
      </c>
      <c r="N166" s="7">
        <f t="shared" si="62"/>
        <v>14.466666674707085</v>
      </c>
      <c r="O166" s="7"/>
      <c r="P166" s="7"/>
      <c r="Q166" s="22"/>
      <c r="R166" s="174"/>
      <c r="S166" s="221">
        <f t="shared" si="63"/>
        <v>1</v>
      </c>
      <c r="T166" s="174" t="str">
        <f t="shared" si="64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5"/>
        <v>https://d0f6bd738d7f1b3e5a7ca70fe4ff75f0.us-east-1.aws.found.io/app/kibana#/discover/Steve-Slow-Train-Analysis-(2080s-and-2083s)?_g=(refreshInterval:(display:Off,pause:!f,section:0,value:0),time:(from:'2017-11-13T05:55:34-0700',mode:absolute,to:'2017-11-13T08:27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6" s="204" t="str">
        <f>IF(AA166&lt;VLOOKUP(AG166,Variables!$AC$3:$AD$8,2,FALSE),"Y","N")</f>
        <v>N</v>
      </c>
      <c r="X166" s="204">
        <f t="shared" si="66"/>
        <v>1</v>
      </c>
      <c r="Y166" s="204">
        <f t="shared" si="67"/>
        <v>5.8582999999999998</v>
      </c>
      <c r="Z166" s="204">
        <f t="shared" si="68"/>
        <v>7.8200000000000006E-2</v>
      </c>
      <c r="AA166" s="204">
        <f t="shared" si="69"/>
        <v>5.7801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70"/>
        <v>806</v>
      </c>
      <c r="AE166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66" s="74" t="str">
        <f t="shared" si="72"/>
        <v>"C:\Program Files (x86)\AstroGrep\AstroGrep.exe" /e /r /s /spath="%USERPROFILE%\AppData\Local\Temp\OnboardLogs" /stypes="app*4001*20171113*" /stext=" 14:.+((SYSTEM_STATE.+slice.+state.+changed )|(ment ac)|(multiple cpu faults)|(system.+state.+changed )|(\[timeout)|(PRM\|1\|D)|(kpr)|(kdp)|(train st.+moving)|(\|lc)|(penalty))"</v>
      </c>
      <c r="AG166" s="182" t="str">
        <f t="shared" si="73"/>
        <v>NW</v>
      </c>
      <c r="AH166" s="78" t="str">
        <f t="shared" si="90"/>
        <v>"%USERPROFILE%\Documents\GitHub\eaglep3\Utilities\RefineRTDCRunTimes.py" --tripid 806-13 --locoid 4001 --swversion DE.1.0.9.0 --startMP 300:58583 --initTime 2017-11-13T06:55:34 --startdatetime 2017-11-13T07:13:00 --delay 155 --endMP 204:782 --enddatetime 2017-11-13T07:27:28 --enforcementcount 0 &gt;&gt;%USERPROFILE%\Documents\GitHub\eaglep3-reporting\EC\2017-11-13-refined-times.txt</v>
      </c>
      <c r="AI166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{"issue":{"subject":"","project_id":79,"tracker_id":40,"status_id":1,"priority_id":2,"assigned_to_id":338,"start_date":"2017-11-13","description":"","custom_fields":[{"id":1,"name":"Subdivision","value":"NW"},{"id":4,"name":"Milepost","value":"0.0782"},{"id":17,"name":"Train ID","value":"806-13"},{"id":16,"name":"Locomotive ID","value":"4001"},{"id":130,"name":"Impact","value":""},{"id":150,"name":"Time of Event (Mountain Time)","value":"07:27:28"},{"id":151,"name":"Denver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92"/>
        <v>start /low /b %USERPROFILE%\Documents\GitHub\eaglep3\Utilities\DownloadLogsFromS3.py --loco 4001 --day 2017-11-13</v>
      </c>
      <c r="AN166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14:27:28"},{"id":29,"name":"Sharepoint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4"/>
        <v>https://d0f6bd738d7f1b3e5a7ca70fe4ff75f0.us-east-1.aws.found.io/app/kibana#/discover/Steve-Slow-Train-Analysis-(2080s-and-2083s)?_g=(refreshInterval:(display:Off,pause:!f,section:0,value:0),time:(from:'2017-11-13T05:55:34-0700',mode:absolute,to:'2017-11-13T08:27:28-0700'))&amp;_a=(columns:!('Message%20ID',Summary),filters:!(),index:'emp_*',interval:auto,query:(query_string:(analyze_wildcard:!t,query:'%22rtdc.l.rtdc.4001%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706</v>
      </c>
      <c r="B167" s="7">
        <v>4036</v>
      </c>
      <c r="C167" s="21" t="s">
        <v>192</v>
      </c>
      <c r="D167" s="21" t="s">
        <v>1009</v>
      </c>
      <c r="E167" s="13">
        <v>43052.289155092592</v>
      </c>
      <c r="F167" s="13">
        <v>43052.298101851855</v>
      </c>
      <c r="G167" s="7">
        <v>46</v>
      </c>
      <c r="H167" s="21" t="s">
        <v>1010</v>
      </c>
      <c r="I167" s="13">
        <v>43052.30908564815</v>
      </c>
      <c r="J167" s="7">
        <v>0</v>
      </c>
      <c r="K167" s="89" t="str">
        <f t="shared" si="60"/>
        <v>4035/4036</v>
      </c>
      <c r="L167" s="185" t="str">
        <f>VLOOKUP(A167,'Trips&amp;Operators'!$C$1:$G$99911,5,FALSE)</f>
        <v>YANAI IAN</v>
      </c>
      <c r="M167" s="6">
        <f t="shared" si="61"/>
        <v>1.0983796295477077E-2</v>
      </c>
      <c r="N167" s="7">
        <f t="shared" si="62"/>
        <v>15.816666665486991</v>
      </c>
      <c r="O167" s="7"/>
      <c r="P167" s="7"/>
      <c r="Q167" s="22"/>
      <c r="R167" s="174"/>
      <c r="S167" s="221">
        <f t="shared" si="63"/>
        <v>1</v>
      </c>
      <c r="T167" s="174" t="str">
        <f t="shared" si="64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5"/>
        <v>https://d0f6bd738d7f1b3e5a7ca70fe4ff75f0.us-east-1.aws.found.io/app/kibana#/discover/Steve-Slow-Train-Analysis-(2080s-and-2083s)?_g=(refreshInterval:(display:Off,pause:!f,section:0,value:0),time:(from:'2017-11-13T05:56:23-0700',mode:absolute,to:'2017-11-13T08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7" s="204" t="str">
        <f>IF(AA167&lt;VLOOKUP(AG167,Variables!$AC$3:$AD$8,2,FALSE),"Y","N")</f>
        <v>N</v>
      </c>
      <c r="X167" s="204">
        <f t="shared" si="66"/>
        <v>1</v>
      </c>
      <c r="Y167" s="204">
        <f t="shared" si="67"/>
        <v>0.1132</v>
      </c>
      <c r="Z167" s="204">
        <f t="shared" si="68"/>
        <v>5.8920000000000003</v>
      </c>
      <c r="AA167" s="204">
        <f t="shared" si="69"/>
        <v>5.7788000000000004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70"/>
        <v>807</v>
      </c>
      <c r="AE167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67" s="74" t="str">
        <f t="shared" si="72"/>
        <v>"C:\Program Files (x86)\AstroGrep\AstroGrep.exe" /e /r /s /spath="%USERPROFILE%\AppData\Local\Temp\OnboardLogs" /stypes="app*4036*20171113*" /stext=" 14:.+((SYSTEM_STATE.+slice.+state.+changed )|(ment ac)|(multiple cpu faults)|(system.+state.+changed )|(\[timeout)|(PRM\|1\|D)|(kpr)|(kdp)|(train st.+moving)|(\|lc)|(penalty))"</v>
      </c>
      <c r="AG167" s="182" t="str">
        <f t="shared" si="73"/>
        <v>NW</v>
      </c>
      <c r="AH167" s="78" t="str">
        <f t="shared" si="90"/>
        <v>"%USERPROFILE%\Documents\GitHub\eaglep3\Utilities\RefineRTDCRunTimes.py" --tripid 807-13 --locoid 4036 --swversion DE.1.0.9.0 --startMP 204:1132 --initTime 2017-11-13T06:56:23 --startdatetime 2017-11-13T07:09:16 --delay 46 --endMP 300:58920 --enddatetime 2017-11-13T07:25:05 --enforcementcount 0 &gt;&gt;%USERPROFILE%\Documents\GitHub\eaglep3-reporting\EC\2017-11-13-refined-times.txt</v>
      </c>
      <c r="AI167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{"issue":{"subject":"","project_id":79,"tracker_id":40,"status_id":1,"priority_id":2,"assigned_to_id":338,"start_date":"2017-11-13","description":"","custom_fields":[{"id":1,"name":"Subdivision","value":"NW"},{"id":4,"name":"Milepost","value":"5.892"},{"id":17,"name":"Train ID","value":"807-13"},{"id":16,"name":"Locomotive ID","value":"4036"},{"id":130,"name":"Impact","value":""},{"id":150,"name":"Time of Event (Mountain Time)","value":"07:25:05"},{"id":151,"name":"Denver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92"/>
        <v>start /low /b %USERPROFILE%\Documents\GitHub\eaglep3\Utilities\DownloadLogsFromS3.py --loco 4036 --day 2017-11-13</v>
      </c>
      <c r="AN167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4"/>
        <v>https://d0f6bd738d7f1b3e5a7ca70fe4ff75f0.us-east-1.aws.found.io/app/kibana#/discover/Steve-Slow-Train-Analysis-(2080s-and-2083s)?_g=(refreshInterval:(display:Off,pause:!f,section:0,value:0),time:(from:'2017-11-13T05:56:23-0700',mode:absolute,to:'2017-11-13T08:25:05-0700'))&amp;_a=(columns:!('Message%20ID',Summary),filters:!(),index:'emp_*',interval:auto,query:(query_string:(analyze_wildcard:!t,query:'%22rtdc.l.rtdc.4036%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710</v>
      </c>
      <c r="B168" s="7">
        <v>4035</v>
      </c>
      <c r="C168" s="21" t="s">
        <v>192</v>
      </c>
      <c r="D168" s="21" t="s">
        <v>1011</v>
      </c>
      <c r="E168" s="13">
        <v>43052.312800925924</v>
      </c>
      <c r="F168" s="13">
        <v>43052.321689814817</v>
      </c>
      <c r="G168" s="7">
        <v>52</v>
      </c>
      <c r="H168" s="21" t="s">
        <v>1012</v>
      </c>
      <c r="I168" s="13">
        <v>43052.330347222225</v>
      </c>
      <c r="J168" s="7">
        <v>0</v>
      </c>
      <c r="K168" s="89" t="str">
        <f t="shared" si="60"/>
        <v>4035/4036</v>
      </c>
      <c r="L168" s="185" t="str">
        <f>VLOOKUP(A168,'Trips&amp;Operators'!$C$1:$G$99911,5,FALSE)</f>
        <v>YANAI IAN</v>
      </c>
      <c r="M168" s="6">
        <f t="shared" si="61"/>
        <v>8.6574074084637687E-3</v>
      </c>
      <c r="N168" s="7">
        <f t="shared" si="62"/>
        <v>12.466666668187827</v>
      </c>
      <c r="O168" s="7"/>
      <c r="P168" s="7"/>
      <c r="Q168" s="22"/>
      <c r="R168" s="174"/>
      <c r="S168" s="221">
        <f t="shared" si="63"/>
        <v>1</v>
      </c>
      <c r="T168" s="174" t="str">
        <f t="shared" si="64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5"/>
        <v>https://d0f6bd738d7f1b3e5a7ca70fe4ff75f0.us-east-1.aws.found.io/app/kibana#/discover/Steve-Slow-Train-Analysis-(2080s-and-2083s)?_g=(refreshInterval:(display:Off,pause:!f,section:0,value:0),time:(from:'2017-11-13T06:30:26-0700',mode:absolute,to:'2017-11-13T08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8" s="204" t="str">
        <f>IF(AA168&lt;VLOOKUP(AG168,Variables!$AC$3:$AD$8,2,FALSE),"Y","N")</f>
        <v>Y</v>
      </c>
      <c r="X168" s="204">
        <f t="shared" si="66"/>
        <v>1</v>
      </c>
      <c r="Y168" s="204">
        <f t="shared" si="67"/>
        <v>5.7240000000000002</v>
      </c>
      <c r="Z168" s="204">
        <f t="shared" si="68"/>
        <v>8.3599999999999994E-2</v>
      </c>
      <c r="AA168" s="204">
        <f t="shared" si="69"/>
        <v>5.6404000000000005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70"/>
        <v>808</v>
      </c>
      <c r="AE168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68" s="74" t="str">
        <f t="shared" si="72"/>
        <v>"C:\Program Files (x86)\AstroGrep\AstroGrep.exe" /e /r /s /spath="%USERPROFILE%\AppData\Local\Temp\OnboardLogs" /stypes="app*4035*20171113*" /stext=" 14:.+((SYSTEM_STATE.+slice.+state.+changed )|(ment ac)|(multiple cpu faults)|(system.+state.+changed )|(\[timeout)|(PRM\|1\|D)|(kpr)|(kdp)|(train st.+moving)|(\|lc)|(penalty))"</v>
      </c>
      <c r="AG168" s="182" t="str">
        <f t="shared" si="73"/>
        <v>NW</v>
      </c>
      <c r="AH168" s="78" t="str">
        <f t="shared" si="90"/>
        <v>"%USERPROFILE%\Documents\GitHub\eaglep3\Utilities\RefineRTDCRunTimes.py" --tripid 808-13 --locoid 4035 --swversion DE.1.0.9.0 --startMP 300:57240 --initTime 2017-11-13T07:30:26 --startdatetime 2017-11-13T07:43:14 --delay 52 --endMP 204:836 --enddatetime 2017-11-13T07:55:42 --enforcementcount 0 &gt;&gt;%USERPROFILE%\Documents\GitHub\eaglep3-reporting\EC\2017-11-13-refined-times.txt</v>
      </c>
      <c r="AI168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{"issue":{"subject":"","project_id":79,"tracker_id":40,"status_id":1,"priority_id":2,"assigned_to_id":338,"start_date":"2017-11-13","description":"","custom_fields":[{"id":1,"name":"Subdivision","value":"NW"},{"id":4,"name":"Milepost","value":"0.0836"},{"id":17,"name":"Train ID","value":"808-13"},{"id":16,"name":"Locomotive ID","value":"4035"},{"id":130,"name":"Impact","value":""},{"id":150,"name":"Time of Event (Mountain Time)","value":"07:55:42"},{"id":151,"name":"Denver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92"/>
        <v>start /low /b %USERPROFILE%\Documents\GitHub\eaglep3\Utilities\DownloadLogsFromS3.py --loco 4035 --day 2017-11-13</v>
      </c>
      <c r="AN168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4"/>
        <v>https://d0f6bd738d7f1b3e5a7ca70fe4ff75f0.us-east-1.aws.found.io/app/kibana#/discover/Steve-Slow-Train-Analysis-(2080s-and-2083s)?_g=(refreshInterval:(display:Off,pause:!f,section:0,value:0),time:(from:'2017-11-13T06:30:26-0700',mode:absolute,to:'2017-11-13T08:55:42-0700'))&amp;_a=(columns:!('Message%20ID',Summary),filters:!(),index:'emp_*',interval:auto,query:(query_string:(analyze_wildcard:!t,query:'%22rtdc.l.rtdc.4035%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712</v>
      </c>
      <c r="B169" s="7">
        <v>4002</v>
      </c>
      <c r="C169" s="21" t="s">
        <v>192</v>
      </c>
      <c r="D169" s="21" t="s">
        <v>1013</v>
      </c>
      <c r="E169" s="13">
        <v>43052.317291666666</v>
      </c>
      <c r="F169" s="13">
        <v>43052.319675925923</v>
      </c>
      <c r="G169" s="7">
        <v>63</v>
      </c>
      <c r="H169" s="21" t="s">
        <v>552</v>
      </c>
      <c r="I169" s="13">
        <v>43052.329895833333</v>
      </c>
      <c r="J169" s="7">
        <v>0</v>
      </c>
      <c r="K169" s="89" t="str">
        <f t="shared" si="60"/>
        <v>4001/4002</v>
      </c>
      <c r="L169" s="185" t="str">
        <f>VLOOKUP(A169,'Trips&amp;Operators'!$C$1:$G$99911,5,FALSE)</f>
        <v>MACDONALD THOMAS</v>
      </c>
      <c r="M169" s="6">
        <f t="shared" si="61"/>
        <v>1.021990740991896E-2</v>
      </c>
      <c r="N169" s="7">
        <f t="shared" si="62"/>
        <v>14.716666670283303</v>
      </c>
      <c r="O169" s="7"/>
      <c r="P169" s="7"/>
      <c r="Q169" s="22"/>
      <c r="R169" s="174"/>
      <c r="S169" s="221">
        <f t="shared" si="63"/>
        <v>1</v>
      </c>
      <c r="T169" s="174" t="str">
        <f t="shared" si="64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5"/>
        <v>https://d0f6bd738d7f1b3e5a7ca70fe4ff75f0.us-east-1.aws.found.io/app/kibana#/discover/Steve-Slow-Train-Analysis-(2080s-and-2083s)?_g=(refreshInterval:(display:Off,pause:!f,section:0,value:0),time:(from:'2017-11-13T06:36:54-0700',mode:absolute,to:'2017-11-13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204" t="str">
        <f>IF(AA169&lt;VLOOKUP(AG169,Variables!$AC$3:$AD$8,2,FALSE),"Y","N")</f>
        <v>N</v>
      </c>
      <c r="X169" s="204">
        <f t="shared" si="66"/>
        <v>1</v>
      </c>
      <c r="Y169" s="204">
        <f t="shared" si="67"/>
        <v>0.14399999999999999</v>
      </c>
      <c r="Z169" s="204">
        <f t="shared" si="68"/>
        <v>5.8912000000000004</v>
      </c>
      <c r="AA169" s="204">
        <f t="shared" si="69"/>
        <v>5.7472000000000003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70"/>
        <v>809</v>
      </c>
      <c r="AE169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69" s="74" t="str">
        <f t="shared" si="72"/>
        <v>"C:\Program Files (x86)\AstroGrep\AstroGrep.exe" /e /r /s /spath="%USERPROFILE%\AppData\Local\Temp\OnboardLogs" /stypes="app*4002*20171113*" /stext=" 14:.+((SYSTEM_STATE.+slice.+state.+changed )|(ment ac)|(multiple cpu faults)|(system.+state.+changed )|(\[timeout)|(PRM\|1\|D)|(kpr)|(kdp)|(train st.+moving)|(\|lc)|(penalty))"</v>
      </c>
      <c r="AG169" s="182" t="str">
        <f t="shared" si="73"/>
        <v>NW</v>
      </c>
      <c r="AH169" s="78" t="str">
        <f t="shared" si="90"/>
        <v>"%USERPROFILE%\Documents\GitHub\eaglep3\Utilities\RefineRTDCRunTimes.py" --tripid 809-13 --locoid 4002 --swversion DE.1.0.9.0 --startMP 204:1440 --initTime 2017-11-13T07:36:54 --startdatetime 2017-11-13T07:40:20 --delay 63 --endMP 300:58912 --enddatetime 2017-11-13T07:55:03 --enforcementcount 0 &gt;&gt;%USERPROFILE%\Documents\GitHub\eaglep3-reporting\EC\2017-11-13-refined-times.txt</v>
      </c>
      <c r="AI169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{"issue":{"subject":"","project_id":79,"tracker_id":40,"status_id":1,"priority_id":2,"assigned_to_id":338,"start_date":"2017-11-13","description":"","custom_fields":[{"id":1,"name":"Subdivision","value":"NW"},{"id":4,"name":"Milepost","value":"5.8912"},{"id":17,"name":"Train ID","value":"809-13"},{"id":16,"name":"Locomotive ID","value":"4002"},{"id":130,"name":"Impact","value":""},{"id":150,"name":"Time of Event (Mountain Time)","value":"07:55:03"},{"id":151,"name":"Denver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92"/>
        <v>start /low /b %USERPROFILE%\Documents\GitHub\eaglep3\Utilities\DownloadLogsFromS3.py --loco 4002 --day 2017-11-13</v>
      </c>
      <c r="AN169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14:55:03"},{"id":29,"name":"Sharepoint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4"/>
        <v>https://d0f6bd738d7f1b3e5a7ca70fe4ff75f0.us-east-1.aws.found.io/app/kibana#/discover/Steve-Slow-Train-Analysis-(2080s-and-2083s)?_g=(refreshInterval:(display:Off,pause:!f,section:0,value:0),time:(from:'2017-11-13T06:36:54-0700',mode:absolute,to:'2017-11-13T08:55:03-0700'))&amp;_a=(columns:!('Message%20ID',Summary),filters:!(),index:'emp_*',interval:auto,query:(query_string:(analyze_wildcard:!t,query:'%22rtdc.l.rtdc.4002%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715</v>
      </c>
      <c r="B170" s="7">
        <v>4001</v>
      </c>
      <c r="C170" s="21" t="s">
        <v>192</v>
      </c>
      <c r="D170" s="21" t="s">
        <v>598</v>
      </c>
      <c r="E170" s="13">
        <v>43052.330543981479</v>
      </c>
      <c r="F170" s="13">
        <v>43052.342511574076</v>
      </c>
      <c r="G170" s="7">
        <v>66</v>
      </c>
      <c r="H170" s="21" t="s">
        <v>1014</v>
      </c>
      <c r="I170" s="13">
        <v>43052.358310185184</v>
      </c>
      <c r="J170" s="7">
        <v>0</v>
      </c>
      <c r="K170" s="89" t="str">
        <f t="shared" si="60"/>
        <v>4001/4002</v>
      </c>
      <c r="L170" s="185" t="str">
        <f>VLOOKUP(A170,'Trips&amp;Operators'!$C$1:$G$99911,5,FALSE)</f>
        <v>MACDONALD THOMAS</v>
      </c>
      <c r="M170" s="6">
        <f t="shared" si="61"/>
        <v>1.579861110803904E-2</v>
      </c>
      <c r="N170" s="7">
        <f t="shared" si="62"/>
        <v>22.749999995576218</v>
      </c>
      <c r="O170" s="7"/>
      <c r="P170" s="7"/>
      <c r="Q170" s="22"/>
      <c r="R170" s="174"/>
      <c r="S170" s="221">
        <f t="shared" si="63"/>
        <v>1</v>
      </c>
      <c r="T170" s="174" t="str">
        <f t="shared" si="64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5"/>
        <v>https://d0f6bd738d7f1b3e5a7ca70fe4ff75f0.us-east-1.aws.found.io/app/kibana#/discover/Steve-Slow-Train-Analysis-(2080s-and-2083s)?_g=(refreshInterval:(display:Off,pause:!f,section:0,value:0),time:(from:'2017-11-13T06:55:59-0700',mode:absolute,to:'2017-11-13T09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204" t="str">
        <f>IF(AA170&lt;VLOOKUP(AG170,Variables!$AC$3:$AD$8,2,FALSE),"Y","N")</f>
        <v>N</v>
      </c>
      <c r="X170" s="204">
        <f t="shared" si="66"/>
        <v>1</v>
      </c>
      <c r="Y170" s="204">
        <f t="shared" si="67"/>
        <v>5.8605999999999998</v>
      </c>
      <c r="Z170" s="204">
        <f t="shared" si="68"/>
        <v>7.6399999999999996E-2</v>
      </c>
      <c r="AA170" s="204">
        <f t="shared" si="69"/>
        <v>5.7842000000000002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70"/>
        <v>810</v>
      </c>
      <c r="AE170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70" s="74" t="str">
        <f t="shared" si="72"/>
        <v>"C:\Program Files (x86)\AstroGrep\AstroGrep.exe" /e /r /s /spath="%USERPROFILE%\AppData\Local\Temp\OnboardLogs" /stypes="app*4001*20171113*" /stext=" 15:.+((SYSTEM_STATE.+slice.+state.+changed )|(ment ac)|(multiple cpu faults)|(system.+state.+changed )|(\[timeout)|(PRM\|1\|D)|(kpr)|(kdp)|(train st.+moving)|(\|lc)|(penalty))"</v>
      </c>
      <c r="AG170" s="182" t="str">
        <f t="shared" si="73"/>
        <v>NW</v>
      </c>
      <c r="AH170" s="78" t="str">
        <f t="shared" si="90"/>
        <v>"%USERPROFILE%\Documents\GitHub\eaglep3\Utilities\RefineRTDCRunTimes.py" --tripid 810-13 --locoid 4001 --swversion DE.1.0.9.0 --startMP 300:58606 --initTime 2017-11-13T07:55:59 --startdatetime 2017-11-13T08:13:13 --delay 66 --endMP 204:764 --enddatetime 2017-11-13T08:35:58 --enforcementcount 0 &gt;&gt;%USERPROFILE%\Documents\GitHub\eaglep3-reporting\EC\2017-11-13-refined-times.txt</v>
      </c>
      <c r="AI170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{"issue":{"subject":"","project_id":79,"tracker_id":40,"status_id":1,"priority_id":2,"assigned_to_id":338,"start_date":"2017-11-13","description":"","custom_fields":[{"id":1,"name":"Subdivision","value":"NW"},{"id":4,"name":"Milepost","value":"0.0764"},{"id":17,"name":"Train ID","value":"810-13"},{"id":16,"name":"Locomotive ID","value":"4001"},{"id":130,"name":"Impact","value":""},{"id":150,"name":"Time of Event (Mountain Time)","value":"08:35:58"},{"id":151,"name":"Denver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92"/>
        <v>start /low /b %USERPROFILE%\Documents\GitHub\eaglep3\Utilities\DownloadLogsFromS3.py --loco 4001 --day 2017-11-13</v>
      </c>
      <c r="AN170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4"/>
        <v>https://d0f6bd738d7f1b3e5a7ca70fe4ff75f0.us-east-1.aws.found.io/app/kibana#/discover/Steve-Slow-Train-Analysis-(2080s-and-2083s)?_g=(refreshInterval:(display:Off,pause:!f,section:0,value:0),time:(from:'2017-11-13T06:55:59-0700',mode:absolute,to:'2017-11-13T09:35:58-0700'))&amp;_a=(columns:!('Message%20ID',Summary),filters:!(),index:'emp_*',interval:auto,query:(query_string:(analyze_wildcard:!t,query:'%22rtdc.l.rtdc.4001%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716</v>
      </c>
      <c r="B171" s="7">
        <v>4036</v>
      </c>
      <c r="C171" s="21" t="s">
        <v>192</v>
      </c>
      <c r="D171" s="21" t="s">
        <v>1015</v>
      </c>
      <c r="E171" s="13">
        <v>43052.331504629627</v>
      </c>
      <c r="F171" s="13">
        <v>43052.339780092596</v>
      </c>
      <c r="G171" s="7">
        <v>89</v>
      </c>
      <c r="H171" s="21" t="s">
        <v>1016</v>
      </c>
      <c r="I171" s="13">
        <v>43052.349085648151</v>
      </c>
      <c r="J171" s="7">
        <v>0</v>
      </c>
      <c r="K171" s="89" t="str">
        <f t="shared" si="60"/>
        <v>4035/4036</v>
      </c>
      <c r="L171" s="185" t="str">
        <f>VLOOKUP(A171,'Trips&amp;Operators'!$C$1:$G$99911,5,FALSE)</f>
        <v>YANAI IAN</v>
      </c>
      <c r="M171" s="6">
        <f t="shared" si="61"/>
        <v>9.3055555553291924E-3</v>
      </c>
      <c r="N171" s="7">
        <f t="shared" si="62"/>
        <v>13.399999999674037</v>
      </c>
      <c r="O171" s="7"/>
      <c r="P171" s="7"/>
      <c r="Q171" s="22"/>
      <c r="R171" s="174"/>
      <c r="S171" s="221">
        <f t="shared" si="63"/>
        <v>1</v>
      </c>
      <c r="T171" s="174" t="str">
        <f t="shared" si="64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5"/>
        <v>https://d0f6bd738d7f1b3e5a7ca70fe4ff75f0.us-east-1.aws.found.io/app/kibana#/discover/Steve-Slow-Train-Analysis-(2080s-and-2083s)?_g=(refreshInterval:(display:Off,pause:!f,section:0,value:0),time:(from:'2017-11-13T06:57:22-0700',mode:absolute,to:'2017-11-13T09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1" s="204" t="str">
        <f>IF(AA171&lt;VLOOKUP(AG171,Variables!$AC$3:$AD$8,2,FALSE),"Y","N")</f>
        <v>N</v>
      </c>
      <c r="X171" s="204">
        <f t="shared" si="66"/>
        <v>1</v>
      </c>
      <c r="Y171" s="204">
        <f t="shared" si="67"/>
        <v>0.11459999999999999</v>
      </c>
      <c r="Z171" s="204">
        <f t="shared" si="68"/>
        <v>5.8925999999999998</v>
      </c>
      <c r="AA171" s="204">
        <f t="shared" si="69"/>
        <v>5.7779999999999996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70"/>
        <v>811</v>
      </c>
      <c r="AE171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71" s="74" t="str">
        <f t="shared" si="72"/>
        <v>"C:\Program Files (x86)\AstroGrep\AstroGrep.exe" /e /r /s /spath="%USERPROFILE%\AppData\Local\Temp\OnboardLogs" /stypes="app*4036*20171113*" /stext=" 15:.+((SYSTEM_STATE.+slice.+state.+changed )|(ment ac)|(multiple cpu faults)|(system.+state.+changed )|(\[timeout)|(PRM\|1\|D)|(kpr)|(kdp)|(train st.+moving)|(\|lc)|(penalty))"</v>
      </c>
      <c r="AG171" s="182" t="str">
        <f t="shared" si="73"/>
        <v>NW</v>
      </c>
      <c r="AH171" s="78" t="str">
        <f t="shared" si="90"/>
        <v>"%USERPROFILE%\Documents\GitHub\eaglep3\Utilities\RefineRTDCRunTimes.py" --tripid 811-13 --locoid 4036 --swversion DE.1.0.9.0 --startMP 204:1146 --initTime 2017-11-13T07:57:22 --startdatetime 2017-11-13T08:09:17 --delay 89 --endMP 300:58926 --enddatetime 2017-11-13T08:22:41 --enforcementcount 0 &gt;&gt;%USERPROFILE%\Documents\GitHub\eaglep3-reporting\EC\2017-11-13-refined-times.txt</v>
      </c>
      <c r="AI171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{"issue":{"subject":"","project_id":79,"tracker_id":40,"status_id":1,"priority_id":2,"assigned_to_id":338,"start_date":"2017-11-13","description":"","custom_fields":[{"id":1,"name":"Subdivision","value":"NW"},{"id":4,"name":"Milepost","value":"5.8926"},{"id":17,"name":"Train ID","value":"811-13"},{"id":16,"name":"Locomotive ID","value":"4036"},{"id":130,"name":"Impact","value":""},{"id":150,"name":"Time of Event (Mountain Time)","value":"08:22:41"},{"id":151,"name":"Denver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92"/>
        <v>start /low /b %USERPROFILE%\Documents\GitHub\eaglep3\Utilities\DownloadLogsFromS3.py --loco 4036 --day 2017-11-13</v>
      </c>
      <c r="AN171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4"/>
        <v>https://d0f6bd738d7f1b3e5a7ca70fe4ff75f0.us-east-1.aws.found.io/app/kibana#/discover/Steve-Slow-Train-Analysis-(2080s-and-2083s)?_g=(refreshInterval:(display:Off,pause:!f,section:0,value:0),time:(from:'2017-11-13T06:57:22-0700',mode:absolute,to:'2017-11-13T09:22:41-0700'))&amp;_a=(columns:!('Message%20ID',Summary),filters:!(),index:'emp_*',interval:auto,query:(query_string:(analyze_wildcard:!t,query:'%22rtdc.l.rtdc.4036%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719</v>
      </c>
      <c r="B172" s="7">
        <v>4035</v>
      </c>
      <c r="C172" s="21" t="s">
        <v>192</v>
      </c>
      <c r="D172" s="21" t="s">
        <v>1017</v>
      </c>
      <c r="E172" s="13">
        <v>43052.349861111114</v>
      </c>
      <c r="F172" s="13">
        <v>43052.363194444442</v>
      </c>
      <c r="G172" s="7">
        <v>71</v>
      </c>
      <c r="H172" s="21" t="s">
        <v>1018</v>
      </c>
      <c r="I172" s="13">
        <v>43052.371192129627</v>
      </c>
      <c r="J172" s="7">
        <v>0</v>
      </c>
      <c r="K172" s="89" t="str">
        <f t="shared" si="60"/>
        <v>4035/4036</v>
      </c>
      <c r="L172" s="185" t="str">
        <f>VLOOKUP(A172,'Trips&amp;Operators'!$C$1:$G$99911,5,FALSE)</f>
        <v>YANAI IAN</v>
      </c>
      <c r="M172" s="6">
        <f t="shared" si="61"/>
        <v>7.9976851848186925E-3</v>
      </c>
      <c r="N172" s="7">
        <f t="shared" si="62"/>
        <v>11.516666666138917</v>
      </c>
      <c r="O172" s="7"/>
      <c r="P172" s="7"/>
      <c r="Q172" s="22"/>
      <c r="R172" s="174"/>
      <c r="S172" s="221">
        <f t="shared" si="63"/>
        <v>1</v>
      </c>
      <c r="T172" s="174" t="str">
        <f t="shared" si="64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5"/>
        <v>https://d0f6bd738d7f1b3e5a7ca70fe4ff75f0.us-east-1.aws.found.io/app/kibana#/discover/Steve-Slow-Train-Analysis-(2080s-and-2083s)?_g=(refreshInterval:(display:Off,pause:!f,section:0,value:0),time:(from:'2017-11-13T07:23:48-0700',mode:absolute,to:'2017-11-13T09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2" s="204" t="str">
        <f>IF(AA172&lt;VLOOKUP(AG172,Variables!$AC$3:$AD$8,2,FALSE),"Y","N")</f>
        <v>N</v>
      </c>
      <c r="X172" s="204">
        <f t="shared" si="66"/>
        <v>1</v>
      </c>
      <c r="Y172" s="204">
        <f t="shared" si="67"/>
        <v>5.8592000000000004</v>
      </c>
      <c r="Z172" s="204">
        <f t="shared" si="68"/>
        <v>8.3400000000000002E-2</v>
      </c>
      <c r="AA172" s="204">
        <f t="shared" si="69"/>
        <v>5.7758000000000003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70"/>
        <v>812</v>
      </c>
      <c r="AE172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72" s="74" t="str">
        <f t="shared" si="72"/>
        <v>"C:\Program Files (x86)\AstroGrep\AstroGrep.exe" /e /r /s /spath="%USERPROFILE%\AppData\Local\Temp\OnboardLogs" /stypes="app*4035*20171113*" /stext=" 15:.+((SYSTEM_STATE.+slice.+state.+changed )|(ment ac)|(multiple cpu faults)|(system.+state.+changed )|(\[timeout)|(PRM\|1\|D)|(kpr)|(kdp)|(train st.+moving)|(\|lc)|(penalty))"</v>
      </c>
      <c r="AG172" s="182" t="str">
        <f t="shared" si="73"/>
        <v>NW</v>
      </c>
      <c r="AH172" s="78" t="str">
        <f t="shared" si="90"/>
        <v>"%USERPROFILE%\Documents\GitHub\eaglep3\Utilities\RefineRTDCRunTimes.py" --tripid 812-13 --locoid 4035 --swversion DE.1.0.9.0 --startMP 300:58592 --initTime 2017-11-13T08:23:48 --startdatetime 2017-11-13T08:43:00 --delay 71 --endMP 204:834 --enddatetime 2017-11-13T08:54:31 --enforcementcount 0 &gt;&gt;%USERPROFILE%\Documents\GitHub\eaglep3-reporting\EC\2017-11-13-refined-times.txt</v>
      </c>
      <c r="AI172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{"issue":{"subject":"","project_id":79,"tracker_id":40,"status_id":1,"priority_id":2,"assigned_to_id":338,"start_date":"2017-11-13","description":"","custom_fields":[{"id":1,"name":"Subdivision","value":"NW"},{"id":4,"name":"Milepost","value":"0.0834"},{"id":17,"name":"Train ID","value":"812-13"},{"id":16,"name":"Locomotive ID","value":"4035"},{"id":130,"name":"Impact","value":""},{"id":150,"name":"Time of Event (Mountain Time)","value":"08:54:31"},{"id":151,"name":"Denver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92"/>
        <v>start /low /b %USERPROFILE%\Documents\GitHub\eaglep3\Utilities\DownloadLogsFromS3.py --loco 4035 --day 2017-11-13</v>
      </c>
      <c r="AN172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4"/>
        <v>https://d0f6bd738d7f1b3e5a7ca70fe4ff75f0.us-east-1.aws.found.io/app/kibana#/discover/Steve-Slow-Train-Analysis-(2080s-and-2083s)?_g=(refreshInterval:(display:Off,pause:!f,section:0,value:0),time:(from:'2017-11-13T07:23:48-0700',mode:absolute,to:'2017-11-13T09:54:31-0700'))&amp;_a=(columns:!('Message%20ID',Summary),filters:!(),index:'emp_*',interval:auto,query:(query_string:(analyze_wildcard:!t,query:'%22rtdc.l.rtdc.4035%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637</v>
      </c>
      <c r="B173" s="7">
        <v>4036</v>
      </c>
      <c r="C173" s="21" t="s">
        <v>192</v>
      </c>
      <c r="D173" s="21" t="s">
        <v>1019</v>
      </c>
      <c r="E173" s="13">
        <v>43052.378900462965</v>
      </c>
      <c r="F173" s="13">
        <v>43052.381458333337</v>
      </c>
      <c r="G173" s="7">
        <v>50</v>
      </c>
      <c r="H173" s="21" t="s">
        <v>1016</v>
      </c>
      <c r="I173" s="13">
        <v>43052.390833333331</v>
      </c>
      <c r="J173" s="7">
        <v>0</v>
      </c>
      <c r="K173" s="89" t="str">
        <f t="shared" si="60"/>
        <v>4035/4036</v>
      </c>
      <c r="L173" s="185" t="str">
        <f>VLOOKUP(A173,'Trips&amp;Operators'!$C$1:$G$99911,5,FALSE)</f>
        <v>YANAI IAN</v>
      </c>
      <c r="M173" s="6">
        <f t="shared" si="61"/>
        <v>9.3749999941792339E-3</v>
      </c>
      <c r="N173" s="7">
        <f t="shared" si="62"/>
        <v>13.499999991618097</v>
      </c>
      <c r="O173" s="7"/>
      <c r="P173" s="7"/>
      <c r="Q173" s="22"/>
      <c r="R173" s="174"/>
      <c r="S173" s="221">
        <f t="shared" si="63"/>
        <v>1</v>
      </c>
      <c r="T173" s="174" t="str">
        <f t="shared" si="64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5"/>
        <v>https://d0f6bd738d7f1b3e5a7ca70fe4ff75f0.us-east-1.aws.found.io/app/kibana#/discover/Steve-Slow-Train-Analysis-(2080s-and-2083s)?_g=(refreshInterval:(display:Off,pause:!f,section:0,value:0),time:(from:'2017-11-13T08:05:37-0700',mode:absolute,to:'2017-11-13T10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3" s="204" t="str">
        <f>IF(AA173&lt;VLOOKUP(AG173,Variables!$AC$3:$AD$8,2,FALSE),"Y","N")</f>
        <v>N</v>
      </c>
      <c r="X173" s="204">
        <f t="shared" si="66"/>
        <v>1</v>
      </c>
      <c r="Y173" s="204">
        <f t="shared" si="67"/>
        <v>0.1147</v>
      </c>
      <c r="Z173" s="204">
        <f t="shared" si="68"/>
        <v>5.8925999999999998</v>
      </c>
      <c r="AA173" s="204">
        <f t="shared" si="69"/>
        <v>5.7778999999999998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70"/>
        <v>813</v>
      </c>
      <c r="AE173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73" s="74" t="str">
        <f t="shared" si="72"/>
        <v>"C:\Program Files (x86)\AstroGrep\AstroGrep.exe" /e /r /s /spath="%USERPROFILE%\AppData\Local\Temp\OnboardLogs" /stypes="app*4036*20171113*" /stext=" 16:.+((SYSTEM_STATE.+slice.+state.+changed )|(ment ac)|(multiple cpu faults)|(system.+state.+changed )|(\[timeout)|(PRM\|1\|D)|(kpr)|(kdp)|(train st.+moving)|(\|lc)|(penalty))"</v>
      </c>
      <c r="AG173" s="182" t="str">
        <f t="shared" si="73"/>
        <v>NW</v>
      </c>
      <c r="AH173" s="78" t="str">
        <f t="shared" si="90"/>
        <v>"%USERPROFILE%\Documents\GitHub\eaglep3\Utilities\RefineRTDCRunTimes.py" --tripid 813-13 --locoid 4036 --swversion DE.1.0.9.0 --startMP 204:1147 --initTime 2017-11-13T09:05:37 --startdatetime 2017-11-13T09:09:18 --delay 50 --endMP 300:58926 --enddatetime 2017-11-13T09:22:48 --enforcementcount 0 &gt;&gt;%USERPROFILE%\Documents\GitHub\eaglep3-reporting\EC\2017-11-13-refined-times.txt</v>
      </c>
      <c r="AI173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{"issue":{"subject":"","project_id":79,"tracker_id":40,"status_id":1,"priority_id":2,"assigned_to_id":338,"start_date":"2017-11-13","description":"","custom_fields":[{"id":1,"name":"Subdivision","value":"NW"},{"id":4,"name":"Milepost","value":"5.8926"},{"id":17,"name":"Train ID","value":"813-13"},{"id":16,"name":"Locomotive ID","value":"4036"},{"id":130,"name":"Impact","value":""},{"id":150,"name":"Time of Event (Mountain Time)","value":"09:22:48"},{"id":151,"name":"Denver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92"/>
        <v>start /low /b %USERPROFILE%\Documents\GitHub\eaglep3\Utilities\DownloadLogsFromS3.py --loco 4036 --day 2017-11-13</v>
      </c>
      <c r="AN173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4"/>
        <v>https://d0f6bd738d7f1b3e5a7ca70fe4ff75f0.us-east-1.aws.found.io/app/kibana#/discover/Steve-Slow-Train-Analysis-(2080s-and-2083s)?_g=(refreshInterval:(display:Off,pause:!f,section:0,value:0),time:(from:'2017-11-13T08:05:37-0700',mode:absolute,to:'2017-11-13T10:22:48-0700'))&amp;_a=(columns:!('Message%20ID',Summary),filters:!(),index:'emp_*',interval:auto,query:(query_string:(analyze_wildcard:!t,query:'%22rtdc.l.rtdc.4036%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638</v>
      </c>
      <c r="B174" s="7">
        <v>4035</v>
      </c>
      <c r="C174" s="21" t="s">
        <v>192</v>
      </c>
      <c r="D174" s="21" t="s">
        <v>1020</v>
      </c>
      <c r="E174" s="13">
        <v>43052.391631944447</v>
      </c>
      <c r="F174" s="13">
        <v>43052.404861111114</v>
      </c>
      <c r="G174" s="7">
        <v>60</v>
      </c>
      <c r="H174" s="21" t="s">
        <v>1021</v>
      </c>
      <c r="I174" s="13">
        <v>43052.411585648151</v>
      </c>
      <c r="J174" s="7">
        <v>0</v>
      </c>
      <c r="K174" s="89" t="str">
        <f t="shared" si="60"/>
        <v>4035/4036</v>
      </c>
      <c r="L174" s="185" t="str">
        <f>VLOOKUP(A174,'Trips&amp;Operators'!$C$1:$G$99911,5,FALSE)</f>
        <v>YANAI IAN</v>
      </c>
      <c r="M174" s="6">
        <f t="shared" si="61"/>
        <v>6.7245370373711921E-3</v>
      </c>
      <c r="N174" s="7">
        <f t="shared" si="62"/>
        <v>9.6833333338145167</v>
      </c>
      <c r="O174" s="7"/>
      <c r="P174" s="7"/>
      <c r="Q174" s="22"/>
      <c r="R174" s="174"/>
      <c r="S174" s="221">
        <f t="shared" si="63"/>
        <v>1</v>
      </c>
      <c r="T174" s="174" t="str">
        <f t="shared" si="64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5"/>
        <v>https://d0f6bd738d7f1b3e5a7ca70fe4ff75f0.us-east-1.aws.found.io/app/kibana#/discover/Steve-Slow-Train-Analysis-(2080s-and-2083s)?_g=(refreshInterval:(display:Off,pause:!f,section:0,value:0),time:(from:'2017-11-13T08:23:57-0700',mode:absolute,to:'2017-11-13T10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4" s="204" t="str">
        <f>IF(AA174&lt;VLOOKUP(AG174,Variables!$AC$3:$AD$8,2,FALSE),"Y","N")</f>
        <v>Y</v>
      </c>
      <c r="X174" s="204">
        <f t="shared" si="66"/>
        <v>1</v>
      </c>
      <c r="Y174" s="204">
        <f t="shared" si="67"/>
        <v>5.8613</v>
      </c>
      <c r="Z174" s="204">
        <f t="shared" si="68"/>
        <v>0.44819999999999999</v>
      </c>
      <c r="AA174" s="204">
        <f t="shared" si="69"/>
        <v>5.4131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70"/>
        <v>814</v>
      </c>
      <c r="AE174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74" s="74" t="str">
        <f t="shared" si="72"/>
        <v>"C:\Program Files (x86)\AstroGrep\AstroGrep.exe" /e /r /s /spath="%USERPROFILE%\AppData\Local\Temp\OnboardLogs" /stypes="app*4035*20171113*" /stext=" 16:.+((SYSTEM_STATE.+slice.+state.+changed )|(ment ac)|(multiple cpu faults)|(system.+state.+changed )|(\[timeout)|(PRM\|1\|D)|(kpr)|(kdp)|(train st.+moving)|(\|lc)|(penalty))"</v>
      </c>
      <c r="AG174" s="182" t="str">
        <f t="shared" si="73"/>
        <v>NW</v>
      </c>
      <c r="AH174" s="78" t="str">
        <f t="shared" si="90"/>
        <v>"%USERPROFILE%\Documents\GitHub\eaglep3\Utilities\RefineRTDCRunTimes.py" --tripid 814-13 --locoid 4035 --swversion DE.1.0.9.0 --startMP 300:58613 --initTime 2017-11-13T09:23:57 --startdatetime 2017-11-13T09:43:00 --delay 60 --endMP 204:4482 --enddatetime 2017-11-13T09:52:41 --enforcementcount 0 &gt;&gt;%USERPROFILE%\Documents\GitHub\eaglep3-reporting\EC\2017-11-13-refined-times.txt</v>
      </c>
      <c r="AI174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{"issue":{"subject":"","project_id":79,"tracker_id":40,"status_id":1,"priority_id":2,"assigned_to_id":338,"start_date":"2017-11-13","description":"","custom_fields":[{"id":1,"name":"Subdivision","value":"NW"},{"id":4,"name":"Milepost","value":"0.4482"},{"id":17,"name":"Train ID","value":"814-13"},{"id":16,"name":"Locomotive ID","value":"4035"},{"id":130,"name":"Impact","value":""},{"id":150,"name":"Time of Event (Mountain Time)","value":"09:52:41"},{"id":151,"name":"Denver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92"/>
        <v>start /low /b %USERPROFILE%\Documents\GitHub\eaglep3\Utilities\DownloadLogsFromS3.py --loco 4035 --day 2017-11-13</v>
      </c>
      <c r="AN174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16:52:41"},{"id":29,"name":"Sharepoint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4"/>
        <v>https://d0f6bd738d7f1b3e5a7ca70fe4ff75f0.us-east-1.aws.found.io/app/kibana#/discover/Steve-Slow-Train-Analysis-(2080s-and-2083s)?_g=(refreshInterval:(display:Off,pause:!f,section:0,value:0),time:(from:'2017-11-13T08:23:57-0700',mode:absolute,to:'2017-11-13T10:52:41-0700'))&amp;_a=(columns:!('Message%20ID',Summary),filters:!(),index:'emp_*',interval:auto,query:(query_string:(analyze_wildcard:!t,query:'%22rtdc.l.rtdc.4035%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730</v>
      </c>
      <c r="B175" s="7">
        <v>4036</v>
      </c>
      <c r="C175" s="21" t="s">
        <v>192</v>
      </c>
      <c r="D175" s="21" t="s">
        <v>1022</v>
      </c>
      <c r="E175" s="13">
        <v>43052.416296296295</v>
      </c>
      <c r="F175" s="13">
        <v>43052.423125000001</v>
      </c>
      <c r="G175" s="7">
        <v>48</v>
      </c>
      <c r="H175" s="21" t="s">
        <v>599</v>
      </c>
      <c r="I175" s="13">
        <v>43052.432199074072</v>
      </c>
      <c r="J175" s="7">
        <v>0</v>
      </c>
      <c r="K175" s="89" t="str">
        <f t="shared" si="60"/>
        <v>4035/4036</v>
      </c>
      <c r="L175" s="185" t="str">
        <f>VLOOKUP(A175,'Trips&amp;Operators'!$C$1:$G$99911,5,FALSE)</f>
        <v>YANAI IAN</v>
      </c>
      <c r="M175" s="6">
        <f t="shared" si="61"/>
        <v>9.074074070667848E-3</v>
      </c>
      <c r="N175" s="7">
        <f t="shared" si="62"/>
        <v>13.066666661761701</v>
      </c>
      <c r="O175" s="7"/>
      <c r="P175" s="7"/>
      <c r="Q175" s="22"/>
      <c r="R175" s="174"/>
      <c r="S175" s="221">
        <f t="shared" si="63"/>
        <v>1</v>
      </c>
      <c r="T175" s="174" t="str">
        <f t="shared" si="64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5"/>
        <v>https://d0f6bd738d7f1b3e5a7ca70fe4ff75f0.us-east-1.aws.found.io/app/kibana#/discover/Steve-Slow-Train-Analysis-(2080s-and-2083s)?_g=(refreshInterval:(display:Off,pause:!f,section:0,value:0),time:(from:'2017-11-13T08:59:28-0700',mode:absolute,to:'2017-11-13T11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5" s="204" t="str">
        <f>IF(AA175&lt;VLOOKUP(AG175,Variables!$AC$3:$AD$8,2,FALSE),"Y","N")</f>
        <v>N</v>
      </c>
      <c r="X175" s="204">
        <f t="shared" si="66"/>
        <v>1</v>
      </c>
      <c r="Y175" s="204">
        <f t="shared" si="67"/>
        <v>0.114</v>
      </c>
      <c r="Z175" s="204">
        <f t="shared" si="68"/>
        <v>5.8917999999999999</v>
      </c>
      <c r="AA175" s="204">
        <f t="shared" si="69"/>
        <v>5.7778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70"/>
        <v>815</v>
      </c>
      <c r="AE175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75" s="74" t="str">
        <f t="shared" si="72"/>
        <v>"C:\Program Files (x86)\AstroGrep\AstroGrep.exe" /e /r /s /spath="%USERPROFILE%\AppData\Local\Temp\OnboardLogs" /stypes="app*4036*20171113*" /stext=" 17:.+((SYSTEM_STATE.+slice.+state.+changed )|(ment ac)|(multiple cpu faults)|(system.+state.+changed )|(\[timeout)|(PRM\|1\|D)|(kpr)|(kdp)|(train st.+moving)|(\|lc)|(penalty))"</v>
      </c>
      <c r="AG175" s="182" t="str">
        <f t="shared" si="73"/>
        <v>NW</v>
      </c>
      <c r="AH175" s="78" t="str">
        <f t="shared" si="90"/>
        <v>"%USERPROFILE%\Documents\GitHub\eaglep3\Utilities\RefineRTDCRunTimes.py" --tripid 815-13 --locoid 4036 --swversion DE.1.0.9.0 --startMP 204:1140 --initTime 2017-11-13T09:59:28 --startdatetime 2017-11-13T10:09:18 --delay 48 --endMP 300:58918 --enddatetime 2017-11-13T10:22:22 --enforcementcount 0 &gt;&gt;%USERPROFILE%\Documents\GitHub\eaglep3-reporting\EC\2017-11-13-refined-times.txt</v>
      </c>
      <c r="AI175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{"issue":{"subject":"","project_id":79,"tracker_id":40,"status_id":1,"priority_id":2,"assigned_to_id":338,"start_date":"2017-11-13","description":"","custom_fields":[{"id":1,"name":"Subdivision","value":"NW"},{"id":4,"name":"Milepost","value":"5.8918"},{"id":17,"name":"Train ID","value":"815-13"},{"id":16,"name":"Locomotive ID","value":"4036"},{"id":130,"name":"Impact","value":""},{"id":150,"name":"Time of Event (Mountain Time)","value":"10:22:22"},{"id":151,"name":"Denver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92"/>
        <v>start /low /b %USERPROFILE%\Documents\GitHub\eaglep3\Utilities\DownloadLogsFromS3.py --loco 4036 --day 2017-11-13</v>
      </c>
      <c r="AN175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4"/>
        <v>https://d0f6bd738d7f1b3e5a7ca70fe4ff75f0.us-east-1.aws.found.io/app/kibana#/discover/Steve-Slow-Train-Analysis-(2080s-and-2083s)?_g=(refreshInterval:(display:Off,pause:!f,section:0,value:0),time:(from:'2017-11-13T08:59:28-0700',mode:absolute,to:'2017-11-13T11:22:22-0700'))&amp;_a=(columns:!('Message%20ID',Summary),filters:!(),index:'emp_*',interval:auto,query:(query_string:(analyze_wildcard:!t,query:'%22rtdc.l.rtdc.4036%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736</v>
      </c>
      <c r="B176" s="7">
        <v>4035</v>
      </c>
      <c r="C176" s="21" t="s">
        <v>192</v>
      </c>
      <c r="D176" s="21" t="s">
        <v>1023</v>
      </c>
      <c r="E176" s="13">
        <v>43052.43310185185</v>
      </c>
      <c r="F176" s="13">
        <v>43052.446527777778</v>
      </c>
      <c r="G176" s="7">
        <v>60</v>
      </c>
      <c r="H176" s="21" t="s">
        <v>1024</v>
      </c>
      <c r="I176" s="13">
        <v>43052.45449074074</v>
      </c>
      <c r="J176" s="7">
        <v>0</v>
      </c>
      <c r="K176" s="89" t="str">
        <f t="shared" si="60"/>
        <v>4035/4036</v>
      </c>
      <c r="L176" s="185" t="str">
        <f>VLOOKUP(A176,'Trips&amp;Operators'!$C$1:$G$99911,5,FALSE)</f>
        <v>YANAI IAN</v>
      </c>
      <c r="M176" s="6">
        <f t="shared" si="61"/>
        <v>7.962962961755693E-3</v>
      </c>
      <c r="N176" s="7">
        <f t="shared" si="62"/>
        <v>11.466666664928198</v>
      </c>
      <c r="O176" s="7"/>
      <c r="P176" s="7"/>
      <c r="Q176" s="22"/>
      <c r="R176" s="174"/>
      <c r="S176" s="221">
        <f t="shared" si="63"/>
        <v>1</v>
      </c>
      <c r="T176" s="174" t="str">
        <f t="shared" si="64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5"/>
        <v>https://d0f6bd738d7f1b3e5a7ca70fe4ff75f0.us-east-1.aws.found.io/app/kibana#/discover/Steve-Slow-Train-Analysis-(2080s-and-2083s)?_g=(refreshInterval:(display:Off,pause:!f,section:0,value:0),time:(from:'2017-11-13T09:23:40-0700',mode:absolute,to:'2017-11-13T11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6" s="204" t="str">
        <f>IF(AA176&lt;VLOOKUP(AG176,Variables!$AC$3:$AD$8,2,FALSE),"Y","N")</f>
        <v>N</v>
      </c>
      <c r="X176" s="204">
        <f t="shared" si="66"/>
        <v>1</v>
      </c>
      <c r="Y176" s="204">
        <f t="shared" si="67"/>
        <v>5.8608000000000002</v>
      </c>
      <c r="Z176" s="204">
        <f t="shared" si="68"/>
        <v>8.5300000000000001E-2</v>
      </c>
      <c r="AA176" s="204">
        <f t="shared" si="69"/>
        <v>5.7755000000000001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70"/>
        <v>816</v>
      </c>
      <c r="AE176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76" s="74" t="str">
        <f t="shared" si="72"/>
        <v>"C:\Program Files (x86)\AstroGrep\AstroGrep.exe" /e /r /s /spath="%USERPROFILE%\AppData\Local\Temp\OnboardLogs" /stypes="app*4035*20171113*" /stext=" 17:.+((SYSTEM_STATE.+slice.+state.+changed )|(ment ac)|(multiple cpu faults)|(system.+state.+changed )|(\[timeout)|(PRM\|1\|D)|(kpr)|(kdp)|(train st.+moving)|(\|lc)|(penalty))"</v>
      </c>
      <c r="AG176" s="182" t="str">
        <f t="shared" si="73"/>
        <v>NW</v>
      </c>
      <c r="AH176" s="78" t="str">
        <f t="shared" si="90"/>
        <v>"%USERPROFILE%\Documents\GitHub\eaglep3\Utilities\RefineRTDCRunTimes.py" --tripid 816-13 --locoid 4035 --swversion DE.1.0.9.0 --startMP 300:58608 --initTime 2017-11-13T10:23:40 --startdatetime 2017-11-13T10:43:00 --delay 60 --endMP 204:853 --enddatetime 2017-11-13T10:54:28 --enforcementcount 0 &gt;&gt;%USERPROFILE%\Documents\GitHub\eaglep3-reporting\EC\2017-11-13-refined-times.txt</v>
      </c>
      <c r="AI176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{"issue":{"subject":"","project_id":79,"tracker_id":40,"status_id":1,"priority_id":2,"assigned_to_id":338,"start_date":"2017-11-13","description":"","custom_fields":[{"id":1,"name":"Subdivision","value":"NW"},{"id":4,"name":"Milepost","value":"0.0853"},{"id":17,"name":"Train ID","value":"816-13"},{"id":16,"name":"Locomotive ID","value":"4035"},{"id":130,"name":"Impact","value":""},{"id":150,"name":"Time of Event (Mountain Time)","value":"10:54:28"},{"id":151,"name":"Denver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92"/>
        <v>start /low /b %USERPROFILE%\Documents\GitHub\eaglep3\Utilities\DownloadLogsFromS3.py --loco 4035 --day 2017-11-13</v>
      </c>
      <c r="AN176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17:54:28"},{"id":29,"name":"Sharepoint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4"/>
        <v>https://d0f6bd738d7f1b3e5a7ca70fe4ff75f0.us-east-1.aws.found.io/app/kibana#/discover/Steve-Slow-Train-Analysis-(2080s-and-2083s)?_g=(refreshInterval:(display:Off,pause:!f,section:0,value:0),time:(from:'2017-11-13T09:23:40-0700',mode:absolute,to:'2017-11-13T11:54:28-0700'))&amp;_a=(columns:!('Message%20ID',Summary),filters:!(),index:'emp_*',interval:auto,query:(query_string:(analyze_wildcard:!t,query:'%22rtdc.l.rtdc.4035%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743</v>
      </c>
      <c r="B177" s="7">
        <v>4036</v>
      </c>
      <c r="C177" s="21" t="s">
        <v>192</v>
      </c>
      <c r="D177" s="21" t="s">
        <v>1025</v>
      </c>
      <c r="E177" s="13">
        <v>43052.455370370371</v>
      </c>
      <c r="F177" s="13">
        <v>43052.464791666665</v>
      </c>
      <c r="G177" s="7">
        <v>51</v>
      </c>
      <c r="H177" s="21" t="s">
        <v>551</v>
      </c>
      <c r="I177" s="13">
        <v>43052.474027777775</v>
      </c>
      <c r="J177" s="7">
        <v>0</v>
      </c>
      <c r="K177" s="89" t="str">
        <f t="shared" si="60"/>
        <v>4035/4036</v>
      </c>
      <c r="L177" s="185" t="str">
        <f>VLOOKUP(A177,'Trips&amp;Operators'!$C$1:$G$99911,5,FALSE)</f>
        <v>YANAI IAN</v>
      </c>
      <c r="M177" s="6">
        <f t="shared" si="61"/>
        <v>9.2361111092031933E-3</v>
      </c>
      <c r="N177" s="7">
        <f t="shared" si="62"/>
        <v>13.299999997252598</v>
      </c>
      <c r="O177" s="7"/>
      <c r="P177" s="7"/>
      <c r="Q177" s="22"/>
      <c r="R177" s="174"/>
      <c r="S177" s="221">
        <f t="shared" si="63"/>
        <v>1</v>
      </c>
      <c r="T177" s="174" t="str">
        <f t="shared" si="64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5"/>
        <v>https://d0f6bd738d7f1b3e5a7ca70fe4ff75f0.us-east-1.aws.found.io/app/kibana#/discover/Steve-Slow-Train-Analysis-(2080s-and-2083s)?_g=(refreshInterval:(display:Off,pause:!f,section:0,value:0),time:(from:'2017-11-13T09:55:44-0700',mode:absolute,to:'2017-11-13T12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7" s="204" t="str">
        <f>IF(AA177&lt;VLOOKUP(AG177,Variables!$AC$3:$AD$8,2,FALSE),"Y","N")</f>
        <v>N</v>
      </c>
      <c r="X177" s="204">
        <f t="shared" si="66"/>
        <v>1</v>
      </c>
      <c r="Y177" s="204">
        <f t="shared" si="67"/>
        <v>0.1116</v>
      </c>
      <c r="Z177" s="204">
        <f t="shared" si="68"/>
        <v>5.8921999999999999</v>
      </c>
      <c r="AA177" s="204">
        <f t="shared" si="69"/>
        <v>5.7805999999999997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70"/>
        <v>817</v>
      </c>
      <c r="AE177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77" s="74" t="str">
        <f t="shared" si="72"/>
        <v>"C:\Program Files (x86)\AstroGrep\AstroGrep.exe" /e /r /s /spath="%USERPROFILE%\AppData\Local\Temp\OnboardLogs" /stypes="app*4036*20171113*" /stext=" 18:.+((SYSTEM_STATE.+slice.+state.+changed )|(ment ac)|(multiple cpu faults)|(system.+state.+changed )|(\[timeout)|(PRM\|1\|D)|(kpr)|(kdp)|(train st.+moving)|(\|lc)|(penalty))"</v>
      </c>
      <c r="AG177" s="182" t="str">
        <f t="shared" si="73"/>
        <v>NW</v>
      </c>
      <c r="AH177" s="78" t="str">
        <f t="shared" si="90"/>
        <v>"%USERPROFILE%\Documents\GitHub\eaglep3\Utilities\RefineRTDCRunTimes.py" --tripid 817-13 --locoid 4036 --swversion DE.1.0.9.0 --startMP 204:1116 --initTime 2017-11-13T10:55:44 --startdatetime 2017-11-13T11:09:18 --delay 51 --endMP 300:58922 --enddatetime 2017-11-13T11:22:36 --enforcementcount 0 &gt;&gt;%USERPROFILE%\Documents\GitHub\eaglep3-reporting\EC\2017-11-13-refined-times.txt</v>
      </c>
      <c r="AI177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{"issue":{"subject":"","project_id":79,"tracker_id":40,"status_id":1,"priority_id":2,"assigned_to_id":338,"start_date":"2017-11-13","description":"","custom_fields":[{"id":1,"name":"Subdivision","value":"NW"},{"id":4,"name":"Milepost","value":"5.8922"},{"id":17,"name":"Train ID","value":"817-13"},{"id":16,"name":"Locomotive ID","value":"4036"},{"id":130,"name":"Impact","value":""},{"id":150,"name":"Time of Event (Mountain Time)","value":"11:22:36"},{"id":151,"name":"Denver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92"/>
        <v>start /low /b %USERPROFILE%\Documents\GitHub\eaglep3\Utilities\DownloadLogsFromS3.py --loco 4036 --day 2017-11-13</v>
      </c>
      <c r="AN177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4"/>
        <v>https://d0f6bd738d7f1b3e5a7ca70fe4ff75f0.us-east-1.aws.found.io/app/kibana#/discover/Steve-Slow-Train-Analysis-(2080s-and-2083s)?_g=(refreshInterval:(display:Off,pause:!f,section:0,value:0),time:(from:'2017-11-13T09:55:44-0700',mode:absolute,to:'2017-11-13T12:22:36-0700'))&amp;_a=(columns:!('Message%20ID',Summary),filters:!(),index:'emp_*',interval:auto,query:(query_string:(analyze_wildcard:!t,query:'%22rtdc.l.rtdc.4036%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642</v>
      </c>
      <c r="B178" s="7">
        <v>4035</v>
      </c>
      <c r="C178" s="21" t="s">
        <v>192</v>
      </c>
      <c r="D178" s="21" t="s">
        <v>1026</v>
      </c>
      <c r="E178" s="13">
        <v>43052.474918981483</v>
      </c>
      <c r="F178" s="13">
        <v>43052.488194444442</v>
      </c>
      <c r="G178" s="7">
        <v>59</v>
      </c>
      <c r="H178" s="21" t="s">
        <v>1027</v>
      </c>
      <c r="I178" s="13">
        <v>43052.496608796297</v>
      </c>
      <c r="J178" s="7">
        <v>0</v>
      </c>
      <c r="K178" s="89" t="str">
        <f t="shared" si="60"/>
        <v>4035/4036</v>
      </c>
      <c r="L178" s="185" t="str">
        <f>VLOOKUP(A178,'Trips&amp;Operators'!$C$1:$G$99911,5,FALSE)</f>
        <v>YANAI IAN</v>
      </c>
      <c r="M178" s="6">
        <f t="shared" si="61"/>
        <v>8.4143518542987294E-3</v>
      </c>
      <c r="N178" s="7">
        <f t="shared" si="62"/>
        <v>12.11666667019017</v>
      </c>
      <c r="O178" s="7"/>
      <c r="P178" s="7"/>
      <c r="Q178" s="22"/>
      <c r="R178" s="174"/>
      <c r="S178" s="221">
        <f t="shared" si="63"/>
        <v>1</v>
      </c>
      <c r="T178" s="174" t="str">
        <f t="shared" si="64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5"/>
        <v>https://d0f6bd738d7f1b3e5a7ca70fe4ff75f0.us-east-1.aws.found.io/app/kibana#/discover/Steve-Slow-Train-Analysis-(2080s-and-2083s)?_g=(refreshInterval:(display:Off,pause:!f,section:0,value:0),time:(from:'2017-11-13T10:23:53-0700',mode:absolute,to:'2017-11-13T12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8" s="204" t="str">
        <f>IF(AA178&lt;VLOOKUP(AG178,Variables!$AC$3:$AD$8,2,FALSE),"Y","N")</f>
        <v>N</v>
      </c>
      <c r="X178" s="204">
        <f t="shared" si="66"/>
        <v>1</v>
      </c>
      <c r="Y178" s="204">
        <f t="shared" si="67"/>
        <v>5.8611000000000004</v>
      </c>
      <c r="Z178" s="204">
        <f t="shared" si="68"/>
        <v>8.5199999999999998E-2</v>
      </c>
      <c r="AA178" s="204">
        <f t="shared" si="69"/>
        <v>5.7759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70"/>
        <v>818</v>
      </c>
      <c r="AE178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78" s="74" t="str">
        <f t="shared" si="72"/>
        <v>"C:\Program Files (x86)\AstroGrep\AstroGrep.exe" /e /r /s /spath="%USERPROFILE%\AppData\Local\Temp\OnboardLogs" /stypes="app*4035*20171113*" /stext=" 18:.+((SYSTEM_STATE.+slice.+state.+changed )|(ment ac)|(multiple cpu faults)|(system.+state.+changed )|(\[timeout)|(PRM\|1\|D)|(kpr)|(kdp)|(train st.+moving)|(\|lc)|(penalty))"</v>
      </c>
      <c r="AG178" s="182" t="str">
        <f t="shared" si="73"/>
        <v>NW</v>
      </c>
      <c r="AH178" s="78" t="str">
        <f t="shared" si="90"/>
        <v>"%USERPROFILE%\Documents\GitHub\eaglep3\Utilities\RefineRTDCRunTimes.py" --tripid 818-13 --locoid 4035 --swversion DE.1.0.9.0 --startMP 300:58611 --initTime 2017-11-13T11:23:53 --startdatetime 2017-11-13T11:43:00 --delay 59 --endMP 204:852 --enddatetime 2017-11-13T11:55:07 --enforcementcount 0 &gt;&gt;%USERPROFILE%\Documents\GitHub\eaglep3-reporting\EC\2017-11-13-refined-times.txt</v>
      </c>
      <c r="AI178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{"issue":{"subject":"","project_id":79,"tracker_id":40,"status_id":1,"priority_id":2,"assigned_to_id":338,"start_date":"2017-11-13","description":"","custom_fields":[{"id":1,"name":"Subdivision","value":"NW"},{"id":4,"name":"Milepost","value":"0.0852"},{"id":17,"name":"Train ID","value":"818-13"},{"id":16,"name":"Locomotive ID","value":"4035"},{"id":130,"name":"Impact","value":""},{"id":150,"name":"Time of Event (Mountain Time)","value":"11:55:07"},{"id":151,"name":"Denver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92"/>
        <v>start /low /b %USERPROFILE%\Documents\GitHub\eaglep3\Utilities\DownloadLogsFromS3.py --loco 4035 --day 2017-11-13</v>
      </c>
      <c r="AN178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4"/>
        <v>https://d0f6bd738d7f1b3e5a7ca70fe4ff75f0.us-east-1.aws.found.io/app/kibana#/discover/Steve-Slow-Train-Analysis-(2080s-and-2083s)?_g=(refreshInterval:(display:Off,pause:!f,section:0,value:0),time:(from:'2017-11-13T10:23:53-0700',mode:absolute,to:'2017-11-13T12:55:07-0700'))&amp;_a=(columns:!('Message%20ID',Summary),filters:!(),index:'emp_*',interval:auto,query:(query_string:(analyze_wildcard:!t,query:'%22rtdc.l.rtdc.4035%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755</v>
      </c>
      <c r="B179" s="7">
        <v>4036</v>
      </c>
      <c r="C179" s="21" t="s">
        <v>192</v>
      </c>
      <c r="D179" s="21" t="s">
        <v>603</v>
      </c>
      <c r="E179" s="13">
        <v>43052.497673611113</v>
      </c>
      <c r="F179" s="13">
        <v>43052.506423611114</v>
      </c>
      <c r="G179" s="7">
        <v>51</v>
      </c>
      <c r="H179" s="21" t="s">
        <v>551</v>
      </c>
      <c r="I179" s="13">
        <v>43052.515706018516</v>
      </c>
      <c r="J179" s="7">
        <v>0</v>
      </c>
      <c r="K179" s="89" t="str">
        <f t="shared" si="60"/>
        <v>4035/4036</v>
      </c>
      <c r="L179" s="185" t="str">
        <f>VLOOKUP(A179,'Trips&amp;Operators'!$C$1:$G$99911,5,FALSE)</f>
        <v>YANAI IAN</v>
      </c>
      <c r="M179" s="6">
        <f t="shared" si="61"/>
        <v>9.2824074017698877E-3</v>
      </c>
      <c r="N179" s="7">
        <f t="shared" si="62"/>
        <v>13.366666658548638</v>
      </c>
      <c r="O179" s="7"/>
      <c r="P179" s="7"/>
      <c r="Q179" s="22"/>
      <c r="R179" s="174"/>
      <c r="S179" s="221">
        <f t="shared" si="63"/>
        <v>1</v>
      </c>
      <c r="T179" s="174" t="str">
        <f t="shared" si="64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5"/>
        <v>https://d0f6bd738d7f1b3e5a7ca70fe4ff75f0.us-east-1.aws.found.io/app/kibana#/discover/Steve-Slow-Train-Analysis-(2080s-and-2083s)?_g=(refreshInterval:(display:Off,pause:!f,section:0,value:0),time:(from:'2017-11-13T10:56:39-0700',mode:absolute,to:'2017-11-13T13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9" s="204" t="str">
        <f>IF(AA179&lt;VLOOKUP(AG179,Variables!$AC$3:$AD$8,2,FALSE),"Y","N")</f>
        <v>N</v>
      </c>
      <c r="X179" s="204">
        <f t="shared" si="66"/>
        <v>1</v>
      </c>
      <c r="Y179" s="204">
        <f t="shared" si="67"/>
        <v>0.113</v>
      </c>
      <c r="Z179" s="204">
        <f t="shared" si="68"/>
        <v>5.8921999999999999</v>
      </c>
      <c r="AA179" s="204">
        <f t="shared" si="69"/>
        <v>5.7791999999999994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70"/>
        <v>819</v>
      </c>
      <c r="AE179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79" s="74" t="str">
        <f t="shared" si="72"/>
        <v>"C:\Program Files (x86)\AstroGrep\AstroGrep.exe" /e /r /s /spath="%USERPROFILE%\AppData\Local\Temp\OnboardLogs" /stypes="app*4036*20171113*" /stext=" 19:.+((SYSTEM_STATE.+slice.+state.+changed )|(ment ac)|(multiple cpu faults)|(system.+state.+changed )|(\[timeout)|(PRM\|1\|D)|(kpr)|(kdp)|(train st.+moving)|(\|lc)|(penalty))"</v>
      </c>
      <c r="AG179" s="182" t="str">
        <f t="shared" si="73"/>
        <v>NW</v>
      </c>
      <c r="AH179" s="78" t="str">
        <f t="shared" si="90"/>
        <v>"%USERPROFILE%\Documents\GitHub\eaglep3\Utilities\RefineRTDCRunTimes.py" --tripid 819-13 --locoid 4036 --swversion DE.1.0.9.0 --startMP 204:1130 --initTime 2017-11-13T11:56:39 --startdatetime 2017-11-13T12:09:15 --delay 51 --endMP 300:58922 --enddatetime 2017-11-13T12:22:37 --enforcementcount 0 &gt;&gt;%USERPROFILE%\Documents\GitHub\eaglep3-reporting\EC\2017-11-13-refined-times.txt</v>
      </c>
      <c r="AI179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{"issue":{"subject":"","project_id":79,"tracker_id":40,"status_id":1,"priority_id":2,"assigned_to_id":338,"start_date":"2017-11-13","description":"","custom_fields":[{"id":1,"name":"Subdivision","value":"NW"},{"id":4,"name":"Milepost","value":"5.8922"},{"id":17,"name":"Train ID","value":"819-13"},{"id":16,"name":"Locomotive ID","value":"4036"},{"id":130,"name":"Impact","value":""},{"id":150,"name":"Time of Event (Mountain Time)","value":"12:22:37"},{"id":151,"name":"Denver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92"/>
        <v>start /low /b %USERPROFILE%\Documents\GitHub\eaglep3\Utilities\DownloadLogsFromS3.py --loco 4036 --day 2017-11-13</v>
      </c>
      <c r="AN179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4"/>
        <v>https://d0f6bd738d7f1b3e5a7ca70fe4ff75f0.us-east-1.aws.found.io/app/kibana#/discover/Steve-Slow-Train-Analysis-(2080s-and-2083s)?_g=(refreshInterval:(display:Off,pause:!f,section:0,value:0),time:(from:'2017-11-13T10:56:39-0700',mode:absolute,to:'2017-11-13T13:22:37-0700'))&amp;_a=(columns:!('Message%20ID',Summary),filters:!(),index:'emp_*',interval:auto,query:(query_string:(analyze_wildcard:!t,query:'%22rtdc.l.rtdc.4036%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759</v>
      </c>
      <c r="B180" s="7">
        <v>4035</v>
      </c>
      <c r="C180" s="21" t="s">
        <v>192</v>
      </c>
      <c r="D180" s="21" t="s">
        <v>602</v>
      </c>
      <c r="E180" s="13">
        <v>43052.516469907408</v>
      </c>
      <c r="F180" s="13">
        <v>43052.529861111114</v>
      </c>
      <c r="G180" s="7">
        <v>60</v>
      </c>
      <c r="H180" s="21" t="s">
        <v>1028</v>
      </c>
      <c r="I180" s="13">
        <v>43052.537928240738</v>
      </c>
      <c r="J180" s="7">
        <v>0</v>
      </c>
      <c r="K180" s="89" t="str">
        <f t="shared" si="60"/>
        <v>4035/4036</v>
      </c>
      <c r="L180" s="185" t="str">
        <f>VLOOKUP(A180,'Trips&amp;Operators'!$C$1:$G$99911,5,FALSE)</f>
        <v>YANAI IAN</v>
      </c>
      <c r="M180" s="6">
        <f t="shared" si="61"/>
        <v>8.067129623668734E-3</v>
      </c>
      <c r="N180" s="7">
        <f t="shared" si="62"/>
        <v>11.616666658082977</v>
      </c>
      <c r="O180" s="7"/>
      <c r="P180" s="7"/>
      <c r="Q180" s="22"/>
      <c r="R180" s="174"/>
      <c r="S180" s="221">
        <f t="shared" si="63"/>
        <v>1</v>
      </c>
      <c r="T180" s="174" t="str">
        <f t="shared" si="64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5"/>
        <v>https://d0f6bd738d7f1b3e5a7ca70fe4ff75f0.us-east-1.aws.found.io/app/kibana#/discover/Steve-Slow-Train-Analysis-(2080s-and-2083s)?_g=(refreshInterval:(display:Off,pause:!f,section:0,value:0),time:(from:'2017-11-13T11:23:43-0700',mode:absolute,to:'2017-11-13T13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0" s="204" t="str">
        <f>IF(AA180&lt;VLOOKUP(AG180,Variables!$AC$3:$AD$8,2,FALSE),"Y","N")</f>
        <v>N</v>
      </c>
      <c r="X180" s="204">
        <f t="shared" si="66"/>
        <v>1</v>
      </c>
      <c r="Y180" s="204">
        <f t="shared" si="67"/>
        <v>5.8601999999999999</v>
      </c>
      <c r="Z180" s="204">
        <f t="shared" si="68"/>
        <v>7.6899999999999996E-2</v>
      </c>
      <c r="AA180" s="204">
        <f t="shared" si="69"/>
        <v>5.7832999999999997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70"/>
        <v>820</v>
      </c>
      <c r="AE180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80" s="74" t="str">
        <f t="shared" si="72"/>
        <v>"C:\Program Files (x86)\AstroGrep\AstroGrep.exe" /e /r /s /spath="%USERPROFILE%\AppData\Local\Temp\OnboardLogs" /stypes="app*4035*20171113*" /stext=" 19:.+((SYSTEM_STATE.+slice.+state.+changed )|(ment ac)|(multiple cpu faults)|(system.+state.+changed )|(\[timeout)|(PRM\|1\|D)|(kpr)|(kdp)|(train st.+moving)|(\|lc)|(penalty))"</v>
      </c>
      <c r="AG180" s="182" t="str">
        <f t="shared" si="73"/>
        <v>NW</v>
      </c>
      <c r="AH180" s="78" t="str">
        <f t="shared" si="90"/>
        <v>"%USERPROFILE%\Documents\GitHub\eaglep3\Utilities\RefineRTDCRunTimes.py" --tripid 820-13 --locoid 4035 --swversion DE.1.0.9.0 --startMP 300:58602 --initTime 2017-11-13T12:23:43 --startdatetime 2017-11-13T12:43:00 --delay 60 --endMP 204:769 --enddatetime 2017-11-13T12:54:37 --enforcementcount 0 &gt;&gt;%USERPROFILE%\Documents\GitHub\eaglep3-reporting\EC\2017-11-13-refined-times.txt</v>
      </c>
      <c r="AI180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{"issue":{"subject":"","project_id":79,"tracker_id":40,"status_id":1,"priority_id":2,"assigned_to_id":338,"start_date":"2017-11-13","description":"","custom_fields":[{"id":1,"name":"Subdivision","value":"NW"},{"id":4,"name":"Milepost","value":"0.0769"},{"id":17,"name":"Train ID","value":"820-13"},{"id":16,"name":"Locomotive ID","value":"4035"},{"id":130,"name":"Impact","value":""},{"id":150,"name":"Time of Event (Mountain Time)","value":"12:54:37"},{"id":151,"name":"Denver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92"/>
        <v>start /low /b %USERPROFILE%\Documents\GitHub\eaglep3\Utilities\DownloadLogsFromS3.py --loco 4035 --day 2017-11-13</v>
      </c>
      <c r="AN180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19:54:37"},{"id":29,"name":"Sharepoint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4"/>
        <v>https://d0f6bd738d7f1b3e5a7ca70fe4ff75f0.us-east-1.aws.found.io/app/kibana#/discover/Steve-Slow-Train-Analysis-(2080s-and-2083s)?_g=(refreshInterval:(display:Off,pause:!f,section:0,value:0),time:(from:'2017-11-13T11:23:43-0700',mode:absolute,to:'2017-11-13T13:54:37-0700'))&amp;_a=(columns:!('Message%20ID',Summary),filters:!(),index:'emp_*',interval:auto,query:(query_string:(analyze_wildcard:!t,query:'%22rtdc.l.rtdc.4035%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766</v>
      </c>
      <c r="B181" s="7">
        <v>4036</v>
      </c>
      <c r="C181" s="21" t="s">
        <v>192</v>
      </c>
      <c r="D181" s="21" t="s">
        <v>1029</v>
      </c>
      <c r="E181" s="13">
        <v>43052.54115740741</v>
      </c>
      <c r="F181" s="13">
        <v>43052.548113425924</v>
      </c>
      <c r="G181" s="7">
        <v>125</v>
      </c>
      <c r="H181" s="21" t="s">
        <v>1030</v>
      </c>
      <c r="I181" s="13">
        <v>43052.557754629626</v>
      </c>
      <c r="J181" s="7">
        <v>0</v>
      </c>
      <c r="K181" s="89" t="str">
        <f t="shared" si="60"/>
        <v>4035/4036</v>
      </c>
      <c r="L181" s="185" t="str">
        <f>VLOOKUP(A181,'Trips&amp;Operators'!$C$1:$G$99911,5,FALSE)</f>
        <v>LEVIN SCOTT</v>
      </c>
      <c r="M181" s="6">
        <f t="shared" si="61"/>
        <v>9.6412037019035779E-3</v>
      </c>
      <c r="N181" s="7">
        <f t="shared" si="62"/>
        <v>13.883333330741152</v>
      </c>
      <c r="O181" s="7"/>
      <c r="P181" s="7"/>
      <c r="Q181" s="22"/>
      <c r="R181" s="174"/>
      <c r="S181" s="221">
        <f t="shared" si="63"/>
        <v>1</v>
      </c>
      <c r="T181" s="174" t="str">
        <f t="shared" si="64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5"/>
        <v>https://d0f6bd738d7f1b3e5a7ca70fe4ff75f0.us-east-1.aws.found.io/app/kibana#/discover/Steve-Slow-Train-Analysis-(2080s-and-2083s)?_g=(refreshInterval:(display:Off,pause:!f,section:0,value:0),time:(from:'2017-11-13T11:59:16-0700',mode:absolute,to:'2017-11-13T14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1" s="204" t="str">
        <f>IF(AA181&lt;VLOOKUP(AG181,Variables!$AC$3:$AD$8,2,FALSE),"Y","N")</f>
        <v>N</v>
      </c>
      <c r="X181" s="204">
        <f t="shared" si="66"/>
        <v>1</v>
      </c>
      <c r="Y181" s="204">
        <f t="shared" si="67"/>
        <v>0.1046</v>
      </c>
      <c r="Z181" s="204">
        <f t="shared" si="68"/>
        <v>5.8956</v>
      </c>
      <c r="AA181" s="204">
        <f t="shared" si="69"/>
        <v>5.7910000000000004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70"/>
        <v>821</v>
      </c>
      <c r="AE181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81" s="74" t="str">
        <f t="shared" si="72"/>
        <v>"C:\Program Files (x86)\AstroGrep\AstroGrep.exe" /e /r /s /spath="%USERPROFILE%\AppData\Local\Temp\OnboardLogs" /stypes="app*4036*20171113*" /stext=" 20:.+((SYSTEM_STATE.+slice.+state.+changed )|(ment ac)|(multiple cpu faults)|(system.+state.+changed )|(\[timeout)|(PRM\|1\|D)|(kpr)|(kdp)|(train st.+moving)|(\|lc)|(penalty))"</v>
      </c>
      <c r="AG181" s="182" t="str">
        <f t="shared" si="73"/>
        <v>NW</v>
      </c>
      <c r="AH181" s="78" t="str">
        <f t="shared" si="90"/>
        <v>"%USERPROFILE%\Documents\GitHub\eaglep3\Utilities\RefineRTDCRunTimes.py" --tripid 821-13 --locoid 4036 --swversion DE.1.0.9.0 --startMP 204:1046 --initTime 2017-11-13T12:59:16 --startdatetime 2017-11-13T13:09:17 --delay 125 --endMP 300:58956 --enddatetime 2017-11-13T13:23:10 --enforcementcount 0 &gt;&gt;%USERPROFILE%\Documents\GitHub\eaglep3-reporting\EC\2017-11-13-refined-times.txt</v>
      </c>
      <c r="AI181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{"issue":{"subject":"","project_id":79,"tracker_id":40,"status_id":1,"priority_id":2,"assigned_to_id":338,"start_date":"2017-11-13","description":"","custom_fields":[{"id":1,"name":"Subdivision","value":"NW"},{"id":4,"name":"Milepost","value":"5.8956"},{"id":17,"name":"Train ID","value":"821-13"},{"id":16,"name":"Locomotive ID","value":"4036"},{"id":130,"name":"Impact","value":""},{"id":150,"name":"Time of Event (Mountain Time)","value":"13:23:10"},{"id":151,"name":"Denver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92"/>
        <v>start /low /b %USERPROFILE%\Documents\GitHub\eaglep3\Utilities\DownloadLogsFromS3.py --loco 4036 --day 2017-11-13</v>
      </c>
      <c r="AN181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4"/>
        <v>https://d0f6bd738d7f1b3e5a7ca70fe4ff75f0.us-east-1.aws.found.io/app/kibana#/discover/Steve-Slow-Train-Analysis-(2080s-and-2083s)?_g=(refreshInterval:(display:Off,pause:!f,section:0,value:0),time:(from:'2017-11-13T11:59:16-0700',mode:absolute,to:'2017-11-13T14:23:10-0700'))&amp;_a=(columns:!('Message%20ID',Summary),filters:!(),index:'emp_*',interval:auto,query:(query_string:(analyze_wildcard:!t,query:'%22rtdc.l.rtdc.4036%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768</v>
      </c>
      <c r="B182" s="7">
        <v>4035</v>
      </c>
      <c r="C182" s="21" t="s">
        <v>192</v>
      </c>
      <c r="D182" s="21" t="s">
        <v>1031</v>
      </c>
      <c r="E182" s="13">
        <v>43052.558807870373</v>
      </c>
      <c r="F182" s="13">
        <v>43052.571527777778</v>
      </c>
      <c r="G182" s="7">
        <v>66</v>
      </c>
      <c r="H182" s="21" t="s">
        <v>1032</v>
      </c>
      <c r="I182" s="13">
        <v>43052.580381944441</v>
      </c>
      <c r="J182" s="7">
        <v>0</v>
      </c>
      <c r="K182" s="89" t="str">
        <f t="shared" si="60"/>
        <v>4035/4036</v>
      </c>
      <c r="L182" s="185" t="str">
        <f>VLOOKUP(A182,'Trips&amp;Operators'!$C$1:$G$99911,5,FALSE)</f>
        <v>LEVIN SCOTT</v>
      </c>
      <c r="M182" s="6">
        <f t="shared" si="61"/>
        <v>8.8541666627861559E-3</v>
      </c>
      <c r="N182" s="7">
        <f t="shared" si="62"/>
        <v>12.749999994412065</v>
      </c>
      <c r="O182" s="7"/>
      <c r="P182" s="7"/>
      <c r="Q182" s="22"/>
      <c r="R182" s="174"/>
      <c r="S182" s="221">
        <f t="shared" si="63"/>
        <v>1</v>
      </c>
      <c r="T182" s="174" t="str">
        <f t="shared" si="64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5"/>
        <v>https://d0f6bd738d7f1b3e5a7ca70fe4ff75f0.us-east-1.aws.found.io/app/kibana#/discover/Steve-Slow-Train-Analysis-(2080s-and-2083s)?_g=(refreshInterval:(display:Off,pause:!f,section:0,value:0),time:(from:'2017-11-13T12:24:41-0700',mode:absolute,to:'2017-11-13T14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2" s="204" t="str">
        <f>IF(AA182&lt;VLOOKUP(AG182,Variables!$AC$3:$AD$8,2,FALSE),"Y","N")</f>
        <v>N</v>
      </c>
      <c r="X182" s="204">
        <f t="shared" si="66"/>
        <v>1</v>
      </c>
      <c r="Y182" s="204">
        <f t="shared" si="67"/>
        <v>5.8632</v>
      </c>
      <c r="Z182" s="204">
        <f t="shared" si="68"/>
        <v>7.5399999999999995E-2</v>
      </c>
      <c r="AA182" s="204">
        <f t="shared" si="69"/>
        <v>5.7877999999999998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70"/>
        <v>822</v>
      </c>
      <c r="AE182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82" s="74" t="str">
        <f t="shared" si="72"/>
        <v>"C:\Program Files (x86)\AstroGrep\AstroGrep.exe" /e /r /s /spath="%USERPROFILE%\AppData\Local\Temp\OnboardLogs" /stypes="app*4035*20171113*" /stext=" 20:.+((SYSTEM_STATE.+slice.+state.+changed )|(ment ac)|(multiple cpu faults)|(system.+state.+changed )|(\[timeout)|(PRM\|1\|D)|(kpr)|(kdp)|(train st.+moving)|(\|lc)|(penalty))"</v>
      </c>
      <c r="AG182" s="182" t="str">
        <f t="shared" si="73"/>
        <v>NW</v>
      </c>
      <c r="AH182" s="78" t="str">
        <f t="shared" si="90"/>
        <v>"%USERPROFILE%\Documents\GitHub\eaglep3\Utilities\RefineRTDCRunTimes.py" --tripid 822-13 --locoid 4035 --swversion DE.1.0.9.0 --startMP 300:58632 --initTime 2017-11-13T13:24:41 --startdatetime 2017-11-13T13:43:00 --delay 66 --endMP 204:754 --enddatetime 2017-11-13T13:55:45 --enforcementcount 0 &gt;&gt;%USERPROFILE%\Documents\GitHub\eaglep3-reporting\EC\2017-11-13-refined-times.txt</v>
      </c>
      <c r="AI182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{"issue":{"subject":"","project_id":79,"tracker_id":40,"status_id":1,"priority_id":2,"assigned_to_id":338,"start_date":"2017-11-13","description":"","custom_fields":[{"id":1,"name":"Subdivision","value":"NW"},{"id":4,"name":"Milepost","value":"0.0754"},{"id":17,"name":"Train ID","value":"822-13"},{"id":16,"name":"Locomotive ID","value":"4035"},{"id":130,"name":"Impact","value":""},{"id":150,"name":"Time of Event (Mountain Time)","value":"13:55:45"},{"id":151,"name":"Denver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92"/>
        <v>start /low /b %USERPROFILE%\Documents\GitHub\eaglep3\Utilities\DownloadLogsFromS3.py --loco 4035 --day 2017-11-13</v>
      </c>
      <c r="AN182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4"/>
        <v>https://d0f6bd738d7f1b3e5a7ca70fe4ff75f0.us-east-1.aws.found.io/app/kibana#/discover/Steve-Slow-Train-Analysis-(2080s-and-2083s)?_g=(refreshInterval:(display:Off,pause:!f,section:0,value:0),time:(from:'2017-11-13T12:24:41-0700',mode:absolute,to:'2017-11-13T14:55:45-0700'))&amp;_a=(columns:!('Message%20ID',Summary),filters:!(),index:'emp_*',interval:auto,query:(query_string:(analyze_wildcard:!t,query:'%22rtdc.l.rtdc.4035%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772</v>
      </c>
      <c r="B183" s="7">
        <v>4036</v>
      </c>
      <c r="C183" s="21" t="s">
        <v>192</v>
      </c>
      <c r="D183" s="21" t="s">
        <v>1033</v>
      </c>
      <c r="E183" s="13">
        <v>43052.582951388889</v>
      </c>
      <c r="F183" s="13">
        <v>43052.589768518519</v>
      </c>
      <c r="G183" s="7">
        <v>54</v>
      </c>
      <c r="H183" s="21" t="s">
        <v>1034</v>
      </c>
      <c r="I183" s="13">
        <v>43052.599826388891</v>
      </c>
      <c r="J183" s="7">
        <v>0</v>
      </c>
      <c r="K183" s="89" t="str">
        <f t="shared" si="60"/>
        <v>4035/4036</v>
      </c>
      <c r="L183" s="185" t="str">
        <f>VLOOKUP(A183,'Trips&amp;Operators'!$C$1:$G$99911,5,FALSE)</f>
        <v>LEVIN SCOTT</v>
      </c>
      <c r="M183" s="6">
        <f t="shared" si="61"/>
        <v>1.0057870371383615E-2</v>
      </c>
      <c r="N183" s="7">
        <f t="shared" si="62"/>
        <v>14.483333334792405</v>
      </c>
      <c r="O183" s="7"/>
      <c r="P183" s="7"/>
      <c r="Q183" s="22"/>
      <c r="R183" s="174"/>
      <c r="S183" s="221">
        <f t="shared" si="63"/>
        <v>1</v>
      </c>
      <c r="T183" s="174" t="str">
        <f t="shared" si="64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5"/>
        <v>https://d0f6bd738d7f1b3e5a7ca70fe4ff75f0.us-east-1.aws.found.io/app/kibana#/discover/Steve-Slow-Train-Analysis-(2080s-and-2083s)?_g=(refreshInterval:(display:Off,pause:!f,section:0,value:0),time:(from:'2017-11-13T12:59:27-0700',mode:absolute,to:'2017-11-13T15:23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3" s="204" t="str">
        <f>IF(AA183&lt;VLOOKUP(AG183,Variables!$AC$3:$AD$8,2,FALSE),"Y","N")</f>
        <v>N</v>
      </c>
      <c r="X183" s="204">
        <f t="shared" si="66"/>
        <v>1</v>
      </c>
      <c r="Y183" s="204">
        <f t="shared" si="67"/>
        <v>0.10489999999999999</v>
      </c>
      <c r="Z183" s="204">
        <f t="shared" si="68"/>
        <v>5.8928000000000003</v>
      </c>
      <c r="AA183" s="204">
        <f t="shared" si="69"/>
        <v>5.7879000000000005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70"/>
        <v>823</v>
      </c>
      <c r="AE183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83" s="74" t="str">
        <f t="shared" si="72"/>
        <v>"C:\Program Files (x86)\AstroGrep\AstroGrep.exe" /e /r /s /spath="%USERPROFILE%\AppData\Local\Temp\OnboardLogs" /stypes="app*4036*20171113*" /stext=" 21:.+((SYSTEM_STATE.+slice.+state.+changed )|(ment ac)|(multiple cpu faults)|(system.+state.+changed )|(\[timeout)|(PRM\|1\|D)|(kpr)|(kdp)|(train st.+moving)|(\|lc)|(penalty))"</v>
      </c>
      <c r="AG183" s="182" t="str">
        <f t="shared" si="73"/>
        <v>NW</v>
      </c>
      <c r="AH183" s="78" t="str">
        <f t="shared" si="90"/>
        <v>"%USERPROFILE%\Documents\GitHub\eaglep3\Utilities\RefineRTDCRunTimes.py" --tripid 823-13 --locoid 4036 --swversion DE.1.0.9.0 --startMP 204:1049 --initTime 2017-11-13T13:59:27 --startdatetime 2017-11-13T14:09:16 --delay 54 --endMP 300:58928 --enddatetime 2017-11-13T14:23:45 --enforcementcount 0 &gt;&gt;%USERPROFILE%\Documents\GitHub\eaglep3-reporting\EC\2017-11-13-refined-times.txt</v>
      </c>
      <c r="AI183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{"issue":{"subject":"","project_id":79,"tracker_id":40,"status_id":1,"priority_id":2,"assigned_to_id":338,"start_date":"2017-11-13","description":"","custom_fields":[{"id":1,"name":"Subdivision","value":"NW"},{"id":4,"name":"Milepost","value":"5.8928"},{"id":17,"name":"Train ID","value":"823-13"},{"id":16,"name":"Locomotive ID","value":"4036"},{"id":130,"name":"Impact","value":""},{"id":150,"name":"Time of Event (Mountain Time)","value":"14:23:45"},{"id":151,"name":"Denver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92"/>
        <v>start /low /b %USERPROFILE%\Documents\GitHub\eaglep3\Utilities\DownloadLogsFromS3.py --loco 4036 --day 2017-11-13</v>
      </c>
      <c r="AN183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4"/>
        <v>https://d0f6bd738d7f1b3e5a7ca70fe4ff75f0.us-east-1.aws.found.io/app/kibana#/discover/Steve-Slow-Train-Analysis-(2080s-and-2083s)?_g=(refreshInterval:(display:Off,pause:!f,section:0,value:0),time:(from:'2017-11-13T12:59:27-0700',mode:absolute,to:'2017-11-13T15:23:45-0700'))&amp;_a=(columns:!('Message%20ID',Summary),filters:!(),index:'emp_*',interval:auto,query:(query_string:(analyze_wildcard:!t,query:'%22rtdc.l.rtdc.4036%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776</v>
      </c>
      <c r="B184" s="7">
        <v>4035</v>
      </c>
      <c r="C184" s="21" t="s">
        <v>192</v>
      </c>
      <c r="D184" s="21" t="s">
        <v>1035</v>
      </c>
      <c r="E184" s="13">
        <v>43052.600949074076</v>
      </c>
      <c r="F184" s="13">
        <v>43052.613194444442</v>
      </c>
      <c r="G184" s="7">
        <v>53</v>
      </c>
      <c r="H184" s="21" t="s">
        <v>1036</v>
      </c>
      <c r="I184" s="13">
        <v>43052.621840277781</v>
      </c>
      <c r="J184" s="7">
        <v>0</v>
      </c>
      <c r="K184" s="89" t="str">
        <f t="shared" si="60"/>
        <v>4035/4036</v>
      </c>
      <c r="L184" s="185" t="str">
        <f>VLOOKUP(A184,'Trips&amp;Operators'!$C$1:$G$99911,5,FALSE)</f>
        <v>LEVIN SCOTT</v>
      </c>
      <c r="M184" s="6">
        <f t="shared" si="61"/>
        <v>8.6458333389600739E-3</v>
      </c>
      <c r="N184" s="7">
        <f t="shared" si="62"/>
        <v>12.450000008102506</v>
      </c>
      <c r="O184" s="7"/>
      <c r="P184" s="7"/>
      <c r="Q184" s="22"/>
      <c r="R184" s="174"/>
      <c r="S184" s="221">
        <f t="shared" si="63"/>
        <v>1</v>
      </c>
      <c r="T184" s="174" t="str">
        <f t="shared" si="64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5"/>
        <v>https://d0f6bd738d7f1b3e5a7ca70fe4ff75f0.us-east-1.aws.found.io/app/kibana#/discover/Steve-Slow-Train-Analysis-(2080s-and-2083s)?_g=(refreshInterval:(display:Off,pause:!f,section:0,value:0),time:(from:'2017-11-13T13:25:22-0700',mode:absolute,to:'2017-11-13T15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4" s="204" t="str">
        <f>IF(AA184&lt;VLOOKUP(AG184,Variables!$AC$3:$AD$8,2,FALSE),"Y","N")</f>
        <v>N</v>
      </c>
      <c r="X184" s="204">
        <f t="shared" si="66"/>
        <v>1</v>
      </c>
      <c r="Y184" s="204">
        <f t="shared" si="67"/>
        <v>5.8616999999999999</v>
      </c>
      <c r="Z184" s="204">
        <f t="shared" si="68"/>
        <v>7.6100000000000001E-2</v>
      </c>
      <c r="AA184" s="204">
        <f t="shared" si="69"/>
        <v>5.7855999999999996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70"/>
        <v>824</v>
      </c>
      <c r="AE184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84" s="74" t="str">
        <f t="shared" si="72"/>
        <v>"C:\Program Files (x86)\AstroGrep\AstroGrep.exe" /e /r /s /spath="%USERPROFILE%\AppData\Local\Temp\OnboardLogs" /stypes="app*4035*20171113*" /stext=" 21:.+((SYSTEM_STATE.+slice.+state.+changed )|(ment ac)|(multiple cpu faults)|(system.+state.+changed )|(\[timeout)|(PRM\|1\|D)|(kpr)|(kdp)|(train st.+moving)|(\|lc)|(penalty))"</v>
      </c>
      <c r="AG184" s="182" t="str">
        <f t="shared" si="73"/>
        <v>NW</v>
      </c>
      <c r="AH184" s="78" t="str">
        <f t="shared" si="90"/>
        <v>"%USERPROFILE%\Documents\GitHub\eaglep3\Utilities\RefineRTDCRunTimes.py" --tripid 824-13 --locoid 4035 --swversion DE.1.0.9.0 --startMP 300:58617 --initTime 2017-11-13T14:25:22 --startdatetime 2017-11-13T14:43:00 --delay 53 --endMP 204:761 --enddatetime 2017-11-13T14:55:27 --enforcementcount 0 &gt;&gt;%USERPROFILE%\Documents\GitHub\eaglep3-reporting\EC\2017-11-13-refined-times.txt</v>
      </c>
      <c r="AI184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{"issue":{"subject":"","project_id":79,"tracker_id":40,"status_id":1,"priority_id":2,"assigned_to_id":338,"start_date":"2017-11-13","description":"","custom_fields":[{"id":1,"name":"Subdivision","value":"NW"},{"id":4,"name":"Milepost","value":"0.0761"},{"id":17,"name":"Train ID","value":"824-13"},{"id":16,"name":"Locomotive ID","value":"4035"},{"id":130,"name":"Impact","value":""},{"id":150,"name":"Time of Event (Mountain Time)","value":"14:55:27"},{"id":151,"name":"Denver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92"/>
        <v>start /low /b %USERPROFILE%\Documents\GitHub\eaglep3\Utilities\DownloadLogsFromS3.py --loco 4035 --day 2017-11-13</v>
      </c>
      <c r="AN184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4"/>
        <v>https://d0f6bd738d7f1b3e5a7ca70fe4ff75f0.us-east-1.aws.found.io/app/kibana#/discover/Steve-Slow-Train-Analysis-(2080s-and-2083s)?_g=(refreshInterval:(display:Off,pause:!f,section:0,value:0),time:(from:'2017-11-13T13:25:22-0700',mode:absolute,to:'2017-11-13T15:55:27-0700'))&amp;_a=(columns:!('Message%20ID',Summary),filters:!(),index:'emp_*',interval:auto,query:(query_string:(analyze_wildcard:!t,query:'%22rtdc.l.rtdc.4035%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783</v>
      </c>
      <c r="B185" s="7">
        <v>4036</v>
      </c>
      <c r="C185" s="21" t="s">
        <v>192</v>
      </c>
      <c r="D185" s="21" t="s">
        <v>1037</v>
      </c>
      <c r="E185" s="13">
        <v>43052.624803240738</v>
      </c>
      <c r="F185" s="13">
        <v>43052.631562499999</v>
      </c>
      <c r="G185" s="7">
        <v>55</v>
      </c>
      <c r="H185" s="21" t="s">
        <v>1038</v>
      </c>
      <c r="I185" s="13">
        <v>43052.641388888886</v>
      </c>
      <c r="J185" s="7">
        <v>0</v>
      </c>
      <c r="K185" s="89" t="str">
        <f t="shared" si="60"/>
        <v>4035/4036</v>
      </c>
      <c r="L185" s="185" t="str">
        <f>VLOOKUP(A185,'Trips&amp;Operators'!$C$1:$G$99911,5,FALSE)</f>
        <v>LEVIN SCOTT</v>
      </c>
      <c r="M185" s="6">
        <f t="shared" si="61"/>
        <v>9.8263888867222704E-3</v>
      </c>
      <c r="N185" s="7">
        <f t="shared" si="62"/>
        <v>14.149999996880069</v>
      </c>
      <c r="O185" s="7"/>
      <c r="P185" s="7"/>
      <c r="Q185" s="22"/>
      <c r="R185" s="174"/>
      <c r="S185" s="221">
        <f t="shared" si="63"/>
        <v>1</v>
      </c>
      <c r="T185" s="174" t="str">
        <f t="shared" si="64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5"/>
        <v>https://d0f6bd738d7f1b3e5a7ca70fe4ff75f0.us-east-1.aws.found.io/app/kibana#/discover/Steve-Slow-Train-Analysis-(2080s-and-2083s)?_g=(refreshInterval:(display:Off,pause:!f,section:0,value:0),time:(from:'2017-11-13T13:59:43-0700',mode:absolute,to:'2017-11-13T16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5" s="204" t="str">
        <f>IF(AA185&lt;VLOOKUP(AG185,Variables!$AC$3:$AD$8,2,FALSE),"Y","N")</f>
        <v>N</v>
      </c>
      <c r="X185" s="204">
        <f t="shared" si="66"/>
        <v>1</v>
      </c>
      <c r="Y185" s="204">
        <f t="shared" si="67"/>
        <v>0.10249999999999999</v>
      </c>
      <c r="Z185" s="204">
        <f t="shared" si="68"/>
        <v>5.8945999999999996</v>
      </c>
      <c r="AA185" s="204">
        <f t="shared" si="69"/>
        <v>5.7920999999999996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70"/>
        <v>825</v>
      </c>
      <c r="AE185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85" s="74" t="str">
        <f t="shared" si="72"/>
        <v>"C:\Program Files (x86)\AstroGrep\AstroGrep.exe" /e /r /s /spath="%USERPROFILE%\AppData\Local\Temp\OnboardLogs" /stypes="app*4036*20171113*" /stext=" 22:.+((SYSTEM_STATE.+slice.+state.+changed )|(ment ac)|(multiple cpu faults)|(system.+state.+changed )|(\[timeout)|(PRM\|1\|D)|(kpr)|(kdp)|(train st.+moving)|(\|lc)|(penalty))"</v>
      </c>
      <c r="AG185" s="182" t="str">
        <f t="shared" si="73"/>
        <v>NW</v>
      </c>
      <c r="AH185" s="78" t="str">
        <f t="shared" si="90"/>
        <v>"%USERPROFILE%\Documents\GitHub\eaglep3\Utilities\RefineRTDCRunTimes.py" --tripid 825-13 --locoid 4036 --swversion DE.1.0.9.0 --startMP 204:1025 --initTime 2017-11-13T14:59:43 --startdatetime 2017-11-13T15:09:27 --delay 55 --endMP 300:58946 --enddatetime 2017-11-13T15:23:36 --enforcementcount 0 &gt;&gt;%USERPROFILE%\Documents\GitHub\eaglep3-reporting\EC\2017-11-13-refined-times.txt</v>
      </c>
      <c r="AI185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{"issue":{"subject":"","project_id":79,"tracker_id":40,"status_id":1,"priority_id":2,"assigned_to_id":338,"start_date":"2017-11-13","description":"","custom_fields":[{"id":1,"name":"Subdivision","value":"NW"},{"id":4,"name":"Milepost","value":"5.8946"},{"id":17,"name":"Train ID","value":"825-13"},{"id":16,"name":"Locomotive ID","value":"4036"},{"id":130,"name":"Impact","value":""},{"id":150,"name":"Time of Event (Mountain Time)","value":"15:23:36"},{"id":151,"name":"Denver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92"/>
        <v>start /low /b %USERPROFILE%\Documents\GitHub\eaglep3\Utilities\DownloadLogsFromS3.py --loco 4036 --day 2017-11-13</v>
      </c>
      <c r="AN185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4"/>
        <v>https://d0f6bd738d7f1b3e5a7ca70fe4ff75f0.us-east-1.aws.found.io/app/kibana#/discover/Steve-Slow-Train-Analysis-(2080s-and-2083s)?_g=(refreshInterval:(display:Off,pause:!f,section:0,value:0),time:(from:'2017-11-13T13:59:43-0700',mode:absolute,to:'2017-11-13T16:23:36-0700'))&amp;_a=(columns:!('Message%20ID',Summary),filters:!(),index:'emp_*',interval:auto,query:(query_string:(analyze_wildcard:!t,query:'%22rtdc.l.rtdc.4036%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788</v>
      </c>
      <c r="B186" s="7">
        <v>4035</v>
      </c>
      <c r="C186" s="21" t="s">
        <v>192</v>
      </c>
      <c r="D186" s="21" t="s">
        <v>1039</v>
      </c>
      <c r="E186" s="13">
        <v>43052.642650462964</v>
      </c>
      <c r="F186" s="13">
        <v>43052.654861111114</v>
      </c>
      <c r="G186" s="7">
        <v>67</v>
      </c>
      <c r="H186" s="21" t="s">
        <v>1040</v>
      </c>
      <c r="I186" s="13">
        <v>43052.663310185184</v>
      </c>
      <c r="J186" s="7">
        <v>0</v>
      </c>
      <c r="K186" s="89" t="str">
        <f t="shared" si="60"/>
        <v>4035/4036</v>
      </c>
      <c r="L186" s="185" t="str">
        <f>VLOOKUP(A186,'Trips&amp;Operators'!$C$1:$G$99911,5,FALSE)</f>
        <v>LEVIN SCOTT</v>
      </c>
      <c r="M186" s="6">
        <f t="shared" si="61"/>
        <v>8.4490740700857714E-3</v>
      </c>
      <c r="N186" s="7">
        <f t="shared" si="62"/>
        <v>12.166666660923511</v>
      </c>
      <c r="O186" s="7"/>
      <c r="P186" s="7"/>
      <c r="Q186" s="22"/>
      <c r="R186" s="174"/>
      <c r="S186" s="221">
        <f t="shared" si="63"/>
        <v>1</v>
      </c>
      <c r="T186" s="174" t="str">
        <f t="shared" si="64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5"/>
        <v>https://d0f6bd738d7f1b3e5a7ca70fe4ff75f0.us-east-1.aws.found.io/app/kibana#/discover/Steve-Slow-Train-Analysis-(2080s-and-2083s)?_g=(refreshInterval:(display:Off,pause:!f,section:0,value:0),time:(from:'2017-11-13T14:25:25-0700',mode:absolute,to:'2017-11-13T16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6" s="204" t="str">
        <f>IF(AA186&lt;VLOOKUP(AG186,Variables!$AC$3:$AD$8,2,FALSE),"Y","N")</f>
        <v>N</v>
      </c>
      <c r="X186" s="204">
        <f t="shared" si="66"/>
        <v>1</v>
      </c>
      <c r="Y186" s="204">
        <f t="shared" si="67"/>
        <v>5.8638000000000003</v>
      </c>
      <c r="Z186" s="204">
        <f t="shared" si="68"/>
        <v>7.4800000000000005E-2</v>
      </c>
      <c r="AA186" s="204">
        <f t="shared" si="69"/>
        <v>5.7890000000000006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70"/>
        <v>826</v>
      </c>
      <c r="AE186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86" s="74" t="str">
        <f t="shared" si="72"/>
        <v>"C:\Program Files (x86)\AstroGrep\AstroGrep.exe" /e /r /s /spath="%USERPROFILE%\AppData\Local\Temp\OnboardLogs" /stypes="app*4035*20171113*" /stext=" 22:.+((SYSTEM_STATE.+slice.+state.+changed )|(ment ac)|(multiple cpu faults)|(system.+state.+changed )|(\[timeout)|(PRM\|1\|D)|(kpr)|(kdp)|(train st.+moving)|(\|lc)|(penalty))"</v>
      </c>
      <c r="AG186" s="182" t="str">
        <f t="shared" si="73"/>
        <v>NW</v>
      </c>
      <c r="AH186" s="78" t="str">
        <f t="shared" si="90"/>
        <v>"%USERPROFILE%\Documents\GitHub\eaglep3\Utilities\RefineRTDCRunTimes.py" --tripid 826-13 --locoid 4035 --swversion DE.1.0.9.0 --startMP 300:58638 --initTime 2017-11-13T15:25:25 --startdatetime 2017-11-13T15:43:00 --delay 67 --endMP 204:748 --enddatetime 2017-11-13T15:55:10 --enforcementcount 0 &gt;&gt;%USERPROFILE%\Documents\GitHub\eaglep3-reporting\EC\2017-11-13-refined-times.txt</v>
      </c>
      <c r="AI186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{"issue":{"subject":"","project_id":79,"tracker_id":40,"status_id":1,"priority_id":2,"assigned_to_id":338,"start_date":"2017-11-13","description":"","custom_fields":[{"id":1,"name":"Subdivision","value":"NW"},{"id":4,"name":"Milepost","value":"0.0748"},{"id":17,"name":"Train ID","value":"826-13"},{"id":16,"name":"Locomotive ID","value":"4035"},{"id":130,"name":"Impact","value":""},{"id":150,"name":"Time of Event (Mountain Time)","value":"15:55:10"},{"id":151,"name":"Denver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92"/>
        <v>start /low /b %USERPROFILE%\Documents\GitHub\eaglep3\Utilities\DownloadLogsFromS3.py --loco 4035 --day 2017-11-13</v>
      </c>
      <c r="AN186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4"/>
        <v>https://d0f6bd738d7f1b3e5a7ca70fe4ff75f0.us-east-1.aws.found.io/app/kibana#/discover/Steve-Slow-Train-Analysis-(2080s-and-2083s)?_g=(refreshInterval:(display:Off,pause:!f,section:0,value:0),time:(from:'2017-11-13T14:25:25-0700',mode:absolute,to:'2017-11-13T16:55:10-0700'))&amp;_a=(columns:!('Message%20ID',Summary),filters:!(),index:'emp_*',interval:auto,query:(query_string:(analyze_wildcard:!t,query:'%22rtdc.l.rtdc.4035%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648</v>
      </c>
      <c r="B187" s="7">
        <v>4002</v>
      </c>
      <c r="C187" s="21" t="s">
        <v>192</v>
      </c>
      <c r="D187" s="21" t="s">
        <v>1041</v>
      </c>
      <c r="E187" s="13">
        <v>43052.645821759259</v>
      </c>
      <c r="F187" s="13">
        <v>43052.652442129627</v>
      </c>
      <c r="G187" s="7">
        <v>82</v>
      </c>
      <c r="H187" s="21" t="s">
        <v>1038</v>
      </c>
      <c r="I187" s="13">
        <v>43052.663148148145</v>
      </c>
      <c r="J187" s="7">
        <v>0</v>
      </c>
      <c r="K187" s="89" t="str">
        <f t="shared" si="60"/>
        <v>4001/4002</v>
      </c>
      <c r="L187" s="185" t="str">
        <f>VLOOKUP(A187,'Trips&amp;Operators'!$C$1:$G$99911,5,FALSE)</f>
        <v>ANDREA WILLIAMS</v>
      </c>
      <c r="M187" s="6">
        <f t="shared" si="61"/>
        <v>1.0706018518249039E-2</v>
      </c>
      <c r="N187" s="7">
        <f t="shared" si="62"/>
        <v>15.416666666278616</v>
      </c>
      <c r="O187" s="7"/>
      <c r="P187" s="7"/>
      <c r="Q187" s="22"/>
      <c r="R187" s="174"/>
      <c r="S187" s="221">
        <f t="shared" si="63"/>
        <v>1</v>
      </c>
      <c r="T187" s="174" t="str">
        <f t="shared" si="64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5"/>
        <v>https://d0f6bd738d7f1b3e5a7ca70fe4ff75f0.us-east-1.aws.found.io/app/kibana#/discover/Steve-Slow-Train-Analysis-(2080s-and-2083s)?_g=(refreshInterval:(display:Off,pause:!f,section:0,value:0),time:(from:'2017-11-13T14:29:59-0700',mode:absolute,to:'2017-11-13T16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7" s="204" t="str">
        <f>IF(AA187&lt;VLOOKUP(AG187,Variables!$AC$3:$AD$8,2,FALSE),"Y","N")</f>
        <v>N</v>
      </c>
      <c r="X187" s="204">
        <f t="shared" si="66"/>
        <v>1</v>
      </c>
      <c r="Y187" s="204">
        <f t="shared" si="67"/>
        <v>9.7799999999999998E-2</v>
      </c>
      <c r="Z187" s="204">
        <f t="shared" si="68"/>
        <v>5.8945999999999996</v>
      </c>
      <c r="AA187" s="204">
        <f t="shared" si="69"/>
        <v>5.7967999999999993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70"/>
        <v>827</v>
      </c>
      <c r="AE187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87" s="74" t="str">
        <f t="shared" si="72"/>
        <v>"C:\Program Files (x86)\AstroGrep\AstroGrep.exe" /e /r /s /spath="%USERPROFILE%\AppData\Local\Temp\OnboardLogs" /stypes="app*4002*20171113*" /stext=" 22:.+((SYSTEM_STATE.+slice.+state.+changed )|(ment ac)|(multiple cpu faults)|(system.+state.+changed )|(\[timeout)|(PRM\|1\|D)|(kpr)|(kdp)|(train st.+moving)|(\|lc)|(penalty))"</v>
      </c>
      <c r="AG187" s="182" t="str">
        <f t="shared" si="73"/>
        <v>NW</v>
      </c>
      <c r="AH187" s="78" t="str">
        <f t="shared" si="90"/>
        <v>"%USERPROFILE%\Documents\GitHub\eaglep3\Utilities\RefineRTDCRunTimes.py" --tripid 827-13 --locoid 4002 --swversion DE.1.0.9.0 --startMP 204:978 --initTime 2017-11-13T15:29:59 --startdatetime 2017-11-13T15:39:31 --delay 82 --endMP 300:58946 --enddatetime 2017-11-13T15:54:56 --enforcementcount 0 &gt;&gt;%USERPROFILE%\Documents\GitHub\eaglep3-reporting\EC\2017-11-13-refined-times.txt</v>
      </c>
      <c r="AI187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{"issue":{"subject":"","project_id":79,"tracker_id":40,"status_id":1,"priority_id":2,"assigned_to_id":338,"start_date":"2017-11-13","description":"","custom_fields":[{"id":1,"name":"Subdivision","value":"NW"},{"id":4,"name":"Milepost","value":"5.8946"},{"id":17,"name":"Train ID","value":"827-13"},{"id":16,"name":"Locomotive ID","value":"4002"},{"id":130,"name":"Impact","value":""},{"id":150,"name":"Time of Event (Mountain Time)","value":"15:54:56"},{"id":151,"name":"Denver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92"/>
        <v>start /low /b %USERPROFILE%\Documents\GitHub\eaglep3\Utilities\DownloadLogsFromS3.py --loco 4002 --day 2017-11-13</v>
      </c>
      <c r="AN187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4"/>
        <v>https://d0f6bd738d7f1b3e5a7ca70fe4ff75f0.us-east-1.aws.found.io/app/kibana#/discover/Steve-Slow-Train-Analysis-(2080s-and-2083s)?_g=(refreshInterval:(display:Off,pause:!f,section:0,value:0),time:(from:'2017-11-13T14:29:59-0700',mode:absolute,to:'2017-11-13T16:54:56-0700'))&amp;_a=(columns:!('Message%20ID',Summary),filters:!(),index:'emp_*',interval:auto,query:(query_string:(analyze_wildcard:!t,query:'%22rtdc.l.rtdc.4002%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792</v>
      </c>
      <c r="B188" s="7">
        <v>4001</v>
      </c>
      <c r="C188" s="21" t="s">
        <v>192</v>
      </c>
      <c r="D188" s="21" t="s">
        <v>1042</v>
      </c>
      <c r="E188" s="13">
        <v>43052.664675925924</v>
      </c>
      <c r="F188" s="13">
        <v>43052.677083333336</v>
      </c>
      <c r="G188" s="7">
        <v>81</v>
      </c>
      <c r="H188" s="21" t="s">
        <v>1043</v>
      </c>
      <c r="I188" s="13">
        <v>43052.684641203705</v>
      </c>
      <c r="J188" s="7">
        <v>0</v>
      </c>
      <c r="K188" s="89" t="str">
        <f t="shared" si="60"/>
        <v>4001/4002</v>
      </c>
      <c r="L188" s="185" t="str">
        <f>VLOOKUP(A188,'Trips&amp;Operators'!$C$1:$G$99911,5,FALSE)</f>
        <v>ANDREA WILLIAMS</v>
      </c>
      <c r="M188" s="6">
        <f t="shared" si="61"/>
        <v>7.5578703690553084E-3</v>
      </c>
      <c r="N188" s="7">
        <f t="shared" si="62"/>
        <v>10.883333331439644</v>
      </c>
      <c r="O188" s="7"/>
      <c r="P188" s="7"/>
      <c r="Q188" s="22"/>
      <c r="R188" s="174"/>
      <c r="S188" s="221">
        <f t="shared" si="63"/>
        <v>1</v>
      </c>
      <c r="T188" s="174" t="str">
        <f t="shared" si="64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5"/>
        <v>https://d0f6bd738d7f1b3e5a7ca70fe4ff75f0.us-east-1.aws.found.io/app/kibana#/discover/Steve-Slow-Train-Analysis-(2080s-and-2083s)?_g=(refreshInterval:(display:Off,pause:!f,section:0,value:0),time:(from:'2017-11-13T14:57:08-0700',mode:absolute,to:'2017-11-13T17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8" s="204" t="str">
        <f>IF(AA188&lt;VLOOKUP(AG188,Variables!$AC$3:$AD$8,2,FALSE),"Y","N")</f>
        <v>N</v>
      </c>
      <c r="X188" s="204">
        <f t="shared" si="66"/>
        <v>1</v>
      </c>
      <c r="Y188" s="204">
        <f t="shared" si="67"/>
        <v>5.8630000000000004</v>
      </c>
      <c r="Z188" s="204">
        <f t="shared" si="68"/>
        <v>7.17E-2</v>
      </c>
      <c r="AA188" s="204">
        <f t="shared" si="69"/>
        <v>5.7913000000000006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70"/>
        <v>828</v>
      </c>
      <c r="AE188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88" s="74" t="str">
        <f t="shared" si="72"/>
        <v>"C:\Program Files (x86)\AstroGrep\AstroGrep.exe" /e /r /s /spath="%USERPROFILE%\AppData\Local\Temp\OnboardLogs" /stypes="app*4001*20171113*" /stext=" 23:.+((SYSTEM_STATE.+slice.+state.+changed )|(ment ac)|(multiple cpu faults)|(system.+state.+changed )|(\[timeout)|(PRM\|1\|D)|(kpr)|(kdp)|(train st.+moving)|(\|lc)|(penalty))"</v>
      </c>
      <c r="AG188" s="182" t="str">
        <f t="shared" si="73"/>
        <v>NW</v>
      </c>
      <c r="AH188" s="78" t="str">
        <f t="shared" si="90"/>
        <v>"%USERPROFILE%\Documents\GitHub\eaglep3\Utilities\RefineRTDCRunTimes.py" --tripid 828-13 --locoid 4001 --swversion DE.1.0.9.0 --startMP 300:58630 --initTime 2017-11-13T15:57:08 --startdatetime 2017-11-13T16:15:00 --delay 81 --endMP 204:717 --enddatetime 2017-11-13T16:25:53 --enforcementcount 0 &gt;&gt;%USERPROFILE%\Documents\GitHub\eaglep3-reporting\EC\2017-11-13-refined-times.txt</v>
      </c>
      <c r="AI188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{"issue":{"subject":"","project_id":79,"tracker_id":40,"status_id":1,"priority_id":2,"assigned_to_id":338,"start_date":"2017-11-13","description":"","custom_fields":[{"id":1,"name":"Subdivision","value":"NW"},{"id":4,"name":"Milepost","value":"0.0717"},{"id":17,"name":"Train ID","value":"828-13"},{"id":16,"name":"Locomotive ID","value":"4001"},{"id":130,"name":"Impact","value":""},{"id":150,"name":"Time of Event (Mountain Time)","value":"16:25:53"},{"id":151,"name":"Denver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92"/>
        <v>start /low /b %USERPROFILE%\Documents\GitHub\eaglep3\Utilities\DownloadLogsFromS3.py --loco 4001 --day 2017-11-13</v>
      </c>
      <c r="AN188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4"/>
        <v>https://d0f6bd738d7f1b3e5a7ca70fe4ff75f0.us-east-1.aws.found.io/app/kibana#/discover/Steve-Slow-Train-Analysis-(2080s-and-2083s)?_g=(refreshInterval:(display:Off,pause:!f,section:0,value:0),time:(from:'2017-11-13T14:57:08-0700',mode:absolute,to:'2017-11-13T17:25:53-0700'))&amp;_a=(columns:!('Message%20ID',Summary),filters:!(),index:'emp_*',interval:auto,query:(query_string:(analyze_wildcard:!t,query:'%22rtdc.l.rtdc.4001%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794</v>
      </c>
      <c r="B189" s="7">
        <v>4036</v>
      </c>
      <c r="C189" s="21" t="s">
        <v>192</v>
      </c>
      <c r="D189" s="21" t="s">
        <v>1033</v>
      </c>
      <c r="E189" s="13">
        <v>43052.665497685186</v>
      </c>
      <c r="F189" s="13">
        <v>43052.673182870371</v>
      </c>
      <c r="G189" s="7">
        <v>57</v>
      </c>
      <c r="H189" s="21" t="s">
        <v>1044</v>
      </c>
      <c r="I189" s="13">
        <v>43052.683564814812</v>
      </c>
      <c r="J189" s="7">
        <v>0</v>
      </c>
      <c r="K189" s="89" t="str">
        <f t="shared" si="60"/>
        <v>4035/4036</v>
      </c>
      <c r="L189" s="185" t="str">
        <f>VLOOKUP(A189,'Trips&amp;Operators'!$C$1:$G$99911,5,FALSE)</f>
        <v>LEVIN SCOTT</v>
      </c>
      <c r="M189" s="6">
        <f t="shared" si="61"/>
        <v>1.0381944441178348E-2</v>
      </c>
      <c r="N189" s="7">
        <f t="shared" si="62"/>
        <v>14.949999995296821</v>
      </c>
      <c r="O189" s="7"/>
      <c r="P189" s="7"/>
      <c r="Q189" s="22"/>
      <c r="R189" s="174"/>
      <c r="S189" s="221">
        <f t="shared" si="63"/>
        <v>1</v>
      </c>
      <c r="T189" s="174" t="str">
        <f t="shared" si="64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5"/>
        <v>https://d0f6bd738d7f1b3e5a7ca70fe4ff75f0.us-east-1.aws.found.io/app/kibana#/discover/Steve-Slow-Train-Analysis-(2080s-and-2083s)?_g=(refreshInterval:(display:Off,pause:!f,section:0,value:0),time:(from:'2017-11-13T14:58:19-0700',mode:absolute,to:'2017-11-13T17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9" s="204" t="str">
        <f>IF(AA189&lt;VLOOKUP(AG189,Variables!$AC$3:$AD$8,2,FALSE),"Y","N")</f>
        <v>N</v>
      </c>
      <c r="X189" s="204">
        <f t="shared" si="66"/>
        <v>1</v>
      </c>
      <c r="Y189" s="204">
        <f t="shared" si="67"/>
        <v>0.10489999999999999</v>
      </c>
      <c r="Z189" s="204">
        <f t="shared" si="68"/>
        <v>5.8933</v>
      </c>
      <c r="AA189" s="204">
        <f t="shared" si="69"/>
        <v>5.7884000000000002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70"/>
        <v>829</v>
      </c>
      <c r="AE189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89" s="74" t="str">
        <f t="shared" si="72"/>
        <v>"C:\Program Files (x86)\AstroGrep\AstroGrep.exe" /e /r /s /spath="%USERPROFILE%\AppData\Local\Temp\OnboardLogs" /stypes="app*4036*20171113*" /stext=" 23:.+((SYSTEM_STATE.+slice.+state.+changed )|(ment ac)|(multiple cpu faults)|(system.+state.+changed )|(\[timeout)|(PRM\|1\|D)|(kpr)|(kdp)|(train st.+moving)|(\|lc)|(penalty))"</v>
      </c>
      <c r="AG189" s="182" t="str">
        <f t="shared" si="73"/>
        <v>NW</v>
      </c>
      <c r="AH189" s="78" t="str">
        <f t="shared" si="90"/>
        <v>"%USERPROFILE%\Documents\GitHub\eaglep3\Utilities\RefineRTDCRunTimes.py" --tripid 829-13 --locoid 4036 --swversion DE.1.0.9.0 --startMP 204:1049 --initTime 2017-11-13T15:58:19 --startdatetime 2017-11-13T16:09:23 --delay 57 --endMP 300:58933 --enddatetime 2017-11-13T16:24:20 --enforcementcount 0 &gt;&gt;%USERPROFILE%\Documents\GitHub\eaglep3-reporting\EC\2017-11-13-refined-times.txt</v>
      </c>
      <c r="AI189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{"issue":{"subject":"","project_id":79,"tracker_id":40,"status_id":1,"priority_id":2,"assigned_to_id":338,"start_date":"2017-11-13","description":"","custom_fields":[{"id":1,"name":"Subdivision","value":"NW"},{"id":4,"name":"Milepost","value":"5.8933"},{"id":17,"name":"Train ID","value":"829-13"},{"id":16,"name":"Locomotive ID","value":"4036"},{"id":130,"name":"Impact","value":""},{"id":150,"name":"Time of Event (Mountain Time)","value":"16:24:20"},{"id":151,"name":"Denver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92"/>
        <v>start /low /b %USERPROFILE%\Documents\GitHub\eaglep3\Utilities\DownloadLogsFromS3.py --loco 4036 --day 2017-11-13</v>
      </c>
      <c r="AN189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4"/>
        <v>https://d0f6bd738d7f1b3e5a7ca70fe4ff75f0.us-east-1.aws.found.io/app/kibana#/discover/Steve-Slow-Train-Analysis-(2080s-and-2083s)?_g=(refreshInterval:(display:Off,pause:!f,section:0,value:0),time:(from:'2017-11-13T14:58:19-0700',mode:absolute,to:'2017-11-13T17:24:20-0700'))&amp;_a=(columns:!('Message%20ID',Summary),filters:!(),index:'emp_*',interval:auto,query:(query_string:(analyze_wildcard:!t,query:'%22rtdc.l.rtdc.4036%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798</v>
      </c>
      <c r="B190" s="7">
        <v>4035</v>
      </c>
      <c r="C190" s="21" t="s">
        <v>192</v>
      </c>
      <c r="D190" s="21" t="s">
        <v>1045</v>
      </c>
      <c r="E190" s="13">
        <v>43052.684918981482</v>
      </c>
      <c r="F190" s="13">
        <v>43052.696527777778</v>
      </c>
      <c r="G190" s="7">
        <v>65</v>
      </c>
      <c r="H190" s="21" t="s">
        <v>1046</v>
      </c>
      <c r="I190" s="13">
        <v>43052.705289351848</v>
      </c>
      <c r="J190" s="7">
        <v>0</v>
      </c>
      <c r="K190" s="89" t="str">
        <f t="shared" si="60"/>
        <v>4035/4036</v>
      </c>
      <c r="L190" s="185" t="str">
        <f>VLOOKUP(A190,'Trips&amp;Operators'!$C$1:$G$99911,5,FALSE)</f>
        <v>LEVIN SCOTT</v>
      </c>
      <c r="M190" s="6">
        <f t="shared" si="61"/>
        <v>8.7615740703768097E-3</v>
      </c>
      <c r="N190" s="7">
        <f t="shared" si="62"/>
        <v>12.616666661342606</v>
      </c>
      <c r="O190" s="7"/>
      <c r="P190" s="7"/>
      <c r="Q190" s="22"/>
      <c r="R190" s="174"/>
      <c r="S190" s="221">
        <f t="shared" si="63"/>
        <v>1</v>
      </c>
      <c r="T190" s="174" t="str">
        <f t="shared" si="64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5"/>
        <v>https://d0f6bd738d7f1b3e5a7ca70fe4ff75f0.us-east-1.aws.found.io/app/kibana#/discover/Steve-Slow-Train-Analysis-(2080s-and-2083s)?_g=(refreshInterval:(display:Off,pause:!f,section:0,value:0),time:(from:'2017-11-13T15:26:17-0700',mode:absolute,to:'2017-11-13T17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0" s="204" t="str">
        <f>IF(AA190&lt;VLOOKUP(AG190,Variables!$AC$3:$AD$8,2,FALSE),"Y","N")</f>
        <v>N</v>
      </c>
      <c r="X190" s="204">
        <f t="shared" si="66"/>
        <v>1</v>
      </c>
      <c r="Y190" s="204">
        <f t="shared" si="67"/>
        <v>5.8623000000000003</v>
      </c>
      <c r="Z190" s="204">
        <f t="shared" si="68"/>
        <v>8.0299999999999996E-2</v>
      </c>
      <c r="AA190" s="204">
        <f t="shared" si="69"/>
        <v>5.782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70"/>
        <v>830</v>
      </c>
      <c r="AE190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90" s="74" t="str">
        <f t="shared" si="72"/>
        <v>"C:\Program Files (x86)\AstroGrep\AstroGrep.exe" /e /r /s /spath="%USERPROFILE%\AppData\Local\Temp\OnboardLogs" /stypes="app*4035*20171113*" /stext=" 23:.+((SYSTEM_STATE.+slice.+state.+changed )|(ment ac)|(multiple cpu faults)|(system.+state.+changed )|(\[timeout)|(PRM\|1\|D)|(kpr)|(kdp)|(train st.+moving)|(\|lc)|(penalty))"</v>
      </c>
      <c r="AG190" s="182" t="str">
        <f t="shared" si="73"/>
        <v>NW</v>
      </c>
      <c r="AH190" s="78" t="str">
        <f t="shared" si="90"/>
        <v>"%USERPROFILE%\Documents\GitHub\eaglep3\Utilities\RefineRTDCRunTimes.py" --tripid 830-13 --locoid 4035 --swversion DE.1.0.9.0 --startMP 300:58623 --initTime 2017-11-13T16:26:17 --startdatetime 2017-11-13T16:43:00 --delay 65 --endMP 204:803 --enddatetime 2017-11-13T16:55:37 --enforcementcount 0 &gt;&gt;%USERPROFILE%\Documents\GitHub\eaglep3-reporting\EC\2017-11-13-refined-times.txt</v>
      </c>
      <c r="AI190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{"issue":{"subject":"","project_id":79,"tracker_id":40,"status_id":1,"priority_id":2,"assigned_to_id":338,"start_date":"2017-11-13","description":"","custom_fields":[{"id":1,"name":"Subdivision","value":"NW"},{"id":4,"name":"Milepost","value":"0.0803"},{"id":17,"name":"Train ID","value":"830-13"},{"id":16,"name":"Locomotive ID","value":"4035"},{"id":130,"name":"Impact","value":""},{"id":150,"name":"Time of Event (Mountain Time)","value":"16:55:37"},{"id":151,"name":"Denver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92"/>
        <v>start /low /b %USERPROFILE%\Documents\GitHub\eaglep3\Utilities\DownloadLogsFromS3.py --loco 4035 --day 2017-11-13</v>
      </c>
      <c r="AN190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4"/>
        <v>https://d0f6bd738d7f1b3e5a7ca70fe4ff75f0.us-east-1.aws.found.io/app/kibana#/discover/Steve-Slow-Train-Analysis-(2080s-and-2083s)?_g=(refreshInterval:(display:Off,pause:!f,section:0,value:0),time:(from:'2017-11-13T15:26:17-0700',mode:absolute,to:'2017-11-13T17:55:37-0700'))&amp;_a=(columns:!('Message%20ID',Summary),filters:!(),index:'emp_*',interval:auto,query:(query_string:(analyze_wildcard:!t,query:'%22rtdc.l.rtdc.4035%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801</v>
      </c>
      <c r="B191" s="7">
        <v>4002</v>
      </c>
      <c r="C191" s="21" t="s">
        <v>192</v>
      </c>
      <c r="D191" s="21" t="s">
        <v>1047</v>
      </c>
      <c r="E191" s="13">
        <v>43052.689780092594</v>
      </c>
      <c r="F191" s="13">
        <v>43052.694432870368</v>
      </c>
      <c r="G191" s="7">
        <v>78</v>
      </c>
      <c r="H191" s="21" t="s">
        <v>1034</v>
      </c>
      <c r="I191" s="13">
        <v>43052.703715277778</v>
      </c>
      <c r="J191" s="7">
        <v>0</v>
      </c>
      <c r="K191" s="89" t="str">
        <f t="shared" si="60"/>
        <v>4001/4002</v>
      </c>
      <c r="L191" s="185" t="str">
        <f>VLOOKUP(A191,'Trips&amp;Operators'!$C$1:$G$99911,5,FALSE)</f>
        <v>ANDREA WILLIAMS</v>
      </c>
      <c r="M191" s="6">
        <f t="shared" si="61"/>
        <v>9.2824074090458453E-3</v>
      </c>
      <c r="N191" s="7">
        <f t="shared" si="62"/>
        <v>13.366666669026017</v>
      </c>
      <c r="O191" s="7"/>
      <c r="P191" s="7"/>
      <c r="Q191" s="22"/>
      <c r="R191" s="174"/>
      <c r="S191" s="221">
        <f t="shared" si="63"/>
        <v>1</v>
      </c>
      <c r="T191" s="174" t="str">
        <f t="shared" si="64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5"/>
        <v>https://d0f6bd738d7f1b3e5a7ca70fe4ff75f0.us-east-1.aws.found.io/app/kibana#/discover/Steve-Slow-Train-Analysis-(2080s-and-2083s)?_g=(refreshInterval:(display:Off,pause:!f,section:0,value:0),time:(from:'2017-11-13T15:33:17-0700',mode:absolute,to:'2017-11-13T17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1" s="204" t="str">
        <f>IF(AA191&lt;VLOOKUP(AG191,Variables!$AC$3:$AD$8,2,FALSE),"Y","N")</f>
        <v>N</v>
      </c>
      <c r="X191" s="204">
        <f t="shared" si="66"/>
        <v>1</v>
      </c>
      <c r="Y191" s="204">
        <f t="shared" si="67"/>
        <v>9.64E-2</v>
      </c>
      <c r="Z191" s="204">
        <f t="shared" si="68"/>
        <v>5.8928000000000003</v>
      </c>
      <c r="AA191" s="204">
        <f t="shared" si="69"/>
        <v>5.7964000000000002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70"/>
        <v>831</v>
      </c>
      <c r="AE191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91" s="74" t="str">
        <f t="shared" si="72"/>
        <v>"C:\Program Files (x86)\AstroGrep\AstroGrep.exe" /e /r /s /spath="%USERPROFILE%\AppData\Local\Temp\OnboardLogs" /stypes="app*4002*20171113*" /stext=" 23:.+((SYSTEM_STATE.+slice.+state.+changed )|(ment ac)|(multiple cpu faults)|(system.+state.+changed )|(\[timeout)|(PRM\|1\|D)|(kpr)|(kdp)|(train st.+moving)|(\|lc)|(penalty))"</v>
      </c>
      <c r="AG191" s="182" t="str">
        <f t="shared" si="73"/>
        <v>NW</v>
      </c>
      <c r="AH191" s="78" t="str">
        <f t="shared" si="90"/>
        <v>"%USERPROFILE%\Documents\GitHub\eaglep3\Utilities\RefineRTDCRunTimes.py" --tripid 831-13 --locoid 4002 --swversion DE.1.0.9.0 --startMP 204:964 --initTime 2017-11-13T16:33:17 --startdatetime 2017-11-13T16:39:59 --delay 78 --endMP 300:58928 --enddatetime 2017-11-13T16:53:21 --enforcementcount 0 &gt;&gt;%USERPROFILE%\Documents\GitHub\eaglep3-reporting\EC\2017-11-13-refined-times.txt</v>
      </c>
      <c r="AI191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{"issue":{"subject":"","project_id":79,"tracker_id":40,"status_id":1,"priority_id":2,"assigned_to_id":338,"start_date":"2017-11-13","description":"","custom_fields":[{"id":1,"name":"Subdivision","value":"NW"},{"id":4,"name":"Milepost","value":"5.8928"},{"id":17,"name":"Train ID","value":"831-13"},{"id":16,"name":"Locomotive ID","value":"4002"},{"id":130,"name":"Impact","value":""},{"id":150,"name":"Time of Event (Mountain Time)","value":"16:53:21"},{"id":151,"name":"Denver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92"/>
        <v>start /low /b %USERPROFILE%\Documents\GitHub\eaglep3\Utilities\DownloadLogsFromS3.py --loco 4002 --day 2017-11-13</v>
      </c>
      <c r="AN191" s="151" t="str">
        <f t="shared" si="93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23:53:21"},{"id":29,"name":"Sharepoint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4"/>
        <v>https://d0f6bd738d7f1b3e5a7ca70fe4ff75f0.us-east-1.aws.found.io/app/kibana#/discover/Steve-Slow-Train-Analysis-(2080s-and-2083s)?_g=(refreshInterval:(display:Off,pause:!f,section:0,value:0),time:(from:'2017-11-13T15:33:17-0700',mode:absolute,to:'2017-11-13T17:53:21-0700'))&amp;_a=(columns:!('Message%20ID',Summary),filters:!(),index:'emp_*',interval:auto,query:(query_string:(analyze_wildcard:!t,query:'%22rtdc.l.rtdc.4002%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804</v>
      </c>
      <c r="B192" s="7">
        <v>4001</v>
      </c>
      <c r="C192" s="21" t="s">
        <v>192</v>
      </c>
      <c r="D192" s="21" t="s">
        <v>1048</v>
      </c>
      <c r="E192" s="13">
        <v>43052.704930555556</v>
      </c>
      <c r="F192" s="13">
        <v>43052.71875</v>
      </c>
      <c r="G192" s="7">
        <v>95</v>
      </c>
      <c r="H192" s="21" t="s">
        <v>1049</v>
      </c>
      <c r="I192" s="13">
        <v>43052.725497685184</v>
      </c>
      <c r="J192" s="7">
        <v>0</v>
      </c>
      <c r="K192" s="89" t="str">
        <f t="shared" si="60"/>
        <v>4001/4002</v>
      </c>
      <c r="L192" s="185" t="str">
        <f>VLOOKUP(A192,'Trips&amp;Operators'!$C$1:$G$99911,5,FALSE)</f>
        <v>ANDREA WILLIAMS</v>
      </c>
      <c r="M192" s="6">
        <f t="shared" si="61"/>
        <v>6.7476851836545393E-3</v>
      </c>
      <c r="N192" s="7">
        <f t="shared" si="62"/>
        <v>9.7166666644625366</v>
      </c>
      <c r="O192" s="7"/>
      <c r="P192" s="7"/>
      <c r="Q192" s="22"/>
      <c r="R192" s="174"/>
      <c r="S192" s="221">
        <f t="shared" si="63"/>
        <v>1</v>
      </c>
      <c r="T192" s="174" t="str">
        <f t="shared" si="64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5"/>
        <v>https://d0f6bd738d7f1b3e5a7ca70fe4ff75f0.us-east-1.aws.found.io/app/kibana#/discover/Steve-Slow-Train-Analysis-(2080s-and-2083s)?_g=(refreshInterval:(display:Off,pause:!f,section:0,value:0),time:(from:'2017-11-13T15:55:06-0700',mode:absolute,to:'2017-11-13T18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2" s="204" t="str">
        <f>IF(AA192&lt;VLOOKUP(AG192,Variables!$AC$3:$AD$8,2,FALSE),"Y","N")</f>
        <v>N</v>
      </c>
      <c r="X192" s="204">
        <f t="shared" si="66"/>
        <v>1</v>
      </c>
      <c r="Y192" s="204">
        <f t="shared" si="67"/>
        <v>5.8604000000000003</v>
      </c>
      <c r="Z192" s="204">
        <f t="shared" si="68"/>
        <v>7.0499999999999993E-2</v>
      </c>
      <c r="AA192" s="204">
        <f t="shared" si="69"/>
        <v>5.7899000000000003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70"/>
        <v>832</v>
      </c>
      <c r="AE192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92" s="74" t="str">
        <f t="shared" si="72"/>
        <v>"C:\Program Files (x86)\AstroGrep\AstroGrep.exe" /e /r /s /spath="%USERPROFILE%\AppData\Local\Temp\OnboardLogs" /stypes="app*4001*20171114*" /stext=" 00:.+((SYSTEM_STATE.+slice.+state.+changed )|(ment ac)|(multiple cpu faults)|(system.+state.+changed )|(\[timeout)|(PRM\|1\|D)|(kpr)|(kdp)|(train st.+moving)|(\|lc)|(penalty))"</v>
      </c>
      <c r="AG192" s="182" t="str">
        <f t="shared" si="73"/>
        <v>NW</v>
      </c>
      <c r="AH192" s="78" t="str">
        <f t="shared" si="90"/>
        <v>"%USERPROFILE%\Documents\GitHub\eaglep3\Utilities\RefineRTDCRunTimes.py" --tripid 832-13 --locoid 4001 --swversion DE.1.0.9.0 --startMP 300:58604 --initTime 2017-11-13T16:55:06 --startdatetime 2017-11-13T17:15:00 --delay 95 --endMP 204:705 --enddatetime 2017-11-13T17:24:43 --enforcementcount 0 &gt;&gt;%USERPROFILE%\Documents\GitHub\eaglep3-reporting\EC\2017-11-13-refined-times.txt</v>
      </c>
      <c r="AI192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{"issue":{"subject":"","project_id":79,"tracker_id":40,"status_id":1,"priority_id":2,"assigned_to_id":338,"start_date":"2017-11-13","description":"","custom_fields":[{"id":1,"name":"Subdivision","value":"NW"},{"id":4,"name":"Milepost","value":"0.0705"},{"id":17,"name":"Train ID","value":"832-13"},{"id":16,"name":"Locomotive ID","value":"4001"},{"id":130,"name":"Impact","value":""},{"id":150,"name":"Time of Event (Mountain Time)","value":"17:24:43"},{"id":151,"name":"Denver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92"/>
        <v>start /low /b %USERPROFILE%\Documents\GitHub\eaglep3\Utilities\DownloadLogsFromS3.py --loco 4001 --day 2017-11-13</v>
      </c>
      <c r="AN192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4"/>
        <v>https://d0f6bd738d7f1b3e5a7ca70fe4ff75f0.us-east-1.aws.found.io/app/kibana#/discover/Steve-Slow-Train-Analysis-(2080s-and-2083s)?_g=(refreshInterval:(display:Off,pause:!f,section:0,value:0),time:(from:'2017-11-13T15:55:06-0700',mode:absolute,to:'2017-11-13T18:24:43-0700'))&amp;_a=(columns:!('Message%20ID',Summary),filters:!(),index:'emp_*',interval:auto,query:(query_string:(analyze_wildcard:!t,query:'%22rtdc.l.rtdc.4001%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806</v>
      </c>
      <c r="B193" s="7">
        <v>4036</v>
      </c>
      <c r="C193" s="21" t="s">
        <v>192</v>
      </c>
      <c r="D193" s="21" t="s">
        <v>1002</v>
      </c>
      <c r="E193" s="13">
        <v>43052.708680555559</v>
      </c>
      <c r="F193" s="13">
        <v>43052.715057870373</v>
      </c>
      <c r="G193" s="7">
        <v>75</v>
      </c>
      <c r="H193" s="21" t="s">
        <v>1038</v>
      </c>
      <c r="I193" s="13">
        <v>43052.725243055553</v>
      </c>
      <c r="J193" s="7">
        <v>0</v>
      </c>
      <c r="K193" s="89" t="str">
        <f t="shared" si="60"/>
        <v>4035/4036</v>
      </c>
      <c r="L193" s="185" t="str">
        <f>VLOOKUP(A193,'Trips&amp;Operators'!$C$1:$G$99911,5,FALSE)</f>
        <v>LEVIN SCOTT</v>
      </c>
      <c r="M193" s="6">
        <f t="shared" si="61"/>
        <v>1.0185185179580003E-2</v>
      </c>
      <c r="N193" s="7">
        <f t="shared" si="62"/>
        <v>14.666666658595204</v>
      </c>
      <c r="O193" s="7"/>
      <c r="P193" s="7"/>
      <c r="Q193" s="22"/>
      <c r="R193" s="174"/>
      <c r="S193" s="221">
        <f t="shared" si="63"/>
        <v>1</v>
      </c>
      <c r="T193" s="174" t="str">
        <f t="shared" si="64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5"/>
        <v>https://d0f6bd738d7f1b3e5a7ca70fe4ff75f0.us-east-1.aws.found.io/app/kibana#/discover/Steve-Slow-Train-Analysis-(2080s-and-2083s)?_g=(refreshInterval:(display:Off,pause:!f,section:0,value:0),time:(from:'2017-11-13T16:00:30-0700',mode:absolute,to:'2017-11-13T18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3" s="204" t="str">
        <f>IF(AA193&lt;VLOOKUP(AG193,Variables!$AC$3:$AD$8,2,FALSE),"Y","N")</f>
        <v>N</v>
      </c>
      <c r="X193" s="204">
        <f t="shared" si="66"/>
        <v>1</v>
      </c>
      <c r="Y193" s="204">
        <f t="shared" si="67"/>
        <v>0.10630000000000001</v>
      </c>
      <c r="Z193" s="204">
        <f t="shared" si="68"/>
        <v>5.8945999999999996</v>
      </c>
      <c r="AA193" s="204">
        <f t="shared" si="69"/>
        <v>5.7882999999999996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70"/>
        <v>833</v>
      </c>
      <c r="AE193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93" s="74" t="str">
        <f t="shared" si="72"/>
        <v>"C:\Program Files (x86)\AstroGrep\AstroGrep.exe" /e /r /s /spath="%USERPROFILE%\AppData\Local\Temp\OnboardLogs" /stypes="app*4036*20171114*" /stext=" 00:.+((SYSTEM_STATE.+slice.+state.+changed )|(ment ac)|(multiple cpu faults)|(system.+state.+changed )|(\[timeout)|(PRM\|1\|D)|(kpr)|(kdp)|(train st.+moving)|(\|lc)|(penalty))"</v>
      </c>
      <c r="AG193" s="182" t="str">
        <f t="shared" si="73"/>
        <v>NW</v>
      </c>
      <c r="AH193" s="78" t="str">
        <f t="shared" si="90"/>
        <v>"%USERPROFILE%\Documents\GitHub\eaglep3\Utilities\RefineRTDCRunTimes.py" --tripid 833-13 --locoid 4036 --swversion DE.1.0.9.0 --startMP 204:1063 --initTime 2017-11-13T17:00:30 --startdatetime 2017-11-13T17:09:41 --delay 75 --endMP 300:58946 --enddatetime 2017-11-13T17:24:21 --enforcementcount 0 &gt;&gt;%USERPROFILE%\Documents\GitHub\eaglep3-reporting\EC\2017-11-13-refined-times.txt</v>
      </c>
      <c r="AI193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{"issue":{"subject":"","project_id":79,"tracker_id":40,"status_id":1,"priority_id":2,"assigned_to_id":338,"start_date":"2017-11-13","description":"","custom_fields":[{"id":1,"name":"Subdivision","value":"NW"},{"id":4,"name":"Milepost","value":"5.8946"},{"id":17,"name":"Train ID","value":"833-13"},{"id":16,"name":"Locomotive ID","value":"4036"},{"id":130,"name":"Impact","value":""},{"id":150,"name":"Time of Event (Mountain Time)","value":"17:24:21"},{"id":151,"name":"Denver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92"/>
        <v>start /low /b %USERPROFILE%\Documents\GitHub\eaglep3\Utilities\DownloadLogsFromS3.py --loco 4036 --day 2017-11-13</v>
      </c>
      <c r="AN193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4"/>
        <v>https://d0f6bd738d7f1b3e5a7ca70fe4ff75f0.us-east-1.aws.found.io/app/kibana#/discover/Steve-Slow-Train-Analysis-(2080s-and-2083s)?_g=(refreshInterval:(display:Off,pause:!f,section:0,value:0),time:(from:'2017-11-13T16:00:30-0700',mode:absolute,to:'2017-11-13T18:24:21-0700'))&amp;_a=(columns:!('Message%20ID',Summary),filters:!(),index:'emp_*',interval:auto,query:(query_string:(analyze_wildcard:!t,query:'%22rtdc.l.rtdc.4036%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813</v>
      </c>
      <c r="B194" s="7">
        <v>4035</v>
      </c>
      <c r="C194" s="21" t="s">
        <v>192</v>
      </c>
      <c r="D194" s="21" t="s">
        <v>1050</v>
      </c>
      <c r="E194" s="13">
        <v>43052.726643518516</v>
      </c>
      <c r="F194" s="13">
        <v>43052.736805555556</v>
      </c>
      <c r="G194" s="7">
        <v>73</v>
      </c>
      <c r="H194" s="21" t="s">
        <v>1051</v>
      </c>
      <c r="I194" s="13">
        <v>43052.746921296297</v>
      </c>
      <c r="J194" s="7">
        <v>0</v>
      </c>
      <c r="K194" s="89" t="str">
        <f t="shared" si="60"/>
        <v>4035/4036</v>
      </c>
      <c r="L194" s="185" t="str">
        <f>VLOOKUP(A194,'Trips&amp;Operators'!$C$1:$G$99911,5,FALSE)</f>
        <v>LEVIN SCOTT</v>
      </c>
      <c r="M194" s="6">
        <f t="shared" si="61"/>
        <v>1.0115740740729962E-2</v>
      </c>
      <c r="N194" s="7">
        <f t="shared" si="62"/>
        <v>14.566666666651145</v>
      </c>
      <c r="O194" s="7"/>
      <c r="P194" s="7"/>
      <c r="Q194" s="22"/>
      <c r="R194" s="174"/>
      <c r="S194" s="221">
        <f t="shared" si="63"/>
        <v>1</v>
      </c>
      <c r="T194" s="174" t="str">
        <f t="shared" si="64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5"/>
        <v>https://d0f6bd738d7f1b3e5a7ca70fe4ff75f0.us-east-1.aws.found.io/app/kibana#/discover/Steve-Slow-Train-Analysis-(2080s-and-2083s)?_g=(refreshInterval:(display:Off,pause:!f,section:0,value:0),time:(from:'2017-11-13T16:26:22-0700',mode:absolute,to:'2017-11-13T18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4" s="204" t="str">
        <f>IF(AA194&lt;VLOOKUP(AG194,Variables!$AC$3:$AD$8,2,FALSE),"Y","N")</f>
        <v>N</v>
      </c>
      <c r="X194" s="204">
        <f t="shared" si="66"/>
        <v>1</v>
      </c>
      <c r="Y194" s="204">
        <f t="shared" si="67"/>
        <v>5.8625999999999996</v>
      </c>
      <c r="Z194" s="204">
        <f t="shared" si="68"/>
        <v>7.4499999999999997E-2</v>
      </c>
      <c r="AA194" s="204">
        <f t="shared" si="69"/>
        <v>5.7881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70"/>
        <v>834</v>
      </c>
      <c r="AE194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94" s="74" t="str">
        <f t="shared" si="72"/>
        <v>"C:\Program Files (x86)\AstroGrep\AstroGrep.exe" /e /r /s /spath="%USERPROFILE%\AppData\Local\Temp\OnboardLogs" /stypes="app*4035*20171114*" /stext=" 00:.+((SYSTEM_STATE.+slice.+state.+changed )|(ment ac)|(multiple cpu faults)|(system.+state.+changed )|(\[timeout)|(PRM\|1\|D)|(kpr)|(kdp)|(train st.+moving)|(\|lc)|(penalty))"</v>
      </c>
      <c r="AG194" s="182" t="str">
        <f t="shared" si="73"/>
        <v>NW</v>
      </c>
      <c r="AH194" s="78" t="str">
        <f t="shared" si="90"/>
        <v>"%USERPROFILE%\Documents\GitHub\eaglep3\Utilities\RefineRTDCRunTimes.py" --tripid 834-13 --locoid 4035 --swversion DE.1.0.9.0 --startMP 300:58626 --initTime 2017-11-13T17:26:22 --startdatetime 2017-11-13T17:41:00 --delay 73 --endMP 204:745 --enddatetime 2017-11-13T17:55:34 --enforcementcount 0 &gt;&gt;%USERPROFILE%\Documents\GitHub\eaglep3-reporting\EC\2017-11-13-refined-times.txt</v>
      </c>
      <c r="AI194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{"issue":{"subject":"","project_id":79,"tracker_id":40,"status_id":1,"priority_id":2,"assigned_to_id":338,"start_date":"2017-11-13","description":"","custom_fields":[{"id":1,"name":"Subdivision","value":"NW"},{"id":4,"name":"Milepost","value":"0.0745"},{"id":17,"name":"Train ID","value":"834-13"},{"id":16,"name":"Locomotive ID","value":"4035"},{"id":130,"name":"Impact","value":""},{"id":150,"name":"Time of Event (Mountain Time)","value":"17:55:34"},{"id":151,"name":"Denver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92"/>
        <v>start /low /b %USERPROFILE%\Documents\GitHub\eaglep3\Utilities\DownloadLogsFromS3.py --loco 4035 --day 2017-11-13</v>
      </c>
      <c r="AN194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4"/>
        <v>https://d0f6bd738d7f1b3e5a7ca70fe4ff75f0.us-east-1.aws.found.io/app/kibana#/discover/Steve-Slow-Train-Analysis-(2080s-and-2083s)?_g=(refreshInterval:(display:Off,pause:!f,section:0,value:0),time:(from:'2017-11-13T16:26:22-0700',mode:absolute,to:'2017-11-13T18:55:34-0700'))&amp;_a=(columns:!('Message%20ID',Summary),filters:!(),index:'emp_*',interval:auto,query:(query_string:(analyze_wildcard:!t,query:'%22rtdc.l.rtdc.4035%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649</v>
      </c>
      <c r="B195" s="7">
        <v>4002</v>
      </c>
      <c r="C195" s="21" t="s">
        <v>192</v>
      </c>
      <c r="D195" s="21" t="s">
        <v>1052</v>
      </c>
      <c r="E195" s="13">
        <v>43052.732627314814</v>
      </c>
      <c r="F195" s="13">
        <v>43052.735960648148</v>
      </c>
      <c r="G195" s="7">
        <v>60</v>
      </c>
      <c r="H195" s="21" t="s">
        <v>612</v>
      </c>
      <c r="I195" s="13">
        <v>43052.746296296296</v>
      </c>
      <c r="J195" s="7">
        <v>0</v>
      </c>
      <c r="K195" s="89" t="str">
        <f t="shared" si="60"/>
        <v>4001/4002</v>
      </c>
      <c r="L195" s="185" t="str">
        <f>VLOOKUP(A195,'Trips&amp;Operators'!$C$1:$G$99911,5,FALSE)</f>
        <v>ANDREA WILLIAMS</v>
      </c>
      <c r="M195" s="6">
        <f t="shared" si="61"/>
        <v>1.0335648148611654E-2</v>
      </c>
      <c r="N195" s="7">
        <f t="shared" si="62"/>
        <v>14.883333334000781</v>
      </c>
      <c r="O195" s="7"/>
      <c r="P195" s="7"/>
      <c r="Q195" s="22"/>
      <c r="R195" s="174"/>
      <c r="S195" s="221">
        <f t="shared" si="63"/>
        <v>1</v>
      </c>
      <c r="T195" s="174" t="str">
        <f t="shared" si="64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5"/>
        <v>https://d0f6bd738d7f1b3e5a7ca70fe4ff75f0.us-east-1.aws.found.io/app/kibana#/discover/Steve-Slow-Train-Analysis-(2080s-and-2083s)?_g=(refreshInterval:(display:Off,pause:!f,section:0,value:0),time:(from:'2017-11-13T16:34:59-0700',mode:absolute,to:'2017-11-13T18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5" s="204" t="str">
        <f>IF(AA195&lt;VLOOKUP(AG195,Variables!$AC$3:$AD$8,2,FALSE),"Y","N")</f>
        <v>N</v>
      </c>
      <c r="X195" s="204">
        <f t="shared" si="66"/>
        <v>1</v>
      </c>
      <c r="Y195" s="204">
        <f t="shared" si="67"/>
        <v>9.8799999999999999E-2</v>
      </c>
      <c r="Z195" s="204">
        <f t="shared" si="68"/>
        <v>5.8930999999999996</v>
      </c>
      <c r="AA195" s="204">
        <f t="shared" si="69"/>
        <v>5.7942999999999998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70"/>
        <v>835</v>
      </c>
      <c r="AE195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95" s="74" t="str">
        <f t="shared" si="72"/>
        <v>"C:\Program Files (x86)\AstroGrep\AstroGrep.exe" /e /r /s /spath="%USERPROFILE%\AppData\Local\Temp\OnboardLogs" /stypes="app*4002*20171114*" /stext=" 00:.+((SYSTEM_STATE.+slice.+state.+changed )|(ment ac)|(multiple cpu faults)|(system.+state.+changed )|(\[timeout)|(PRM\|1\|D)|(kpr)|(kdp)|(train st.+moving)|(\|lc)|(penalty))"</v>
      </c>
      <c r="AG195" s="182" t="str">
        <f t="shared" si="73"/>
        <v>NW</v>
      </c>
      <c r="AH195" s="78" t="str">
        <f t="shared" si="90"/>
        <v>"%USERPROFILE%\Documents\GitHub\eaglep3\Utilities\RefineRTDCRunTimes.py" --tripid 835-13 --locoid 4002 --swversion DE.1.0.9.0 --startMP 204:988 --initTime 2017-11-13T17:34:59 --startdatetime 2017-11-13T17:39:47 --delay 60 --endMP 300:58931 --enddatetime 2017-11-13T17:54:40 --enforcementcount 0 &gt;&gt;%USERPROFILE%\Documents\GitHub\eaglep3-reporting\EC\2017-11-13-refined-times.txt</v>
      </c>
      <c r="AI195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{"issue":{"subject":"","project_id":79,"tracker_id":40,"status_id":1,"priority_id":2,"assigned_to_id":338,"start_date":"2017-11-13","description":"","custom_fields":[{"id":1,"name":"Subdivision","value":"NW"},{"id":4,"name":"Milepost","value":"5.8931"},{"id":17,"name":"Train ID","value":"835-13"},{"id":16,"name":"Locomotive ID","value":"4002"},{"id":130,"name":"Impact","value":""},{"id":150,"name":"Time of Event (Mountain Time)","value":"17:54:40"},{"id":151,"name":"Denver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92"/>
        <v>start /low /b %USERPROFILE%\Documents\GitHub\eaglep3\Utilities\DownloadLogsFromS3.py --loco 4002 --day 2017-11-13</v>
      </c>
      <c r="AN195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4"/>
        <v>https://d0f6bd738d7f1b3e5a7ca70fe4ff75f0.us-east-1.aws.found.io/app/kibana#/discover/Steve-Slow-Train-Analysis-(2080s-and-2083s)?_g=(refreshInterval:(display:Off,pause:!f,section:0,value:0),time:(from:'2017-11-13T16:34:59-0700',mode:absolute,to:'2017-11-13T18:54:40-0700'))&amp;_a=(columns:!('Message%20ID',Summary),filters:!(),index:'emp_*',interval:auto,query:(query_string:(analyze_wildcard:!t,query:'%22rtdc.l.rtdc.4002%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650</v>
      </c>
      <c r="B196" s="7">
        <v>4001</v>
      </c>
      <c r="C196" s="21" t="s">
        <v>192</v>
      </c>
      <c r="D196" s="21" t="s">
        <v>597</v>
      </c>
      <c r="E196" s="13">
        <v>43052.74759259259</v>
      </c>
      <c r="F196" s="13">
        <v>43052.759027777778</v>
      </c>
      <c r="G196" s="7">
        <v>56</v>
      </c>
      <c r="H196" s="21" t="s">
        <v>1053</v>
      </c>
      <c r="I196" s="13">
        <v>43052.767546296294</v>
      </c>
      <c r="J196" s="7">
        <v>0</v>
      </c>
      <c r="K196" s="89" t="str">
        <f t="shared" si="60"/>
        <v>4001/4002</v>
      </c>
      <c r="L196" s="185" t="str">
        <f>VLOOKUP(A196,'Trips&amp;Operators'!$C$1:$G$99911,5,FALSE)</f>
        <v>ANDREA WILLIAMS</v>
      </c>
      <c r="M196" s="6">
        <f t="shared" si="61"/>
        <v>8.5185185162117705E-3</v>
      </c>
      <c r="N196" s="7">
        <f t="shared" si="62"/>
        <v>12.266666663344949</v>
      </c>
      <c r="O196" s="7"/>
      <c r="P196" s="7"/>
      <c r="Q196" s="22"/>
      <c r="R196" s="174"/>
      <c r="S196" s="221">
        <f t="shared" si="63"/>
        <v>1</v>
      </c>
      <c r="T196" s="174" t="str">
        <f t="shared" si="64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5"/>
        <v>https://d0f6bd738d7f1b3e5a7ca70fe4ff75f0.us-east-1.aws.found.io/app/kibana#/discover/Steve-Slow-Train-Analysis-(2080s-and-2083s)?_g=(refreshInterval:(display:Off,pause:!f,section:0,value:0),time:(from:'2017-11-13T16:56:32-0700',mode:absolute,to:'2017-11-13T19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204" t="str">
        <f>IF(AA196&lt;VLOOKUP(AG196,Variables!$AC$3:$AD$8,2,FALSE),"Y","N")</f>
        <v>N</v>
      </c>
      <c r="X196" s="204">
        <f t="shared" si="66"/>
        <v>1</v>
      </c>
      <c r="Y196" s="204">
        <f t="shared" si="67"/>
        <v>5.8619000000000003</v>
      </c>
      <c r="Z196" s="204">
        <f t="shared" si="68"/>
        <v>7.3999999999999996E-2</v>
      </c>
      <c r="AA196" s="204">
        <f t="shared" si="69"/>
        <v>5.7879000000000005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70"/>
        <v>836</v>
      </c>
      <c r="AE196" s="77" t="str">
        <f t="shared" si="71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196" s="74" t="str">
        <f t="shared" si="72"/>
        <v>"C:\Program Files (x86)\AstroGrep\AstroGrep.exe" /e /r /s /spath="%USERPROFILE%\AppData\Local\Temp\OnboardLogs" /stypes="app*4001*20171114*" /stext=" 01:.+((SYSTEM_STATE.+slice.+state.+changed )|(ment ac)|(multiple cpu faults)|(system.+state.+changed )|(\[timeout)|(PRM\|1\|D)|(kpr)|(kdp)|(train st.+moving)|(\|lc)|(penalty))"</v>
      </c>
      <c r="AG196" s="182" t="str">
        <f t="shared" si="73"/>
        <v>NW</v>
      </c>
      <c r="AH196" s="78" t="str">
        <f t="shared" si="90"/>
        <v>"%USERPROFILE%\Documents\GitHub\eaglep3\Utilities\RefineRTDCRunTimes.py" --tripid 836-13 --locoid 4001 --swversion DE.1.0.9.0 --startMP 300:58619 --initTime 2017-11-13T17:56:32 --startdatetime 2017-11-13T18:13:00 --delay 56 --endMP 204:740 --enddatetime 2017-11-13T18:25:16 --enforcementcount 0 &gt;&gt;%USERPROFILE%\Documents\GitHub\eaglep3-reporting\EC\2017-11-13-refined-times.txt</v>
      </c>
      <c r="AI196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{"issue":{"subject":"","project_id":79,"tracker_id":40,"status_id":1,"priority_id":2,"assigned_to_id":338,"start_date":"2017-11-13","description":"","custom_fields":[{"id":1,"name":"Subdivision","value":"NW"},{"id":4,"name":"Milepost","value":"0.074"},{"id":17,"name":"Train ID","value":"836-13"},{"id":16,"name":"Locomotive ID","value":"4001"},{"id":130,"name":"Impact","value":""},{"id":150,"name":"Time of Event (Mountain Time)","value":"18:25:16"},{"id":151,"name":"Denver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92"/>
        <v>start /low /b %USERPROFILE%\Documents\GitHub\eaglep3\Utilities\DownloadLogsFromS3.py --loco 4001 --day 2017-11-13</v>
      </c>
      <c r="AN196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4"/>
        <v>https://d0f6bd738d7f1b3e5a7ca70fe4ff75f0.us-east-1.aws.found.io/app/kibana#/discover/Steve-Slow-Train-Analysis-(2080s-and-2083s)?_g=(refreshInterval:(display:Off,pause:!f,section:0,value:0),time:(from:'2017-11-13T16:56:32-0700',mode:absolute,to:'2017-11-13T19:25:16-0700'))&amp;_a=(columns:!('Message%20ID',Summary),filters:!(),index:'emp_*',interval:auto,query:(query_string:(analyze_wildcard:!t,query:'%22rtdc.l.rtdc.4001%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821</v>
      </c>
      <c r="B197" s="7">
        <v>4036</v>
      </c>
      <c r="C197" s="21" t="s">
        <v>192</v>
      </c>
      <c r="D197" s="21" t="s">
        <v>1054</v>
      </c>
      <c r="E197" s="13">
        <v>43052.7503125</v>
      </c>
      <c r="F197" s="13">
        <v>43052.756643518522</v>
      </c>
      <c r="G197" s="7">
        <v>72</v>
      </c>
      <c r="H197" s="21" t="s">
        <v>1055</v>
      </c>
      <c r="I197" s="13">
        <v>43052.767083333332</v>
      </c>
      <c r="J197" s="7">
        <v>0</v>
      </c>
      <c r="K197" s="89" t="str">
        <f t="shared" si="60"/>
        <v>4035/4036</v>
      </c>
      <c r="L197" s="185" t="str">
        <f>VLOOKUP(A197,'Trips&amp;Operators'!$C$1:$G$99911,5,FALSE)</f>
        <v>KILLION DAVID</v>
      </c>
      <c r="M197" s="6">
        <f t="shared" si="61"/>
        <v>1.0439814810524695E-2</v>
      </c>
      <c r="N197" s="7">
        <f t="shared" si="62"/>
        <v>15.03333332715556</v>
      </c>
      <c r="O197" s="7"/>
      <c r="P197" s="7"/>
      <c r="Q197" s="22"/>
      <c r="R197" s="174"/>
      <c r="S197" s="221">
        <f t="shared" si="63"/>
        <v>1</v>
      </c>
      <c r="T197" s="174" t="str">
        <f t="shared" si="64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5"/>
        <v>https://d0f6bd738d7f1b3e5a7ca70fe4ff75f0.us-east-1.aws.found.io/app/kibana#/discover/Steve-Slow-Train-Analysis-(2080s-and-2083s)?_g=(refreshInterval:(display:Off,pause:!f,section:0,value:0),time:(from:'2017-11-13T17:00:27-0700',mode:absolute,to:'2017-11-13T19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7" s="204" t="str">
        <f>IF(AA197&lt;VLOOKUP(AG197,Variables!$AC$3:$AD$8,2,FALSE),"Y","N")</f>
        <v>N</v>
      </c>
      <c r="X197" s="204">
        <f t="shared" si="66"/>
        <v>1</v>
      </c>
      <c r="Y197" s="204">
        <f t="shared" si="67"/>
        <v>0.1004</v>
      </c>
      <c r="Z197" s="204">
        <f t="shared" si="68"/>
        <v>5.8968999999999996</v>
      </c>
      <c r="AA197" s="204">
        <f t="shared" si="69"/>
        <v>5.7965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70"/>
        <v>837</v>
      </c>
      <c r="AE197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197" s="74" t="str">
        <f t="shared" si="72"/>
        <v>"C:\Program Files (x86)\AstroGrep\AstroGrep.exe" /e /r /s /spath="%USERPROFILE%\AppData\Local\Temp\OnboardLogs" /stypes="app*4036*20171114*" /stext=" 01:.+((SYSTEM_STATE.+slice.+state.+changed )|(ment ac)|(multiple cpu faults)|(system.+state.+changed )|(\[timeout)|(PRM\|1\|D)|(kpr)|(kdp)|(train st.+moving)|(\|lc)|(penalty))"</v>
      </c>
      <c r="AG197" s="182" t="str">
        <f t="shared" si="73"/>
        <v>NW</v>
      </c>
      <c r="AH197" s="78" t="str">
        <f t="shared" si="90"/>
        <v>"%USERPROFILE%\Documents\GitHub\eaglep3\Utilities\RefineRTDCRunTimes.py" --tripid 837-13 --locoid 4036 --swversion DE.1.0.9.0 --startMP 204:1004 --initTime 2017-11-13T18:00:27 --startdatetime 2017-11-13T18:09:34 --delay 72 --endMP 300:58969 --enddatetime 2017-11-13T18:24:36 --enforcementcount 0 &gt;&gt;%USERPROFILE%\Documents\GitHub\eaglep3-reporting\EC\2017-11-13-refined-times.txt</v>
      </c>
      <c r="AI197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{"issue":{"subject":"","project_id":79,"tracker_id":40,"status_id":1,"priority_id":2,"assigned_to_id":338,"start_date":"2017-11-13","description":"","custom_fields":[{"id":1,"name":"Subdivision","value":"NW"},{"id":4,"name":"Milepost","value":"5.8969"},{"id":17,"name":"Train ID","value":"837-13"},{"id":16,"name":"Locomotive ID","value":"4036"},{"id":130,"name":"Impact","value":""},{"id":150,"name":"Time of Event (Mountain Time)","value":"18:24:36"},{"id":151,"name":"Denver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92"/>
        <v>start /low /b %USERPROFILE%\Documents\GitHub\eaglep3\Utilities\DownloadLogsFromS3.py --loco 4036 --day 2017-11-13</v>
      </c>
      <c r="AN197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4"/>
        <v>https://d0f6bd738d7f1b3e5a7ca70fe4ff75f0.us-east-1.aws.found.io/app/kibana#/discover/Steve-Slow-Train-Analysis-(2080s-and-2083s)?_g=(refreshInterval:(display:Off,pause:!f,section:0,value:0),time:(from:'2017-11-13T17:00:27-0700',mode:absolute,to:'2017-11-13T19:24:36-0700'))&amp;_a=(columns:!('Message%20ID',Summary),filters:!(),index:'emp_*',interval:auto,query:(query_string:(analyze_wildcard:!t,query:'%22rtdc.l.rtdc.4036%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824</v>
      </c>
      <c r="B198" s="7">
        <v>4035</v>
      </c>
      <c r="C198" s="21" t="s">
        <v>192</v>
      </c>
      <c r="D198" s="21" t="s">
        <v>1056</v>
      </c>
      <c r="E198" s="13">
        <v>43052.768240740741</v>
      </c>
      <c r="F198" s="13">
        <v>43052.779861111114</v>
      </c>
      <c r="G198" s="7">
        <v>62</v>
      </c>
      <c r="H198" s="21" t="s">
        <v>1057</v>
      </c>
      <c r="I198" s="13">
        <v>43052.789386574077</v>
      </c>
      <c r="J198" s="7">
        <v>0</v>
      </c>
      <c r="K198" s="89" t="str">
        <f t="shared" si="60"/>
        <v>4035/4036</v>
      </c>
      <c r="L198" s="185" t="str">
        <f>VLOOKUP(A198,'Trips&amp;Operators'!$C$1:$G$99911,5,FALSE)</f>
        <v>KILLION DAVID</v>
      </c>
      <c r="M198" s="6">
        <f t="shared" si="61"/>
        <v>9.5254629632108845E-3</v>
      </c>
      <c r="N198" s="7">
        <f t="shared" si="62"/>
        <v>13.716666667023674</v>
      </c>
      <c r="O198" s="7"/>
      <c r="P198" s="7"/>
      <c r="Q198" s="22"/>
      <c r="R198" s="174"/>
      <c r="S198" s="221">
        <f t="shared" si="63"/>
        <v>1</v>
      </c>
      <c r="T198" s="174" t="str">
        <f t="shared" si="64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5"/>
        <v>https://d0f6bd738d7f1b3e5a7ca70fe4ff75f0.us-east-1.aws.found.io/app/kibana#/discover/Steve-Slow-Train-Analysis-(2080s-and-2083s)?_g=(refreshInterval:(display:Off,pause:!f,section:0,value:0),time:(from:'2017-11-13T17:26:16-0700',mode:absolute,to:'2017-11-13T19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8" s="204" t="str">
        <f>IF(AA198&lt;VLOOKUP(AG198,Variables!$AC$3:$AD$8,2,FALSE),"Y","N")</f>
        <v>N</v>
      </c>
      <c r="X198" s="204">
        <f t="shared" si="66"/>
        <v>1</v>
      </c>
      <c r="Y198" s="204">
        <f t="shared" si="67"/>
        <v>5.8653000000000004</v>
      </c>
      <c r="Z198" s="204">
        <f t="shared" si="68"/>
        <v>6.9800000000000001E-2</v>
      </c>
      <c r="AA198" s="204">
        <f t="shared" si="69"/>
        <v>5.7955000000000005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70"/>
        <v>838</v>
      </c>
      <c r="AE198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198" s="74" t="str">
        <f t="shared" si="72"/>
        <v>"C:\Program Files (x86)\AstroGrep\AstroGrep.exe" /e /r /s /spath="%USERPROFILE%\AppData\Local\Temp\OnboardLogs" /stypes="app*4035*20171114*" /stext=" 01:.+((SYSTEM_STATE.+slice.+state.+changed )|(ment ac)|(multiple cpu faults)|(system.+state.+changed )|(\[timeout)|(PRM\|1\|D)|(kpr)|(kdp)|(train st.+moving)|(\|lc)|(penalty))"</v>
      </c>
      <c r="AG198" s="182" t="str">
        <f t="shared" si="73"/>
        <v>NW</v>
      </c>
      <c r="AH198" s="78" t="str">
        <f t="shared" si="90"/>
        <v>"%USERPROFILE%\Documents\GitHub\eaglep3\Utilities\RefineRTDCRunTimes.py" --tripid 838-13 --locoid 4035 --swversion DE.1.0.9.0 --startMP 300:58653 --initTime 2017-11-13T18:26:16 --startdatetime 2017-11-13T18:43:00 --delay 62 --endMP 204:698 --enddatetime 2017-11-13T18:56:43 --enforcementcount 0 &gt;&gt;%USERPROFILE%\Documents\GitHub\eaglep3-reporting\EC\2017-11-13-refined-times.txt</v>
      </c>
      <c r="AI198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{"issue":{"subject":"","project_id":79,"tracker_id":40,"status_id":1,"priority_id":2,"assigned_to_id":338,"start_date":"2017-11-13","description":"","custom_fields":[{"id":1,"name":"Subdivision","value":"NW"},{"id":4,"name":"Milepost","value":"0.0698"},{"id":17,"name":"Train ID","value":"838-13"},{"id":16,"name":"Locomotive ID","value":"4035"},{"id":130,"name":"Impact","value":""},{"id":150,"name":"Time of Event (Mountain Time)","value":"18:56:43"},{"id":151,"name":"Denver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92"/>
        <v>start /low /b %USERPROFILE%\Documents\GitHub\eaglep3\Utilities\DownloadLogsFromS3.py --loco 4035 --day 2017-11-13</v>
      </c>
      <c r="AN198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4"/>
        <v>https://d0f6bd738d7f1b3e5a7ca70fe4ff75f0.us-east-1.aws.found.io/app/kibana#/discover/Steve-Slow-Train-Analysis-(2080s-and-2083s)?_g=(refreshInterval:(display:Off,pause:!f,section:0,value:0),time:(from:'2017-11-13T17:26:16-0700',mode:absolute,to:'2017-11-13T19:56:43-0700'))&amp;_a=(columns:!('Message%20ID',Summary),filters:!(),index:'emp_*',interval:auto,query:(query_string:(analyze_wildcard:!t,query:'%22rtdc.l.rtdc.4035%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826</v>
      </c>
      <c r="B199" s="7">
        <v>4002</v>
      </c>
      <c r="C199" s="21" t="s">
        <v>192</v>
      </c>
      <c r="D199" s="21" t="s">
        <v>1058</v>
      </c>
      <c r="E199" s="13">
        <v>43052.775266203702</v>
      </c>
      <c r="F199" s="13">
        <v>43052.777326388888</v>
      </c>
      <c r="G199" s="7">
        <v>50</v>
      </c>
      <c r="H199" s="21" t="s">
        <v>601</v>
      </c>
      <c r="I199" s="13">
        <v>43052.787743055553</v>
      </c>
      <c r="J199" s="7">
        <v>0</v>
      </c>
      <c r="K199" s="89" t="str">
        <f t="shared" si="60"/>
        <v>4001/4002</v>
      </c>
      <c r="L199" s="185" t="str">
        <f>VLOOKUP(A199,'Trips&amp;Operators'!$C$1:$G$99911,5,FALSE)</f>
        <v>ANDREA WILLIAMS</v>
      </c>
      <c r="M199" s="6">
        <f t="shared" si="61"/>
        <v>1.0416666664241347E-2</v>
      </c>
      <c r="N199" s="7">
        <f t="shared" si="62"/>
        <v>14.99999999650754</v>
      </c>
      <c r="O199" s="7"/>
      <c r="P199" s="7"/>
      <c r="Q199" s="22"/>
      <c r="R199" s="174"/>
      <c r="S199" s="221">
        <f t="shared" si="63"/>
        <v>1</v>
      </c>
      <c r="T199" s="174" t="str">
        <f t="shared" si="64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5"/>
        <v>https://d0f6bd738d7f1b3e5a7ca70fe4ff75f0.us-east-1.aws.found.io/app/kibana#/discover/Steve-Slow-Train-Analysis-(2080s-and-2083s)?_g=(refreshInterval:(display:Off,pause:!f,section:0,value:0),time:(from:'2017-11-13T17:36:23-0700',mode:absolute,to:'2017-11-13T19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204" t="str">
        <f>IF(AA199&lt;VLOOKUP(AG199,Variables!$AC$3:$AD$8,2,FALSE),"Y","N")</f>
        <v>N</v>
      </c>
      <c r="X199" s="204">
        <f t="shared" si="66"/>
        <v>1</v>
      </c>
      <c r="Y199" s="204">
        <f t="shared" si="67"/>
        <v>0.10349999999999999</v>
      </c>
      <c r="Z199" s="204">
        <f t="shared" si="68"/>
        <v>5.8935000000000004</v>
      </c>
      <c r="AA199" s="204">
        <f t="shared" si="69"/>
        <v>5.79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70"/>
        <v>839</v>
      </c>
      <c r="AE199" s="77" t="str">
        <f t="shared" si="71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199" s="74" t="str">
        <f t="shared" si="72"/>
        <v>"C:\Program Files (x86)\AstroGrep\AstroGrep.exe" /e /r /s /spath="%USERPROFILE%\AppData\Local\Temp\OnboardLogs" /stypes="app*4002*20171114*" /stext=" 01:.+((SYSTEM_STATE.+slice.+state.+changed )|(ment ac)|(multiple cpu faults)|(system.+state.+changed )|(\[timeout)|(PRM\|1\|D)|(kpr)|(kdp)|(train st.+moving)|(\|lc)|(penalty))"</v>
      </c>
      <c r="AG199" s="182" t="str">
        <f t="shared" si="73"/>
        <v>NW</v>
      </c>
      <c r="AH199" s="78" t="str">
        <f t="shared" si="90"/>
        <v>"%USERPROFILE%\Documents\GitHub\eaglep3\Utilities\RefineRTDCRunTimes.py" --tripid 839-13 --locoid 4002 --swversion DE.1.0.9.0 --startMP 204:1035 --initTime 2017-11-13T18:36:23 --startdatetime 2017-11-13T18:39:21 --delay 50 --endMP 300:58935 --enddatetime 2017-11-13T18:54:21 --enforcementcount 0 &gt;&gt;%USERPROFILE%\Documents\GitHub\eaglep3-reporting\EC\2017-11-13-refined-times.txt</v>
      </c>
      <c r="AI199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{"issue":{"subject":"","project_id":79,"tracker_id":40,"status_id":1,"priority_id":2,"assigned_to_id":338,"start_date":"2017-11-13","description":"","custom_fields":[{"id":1,"name":"Subdivision","value":"NW"},{"id":4,"name":"Milepost","value":"5.8935"},{"id":17,"name":"Train ID","value":"839-13"},{"id":16,"name":"Locomotive ID","value":"4002"},{"id":130,"name":"Impact","value":""},{"id":150,"name":"Time of Event (Mountain Time)","value":"18:54:21"},{"id":151,"name":"Denver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92"/>
        <v>start /low /b %USERPROFILE%\Documents\GitHub\eaglep3\Utilities\DownloadLogsFromS3.py --loco 4002 --day 2017-11-13</v>
      </c>
      <c r="AN199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4"/>
        <v>https://d0f6bd738d7f1b3e5a7ca70fe4ff75f0.us-east-1.aws.found.io/app/kibana#/discover/Steve-Slow-Train-Analysis-(2080s-and-2083s)?_g=(refreshInterval:(display:Off,pause:!f,section:0,value:0),time:(from:'2017-11-13T17:36:23-0700',mode:absolute,to:'2017-11-13T19:54:21-0700'))&amp;_a=(columns:!('Message%20ID',Summary),filters:!(),index:'emp_*',interval:auto,query:(query_string:(analyze_wildcard:!t,query:'%22rtdc.l.rtdc.4002%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835</v>
      </c>
      <c r="B200" s="7">
        <v>4035</v>
      </c>
      <c r="C200" s="21" t="s">
        <v>192</v>
      </c>
      <c r="D200" s="21" t="s">
        <v>550</v>
      </c>
      <c r="E200" s="13">
        <v>43052.810312499998</v>
      </c>
      <c r="F200" s="13">
        <v>43052.821527777778</v>
      </c>
      <c r="G200" s="7">
        <v>53</v>
      </c>
      <c r="H200" s="21" t="s">
        <v>1059</v>
      </c>
      <c r="I200" s="13">
        <v>43052.830092592594</v>
      </c>
      <c r="J200" s="7">
        <v>0</v>
      </c>
      <c r="K200" s="89" t="str">
        <f t="shared" si="60"/>
        <v>4035/4036</v>
      </c>
      <c r="L200" s="185" t="str">
        <f>VLOOKUP(A200,'Trips&amp;Operators'!$C$1:$G$99911,5,FALSE)</f>
        <v>KILLION DAVID</v>
      </c>
      <c r="M200" s="6">
        <f t="shared" si="61"/>
        <v>8.5648148160544224E-3</v>
      </c>
      <c r="N200" s="7">
        <f t="shared" si="62"/>
        <v>12.333333335118368</v>
      </c>
      <c r="O200" s="7"/>
      <c r="P200" s="7"/>
      <c r="Q200" s="22"/>
      <c r="R200" s="174"/>
      <c r="S200" s="221">
        <f t="shared" si="63"/>
        <v>1</v>
      </c>
      <c r="T200" s="174" t="str">
        <f t="shared" si="64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5"/>
        <v>https://d0f6bd738d7f1b3e5a7ca70fe4ff75f0.us-east-1.aws.found.io/app/kibana#/discover/Steve-Slow-Train-Analysis-(2080s-and-2083s)?_g=(refreshInterval:(display:Off,pause:!f,section:0,value:0),time:(from:'2017-11-13T18:26:51-0700',mode:absolute,to:'2017-11-13T20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0" s="204" t="str">
        <f>IF(AA200&lt;VLOOKUP(AG200,Variables!$AC$3:$AD$8,2,FALSE),"Y","N")</f>
        <v>N</v>
      </c>
      <c r="X200" s="204">
        <f t="shared" si="66"/>
        <v>1</v>
      </c>
      <c r="Y200" s="204">
        <f t="shared" si="67"/>
        <v>5.8644999999999996</v>
      </c>
      <c r="Z200" s="204">
        <f t="shared" si="68"/>
        <v>7.0300000000000001E-2</v>
      </c>
      <c r="AA200" s="204">
        <f t="shared" si="69"/>
        <v>5.7942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70"/>
        <v>840</v>
      </c>
      <c r="AE200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200" s="74" t="str">
        <f t="shared" si="72"/>
        <v>"C:\Program Files (x86)\AstroGrep\AstroGrep.exe" /e /r /s /spath="%USERPROFILE%\AppData\Local\Temp\OnboardLogs" /stypes="app*4035*20171114*" /stext=" 02:.+((SYSTEM_STATE.+slice.+state.+changed )|(ment ac)|(multiple cpu faults)|(system.+state.+changed )|(\[timeout)|(PRM\|1\|D)|(kpr)|(kdp)|(train st.+moving)|(\|lc)|(penalty))"</v>
      </c>
      <c r="AG200" s="182" t="str">
        <f t="shared" si="73"/>
        <v>NW</v>
      </c>
      <c r="AH200" s="78" t="str">
        <f t="shared" si="90"/>
        <v>"%USERPROFILE%\Documents\GitHub\eaglep3\Utilities\RefineRTDCRunTimes.py" --tripid 840-13 --locoid 4035 --swversion DE.1.0.9.0 --startMP 300:58645 --initTime 2017-11-13T19:26:51 --startdatetime 2017-11-13T19:43:00 --delay 53 --endMP 204:703 --enddatetime 2017-11-13T19:55:20 --enforcementcount 0 &gt;&gt;%USERPROFILE%\Documents\GitHub\eaglep3-reporting\EC\2017-11-13-refined-times.txt</v>
      </c>
      <c r="AI200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{"issue":{"subject":"","project_id":79,"tracker_id":40,"status_id":1,"priority_id":2,"assigned_to_id":338,"start_date":"2017-11-13","description":"","custom_fields":[{"id":1,"name":"Subdivision","value":"NW"},{"id":4,"name":"Milepost","value":"0.0703"},{"id":17,"name":"Train ID","value":"840-13"},{"id":16,"name":"Locomotive ID","value":"4035"},{"id":130,"name":"Impact","value":""},{"id":150,"name":"Time of Event (Mountain Time)","value":"19:55:20"},{"id":151,"name":"Denver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92"/>
        <v>start /low /b %USERPROFILE%\Documents\GitHub\eaglep3\Utilities\DownloadLogsFromS3.py --loco 4035 --day 2017-11-13</v>
      </c>
      <c r="AN200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4"/>
        <v>https://d0f6bd738d7f1b3e5a7ca70fe4ff75f0.us-east-1.aws.found.io/app/kibana#/discover/Steve-Slow-Train-Analysis-(2080s-and-2083s)?_g=(refreshInterval:(display:Off,pause:!f,section:0,value:0),time:(from:'2017-11-13T18:26:51-0700',mode:absolute,to:'2017-11-13T20:55:20-0700'))&amp;_a=(columns:!('Message%20ID',Summary),filters:!(),index:'emp_*',interval:auto,query:(query_string:(analyze_wildcard:!t,query:'%22rtdc.l.rtdc.4035%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831</v>
      </c>
      <c r="B201" s="7">
        <v>4036</v>
      </c>
      <c r="C201" s="21" t="s">
        <v>192</v>
      </c>
      <c r="D201" s="21" t="s">
        <v>1060</v>
      </c>
      <c r="E201" s="13">
        <v>43052.791238425925</v>
      </c>
      <c r="F201" s="13">
        <v>43052.798402777778</v>
      </c>
      <c r="G201" s="7">
        <v>169</v>
      </c>
      <c r="H201" s="21" t="s">
        <v>1061</v>
      </c>
      <c r="I201" s="13">
        <v>43052.808391203704</v>
      </c>
      <c r="J201" s="7">
        <v>0</v>
      </c>
      <c r="K201" s="89" t="str">
        <f t="shared" si="60"/>
        <v>4035/4036</v>
      </c>
      <c r="L201" s="185" t="str">
        <f>VLOOKUP(A201,'Trips&amp;Operators'!$C$1:$G$99911,5,FALSE)</f>
        <v>KILLION DAVID</v>
      </c>
      <c r="M201" s="6">
        <f t="shared" si="61"/>
        <v>9.9884259252576157E-3</v>
      </c>
      <c r="N201" s="7">
        <f t="shared" si="62"/>
        <v>14.383333332370967</v>
      </c>
      <c r="O201" s="7"/>
      <c r="P201" s="7"/>
      <c r="Q201" s="22"/>
      <c r="R201" s="174"/>
      <c r="S201" s="221">
        <f t="shared" si="63"/>
        <v>1</v>
      </c>
      <c r="T201" s="174" t="str">
        <f t="shared" si="64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5"/>
        <v>https://d0f6bd738d7f1b3e5a7ca70fe4ff75f0.us-east-1.aws.found.io/app/kibana#/discover/Steve-Slow-Train-Analysis-(2080s-and-2083s)?_g=(refreshInterval:(display:Off,pause:!f,section:0,value:0),time:(from:'2017-11-13T17:59:23-0700',mode:absolute,to:'2017-11-13T20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1" s="204" t="str">
        <f>IF(AA201&lt;VLOOKUP(AG201,Variables!$AC$3:$AD$8,2,FALSE),"Y","N")</f>
        <v>N</v>
      </c>
      <c r="X201" s="204">
        <f t="shared" si="66"/>
        <v>1</v>
      </c>
      <c r="Y201" s="204">
        <f t="shared" si="67"/>
        <v>0.1</v>
      </c>
      <c r="Z201" s="204">
        <f t="shared" si="68"/>
        <v>5.8964999999999996</v>
      </c>
      <c r="AA201" s="204">
        <f t="shared" si="69"/>
        <v>5.7965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70"/>
        <v>841</v>
      </c>
      <c r="AE201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201" s="74" t="str">
        <f t="shared" si="72"/>
        <v>"C:\Program Files (x86)\AstroGrep\AstroGrep.exe" /e /r /s /spath="%USERPROFILE%\AppData\Local\Temp\OnboardLogs" /stypes="app*4036*20171114*" /stext=" 02:.+((SYSTEM_STATE.+slice.+state.+changed )|(ment ac)|(multiple cpu faults)|(system.+state.+changed )|(\[timeout)|(PRM\|1\|D)|(kpr)|(kdp)|(train st.+moving)|(\|lc)|(penalty))"</v>
      </c>
      <c r="AG201" s="182" t="str">
        <f t="shared" si="73"/>
        <v>NW</v>
      </c>
      <c r="AH201" s="78" t="str">
        <f t="shared" si="90"/>
        <v>"%USERPROFILE%\Documents\GitHub\eaglep3\Utilities\RefineRTDCRunTimes.py" --tripid 841-13 --locoid 4036 --swversion DE.1.0.9.0 --startMP 204:1000 --initTime 2017-11-13T18:59:23 --startdatetime 2017-11-13T19:09:42 --delay 169 --endMP 300:58965 --enddatetime 2017-11-13T19:24:05 --enforcementcount 0 &gt;&gt;%USERPROFILE%\Documents\GitHub\eaglep3-reporting\EC\2017-11-13-refined-times.txt</v>
      </c>
      <c r="AI201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{"issue":{"subject":"","project_id":79,"tracker_id":40,"status_id":1,"priority_id":2,"assigned_to_id":338,"start_date":"2017-11-13","description":"","custom_fields":[{"id":1,"name":"Subdivision","value":"NW"},{"id":4,"name":"Milepost","value":"5.8965"},{"id":17,"name":"Train ID","value":"841-13"},{"id":16,"name":"Locomotive ID","value":"4036"},{"id":130,"name":"Impact","value":""},{"id":150,"name":"Time of Event (Mountain Time)","value":"19:24:05"},{"id":151,"name":"Denver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92"/>
        <v>start /low /b %USERPROFILE%\Documents\GitHub\eaglep3\Utilities\DownloadLogsFromS3.py --loco 4036 --day 2017-11-13</v>
      </c>
      <c r="AN201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4"/>
        <v>https://d0f6bd738d7f1b3e5a7ca70fe4ff75f0.us-east-1.aws.found.io/app/kibana#/discover/Steve-Slow-Train-Analysis-(2080s-and-2083s)?_g=(refreshInterval:(display:Off,pause:!f,section:0,value:0),time:(from:'2017-11-13T17:59:23-0700',mode:absolute,to:'2017-11-13T20:24:05-0700'))&amp;_a=(columns:!('Message%20ID',Summary),filters:!(),index:'emp_*',interval:auto,query:(query_string:(analyze_wildcard:!t,query:'%22rtdc.l.rtdc.4036%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843</v>
      </c>
      <c r="B202" s="7">
        <v>4035</v>
      </c>
      <c r="C202" s="21" t="s">
        <v>192</v>
      </c>
      <c r="D202" s="21" t="s">
        <v>1062</v>
      </c>
      <c r="E202" s="13">
        <v>43052.852812500001</v>
      </c>
      <c r="F202" s="13">
        <v>43052.861805555556</v>
      </c>
      <c r="G202" s="7">
        <v>64</v>
      </c>
      <c r="H202" s="21" t="s">
        <v>605</v>
      </c>
      <c r="I202" s="13">
        <v>43052.871516203704</v>
      </c>
      <c r="J202" s="7">
        <v>0</v>
      </c>
      <c r="K202" s="89" t="str">
        <f t="shared" si="60"/>
        <v>4035/4036</v>
      </c>
      <c r="L202" s="185" t="str">
        <f>VLOOKUP(A202,'Trips&amp;Operators'!$C$1:$G$99911,5,FALSE)</f>
        <v>MAGEE KENYA</v>
      </c>
      <c r="M202" s="6">
        <f t="shared" si="61"/>
        <v>9.710648148029577E-3</v>
      </c>
      <c r="N202" s="7">
        <f t="shared" si="62"/>
        <v>13.983333333162591</v>
      </c>
      <c r="O202" s="7"/>
      <c r="P202" s="7"/>
      <c r="Q202" s="22"/>
      <c r="R202" s="174"/>
      <c r="S202" s="221">
        <f t="shared" si="63"/>
        <v>1</v>
      </c>
      <c r="T202" s="174" t="str">
        <f t="shared" si="64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5"/>
        <v>https://d0f6bd738d7f1b3e5a7ca70fe4ff75f0.us-east-1.aws.found.io/app/kibana#/discover/Steve-Slow-Train-Analysis-(2080s-and-2083s)?_g=(refreshInterval:(display:Off,pause:!f,section:0,value:0),time:(from:'2017-11-13T19:28:03-0700',mode:absolute,to:'2017-11-13T21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2" s="204" t="str">
        <f>IF(AA202&lt;VLOOKUP(AG202,Variables!$AC$3:$AD$8,2,FALSE),"Y","N")</f>
        <v>N</v>
      </c>
      <c r="X202" s="204">
        <f t="shared" si="66"/>
        <v>1</v>
      </c>
      <c r="Y202" s="204">
        <f t="shared" si="67"/>
        <v>5.8648999999999996</v>
      </c>
      <c r="Z202" s="204">
        <f t="shared" si="68"/>
        <v>8.48E-2</v>
      </c>
      <c r="AA202" s="204">
        <f t="shared" si="69"/>
        <v>5.7800999999999991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70"/>
        <v>842</v>
      </c>
      <c r="AE202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202" s="74" t="str">
        <f t="shared" si="72"/>
        <v>"C:\Program Files (x86)\AstroGrep\AstroGrep.exe" /e /r /s /spath="%USERPROFILE%\AppData\Local\Temp\OnboardLogs" /stypes="app*4035*20171114*" /stext=" 03:.+((SYSTEM_STATE.+slice.+state.+changed )|(ment ac)|(multiple cpu faults)|(system.+state.+changed )|(\[timeout)|(PRM\|1\|D)|(kpr)|(kdp)|(train st.+moving)|(\|lc)|(penalty))"</v>
      </c>
      <c r="AG202" s="182" t="str">
        <f t="shared" si="73"/>
        <v>NW</v>
      </c>
      <c r="AH202" s="78" t="str">
        <f t="shared" si="90"/>
        <v>"%USERPROFILE%\Documents\GitHub\eaglep3\Utilities\RefineRTDCRunTimes.py" --tripid 842-13 --locoid 4035 --swversion DE.1.0.9.0 --startMP 300:58649 --initTime 2017-11-13T20:28:03 --startdatetime 2017-11-13T20:41:00 --delay 64 --endMP 204:848 --enddatetime 2017-11-13T20:54:59 --enforcementcount 0 &gt;&gt;%USERPROFILE%\Documents\GitHub\eaglep3-reporting\EC\2017-11-13-refined-times.txt</v>
      </c>
      <c r="AI202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{"issue":{"subject":"","project_id":79,"tracker_id":40,"status_id":1,"priority_id":2,"assigned_to_id":338,"start_date":"2017-11-13","description":"","custom_fields":[{"id":1,"name":"Subdivision","value":"NW"},{"id":4,"name":"Milepost","value":"0.0848"},{"id":17,"name":"Train ID","value":"842-13"},{"id":16,"name":"Locomotive ID","value":"4035"},{"id":130,"name":"Impact","value":""},{"id":150,"name":"Time of Event (Mountain Time)","value":"20:54:59"},{"id":151,"name":"Denver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92"/>
        <v>start /low /b %USERPROFILE%\Documents\GitHub\eaglep3\Utilities\DownloadLogsFromS3.py --loco 4035 --day 2017-11-13</v>
      </c>
      <c r="AN202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4"/>
        <v>https://d0f6bd738d7f1b3e5a7ca70fe4ff75f0.us-east-1.aws.found.io/app/kibana#/discover/Steve-Slow-Train-Analysis-(2080s-and-2083s)?_g=(refreshInterval:(display:Off,pause:!f,section:0,value:0),time:(from:'2017-11-13T19:28:03-0700',mode:absolute,to:'2017-11-13T21:54:59-0700'))&amp;_a=(columns:!('Message%20ID',Summary),filters:!(),index:'emp_*',interval:auto,query:(query_string:(analyze_wildcard:!t,query:'%22rtdc.l.rtdc.4035%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840</v>
      </c>
      <c r="B203" s="7">
        <v>4036</v>
      </c>
      <c r="C203" s="21" t="s">
        <v>192</v>
      </c>
      <c r="D203" s="21" t="s">
        <v>1063</v>
      </c>
      <c r="E203" s="13">
        <v>43052.835763888892</v>
      </c>
      <c r="F203" s="13">
        <v>43052.839826388888</v>
      </c>
      <c r="G203" s="7">
        <v>59</v>
      </c>
      <c r="H203" s="21" t="s">
        <v>1064</v>
      </c>
      <c r="I203" s="13">
        <v>43052.849826388891</v>
      </c>
      <c r="J203" s="7">
        <v>0</v>
      </c>
      <c r="K203" s="89" t="str">
        <f t="shared" si="60"/>
        <v>4035/4036</v>
      </c>
      <c r="L203" s="185" t="str">
        <f>VLOOKUP(A203,'Trips&amp;Operators'!$C$1:$G$99911,5,FALSE)</f>
        <v>MAGEE KENYA</v>
      </c>
      <c r="M203" s="6">
        <f t="shared" si="61"/>
        <v>1.0000000002037268E-2</v>
      </c>
      <c r="N203" s="7">
        <f t="shared" si="62"/>
        <v>14.400000002933666</v>
      </c>
      <c r="O203" s="7"/>
      <c r="P203" s="7"/>
      <c r="Q203" s="22"/>
      <c r="R203" s="174"/>
      <c r="S203" s="221">
        <f t="shared" si="63"/>
        <v>1</v>
      </c>
      <c r="T203" s="174" t="str">
        <f t="shared" si="64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5"/>
        <v>https://d0f6bd738d7f1b3e5a7ca70fe4ff75f0.us-east-1.aws.found.io/app/kibana#/discover/Steve-Slow-Train-Analysis-(2080s-and-2083s)?_g=(refreshInterval:(display:Off,pause:!f,section:0,value:0),time:(from:'2017-11-13T19:03:30-0700',mode:absolute,to:'2017-11-13T21:23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3" s="204" t="str">
        <f>IF(AA203&lt;VLOOKUP(AG203,Variables!$AC$3:$AD$8,2,FALSE),"Y","N")</f>
        <v>N</v>
      </c>
      <c r="X203" s="204">
        <f t="shared" si="66"/>
        <v>1</v>
      </c>
      <c r="Y203" s="204">
        <f t="shared" si="67"/>
        <v>0.1009</v>
      </c>
      <c r="Z203" s="204">
        <f t="shared" si="68"/>
        <v>5.8967000000000001</v>
      </c>
      <c r="AA203" s="204">
        <f t="shared" si="69"/>
        <v>5.7957999999999998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70"/>
        <v>843</v>
      </c>
      <c r="AE203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203" s="74" t="str">
        <f t="shared" si="72"/>
        <v>"C:\Program Files (x86)\AstroGrep\AstroGrep.exe" /e /r /s /spath="%USERPROFILE%\AppData\Local\Temp\OnboardLogs" /stypes="app*4036*20171114*" /stext=" 03:.+((SYSTEM_STATE.+slice.+state.+changed )|(ment ac)|(multiple cpu faults)|(system.+state.+changed )|(\[timeout)|(PRM\|1\|D)|(kpr)|(kdp)|(train st.+moving)|(\|lc)|(penalty))"</v>
      </c>
      <c r="AG203" s="182" t="str">
        <f t="shared" si="73"/>
        <v>NW</v>
      </c>
      <c r="AH203" s="78" t="str">
        <f t="shared" si="90"/>
        <v>"%USERPROFILE%\Documents\GitHub\eaglep3\Utilities\RefineRTDCRunTimes.py" --tripid 843-13 --locoid 4036 --swversion DE.1.0.9.0 --startMP 204:1009 --initTime 2017-11-13T20:03:30 --startdatetime 2017-11-13T20:09:21 --delay 59 --endMP 300:58967 --enddatetime 2017-11-13T20:23:45 --enforcementcount 0 &gt;&gt;%USERPROFILE%\Documents\GitHub\eaglep3-reporting\EC\2017-11-13-refined-times.txt</v>
      </c>
      <c r="AI203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{"issue":{"subject":"","project_id":79,"tracker_id":40,"status_id":1,"priority_id":2,"assigned_to_id":338,"start_date":"2017-11-13","description":"","custom_fields":[{"id":1,"name":"Subdivision","value":"NW"},{"id":4,"name":"Milepost","value":"5.8967"},{"id":17,"name":"Train ID","value":"843-13"},{"id":16,"name":"Locomotive ID","value":"4036"},{"id":130,"name":"Impact","value":""},{"id":150,"name":"Time of Event (Mountain Time)","value":"20:23:45"},{"id":151,"name":"Denver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92"/>
        <v>start /low /b %USERPROFILE%\Documents\GitHub\eaglep3\Utilities\DownloadLogsFromS3.py --loco 4036 --day 2017-11-13</v>
      </c>
      <c r="AN203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4"/>
        <v>https://d0f6bd738d7f1b3e5a7ca70fe4ff75f0.us-east-1.aws.found.io/app/kibana#/discover/Steve-Slow-Train-Analysis-(2080s-and-2083s)?_g=(refreshInterval:(display:Off,pause:!f,section:0,value:0),time:(from:'2017-11-13T19:03:30-0700',mode:absolute,to:'2017-11-13T21:23:45-0700'))&amp;_a=(columns:!('Message%20ID',Summary),filters:!(),index:'emp_*',interval:auto,query:(query_string:(analyze_wildcard:!t,query:'%22rtdc.l.rtdc.4036%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847</v>
      </c>
      <c r="B204" s="7">
        <v>4035</v>
      </c>
      <c r="C204" s="21" t="s">
        <v>192</v>
      </c>
      <c r="D204" s="21" t="s">
        <v>608</v>
      </c>
      <c r="E204" s="13">
        <v>43052.892754629633</v>
      </c>
      <c r="F204" s="13">
        <v>43052.90347222222</v>
      </c>
      <c r="G204" s="7">
        <v>123</v>
      </c>
      <c r="H204" s="21" t="s">
        <v>1065</v>
      </c>
      <c r="I204" s="13">
        <v>43052.913611111115</v>
      </c>
      <c r="J204" s="7">
        <v>0</v>
      </c>
      <c r="K204" s="89" t="str">
        <f t="shared" si="60"/>
        <v>4035/4036</v>
      </c>
      <c r="L204" s="185" t="str">
        <f>VLOOKUP(A204,'Trips&amp;Operators'!$C$1:$G$99911,5,FALSE)</f>
        <v>ANDREA WILLIAMS</v>
      </c>
      <c r="M204" s="6">
        <f t="shared" si="61"/>
        <v>1.0138888894289266E-2</v>
      </c>
      <c r="N204" s="7">
        <f t="shared" si="62"/>
        <v>14.600000007776543</v>
      </c>
      <c r="O204" s="7"/>
      <c r="P204" s="7"/>
      <c r="Q204" s="22"/>
      <c r="R204" s="174"/>
      <c r="S204" s="221">
        <f t="shared" si="63"/>
        <v>1</v>
      </c>
      <c r="T204" s="174" t="str">
        <f t="shared" si="64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5"/>
        <v>https://d0f6bd738d7f1b3e5a7ca70fe4ff75f0.us-east-1.aws.found.io/app/kibana#/discover/Steve-Slow-Train-Analysis-(2080s-and-2083s)?_g=(refreshInterval:(display:Off,pause:!f,section:0,value:0),time:(from:'2017-11-13T20:25:34-0700',mode:absolute,to:'2017-11-13T22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4" s="204" t="str">
        <f>IF(AA204&lt;VLOOKUP(AG204,Variables!$AC$3:$AD$8,2,FALSE),"Y","N")</f>
        <v>N</v>
      </c>
      <c r="X204" s="204">
        <f t="shared" si="66"/>
        <v>1</v>
      </c>
      <c r="Y204" s="204">
        <f t="shared" si="67"/>
        <v>5.8643000000000001</v>
      </c>
      <c r="Z204" s="204">
        <f t="shared" si="68"/>
        <v>7.1900000000000006E-2</v>
      </c>
      <c r="AA204" s="204">
        <f t="shared" si="69"/>
        <v>5.7923999999999998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70"/>
        <v>844</v>
      </c>
      <c r="AE204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204" s="74" t="str">
        <f t="shared" si="72"/>
        <v>"C:\Program Files (x86)\AstroGrep\AstroGrep.exe" /e /r /s /spath="%USERPROFILE%\AppData\Local\Temp\OnboardLogs" /stypes="app*4035*20171114*" /stext=" 04:.+((SYSTEM_STATE.+slice.+state.+changed )|(ment ac)|(multiple cpu faults)|(system.+state.+changed )|(\[timeout)|(PRM\|1\|D)|(kpr)|(kdp)|(train st.+moving)|(\|lc)|(penalty))"</v>
      </c>
      <c r="AG204" s="182" t="str">
        <f t="shared" si="73"/>
        <v>NW</v>
      </c>
      <c r="AH204" s="78" t="str">
        <f t="shared" si="90"/>
        <v>"%USERPROFILE%\Documents\GitHub\eaglep3\Utilities\RefineRTDCRunTimes.py" --tripid 844-13 --locoid 4035 --swversion DE.1.0.9.0 --startMP 300:58643 --initTime 2017-11-13T21:25:34 --startdatetime 2017-11-13T21:41:00 --delay 123 --endMP 204:719 --enddatetime 2017-11-13T21:55:36 --enforcementcount 0 &gt;&gt;%USERPROFILE%\Documents\GitHub\eaglep3-reporting\EC\2017-11-13-refined-times.txt</v>
      </c>
      <c r="AI204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{"issue":{"subject":"","project_id":79,"tracker_id":40,"status_id":1,"priority_id":2,"assigned_to_id":338,"start_date":"2017-11-13","description":"","custom_fields":[{"id":1,"name":"Subdivision","value":"NW"},{"id":4,"name":"Milepost","value":"0.0719"},{"id":17,"name":"Train ID","value":"844-13"},{"id":16,"name":"Locomotive ID","value":"4035"},{"id":130,"name":"Impact","value":""},{"id":150,"name":"Time of Event (Mountain Time)","value":"21:55:36"},{"id":151,"name":"Denver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92"/>
        <v>start /low /b %USERPROFILE%\Documents\GitHub\eaglep3\Utilities\DownloadLogsFromS3.py --loco 4035 --day 2017-11-13</v>
      </c>
      <c r="AN204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4"/>
        <v>https://d0f6bd738d7f1b3e5a7ca70fe4ff75f0.us-east-1.aws.found.io/app/kibana#/discover/Steve-Slow-Train-Analysis-(2080s-and-2083s)?_g=(refreshInterval:(display:Off,pause:!f,section:0,value:0),time:(from:'2017-11-13T20:25:34-0700',mode:absolute,to:'2017-11-13T22:55:36-0700'))&amp;_a=(columns:!('Message%20ID',Summary),filters:!(),index:'emp_*',interval:auto,query:(query_string:(analyze_wildcard:!t,query:'%22rtdc.l.rtdc.4035%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844</v>
      </c>
      <c r="B205" s="7">
        <v>4036</v>
      </c>
      <c r="C205" s="21" t="s">
        <v>192</v>
      </c>
      <c r="D205" s="21" t="s">
        <v>1066</v>
      </c>
      <c r="E205" s="13">
        <v>43052.875428240739</v>
      </c>
      <c r="F205" s="13">
        <v>43052.881574074076</v>
      </c>
      <c r="G205" s="7">
        <v>139</v>
      </c>
      <c r="H205" s="21" t="s">
        <v>1067</v>
      </c>
      <c r="I205" s="13">
        <v>43052.891122685185</v>
      </c>
      <c r="J205" s="7">
        <v>0</v>
      </c>
      <c r="K205" s="89" t="str">
        <f t="shared" si="60"/>
        <v>4035/4036</v>
      </c>
      <c r="L205" s="185" t="str">
        <f>VLOOKUP(A205,'Trips&amp;Operators'!$C$1:$G$99911,5,FALSE)</f>
        <v>ANDREA WILLIAMS</v>
      </c>
      <c r="M205" s="6">
        <f t="shared" si="61"/>
        <v>9.5486111094942316E-3</v>
      </c>
      <c r="N205" s="7">
        <f t="shared" si="62"/>
        <v>13.749999997671694</v>
      </c>
      <c r="O205" s="7"/>
      <c r="P205" s="7"/>
      <c r="Q205" s="22"/>
      <c r="R205" s="174"/>
      <c r="S205" s="221">
        <f t="shared" si="63"/>
        <v>1</v>
      </c>
      <c r="T205" s="174" t="str">
        <f t="shared" si="64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65"/>
        <v>https://d0f6bd738d7f1b3e5a7ca70fe4ff75f0.us-east-1.aws.found.io/app/kibana#/discover/Steve-Slow-Train-Analysis-(2080s-and-2083s)?_g=(refreshInterval:(display:Off,pause:!f,section:0,value:0),time:(from:'2017-11-13T20:00:37-0700',mode:absolute,to:'2017-11-13T22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5" s="204" t="str">
        <f>IF(AA205&lt;VLOOKUP(AG205,Variables!$AC$3:$AD$8,2,FALSE),"Y","N")</f>
        <v>N</v>
      </c>
      <c r="X205" s="204">
        <f t="shared" si="66"/>
        <v>1</v>
      </c>
      <c r="Y205" s="204">
        <f t="shared" si="67"/>
        <v>0.1135</v>
      </c>
      <c r="Z205" s="204">
        <f t="shared" si="68"/>
        <v>5.8958000000000004</v>
      </c>
      <c r="AA205" s="204">
        <f t="shared" si="69"/>
        <v>5.7823000000000002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si="70"/>
        <v>845</v>
      </c>
      <c r="AE205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205" s="74" t="str">
        <f t="shared" si="72"/>
        <v>"C:\Program Files (x86)\AstroGrep\AstroGrep.exe" /e /r /s /spath="%USERPROFILE%\AppData\Local\Temp\OnboardLogs" /stypes="app*4036*20171114*" /stext=" 04:.+((SYSTEM_STATE.+slice.+state.+changed )|(ment ac)|(multiple cpu faults)|(system.+state.+changed )|(\[timeout)|(PRM\|1\|D)|(kpr)|(kdp)|(train st.+moving)|(\|lc)|(penalty))"</v>
      </c>
      <c r="AG205" s="182" t="str">
        <f t="shared" si="73"/>
        <v>NW</v>
      </c>
      <c r="AH205" s="78" t="str">
        <f t="shared" si="90"/>
        <v>"%USERPROFILE%\Documents\GitHub\eaglep3\Utilities\RefineRTDCRunTimes.py" --tripid 845-13 --locoid 4036 --swversion DE.1.0.9.0 --startMP 204:1135 --initTime 2017-11-13T21:00:37 --startdatetime 2017-11-13T21:09:28 --delay 139 --endMP 300:58958 --enddatetime 2017-11-13T21:23:13 --enforcementcount 0 &gt;&gt;%USERPROFILE%\Documents\GitHub\eaglep3-reporting\EC\2017-11-13-refined-times.txt</v>
      </c>
      <c r="AI205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{"issue":{"subject":"","project_id":79,"tracker_id":40,"status_id":1,"priority_id":2,"assigned_to_id":338,"start_date":"2017-11-13","description":"","custom_fields":[{"id":1,"name":"Subdivision","value":"NW"},{"id":4,"name":"Milepost","value":"5.8958"},{"id":17,"name":"Train ID","value":"845-13"},{"id":16,"name":"Locomotive ID","value":"4036"},{"id":130,"name":"Impact","value":""},{"id":150,"name":"Time of Event (Mountain Time)","value":"21:23:13"},{"id":151,"name":"Denver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2"/>
        <v>start /low /b %USERPROFILE%\Documents\GitHub\eaglep3\Utilities\DownloadLogsFromS3.py --loco 4036 --day 2017-11-13</v>
      </c>
      <c r="AN205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04:23:13"},{"id":29,"name":"Sharepoint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4"/>
        <v>https://d0f6bd738d7f1b3e5a7ca70fe4ff75f0.us-east-1.aws.found.io/app/kibana#/discover/Steve-Slow-Train-Analysis-(2080s-and-2083s)?_g=(refreshInterval:(display:Off,pause:!f,section:0,value:0),time:(from:'2017-11-13T20:00:37-0700',mode:absolute,to:'2017-11-13T22:23:13-0700'))&amp;_a=(columns:!('Message%20ID',Summary),filters:!(),index:'emp_*',interval:auto,query:(query_string:(analyze_wildcard:!t,query:'%22rtdc.l.rtdc.4036%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853</v>
      </c>
      <c r="B206" s="7">
        <v>4035</v>
      </c>
      <c r="C206" s="21" t="s">
        <v>192</v>
      </c>
      <c r="D206" s="21" t="s">
        <v>1068</v>
      </c>
      <c r="E206" s="13">
        <v>43052.933287037034</v>
      </c>
      <c r="F206" s="13">
        <v>43052.945138888892</v>
      </c>
      <c r="G206" s="7">
        <v>107</v>
      </c>
      <c r="H206" s="21" t="s">
        <v>1069</v>
      </c>
      <c r="I206" s="13">
        <v>43052.954699074071</v>
      </c>
      <c r="J206" s="7">
        <v>0</v>
      </c>
      <c r="K206" s="89" t="str">
        <f t="shared" si="60"/>
        <v>4035/4036</v>
      </c>
      <c r="L206" s="185" t="str">
        <f>VLOOKUP(A206,'Trips&amp;Operators'!$C$1:$G$99911,5,FALSE)</f>
        <v>ANDREA WILLIAMS</v>
      </c>
      <c r="M206" s="6">
        <f t="shared" si="61"/>
        <v>9.5601851789979264E-3</v>
      </c>
      <c r="N206" s="7">
        <f t="shared" si="62"/>
        <v>13.766666657757014</v>
      </c>
      <c r="O206" s="7"/>
      <c r="P206" s="7"/>
      <c r="Q206" s="22"/>
      <c r="R206" s="174"/>
      <c r="S206" s="221">
        <f t="shared" si="63"/>
        <v>1</v>
      </c>
      <c r="T206" s="174" t="str">
        <f t="shared" si="64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65"/>
        <v>https://d0f6bd738d7f1b3e5a7ca70fe4ff75f0.us-east-1.aws.found.io/app/kibana#/discover/Steve-Slow-Train-Analysis-(2080s-and-2083s)?_g=(refreshInterval:(display:Off,pause:!f,section:0,value:0),time:(from:'2017-11-13T21:23:56-0700',mode:absolute,to:'2017-11-13T23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6" s="204" t="str">
        <f>IF(AA206&lt;VLOOKUP(AG206,Variables!$AC$3:$AD$8,2,FALSE),"Y","N")</f>
        <v>N</v>
      </c>
      <c r="X206" s="204">
        <f t="shared" si="66"/>
        <v>1</v>
      </c>
      <c r="Y206" s="204">
        <f t="shared" si="67"/>
        <v>5.8624000000000001</v>
      </c>
      <c r="Z206" s="204">
        <f t="shared" si="68"/>
        <v>6.9099999999999995E-2</v>
      </c>
      <c r="AA206" s="204">
        <f t="shared" si="69"/>
        <v>5.7933000000000003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70"/>
        <v>846</v>
      </c>
      <c r="AE206" s="77" t="str">
        <f t="shared" si="71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206" s="74" t="str">
        <f t="shared" si="72"/>
        <v>"C:\Program Files (x86)\AstroGrep\AstroGrep.exe" /e /r /s /spath="%USERPROFILE%\AppData\Local\Temp\OnboardLogs" /stypes="app*4035*20171114*" /stext=" 05:.+((SYSTEM_STATE.+slice.+state.+changed )|(ment ac)|(multiple cpu faults)|(system.+state.+changed )|(\[timeout)|(PRM\|1\|D)|(kpr)|(kdp)|(train st.+moving)|(\|lc)|(penalty))"</v>
      </c>
      <c r="AG206" s="182" t="str">
        <f t="shared" si="73"/>
        <v>NW</v>
      </c>
      <c r="AH206" s="78" t="str">
        <f t="shared" si="90"/>
        <v>"%USERPROFILE%\Documents\GitHub\eaglep3\Utilities\RefineRTDCRunTimes.py" --tripid 846-13 --locoid 4035 --swversion DE.1.0.9.0 --startMP 300:58624 --initTime 2017-11-13T22:23:56 --startdatetime 2017-11-13T22:41:00 --delay 107 --endMP 204:691 --enddatetime 2017-11-13T22:54:46 --enforcementcount 0 &gt;&gt;%USERPROFILE%\Documents\GitHub\eaglep3-reporting\EC\2017-11-13-refined-times.txt</v>
      </c>
      <c r="AI206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{"issue":{"subject":"","project_id":79,"tracker_id":40,"status_id":1,"priority_id":2,"assigned_to_id":338,"start_date":"2017-11-13","description":"","custom_fields":[{"id":1,"name":"Subdivision","value":"NW"},{"id":4,"name":"Milepost","value":"0.0691"},{"id":17,"name":"Train ID","value":"846-13"},{"id":16,"name":"Locomotive ID","value":"4035"},{"id":130,"name":"Impact","value":""},{"id":150,"name":"Time of Event (Mountain Time)","value":"22:54:46"},{"id":151,"name":"Denver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92"/>
        <v>start /low /b %USERPROFILE%\Documents\GitHub\eaglep3\Utilities\DownloadLogsFromS3.py --loco 4035 --day 2017-11-13</v>
      </c>
      <c r="AN206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05:54:46"},{"id":29,"name":"Sharepoint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4"/>
        <v>https://d0f6bd738d7f1b3e5a7ca70fe4ff75f0.us-east-1.aws.found.io/app/kibana#/discover/Steve-Slow-Train-Analysis-(2080s-and-2083s)?_g=(refreshInterval:(display:Off,pause:!f,section:0,value:0),time:(from:'2017-11-13T21:23:56-0700',mode:absolute,to:'2017-11-13T23:54:46-0700'))&amp;_a=(columns:!('Message%20ID',Summary),filters:!(),index:'emp_*',interval:auto,query:(query_string:(analyze_wildcard:!t,query:'%22rtdc.l.rtdc.4035%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850</v>
      </c>
      <c r="B207" s="7">
        <v>4036</v>
      </c>
      <c r="C207" s="21" t="s">
        <v>192</v>
      </c>
      <c r="D207" s="21" t="s">
        <v>1070</v>
      </c>
      <c r="E207" s="13">
        <v>43052.91578703704</v>
      </c>
      <c r="F207" s="13">
        <v>43052.923159722224</v>
      </c>
      <c r="G207" s="7">
        <v>58</v>
      </c>
      <c r="H207" s="21" t="s">
        <v>1071</v>
      </c>
      <c r="I207" s="13">
        <v>43052.932280092595</v>
      </c>
      <c r="J207" s="7">
        <v>0</v>
      </c>
      <c r="K207" s="89" t="str">
        <f t="shared" si="60"/>
        <v>4035/4036</v>
      </c>
      <c r="L207" s="185" t="str">
        <f>VLOOKUP(A207,'Trips&amp;Operators'!$C$1:$G$99911,5,FALSE)</f>
        <v>ANDREA WILLIAMS</v>
      </c>
      <c r="M207" s="6">
        <f t="shared" si="61"/>
        <v>9.1203703705104999E-3</v>
      </c>
      <c r="N207" s="7">
        <f t="shared" si="62"/>
        <v>13.13333333353512</v>
      </c>
      <c r="O207" s="7"/>
      <c r="P207" s="7"/>
      <c r="Q207" s="22"/>
      <c r="R207" s="174"/>
      <c r="S207" s="221">
        <f t="shared" si="63"/>
        <v>1</v>
      </c>
      <c r="T207" s="174" t="str">
        <f t="shared" si="64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65"/>
        <v>https://d0f6bd738d7f1b3e5a7ca70fe4ff75f0.us-east-1.aws.found.io/app/kibana#/discover/Steve-Slow-Train-Analysis-(2080s-and-2083s)?_g=(refreshInterval:(display:Off,pause:!f,section:0,value:0),time:(from:'2017-11-13T20:58:44-0700',mode:absolute,to:'2017-11-13T23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04" t="str">
        <f>IF(AA207&lt;VLOOKUP(AG207,Variables!$AC$3:$AD$8,2,FALSE),"Y","N")</f>
        <v>N</v>
      </c>
      <c r="X207" s="204">
        <f t="shared" si="66"/>
        <v>1</v>
      </c>
      <c r="Y207" s="204">
        <f t="shared" si="67"/>
        <v>0.1002</v>
      </c>
      <c r="Z207" s="204">
        <f t="shared" si="68"/>
        <v>5.8929</v>
      </c>
      <c r="AA207" s="204">
        <f t="shared" si="69"/>
        <v>5.7927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70"/>
        <v>847</v>
      </c>
      <c r="AE207" s="77" t="str">
        <f t="shared" si="71"/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207" s="74" t="str">
        <f t="shared" si="72"/>
        <v>"C:\Program Files (x86)\AstroGrep\AstroGrep.exe" /e /r /s /spath="%USERPROFILE%\AppData\Local\Temp\OnboardLogs" /stypes="app*4036*20171114*" /stext=" 05:.+((SYSTEM_STATE.+slice.+state.+changed )|(ment ac)|(multiple cpu faults)|(system.+state.+changed )|(\[timeout)|(PRM\|1\|D)|(kpr)|(kdp)|(train st.+moving)|(\|lc)|(penalty))"</v>
      </c>
      <c r="AG207" s="182" t="str">
        <f t="shared" si="73"/>
        <v>NW</v>
      </c>
      <c r="AH207" s="78" t="str">
        <f t="shared" si="90"/>
        <v>"%USERPROFILE%\Documents\GitHub\eaglep3\Utilities\RefineRTDCRunTimes.py" --tripid 847-13 --locoid 4036 --swversion DE.1.0.9.0 --startMP 204:1002 --initTime 2017-11-13T21:58:44 --startdatetime 2017-11-13T22:09:21 --delay 58 --endMP 300:58929 --enddatetime 2017-11-13T22:22:29 --enforcementcount 0 &gt;&gt;%USERPROFILE%\Documents\GitHub\eaglep3-reporting\EC\2017-11-13-refined-times.txt</v>
      </c>
      <c r="AI207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{"issue":{"subject":"","project_id":79,"tracker_id":40,"status_id":1,"priority_id":2,"assigned_to_id":338,"start_date":"2017-11-13","description":"","custom_fields":[{"id":1,"name":"Subdivision","value":"NW"},{"id":4,"name":"Milepost","value":"5.8929"},{"id":17,"name":"Train ID","value":"847-13"},{"id":16,"name":"Locomotive ID","value":"4036"},{"id":130,"name":"Impact","value":""},{"id":150,"name":"Time of Event (Mountain Time)","value":"22:22:29"},{"id":151,"name":"Denver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2"/>
        <v>start /low /b %USERPROFILE%\Documents\GitHub\eaglep3\Utilities\DownloadLogsFromS3.py --loco 4036 --day 2017-11-13</v>
      </c>
      <c r="AN207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05:22:29"},{"id":29,"name":"Sharepoint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4"/>
        <v>https://d0f6bd738d7f1b3e5a7ca70fe4ff75f0.us-east-1.aws.found.io/app/kibana#/discover/Steve-Slow-Train-Analysis-(2080s-and-2083s)?_g=(refreshInterval:(display:Off,pause:!f,section:0,value:0),time:(from:'2017-11-13T20:58:44-0700',mode:absolute,to:'2017-11-13T23:22:29-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655</v>
      </c>
      <c r="B208" s="7">
        <v>4036</v>
      </c>
      <c r="C208" s="21" t="s">
        <v>192</v>
      </c>
      <c r="D208" s="21" t="s">
        <v>1072</v>
      </c>
      <c r="E208" s="13">
        <v>43052.957627314812</v>
      </c>
      <c r="F208" s="13">
        <v>43052.964907407404</v>
      </c>
      <c r="G208" s="7">
        <v>70</v>
      </c>
      <c r="H208" s="21" t="s">
        <v>601</v>
      </c>
      <c r="I208" s="13">
        <v>43052.975925925923</v>
      </c>
      <c r="J208" s="7">
        <v>0</v>
      </c>
      <c r="K208" s="89" t="str">
        <f t="shared" ref="K208:K232" si="159">IF(ISEVEN(B208),(B208-1)&amp;"/"&amp;B208,B208&amp;"/"&amp;(B208+1))</f>
        <v>4035/4036</v>
      </c>
      <c r="L208" s="185" t="str">
        <f>VLOOKUP(A208,'Trips&amp;Operators'!$C$1:$G$99911,5,FALSE)</f>
        <v>ANDREA WILLIAMS</v>
      </c>
      <c r="M208" s="6">
        <f t="shared" ref="M208:M232" si="160">I208-F208</f>
        <v>1.1018518518540077E-2</v>
      </c>
      <c r="N208" s="7">
        <f t="shared" ref="N208:N232" si="161">24*60*SUM($M208:$M208)</f>
        <v>15.866666666697711</v>
      </c>
      <c r="O208" s="7"/>
      <c r="P208" s="7"/>
      <c r="Q208" s="22"/>
      <c r="R208" s="174"/>
      <c r="S208" s="221">
        <f t="shared" ref="S208:S232" si="162">1/IF(AG208="EC",12,1)*SUM(U208:U208)</f>
        <v>1</v>
      </c>
      <c r="T208" s="174" t="str">
        <f t="shared" ref="T208:T232" si="163"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ref="V208:V232" si="164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-13T21:58:59-0700',mode:absolute,to:'2017-11-14T00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8" s="204" t="str">
        <f>IF(AA208&lt;VLOOKUP(AG208,Variables!$AC$3:$AD$8,2,FALSE),"Y","N")</f>
        <v>N</v>
      </c>
      <c r="X208" s="204">
        <f t="shared" ref="X208:X232" si="165">VALUE(LEFT(AD208,4))-VALUE(LEFT(AD207,4))</f>
        <v>2</v>
      </c>
      <c r="Y208" s="204">
        <f t="shared" ref="Y208:Y232" si="166">RIGHT(D208,LEN(D208)-4)/10000</f>
        <v>9.7600000000000006E-2</v>
      </c>
      <c r="Z208" s="204">
        <f t="shared" ref="Z208:Z232" si="167">RIGHT(H208,LEN(H208)-4)/10000</f>
        <v>5.8935000000000004</v>
      </c>
      <c r="AA208" s="204">
        <f t="shared" ref="AA208:AA232" si="168">ABS(Z208-Y208)</f>
        <v>5.7959000000000005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ref="AD208:AD232" si="169">VALUE(LEFT(A208,LEN(A208)-3))</f>
        <v>849</v>
      </c>
      <c r="AE208" s="77" t="str">
        <f t="shared" ref="AE208:AE232" si="170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AF208" s="74" t="str">
        <f t="shared" ref="AF208:AF232" si="171"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/stypes="app*4036*20171114*" /stext=" 06:.+((SYSTEM_STATE.+slice.+state.+changed )|(ment ac)|(multiple cpu faults)|(system.+state.+changed )|(\[timeout)|(PRM\|1\|D)|(kpr)|(kdp)|(train st.+moving)|(\|lc)|(penalty))"</v>
      </c>
      <c r="AG208" s="182" t="str">
        <f t="shared" ref="AG208:AG232" si="172">DetSubdiv(A208)</f>
        <v>NW</v>
      </c>
      <c r="AH208" s="78" t="str">
        <f t="shared" si="90"/>
        <v>"%USERPROFILE%\Documents\GitHub\eaglep3\Utilities\RefineRTDCRunTimes.py" --tripid 849-13 --locoid 4036 --swversion DE.1.0.9.0 --startMP 204:976 --initTime 2017-11-13T22:58:59 --startdatetime 2017-11-13T23:09:28 --delay 70 --endMP 300:58935 --enddatetime 2017-11-13T23:25:20 --enforcementcount 0 &gt;&gt;%USERPROFILE%\Documents\GitHub\eaglep3-reporting\EC\2017-11-13-refined-times.txt</v>
      </c>
      <c r="AI208" s="96" t="str">
        <f t="shared" si="91"/>
        <v>echo {"issue":{"subject":"","project_id":79,"tracker_id":40,"status_id":1,"priority_id":2,"assigned_to_id":338,"start_date":"2017-11-13","description":"","custom_fields":[{"id":1,"name":"Subdivision","value":"NW"},{"id":4,"name":"Milepost","value":"5.8935"},{"id":17,"name":"Train ID","value":"849-13"},{"id":16,"name":"Locomotive ID","value":"4036"},{"id":130,"name":"Impact","value":""},{"id":150,"name":"Time of Event (Mountain Time)","value":"23:25:20"},{"id":151,"name":"Denver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2"/>
        <v>start /low /b %USERPROFILE%\Documents\GitHub\eaglep3\Utilities\DownloadLogsFromS3.py --loco 4036 --day 2017-11-13</v>
      </c>
      <c r="AN208" s="151" t="str">
        <f t="shared" si="93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4"/>
        <v>https://d0f6bd738d7f1b3e5a7ca70fe4ff75f0.us-east-1.aws.found.io/app/kibana#/discover/Steve-Slow-Train-Analysis-(2080s-and-2083s)?_g=(refreshInterval:(display:Off,pause:!f,section:0,value:0),time:(from:'2017-11-13T21:58:59-0700',mode:absolute,to:'2017-11-14T00:25:20-0700'))&amp;_a=(columns:!('Message%20ID',Summary),filters:!(),index:'emp_*',interval:auto,query:(query_string:(analyze_wildcard:!t,query:'%22rtdc.l.rtdc.4036%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827</v>
      </c>
      <c r="B209" s="7">
        <v>4012</v>
      </c>
      <c r="C209" s="21" t="s">
        <v>192</v>
      </c>
      <c r="D209" s="21" t="s">
        <v>539</v>
      </c>
      <c r="E209" s="13">
        <v>43052.779699074075</v>
      </c>
      <c r="F209" s="13">
        <v>43052.784166666665</v>
      </c>
      <c r="G209" s="7">
        <v>58</v>
      </c>
      <c r="H209" s="21" t="s">
        <v>979</v>
      </c>
      <c r="I209" s="13">
        <v>43052.792187500003</v>
      </c>
      <c r="J209" s="7">
        <v>0</v>
      </c>
      <c r="K209" s="89" t="str">
        <f t="shared" si="159"/>
        <v>4011/4012</v>
      </c>
      <c r="L209" s="185" t="str">
        <f>VLOOKUP(A209,'Trips&amp;Operators'!$C$1:$G$99911,5,FALSE)</f>
        <v>LEVERE CRAIG</v>
      </c>
      <c r="M209" s="6">
        <f t="shared" si="160"/>
        <v>8.0208333383779973E-3</v>
      </c>
      <c r="N209" s="7">
        <f t="shared" si="161"/>
        <v>11.550000007264316</v>
      </c>
      <c r="O209" s="7"/>
      <c r="P209" s="7"/>
      <c r="Q209" s="22"/>
      <c r="R209" s="174"/>
      <c r="S209" s="221">
        <f t="shared" si="162"/>
        <v>1</v>
      </c>
      <c r="T209" s="174" t="str">
        <f t="shared" si="163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64"/>
        <v>https://d0f6bd738d7f1b3e5a7ca70fe4ff75f0.us-east-1.aws.found.io/app/kibana#/discover/Steve-Slow-Train-Analysis-(2080s-and-2083s)?_g=(refreshInterval:(display:Off,pause:!f,section:0,value:0),time:(from:'2017-11-13T17:42:46-0700',mode:absolute,to:'2017-11-13T20:00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9" s="204" t="str">
        <f>IF(AA209&lt;VLOOKUP(AG209,Variables!$AC$3:$AD$8,2,FALSE),"Y","N")</f>
        <v>Y</v>
      </c>
      <c r="X209" s="204">
        <f t="shared" si="165"/>
        <v>-548</v>
      </c>
      <c r="Y209" s="204">
        <f t="shared" si="166"/>
        <v>5.4800000000000001E-2</v>
      </c>
      <c r="Z209" s="204">
        <f t="shared" si="167"/>
        <v>2.3346</v>
      </c>
      <c r="AA209" s="204">
        <f t="shared" si="168"/>
        <v>2.2797999999999998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169"/>
        <v>301</v>
      </c>
      <c r="AE209" s="77" t="str">
        <f t="shared" si="170"/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AF209" s="74" t="str">
        <f t="shared" si="171"/>
        <v>"C:\Program Files (x86)\AstroGrep\AstroGrep.exe" /e /r /s /spath="%USERPROFILE%\AppData\Local\Temp\OnboardLogs" /stypes="app*4012*20171114*" /stext=" 02:.+((SYSTEM_STATE.+slice.+state.+changed )|(ment ac)|(multiple cpu faults)|(system.+state.+changed )|(\[timeout)|(PRM\|1\|D)|(kpr)|(kdp)|(train st.+moving)|(\|lc)|(penalty))"</v>
      </c>
      <c r="AG209" s="182" t="str">
        <f t="shared" si="172"/>
        <v>Other</v>
      </c>
      <c r="AH209" s="78" t="str">
        <f t="shared" ref="AH209:AH232" si="173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301-13 --locoid 4012 --swversion DE.1.0.9.0 --startMP 204:548 --initTime 2017-11-13T18:42:46 --startdatetime 2017-11-13T18:49:12 --delay 58 --endMP 300:23346 --enddatetime 2017-11-13T19:00:45 --enforcementcount 0 &gt;&gt;%USERPROFILE%\Documents\GitHub\eaglep3-reporting\EC\2017-11-13-refined-times.txt</v>
      </c>
      <c r="AI209" s="96" t="str">
        <f t="shared" ref="AI209:AI232" si="174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{"issue":{"subject":"","project_id":79,"tracker_id":40,"status_id":1,"priority_id":2,"assigned_to_id":338,"start_date":"2017-11-13","description":"","custom_fields":[{"id":1,"name":"Subdivision","value":"Other"},{"id":4,"name":"Milepost","value":"2.3346"},{"id":17,"name":"Train ID","value":"301-13"},{"id":16,"name":"Locomotive ID","value":"4012"},{"id":130,"name":"Impact","value":""},{"id":150,"name":"Time of Event (Mountain Time)","value":"19:00:45"},{"id":151,"name":"Denver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ref="AM209:AM232" si="175">"start /low /b "&amp;dls3logs&amp;" --loco "&amp;B209&amp;" --day "&amp;TEXT(F209,"YYYY-MM-DD")</f>
        <v>start /low /b %USERPROFILE%\Documents\GitHub\eaglep3\Utilities\DownloadLogsFromS3.py --loco 4012 --day 2017-11-13</v>
      </c>
      <c r="AN209" s="151" t="str">
        <f t="shared" ref="AN209:AN232" si="176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02:00:45"},{"id":29,"name":"Sharepoint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ref="AO209:AO232" si="177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-13T17:42:46-0700',mode:absolute,to:'2017-11-13T20:00:45-0700'))&amp;_a=(columns:!('Message%20ID',Summary),filters:!(),index:'emp_*',interval:auto,query:(query_string:(analyze_wildcard:!t,query:'%22rtdc.l.rtdc.4012%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662</v>
      </c>
      <c r="B210" s="7">
        <v>4009</v>
      </c>
      <c r="C210" s="21" t="s">
        <v>192</v>
      </c>
      <c r="D210" s="21" t="s">
        <v>980</v>
      </c>
      <c r="E210" s="13">
        <v>43052.140370370369</v>
      </c>
      <c r="F210" s="13">
        <v>43052.143993055557</v>
      </c>
      <c r="G210" s="7">
        <v>82</v>
      </c>
      <c r="H210" s="21" t="s">
        <v>881</v>
      </c>
      <c r="I210" s="13">
        <v>43052.149421296293</v>
      </c>
      <c r="J210" s="7">
        <v>0</v>
      </c>
      <c r="K210" s="89" t="str">
        <f t="shared" si="159"/>
        <v>4009/4010</v>
      </c>
      <c r="L210" s="185" t="str">
        <f>VLOOKUP(A210,'Trips&amp;Operators'!$C$1:$G$99911,5,FALSE)</f>
        <v>AUSTIN THOMPSON</v>
      </c>
      <c r="M210" s="6">
        <f t="shared" si="160"/>
        <v>5.428240736364387E-3</v>
      </c>
      <c r="N210" s="7">
        <f t="shared" si="161"/>
        <v>7.8166666603647172</v>
      </c>
      <c r="O210" s="7"/>
      <c r="P210" s="7"/>
      <c r="Q210" s="22"/>
      <c r="R210" s="174"/>
      <c r="S210" s="221">
        <f t="shared" si="162"/>
        <v>1</v>
      </c>
      <c r="T210" s="174" t="str">
        <f t="shared" si="163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64"/>
        <v>https://d0f6bd738d7f1b3e5a7ca70fe4ff75f0.us-east-1.aws.found.io/app/kibana#/discover/Steve-Slow-Train-Analysis-(2080s-and-2083s)?_g=(refreshInterval:(display:Off,pause:!f,section:0,value:0),time:(from:'2017-11-13T02:22:08-0700',mode:absolute,to:'2017-11-13T04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0" s="204" t="str">
        <f>IF(AA210&lt;VLOOKUP(AG210,Variables!$AC$3:$AD$8,2,FALSE),"Y","N")</f>
        <v>Y</v>
      </c>
      <c r="X210" s="204">
        <f t="shared" si="165"/>
        <v>1</v>
      </c>
      <c r="Y210" s="204">
        <f t="shared" si="166"/>
        <v>2.3285999999999998</v>
      </c>
      <c r="Z210" s="204">
        <f t="shared" si="167"/>
        <v>2.0500000000000001E-2</v>
      </c>
      <c r="AA210" s="204">
        <f t="shared" si="168"/>
        <v>2.3080999999999996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169"/>
        <v>302</v>
      </c>
      <c r="AE210" s="77" t="str">
        <f t="shared" si="170"/>
        <v>aws s3 cp s3://rtdc.mdm.uploadarchive.raw/RTDC4009/ "%USERPROFILE%\AppData\Local\Temp\OnboardLogs"\RTDC4009\2017-11-13 --exclude "*" --recursive --include "*20171113*" &amp; "%USERPROFILE%\Documents\GitHub\mrs-test-scripts\Headless Mode &amp; Sideloading\WalkAndUnGZ.bat" "%USERPROFILE%\AppData\Local\Temp\OnboardLogs"\RTDC4009\2017-11-13 &amp; aws s3 cp s3://rtdc.mdm.uploadarchive.raw/RTDC4009/ "%USERPROFILE%\AppData\Local\Temp\OnboardLogs"\RTDC4009\2017-11-14 --exclude "*" --recursive --include "*20171114*" &amp; "%USERPROFILE%\Documents\GitHub\mrs-test-scripts\Headless Mode &amp; Sideloading\WalkAndUnGZ.bat" "%USERPROFILE%\AppData\Local\Temp\OnboardLogs"\RTDC4009\2017-11-14</v>
      </c>
      <c r="AF210" s="74" t="str">
        <f t="shared" si="171"/>
        <v>"C:\Program Files (x86)\AstroGrep\AstroGrep.exe" /e /r /s /spath="%USERPROFILE%\AppData\Local\Temp\OnboardLogs" /stypes="app*4009*20171113*" /stext=" 10:.+((SYSTEM_STATE.+slice.+state.+changed )|(ment ac)|(multiple cpu faults)|(system.+state.+changed )|(\[timeout)|(PRM\|1\|D)|(kpr)|(kdp)|(train st.+moving)|(\|lc)|(penalty))"</v>
      </c>
      <c r="AG210" s="182" t="str">
        <f t="shared" si="172"/>
        <v>Other</v>
      </c>
      <c r="AH210" s="78" t="str">
        <f t="shared" si="173"/>
        <v>"%USERPROFILE%\Documents\GitHub\eaglep3\Utilities\RefineRTDCRunTimes.py" --tripid 302-13 --locoid 4009 --swversion DE.1.0.9.0 --startMP 300:23286 --initTime 2017-11-13T03:22:08 --startdatetime 2017-11-13T03:27:21 --delay 82 --endMP 204:205 --enddatetime 2017-11-13T03:35:10 --enforcementcount 0 &gt;&gt;%USERPROFILE%\Documents\GitHub\eaglep3-reporting\EC\2017-11-13-refined-times.txt</v>
      </c>
      <c r="AI210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{"issue":{"subject":"","project_id":79,"tracker_id":40,"status_id":1,"priority_id":2,"assigned_to_id":338,"start_date":"2017-11-13","description":"","custom_fields":[{"id":1,"name":"Subdivision","value":"Other"},{"id":4,"name":"Milepost","value":"0.0205"},{"id":17,"name":"Train ID","value":"302-13"},{"id":16,"name":"Locomotive ID","value":"4009"},{"id":130,"name":"Impact","value":""},{"id":150,"name":"Time of Event (Mountain Time)","value":"03:35:10"},{"id":151,"name":"Denver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75"/>
        <v>start /low /b %USERPROFILE%\Documents\GitHub\eaglep3\Utilities\DownloadLogsFromS3.py --loco 4009 --day 2017-11-13</v>
      </c>
      <c r="AN210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10:35:10"},{"id":29,"name":"Sharepoint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77"/>
        <v>https://d0f6bd738d7f1b3e5a7ca70fe4ff75f0.us-east-1.aws.found.io/app/kibana#/discover/Steve-Slow-Train-Analysis-(2080s-and-2083s)?_g=(refreshInterval:(display:Off,pause:!f,section:0,value:0),time:(from:'2017-11-13T02:22:08-0700',mode:absolute,to:'2017-11-13T04:35:10-0700'))&amp;_a=(columns:!('Message%20ID',Summary),filters:!(),index:'emp_*',interval:auto,query:(query_string:(analyze_wildcard:!t,query:'%22rtdc.l.rtdc.4009%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833</v>
      </c>
      <c r="B211" s="7">
        <v>4020</v>
      </c>
      <c r="C211" s="21" t="s">
        <v>192</v>
      </c>
      <c r="D211" s="21" t="s">
        <v>907</v>
      </c>
      <c r="E211" s="13">
        <v>43052.799942129626</v>
      </c>
      <c r="F211" s="13">
        <v>43052.815011574072</v>
      </c>
      <c r="G211" s="7">
        <v>63</v>
      </c>
      <c r="H211" s="21" t="s">
        <v>548</v>
      </c>
      <c r="I211" s="13">
        <v>43052.821516203701</v>
      </c>
      <c r="J211" s="7">
        <v>0</v>
      </c>
      <c r="K211" s="89" t="str">
        <f t="shared" si="159"/>
        <v>4019/4020</v>
      </c>
      <c r="L211" s="185" t="str">
        <f>VLOOKUP(A211,'Trips&amp;Operators'!$C$1:$G$99911,5,FALSE)</f>
        <v>SAFIEF AEIMEN</v>
      </c>
      <c r="M211" s="6">
        <f t="shared" si="160"/>
        <v>6.5046296294895001E-3</v>
      </c>
      <c r="N211" s="7">
        <f t="shared" si="161"/>
        <v>9.3666666664648801</v>
      </c>
      <c r="O211" s="7"/>
      <c r="P211" s="7"/>
      <c r="Q211" s="22"/>
      <c r="R211" s="174"/>
      <c r="S211" s="221">
        <f t="shared" si="162"/>
        <v>1</v>
      </c>
      <c r="T211" s="174" t="str">
        <f t="shared" si="163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64"/>
        <v>https://d0f6bd738d7f1b3e5a7ca70fe4ff75f0.us-east-1.aws.found.io/app/kibana#/discover/Steve-Slow-Train-Analysis-(2080s-and-2083s)?_g=(refreshInterval:(display:Off,pause:!f,section:0,value:0),time:(from:'2017-11-13T18:11:55-0700',mode:absolute,to:'2017-11-13T20:42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204" t="str">
        <f>IF(AA211&lt;VLOOKUP(AG211,Variables!$AC$3:$AD$8,2,FALSE),"Y","N")</f>
        <v>Y</v>
      </c>
      <c r="X211" s="204">
        <f t="shared" si="165"/>
        <v>1</v>
      </c>
      <c r="Y211" s="204">
        <f t="shared" si="166"/>
        <v>4.9299999999999997E-2</v>
      </c>
      <c r="Z211" s="204">
        <f t="shared" si="167"/>
        <v>2.3298999999999999</v>
      </c>
      <c r="AA211" s="204">
        <f t="shared" si="168"/>
        <v>2.2805999999999997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169"/>
        <v>303</v>
      </c>
      <c r="AE211" s="77" t="str">
        <f t="shared" si="170"/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AF211" s="74" t="str">
        <f t="shared" si="171"/>
        <v>"C:\Program Files (x86)\AstroGrep\AstroGrep.exe" /e /r /s /spath="%USERPROFILE%\AppData\Local\Temp\OnboardLogs" /stypes="app*4020*20171114*" /stext=" 02:.+((SYSTEM_STATE.+slice.+state.+changed )|(ment ac)|(multiple cpu faults)|(system.+state.+changed )|(\[timeout)|(PRM\|1\|D)|(kpr)|(kdp)|(train st.+moving)|(\|lc)|(penalty))"</v>
      </c>
      <c r="AG211" s="182" t="str">
        <f t="shared" si="172"/>
        <v>Other</v>
      </c>
      <c r="AH211" s="78" t="str">
        <f t="shared" si="173"/>
        <v>"%USERPROFILE%\Documents\GitHub\eaglep3\Utilities\RefineRTDCRunTimes.py" --tripid 303-13 --locoid 4020 --swversion DE.1.0.9.0 --startMP 204:493 --initTime 2017-11-13T19:11:55 --startdatetime 2017-11-13T19:33:37 --delay 63 --endMP 300:23299 --enddatetime 2017-11-13T19:42:59 --enforcementcount 0 &gt;&gt;%USERPROFILE%\Documents\GitHub\eaglep3-reporting\EC\2017-11-13-refined-times.txt</v>
      </c>
      <c r="AI211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{"issue":{"subject":"","project_id":79,"tracker_id":40,"status_id":1,"priority_id":2,"assigned_to_id":338,"start_date":"2017-11-13","description":"","custom_fields":[{"id":1,"name":"Subdivision","value":"Other"},{"id":4,"name":"Milepost","value":"2.3299"},{"id":17,"name":"Train ID","value":"303-13"},{"id":16,"name":"Locomotive ID","value":"4020"},{"id":130,"name":"Impact","value":""},{"id":150,"name":"Time of Event (Mountain Time)","value":"19:42:59"},{"id":151,"name":"Denver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75"/>
        <v>start /low /b %USERPROFILE%\Documents\GitHub\eaglep3\Utilities\DownloadLogsFromS3.py --loco 4020 --day 2017-11-13</v>
      </c>
      <c r="AN211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02:42:59"},{"id":29,"name":"Sharepoint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77"/>
        <v>https://d0f6bd738d7f1b3e5a7ca70fe4ff75f0.us-east-1.aws.found.io/app/kibana#/discover/Steve-Slow-Train-Analysis-(2080s-and-2083s)?_g=(refreshInterval:(display:Off,pause:!f,section:0,value:0),time:(from:'2017-11-13T18:11:55-0700',mode:absolute,to:'2017-11-13T20:42:59-0700'))&amp;_a=(columns:!('Message%20ID',Summary),filters:!(),index:'emp_*',interval:auto,query:(query_string:(analyze_wildcard:!t,query:'%22rtdc.l.rtdc.4020%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665</v>
      </c>
      <c r="B212" s="7">
        <v>4039</v>
      </c>
      <c r="C212" s="21" t="s">
        <v>192</v>
      </c>
      <c r="D212" s="21" t="s">
        <v>981</v>
      </c>
      <c r="E212" s="13">
        <v>43052.156226851854</v>
      </c>
      <c r="F212" s="13">
        <v>43052.15865740741</v>
      </c>
      <c r="G212" s="7">
        <v>62</v>
      </c>
      <c r="H212" s="21" t="s">
        <v>875</v>
      </c>
      <c r="I212" s="13">
        <v>43052.163449074076</v>
      </c>
      <c r="J212" s="7">
        <v>0</v>
      </c>
      <c r="K212" s="89" t="str">
        <f t="shared" si="159"/>
        <v>4039/4040</v>
      </c>
      <c r="L212" s="185" t="str">
        <f>VLOOKUP(A212,'Trips&amp;Operators'!$C$1:$G$99911,5,FALSE)</f>
        <v>YORK EDGAR</v>
      </c>
      <c r="M212" s="6">
        <f t="shared" si="160"/>
        <v>4.7916666662786156E-3</v>
      </c>
      <c r="N212" s="7">
        <f t="shared" si="161"/>
        <v>6.8999999994412065</v>
      </c>
      <c r="O212" s="7"/>
      <c r="P212" s="7"/>
      <c r="Q212" s="22"/>
      <c r="R212" s="174"/>
      <c r="S212" s="221">
        <f t="shared" si="162"/>
        <v>1</v>
      </c>
      <c r="T212" s="174" t="str">
        <f t="shared" si="163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64"/>
        <v>https://d0f6bd738d7f1b3e5a7ca70fe4ff75f0.us-east-1.aws.found.io/app/kibana#/discover/Steve-Slow-Train-Analysis-(2080s-and-2083s)?_g=(refreshInterval:(display:Off,pause:!f,section:0,value:0),time:(from:'2017-11-13T02:44:58-0700',mode:absolute,to:'2017-11-13T04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204" t="str">
        <f>IF(AA212&lt;VLOOKUP(AG212,Variables!$AC$3:$AD$8,2,FALSE),"Y","N")</f>
        <v>Y</v>
      </c>
      <c r="X212" s="204">
        <f t="shared" si="165"/>
        <v>1</v>
      </c>
      <c r="Y212" s="204">
        <f t="shared" si="166"/>
        <v>2.3294000000000001</v>
      </c>
      <c r="Z212" s="204">
        <f t="shared" si="167"/>
        <v>1.5800000000000002E-2</v>
      </c>
      <c r="AA212" s="204">
        <f t="shared" si="168"/>
        <v>2.3136000000000001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169"/>
        <v>304</v>
      </c>
      <c r="AE212" s="77" t="str">
        <f t="shared" si="170"/>
        <v>aws s3 cp s3://rtdc.mdm.uploadarchive.raw/RTDC4039/ "%USERPROFILE%\AppData\Local\Temp\OnboardLogs"\RTDC4039\2017-11-13 --exclude "*" --recursive --include "*20171113*" &amp; "%USERPROFILE%\Documents\GitHub\mrs-test-scripts\Headless Mode &amp; Sideloading\WalkAndUnGZ.bat" "%USERPROFILE%\AppData\Local\Temp\OnboardLogs"\RTDC4039\2017-11-13 &amp; aws s3 cp s3://rtdc.mdm.uploadarchive.raw/RTDC4039/ "%USERPROFILE%\AppData\Local\Temp\OnboardLogs"\RTDC4039\2017-11-14 --exclude "*" --recursive --include "*20171114*" &amp; "%USERPROFILE%\Documents\GitHub\mrs-test-scripts\Headless Mode &amp; Sideloading\WalkAndUnGZ.bat" "%USERPROFILE%\AppData\Local\Temp\OnboardLogs"\RTDC4039\2017-11-14</v>
      </c>
      <c r="AF212" s="74" t="str">
        <f t="shared" si="171"/>
        <v>"C:\Program Files (x86)\AstroGrep\AstroGrep.exe" /e /r /s /spath="%USERPROFILE%\AppData\Local\Temp\OnboardLogs" /stypes="app*4039*20171113*" /stext=" 10:.+((SYSTEM_STATE.+slice.+state.+changed )|(ment ac)|(multiple cpu faults)|(system.+state.+changed )|(\[timeout)|(PRM\|1\|D)|(kpr)|(kdp)|(train st.+moving)|(\|lc)|(penalty))"</v>
      </c>
      <c r="AG212" s="182" t="str">
        <f t="shared" si="172"/>
        <v>Other</v>
      </c>
      <c r="AH212" s="78" t="str">
        <f t="shared" si="173"/>
        <v>"%USERPROFILE%\Documents\GitHub\eaglep3\Utilities\RefineRTDCRunTimes.py" --tripid 304-13 --locoid 4039 --swversion DE.1.0.9.0 --startMP 300:23294 --initTime 2017-11-13T03:44:58 --startdatetime 2017-11-13T03:48:28 --delay 62 --endMP 204:158 --enddatetime 2017-11-13T03:55:22 --enforcementcount 0 &gt;&gt;%USERPROFILE%\Documents\GitHub\eaglep3-reporting\EC\2017-11-13-refined-times.txt</v>
      </c>
      <c r="AI212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{"issue":{"subject":"","project_id":79,"tracker_id":40,"status_id":1,"priority_id":2,"assigned_to_id":338,"start_date":"2017-11-13","description":"","custom_fields":[{"id":1,"name":"Subdivision","value":"Other"},{"id":4,"name":"Milepost","value":"0.0158"},{"id":17,"name":"Train ID","value":"304-13"},{"id":16,"name":"Locomotive ID","value":"4039"},{"id":130,"name":"Impact","value":""},{"id":150,"name":"Time of Event (Mountain Time)","value":"03:55:22"},{"id":151,"name":"Denver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75"/>
        <v>start /low /b %USERPROFILE%\Documents\GitHub\eaglep3\Utilities\DownloadLogsFromS3.py --loco 4039 --day 2017-11-13</v>
      </c>
      <c r="AN212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77"/>
        <v>https://d0f6bd738d7f1b3e5a7ca70fe4ff75f0.us-east-1.aws.found.io/app/kibana#/discover/Steve-Slow-Train-Analysis-(2080s-and-2083s)?_g=(refreshInterval:(display:Off,pause:!f,section:0,value:0),time:(from:'2017-11-13T02:44:58-0700',mode:absolute,to:'2017-11-13T04:55:22-0700'))&amp;_a=(columns:!('Message%20ID',Summary),filters:!(),index:'emp_*',interval:auto,query:(query_string:(analyze_wildcard:!t,query:'%22rtdc.l.rtdc.4039%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838</v>
      </c>
      <c r="B213" s="7">
        <v>4010</v>
      </c>
      <c r="C213" s="21" t="s">
        <v>192</v>
      </c>
      <c r="D213" s="21" t="s">
        <v>966</v>
      </c>
      <c r="E213" s="13">
        <v>43052.821284722224</v>
      </c>
      <c r="F213" s="13">
        <v>43052.822650462964</v>
      </c>
      <c r="G213" s="7">
        <v>67</v>
      </c>
      <c r="H213" s="21" t="s">
        <v>549</v>
      </c>
      <c r="I213" s="13">
        <v>43052.829664351855</v>
      </c>
      <c r="J213" s="7">
        <v>0</v>
      </c>
      <c r="K213" s="89" t="str">
        <f t="shared" si="159"/>
        <v>4009/4010</v>
      </c>
      <c r="L213" s="185" t="str">
        <f>VLOOKUP(A213,'Trips&amp;Operators'!$C$1:$G$99911,5,FALSE)</f>
        <v>SMITH MICHAEL</v>
      </c>
      <c r="M213" s="6">
        <f t="shared" si="160"/>
        <v>7.0138888913788833E-3</v>
      </c>
      <c r="N213" s="7">
        <f t="shared" si="161"/>
        <v>10.100000003585592</v>
      </c>
      <c r="O213" s="7"/>
      <c r="P213" s="7"/>
      <c r="Q213" s="22"/>
      <c r="R213" s="174"/>
      <c r="S213" s="221">
        <f t="shared" si="162"/>
        <v>1</v>
      </c>
      <c r="T213" s="174" t="str">
        <f t="shared" si="163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64"/>
        <v>https://d0f6bd738d7f1b3e5a7ca70fe4ff75f0.us-east-1.aws.found.io/app/kibana#/discover/Steve-Slow-Train-Analysis-(2080s-and-2083s)?_g=(refreshInterval:(display:Off,pause:!f,section:0,value:0),time:(from:'2017-11-13T18:42:39-0700',mode:absolute,to:'2017-11-13T20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04" t="str">
        <f>IF(AA213&lt;VLOOKUP(AG213,Variables!$AC$3:$AD$8,2,FALSE),"Y","N")</f>
        <v>Y</v>
      </c>
      <c r="X213" s="204">
        <f t="shared" si="165"/>
        <v>1</v>
      </c>
      <c r="Y213" s="204">
        <f t="shared" si="166"/>
        <v>5.62E-2</v>
      </c>
      <c r="Z213" s="204">
        <f t="shared" si="167"/>
        <v>2.3304</v>
      </c>
      <c r="AA213" s="204">
        <f t="shared" si="168"/>
        <v>2.2742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169"/>
        <v>305</v>
      </c>
      <c r="AE213" s="77" t="str">
        <f t="shared" si="170"/>
        <v>aws s3 cp s3://rtdc.mdm.uploadarchive.raw/RTDC4010/ "%USERPROFILE%\AppData\Local\Temp\OnboardLogs"\RTDC4010\2017-11-13 --exclude "*" --recursive --include "*20171113*" &amp; "%USERPROFILE%\Documents\GitHub\mrs-test-scripts\Headless Mode &amp; Sideloading\WalkAndUnGZ.bat" "%USERPROFILE%\AppData\Local\Temp\OnboardLogs"\RTDC4010\2017-11-13 &amp; aws s3 cp s3://rtdc.mdm.uploadarchive.raw/RTDC4010/ "%USERPROFILE%\AppData\Local\Temp\OnboardLogs"\RTDC4010\2017-11-14 --exclude "*" --recursive --include "*20171114*" &amp; "%USERPROFILE%\Documents\GitHub\mrs-test-scripts\Headless Mode &amp; Sideloading\WalkAndUnGZ.bat" "%USERPROFILE%\AppData\Local\Temp\OnboardLogs"\RTDC4010\2017-11-14</v>
      </c>
      <c r="AF213" s="74" t="str">
        <f t="shared" si="171"/>
        <v>"C:\Program Files (x86)\AstroGrep\AstroGrep.exe" /e /r /s /spath="%USERPROFILE%\AppData\Local\Temp\OnboardLogs" /stypes="app*4010*20171114*" /stext=" 02:.+((SYSTEM_STATE.+slice.+state.+changed )|(ment ac)|(multiple cpu faults)|(system.+state.+changed )|(\[timeout)|(PRM\|1\|D)|(kpr)|(kdp)|(train st.+moving)|(\|lc)|(penalty))"</v>
      </c>
      <c r="AG213" s="182" t="str">
        <f t="shared" si="172"/>
        <v>Other</v>
      </c>
      <c r="AH213" s="78" t="str">
        <f t="shared" si="173"/>
        <v>"%USERPROFILE%\Documents\GitHub\eaglep3\Utilities\RefineRTDCRunTimes.py" --tripid 305-13 --locoid 4010 --swversion DE.1.0.9.0 --startMP 204:562 --initTime 2017-11-13T19:42:39 --startdatetime 2017-11-13T19:44:37 --delay 67 --endMP 300:23304 --enddatetime 2017-11-13T19:54:43 --enforcementcount 0 &gt;&gt;%USERPROFILE%\Documents\GitHub\eaglep3-reporting\EC\2017-11-13-refined-times.txt</v>
      </c>
      <c r="AI213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{"issue":{"subject":"","project_id":79,"tracker_id":40,"status_id":1,"priority_id":2,"assigned_to_id":338,"start_date":"2017-11-13","description":"","custom_fields":[{"id":1,"name":"Subdivision","value":"Other"},{"id":4,"name":"Milepost","value":"2.3304"},{"id":17,"name":"Train ID","value":"305-13"},{"id":16,"name":"Locomotive ID","value":"4010"},{"id":130,"name":"Impact","value":""},{"id":150,"name":"Time of Event (Mountain Time)","value":"19:54:43"},{"id":151,"name":"Denver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75"/>
        <v>start /low /b %USERPROFILE%\Documents\GitHub\eaglep3\Utilities\DownloadLogsFromS3.py --loco 4010 --day 2017-11-13</v>
      </c>
      <c r="AN213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77"/>
        <v>https://d0f6bd738d7f1b3e5a7ca70fe4ff75f0.us-east-1.aws.found.io/app/kibana#/discover/Steve-Slow-Train-Analysis-(2080s-and-2083s)?_g=(refreshInterval:(display:Off,pause:!f,section:0,value:0),time:(from:'2017-11-13T18:42:39-0700',mode:absolute,to:'2017-11-13T20:54:43-0700'))&amp;_a=(columns:!('Message%20ID',Summary),filters:!(),index:'emp_*',interval:auto,query:(query_string:(analyze_wildcard:!t,query:'%22rtdc.l.rtdc.4010%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667</v>
      </c>
      <c r="B214" s="7">
        <v>4011</v>
      </c>
      <c r="C214" s="21" t="s">
        <v>192</v>
      </c>
      <c r="D214" s="21" t="s">
        <v>982</v>
      </c>
      <c r="E214" s="13">
        <v>43052.165879629632</v>
      </c>
      <c r="F214" s="13">
        <v>43052.169525462959</v>
      </c>
      <c r="G214" s="7">
        <v>79</v>
      </c>
      <c r="H214" s="21" t="s">
        <v>881</v>
      </c>
      <c r="I214" s="13">
        <v>43052.175486111111</v>
      </c>
      <c r="J214" s="7">
        <v>0</v>
      </c>
      <c r="K214" s="89" t="str">
        <f t="shared" si="159"/>
        <v>4011/4012</v>
      </c>
      <c r="L214" s="185" t="str">
        <f>VLOOKUP(A214,'Trips&amp;Operators'!$C$1:$G$99911,5,FALSE)</f>
        <v>BARRON PERLA</v>
      </c>
      <c r="M214" s="6">
        <f t="shared" si="160"/>
        <v>5.9606481518130749E-3</v>
      </c>
      <c r="N214" s="7">
        <f t="shared" si="161"/>
        <v>8.5833333386108279</v>
      </c>
      <c r="O214" s="7"/>
      <c r="P214" s="7"/>
      <c r="Q214" s="22"/>
      <c r="R214" s="174"/>
      <c r="S214" s="221">
        <f t="shared" si="162"/>
        <v>1</v>
      </c>
      <c r="T214" s="174" t="str">
        <f t="shared" si="163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64"/>
        <v>https://d0f6bd738d7f1b3e5a7ca70fe4ff75f0.us-east-1.aws.found.io/app/kibana#/discover/Steve-Slow-Train-Analysis-(2080s-and-2083s)?_g=(refreshInterval:(display:Off,pause:!f,section:0,value:0),time:(from:'2017-11-13T02:58:52-0700',mode:absolute,to:'2017-11-13T05:12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204" t="str">
        <f>IF(AA214&lt;VLOOKUP(AG214,Variables!$AC$3:$AD$8,2,FALSE),"Y","N")</f>
        <v>Y</v>
      </c>
      <c r="X214" s="204">
        <f t="shared" si="165"/>
        <v>1</v>
      </c>
      <c r="Y214" s="204">
        <f t="shared" si="166"/>
        <v>2.3483000000000001</v>
      </c>
      <c r="Z214" s="204">
        <f t="shared" si="167"/>
        <v>2.0500000000000001E-2</v>
      </c>
      <c r="AA214" s="204">
        <f t="shared" si="168"/>
        <v>2.3277999999999999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169"/>
        <v>306</v>
      </c>
      <c r="AE214" s="77" t="str">
        <f t="shared" si="170"/>
        <v>aws s3 cp s3://rtdc.mdm.uploadarchive.raw/RTDC4011/ "%USERPROFILE%\AppData\Local\Temp\OnboardLogs"\RTDC4011\2017-11-13 --exclude "*" --recursive --include "*20171113*" &amp; "%USERPROFILE%\Documents\GitHub\mrs-test-scripts\Headless Mode &amp; Sideloading\WalkAndUnGZ.bat" "%USERPROFILE%\AppData\Local\Temp\OnboardLogs"\RTDC4011\2017-11-13 &amp; aws s3 cp s3://rtdc.mdm.uploadarchive.raw/RTDC4011/ "%USERPROFILE%\AppData\Local\Temp\OnboardLogs"\RTDC4011\2017-11-14 --exclude "*" --recursive --include "*20171114*" &amp; "%USERPROFILE%\Documents\GitHub\mrs-test-scripts\Headless Mode &amp; Sideloading\WalkAndUnGZ.bat" "%USERPROFILE%\AppData\Local\Temp\OnboardLogs"\RTDC4011\2017-11-14</v>
      </c>
      <c r="AF214" s="74" t="str">
        <f t="shared" si="171"/>
        <v>"C:\Program Files (x86)\AstroGrep\AstroGrep.exe" /e /r /s /spath="%USERPROFILE%\AppData\Local\Temp\OnboardLogs" /stypes="app*4011*20171113*" /stext=" 11:.+((SYSTEM_STATE.+slice.+state.+changed )|(ment ac)|(multiple cpu faults)|(system.+state.+changed )|(\[timeout)|(PRM\|1\|D)|(kpr)|(kdp)|(train st.+moving)|(\|lc)|(penalty))"</v>
      </c>
      <c r="AG214" s="182" t="str">
        <f t="shared" si="172"/>
        <v>Other</v>
      </c>
      <c r="AH214" s="78" t="str">
        <f t="shared" si="173"/>
        <v>"%USERPROFILE%\Documents\GitHub\eaglep3\Utilities\RefineRTDCRunTimes.py" --tripid 306-13 --locoid 4011 --swversion DE.1.0.9.0 --startMP 300:23483 --initTime 2017-11-13T03:58:52 --startdatetime 2017-11-13T04:04:07 --delay 79 --endMP 204:205 --enddatetime 2017-11-13T04:12:42 --enforcementcount 0 &gt;&gt;%USERPROFILE%\Documents\GitHub\eaglep3-reporting\EC\2017-11-13-refined-times.txt</v>
      </c>
      <c r="AI214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{"issue":{"subject":"","project_id":79,"tracker_id":40,"status_id":1,"priority_id":2,"assigned_to_id":338,"start_date":"2017-11-13","description":"","custom_fields":[{"id":1,"name":"Subdivision","value":"Other"},{"id":4,"name":"Milepost","value":"0.0205"},{"id":17,"name":"Train ID","value":"306-13"},{"id":16,"name":"Locomotive ID","value":"4011"},{"id":130,"name":"Impact","value":""},{"id":150,"name":"Time of Event (Mountain Time)","value":"04:12:42"},{"id":151,"name":"Denver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75"/>
        <v>start /low /b %USERPROFILE%\Documents\GitHub\eaglep3\Utilities\DownloadLogsFromS3.py --loco 4011 --day 2017-11-13</v>
      </c>
      <c r="AN214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11:12:42"},{"id":29,"name":"Sharepoint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77"/>
        <v>https://d0f6bd738d7f1b3e5a7ca70fe4ff75f0.us-east-1.aws.found.io/app/kibana#/discover/Steve-Slow-Train-Analysis-(2080s-and-2083s)?_g=(refreshInterval:(display:Off,pause:!f,section:0,value:0),time:(from:'2017-11-13T02:58:52-0700',mode:absolute,to:'2017-11-13T05:12:42-0700'))&amp;_a=(columns:!('Message%20ID',Summary),filters:!(),index:'emp_*',interval:auto,query:(query_string:(analyze_wildcard:!t,query:'%22rtdc.l.rtdc.4011%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865</v>
      </c>
      <c r="B215" s="7">
        <v>4028</v>
      </c>
      <c r="C215" s="21" t="s">
        <v>192</v>
      </c>
      <c r="D215" s="21" t="s">
        <v>917</v>
      </c>
      <c r="E215" s="13">
        <v>43053.046701388892</v>
      </c>
      <c r="F215" s="13">
        <v>43053.048935185187</v>
      </c>
      <c r="G215" s="7">
        <v>47</v>
      </c>
      <c r="H215" s="21" t="s">
        <v>483</v>
      </c>
      <c r="I215" s="13">
        <v>43053.056597222225</v>
      </c>
      <c r="J215" s="7">
        <v>0</v>
      </c>
      <c r="K215" s="89" t="str">
        <f t="shared" si="159"/>
        <v>4027/4028</v>
      </c>
      <c r="L215" s="185" t="str">
        <f>VLOOKUP(A215,'Trips&amp;Operators'!$C$1:$G$99911,5,FALSE)</f>
        <v>LOZA FIDEL</v>
      </c>
      <c r="M215" s="6">
        <f t="shared" si="160"/>
        <v>7.662037038244307E-3</v>
      </c>
      <c r="N215" s="7">
        <f t="shared" si="161"/>
        <v>11.033333335071802</v>
      </c>
      <c r="O215" s="7"/>
      <c r="P215" s="7"/>
      <c r="Q215" s="22"/>
      <c r="R215" s="174"/>
      <c r="S215" s="221">
        <f t="shared" si="162"/>
        <v>1</v>
      </c>
      <c r="T215" s="174" t="str">
        <f t="shared" si="163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64"/>
        <v>https://d0f6bd738d7f1b3e5a7ca70fe4ff75f0.us-east-1.aws.found.io/app/kibana#/discover/Steve-Slow-Train-Analysis-(2080s-and-2083s)?_g=(refreshInterval:(display:Off,pause:!f,section:0,value:0),time:(from:'2017-11-14T00:07:15-0700',mode:absolute,to:'2017-11-14T02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4" t="str">
        <f>IF(AA215&lt;VLOOKUP(AG215,Variables!$AC$3:$AD$8,2,FALSE),"Y","N")</f>
        <v>Y</v>
      </c>
      <c r="X215" s="204">
        <f t="shared" si="165"/>
        <v>1</v>
      </c>
      <c r="Y215" s="204">
        <f t="shared" si="166"/>
        <v>4.9500000000000002E-2</v>
      </c>
      <c r="Z215" s="204">
        <f t="shared" si="167"/>
        <v>2.3315999999999999</v>
      </c>
      <c r="AA215" s="204">
        <f t="shared" si="168"/>
        <v>2.2820999999999998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169"/>
        <v>307</v>
      </c>
      <c r="AE215" s="77" t="str">
        <f t="shared" si="170"/>
        <v>aws s3 cp s3://rtdc.mdm.uploadarchive.raw/RTDC4028/ "%USERPROFILE%\AppData\Local\Temp\OnboardLogs"\RTDC4028\2017-11-14 --exclude "*" --recursive --include "*20171114*" &amp; "%USERPROFILE%\Documents\GitHub\mrs-test-scripts\Headless Mode &amp; Sideloading\WalkAndUnGZ.bat" "%USERPROFILE%\AppData\Local\Temp\OnboardLogs"\RTDC4028\2017-11-14 &amp; aws s3 cp s3://rtdc.mdm.uploadarchive.raw/RTDC4028/ "%USERPROFILE%\AppData\Local\Temp\OnboardLogs"\RTDC4028\2017-11-15 --exclude "*" --recursive --include "*20171115*" &amp; "%USERPROFILE%\Documents\GitHub\mrs-test-scripts\Headless Mode &amp; Sideloading\WalkAndUnGZ.bat" "%USERPROFILE%\AppData\Local\Temp\OnboardLogs"\RTDC4028\2017-11-15</v>
      </c>
      <c r="AF215" s="74" t="str">
        <f t="shared" si="171"/>
        <v>"C:\Program Files (x86)\AstroGrep\AstroGrep.exe" /e /r /s /spath="%USERPROFILE%\AppData\Local\Temp\OnboardLogs" /stypes="app*4028*20171114*" /stext=" 08:.+((SYSTEM_STATE.+slice.+state.+changed )|(ment ac)|(multiple cpu faults)|(system.+state.+changed )|(\[timeout)|(PRM\|1\|D)|(kpr)|(kdp)|(train st.+moving)|(\|lc)|(penalty))"</v>
      </c>
      <c r="AG215" s="182" t="str">
        <f t="shared" si="172"/>
        <v>Other</v>
      </c>
      <c r="AH215" s="78" t="str">
        <f t="shared" si="173"/>
        <v>"%USERPROFILE%\Documents\GitHub\eaglep3\Utilities\RefineRTDCRunTimes.py" --tripid 307-13 --locoid 4028 --swversion DE.1.0.9.0 --startMP 204:495 --initTime 2017-11-14T01:07:15 --startdatetime 2017-11-14T01:10:28 --delay 47 --endMP 300:23316 --enddatetime 2017-11-14T01:21:30 --enforcementcount 0 &gt;&gt;%USERPROFILE%\Documents\GitHub\eaglep3-reporting\EC\2017-11-13-refined-times.txt</v>
      </c>
      <c r="AI215" s="96" t="str">
        <f t="shared" si="174"/>
        <v>echo {"issue":{"subject":"","project_id":79,"tracker_id":40,"status_id":1,"priority_id":2,"assigned_to_id":338,"start_date":"2017-11-14","description":"","custom_fields":[{"id":1,"name":"Subdivision","value":"Other"},{"id":4,"name":"Milepost","value":"2.3316"},{"id":17,"name":"Train ID","value":"307-13"},{"id":16,"name":"Locomotive ID","value":"4028"},{"id":130,"name":"Impact","value":""},{"id":150,"name":"Time of Event (Mountain Time)","value":"01:21:30"},{"id":151,"name":"Denver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75"/>
        <v>start /low /b %USERPROFILE%\Documents\GitHub\eaglep3\Utilities\DownloadLogsFromS3.py --loco 4028 --day 2017-11-14</v>
      </c>
      <c r="AN215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08:21:30"},{"id":29,"name":"Sharepoint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77"/>
        <v>https://d0f6bd738d7f1b3e5a7ca70fe4ff75f0.us-east-1.aws.found.io/app/kibana#/discover/Steve-Slow-Train-Analysis-(2080s-and-2083s)?_g=(refreshInterval:(display:Off,pause:!f,section:0,value:0),time:(from:'2017-11-14T00:07:15-0700',mode:absolute,to:'2017-11-14T02:21:30-0700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671</v>
      </c>
      <c r="B216" s="7">
        <v>4059</v>
      </c>
      <c r="C216" s="21" t="s">
        <v>192</v>
      </c>
      <c r="D216" s="21" t="s">
        <v>983</v>
      </c>
      <c r="E216" s="13">
        <v>43052.180671296293</v>
      </c>
      <c r="F216" s="13">
        <v>43052.185358796298</v>
      </c>
      <c r="G216" s="7">
        <v>174</v>
      </c>
      <c r="H216" s="21" t="s">
        <v>904</v>
      </c>
      <c r="I216" s="13">
        <v>43052.190659722219</v>
      </c>
      <c r="J216" s="7">
        <v>0</v>
      </c>
      <c r="K216" s="89" t="str">
        <f t="shared" si="159"/>
        <v>4059/4060</v>
      </c>
      <c r="L216" s="185" t="str">
        <f>VLOOKUP(A216,'Trips&amp;Operators'!$C$1:$G$99911,5,FALSE)</f>
        <v>MAELZER KURT</v>
      </c>
      <c r="M216" s="6">
        <f t="shared" si="160"/>
        <v>5.3009259208920412E-3</v>
      </c>
      <c r="N216" s="7">
        <f t="shared" si="161"/>
        <v>7.6333333260845393</v>
      </c>
      <c r="O216" s="7"/>
      <c r="P216" s="7"/>
      <c r="Q216" s="22"/>
      <c r="R216" s="174"/>
      <c r="S216" s="221">
        <f t="shared" si="162"/>
        <v>1</v>
      </c>
      <c r="T216" s="174" t="str">
        <f t="shared" si="163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64"/>
        <v>https://d0f6bd738d7f1b3e5a7ca70fe4ff75f0.us-east-1.aws.found.io/app/kibana#/discover/Steve-Slow-Train-Analysis-(2080s-and-2083s)?_g=(refreshInterval:(display:Off,pause:!f,section:0,value:0),time:(from:'2017-11-13T03:20:10-0700',mode:absolute,to:'2017-11-13T05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6" s="204" t="str">
        <f>IF(AA216&lt;VLOOKUP(AG216,Variables!$AC$3:$AD$8,2,FALSE),"Y","N")</f>
        <v>Y</v>
      </c>
      <c r="X216" s="204">
        <f t="shared" si="165"/>
        <v>1</v>
      </c>
      <c r="Y216" s="204">
        <f t="shared" si="166"/>
        <v>1.9756</v>
      </c>
      <c r="Z216" s="204">
        <f t="shared" si="167"/>
        <v>1.89E-2</v>
      </c>
      <c r="AA216" s="204">
        <f t="shared" si="168"/>
        <v>1.9567000000000001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169"/>
        <v>308</v>
      </c>
      <c r="AE216" s="77" t="str">
        <f t="shared" si="170"/>
        <v>aws s3 cp s3://rtdc.mdm.uploadarchive.raw/RTDC4059/ "%USERPROFILE%\AppData\Local\Temp\OnboardLogs"\RTDC4059\2017-11-13 --exclude "*" --recursive --include "*20171113*" &amp; "%USERPROFILE%\Documents\GitHub\mrs-test-scripts\Headless Mode &amp; Sideloading\WalkAndUnGZ.bat" "%USERPROFILE%\AppData\Local\Temp\OnboardLogs"\RTDC4059\2017-11-13 &amp; aws s3 cp s3://rtdc.mdm.uploadarchive.raw/RTDC4059/ "%USERPROFILE%\AppData\Local\Temp\OnboardLogs"\RTDC4059\2017-11-14 --exclude "*" --recursive --include "*20171114*" &amp; "%USERPROFILE%\Documents\GitHub\mrs-test-scripts\Headless Mode &amp; Sideloading\WalkAndUnGZ.bat" "%USERPROFILE%\AppData\Local\Temp\OnboardLogs"\RTDC4059\2017-11-14</v>
      </c>
      <c r="AF216" s="74" t="str">
        <f t="shared" si="171"/>
        <v>"C:\Program Files (x86)\AstroGrep\AstroGrep.exe" /e /r /s /spath="%USERPROFILE%\AppData\Local\Temp\OnboardLogs" /stypes="app*4059*20171113*" /stext=" 11:.+((SYSTEM_STATE.+slice.+state.+changed )|(ment ac)|(multiple cpu faults)|(system.+state.+changed )|(\[timeout)|(PRM\|1\|D)|(kpr)|(kdp)|(train st.+moving)|(\|lc)|(penalty))"</v>
      </c>
      <c r="AG216" s="182" t="str">
        <f t="shared" si="172"/>
        <v>Other</v>
      </c>
      <c r="AH216" s="78" t="str">
        <f t="shared" si="173"/>
        <v>"%USERPROFILE%\Documents\GitHub\eaglep3\Utilities\RefineRTDCRunTimes.py" --tripid 308-13 --locoid 4059 --swversion DE.1.0.9.0 --startMP 300:19756 --initTime 2017-11-13T04:20:10 --startdatetime 2017-11-13T04:26:55 --delay 174 --endMP 204:189 --enddatetime 2017-11-13T04:34:33 --enforcementcount 0 &gt;&gt;%USERPROFILE%\Documents\GitHub\eaglep3-reporting\EC\2017-11-13-refined-times.txt</v>
      </c>
      <c r="AI216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{"issue":{"subject":"","project_id":79,"tracker_id":40,"status_id":1,"priority_id":2,"assigned_to_id":338,"start_date":"2017-11-13","description":"","custom_fields":[{"id":1,"name":"Subdivision","value":"Other"},{"id":4,"name":"Milepost","value":"0.0189"},{"id":17,"name":"Train ID","value":"308-13"},{"id":16,"name":"Locomotive ID","value":"4059"},{"id":130,"name":"Impact","value":""},{"id":150,"name":"Time of Event (Mountain Time)","value":"04:34:33"},{"id":151,"name":"Denver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75"/>
        <v>start /low /b %USERPROFILE%\Documents\GitHub\eaglep3\Utilities\DownloadLogsFromS3.py --loco 4059 --day 2017-11-13</v>
      </c>
      <c r="AN216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77"/>
        <v>https://d0f6bd738d7f1b3e5a7ca70fe4ff75f0.us-east-1.aws.found.io/app/kibana#/discover/Steve-Slow-Train-Analysis-(2080s-and-2083s)?_g=(refreshInterval:(display:Off,pause:!f,section:0,value:0),time:(from:'2017-11-13T03:20:10-0700',mode:absolute,to:'2017-11-13T05:34:33-0700'))&amp;_a=(columns:!('Message%20ID',Summary),filters:!(),index:'emp_*',interval:auto,query:(query_string:(analyze_wildcard:!t,query:'%22rtdc.l.rtdc.4059%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674</v>
      </c>
      <c r="B217" s="7">
        <v>4027</v>
      </c>
      <c r="C217" s="21" t="s">
        <v>192</v>
      </c>
      <c r="D217" s="21" t="s">
        <v>984</v>
      </c>
      <c r="E217" s="13">
        <v>43052.194895833331</v>
      </c>
      <c r="F217" s="13">
        <v>43052.198217592595</v>
      </c>
      <c r="G217" s="7">
        <v>108</v>
      </c>
      <c r="H217" s="21" t="s">
        <v>451</v>
      </c>
      <c r="I217" s="13">
        <v>43052.204756944448</v>
      </c>
      <c r="J217" s="7">
        <v>0</v>
      </c>
      <c r="K217" s="89" t="str">
        <f t="shared" si="159"/>
        <v>4027/4028</v>
      </c>
      <c r="L217" s="185" t="str">
        <f>VLOOKUP(A217,'Trips&amp;Operators'!$C$1:$G$99911,5,FALSE)</f>
        <v>DAVIDSON DAVID</v>
      </c>
      <c r="M217" s="6">
        <f t="shared" si="160"/>
        <v>6.5393518525524996E-3</v>
      </c>
      <c r="N217" s="7">
        <f t="shared" si="161"/>
        <v>9.4166666676755995</v>
      </c>
      <c r="O217" s="7"/>
      <c r="P217" s="7"/>
      <c r="Q217" s="22"/>
      <c r="R217" s="174"/>
      <c r="S217" s="221">
        <f t="shared" si="162"/>
        <v>1</v>
      </c>
      <c r="T217" s="174" t="str">
        <f t="shared" si="163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64"/>
        <v>https://d0f6bd738d7f1b3e5a7ca70fe4ff75f0.us-east-1.aws.found.io/app/kibana#/discover/Steve-Slow-Train-Analysis-(2080s-and-2083s)?_g=(refreshInterval:(display:Off,pause:!f,section:0,value:0),time:(from:'2017-11-13T03:40:39-0700',mode:absolute,to:'2017-11-13T05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204" t="str">
        <f>IF(AA217&lt;VLOOKUP(AG217,Variables!$AC$3:$AD$8,2,FALSE),"Y","N")</f>
        <v>Y</v>
      </c>
      <c r="X217" s="204">
        <f t="shared" si="165"/>
        <v>2</v>
      </c>
      <c r="Y217" s="204">
        <f t="shared" si="166"/>
        <v>2.3050000000000002</v>
      </c>
      <c r="Z217" s="204">
        <f t="shared" si="167"/>
        <v>2.07E-2</v>
      </c>
      <c r="AA217" s="204">
        <f t="shared" si="168"/>
        <v>2.2843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169"/>
        <v>310</v>
      </c>
      <c r="AE217" s="77" t="str">
        <f t="shared" si="170"/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AF217" s="74" t="str">
        <f t="shared" si="171"/>
        <v>"C:\Program Files (x86)\AstroGrep\AstroGrep.exe" /e /r /s /spath="%USERPROFILE%\AppData\Local\Temp\OnboardLogs" /stypes="app*4027*20171113*" /stext=" 11:.+((SYSTEM_STATE.+slice.+state.+changed )|(ment ac)|(multiple cpu faults)|(system.+state.+changed )|(\[timeout)|(PRM\|1\|D)|(kpr)|(kdp)|(train st.+moving)|(\|lc)|(penalty))"</v>
      </c>
      <c r="AG217" s="182" t="str">
        <f t="shared" si="172"/>
        <v>Other</v>
      </c>
      <c r="AH217" s="78" t="str">
        <f t="shared" si="173"/>
        <v>"%USERPROFILE%\Documents\GitHub\eaglep3\Utilities\RefineRTDCRunTimes.py" --tripid 310-13 --locoid 4027 --swversion DE.1.0.9.0 --startMP 300:23050 --initTime 2017-11-13T04:40:39 --startdatetime 2017-11-13T04:45:26 --delay 108 --endMP 204:207 --enddatetime 2017-11-13T04:54:51 --enforcementcount 0 &gt;&gt;%USERPROFILE%\Documents\GitHub\eaglep3-reporting\EC\2017-11-13-refined-times.txt</v>
      </c>
      <c r="AI217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{"issue":{"subject":"","project_id":79,"tracker_id":40,"status_id":1,"priority_id":2,"assigned_to_id":338,"start_date":"2017-11-13","description":"","custom_fields":[{"id":1,"name":"Subdivision","value":"Other"},{"id":4,"name":"Milepost","value":"0.0207"},{"id":17,"name":"Train ID","value":"310-13"},{"id":16,"name":"Locomotive ID","value":"4027"},{"id":130,"name":"Impact","value":""},{"id":150,"name":"Time of Event (Mountain Time)","value":"04:54:51"},{"id":151,"name":"Denver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75"/>
        <v>start /low /b %USERPROFILE%\Documents\GitHub\eaglep3\Utilities\DownloadLogsFromS3.py --loco 4027 --day 2017-11-13</v>
      </c>
      <c r="AN217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77"/>
        <v>https://d0f6bd738d7f1b3e5a7ca70fe4ff75f0.us-east-1.aws.found.io/app/kibana#/discover/Steve-Slow-Train-Analysis-(2080s-and-2083s)?_g=(refreshInterval:(display:Off,pause:!f,section:0,value:0),time:(from:'2017-11-13T03:40:39-0700',mode:absolute,to:'2017-11-13T05:54:51-0700'))&amp;_a=(columns:!('Message%20ID',Summary),filters:!(),index:'emp_*',interval:auto,query:(query_string:(analyze_wildcard:!t,query:'%22rtdc.l.rtdc.4027%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681</v>
      </c>
      <c r="B218" s="7">
        <v>4013</v>
      </c>
      <c r="C218" s="21" t="s">
        <v>192</v>
      </c>
      <c r="D218" s="21" t="s">
        <v>985</v>
      </c>
      <c r="E218" s="13">
        <v>43052.223287037035</v>
      </c>
      <c r="F218" s="13">
        <v>43052.228449074071</v>
      </c>
      <c r="G218" s="7">
        <v>68</v>
      </c>
      <c r="H218" s="21" t="s">
        <v>986</v>
      </c>
      <c r="I218" s="13">
        <v>43052.233912037038</v>
      </c>
      <c r="J218" s="7">
        <v>0</v>
      </c>
      <c r="K218" s="89" t="str">
        <f t="shared" si="159"/>
        <v>4013/4014</v>
      </c>
      <c r="L218" s="185" t="str">
        <f>VLOOKUP(A218,'Trips&amp;Operators'!$C$1:$G$99911,5,FALSE)</f>
        <v>LAMAR NEKESHA</v>
      </c>
      <c r="M218" s="6">
        <f t="shared" si="160"/>
        <v>5.4629629667033441E-3</v>
      </c>
      <c r="N218" s="7">
        <f t="shared" si="161"/>
        <v>7.8666666720528156</v>
      </c>
      <c r="O218" s="7"/>
      <c r="P218" s="7"/>
      <c r="Q218" s="22"/>
      <c r="R218" s="174"/>
      <c r="S218" s="221">
        <f t="shared" si="162"/>
        <v>1</v>
      </c>
      <c r="T218" s="174" t="str">
        <f t="shared" si="163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64"/>
        <v>https://d0f6bd738d7f1b3e5a7ca70fe4ff75f0.us-east-1.aws.found.io/app/kibana#/discover/Steve-Slow-Train-Analysis-(2080s-and-2083s)?_g=(refreshInterval:(display:Off,pause:!f,section:0,value:0),time:(from:'2017-11-13T04:21:32-0700',mode:absolute,to:'2017-11-13T06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04" t="str">
        <f>IF(AA218&lt;VLOOKUP(AG218,Variables!$AC$3:$AD$8,2,FALSE),"Y","N")</f>
        <v>Y</v>
      </c>
      <c r="X218" s="204">
        <f t="shared" si="165"/>
        <v>2</v>
      </c>
      <c r="Y218" s="204">
        <f t="shared" si="166"/>
        <v>2.2343999999999999</v>
      </c>
      <c r="Z218" s="204">
        <f t="shared" si="167"/>
        <v>1.7999999999999999E-2</v>
      </c>
      <c r="AA218" s="204">
        <f t="shared" si="168"/>
        <v>2.2164000000000001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169"/>
        <v>312</v>
      </c>
      <c r="AE218" s="77" t="str">
        <f t="shared" si="170"/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AF218" s="74" t="str">
        <f t="shared" si="171"/>
        <v>"C:\Program Files (x86)\AstroGrep\AstroGrep.exe" /e /r /s /spath="%USERPROFILE%\AppData\Local\Temp\OnboardLogs" /stypes="app*4013*20171113*" /stext=" 12:.+((SYSTEM_STATE.+slice.+state.+changed )|(ment ac)|(multiple cpu faults)|(system.+state.+changed )|(\[timeout)|(PRM\|1\|D)|(kpr)|(kdp)|(train st.+moving)|(\|lc)|(penalty))"</v>
      </c>
      <c r="AG218" s="182" t="str">
        <f t="shared" si="172"/>
        <v>Other</v>
      </c>
      <c r="AH218" s="78" t="str">
        <f t="shared" si="173"/>
        <v>"%USERPROFILE%\Documents\GitHub\eaglep3\Utilities\RefineRTDCRunTimes.py" --tripid 312-13 --locoid 4013 --swversion DE.1.0.9.0 --startMP 300:22344 --initTime 2017-11-13T05:21:32 --startdatetime 2017-11-13T05:28:58 --delay 68 --endMP 204:180 --enddatetime 2017-11-13T05:36:50 --enforcementcount 0 &gt;&gt;%USERPROFILE%\Documents\GitHub\eaglep3-reporting\EC\2017-11-13-refined-times.txt</v>
      </c>
      <c r="AI218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{"issue":{"subject":"","project_id":79,"tracker_id":40,"status_id":1,"priority_id":2,"assigned_to_id":338,"start_date":"2017-11-13","description":"","custom_fields":[{"id":1,"name":"Subdivision","value":"Other"},{"id":4,"name":"Milepost","value":"0.018"},{"id":17,"name":"Train ID","value":"312-13"},{"id":16,"name":"Locomotive ID","value":"4013"},{"id":130,"name":"Impact","value":""},{"id":150,"name":"Time of Event (Mountain Time)","value":"05:36:50"},{"id":151,"name":"Denver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75"/>
        <v>start /low /b %USERPROFILE%\Documents\GitHub\eaglep3\Utilities\DownloadLogsFromS3.py --loco 4013 --day 2017-11-13</v>
      </c>
      <c r="AN218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77"/>
        <v>https://d0f6bd738d7f1b3e5a7ca70fe4ff75f0.us-east-1.aws.found.io/app/kibana#/discover/Steve-Slow-Train-Analysis-(2080s-and-2083s)?_g=(refreshInterval:(display:Off,pause:!f,section:0,value:0),time:(from:'2017-11-13T04:21:32-0700',mode:absolute,to:'2017-11-13T06:36:50-0700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863</v>
      </c>
      <c r="B219" s="7">
        <v>4060</v>
      </c>
      <c r="C219" s="21" t="s">
        <v>192</v>
      </c>
      <c r="D219" s="21" t="s">
        <v>586</v>
      </c>
      <c r="E219" s="13">
        <v>43053.025266203702</v>
      </c>
      <c r="F219" s="13">
        <v>43053.027141203704</v>
      </c>
      <c r="G219" s="7">
        <v>76</v>
      </c>
      <c r="H219" s="21" t="s">
        <v>987</v>
      </c>
      <c r="I219" s="13">
        <v>43053.037951388891</v>
      </c>
      <c r="J219" s="7">
        <v>0</v>
      </c>
      <c r="K219" s="89" t="str">
        <f t="shared" si="159"/>
        <v>4059/4060</v>
      </c>
      <c r="L219" s="185" t="str">
        <f>VLOOKUP(A219,'Trips&amp;Operators'!$C$1:$G$99911,5,FALSE)</f>
        <v>ELBAUM MIKE</v>
      </c>
      <c r="M219" s="6">
        <f t="shared" si="160"/>
        <v>1.0810185187438037E-2</v>
      </c>
      <c r="N219" s="7">
        <f t="shared" si="161"/>
        <v>15.566666669910774</v>
      </c>
      <c r="O219" s="7"/>
      <c r="P219" s="7"/>
      <c r="Q219" s="22"/>
      <c r="R219" s="174"/>
      <c r="S219" s="221">
        <f t="shared" si="162"/>
        <v>1</v>
      </c>
      <c r="T219" s="174" t="str">
        <f t="shared" si="163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64"/>
        <v>https://d0f6bd738d7f1b3e5a7ca70fe4ff75f0.us-east-1.aws.found.io/app/kibana#/discover/Steve-Slow-Train-Analysis-(2080s-and-2083s)?_g=(refreshInterval:(display:Off,pause:!f,section:0,value:0),time:(from:'2017-11-13T23:36:23-0700',mode:absolute,to:'2017-11-14T01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9" s="204" t="str">
        <f>IF(AA219&lt;VLOOKUP(AG219,Variables!$AC$3:$AD$8,2,FALSE),"Y","N")</f>
        <v>Y</v>
      </c>
      <c r="X219" s="204">
        <f t="shared" si="165"/>
        <v>1</v>
      </c>
      <c r="Y219" s="204">
        <f t="shared" si="166"/>
        <v>5.2200000000000003E-2</v>
      </c>
      <c r="Z219" s="204">
        <f t="shared" si="167"/>
        <v>2.3319999999999999</v>
      </c>
      <c r="AA219" s="204">
        <f t="shared" si="168"/>
        <v>2.2797999999999998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169"/>
        <v>313</v>
      </c>
      <c r="AE219" s="77" t="str">
        <f t="shared" si="170"/>
        <v>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 &amp; aws s3 cp s3://rtdc.mdm.uploadarchive.raw/RTDC4060/ "%USERPROFILE%\AppData\Local\Temp\OnboardLogs"\RTDC4060\2017-11-15 --exclude "*" --recursive --include "*20171115*" &amp; "%USERPROFILE%\Documents\GitHub\mrs-test-scripts\Headless Mode &amp; Sideloading\WalkAndUnGZ.bat" "%USERPROFILE%\AppData\Local\Temp\OnboardLogs"\RTDC4060\2017-11-15</v>
      </c>
      <c r="AF219" s="74" t="str">
        <f t="shared" si="171"/>
        <v>"C:\Program Files (x86)\AstroGrep\AstroGrep.exe" /e /r /s /spath="%USERPROFILE%\AppData\Local\Temp\OnboardLogs" /stypes="app*4060*20171114*" /stext=" 07:.+((SYSTEM_STATE.+slice.+state.+changed )|(ment ac)|(multiple cpu faults)|(system.+state.+changed )|(\[timeout)|(PRM\|1\|D)|(kpr)|(kdp)|(train st.+moving)|(\|lc)|(penalty))"</v>
      </c>
      <c r="AG219" s="182" t="str">
        <f t="shared" si="172"/>
        <v>Other</v>
      </c>
      <c r="AH219" s="78" t="str">
        <f t="shared" si="173"/>
        <v>"%USERPROFILE%\Documents\GitHub\eaglep3\Utilities\RefineRTDCRunTimes.py" --tripid 313-13 --locoid 4060 --swversion DE.1.0.9.0 --startMP 204:522 --initTime 2017-11-14T00:36:23 --startdatetime 2017-11-14T00:39:05 --delay 76 --endMP 300:23320 --enddatetime 2017-11-14T00:54:39 --enforcementcount 0 &gt;&gt;%USERPROFILE%\Documents\GitHub\eaglep3-reporting\EC\2017-11-13-refined-times.txt</v>
      </c>
      <c r="AI219" s="96" t="str">
        <f t="shared" si="174"/>
        <v>echo {"issue":{"subject":"","project_id":79,"tracker_id":40,"status_id":1,"priority_id":2,"assigned_to_id":338,"start_date":"2017-11-14","description":"","custom_fields":[{"id":1,"name":"Subdivision","value":"Other"},{"id":4,"name":"Milepost","value":"2.332"},{"id":17,"name":"Train ID","value":"313-13"},{"id":16,"name":"Locomotive ID","value":"4060"},{"id":130,"name":"Impact","value":""},{"id":150,"name":"Time of Event (Mountain Time)","value":"00:54:39"},{"id":151,"name":"Denver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75"/>
        <v>start /low /b %USERPROFILE%\Documents\GitHub\eaglep3\Utilities\DownloadLogsFromS3.py --loco 4060 --day 2017-11-14</v>
      </c>
      <c r="AN219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07:54:39"},{"id":29,"name":"Sharepoint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77"/>
        <v>https://d0f6bd738d7f1b3e5a7ca70fe4ff75f0.us-east-1.aws.found.io/app/kibana#/discover/Steve-Slow-Train-Analysis-(2080s-and-2083s)?_g=(refreshInterval:(display:Off,pause:!f,section:0,value:0),time:(from:'2017-11-13T23:36:23-0700',mode:absolute,to:'2017-11-14T01:54:39-0700'))&amp;_a=(columns:!('Message%20ID',Summary),filters:!(),index:'emp_*',interval:auto,query:(query_string:(analyze_wildcard:!t,query:'%22rtdc.l.rtdc.4060%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676</v>
      </c>
      <c r="B220" s="7">
        <v>4002</v>
      </c>
      <c r="C220" s="21" t="s">
        <v>192</v>
      </c>
      <c r="D220" s="21" t="s">
        <v>1073</v>
      </c>
      <c r="E220" s="13">
        <v>43052.198483796295</v>
      </c>
      <c r="F220" s="13">
        <v>43052.201643518521</v>
      </c>
      <c r="G220" s="7">
        <v>64</v>
      </c>
      <c r="H220" s="21" t="s">
        <v>1010</v>
      </c>
      <c r="I220" s="13">
        <v>43052.206909722219</v>
      </c>
      <c r="J220" s="7">
        <v>0</v>
      </c>
      <c r="K220" s="89" t="str">
        <f t="shared" si="159"/>
        <v>4001/4002</v>
      </c>
      <c r="L220" s="185" t="str">
        <f>VLOOKUP(A220,'Trips&amp;Operators'!$C$1:$G$99911,5,FALSE)</f>
        <v>MACDONALD THOMAS</v>
      </c>
      <c r="M220" s="6">
        <f t="shared" si="160"/>
        <v>5.2662036978290416E-3</v>
      </c>
      <c r="N220" s="7">
        <f t="shared" si="161"/>
        <v>7.5833333248738199</v>
      </c>
      <c r="O220" s="7"/>
      <c r="P220" s="7"/>
      <c r="Q220" s="22"/>
      <c r="R220" s="174"/>
      <c r="S220" s="221">
        <f t="shared" si="162"/>
        <v>0</v>
      </c>
      <c r="T220" s="174" t="str">
        <f t="shared" si="163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64"/>
        <v>https://d0f6bd738d7f1b3e5a7ca70fe4ff75f0.us-east-1.aws.found.io/app/kibana#/discover/Steve-Slow-Train-Analysis-(2080s-and-2083s)?_g=(refreshInterval:(display:Off,pause:!f,section:0,value:0),time:(from:'2017-11-13T03:45:49-0700',mode:absolute,to:'2017-11-13T05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204" t="str">
        <f>IF(AA220&lt;VLOOKUP(AG220,Variables!$AC$3:$AD$8,2,FALSE),"Y","N")</f>
        <v>Y</v>
      </c>
      <c r="X220" s="204">
        <f t="shared" si="165"/>
        <v>588</v>
      </c>
      <c r="Y220" s="204">
        <f t="shared" si="166"/>
        <v>2.9695</v>
      </c>
      <c r="Z220" s="204">
        <f t="shared" si="167"/>
        <v>5.8920000000000003</v>
      </c>
      <c r="AA220" s="204">
        <f t="shared" si="168"/>
        <v>2.9225000000000003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169"/>
        <v>901</v>
      </c>
      <c r="AE220" s="77" t="str">
        <f t="shared" si="170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220" s="74" t="str">
        <f t="shared" si="171"/>
        <v>"C:\Program Files (x86)\AstroGrep\AstroGrep.exe" /e /r /s /spath="%USERPROFILE%\AppData\Local\Temp\OnboardLogs" /stypes="app*4002*20171113*" /stext=" 11:.+((SYSTEM_STATE.+slice.+state.+changed )|(ment ac)|(multiple cpu faults)|(system.+state.+changed )|(\[timeout)|(PRM\|1\|D)|(kpr)|(kdp)|(train st.+moving)|(\|lc)|(penalty))"</v>
      </c>
      <c r="AG220" s="182" t="str">
        <f t="shared" si="172"/>
        <v>Other</v>
      </c>
      <c r="AH220" s="78" t="str">
        <f t="shared" si="173"/>
        <v>"%USERPROFILE%\Documents\GitHub\eaglep3\Utilities\RefineRTDCRunTimes.py" --tripid 901-13 --locoid 4002 --swversion DE.1.0.9.0 --startMP 300:29695 --initTime 2017-11-13T04:45:49 --startdatetime 2017-11-13T04:50:22 --delay 64 --endMP 300:58920 --enddatetime 2017-11-13T04:57:57 --enforcementcount 0 &gt;&gt;%USERPROFILE%\Documents\GitHub\eaglep3-reporting\EC\2017-11-13-refined-times.txt</v>
      </c>
      <c r="AI220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{"issue":{"subject":"","project_id":79,"tracker_id":40,"status_id":1,"priority_id":2,"assigned_to_id":338,"start_date":"2017-11-13","description":"","custom_fields":[{"id":1,"name":"Subdivision","value":"Other"},{"id":4,"name":"Milepost","value":"5.892"},{"id":17,"name":"Train ID","value":"901-13"},{"id":16,"name":"Locomotive ID","value":"4002"},{"id":130,"name":"Impact","value":""},{"id":150,"name":"Time of Event (Mountain Time)","value":"04:57:57"},{"id":151,"name":"Denver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75"/>
        <v>start /low /b %USERPROFILE%\Documents\GitHub\eaglep3\Utilities\DownloadLogsFromS3.py --loco 4002 --day 2017-11-13</v>
      </c>
      <c r="AN220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11:57:57"},{"id":29,"name":"Sharepoint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77"/>
        <v>https://d0f6bd738d7f1b3e5a7ca70fe4ff75f0.us-east-1.aws.found.io/app/kibana#/discover/Steve-Slow-Train-Analysis-(2080s-and-2083s)?_g=(refreshInterval:(display:Off,pause:!f,section:0,value:0),time:(from:'2017-11-13T03:45:49-0700',mode:absolute,to:'2017-11-13T05:57:57-0700'))&amp;_a=(columns:!('Message%20ID',Summary),filters:!(),index:'emp_*',interval:auto,query:(query_string:(analyze_wildcard:!t,query:'%22rtdc.l.rtdc.4002%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686</v>
      </c>
      <c r="B221" s="7">
        <v>4035</v>
      </c>
      <c r="C221" s="21" t="s">
        <v>192</v>
      </c>
      <c r="D221" s="21" t="s">
        <v>1074</v>
      </c>
      <c r="E221" s="13">
        <v>43052.22960648148</v>
      </c>
      <c r="F221" s="13">
        <v>43052.232361111113</v>
      </c>
      <c r="G221" s="7">
        <v>56</v>
      </c>
      <c r="H221" s="21" t="s">
        <v>1075</v>
      </c>
      <c r="I221" s="13">
        <v>43052.238518518519</v>
      </c>
      <c r="J221" s="7">
        <v>0</v>
      </c>
      <c r="K221" s="89" t="str">
        <f t="shared" si="159"/>
        <v>4035/4036</v>
      </c>
      <c r="L221" s="185" t="str">
        <f>VLOOKUP(A221,'Trips&amp;Operators'!$C$1:$G$99911,5,FALSE)</f>
        <v>YANAI IAN</v>
      </c>
      <c r="M221" s="6">
        <f t="shared" si="160"/>
        <v>6.1574074061354622E-3</v>
      </c>
      <c r="N221" s="7">
        <f t="shared" si="161"/>
        <v>8.8666666648350656</v>
      </c>
      <c r="O221" s="7"/>
      <c r="P221" s="7"/>
      <c r="Q221" s="22"/>
      <c r="R221" s="174"/>
      <c r="S221" s="221">
        <f t="shared" si="162"/>
        <v>1</v>
      </c>
      <c r="T221" s="174" t="str">
        <f t="shared" si="163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64"/>
        <v>https://d0f6bd738d7f1b3e5a7ca70fe4ff75f0.us-east-1.aws.found.io/app/kibana#/discover/Steve-Slow-Train-Analysis-(2080s-and-2083s)?_g=(refreshInterval:(display:Off,pause:!f,section:0,value:0),time:(from:'2017-11-13T04:30:38-0700',mode:absolute,to:'2017-11-13T06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1" s="204" t="str">
        <f>IF(AA221&lt;VLOOKUP(AG221,Variables!$AC$3:$AD$8,2,FALSE),"Y","N")</f>
        <v>Y</v>
      </c>
      <c r="X221" s="204">
        <f t="shared" si="165"/>
        <v>1</v>
      </c>
      <c r="Y221" s="204">
        <f t="shared" si="166"/>
        <v>2.3589000000000002</v>
      </c>
      <c r="Z221" s="204">
        <f t="shared" si="167"/>
        <v>8.5999999999999993E-2</v>
      </c>
      <c r="AA221" s="204">
        <f t="shared" si="168"/>
        <v>2.2729000000000004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169"/>
        <v>902</v>
      </c>
      <c r="AE221" s="77" t="str">
        <f t="shared" si="170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221" s="74" t="str">
        <f t="shared" si="171"/>
        <v>"C:\Program Files (x86)\AstroGrep\AstroGrep.exe" /e /r /s /spath="%USERPROFILE%\AppData\Local\Temp\OnboardLogs" /stypes="app*4035*20171113*" /stext=" 12:.+((SYSTEM_STATE.+slice.+state.+changed )|(ment ac)|(multiple cpu faults)|(system.+state.+changed )|(\[timeout)|(PRM\|1\|D)|(kpr)|(kdp)|(train st.+moving)|(\|lc)|(penalty))"</v>
      </c>
      <c r="AG221" s="182" t="str">
        <f t="shared" si="172"/>
        <v>Other</v>
      </c>
      <c r="AH221" s="78" t="str">
        <f t="shared" si="173"/>
        <v>"%USERPROFILE%\Documents\GitHub\eaglep3\Utilities\RefineRTDCRunTimes.py" --tripid 902-13 --locoid 4035 --swversion DE.1.0.9.0 --startMP 300:23589 --initTime 2017-11-13T05:30:38 --startdatetime 2017-11-13T05:34:36 --delay 56 --endMP 204:860 --enddatetime 2017-11-13T05:43:28 --enforcementcount 0 &gt;&gt;%USERPROFILE%\Documents\GitHub\eaglep3-reporting\EC\2017-11-13-refined-times.txt</v>
      </c>
      <c r="AI221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{"issue":{"subject":"","project_id":79,"tracker_id":40,"status_id":1,"priority_id":2,"assigned_to_id":338,"start_date":"2017-11-13","description":"","custom_fields":[{"id":1,"name":"Subdivision","value":"Other"},{"id":4,"name":"Milepost","value":"0.086"},{"id":17,"name":"Train ID","value":"902-13"},{"id":16,"name":"Locomotive ID","value":"4035"},{"id":130,"name":"Impact","value":""},{"id":150,"name":"Time of Event (Mountain Time)","value":"05:43:28"},{"id":151,"name":"Denver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75"/>
        <v>start /low /b %USERPROFILE%\Documents\GitHub\eaglep3\Utilities\DownloadLogsFromS3.py --loco 4035 --day 2017-11-13</v>
      </c>
      <c r="AN221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12:43:28"},{"id":29,"name":"Sharepoint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77"/>
        <v>https://d0f6bd738d7f1b3e5a7ca70fe4ff75f0.us-east-1.aws.found.io/app/kibana#/discover/Steve-Slow-Train-Analysis-(2080s-and-2083s)?_g=(refreshInterval:(display:Off,pause:!f,section:0,value:0),time:(from:'2017-11-13T04:30:38-0700',mode:absolute,to:'2017-11-13T06:43:28-0700'))&amp;_a=(columns:!('Message%20ID',Summary),filters:!(),index:'emp_*',interval:auto,query:(query_string:(analyze_wildcard:!t,query:'%22rtdc.l.rtdc.4035%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720</v>
      </c>
      <c r="B222" s="7">
        <v>4002</v>
      </c>
      <c r="C222" s="21" t="s">
        <v>192</v>
      </c>
      <c r="D222" s="21" t="s">
        <v>1076</v>
      </c>
      <c r="E222" s="13">
        <v>43052.352280092593</v>
      </c>
      <c r="F222" s="13">
        <v>43052.353402777779</v>
      </c>
      <c r="G222" s="7">
        <v>53</v>
      </c>
      <c r="H222" s="21" t="s">
        <v>1077</v>
      </c>
      <c r="I222" s="13">
        <v>43052.358310185184</v>
      </c>
      <c r="J222" s="7">
        <v>0</v>
      </c>
      <c r="K222" s="89" t="str">
        <f t="shared" si="159"/>
        <v>4001/4002</v>
      </c>
      <c r="L222" s="185" t="str">
        <f>VLOOKUP(A222,'Trips&amp;Operators'!$C$1:$G$99911,5,FALSE)</f>
        <v>MACDONALD THOMAS</v>
      </c>
      <c r="M222" s="6">
        <f t="shared" si="160"/>
        <v>4.907407404971309E-3</v>
      </c>
      <c r="N222" s="7">
        <f t="shared" si="161"/>
        <v>7.066666663158685</v>
      </c>
      <c r="O222" s="7"/>
      <c r="P222" s="7"/>
      <c r="Q222" s="22"/>
      <c r="R222" s="174"/>
      <c r="S222" s="221">
        <f t="shared" si="162"/>
        <v>1</v>
      </c>
      <c r="T222" s="174" t="str">
        <f t="shared" si="163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64"/>
        <v>https://d0f6bd738d7f1b3e5a7ca70fe4ff75f0.us-east-1.aws.found.io/app/kibana#/discover/Steve-Slow-Train-Analysis-(2080s-and-2083s)?_g=(refreshInterval:(display:Off,pause:!f,section:0,value:0),time:(from:'2017-11-13T07:27:17-0700',mode:absolute,to:'2017-11-13T09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204" t="str">
        <f>IF(AA222&lt;VLOOKUP(AG222,Variables!$AC$3:$AD$8,2,FALSE),"Y","N")</f>
        <v>Y</v>
      </c>
      <c r="X222" s="204">
        <f t="shared" si="165"/>
        <v>1</v>
      </c>
      <c r="Y222" s="204">
        <f t="shared" si="166"/>
        <v>0.106</v>
      </c>
      <c r="Z222" s="204">
        <f t="shared" si="167"/>
        <v>2.4258000000000002</v>
      </c>
      <c r="AA222" s="204">
        <f t="shared" si="168"/>
        <v>2.3198000000000003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169"/>
        <v>903</v>
      </c>
      <c r="AE222" s="77" t="str">
        <f t="shared" si="170"/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AF222" s="74" t="str">
        <f t="shared" si="171"/>
        <v>"C:\Program Files (x86)\AstroGrep\AstroGrep.exe" /e /r /s /spath="%USERPROFILE%\AppData\Local\Temp\OnboardLogs" /stypes="app*4002*20171113*" /stext=" 15:.+((SYSTEM_STATE.+slice.+state.+changed )|(ment ac)|(multiple cpu faults)|(system.+state.+changed )|(\[timeout)|(PRM\|1\|D)|(kpr)|(kdp)|(train st.+moving)|(\|lc)|(penalty))"</v>
      </c>
      <c r="AG222" s="182" t="str">
        <f t="shared" si="172"/>
        <v>Other</v>
      </c>
      <c r="AH222" s="78" t="str">
        <f t="shared" si="173"/>
        <v>"%USERPROFILE%\Documents\GitHub\eaglep3\Utilities\RefineRTDCRunTimes.py" --tripid 903-13 --locoid 4002 --swversion DE.1.0.9.0 --startMP 204:1060 --initTime 2017-11-13T08:27:17 --startdatetime 2017-11-13T08:28:54 --delay 53 --endMP 300:24258 --enddatetime 2017-11-13T08:35:58 --enforcementcount 0 &gt;&gt;%USERPROFILE%\Documents\GitHub\eaglep3-reporting\EC\2017-11-13-refined-times.txt</v>
      </c>
      <c r="AI222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{"issue":{"subject":"","project_id":79,"tracker_id":40,"status_id":1,"priority_id":2,"assigned_to_id":338,"start_date":"2017-11-13","description":"","custom_fields":[{"id":1,"name":"Subdivision","value":"Other"},{"id":4,"name":"Milepost","value":"2.4258"},{"id":17,"name":"Train ID","value":"903-13"},{"id":16,"name":"Locomotive ID","value":"4002"},{"id":130,"name":"Impact","value":""},{"id":150,"name":"Time of Event (Mountain Time)","value":"08:35:58"},{"id":151,"name":"Denver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75"/>
        <v>start /low /b %USERPROFILE%\Documents\GitHub\eaglep3\Utilities\DownloadLogsFromS3.py --loco 4002 --day 2017-11-13</v>
      </c>
      <c r="AN222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77"/>
        <v>https://d0f6bd738d7f1b3e5a7ca70fe4ff75f0.us-east-1.aws.found.io/app/kibana#/discover/Steve-Slow-Train-Analysis-(2080s-and-2083s)?_g=(refreshInterval:(display:Off,pause:!f,section:0,value:0),time:(from:'2017-11-13T07:27:17-0700',mode:absolute,to:'2017-11-13T09:35:58-0700'))&amp;_a=(columns:!('Message%20ID',Summary),filters:!(),index:'emp_*',interval:auto,query:(query_string:(analyze_wildcard:!t,query:'%22rtdc.l.rtdc.4002%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784</v>
      </c>
      <c r="B223" s="7">
        <v>4001</v>
      </c>
      <c r="C223" s="21" t="s">
        <v>192</v>
      </c>
      <c r="D223" s="21" t="s">
        <v>1078</v>
      </c>
      <c r="E223" s="13">
        <v>43052.632303240738</v>
      </c>
      <c r="F223" s="13">
        <v>43052.637083333335</v>
      </c>
      <c r="G223" s="7">
        <v>101</v>
      </c>
      <c r="H223" s="21" t="s">
        <v>1079</v>
      </c>
      <c r="I223" s="13">
        <v>43052.641909722224</v>
      </c>
      <c r="J223" s="7">
        <v>0</v>
      </c>
      <c r="K223" s="89" t="str">
        <f t="shared" si="159"/>
        <v>4001/4002</v>
      </c>
      <c r="L223" s="185" t="str">
        <f>VLOOKUP(A223,'Trips&amp;Operators'!$C$1:$G$99911,5,FALSE)</f>
        <v>ANDREA WILLIAMS</v>
      </c>
      <c r="M223" s="6">
        <f t="shared" si="160"/>
        <v>4.8263888893416151E-3</v>
      </c>
      <c r="N223" s="7">
        <f t="shared" si="161"/>
        <v>6.9500000006519258</v>
      </c>
      <c r="O223" s="7"/>
      <c r="P223" s="7"/>
      <c r="Q223" s="22"/>
      <c r="R223" s="174"/>
      <c r="S223" s="221">
        <f t="shared" si="162"/>
        <v>1</v>
      </c>
      <c r="T223" s="174" t="str">
        <f t="shared" si="163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64"/>
        <v>https://d0f6bd738d7f1b3e5a7ca70fe4ff75f0.us-east-1.aws.found.io/app/kibana#/discover/Steve-Slow-Train-Analysis-(2080s-and-2083s)?_g=(refreshInterval:(display:Off,pause:!f,section:0,value:0),time:(from:'2017-11-13T14:10:31-0700',mode:absolute,to:'2017-11-13T16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204" t="str">
        <f>IF(AA223&lt;VLOOKUP(AG223,Variables!$AC$3:$AD$8,2,FALSE),"Y","N")</f>
        <v>Y</v>
      </c>
      <c r="X223" s="204">
        <f t="shared" si="165"/>
        <v>1</v>
      </c>
      <c r="Y223" s="204">
        <f t="shared" si="166"/>
        <v>2.3704999999999998</v>
      </c>
      <c r="Z223" s="204">
        <f t="shared" si="167"/>
        <v>6.9599999999999995E-2</v>
      </c>
      <c r="AA223" s="204">
        <f t="shared" si="168"/>
        <v>2.3008999999999999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169"/>
        <v>904</v>
      </c>
      <c r="AE223" s="77" t="str">
        <f t="shared" si="170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223" s="74" t="str">
        <f t="shared" si="171"/>
        <v>"C:\Program Files (x86)\AstroGrep\AstroGrep.exe" /e /r /s /spath="%USERPROFILE%\AppData\Local\Temp\OnboardLogs" /stypes="app*4001*20171113*" /stext=" 22:.+((SYSTEM_STATE.+slice.+state.+changed )|(ment ac)|(multiple cpu faults)|(system.+state.+changed )|(\[timeout)|(PRM\|1\|D)|(kpr)|(kdp)|(train st.+moving)|(\|lc)|(penalty))"</v>
      </c>
      <c r="AG223" s="182" t="str">
        <f t="shared" si="172"/>
        <v>Other</v>
      </c>
      <c r="AH223" s="78" t="str">
        <f t="shared" si="173"/>
        <v>"%USERPROFILE%\Documents\GitHub\eaglep3\Utilities\RefineRTDCRunTimes.py" --tripid 904-13 --locoid 4001 --swversion DE.1.0.9.0 --startMP 300:23705 --initTime 2017-11-13T15:10:31 --startdatetime 2017-11-13T15:17:24 --delay 101 --endMP 204:696 --enddatetime 2017-11-13T15:24:21 --enforcementcount 0 &gt;&gt;%USERPROFILE%\Documents\GitHub\eaglep3-reporting\EC\2017-11-13-refined-times.txt</v>
      </c>
      <c r="AI223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{"issue":{"subject":"","project_id":79,"tracker_id":40,"status_id":1,"priority_id":2,"assigned_to_id":338,"start_date":"2017-11-13","description":"","custom_fields":[{"id":1,"name":"Subdivision","value":"Other"},{"id":4,"name":"Milepost","value":"0.0696"},{"id":17,"name":"Train ID","value":"904-13"},{"id":16,"name":"Locomotive ID","value":"4001"},{"id":130,"name":"Impact","value":""},{"id":150,"name":"Time of Event (Mountain Time)","value":"15:24:21"},{"id":151,"name":"Denver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75"/>
        <v>start /low /b %USERPROFILE%\Documents\GitHub\eaglep3\Utilities\DownloadLogsFromS3.py --loco 4001 --day 2017-11-13</v>
      </c>
      <c r="AN223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22:24:21"},{"id":29,"name":"Sharepoint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77"/>
        <v>https://d0f6bd738d7f1b3e5a7ca70fe4ff75f0.us-east-1.aws.found.io/app/kibana#/discover/Steve-Slow-Train-Analysis-(2080s-and-2083s)?_g=(refreshInterval:(display:Off,pause:!f,section:0,value:0),time:(from:'2017-11-13T14:10:31-0700',mode:absolute,to:'2017-11-13T16:24:21-0700'))&amp;_a=(columns:!('Message%20ID',Summary),filters:!(),index:'emp_*',interval:auto,query:(query_string:(analyze_wildcard:!t,query:'%22rtdc.l.rtdc.4001%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829</v>
      </c>
      <c r="B224" s="7">
        <v>4001</v>
      </c>
      <c r="C224" s="21" t="s">
        <v>192</v>
      </c>
      <c r="D224" s="21" t="s">
        <v>1023</v>
      </c>
      <c r="E224" s="13">
        <v>43052.789166666669</v>
      </c>
      <c r="F224" s="13">
        <v>43052.790381944447</v>
      </c>
      <c r="G224" s="7">
        <v>54</v>
      </c>
      <c r="H224" s="21" t="s">
        <v>1080</v>
      </c>
      <c r="I224" s="13">
        <v>43052.797256944446</v>
      </c>
      <c r="J224" s="7">
        <v>0</v>
      </c>
      <c r="K224" s="89" t="str">
        <f t="shared" si="159"/>
        <v>4001/4002</v>
      </c>
      <c r="L224" s="185" t="str">
        <f>VLOOKUP(A224,'Trips&amp;Operators'!$C$1:$G$99911,5,FALSE)</f>
        <v>ANDREA WILLIAMS</v>
      </c>
      <c r="M224" s="6">
        <f t="shared" si="160"/>
        <v>6.8749999991268851E-3</v>
      </c>
      <c r="N224" s="7">
        <f t="shared" si="161"/>
        <v>9.8999999987427145</v>
      </c>
      <c r="O224" s="7"/>
      <c r="P224" s="7"/>
      <c r="Q224" s="22"/>
      <c r="R224" s="174"/>
      <c r="S224" s="221">
        <f t="shared" si="162"/>
        <v>0</v>
      </c>
      <c r="T224" s="174" t="str">
        <f t="shared" si="163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64"/>
        <v>https://d0f6bd738d7f1b3e5a7ca70fe4ff75f0.us-east-1.aws.found.io/app/kibana#/discover/Steve-Slow-Train-Analysis-(2080s-and-2083s)?_g=(refreshInterval:(display:Off,pause:!f,section:0,value:0),time:(from:'2017-11-13T17:56:24-0700',mode:absolute,to:'2017-11-13T20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204" t="str">
        <f>IF(AA224&lt;VLOOKUP(AG224,Variables!$AC$3:$AD$8,2,FALSE),"Y","N")</f>
        <v>Y</v>
      </c>
      <c r="X224" s="204">
        <f t="shared" si="165"/>
        <v>2</v>
      </c>
      <c r="Y224" s="204">
        <f t="shared" si="166"/>
        <v>5.8608000000000002</v>
      </c>
      <c r="Z224" s="204">
        <f t="shared" si="167"/>
        <v>2.8769999999999998</v>
      </c>
      <c r="AA224" s="204">
        <f t="shared" si="168"/>
        <v>2.9838000000000005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169"/>
        <v>906</v>
      </c>
      <c r="AE224" s="77" t="str">
        <f t="shared" si="170"/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AF224" s="74" t="str">
        <f t="shared" si="171"/>
        <v>"C:\Program Files (x86)\AstroGrep\AstroGrep.exe" /e /r /s /spath="%USERPROFILE%\AppData\Local\Temp\OnboardLogs" /stypes="app*4001*20171114*" /stext=" 02:.+((SYSTEM_STATE.+slice.+state.+changed )|(ment ac)|(multiple cpu faults)|(system.+state.+changed )|(\[timeout)|(PRM\|1\|D)|(kpr)|(kdp)|(train st.+moving)|(\|lc)|(penalty))"</v>
      </c>
      <c r="AG224" s="182" t="str">
        <f t="shared" si="172"/>
        <v>Other</v>
      </c>
      <c r="AH224" s="78" t="str">
        <f t="shared" si="173"/>
        <v>"%USERPROFILE%\Documents\GitHub\eaglep3\Utilities\RefineRTDCRunTimes.py" --tripid 906-13 --locoid 4001 --swversion DE.1.0.9.0 --startMP 300:58608 --initTime 2017-11-13T18:56:24 --startdatetime 2017-11-13T18:58:09 --delay 54 --endMP 300:28770 --enddatetime 2017-11-13T19:08:03 --enforcementcount 0 &gt;&gt;%USERPROFILE%\Documents\GitHub\eaglep3-reporting\EC\2017-11-13-refined-times.txt</v>
      </c>
      <c r="AI224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{"issue":{"subject":"","project_id":79,"tracker_id":40,"status_id":1,"priority_id":2,"assigned_to_id":338,"start_date":"2017-11-13","description":"","custom_fields":[{"id":1,"name":"Subdivision","value":"Other"},{"id":4,"name":"Milepost","value":"2.877"},{"id":17,"name":"Train ID","value":"906-13"},{"id":16,"name":"Locomotive ID","value":"4001"},{"id":130,"name":"Impact","value":""},{"id":150,"name":"Time of Event (Mountain Time)","value":"19:08:03"},{"id":151,"name":"Denver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75"/>
        <v>start /low /b %USERPROFILE%\Documents\GitHub\eaglep3\Utilities\DownloadLogsFromS3.py --loco 4001 --day 2017-11-13</v>
      </c>
      <c r="AN224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02:08:03"},{"id":29,"name":"Sharepoint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77"/>
        <v>https://d0f6bd738d7f1b3e5a7ca70fe4ff75f0.us-east-1.aws.found.io/app/kibana#/discover/Steve-Slow-Train-Analysis-(2080s-and-2083s)?_g=(refreshInterval:(display:Off,pause:!f,section:0,value:0),time:(from:'2017-11-13T17:56:24-0700',mode:absolute,to:'2017-11-13T20:08:03-0700'))&amp;_a=(columns:!('Message%20ID',Summary),filters:!(),index:'emp_*',interval:auto,query:(query_string:(analyze_wildcard:!t,query:'%22rtdc.l.rtdc.4001%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858</v>
      </c>
      <c r="B225" s="7">
        <v>4035</v>
      </c>
      <c r="C225" s="21" t="s">
        <v>192</v>
      </c>
      <c r="D225" s="21" t="s">
        <v>1035</v>
      </c>
      <c r="E225" s="13">
        <v>43052.976944444446</v>
      </c>
      <c r="F225" s="13">
        <v>43052.978761574072</v>
      </c>
      <c r="G225" s="7">
        <v>55</v>
      </c>
      <c r="H225" s="21" t="s">
        <v>1081</v>
      </c>
      <c r="I225" s="13">
        <v>43052.985694444447</v>
      </c>
      <c r="J225" s="7">
        <v>0</v>
      </c>
      <c r="K225" s="89" t="str">
        <f t="shared" si="159"/>
        <v>4035/4036</v>
      </c>
      <c r="L225" s="185" t="str">
        <f>VLOOKUP(A225,'Trips&amp;Operators'!$C$1:$G$99911,5,FALSE)</f>
        <v>ANDREA WILLIAMS</v>
      </c>
      <c r="M225" s="6">
        <f t="shared" si="160"/>
        <v>6.9328703757491894E-3</v>
      </c>
      <c r="N225" s="7">
        <f t="shared" si="161"/>
        <v>9.9833333410788327</v>
      </c>
      <c r="O225" s="7"/>
      <c r="P225" s="7"/>
      <c r="Q225" s="22"/>
      <c r="R225" s="174"/>
      <c r="S225" s="221">
        <f t="shared" si="162"/>
        <v>0</v>
      </c>
      <c r="T225" s="174" t="str">
        <f t="shared" si="163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64"/>
        <v>https://d0f6bd738d7f1b3e5a7ca70fe4ff75f0.us-east-1.aws.found.io/app/kibana#/discover/Steve-Slow-Train-Analysis-(2080s-and-2083s)?_g=(refreshInterval:(display:Off,pause:!f,section:0,value:0),time:(from:'2017-11-13T22:26:48-0700',mode:absolute,to:'2017-11-14T00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5" s="204" t="str">
        <f>IF(AA225&lt;VLOOKUP(AG225,Variables!$AC$3:$AD$8,2,FALSE),"Y","N")</f>
        <v>Y</v>
      </c>
      <c r="X225" s="204">
        <f t="shared" si="165"/>
        <v>2</v>
      </c>
      <c r="Y225" s="204">
        <f t="shared" si="166"/>
        <v>5.8616999999999999</v>
      </c>
      <c r="Z225" s="204">
        <f t="shared" si="167"/>
        <v>2.8788</v>
      </c>
      <c r="AA225" s="204">
        <f t="shared" si="168"/>
        <v>2.9828999999999999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169"/>
        <v>908</v>
      </c>
      <c r="AE225" s="77" t="str">
        <f t="shared" si="170"/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AF225" s="74" t="str">
        <f t="shared" si="171"/>
        <v>"C:\Program Files (x86)\AstroGrep\AstroGrep.exe" /e /r /s /spath="%USERPROFILE%\AppData\Local\Temp\OnboardLogs" /stypes="app*4035*20171114*" /stext=" 06:.+((SYSTEM_STATE.+slice.+state.+changed )|(ment ac)|(multiple cpu faults)|(system.+state.+changed )|(\[timeout)|(PRM\|1\|D)|(kpr)|(kdp)|(train st.+moving)|(\|lc)|(penalty))"</v>
      </c>
      <c r="AG225" s="182" t="str">
        <f t="shared" si="172"/>
        <v>Other</v>
      </c>
      <c r="AH225" s="78" t="str">
        <f t="shared" si="173"/>
        <v>"%USERPROFILE%\Documents\GitHub\eaglep3\Utilities\RefineRTDCRunTimes.py" --tripid 908-13 --locoid 4035 --swversion DE.1.0.9.0 --startMP 300:58617 --initTime 2017-11-13T23:26:48 --startdatetime 2017-11-13T23:29:25 --delay 55 --endMP 300:28788 --enddatetime 2017-11-13T23:39:24 --enforcementcount 0 &gt;&gt;%USERPROFILE%\Documents\GitHub\eaglep3-reporting\EC\2017-11-13-refined-times.txt</v>
      </c>
      <c r="AI225" s="96" t="str">
        <f t="shared" si="174"/>
        <v>echo {"issue":{"subject":"","project_id":79,"tracker_id":40,"status_id":1,"priority_id":2,"assigned_to_id":338,"start_date":"2017-11-13","description":"","custom_fields":[{"id":1,"name":"Subdivision","value":"Other"},{"id":4,"name":"Milepost","value":"2.8788"},{"id":17,"name":"Train ID","value":"908-13"},{"id":16,"name":"Locomotive ID","value":"4035"},{"id":130,"name":"Impact","value":""},{"id":150,"name":"Time of Event (Mountain Time)","value":"23:39:24"},{"id":151,"name":"Denver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75"/>
        <v>start /low /b %USERPROFILE%\Documents\GitHub\eaglep3\Utilities\DownloadLogsFromS3.py --loco 4035 --day 2017-11-13</v>
      </c>
      <c r="AN225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06:39:24"},{"id":29,"name":"Sharepoint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77"/>
        <v>https://d0f6bd738d7f1b3e5a7ca70fe4ff75f0.us-east-1.aws.found.io/app/kibana#/discover/Steve-Slow-Train-Analysis-(2080s-and-2083s)?_g=(refreshInterval:(display:Off,pause:!f,section:0,value:0),time:(from:'2017-11-13T22:26:48-0700',mode:absolute,to:'2017-11-14T00:39:24-0700'))&amp;_a=(columns:!('Message%20ID',Summary),filters:!(),index:'emp_*',interval:auto,query:(query_string:(analyze_wildcard:!t,query:'%22rtdc.l.rtdc.4035%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626</v>
      </c>
      <c r="B226" s="7">
        <v>4004</v>
      </c>
      <c r="C226" s="21" t="s">
        <v>192</v>
      </c>
      <c r="D226" s="21" t="s">
        <v>988</v>
      </c>
      <c r="E226" s="13">
        <v>43052.12090277778</v>
      </c>
      <c r="F226" s="13">
        <v>43052.130949074075</v>
      </c>
      <c r="G226" s="7">
        <v>237</v>
      </c>
      <c r="H226" s="21" t="s">
        <v>989</v>
      </c>
      <c r="I226" s="13">
        <v>43052.136631944442</v>
      </c>
      <c r="J226" s="7">
        <v>0</v>
      </c>
      <c r="K226" s="89" t="str">
        <f t="shared" si="159"/>
        <v>4003/4004</v>
      </c>
      <c r="L226" s="185" t="str">
        <f>VLOOKUP(A226,'Trips&amp;Operators'!$C$1:$G$99911,5,FALSE)</f>
        <v>ROCHA YAOTL</v>
      </c>
      <c r="M226" s="6">
        <f t="shared" si="160"/>
        <v>5.6828703673090786E-3</v>
      </c>
      <c r="N226" s="7">
        <f t="shared" si="161"/>
        <v>8.1833333289250731</v>
      </c>
      <c r="O226" s="7"/>
      <c r="P226" s="7"/>
      <c r="Q226" s="22"/>
      <c r="R226" s="174"/>
      <c r="S226" s="221">
        <f t="shared" si="162"/>
        <v>0</v>
      </c>
      <c r="T226" s="174" t="str">
        <f t="shared" si="163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64"/>
        <v>https://d0f6bd738d7f1b3e5a7ca70fe4ff75f0.us-east-1.aws.found.io/app/kibana#/discover/Steve-Slow-Train-Analysis-(2080s-and-2083s)?_g=(refreshInterval:(display:Off,pause:!f,section:0,value:0),time:(from:'2017-11-13T01:54:06-0700',mode:absolute,to:'2017-11-13T04:16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6" s="204" t="str">
        <f>IF(AA226&lt;VLOOKUP(AG226,Variables!$AC$3:$AD$8,2,FALSE),"Y","N")</f>
        <v>Y</v>
      </c>
      <c r="X226" s="204">
        <f t="shared" si="165"/>
        <v>-858</v>
      </c>
      <c r="Y226" s="204">
        <f t="shared" si="166"/>
        <v>9.5799999999999996E-2</v>
      </c>
      <c r="Z226" s="204">
        <f t="shared" si="167"/>
        <v>2.2627000000000002</v>
      </c>
      <c r="AA226" s="204">
        <f t="shared" si="168"/>
        <v>2.1669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169"/>
        <v>50</v>
      </c>
      <c r="AE226" s="77" t="str">
        <f t="shared" si="170"/>
        <v>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 &amp; 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</v>
      </c>
      <c r="AF226" s="74" t="str">
        <f t="shared" si="171"/>
        <v>"C:\Program Files (x86)\AstroGrep\AstroGrep.exe" /e /r /s /spath="%USERPROFILE%\AppData\Local\Temp\OnboardLogs" /stypes="app*4004*20171113*" /stext=" 10:.+((SYSTEM_STATE.+slice.+state.+changed )|(ment ac)|(multiple cpu faults)|(system.+state.+changed )|(\[timeout)|(PRM\|1\|D)|(kpr)|(kdp)|(train st.+moving)|(\|lc)|(penalty))"</v>
      </c>
      <c r="AG226" s="182" t="str">
        <f t="shared" si="172"/>
        <v>Shuttle/Test</v>
      </c>
      <c r="AH226" s="78" t="str">
        <f t="shared" si="173"/>
        <v>"%USERPROFILE%\Documents\GitHub\eaglep3\Utilities\RefineRTDCRunTimes.py" --tripid 50-13 --locoid 4004 --swversion DE.1.0.9.0 --startMP 204:958 --initTime 2017-11-13T02:54:06 --startdatetime 2017-11-13T03:08:34 --delay 237 --endMP 300:22627 --enddatetime 2017-11-13T03:16:45 --enforcementcount 0 &gt;&gt;%USERPROFILE%\Documents\GitHub\eaglep3-reporting\EC\2017-11-13-refined-times.txt</v>
      </c>
      <c r="AI226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2.2627"},{"id":17,"name":"Train ID","value":"50-13"},{"id":16,"name":"Locomotive ID","value":"4004"},{"id":130,"name":"Impact","value":""},{"id":150,"name":"Time of Event (Mountain Time)","value":"03:16:45"},{"id":151,"name":"Denver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75"/>
        <v>start /low /b %USERPROFILE%\Documents\GitHub\eaglep3\Utilities\DownloadLogsFromS3.py --loco 4004 --day 2017-11-13</v>
      </c>
      <c r="AN226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10:16:45"},{"id":29,"name":"Sharepoint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77"/>
        <v>https://d0f6bd738d7f1b3e5a7ca70fe4ff75f0.us-east-1.aws.found.io/app/kibana#/discover/Steve-Slow-Train-Analysis-(2080s-and-2083s)?_g=(refreshInterval:(display:Off,pause:!f,section:0,value:0),time:(from:'2017-11-13T01:54:06-0700',mode:absolute,to:'2017-11-13T04:16:45-0700'))&amp;_a=(columns:!('Message%20ID',Summary),filters:!(),index:'emp_*',interval:auto,query:(query_string:(analyze_wildcard:!t,query:'%22rtdc.l.rtdc.4004%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658</v>
      </c>
      <c r="B227" s="7">
        <v>4024</v>
      </c>
      <c r="C227" s="21" t="s">
        <v>192</v>
      </c>
      <c r="D227" s="21" t="s">
        <v>990</v>
      </c>
      <c r="E227" s="13">
        <v>43052.132384259261</v>
      </c>
      <c r="F227" s="13">
        <v>43052.138287037036</v>
      </c>
      <c r="G227" s="7">
        <v>80</v>
      </c>
      <c r="H227" s="21" t="s">
        <v>991</v>
      </c>
      <c r="I227" s="13">
        <v>43052.139351851853</v>
      </c>
      <c r="J227" s="7">
        <v>0</v>
      </c>
      <c r="K227" s="89" t="str">
        <f t="shared" si="159"/>
        <v>4023/4024</v>
      </c>
      <c r="L227" s="185" t="str">
        <f>VLOOKUP(A227,'Trips&amp;Operators'!$C$1:$G$99911,5,FALSE)</f>
        <v>SPECTOR MICHAEL</v>
      </c>
      <c r="M227" s="6">
        <f t="shared" si="160"/>
        <v>1.0648148163454607E-3</v>
      </c>
      <c r="N227" s="7">
        <f t="shared" si="161"/>
        <v>1.5333333355374634</v>
      </c>
      <c r="O227" s="7"/>
      <c r="P227" s="7"/>
      <c r="Q227" s="22"/>
      <c r="R227" s="174"/>
      <c r="S227" s="221">
        <f t="shared" si="162"/>
        <v>0</v>
      </c>
      <c r="T227" s="174" t="str">
        <f t="shared" si="163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64"/>
        <v>https://d0f6bd738d7f1b3e5a7ca70fe4ff75f0.us-east-1.aws.found.io/app/kibana#/discover/Steve-Slow-Train-Analysis-(2080s-and-2083s)?_g=(refreshInterval:(display:Off,pause:!f,section:0,value:0),time:(from:'2017-11-13T02:10:38-0700',mode:absolute,to:'2017-11-13T04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204" t="str">
        <f>IF(AA227&lt;VLOOKUP(AG227,Variables!$AC$3:$AD$8,2,FALSE),"Y","N")</f>
        <v>Y</v>
      </c>
      <c r="X227" s="204">
        <f t="shared" si="165"/>
        <v>1</v>
      </c>
      <c r="Y227" s="204">
        <f t="shared" si="166"/>
        <v>4.3799999999999999E-2</v>
      </c>
      <c r="Z227" s="204">
        <f t="shared" si="167"/>
        <v>0.35759999999999997</v>
      </c>
      <c r="AA227" s="204">
        <f t="shared" si="168"/>
        <v>0.31379999999999997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169"/>
        <v>51</v>
      </c>
      <c r="AE227" s="77" t="str">
        <f t="shared" si="170"/>
        <v>aws s3 cp s3://rtdc.mdm.uploadarchive.raw/RTDC4024/ "%USERPROFILE%\AppData\Local\Temp\OnboardLogs"\RTDC4024\2017-11-13 --exclude "*" --recursive --include "*20171113*" &amp; "%USERPROFILE%\Documents\GitHub\mrs-test-scripts\Headless Mode &amp; Sideloading\WalkAndUnGZ.bat" "%USERPROFILE%\AppData\Local\Temp\OnboardLogs"\RTDC4024\2017-11-13 &amp; aws s3 cp s3://rtdc.mdm.uploadarchive.raw/RTDC4024/ "%USERPROFILE%\AppData\Local\Temp\OnboardLogs"\RTDC4024\2017-11-14 --exclude "*" --recursive --include "*20171114*" &amp; "%USERPROFILE%\Documents\GitHub\mrs-test-scripts\Headless Mode &amp; Sideloading\WalkAndUnGZ.bat" "%USERPROFILE%\AppData\Local\Temp\OnboardLogs"\RTDC4024\2017-11-14</v>
      </c>
      <c r="AF227" s="74" t="str">
        <f t="shared" si="171"/>
        <v>"C:\Program Files (x86)\AstroGrep\AstroGrep.exe" /e /r /s /spath="%USERPROFILE%\AppData\Local\Temp\OnboardLogs" /stypes="app*4024*20171113*" /stext=" 10:.+((SYSTEM_STATE.+slice.+state.+changed )|(ment ac)|(multiple cpu faults)|(system.+state.+changed )|(\[timeout)|(PRM\|1\|D)|(kpr)|(kdp)|(train st.+moving)|(\|lc)|(penalty))"</v>
      </c>
      <c r="AG227" s="182" t="str">
        <f t="shared" si="172"/>
        <v>Shuttle/Test</v>
      </c>
      <c r="AH227" s="78" t="str">
        <f t="shared" si="173"/>
        <v>"%USERPROFILE%\Documents\GitHub\eaglep3\Utilities\RefineRTDCRunTimes.py" --tripid 51-13 --locoid 4024 --swversion DE.1.0.9.0 --startMP 204:438 --initTime 2017-11-13T03:10:38 --startdatetime 2017-11-13T03:19:08 --delay 80 --endMP 204:3576 --enddatetime 2017-11-13T03:20:40 --enforcementcount 0 &gt;&gt;%USERPROFILE%\Documents\GitHub\eaglep3-reporting\EC\2017-11-13-refined-times.txt</v>
      </c>
      <c r="AI227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0.3576"},{"id":17,"name":"Train ID","value":"51-13"},{"id":16,"name":"Locomotive ID","value":"4024"},{"id":130,"name":"Impact","value":""},{"id":150,"name":"Time of Event (Mountain Time)","value":"03:20:40"},{"id":151,"name":"Denver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75"/>
        <v>start /low /b %USERPROFILE%\Documents\GitHub\eaglep3\Utilities\DownloadLogsFromS3.py --loco 4024 --day 2017-11-13</v>
      </c>
      <c r="AN227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77"/>
        <v>https://d0f6bd738d7f1b3e5a7ca70fe4ff75f0.us-east-1.aws.found.io/app/kibana#/discover/Steve-Slow-Train-Analysis-(2080s-and-2083s)?_g=(refreshInterval:(display:Off,pause:!f,section:0,value:0),time:(from:'2017-11-13T02:10:38-0700',mode:absolute,to:'2017-11-13T04:20:40-0700'))&amp;_a=(columns:!('Message%20ID',Summary),filters:!(),index:'emp_*',interval:auto,query:(query_string:(analyze_wildcard:!t,query:'%22rtdc.l.rtdc.4024%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661</v>
      </c>
      <c r="B228" s="7">
        <v>4023</v>
      </c>
      <c r="C228" s="21" t="s">
        <v>192</v>
      </c>
      <c r="D228" s="21" t="s">
        <v>992</v>
      </c>
      <c r="E228" s="13">
        <v>43052.140428240738</v>
      </c>
      <c r="F228" s="13">
        <v>43052.142141203702</v>
      </c>
      <c r="G228" s="7">
        <v>69</v>
      </c>
      <c r="H228" s="21" t="s">
        <v>993</v>
      </c>
      <c r="I228" s="13">
        <v>43052.143321759257</v>
      </c>
      <c r="J228" s="7">
        <v>0</v>
      </c>
      <c r="K228" s="89" t="str">
        <f t="shared" si="159"/>
        <v>4023/4024</v>
      </c>
      <c r="L228" s="185" t="str">
        <f>VLOOKUP(A228,'Trips&amp;Operators'!$C$1:$G$99911,5,FALSE)</f>
        <v>SPECTOR MICHAEL</v>
      </c>
      <c r="M228" s="6">
        <f t="shared" si="160"/>
        <v>1.1805555550381541E-3</v>
      </c>
      <c r="N228" s="7">
        <f t="shared" si="161"/>
        <v>1.6999999992549419</v>
      </c>
      <c r="O228" s="7"/>
      <c r="P228" s="7"/>
      <c r="Q228" s="22"/>
      <c r="R228" s="174"/>
      <c r="S228" s="221">
        <f t="shared" si="162"/>
        <v>0</v>
      </c>
      <c r="T228" s="174" t="str">
        <f t="shared" si="163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64"/>
        <v>https://d0f6bd738d7f1b3e5a7ca70fe4ff75f0.us-east-1.aws.found.io/app/kibana#/discover/Steve-Slow-Train-Analysis-(2080s-and-2083s)?_g=(refreshInterval:(display:Off,pause:!f,section:0,value:0),time:(from:'2017-11-13T02:22:13-0700',mode:absolute,to:'2017-11-13T04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8" s="204" t="str">
        <f>IF(AA228&lt;VLOOKUP(AG228,Variables!$AC$3:$AD$8,2,FALSE),"Y","N")</f>
        <v>Y</v>
      </c>
      <c r="X228" s="204">
        <f t="shared" si="165"/>
        <v>1</v>
      </c>
      <c r="Y228" s="204">
        <f t="shared" si="166"/>
        <v>0.32150000000000001</v>
      </c>
      <c r="Z228" s="204">
        <f t="shared" si="167"/>
        <v>0.11749999999999999</v>
      </c>
      <c r="AA228" s="204">
        <f t="shared" si="168"/>
        <v>0.20400000000000001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169"/>
        <v>52</v>
      </c>
      <c r="AE228" s="77" t="str">
        <f t="shared" si="170"/>
        <v>aws s3 cp s3://rtdc.mdm.uploadarchive.raw/RTDC4023/ "%USERPROFILE%\AppData\Local\Temp\OnboardLogs"\RTDC4023\2017-11-13 --exclude "*" --recursive --include "*20171113*" &amp; "%USERPROFILE%\Documents\GitHub\mrs-test-scripts\Headless Mode &amp; Sideloading\WalkAndUnGZ.bat" "%USERPROFILE%\AppData\Local\Temp\OnboardLogs"\RTDC4023\2017-11-13 &amp; aws s3 cp s3://rtdc.mdm.uploadarchive.raw/RTDC4023/ "%USERPROFILE%\AppData\Local\Temp\OnboardLogs"\RTDC4023\2017-11-14 --exclude "*" --recursive --include "*20171114*" &amp; "%USERPROFILE%\Documents\GitHub\mrs-test-scripts\Headless Mode &amp; Sideloading\WalkAndUnGZ.bat" "%USERPROFILE%\AppData\Local\Temp\OnboardLogs"\RTDC4023\2017-11-14</v>
      </c>
      <c r="AF228" s="74" t="str">
        <f t="shared" si="171"/>
        <v>"C:\Program Files (x86)\AstroGrep\AstroGrep.exe" /e /r /s /spath="%USERPROFILE%\AppData\Local\Temp\OnboardLogs" /stypes="app*4023*20171113*" /stext=" 10:.+((SYSTEM_STATE.+slice.+state.+changed )|(ment ac)|(multiple cpu faults)|(system.+state.+changed )|(\[timeout)|(PRM\|1\|D)|(kpr)|(kdp)|(train st.+moving)|(\|lc)|(penalty))"</v>
      </c>
      <c r="AG228" s="182" t="str">
        <f t="shared" si="172"/>
        <v>Shuttle/Test</v>
      </c>
      <c r="AH228" s="78" t="str">
        <f t="shared" si="173"/>
        <v>"%USERPROFILE%\Documents\GitHub\eaglep3\Utilities\RefineRTDCRunTimes.py" --tripid 52-13 --locoid 4023 --swversion DE.1.0.9.0 --startMP 204:3215 --initTime 2017-11-13T03:22:13 --startdatetime 2017-11-13T03:24:41 --delay 69 --endMP 204:1175 --enddatetime 2017-11-13T03:26:23 --enforcementcount 0 &gt;&gt;%USERPROFILE%\Documents\GitHub\eaglep3-reporting\EC\2017-11-13-refined-times.txt</v>
      </c>
      <c r="AI228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0.1175"},{"id":17,"name":"Train ID","value":"52-13"},{"id":16,"name":"Locomotive ID","value":"4023"},{"id":130,"name":"Impact","value":""},{"id":150,"name":"Time of Event (Mountain Time)","value":"03:26:23"},{"id":151,"name":"Denver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75"/>
        <v>start /low /b %USERPROFILE%\Documents\GitHub\eaglep3\Utilities\DownloadLogsFromS3.py --loco 4023 --day 2017-11-13</v>
      </c>
      <c r="AN228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10:26:23"},{"id":29,"name":"Sharepoint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77"/>
        <v>https://d0f6bd738d7f1b3e5a7ca70fe4ff75f0.us-east-1.aws.found.io/app/kibana#/discover/Steve-Slow-Train-Analysis-(2080s-and-2083s)?_g=(refreshInterval:(display:Off,pause:!f,section:0,value:0),time:(from:'2017-11-13T02:22:13-0700',mode:absolute,to:'2017-11-13T04:26:23-0700'))&amp;_a=(columns:!('Message%20ID',Summary),filters:!(),index:'emp_*',interval:auto,query:(query_string:(analyze_wildcard:!t,query:'%22rtdc.l.rtdc.4023%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641</v>
      </c>
      <c r="B229" s="7">
        <v>4029</v>
      </c>
      <c r="C229" s="21" t="s">
        <v>192</v>
      </c>
      <c r="D229" s="21" t="s">
        <v>994</v>
      </c>
      <c r="E229" s="13">
        <v>43052.450925925928</v>
      </c>
      <c r="F229" s="13">
        <v>43052.452881944446</v>
      </c>
      <c r="G229" s="7">
        <v>66</v>
      </c>
      <c r="H229" s="21" t="s">
        <v>995</v>
      </c>
      <c r="I229" s="13">
        <v>43052.459386574075</v>
      </c>
      <c r="J229" s="7">
        <v>0</v>
      </c>
      <c r="K229" s="89" t="str">
        <f t="shared" si="159"/>
        <v>4029/4030</v>
      </c>
      <c r="L229" s="185" t="str">
        <f>VLOOKUP(A229,'Trips&amp;Operators'!$C$1:$G$99911,5,FALSE)</f>
        <v>ROBINSON KADDIBA</v>
      </c>
      <c r="M229" s="6">
        <f t="shared" si="160"/>
        <v>6.5046296294895001E-3</v>
      </c>
      <c r="N229" s="7">
        <f t="shared" si="161"/>
        <v>9.3666666664648801</v>
      </c>
      <c r="O229" s="7"/>
      <c r="P229" s="7"/>
      <c r="Q229" s="22"/>
      <c r="R229" s="174"/>
      <c r="S229" s="221">
        <f t="shared" si="162"/>
        <v>1</v>
      </c>
      <c r="T229" s="174" t="str">
        <f t="shared" si="163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 t="shared" si="164"/>
        <v>https://d0f6bd738d7f1b3e5a7ca70fe4ff75f0.us-east-1.aws.found.io/app/kibana#/discover/Steve-Slow-Train-Analysis-(2080s-and-2083s)?_g=(refreshInterval:(display:Off,pause:!f,section:0,value:0),time:(from:'2017-11-13T09:49:20-0700',mode:absolute,to:'2017-11-13T12:01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204" t="str">
        <f>IF(AA229&lt;VLOOKUP(AG229,Variables!$AC$3:$AD$8,2,FALSE),"Y","N")</f>
        <v>Y</v>
      </c>
      <c r="X229" s="204">
        <f t="shared" si="165"/>
        <v>4</v>
      </c>
      <c r="Y229" s="204">
        <f t="shared" si="166"/>
        <v>2.3416999999999999</v>
      </c>
      <c r="Z229" s="204">
        <f t="shared" si="167"/>
        <v>9.2299999999999993E-2</v>
      </c>
      <c r="AA229" s="204">
        <f t="shared" si="168"/>
        <v>2.2494000000000001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169"/>
        <v>56</v>
      </c>
      <c r="AE229" s="77" t="str">
        <f t="shared" si="170"/>
        <v>aws s3 cp s3://rtdc.mdm.uploadarchive.raw/RTDC4029/ "%USERPROFILE%\AppData\Local\Temp\OnboardLogs"\RTDC4029\2017-11-13 --exclude "*" --recursive --include "*20171113*" &amp; "%USERPROFILE%\Documents\GitHub\mrs-test-scripts\Headless Mode &amp; Sideloading\WalkAndUnGZ.bat" "%USERPROFILE%\AppData\Local\Temp\OnboardLogs"\RTDC4029\2017-11-13 &amp; aws s3 cp s3://rtdc.mdm.uploadarchive.raw/RTDC4029/ "%USERPROFILE%\AppData\Local\Temp\OnboardLogs"\RTDC4029\2017-11-14 --exclude "*" --recursive --include "*20171114*" &amp; "%USERPROFILE%\Documents\GitHub\mrs-test-scripts\Headless Mode &amp; Sideloading\WalkAndUnGZ.bat" "%USERPROFILE%\AppData\Local\Temp\OnboardLogs"\RTDC4029\2017-11-14</v>
      </c>
      <c r="AF229" s="74" t="str">
        <f t="shared" si="171"/>
        <v>"C:\Program Files (x86)\AstroGrep\AstroGrep.exe" /e /r /s /spath="%USERPROFILE%\AppData\Local\Temp\OnboardLogs" /stypes="app*4029*20171113*" /stext=" 18:.+((SYSTEM_STATE.+slice.+state.+changed )|(ment ac)|(multiple cpu faults)|(system.+state.+changed )|(\[timeout)|(PRM\|1\|D)|(kpr)|(kdp)|(train st.+moving)|(\|lc)|(penalty))"</v>
      </c>
      <c r="AG229" s="182" t="str">
        <f t="shared" si="172"/>
        <v>Shuttle/Test</v>
      </c>
      <c r="AH229" s="78" t="str">
        <f t="shared" si="173"/>
        <v>"%USERPROFILE%\Documents\GitHub\eaglep3\Utilities\RefineRTDCRunTimes.py" --tripid 56-13 --locoid 4029 --swversion DE.1.0.9.0 --startMP 300:23417 --initTime 2017-11-13T10:49:20 --startdatetime 2017-11-13T10:52:09 --delay 66 --endMP 204:923 --enddatetime 2017-11-13T11:01:31 --enforcementcount 0 &gt;&gt;%USERPROFILE%\Documents\GitHub\eaglep3-reporting\EC\2017-11-13-refined-times.txt</v>
      </c>
      <c r="AI229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0.0923"},{"id":17,"name":"Train ID","value":"56-13"},{"id":16,"name":"Locomotive ID","value":"4029"},{"id":130,"name":"Impact","value":""},{"id":150,"name":"Time of Event (Mountain Time)","value":"11:01:31"},{"id":151,"name":"Denver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75"/>
        <v>start /low /b %USERPROFILE%\Documents\GitHub\eaglep3\Utilities\DownloadLogsFromS3.py --loco 4029 --day 2017-11-13</v>
      </c>
      <c r="AN229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18:01:31"},{"id":29,"name":"Sharepoint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77"/>
        <v>https://d0f6bd738d7f1b3e5a7ca70fe4ff75f0.us-east-1.aws.found.io/app/kibana#/discover/Steve-Slow-Train-Analysis-(2080s-and-2083s)?_g=(refreshInterval:(display:Off,pause:!f,section:0,value:0),time:(from:'2017-11-13T09:49:20-0700',mode:absolute,to:'2017-11-13T12:01:31-0700'))&amp;_a=(columns:!('Message%20ID',Summary),filters:!(),index:'emp_*',interval:auto,query:(query_string:(analyze_wildcard:!t,query:'%22rtdc.l.rtdc.4029%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750</v>
      </c>
      <c r="B230" s="7">
        <v>4030</v>
      </c>
      <c r="C230" s="21" t="s">
        <v>192</v>
      </c>
      <c r="D230" s="21" t="s">
        <v>996</v>
      </c>
      <c r="E230" s="13">
        <v>43052.479953703703</v>
      </c>
      <c r="F230" s="13">
        <v>43052.480983796297</v>
      </c>
      <c r="G230" s="7">
        <v>43</v>
      </c>
      <c r="H230" s="21" t="s">
        <v>997</v>
      </c>
      <c r="I230" s="13">
        <v>43052.486655092594</v>
      </c>
      <c r="J230" s="7">
        <v>0</v>
      </c>
      <c r="K230" s="89" t="str">
        <f t="shared" si="159"/>
        <v>4029/4030</v>
      </c>
      <c r="L230" s="185" t="str">
        <f>VLOOKUP(A230,'Trips&amp;Operators'!$C$1:$G$99911,5,FALSE)</f>
        <v>YORK EDGAR</v>
      </c>
      <c r="M230" s="6">
        <f t="shared" si="160"/>
        <v>5.6712962978053838E-3</v>
      </c>
      <c r="N230" s="7">
        <f t="shared" si="161"/>
        <v>8.1666666688397527</v>
      </c>
      <c r="O230" s="7"/>
      <c r="P230" s="7"/>
      <c r="Q230" s="22"/>
      <c r="R230" s="174"/>
      <c r="S230" s="221">
        <f t="shared" si="162"/>
        <v>1</v>
      </c>
      <c r="T230" s="174" t="str">
        <f t="shared" si="163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64"/>
        <v>https://d0f6bd738d7f1b3e5a7ca70fe4ff75f0.us-east-1.aws.found.io/app/kibana#/discover/Steve-Slow-Train-Analysis-(2080s-and-2083s)?_g=(refreshInterval:(display:Off,pause:!f,section:0,value:0),time:(from:'2017-11-13T10:31:08-0700',mode:absolute,to:'2017-11-13T12:40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204" t="str">
        <f>IF(AA230&lt;VLOOKUP(AG230,Variables!$AC$3:$AD$8,2,FALSE),"Y","N")</f>
        <v>Y</v>
      </c>
      <c r="X230" s="204">
        <f t="shared" si="165"/>
        <v>1</v>
      </c>
      <c r="Y230" s="204">
        <f t="shared" si="166"/>
        <v>0.12379999999999999</v>
      </c>
      <c r="Z230" s="204">
        <f t="shared" si="167"/>
        <v>2.4243999999999999</v>
      </c>
      <c r="AA230" s="204">
        <f t="shared" si="168"/>
        <v>2.3005999999999998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169"/>
        <v>57</v>
      </c>
      <c r="AE230" s="77" t="str">
        <f t="shared" si="170"/>
        <v>aws s3 cp s3://rtdc.mdm.uploadarchive.raw/RTDC4030/ "%USERPROFILE%\AppData\Local\Temp\OnboardLogs"\RTDC4030\2017-11-13 --exclude "*" --recursive --include "*20171113*" &amp; "%USERPROFILE%\Documents\GitHub\mrs-test-scripts\Headless Mode &amp; Sideloading\WalkAndUnGZ.bat" "%USERPROFILE%\AppData\Local\Temp\OnboardLogs"\RTDC4030\2017-11-13 &amp; aws s3 cp s3://rtdc.mdm.uploadarchive.raw/RTDC4030/ "%USERPROFILE%\AppData\Local\Temp\OnboardLogs"\RTDC4030\2017-11-14 --exclude "*" --recursive --include "*20171114*" &amp; "%USERPROFILE%\Documents\GitHub\mrs-test-scripts\Headless Mode &amp; Sideloading\WalkAndUnGZ.bat" "%USERPROFILE%\AppData\Local\Temp\OnboardLogs"\RTDC4030\2017-11-14</v>
      </c>
      <c r="AF230" s="74" t="str">
        <f t="shared" si="171"/>
        <v>"C:\Program Files (x86)\AstroGrep\AstroGrep.exe" /e /r /s /spath="%USERPROFILE%\AppData\Local\Temp\OnboardLogs" /stypes="app*4030*20171113*" /stext=" 18:.+((SYSTEM_STATE.+slice.+state.+changed )|(ment ac)|(multiple cpu faults)|(system.+state.+changed )|(\[timeout)|(PRM\|1\|D)|(kpr)|(kdp)|(train st.+moving)|(\|lc)|(penalty))"</v>
      </c>
      <c r="AG230" s="182" t="str">
        <f t="shared" si="172"/>
        <v>Shuttle/Test</v>
      </c>
      <c r="AH230" s="78" t="str">
        <f t="shared" si="173"/>
        <v>"%USERPROFILE%\Documents\GitHub\eaglep3\Utilities\RefineRTDCRunTimes.py" --tripid 57-13 --locoid 4030 --swversion DE.1.0.9.0 --startMP 204:1238 --initTime 2017-11-13T11:31:08 --startdatetime 2017-11-13T11:32:37 --delay 43 --endMP 300:24244 --enddatetime 2017-11-13T11:40:47 --enforcementcount 0 &gt;&gt;%USERPROFILE%\Documents\GitHub\eaglep3-reporting\EC\2017-11-13-refined-times.txt</v>
      </c>
      <c r="AI230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2.4244"},{"id":17,"name":"Train ID","value":"57-13"},{"id":16,"name":"Locomotive ID","value":"4030"},{"id":130,"name":"Impact","value":""},{"id":150,"name":"Time of Event (Mountain Time)","value":"11:40:47"},{"id":151,"name":"Denver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75"/>
        <v>start /low /b %USERPROFILE%\Documents\GitHub\eaglep3\Utilities\DownloadLogsFromS3.py --loco 4030 --day 2017-11-13</v>
      </c>
      <c r="AN230" s="151" t="str">
        <f t="shared" si="176"/>
        <v>echo {"issue":{"subject":"","project_id":30,"tracker_id":4,"status_id":1,"priority_id":1,"assigned_to_id":10,"start_date":"2017-11-13","description":"","custom_fields":[{"id":30,"name":"Category","value":"Issue"},{"id":3,"name":"Functional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UTC","value":"2017-11-13 18:40:47"},{"id":29,"name":"Sharepoint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77"/>
        <v>https://d0f6bd738d7f1b3e5a7ca70fe4ff75f0.us-east-1.aws.found.io/app/kibana#/discover/Steve-Slow-Train-Analysis-(2080s-and-2083s)?_g=(refreshInterval:(display:Off,pause:!f,section:0,value:0),time:(from:'2017-11-13T10:31:08-0700',mode:absolute,to:'2017-11-13T12:40:47-0700'))&amp;_a=(columns:!('Message%20ID',Summary),filters:!(),index:'emp_*',interval:auto,query:(query_string:(analyze_wildcard:!t,query:'%22rtdc.l.rtdc.4030%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816</v>
      </c>
      <c r="B231" s="7">
        <v>4017</v>
      </c>
      <c r="C231" s="21" t="s">
        <v>192</v>
      </c>
      <c r="D231" s="21" t="s">
        <v>998</v>
      </c>
      <c r="E231" s="13">
        <v>43052.73369212963</v>
      </c>
      <c r="F231" s="13">
        <v>43052.741307870368</v>
      </c>
      <c r="G231" s="7">
        <v>68</v>
      </c>
      <c r="H231" s="21" t="s">
        <v>999</v>
      </c>
      <c r="I231" s="13">
        <v>43052.748402777775</v>
      </c>
      <c r="J231" s="7">
        <v>0</v>
      </c>
      <c r="K231" s="89" t="str">
        <f t="shared" si="159"/>
        <v>4017/4018</v>
      </c>
      <c r="L231" s="185" t="str">
        <f>VLOOKUP(A231,'Trips&amp;Operators'!$C$1:$G$99911,5,FALSE)</f>
        <v>GUNTHIER ERIC</v>
      </c>
      <c r="M231" s="6">
        <f t="shared" si="160"/>
        <v>7.0949074070085771E-3</v>
      </c>
      <c r="N231" s="7">
        <f t="shared" si="161"/>
        <v>10.216666666092351</v>
      </c>
      <c r="O231" s="7"/>
      <c r="P231" s="7"/>
      <c r="Q231" s="22"/>
      <c r="R231" s="174"/>
      <c r="S231" s="221">
        <f t="shared" si="162"/>
        <v>1</v>
      </c>
      <c r="T231" s="174" t="str">
        <f t="shared" si="163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64"/>
        <v>https://d0f6bd738d7f1b3e5a7ca70fe4ff75f0.us-east-1.aws.found.io/app/kibana#/discover/Steve-Slow-Train-Analysis-(2080s-and-2083s)?_g=(refreshInterval:(display:Off,pause:!f,section:0,value:0),time:(from:'2017-11-13T16:36:31-0700',mode:absolute,to:'2017-11-13T18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1" s="204" t="str">
        <f>IF(AA231&lt;VLOOKUP(AG231,Variables!$AC$3:$AD$8,2,FALSE),"Y","N")</f>
        <v>Y</v>
      </c>
      <c r="X231" s="204">
        <f t="shared" si="165"/>
        <v>11</v>
      </c>
      <c r="Y231" s="204">
        <f t="shared" si="166"/>
        <v>2.3542000000000001</v>
      </c>
      <c r="Z231" s="204">
        <f t="shared" si="167"/>
        <v>0.1069</v>
      </c>
      <c r="AA231" s="204">
        <f t="shared" si="168"/>
        <v>2.2473000000000001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169"/>
        <v>68</v>
      </c>
      <c r="AE231" s="77" t="str">
        <f t="shared" si="170"/>
        <v>aws s3 cp s3://rtdc.mdm.uploadarchive.raw/RTDC4017/ "%USERPROFILE%\AppData\Local\Temp\OnboardLogs"\RTDC4017\2017-11-13 --exclude "*" --recursive --include "*20171113*" &amp; "%USERPROFILE%\Documents\GitHub\mrs-test-scripts\Headless Mode &amp; Sideloading\WalkAndUnGZ.bat" "%USERPROFILE%\AppData\Local\Temp\OnboardLogs"\RTDC4017\2017-11-13 &amp; aws s3 cp s3://rtdc.mdm.uploadarchive.raw/RTDC4017/ "%USERPROFILE%\AppData\Local\Temp\OnboardLogs"\RTDC4017\2017-11-14 --exclude "*" --recursive --include "*20171114*" &amp; "%USERPROFILE%\Documents\GitHub\mrs-test-scripts\Headless Mode &amp; Sideloading\WalkAndUnGZ.bat" "%USERPROFILE%\AppData\Local\Temp\OnboardLogs"\RTDC4017\2017-11-14</v>
      </c>
      <c r="AF231" s="74" t="str">
        <f t="shared" si="171"/>
        <v>"C:\Program Files (x86)\AstroGrep\AstroGrep.exe" /e /r /s /spath="%USERPROFILE%\AppData\Local\Temp\OnboardLogs" /stypes="app*4017*20171114*" /stext=" 00:.+((SYSTEM_STATE.+slice.+state.+changed )|(ment ac)|(multiple cpu faults)|(system.+state.+changed )|(\[timeout)|(PRM\|1\|D)|(kpr)|(kdp)|(train st.+moving)|(\|lc)|(penalty))"</v>
      </c>
      <c r="AG231" s="182" t="str">
        <f t="shared" si="172"/>
        <v>Shuttle/Test</v>
      </c>
      <c r="AH231" s="78" t="str">
        <f t="shared" si="173"/>
        <v>"%USERPROFILE%\Documents\GitHub\eaglep3\Utilities\RefineRTDCRunTimes.py" --tripid 68-13 --locoid 4017 --swversion DE.1.0.9.0 --startMP 300:23542 --initTime 2017-11-13T17:36:31 --startdatetime 2017-11-13T17:47:29 --delay 68 --endMP 204:1069 --enddatetime 2017-11-13T17:57:42 --enforcementcount 0 &gt;&gt;%USERPROFILE%\Documents\GitHub\eaglep3-reporting\EC\2017-11-13-refined-times.txt</v>
      </c>
      <c r="AI231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0.1069"},{"id":17,"name":"Train ID","value":"68-13"},{"id":16,"name":"Locomotive ID","value":"4017"},{"id":130,"name":"Impact","value":""},{"id":150,"name":"Time of Event (Mountain Time)","value":"17:57:42"},{"id":151,"name":"Denver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75"/>
        <v>start /low /b %USERPROFILE%\Documents\GitHub\eaglep3\Utilities\DownloadLogsFromS3.py --loco 4017 --day 2017-11-13</v>
      </c>
      <c r="AN231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77"/>
        <v>https://d0f6bd738d7f1b3e5a7ca70fe4ff75f0.us-east-1.aws.found.io/app/kibana#/discover/Steve-Slow-Train-Analysis-(2080s-and-2083s)?_g=(refreshInterval:(display:Off,pause:!f,section:0,value:0),time:(from:'2017-11-13T16:36:31-0700',mode:absolute,to:'2017-11-13T18:57:42-0700'))&amp;_a=(columns:!('Message%20ID',Summary),filters:!(),index:'emp_*',interval:auto,query:(query_string:(analyze_wildcard:!t,query:'%22rtdc.l.rtdc.4017%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808</v>
      </c>
      <c r="B232" s="7">
        <v>4024</v>
      </c>
      <c r="C232" s="21" t="s">
        <v>192</v>
      </c>
      <c r="D232" s="21" t="s">
        <v>1000</v>
      </c>
      <c r="E232" s="13">
        <v>43052.711331018516</v>
      </c>
      <c r="F232" s="13">
        <v>43052.725925925923</v>
      </c>
      <c r="G232" s="7">
        <v>97</v>
      </c>
      <c r="H232" s="21" t="s">
        <v>979</v>
      </c>
      <c r="I232" s="13">
        <v>43052.734247685185</v>
      </c>
      <c r="J232" s="7">
        <v>0</v>
      </c>
      <c r="K232" s="89" t="str">
        <f t="shared" si="159"/>
        <v>4023/4024</v>
      </c>
      <c r="L232" s="185" t="str">
        <f>VLOOKUP(A232,'Trips&amp;Operators'!$C$1:$G$99911,5,FALSE)</f>
        <v>STRICKLAND EVAN</v>
      </c>
      <c r="M232" s="6">
        <f t="shared" si="160"/>
        <v>8.3217592618893832E-3</v>
      </c>
      <c r="N232" s="7">
        <f t="shared" si="161"/>
        <v>11.983333337120712</v>
      </c>
      <c r="O232" s="7"/>
      <c r="P232" s="7"/>
      <c r="Q232" s="22"/>
      <c r="R232" s="174"/>
      <c r="S232" s="221">
        <f t="shared" si="162"/>
        <v>1</v>
      </c>
      <c r="T232" s="174" t="str">
        <f t="shared" si="163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64"/>
        <v>https://d0f6bd738d7f1b3e5a7ca70fe4ff75f0.us-east-1.aws.found.io/app/kibana#/discover/Steve-Slow-Train-Analysis-(2080s-and-2083s)?_g=(refreshInterval:(display:Off,pause:!f,section:0,value:0),time:(from:'2017-11-13T16:04:19-0700',mode:absolute,to:'2017-11-13T18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204" t="str">
        <f>IF(AA232&lt;VLOOKUP(AG232,Variables!$AC$3:$AD$8,2,FALSE),"Y","N")</f>
        <v>Y</v>
      </c>
      <c r="X232" s="204">
        <f t="shared" si="165"/>
        <v>7</v>
      </c>
      <c r="Y232" s="204">
        <f t="shared" si="166"/>
        <v>0.1477</v>
      </c>
      <c r="Z232" s="204">
        <f t="shared" si="167"/>
        <v>2.3346</v>
      </c>
      <c r="AA232" s="204">
        <f t="shared" si="168"/>
        <v>2.1869000000000001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169"/>
        <v>75</v>
      </c>
      <c r="AE232" s="77" t="str">
        <f t="shared" si="170"/>
        <v>aws s3 cp s3://rtdc.mdm.uploadarchive.raw/RTDC4024/ "%USERPROFILE%\AppData\Local\Temp\OnboardLogs"\RTDC4024\2017-11-13 --exclude "*" --recursive --include "*20171113*" &amp; "%USERPROFILE%\Documents\GitHub\mrs-test-scripts\Headless Mode &amp; Sideloading\WalkAndUnGZ.bat" "%USERPROFILE%\AppData\Local\Temp\OnboardLogs"\RTDC4024\2017-11-13 &amp; aws s3 cp s3://rtdc.mdm.uploadarchive.raw/RTDC4024/ "%USERPROFILE%\AppData\Local\Temp\OnboardLogs"\RTDC4024\2017-11-14 --exclude "*" --recursive --include "*20171114*" &amp; "%USERPROFILE%\Documents\GitHub\mrs-test-scripts\Headless Mode &amp; Sideloading\WalkAndUnGZ.bat" "%USERPROFILE%\AppData\Local\Temp\OnboardLogs"\RTDC4024\2017-11-14</v>
      </c>
      <c r="AF232" s="74" t="str">
        <f t="shared" si="171"/>
        <v>"C:\Program Files (x86)\AstroGrep\AstroGrep.exe" /e /r /s /spath="%USERPROFILE%\AppData\Local\Temp\OnboardLogs" /stypes="app*4024*20171114*" /stext=" 00:.+((SYSTEM_STATE.+slice.+state.+changed )|(ment ac)|(multiple cpu faults)|(system.+state.+changed )|(\[timeout)|(PRM\|1\|D)|(kpr)|(kdp)|(train st.+moving)|(\|lc)|(penalty))"</v>
      </c>
      <c r="AG232" s="182" t="str">
        <f t="shared" si="172"/>
        <v>Shuttle/Test</v>
      </c>
      <c r="AH232" s="78" t="str">
        <f t="shared" si="173"/>
        <v>"%USERPROFILE%\Documents\GitHub\eaglep3\Utilities\RefineRTDCRunTimes.py" --tripid 75-13 --locoid 4024 --swversion DE.1.0.9.0 --startMP 204:1477 --initTime 2017-11-13T17:04:19 --startdatetime 2017-11-13T17:25:20 --delay 97 --endMP 300:23346 --enddatetime 2017-11-13T17:37:19 --enforcementcount 0 &gt;&gt;%USERPROFILE%\Documents\GitHub\eaglep3-reporting\EC\2017-11-13-refined-times.txt</v>
      </c>
      <c r="AI232" s="96" t="str">
        <f t="shared" si="174"/>
        <v>echo {"issue":{"subject":"","project_id":79,"tracker_id":40,"status_id":1,"priority_id":2,"assigned_to_id":338,"start_date":"2017-11-13","description":"","custom_fields":[{"id":1,"name":"Subdivision","value":"Shuttle/Test"},{"id":4,"name":"Milepost","value":"2.3346"},{"id":17,"name":"Train ID","value":"75-13"},{"id":16,"name":"Locomotive ID","value":"4024"},{"id":130,"name":"Impact","value":""},{"id":150,"name":"Time of Event (Mountain Time)","value":"17:37:19"},{"id":151,"name":"Denver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75"/>
        <v>start /low /b %USERPROFILE%\Documents\GitHub\eaglep3\Utilities\DownloadLogsFromS3.py --loco 4024 --day 2017-11-13</v>
      </c>
      <c r="AN232" s="151" t="str">
        <f t="shared" si="176"/>
        <v>echo {"issue":{"subject":"","project_id":30,"tracker_id":4,"status_id":1,"priority_id":1,"assigned_to_id":10,"start_date":"2017-11-14","description":"","custom_fields":[{"id":30,"name":"Category","value":"Issue"},{"id":3,"name":"Functional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UTC","value":"2017-11-14 00:37:19"},{"id":29,"name":"Sharepoint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77"/>
        <v>https://d0f6bd738d7f1b3e5a7ca70fe4ff75f0.us-east-1.aws.found.io/app/kibana#/discover/Steve-Slow-Train-Analysis-(2080s-and-2083s)?_g=(refreshInterval:(display:Off,pause:!f,section:0,value:0),time:(from:'2017-11-13T16:04:19-0700',mode:absolute,to:'2017-11-13T18:37:19-0700'))&amp;_a=(columns:!('Message%20ID',Summary),filters:!(),index:'emp_*',interval:auto,query:(query_string:(analyze_wildcard:!t,query:'%22rtdc.l.rtdc.4024%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</sheetData>
  <autoFilter ref="A12:AG481">
    <sortState ref="A13:AG481">
      <sortCondition ref="AG13:AG232"/>
      <sortCondition ref="AD13:AD232"/>
    </sortState>
  </autoFilter>
  <sortState ref="A13:AN386">
    <sortCondition ref="AG13:AG386"/>
    <sortCondition ref="AD13:AD386"/>
  </sortState>
  <mergeCells count="1">
    <mergeCell ref="A11:P11"/>
  </mergeCells>
  <conditionalFormatting sqref="W11:W12 W487:X1048576 W13:X232">
    <cfRule type="cellIs" dxfId="10" priority="465" operator="equal">
      <formula>"Y"</formula>
    </cfRule>
  </conditionalFormatting>
  <conditionalFormatting sqref="X487:X1048576 X13:X232">
    <cfRule type="cellIs" dxfId="9" priority="448" operator="greaterThan">
      <formula>1</formula>
    </cfRule>
  </conditionalFormatting>
  <conditionalFormatting sqref="X487:X1048576 X12:X232">
    <cfRule type="cellIs" dxfId="8" priority="445" operator="equal">
      <formula>0</formula>
    </cfRule>
  </conditionalFormatting>
  <conditionalFormatting sqref="A13:S232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COUNTIF($O$7:$O$204,"=Y")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COUNTA($O$7:$O$204)-O2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- 2017-11-13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43052.436967592592</v>
      </c>
      <c r="B7" s="30" t="s">
        <v>639</v>
      </c>
      <c r="C7" s="30" t="s">
        <v>640</v>
      </c>
      <c r="D7" s="30" t="s">
        <v>95</v>
      </c>
      <c r="E7" s="30" t="s">
        <v>183</v>
      </c>
      <c r="F7" s="42">
        <v>150</v>
      </c>
      <c r="G7" s="42">
        <v>206</v>
      </c>
      <c r="H7" s="42">
        <v>27114</v>
      </c>
      <c r="I7" s="42">
        <v>26837</v>
      </c>
      <c r="J7" s="30" t="s">
        <v>184</v>
      </c>
      <c r="K7" s="42">
        <v>27350</v>
      </c>
      <c r="L7" s="131" t="s">
        <v>51</v>
      </c>
      <c r="M7" s="132">
        <f t="shared" ref="M7:M30" si="0">CONVERT((I7-K7)/10000,"mi","ft")*IF(L7="Increasing Mileposts (1)",-1,1)</f>
        <v>-270.86399999999998</v>
      </c>
      <c r="N7" s="133" t="str">
        <f>VLOOKUP(C7,'Trips&amp;Operators'!$C$1:$G$99911,5,FALSE)</f>
        <v>DAVIDSON DAVID</v>
      </c>
      <c r="O7" s="176" t="s">
        <v>178</v>
      </c>
      <c r="P7" s="134" t="s">
        <v>344</v>
      </c>
      <c r="Q7" s="30"/>
      <c r="R7" s="81" t="str">
        <f>VLOOKUP(C7,'Train Runs'!$A$13:$AE$10140,31,0)</f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S7" s="84" t="str">
        <f>VLOOKUP(C7,'Train Runs'!$A$13:$AE$10140,22,0)</f>
        <v>https://d0f6bd738d7f1b3e5a7ca70fe4ff75f0.us-east-1.aws.found.io/app/kibana#/discover/Steve-Slow-Train-Analysis-(2080s-and-2083s)?_g=(refreshInterval:(display:Off,pause:!f,section:0,value:0),time:(from:'2017-11-13T08:54:07-0700',mode:absolute,to:'2017-11-13T11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6" t="str">
        <f t="shared" ref="T7:T3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/stypes="*4027*201711131*" /stext=" 17:.+((SYSTEM_STATE.+slice.+state.+changed )|(ment ac)|(multiple cpu faults)|(system.+state.+changed )|(\[timeout)|(PRM\|1\|D)|(kpr)|(kdp)|(train st.+moving)|(\|lc)|(penalty))"</v>
      </c>
      <c r="U7" s="9" t="str">
        <f t="shared" ref="U7:U30" si="2">MID(B7,13,4)</f>
        <v>4027</v>
      </c>
      <c r="V7" s="31">
        <f t="shared" ref="V7:V30" si="3">A7-utc_offset/24</f>
        <v>43052.728634259256</v>
      </c>
      <c r="W7" s="45" t="str">
        <f t="shared" ref="W7:W30" si="4">DetSubdiv(C7)</f>
        <v>EC</v>
      </c>
      <c r="X7" s="22">
        <f t="shared" ref="X7:X30" si="5">VALUE(LEFT(C7,LEN(C7)-3))</f>
        <v>144</v>
      </c>
      <c r="Y7" s="96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Arrival","project_id":79,"tracker_id":40,"status_id":1,"priority_id":2,"assigned_to_id":338,"start_date":"2017-11-13","description":"","custom_fields":[{"id":1,"name":"Subdivision","value":"EC"},{"id":4,"name":"Milepost","value":"2.735"},{"id":17,"name":"Train ID","value":"144-13"},{"id":16,"name":"Locomotive ID","value":"4027"},{"id":130,"name":"Impact","value":""},{"id":150,"name":"Time of Event (Mountain Time)","value":"10:29:14"},{"id":151,"name":"Denver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/c/Users/stu/AppData/Local/Temp/OnboardLogs/RTDC4027 --include="*4027*201711131*"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"%USERPROFILE%\AppData\Local\Temp\OnboardLogs"\RTDC4027\*4027*201711131* &gt;&gt; 2017-11-13-SliceDisagreementCheck.txt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4027 --day 2017-11-13</v>
      </c>
    </row>
    <row r="8" spans="1:32" s="1" customFormat="1" x14ac:dyDescent="0.25">
      <c r="A8" s="31">
        <v>43052.653287037036</v>
      </c>
      <c r="B8" s="30" t="s">
        <v>639</v>
      </c>
      <c r="C8" s="30" t="s">
        <v>647</v>
      </c>
      <c r="D8" s="30" t="s">
        <v>49</v>
      </c>
      <c r="E8" s="30" t="s">
        <v>183</v>
      </c>
      <c r="F8" s="42">
        <v>0</v>
      </c>
      <c r="G8" s="42">
        <v>246</v>
      </c>
      <c r="H8" s="42">
        <v>49014</v>
      </c>
      <c r="I8" s="42">
        <v>48603</v>
      </c>
      <c r="J8" s="30" t="s">
        <v>184</v>
      </c>
      <c r="K8" s="42">
        <v>48048</v>
      </c>
      <c r="L8" s="131" t="s">
        <v>51</v>
      </c>
      <c r="M8" s="132">
        <f t="shared" si="0"/>
        <v>293.04000000000002</v>
      </c>
      <c r="N8" s="133" t="str">
        <f>VLOOKUP(C8,'Trips&amp;Operators'!$C$1:$G$99911,5,FALSE)</f>
        <v>BADERTSCHER DIANE</v>
      </c>
      <c r="O8" s="176" t="s">
        <v>178</v>
      </c>
      <c r="P8" s="134" t="s">
        <v>1109</v>
      </c>
      <c r="Q8" s="30"/>
      <c r="R8" s="81" t="str">
        <f>VLOOKUP(C8,'Train Runs'!$A$13:$AE$10140,31,0)</f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S8" s="84" t="str">
        <f>VLOOKUP(C8,'Train Runs'!$A$13:$AE$10140,22,0)</f>
        <v>https://d0f6bd738d7f1b3e5a7ca70fe4ff75f0.us-east-1.aws.found.io/app/kibana#/discover/Steve-Slow-Train-Analysis-(2080s-and-2083s)?_g=(refreshInterval:(display:Off,pause:!f,section:0,value:0),time:(from:'2017-11-13T14:05:36-0700',mode:absolute,to:'2017-11-13T16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 t="shared" si="1"/>
        <v>"C:\Program Files (x86)\AstroGrep\AstroGrep.exe" /e /r /s /spath="%USERPROFILE%\AppData\Local\Temp\OnboardLogs" /stypes="*4027*201711132*"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4027</v>
      </c>
      <c r="V8" s="31">
        <f t="shared" si="3"/>
        <v>43052.9449537037</v>
      </c>
      <c r="W8" s="45" t="str">
        <f t="shared" si="4"/>
        <v>EC</v>
      </c>
      <c r="X8" s="22">
        <f t="shared" si="5"/>
        <v>186</v>
      </c>
      <c r="Y8" s="96" t="str">
        <f t="shared" si="6"/>
        <v>echo {"issue":{"subject":"Form C","project_id":79,"tracker_id":40,"status_id":1,"priority_id":2,"assigned_to_id":338,"start_date":"2017-11-13","description":"","custom_fields":[{"id":1,"name":"Subdivision","value":"EC"},{"id":4,"name":"Milepost","value":"4.8048"},{"id":17,"name":"Train ID","value":"186-13"},{"id":16,"name":"Locomotive ID","value":"4027"},{"id":130,"name":"Impact","value":""},{"id":150,"name":"Time of Event (Mountain Time)","value":"15:40:44"},{"id":151,"name":"Denver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/c/Users/stu/AppData/Local/Temp/OnboardLogs/RTDC4027 --include="*4027*201711132*"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"%USERPROFILE%\AppData\Local\Temp\OnboardLogs"\RTDC4027\*4027*201711132* &gt;&gt; 2017-11-13-SliceDisagreementCheck.txt</v>
      </c>
      <c r="AE8" s="145" t="str">
        <f t="shared" ref="AE8:AE30" si="9">"start /low /b "&amp;dls3logs&amp;" --loco "&amp;U8&amp;" --day "&amp;TEXT(V8,"YYYY-MM-DD")</f>
        <v>start /low /b %USERPROFILE%\Documents\GitHub\eaglep3\Utilities\DownloadLogsFromS3.py --loco 4027 --day 2017-11-13</v>
      </c>
    </row>
    <row r="9" spans="1:32" s="1" customFormat="1" x14ac:dyDescent="0.25">
      <c r="A9" s="31">
        <v>43052.800381944442</v>
      </c>
      <c r="B9" s="30" t="s">
        <v>639</v>
      </c>
      <c r="C9" s="30" t="s">
        <v>651</v>
      </c>
      <c r="D9" s="30" t="s">
        <v>49</v>
      </c>
      <c r="E9" s="30" t="s">
        <v>183</v>
      </c>
      <c r="F9" s="42">
        <v>0</v>
      </c>
      <c r="G9" s="42">
        <v>212</v>
      </c>
      <c r="H9" s="42">
        <v>48827</v>
      </c>
      <c r="I9" s="42">
        <v>48537</v>
      </c>
      <c r="J9" s="30" t="s">
        <v>184</v>
      </c>
      <c r="K9" s="42">
        <v>48048</v>
      </c>
      <c r="L9" s="131" t="s">
        <v>51</v>
      </c>
      <c r="M9" s="132">
        <f t="shared" si="0"/>
        <v>258.19200000000001</v>
      </c>
      <c r="N9" s="133" t="str">
        <f>VLOOKUP(C9,'Trips&amp;Operators'!$C$1:$G$99911,5,FALSE)</f>
        <v>LOZA FIDEL</v>
      </c>
      <c r="O9" s="176" t="s">
        <v>178</v>
      </c>
      <c r="P9" s="134" t="s">
        <v>1109</v>
      </c>
      <c r="Q9" s="30"/>
      <c r="R9" s="81" t="str">
        <f>VLOOKUP(C9,'Train Runs'!$A$13:$AE$10140,31,0)</f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S9" s="84" t="str">
        <f>VLOOKUP(C9,'Train Runs'!$A$13:$AE$10140,22,0)</f>
        <v>https://d0f6bd738d7f1b3e5a7ca70fe4ff75f0.us-east-1.aws.found.io/app/kibana#/discover/Steve-Slow-Train-Analysis-(2080s-and-2083s)?_g=(refreshInterval:(display:Off,pause:!f,section:0,value:0),time:(from:'2017-11-13T17:36:04-0700',mode:absolute,to:'2017-11-13T20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/stypes="*4027*201711140*" /stext=" 02:.+((SYSTEM_STATE.+slice.+state.+changed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43053.092048611106</v>
      </c>
      <c r="W9" s="45" t="str">
        <f t="shared" si="4"/>
        <v>EC</v>
      </c>
      <c r="X9" s="22">
        <f t="shared" si="5"/>
        <v>214</v>
      </c>
      <c r="Y9" s="96" t="str">
        <f t="shared" si="6"/>
        <v>echo {"issue":{"subject":"Form C","project_id":79,"tracker_id":40,"status_id":1,"priority_id":2,"assigned_to_id":338,"start_date":"2017-11-13","description":"","custom_fields":[{"id":1,"name":"Subdivision","value":"EC"},{"id":4,"name":"Milepost","value":"4.8048"},{"id":17,"name":"Train ID","value":"214-13"},{"id":16,"name":"Locomotive ID","value":"4027"},{"id":130,"name":"Impact","value":""},{"id":150,"name":"Time of Event (Mountain Time)","value":"19:12:33"},{"id":151,"name":"Denver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/c/Users/stu/AppData/Local/Temp/OnboardLogs/RTDC4027 --include="*4027*201711140*"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"%USERPROFILE%\AppData\Local\Temp\OnboardLogs"\RTDC4027\*4027*201711140* &gt;&gt; 2017-11-13-SliceDisagreementCheck.txt</v>
      </c>
      <c r="AE9" s="145" t="str">
        <f t="shared" si="9"/>
        <v>start /low /b %USERPROFILE%\Documents\GitHub\eaglep3\Utilities\DownloadLogsFromS3.py --loco 4027 --day 2017-11-14</v>
      </c>
    </row>
    <row r="10" spans="1:32" x14ac:dyDescent="0.25">
      <c r="A10" s="31">
        <v>43052.565023148149</v>
      </c>
      <c r="B10" s="30" t="s">
        <v>631</v>
      </c>
      <c r="C10" s="30" t="s">
        <v>645</v>
      </c>
      <c r="D10" s="30" t="s">
        <v>49</v>
      </c>
      <c r="E10" s="30" t="s">
        <v>183</v>
      </c>
      <c r="F10" s="42">
        <v>0</v>
      </c>
      <c r="G10" s="42">
        <v>160</v>
      </c>
      <c r="H10" s="42">
        <v>62011</v>
      </c>
      <c r="I10" s="42">
        <v>62216</v>
      </c>
      <c r="J10" s="30" t="s">
        <v>184</v>
      </c>
      <c r="K10" s="42">
        <v>63068</v>
      </c>
      <c r="L10" s="131" t="s">
        <v>50</v>
      </c>
      <c r="M10" s="132">
        <f t="shared" si="0"/>
        <v>449.85599999999999</v>
      </c>
      <c r="N10" s="133" t="str">
        <f>VLOOKUP(C10,'Trips&amp;Operators'!$C$1:$G$99911,5,FALSE)</f>
        <v>STEWART MICHAEL</v>
      </c>
      <c r="O10" s="176" t="s">
        <v>178</v>
      </c>
      <c r="P10" s="134" t="s">
        <v>1109</v>
      </c>
      <c r="Q10" s="30"/>
      <c r="R10" s="81" t="str">
        <f>VLOOKUP(C10,'Train Runs'!$A$13:$AE$10140,31,0)</f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S10" s="84" t="str">
        <f>VLOOKUP(C10,'Train Runs'!$A$13:$AE$10140,22,0)</f>
        <v>https://d0f6bd738d7f1b3e5a7ca70fe4ff75f0.us-east-1.aws.found.io/app/kibana#/discover/Steve-Slow-Train-Analysis-(2080s-and-2083s)?_g=(refreshInterval:(display:Off,pause:!f,section:0,value:0),time:(from:'2017-11-13T12:17:07-0700',mode:absolute,to:'2017-11-13T15:02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0" s="86" t="str">
        <f t="shared" si="1"/>
        <v>"C:\Program Files (x86)\AstroGrep\AstroGrep.exe" /e /r /s /spath="%USERPROFILE%\AppData\Local\Temp\OnboardLogs" /stypes="*4040*201711132*"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4040</v>
      </c>
      <c r="V10" s="31">
        <f t="shared" si="3"/>
        <v>43052.856689814813</v>
      </c>
      <c r="W10" s="45" t="str">
        <f t="shared" si="4"/>
        <v>EC</v>
      </c>
      <c r="X10" s="22">
        <f t="shared" si="5"/>
        <v>177</v>
      </c>
      <c r="Y10" s="96" t="str">
        <f t="shared" si="6"/>
        <v>echo {"issue":{"subject":"Form C","project_id":79,"tracker_id":40,"status_id":1,"priority_id":2,"assigned_to_id":338,"start_date":"2017-11-13","description":"","custom_fields":[{"id":1,"name":"Subdivision","value":"EC"},{"id":4,"name":"Milepost","value":"6.3068"},{"id":17,"name":"Train ID","value":"177-13"},{"id":16,"name":"Locomotive ID","value":"4040"},{"id":130,"name":"Impact","value":""},{"id":150,"name":"Time of Event (Mountain Time)","value":"13:33:38"},{"id":151,"name":"Denver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/c/Users/stu/AppData/Local/Temp/OnboardLogs/RTDC4040 --include="*4040*201711132*"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"%USERPROFILE%\AppData\Local\Temp\OnboardLogs"\RTDC4040\*4040*201711132* &gt;&gt; 2017-11-13-SliceDisagreementCheck.txt</v>
      </c>
      <c r="AE10" s="145" t="str">
        <f t="shared" si="9"/>
        <v>start /low /b %USERPROFILE%\Documents\GitHub\eaglep3\Utilities\DownloadLogsFromS3.py --loco 4040 --day 2017-11-13</v>
      </c>
      <c r="AF10" s="1"/>
    </row>
    <row r="11" spans="1:32" x14ac:dyDescent="0.25">
      <c r="A11" s="31">
        <v>43052.18712962963</v>
      </c>
      <c r="B11" s="30" t="s">
        <v>627</v>
      </c>
      <c r="C11" s="30" t="s">
        <v>628</v>
      </c>
      <c r="D11" s="30" t="s">
        <v>49</v>
      </c>
      <c r="E11" s="30" t="s">
        <v>183</v>
      </c>
      <c r="F11" s="42">
        <v>370</v>
      </c>
      <c r="G11" s="42">
        <v>423</v>
      </c>
      <c r="H11" s="42">
        <v>110266</v>
      </c>
      <c r="I11" s="42">
        <v>109002</v>
      </c>
      <c r="J11" s="30" t="s">
        <v>184</v>
      </c>
      <c r="K11" s="42">
        <v>109135</v>
      </c>
      <c r="L11" s="131" t="s">
        <v>51</v>
      </c>
      <c r="M11" s="132">
        <f t="shared" si="0"/>
        <v>-70.224000000000004</v>
      </c>
      <c r="N11" s="133" t="str">
        <f>VLOOKUP(C11,'Trips&amp;Operators'!$C$1:$G$99911,5,FALSE)</f>
        <v>THOMPSON LESTER</v>
      </c>
      <c r="O11" s="176" t="s">
        <v>178</v>
      </c>
      <c r="P11" s="134" t="s">
        <v>344</v>
      </c>
      <c r="Q11" s="30"/>
      <c r="R11" s="81" t="str">
        <f>VLOOKUP(C11,'Train Runs'!$A$13:$AE$10140,31,0)</f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S11" s="84" t="str">
        <f>VLOOKUP(C11,'Train Runs'!$A$13:$AE$10140,22,0)</f>
        <v>https://d0f6bd738d7f1b3e5a7ca70fe4ff75f0.us-east-1.aws.found.io/app/kibana#/discover/Steve-Slow-Train-Analysis-(2080s-and-2083s)?_g=(refreshInterval:(display:Off,pause:!f,section:0,value:0),time:(from:'2017-11-13T03:07:07-0700',mode:absolute,to:'2017-11-13T05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1" s="86" t="str">
        <f t="shared" si="1"/>
        <v>"C:\Program Files (x86)\AstroGrep\AstroGrep.exe" /e /r /s /spath="%USERPROFILE%\AppData\Local\Temp\OnboardLogs" /stypes="*4019*201711131*" /stext=" 11:.+((SYSTEM_STATE.+slice.+state.+changed )|(ment ac)|(multiple cpu faults)|(system.+state.+changed )|(\[timeout)|(PRM\|1\|D)|(kpr)|(kdp)|(train st.+moving)|(\|lc)|(penalty))"</v>
      </c>
      <c r="U11" s="9" t="str">
        <f t="shared" si="2"/>
        <v>4019</v>
      </c>
      <c r="V11" s="31">
        <f t="shared" si="3"/>
        <v>43052.478796296295</v>
      </c>
      <c r="W11" s="45" t="str">
        <f t="shared" si="4"/>
        <v>EC</v>
      </c>
      <c r="X11" s="22">
        <f t="shared" si="5"/>
        <v>102</v>
      </c>
      <c r="Y11" s="96" t="str">
        <f t="shared" si="6"/>
        <v>echo {"issue":{"subject":"Early Arrival","project_id":79,"tracker_id":40,"status_id":1,"priority_id":2,"assigned_to_id":338,"start_date":"2017-11-13","description":"","custom_fields":[{"id":1,"name":"Subdivision","value":"EC"},{"id":4,"name":"Milepost","value":"10.9135"},{"id":17,"name":"Train ID","value":"102-13"},{"id":16,"name":"Locomotive ID","value":"4019"},{"id":130,"name":"Impact","value":""},{"id":150,"name":"Time of Event (Mountain Time)","value":"04:29:28"},{"id":151,"name":"Denver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/c/Users/stu/AppData/Local/Temp/OnboardLogs/RTDC4019 --include="*4019*201711131*"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"%USERPROFILE%\AppData\Local\Temp\OnboardLogs"\RTDC4019\*4019*201711131* &gt;&gt; 2017-11-13-SliceDisagreementCheck.txt</v>
      </c>
      <c r="AE11" s="145" t="str">
        <f t="shared" si="9"/>
        <v>start /low /b %USERPROFILE%\Documents\GitHub\eaglep3\Utilities\DownloadLogsFromS3.py --loco 4019 --day 2017-11-13</v>
      </c>
      <c r="AF11" s="1"/>
    </row>
    <row r="12" spans="1:32" x14ac:dyDescent="0.25">
      <c r="A12" s="31">
        <v>43052.369155092594</v>
      </c>
      <c r="B12" s="30" t="s">
        <v>635</v>
      </c>
      <c r="C12" s="30" t="s">
        <v>636</v>
      </c>
      <c r="D12" s="30" t="s">
        <v>95</v>
      </c>
      <c r="E12" s="30" t="s">
        <v>190</v>
      </c>
      <c r="F12" s="42">
        <v>200</v>
      </c>
      <c r="G12" s="42">
        <v>254</v>
      </c>
      <c r="H12" s="42">
        <v>5503</v>
      </c>
      <c r="I12" s="42">
        <v>6116</v>
      </c>
      <c r="J12" s="30" t="s">
        <v>191</v>
      </c>
      <c r="K12" s="42">
        <v>4677</v>
      </c>
      <c r="L12" s="131" t="s">
        <v>50</v>
      </c>
      <c r="M12" s="132">
        <f t="shared" si="0"/>
        <v>-759.79200000000003</v>
      </c>
      <c r="N12" s="133" t="str">
        <f>VLOOKUP(C12,'Trips&amp;Operators'!$C$1:$G$99911,5,FALSE)</f>
        <v>THOMPSON LESTER</v>
      </c>
      <c r="O12" s="176" t="s">
        <v>178</v>
      </c>
      <c r="P12" s="134"/>
      <c r="Q12" s="30"/>
      <c r="R12" s="81" t="str">
        <f>VLOOKUP(C12,'Train Runs'!$A$13:$AE$10140,31,0)</f>
        <v>aws s3 cp s3://rtdc.mdm.uploadarchive.raw/RTDC4020/ "%USERPROFILE%\AppData\Local\Temp\OnboardLogs"\RTDC4020\2017-11-13 --exclude "*" --recursive --include "*20171113*" &amp; "%USERPROFILE%\Documents\GitHub\mrs-test-scripts\Headless Mode &amp; Sideloading\WalkAndUnGZ.bat" "%USERPROFILE%\AppData\Local\Temp\OnboardLogs"\RTDC4020\2017-11-13 &amp; aws s3 cp s3://rtdc.mdm.uploadarchive.raw/RTDC4020/ "%USERPROFILE%\AppData\Local\Temp\OnboardLogs"\RTDC4020\2017-11-14 --exclude "*" --recursive --include "*20171114*" &amp; "%USERPROFILE%\Documents\GitHub\mrs-test-scripts\Headless Mode &amp; Sideloading\WalkAndUnGZ.bat" "%USERPROFILE%\AppData\Local\Temp\OnboardLogs"\RTDC4020\2017-11-14</v>
      </c>
      <c r="S12" s="84" t="str">
        <f>VLOOKUP(C12,'Train Runs'!$A$13:$AE$10140,22,0)</f>
        <v>https://d0f6bd738d7f1b3e5a7ca70fe4ff75f0.us-east-1.aws.found.io/app/kibana#/discover/Steve-Slow-Train-Analysis-(2080s-and-2083s)?_g=(refreshInterval:(display:Off,pause:!f,section:0,value:0),time:(from:'2017-11-13T07:47:06-0700',mode:absolute,to:'2017-11-13T10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6" t="str">
        <f t="shared" si="1"/>
        <v>"C:\Program Files (x86)\AstroGrep\AstroGrep.exe" /e /r /s /spath="%USERPROFILE%\AppData\Local\Temp\OnboardLogs" /stypes="*4020*201711131*"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4020</v>
      </c>
      <c r="V12" s="31">
        <f t="shared" si="3"/>
        <v>43052.660821759258</v>
      </c>
      <c r="W12" s="45" t="str">
        <f t="shared" si="4"/>
        <v>EC</v>
      </c>
      <c r="X12" s="22">
        <f t="shared" si="5"/>
        <v>141</v>
      </c>
      <c r="Y12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{"issue":{"subject":"","project_id":79,"tracker_id":40,"status_id":1,"priority_id":2,"assigned_to_id":338,"start_date":"2017-11-13","description":"","custom_fields":[{"id":1,"name":"Subdivision","value":"EC"},{"id":4,"name":"Milepost","value":"0.4677"},{"id":17,"name":"Train ID","value":"141-13"},{"id":16,"name":"Locomotive ID","value":"4020"},{"id":130,"name":"Impact","value":""},{"id":150,"name":"Time of Event (Mountain Time)","value":"08:51:35"},{"id":151,"name":"Denver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/c/Users/stu/AppData/Local/Temp/OnboardLogs/RTDC4020 --include="*4020*201711131*"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"%USERPROFILE%\AppData\Local\Temp\OnboardLogs"\RTDC4020\*4020*201711131* &gt;&gt; 2017-11-13-SliceDisagreementCheck.txt</v>
      </c>
      <c r="AE12" s="145" t="str">
        <f t="shared" si="9"/>
        <v>start /low /b %USERPROFILE%\Documents\GitHub\eaglep3\Utilities\DownloadLogsFromS3.py --loco 4020 --day 2017-11-13</v>
      </c>
      <c r="AF12" s="1"/>
    </row>
    <row r="13" spans="1:32" x14ac:dyDescent="0.25">
      <c r="A13" s="31">
        <v>43052.32571759259</v>
      </c>
      <c r="B13" s="30" t="s">
        <v>631</v>
      </c>
      <c r="C13" s="30" t="s">
        <v>632</v>
      </c>
      <c r="D13" s="30" t="s">
        <v>49</v>
      </c>
      <c r="E13" s="30" t="s">
        <v>190</v>
      </c>
      <c r="F13" s="42">
        <v>400</v>
      </c>
      <c r="G13" s="42">
        <v>459</v>
      </c>
      <c r="H13" s="42">
        <v>17788</v>
      </c>
      <c r="I13" s="42">
        <v>18338</v>
      </c>
      <c r="J13" s="30" t="s">
        <v>191</v>
      </c>
      <c r="K13" s="42">
        <v>17867</v>
      </c>
      <c r="L13" s="131" t="s">
        <v>50</v>
      </c>
      <c r="M13" s="132">
        <f t="shared" si="0"/>
        <v>-248.68799999999999</v>
      </c>
      <c r="N13" s="133" t="str">
        <f>VLOOKUP(C13,'Trips&amp;Operators'!$C$1:$G$99911,5,FALSE)</f>
        <v>YORK EDGAR</v>
      </c>
      <c r="O13" s="176" t="s">
        <v>178</v>
      </c>
      <c r="P13" s="134"/>
      <c r="Q13" s="30"/>
      <c r="R13" s="81" t="str">
        <f>VLOOKUP(C13,'Train Runs'!$A$13:$AE$10140,31,0)</f>
        <v>aws s3 cp s3://rtdc.mdm.uploadarchive.raw/RTDC4040/ "%USERPROFILE%\AppData\Local\Temp\OnboardLogs"\RTDC4040\2017-11-13 --exclude "*" --recursive --include "*20171113*" &amp; "%USERPROFILE%\Documents\GitHub\mrs-test-scripts\Headless Mode &amp; Sideloading\WalkAndUnGZ.bat" "%USERPROFILE%\AppData\Local\Temp\OnboardLogs"\RTDC4040\2017-11-13 &amp; aws s3 cp s3://rtdc.mdm.uploadarchive.raw/RTDC4040/ "%USERPROFILE%\AppData\Local\Temp\OnboardLogs"\RTDC4040\2017-11-14 --exclude "*" --recursive --include "*20171114*" &amp; "%USERPROFILE%\Documents\GitHub\mrs-test-scripts\Headless Mode &amp; Sideloading\WalkAndUnGZ.bat" "%USERPROFILE%\AppData\Local\Temp\OnboardLogs"\RTDC4040\2017-11-14</v>
      </c>
      <c r="S13" s="84" t="str">
        <f>VLOOKUP(C13,'Train Runs'!$A$13:$AE$10140,22,0)</f>
        <v>https://d0f6bd738d7f1b3e5a7ca70fe4ff75f0.us-east-1.aws.found.io/app/kibana#/discover/Steve-Slow-Train-Analysis-(2080s-and-2083s)?_g=(refreshInterval:(display:Off,pause:!f,section:0,value:0),time:(from:'2017-11-13T06:36:38-0700',mode:absolute,to:'2017-11-13T09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3" s="86" t="str">
        <f t="shared" si="1"/>
        <v>"C:\Program Files (x86)\AstroGrep\AstroGrep.exe" /e /r /s /spath="%USERPROFILE%\AppData\Local\Temp\OnboardLogs" /stypes="*4040*201711131*"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4040</v>
      </c>
      <c r="V13" s="31">
        <f t="shared" si="3"/>
        <v>43052.617384259254</v>
      </c>
      <c r="W13" s="45" t="str">
        <f t="shared" si="4"/>
        <v>EC</v>
      </c>
      <c r="X13" s="22">
        <f t="shared" si="5"/>
        <v>133</v>
      </c>
      <c r="Y13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{"issue":{"subject":"","project_id":79,"tracker_id":40,"status_id":1,"priority_id":2,"assigned_to_id":338,"start_date":"2017-11-13","description":"","custom_fields":[{"id":1,"name":"Subdivision","value":"EC"},{"id":4,"name":"Milepost","value":"1.7867"},{"id":17,"name":"Train ID","value":"133-13"},{"id":16,"name":"Locomotive ID","value":"4040"},{"id":130,"name":"Impact","value":""},{"id":150,"name":"Time of Event (Mountain Time)","value":"07:49:02"},{"id":151,"name":"Denver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/c/Users/stu/AppData/Local/Temp/OnboardLogs/RTDC4040 --include="*4040*201711131*"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"%USERPROFILE%\AppData\Local\Temp\OnboardLogs"\RTDC4040\*4040*201711131* &gt;&gt; 2017-11-13-SliceDisagreementCheck.txt</v>
      </c>
      <c r="AE13" s="145" t="str">
        <f t="shared" si="9"/>
        <v>start /low /b %USERPROFILE%\Documents\GitHub\eaglep3\Utilities\DownloadLogsFromS3.py --loco 4040 --day 2017-11-13</v>
      </c>
      <c r="AF13" s="1"/>
    </row>
    <row r="14" spans="1:32" x14ac:dyDescent="0.25">
      <c r="A14" s="31">
        <v>43052.34679398148</v>
      </c>
      <c r="B14" s="30" t="s">
        <v>358</v>
      </c>
      <c r="C14" s="30" t="s">
        <v>633</v>
      </c>
      <c r="D14" s="30" t="s">
        <v>49</v>
      </c>
      <c r="E14" s="30" t="s">
        <v>190</v>
      </c>
      <c r="F14" s="42">
        <v>400</v>
      </c>
      <c r="G14" s="42">
        <v>455</v>
      </c>
      <c r="H14" s="42">
        <v>17358</v>
      </c>
      <c r="I14" s="42">
        <v>18102</v>
      </c>
      <c r="J14" s="30" t="s">
        <v>191</v>
      </c>
      <c r="K14" s="42">
        <v>17867</v>
      </c>
      <c r="L14" s="131" t="s">
        <v>50</v>
      </c>
      <c r="M14" s="132">
        <f t="shared" si="0"/>
        <v>-124.08</v>
      </c>
      <c r="N14" s="133" t="str">
        <f>VLOOKUP(C14,'Trips&amp;Operators'!$C$1:$G$99911,5,FALSE)</f>
        <v>MAELZER KURT</v>
      </c>
      <c r="O14" s="176" t="s">
        <v>178</v>
      </c>
      <c r="P14" s="134"/>
      <c r="Q14" s="30"/>
      <c r="R14" s="81" t="str">
        <f>VLOOKUP(C14,'Train Runs'!$A$13:$AE$10140,31,0)</f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S14" s="84" t="str">
        <f>VLOOKUP(C14,'Train Runs'!$A$13:$AE$10140,22,0)</f>
        <v>https://d0f6bd738d7f1b3e5a7ca70fe4ff75f0.us-east-1.aws.found.io/app/kibana#/discover/Steve-Slow-Train-Analysis-(2080s-and-2083s)?_g=(refreshInterval:(display:Off,pause:!f,section:0,value:0),time:(from:'2017-11-13T07:12:44-0700',mode:absolute,to:'2017-11-13T10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4" s="86" t="str">
        <f t="shared" si="1"/>
        <v>"C:\Program Files (x86)\AstroGrep\AstroGrep.exe" /e /r /s /spath="%USERPROFILE%\AppData\Local\Temp\OnboardLogs" /stypes="*4060*201711131*"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4060</v>
      </c>
      <c r="V14" s="31">
        <f t="shared" si="3"/>
        <v>43052.638460648144</v>
      </c>
      <c r="W14" s="45" t="str">
        <f t="shared" si="4"/>
        <v>EC</v>
      </c>
      <c r="X14" s="22">
        <f t="shared" si="5"/>
        <v>137</v>
      </c>
      <c r="Y14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{"issue":{"subject":"","project_id":79,"tracker_id":40,"status_id":1,"priority_id":2,"assigned_to_id":338,"start_date":"2017-11-13","description":"","custom_fields":[{"id":1,"name":"Subdivision","value":"EC"},{"id":4,"name":"Milepost","value":"1.7867"},{"id":17,"name":"Train ID","value":"137-13"},{"id":16,"name":"Locomotive ID","value":"4060"},{"id":130,"name":"Impact","value":""},{"id":150,"name":"Time of Event (Mountain Time)","value":"08:19:23"},{"id":151,"name":"Denver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/c/Users/stu/AppData/Local/Temp/OnboardLogs/RTDC4060 --include="*4060*201711131*"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"%USERPROFILE%\AppData\Local\Temp\OnboardLogs"\RTDC4060\*4060*201711131* &gt;&gt; 2017-11-13-SliceDisagreementCheck.txt</v>
      </c>
      <c r="AE14" s="145" t="str">
        <f t="shared" si="9"/>
        <v>start /low /b %USERPROFILE%\Documents\GitHub\eaglep3\Utilities\DownloadLogsFromS3.py --loco 4060 --day 2017-11-13</v>
      </c>
      <c r="AF14" s="1"/>
    </row>
    <row r="15" spans="1:32" x14ac:dyDescent="0.25">
      <c r="A15" s="31">
        <v>43052.877500000002</v>
      </c>
      <c r="B15" s="30" t="s">
        <v>358</v>
      </c>
      <c r="C15" s="30" t="s">
        <v>652</v>
      </c>
      <c r="D15" s="30" t="s">
        <v>49</v>
      </c>
      <c r="E15" s="30" t="s">
        <v>190</v>
      </c>
      <c r="F15" s="42">
        <v>400</v>
      </c>
      <c r="G15" s="42">
        <v>490</v>
      </c>
      <c r="H15" s="42">
        <v>17131</v>
      </c>
      <c r="I15" s="42">
        <v>18012</v>
      </c>
      <c r="J15" s="30" t="s">
        <v>191</v>
      </c>
      <c r="K15" s="42">
        <v>17867</v>
      </c>
      <c r="L15" s="131" t="s">
        <v>50</v>
      </c>
      <c r="M15" s="132">
        <f t="shared" si="0"/>
        <v>-76.56</v>
      </c>
      <c r="N15" s="133" t="str">
        <f>VLOOKUP(C15,'Trips&amp;Operators'!$C$1:$G$99911,5,FALSE)</f>
        <v>ELBAUM MIKE</v>
      </c>
      <c r="O15" s="176" t="s">
        <v>178</v>
      </c>
      <c r="P15" s="134"/>
      <c r="Q15" s="30"/>
      <c r="R15" s="81" t="str">
        <f>VLOOKUP(C15,'Train Runs'!$A$13:$AE$10140,31,0)</f>
        <v>aws s3 cp s3://rtdc.mdm.uploadarchive.raw/RTDC4060/ "%USERPROFILE%\AppData\Local\Temp\OnboardLogs"\RTDC4060\2017-11-13 --exclude "*" --recursive --include "*20171113*" &amp; "%USERPROFILE%\Documents\GitHub\mrs-test-scripts\Headless Mode &amp; Sideloading\WalkAndUnGZ.bat" "%USERPROFILE%\AppData\Local\Temp\OnboardLogs"\RTDC4060\2017-11-13 &amp; aws s3 cp s3://rtdc.mdm.uploadarchive.raw/RTDC4060/ "%USERPROFILE%\AppData\Local\Temp\OnboardLogs"\RTDC4060\2017-11-14 --exclude "*" --recursive --include "*20171114*" &amp; "%USERPROFILE%\Documents\GitHub\mrs-test-scripts\Headless Mode &amp; Sideloading\WalkAndUnGZ.bat" "%USERPROFILE%\AppData\Local\Temp\OnboardLogs"\RTDC4060\2017-11-14</v>
      </c>
      <c r="S15" s="84" t="str">
        <f>VLOOKUP(C15,'Train Runs'!$A$13:$AE$10140,22,0)</f>
        <v>https://d0f6bd738d7f1b3e5a7ca70fe4ff75f0.us-east-1.aws.found.io/app/kibana#/discover/Steve-Slow-Train-Analysis-(2080s-and-2083s)?_g=(refreshInterval:(display:Off,pause:!f,section:0,value:0),time:(from:'2017-11-13T19:40:47-0700',mode:absolute,to:'2017-11-13T22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5" s="86" t="str">
        <f t="shared" si="1"/>
        <v>"C:\Program Files (x86)\AstroGrep\AstroGrep.exe" /e /r /s /spath="%USERPROFILE%\AppData\Local\Temp\OnboardLogs" /stypes="*4060*201711140*"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4060</v>
      </c>
      <c r="V15" s="31">
        <f t="shared" si="3"/>
        <v>43053.169166666667</v>
      </c>
      <c r="W15" s="45" t="str">
        <f t="shared" si="4"/>
        <v>EC</v>
      </c>
      <c r="X15" s="22">
        <f t="shared" si="5"/>
        <v>229</v>
      </c>
      <c r="Y15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{"issue":{"subject":"","project_id":79,"tracker_id":40,"status_id":1,"priority_id":2,"assigned_to_id":338,"start_date":"2017-11-13","description":"","custom_fields":[{"id":1,"name":"Subdivision","value":"EC"},{"id":4,"name":"Milepost","value":"1.7867"},{"id":17,"name":"Train ID","value":"229-13"},{"id":16,"name":"Locomotive ID","value":"4060"},{"id":130,"name":"Impact","value":""},{"id":150,"name":"Time of Event (Mountain Time)","value":"21:03:36"},{"id":151,"name":"Denver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/c/Users/stu/AppData/Local/Temp/OnboardLogs/RTDC4060 --include="*4060*201711140*"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"%USERPROFILE%\AppData\Local\Temp\OnboardLogs"\RTDC4060\*4060*201711140* &gt;&gt; 2017-11-13-SliceDisagreementCheck.txt</v>
      </c>
      <c r="AE15" s="145" t="str">
        <f t="shared" si="9"/>
        <v>start /low /b %USERPROFILE%\Documents\GitHub\eaglep3\Utilities\DownloadLogsFromS3.py --loco 4060 --day 2017-11-14</v>
      </c>
      <c r="AF15" s="1"/>
    </row>
    <row r="16" spans="1:32" x14ac:dyDescent="0.25">
      <c r="A16" s="31">
        <v>43052.275219907409</v>
      </c>
      <c r="B16" s="30" t="s">
        <v>372</v>
      </c>
      <c r="C16" s="30" t="s">
        <v>630</v>
      </c>
      <c r="D16" s="30" t="s">
        <v>49</v>
      </c>
      <c r="E16" s="30" t="s">
        <v>190</v>
      </c>
      <c r="F16" s="42">
        <v>400</v>
      </c>
      <c r="G16" s="42">
        <v>457</v>
      </c>
      <c r="H16" s="42">
        <v>115986</v>
      </c>
      <c r="I16" s="42">
        <v>117250</v>
      </c>
      <c r="J16" s="30" t="s">
        <v>191</v>
      </c>
      <c r="K16" s="42">
        <v>116838</v>
      </c>
      <c r="L16" s="131" t="s">
        <v>50</v>
      </c>
      <c r="M16" s="132">
        <f t="shared" si="0"/>
        <v>-217.536</v>
      </c>
      <c r="N16" s="133" t="str">
        <f>VLOOKUP(C16,'Trips&amp;Operators'!$C$1:$G$99911,5,FALSE)</f>
        <v>BARRON PERLA</v>
      </c>
      <c r="O16" s="176" t="s">
        <v>178</v>
      </c>
      <c r="P16" s="134"/>
      <c r="Q16" s="30"/>
      <c r="R16" s="81" t="str">
        <f>VLOOKUP(C16,'Train Runs'!$A$13:$AE$10140,31,0)</f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S16" s="84" t="str">
        <f>VLOOKUP(C16,'Train Runs'!$A$13:$AE$10140,22,0)</f>
        <v>https://d0f6bd738d7f1b3e5a7ca70fe4ff75f0.us-east-1.aws.found.io/app/kibana#/discover/Steve-Slow-Train-Analysis-(2080s-and-2083s)?_g=(refreshInterval:(display:Off,pause:!f,section:0,value:0),time:(from:'2017-11-13T05:07:34-0700',mode:absolute,to:'2017-11-13T07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86" t="str">
        <f t="shared" si="1"/>
        <v>"C:\Program Files (x86)\AstroGrep\AstroGrep.exe" /e /r /s /spath="%USERPROFILE%\AppData\Local\Temp\OnboardLogs" /stypes="*4012*201711131*"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4012</v>
      </c>
      <c r="V16" s="31">
        <f t="shared" si="3"/>
        <v>43052.566886574074</v>
      </c>
      <c r="W16" s="45" t="str">
        <f t="shared" si="4"/>
        <v>EC</v>
      </c>
      <c r="X16" s="22">
        <f t="shared" si="5"/>
        <v>121</v>
      </c>
      <c r="Y16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{"issue":{"subject":"","project_id":79,"tracker_id":40,"status_id":1,"priority_id":2,"assigned_to_id":338,"start_date":"2017-11-13","description":"","custom_fields":[{"id":1,"name":"Subdivision","value":"EC"},{"id":4,"name":"Milepost","value":"11.6838"},{"id":17,"name":"Train ID","value":"121-13"},{"id":16,"name":"Locomotive ID","value":"4012"},{"id":130,"name":"Impact","value":""},{"id":150,"name":"Time of Event (Mountain Time)","value":"06:36:19"},{"id":151,"name":"Denver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/c/Users/stu/AppData/Local/Temp/OnboardLogs/RTDC4012 --include="*4012*201711131*"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"%USERPROFILE%\AppData\Local\Temp\OnboardLogs"\RTDC4012\*4012*201711131* &gt;&gt; 2017-11-13-SliceDisagreementCheck.txt</v>
      </c>
      <c r="AE16" s="145" t="str">
        <f t="shared" si="9"/>
        <v>start /low /b %USERPROFILE%\Documents\GitHub\eaglep3\Utilities\DownloadLogsFromS3.py --loco 4012 --day 2017-11-13</v>
      </c>
      <c r="AF16" s="1"/>
    </row>
    <row r="17" spans="1:32" x14ac:dyDescent="0.25">
      <c r="A17" s="31">
        <v>43052.562569444446</v>
      </c>
      <c r="B17" s="30" t="s">
        <v>639</v>
      </c>
      <c r="C17" s="30" t="s">
        <v>644</v>
      </c>
      <c r="D17" s="30" t="s">
        <v>95</v>
      </c>
      <c r="E17" s="30" t="s">
        <v>190</v>
      </c>
      <c r="F17" s="42">
        <v>350</v>
      </c>
      <c r="G17" s="42">
        <v>405</v>
      </c>
      <c r="H17" s="42">
        <v>224545</v>
      </c>
      <c r="I17" s="42">
        <v>222945</v>
      </c>
      <c r="J17" s="30" t="s">
        <v>191</v>
      </c>
      <c r="K17" s="42">
        <v>232107</v>
      </c>
      <c r="L17" s="131" t="s">
        <v>51</v>
      </c>
      <c r="M17" s="132">
        <f t="shared" si="0"/>
        <v>-4837.5360000000001</v>
      </c>
      <c r="N17" s="133" t="str">
        <f>VLOOKUP(C17,'Trips&amp;Operators'!$C$1:$G$99911,5,FALSE)</f>
        <v>BADERTSCHER DIANE</v>
      </c>
      <c r="O17" s="176" t="s">
        <v>178</v>
      </c>
      <c r="P17" s="134"/>
      <c r="Q17" s="30"/>
      <c r="R17" s="81" t="str">
        <f>VLOOKUP(C17,'Train Runs'!$A$13:$AE$10140,31,0)</f>
        <v>aws s3 cp s3://rtdc.mdm.uploadarchive.raw/RTDC4027/ "%USERPROFILE%\AppData\Local\Temp\OnboardLogs"\RTDC4027\2017-11-13 --exclude "*" --recursive --include "*20171113*" &amp; "%USERPROFILE%\Documents\GitHub\mrs-test-scripts\Headless Mode &amp; Sideloading\WalkAndUnGZ.bat" "%USERPROFILE%\AppData\Local\Temp\OnboardLogs"\RTDC4027\2017-11-13 &amp; aws s3 cp s3://rtdc.mdm.uploadarchive.raw/RTDC4027/ "%USERPROFILE%\AppData\Local\Temp\OnboardLogs"\RTDC4027\2017-11-14 --exclude "*" --recursive --include "*20171114*" &amp; "%USERPROFILE%\Documents\GitHub\mrs-test-scripts\Headless Mode &amp; Sideloading\WalkAndUnGZ.bat" "%USERPROFILE%\AppData\Local\Temp\OnboardLogs"\RTDC4027\2017-11-14</v>
      </c>
      <c r="S17" s="84" t="str">
        <f>VLOOKUP(C17,'Train Runs'!$A$13:$AE$10140,22,0)</f>
        <v>https://d0f6bd738d7f1b3e5a7ca70fe4ff75f0.us-east-1.aws.found.io/app/kibana#/discover/Steve-Slow-Train-Analysis-(2080s-and-2083s)?_g=(refreshInterval:(display:Off,pause:!f,section:0,value:0),time:(from:'2017-11-13T12:16:46-0700',mode:absolute,to:'2017-11-13T15:18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86" t="str">
        <f t="shared" si="1"/>
        <v>"C:\Program Files (x86)\AstroGrep\AstroGrep.exe" /e /r /s /spath="%USERPROFILE%\AppData\Local\Temp\OnboardLogs" /stypes="*4027*201711132*"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4027</v>
      </c>
      <c r="V17" s="31">
        <f t="shared" si="3"/>
        <v>43052.85423611111</v>
      </c>
      <c r="W17" s="45" t="str">
        <f t="shared" si="4"/>
        <v>EC</v>
      </c>
      <c r="X17" s="22">
        <f t="shared" si="5"/>
        <v>172</v>
      </c>
      <c r="Y17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{"issue":{"subject":"","project_id":79,"tracker_id":40,"status_id":1,"priority_id":2,"assigned_to_id":338,"start_date":"2017-11-13","description":"","custom_fields":[{"id":1,"name":"Subdivision","value":"EC"},{"id":4,"name":"Milepost","value":"23.2107"},{"id":17,"name":"Train ID","value":"172-13"},{"id":16,"name":"Locomotive ID","value":"4027"},{"id":130,"name":"Impact","value":""},{"id":150,"name":"Time of Event (Mountain Time)","value":"13:30:06"},{"id":151,"name":"Denver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/c/Users/stu/AppData/Local/Temp/OnboardLogs/RTDC4027 --include="*4027*201711132*"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"%USERPROFILE%\AppData\Local\Temp\OnboardLogs"\RTDC4027\*4027*201711132* &gt;&gt; 2017-11-13-SliceDisagreementCheck.txt</v>
      </c>
      <c r="AE17" s="145" t="str">
        <f t="shared" si="9"/>
        <v>start /low /b %USERPROFILE%\Documents\GitHub\eaglep3\Utilities\DownloadLogsFromS3.py --loco 4027 --day 2017-11-13</v>
      </c>
      <c r="AF17" s="1"/>
    </row>
    <row r="18" spans="1:32" x14ac:dyDescent="0.25">
      <c r="A18" s="31">
        <v>43052.594976851855</v>
      </c>
      <c r="B18" s="30" t="s">
        <v>372</v>
      </c>
      <c r="C18" s="30" t="s">
        <v>646</v>
      </c>
      <c r="D18" s="30" t="s">
        <v>49</v>
      </c>
      <c r="E18" s="30" t="s">
        <v>355</v>
      </c>
      <c r="F18" s="42">
        <v>0</v>
      </c>
      <c r="G18" s="42">
        <v>270</v>
      </c>
      <c r="H18" s="42">
        <v>224175</v>
      </c>
      <c r="I18" s="42">
        <v>225149</v>
      </c>
      <c r="J18" s="30" t="s">
        <v>356</v>
      </c>
      <c r="K18" s="42">
        <v>224231</v>
      </c>
      <c r="L18" s="131" t="s">
        <v>50</v>
      </c>
      <c r="M18" s="132">
        <f t="shared" si="0"/>
        <v>-484.70400000000001</v>
      </c>
      <c r="N18" s="133" t="str">
        <f>VLOOKUP(C18,'Trips&amp;Operators'!$C$1:$G$99911,5,FALSE)</f>
        <v>LEVERE CRAIG</v>
      </c>
      <c r="O18" s="176" t="s">
        <v>349</v>
      </c>
      <c r="P18" s="134" t="s">
        <v>1110</v>
      </c>
      <c r="Q18" s="30"/>
      <c r="R18" s="81" t="str">
        <f>VLOOKUP(C18,'Train Runs'!$A$13:$AE$10140,31,0)</f>
        <v>aws s3 cp s3://rtdc.mdm.uploadarchive.raw/RTDC4012/ "%USERPROFILE%\AppData\Local\Temp\OnboardLogs"\RTDC4012\2017-11-13 --exclude "*" --recursive --include "*20171113*" &amp; "%USERPROFILE%\Documents\GitHub\mrs-test-scripts\Headless Mode &amp; Sideloading\WalkAndUnGZ.bat" "%USERPROFILE%\AppData\Local\Temp\OnboardLogs"\RTDC4012\2017-11-13 &amp; aws s3 cp s3://rtdc.mdm.uploadarchive.raw/RTDC4012/ "%USERPROFILE%\AppData\Local\Temp\OnboardLogs"\RTDC4012\2017-11-14 --exclude "*" --recursive --include "*20171114*" &amp; "%USERPROFILE%\Documents\GitHub\mrs-test-scripts\Headless Mode &amp; Sideloading\WalkAndUnGZ.bat" "%USERPROFILE%\AppData\Local\Temp\OnboardLogs"\RTDC4012\2017-11-14</v>
      </c>
      <c r="S18" s="84" t="str">
        <f>VLOOKUP(C18,'Train Runs'!$A$13:$AE$10140,22,0)</f>
        <v>https://d0f6bd738d7f1b3e5a7ca70fe4ff75f0.us-east-1.aws.found.io/app/kibana#/discover/Steve-Slow-Train-Analysis-(2080s-and-2083s)?_g=(refreshInterval:(display:Off,pause:!f,section:0,value:0),time:(from:'2017-11-13T12:34:28-0700',mode:absolute,to:'2017-11-13T15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86" t="str">
        <f t="shared" si="1"/>
        <v>"C:\Program Files (x86)\AstroGrep\AstroGrep.exe" /e /r /s /spath="%USERPROFILE%\AppData\Local\Temp\OnboardLogs" /stypes="*4012*201711132*"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43052.886643518519</v>
      </c>
      <c r="W18" s="45" t="str">
        <f t="shared" si="4"/>
        <v>EC</v>
      </c>
      <c r="X18" s="22">
        <f t="shared" si="5"/>
        <v>179</v>
      </c>
      <c r="Y18" s="96" t="str">
        <f t="shared" si="6"/>
        <v>echo {"issue":{"subject":"Premature downgrade at EC2241RH 224-2T 2N","project_id":79,"tracker_id":40,"status_id":1,"priority_id":2,"assigned_to_id":338,"start_date":"2017-11-13","description":"14:16:32 - signal dropped from 180 to 0, anything unusual in logs?","custom_fields":[{"id":1,"name":"Subdivision","value":"EC"},{"id":4,"name":"Milepost","value":"22.4231"},{"id":17,"name":"Train ID","value":"179-13"},{"id":16,"name":"Locomotive ID","value":"4012"},{"id":130,"name":"Impact","value":"Enforcement"},{"id":150,"name":"Time of Event (Mountain Time)","value":"14:16:46"},{"id":151,"name":"Denver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18" s="159" t="s">
        <v>1111</v>
      </c>
      <c r="AA18" s="47" t="s">
        <v>118</v>
      </c>
      <c r="AB18" s="47" t="s">
        <v>123</v>
      </c>
      <c r="AC18" s="115" t="str">
        <f t="shared" si="7"/>
        <v>grep -hrE -A400 "Enforcement Action" /c/Users/stu/AppData/Local/Temp/OnboardLogs/RTDC4012 --include="*4012*201711132*"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"%USERPROFILE%\AppData\Local\Temp\OnboardLogs"\RTDC4012\*4012*201711132* &gt;&gt; 2017-11-13-SliceDisagreementCheck.txt</v>
      </c>
      <c r="AE18" s="145" t="str">
        <f t="shared" si="9"/>
        <v>start /low /b %USERPROFILE%\Documents\GitHub\eaglep3\Utilities\DownloadLogsFromS3.py --loco 4012 --day 2017-11-13</v>
      </c>
      <c r="AF18" s="1"/>
    </row>
    <row r="19" spans="1:32" x14ac:dyDescent="0.25">
      <c r="A19" s="31">
        <v>43052.88616898148</v>
      </c>
      <c r="B19" s="30" t="s">
        <v>653</v>
      </c>
      <c r="C19" s="30" t="s">
        <v>654</v>
      </c>
      <c r="D19" s="30" t="s">
        <v>49</v>
      </c>
      <c r="E19" s="30" t="s">
        <v>484</v>
      </c>
      <c r="F19" s="42">
        <v>0</v>
      </c>
      <c r="G19" s="42">
        <v>629</v>
      </c>
      <c r="H19" s="42">
        <v>105777</v>
      </c>
      <c r="I19" s="42">
        <v>102888</v>
      </c>
      <c r="J19" s="30" t="s">
        <v>485</v>
      </c>
      <c r="K19" s="42">
        <v>104776</v>
      </c>
      <c r="L19" s="131" t="s">
        <v>51</v>
      </c>
      <c r="M19" s="132">
        <f t="shared" si="0"/>
        <v>-996.86400000000003</v>
      </c>
      <c r="N19" s="133" t="str">
        <f>VLOOKUP(C19,'Trips&amp;Operators'!$C$1:$G$99911,5,FALSE)</f>
        <v>RESPASS AARON</v>
      </c>
      <c r="O19" s="176" t="s">
        <v>349</v>
      </c>
      <c r="P19" s="134" t="s">
        <v>1106</v>
      </c>
      <c r="Q19" s="30"/>
      <c r="R19" s="81" t="str">
        <f>VLOOKUP(C19,'Train Runs'!$A$13:$AE$10140,31,0)</f>
        <v>aws s3 cp s3://rtdc.mdm.uploadarchive.raw/RTDC4013/ "%USERPROFILE%\AppData\Local\Temp\OnboardLogs"\RTDC4013\2017-11-13 --exclude "*" --recursive --include "*20171113*" &amp; "%USERPROFILE%\Documents\GitHub\mrs-test-scripts\Headless Mode &amp; Sideloading\WalkAndUnGZ.bat" "%USERPROFILE%\AppData\Local\Temp\OnboardLogs"\RTDC4013\2017-11-13 &amp; aws s3 cp s3://rtdc.mdm.uploadarchive.raw/RTDC4013/ "%USERPROFILE%\AppData\Local\Temp\OnboardLogs"\RTDC4013\2017-11-14 --exclude "*" --recursive --include "*20171114*" &amp; "%USERPROFILE%\Documents\GitHub\mrs-test-scripts\Headless Mode &amp; Sideloading\WalkAndUnGZ.bat" "%USERPROFILE%\AppData\Local\Temp\OnboardLogs"\RTDC4013\2017-11-14</v>
      </c>
      <c r="S19" s="84" t="str">
        <f>VLOOKUP(C19,'Train Runs'!$A$13:$AE$10140,22,0)</f>
        <v>https://d0f6bd738d7f1b3e5a7ca70fe4ff75f0.us-east-1.aws.found.io/app/kibana#/discover/Steve-Slow-Train-Analysis-(2080s-and-2083s)?_g=(refreshInterval:(display:Off,pause:!f,section:0,value:0),time:(from:'2017-11-13T19:48:26-0700',mode:absolute,to:'2017-11-13T22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86" t="str">
        <f t="shared" si="1"/>
        <v>"C:\Program Files (x86)\AstroGrep\AstroGrep.exe" /e /r /s /spath="%USERPROFILE%\AppData\Local\Temp\OnboardLogs" /stypes="*4013*201711140*" /stext=" 04:.+((SYSTEM_STATE.+slice.+state.+changed )|(ment ac)|(multiple cpu faults)|(system.+state.+changed )|(\[timeout)|(PRM\|1\|D)|(kpr)|(kdp)|(train st.+moving)|(\|lc)|(penalty))"</v>
      </c>
      <c r="U19" s="9" t="str">
        <f t="shared" si="2"/>
        <v>4013</v>
      </c>
      <c r="V19" s="31">
        <f t="shared" si="3"/>
        <v>43053.177835648145</v>
      </c>
      <c r="W19" s="45" t="str">
        <f t="shared" si="4"/>
        <v>EC</v>
      </c>
      <c r="X19" s="22">
        <f t="shared" si="5"/>
        <v>226</v>
      </c>
      <c r="Y19" s="96" t="str">
        <f t="shared" si="6"/>
        <v>echo {"issue":{"subject":"Wi-MAX data drop","project_id":79,"tracker_id":40,"status_id":1,"priority_id":2,"assigned_to_id":338,"start_date":"2017-11-13","description":"","custom_fields":[{"id":1,"name":"Subdivision","value":"EC"},{"id":4,"name":"Milepost","value":"10.4776"},{"id":17,"name":"Train ID","value":"226-13"},{"id":16,"name":"Locomotive ID","value":"4013"},{"id":130,"name":"Impact","value":""},{"id":150,"name":"Time of Event (Mountain Time)","value":"21:16:05"},{"id":151,"name":"Denver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/c/Users/stu/AppData/Local/Temp/OnboardLogs/RTDC4013 --include="*4013*201711140*"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"%USERPROFILE%\AppData\Local\Temp\OnboardLogs"\RTDC4013\*4013*201711140* &gt;&gt; 2017-11-13-SliceDisagreementCheck.txt</v>
      </c>
      <c r="AE19" s="145" t="str">
        <f t="shared" si="9"/>
        <v>start /low /b %USERPROFILE%\Documents\GitHub\eaglep3\Utilities\DownloadLogsFromS3.py --loco 4013 --day 2017-11-14</v>
      </c>
      <c r="AF19" s="1"/>
    </row>
    <row r="20" spans="1:32" x14ac:dyDescent="0.25">
      <c r="A20" s="31">
        <v>43052.363564814812</v>
      </c>
      <c r="B20" s="30" t="s">
        <v>627</v>
      </c>
      <c r="C20" s="30" t="s">
        <v>634</v>
      </c>
      <c r="D20" s="30" t="s">
        <v>49</v>
      </c>
      <c r="E20" s="30" t="s">
        <v>470</v>
      </c>
      <c r="F20" s="42">
        <v>0</v>
      </c>
      <c r="G20" s="42">
        <v>106</v>
      </c>
      <c r="H20" s="42">
        <v>433</v>
      </c>
      <c r="I20" s="42">
        <v>331</v>
      </c>
      <c r="J20" s="30" t="s">
        <v>471</v>
      </c>
      <c r="K20" s="42">
        <v>1</v>
      </c>
      <c r="L20" s="131" t="s">
        <v>51</v>
      </c>
      <c r="M20" s="132">
        <f t="shared" si="0"/>
        <v>174.24</v>
      </c>
      <c r="N20" s="133" t="str">
        <f>VLOOKUP(C20,'Trips&amp;Operators'!$C$1:$G$99911,5,FALSE)</f>
        <v>THOMPSON LESTER</v>
      </c>
      <c r="O20" s="176" t="s">
        <v>178</v>
      </c>
      <c r="P20" s="134"/>
      <c r="Q20" s="30"/>
      <c r="R20" s="81" t="str">
        <f>VLOOKUP(C20,'Train Runs'!$A$13:$AE$10140,31,0)</f>
        <v>aws s3 cp s3://rtdc.mdm.uploadarchive.raw/RTDC4019/ "%USERPROFILE%\AppData\Local\Temp\OnboardLogs"\RTDC4019\2017-11-13 --exclude "*" --recursive --include "*20171113*" &amp; "%USERPROFILE%\Documents\GitHub\mrs-test-scripts\Headless Mode &amp; Sideloading\WalkAndUnGZ.bat" "%USERPROFILE%\AppData\Local\Temp\OnboardLogs"\RTDC4019\2017-11-13 &amp; aws s3 cp s3://rtdc.mdm.uploadarchive.raw/RTDC4019/ "%USERPROFILE%\AppData\Local\Temp\OnboardLogs"\RTDC4019\2017-11-14 --exclude "*" --recursive --include "*20171114*" &amp; "%USERPROFILE%\Documents\GitHub\mrs-test-scripts\Headless Mode &amp; Sideloading\WalkAndUnGZ.bat" "%USERPROFILE%\AppData\Local\Temp\OnboardLogs"\RTDC4019\2017-11-14</v>
      </c>
      <c r="S20" s="84" t="str">
        <f>VLOOKUP(C20,'Train Runs'!$A$13:$AE$10140,22,0)</f>
        <v>https://d0f6bd738d7f1b3e5a7ca70fe4ff75f0.us-east-1.aws.found.io/app/kibana#/discover/Steve-Slow-Train-Analysis-(2080s-and-2083s)?_g=(refreshInterval:(display:Off,pause:!f,section:0,value:0),time:(from:'2017-11-13T06:38:57-0700',mode:absolute,to:'2017-11-13T09:43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86" t="str">
        <f t="shared" si="1"/>
        <v>"C:\Program Files (x86)\AstroGrep\AstroGrep.exe" /e /r /s /spath="%USERPROFILE%\AppData\Local\Temp\OnboardLogs" /stypes="*4019*201711131*" /stext=" 15:.+((SYSTEM_STATE.+slice.+state.+changed )|(ment ac)|(multiple cpu faults)|(system.+state.+changed )|(\[timeout)|(PRM\|1\|D)|(kpr)|(kdp)|(train st.+moving)|(\|lc)|(penalty))"</v>
      </c>
      <c r="U20" s="9" t="str">
        <f t="shared" si="2"/>
        <v>4019</v>
      </c>
      <c r="V20" s="31">
        <f t="shared" si="3"/>
        <v>43052.655231481476</v>
      </c>
      <c r="W20" s="45" t="str">
        <f t="shared" si="4"/>
        <v>EC</v>
      </c>
      <c r="X20" s="22">
        <f t="shared" si="5"/>
        <v>126</v>
      </c>
      <c r="Y20" s="96" t="str">
        <f t="shared" si="6"/>
        <v>echo {"issue":{"subject":"","project_id":79,"tracker_id":40,"status_id":1,"priority_id":2,"assigned_to_id":338,"start_date":"2017-11-13","description":"","custom_fields":[{"id":1,"name":"Subdivision","value":"EC"},{"id":4,"name":"Milepost","value":"0.0001"},{"id":17,"name":"Train ID","value":"126-13"},{"id":16,"name":"Locomotive ID","value":"4019"},{"id":130,"name":"Impact","value":""},{"id":150,"name":"Time of Event (Mountain Time)","value":"08:43:32"},{"id":151,"name":"Denver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/c/Users/stu/AppData/Local/Temp/OnboardLogs/RTDC4019 --include="*4019*201711131*"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"%USERPROFILE%\AppData\Local\Temp\OnboardLogs"\RTDC4019\*4019*201711131* &gt;&gt; 2017-11-13-SliceDisagreementCheck.txt</v>
      </c>
      <c r="AE20" s="145" t="str">
        <f t="shared" si="9"/>
        <v>start /low /b %USERPROFILE%\Documents\GitHub\eaglep3\Utilities\DownloadLogsFromS3.py --loco 4019 --day 2017-11-13</v>
      </c>
      <c r="AF20" s="1"/>
    </row>
    <row r="21" spans="1:32" x14ac:dyDescent="0.25">
      <c r="A21" s="31">
        <v>43052.383784722224</v>
      </c>
      <c r="B21" s="30" t="s">
        <v>367</v>
      </c>
      <c r="C21" s="30" t="s">
        <v>637</v>
      </c>
      <c r="D21" s="30" t="s">
        <v>49</v>
      </c>
      <c r="E21" s="30" t="s">
        <v>183</v>
      </c>
      <c r="F21" s="42">
        <v>0</v>
      </c>
      <c r="G21" s="42">
        <v>193</v>
      </c>
      <c r="H21" s="42">
        <v>10621</v>
      </c>
      <c r="I21" s="42">
        <v>11044</v>
      </c>
      <c r="J21" s="30" t="s">
        <v>184</v>
      </c>
      <c r="K21" s="42">
        <v>10716</v>
      </c>
      <c r="L21" s="131" t="s">
        <v>50</v>
      </c>
      <c r="M21" s="132">
        <f t="shared" si="0"/>
        <v>-173.18400000000003</v>
      </c>
      <c r="N21" s="133" t="str">
        <f>VLOOKUP(C21,'Trips&amp;Operators'!$C$1:$G$99911,5,FALSE)</f>
        <v>YANAI IAN</v>
      </c>
      <c r="O21" s="176" t="s">
        <v>178</v>
      </c>
      <c r="P21" s="134" t="s">
        <v>344</v>
      </c>
      <c r="Q21" s="30"/>
      <c r="R21" s="81" t="str">
        <f>VLOOKUP(C21,'Train Runs'!$A$13:$AE$10140,31,0)</f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S21" s="84" t="str">
        <f>VLOOKUP(C21,'Train Runs'!$A$13:$AE$10140,22,0)</f>
        <v>https://d0f6bd738d7f1b3e5a7ca70fe4ff75f0.us-east-1.aws.found.io/app/kibana#/discover/Steve-Slow-Train-Analysis-(2080s-and-2083s)?_g=(refreshInterval:(display:Off,pause:!f,section:0,value:0),time:(from:'2017-11-13T08:05:37-0700',mode:absolute,to:'2017-11-13T10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1" s="86" t="str">
        <f t="shared" si="1"/>
        <v>"C:\Program Files (x86)\AstroGrep\AstroGrep.exe" /e /r /s /spath="%USERPROFILE%\AppData\Local\Temp\OnboardLogs" /stypes="*4036*201711131*"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4036</v>
      </c>
      <c r="V21" s="31">
        <f t="shared" si="3"/>
        <v>43052.675451388888</v>
      </c>
      <c r="W21" s="45" t="str">
        <f t="shared" si="4"/>
        <v>NW</v>
      </c>
      <c r="X21" s="22">
        <f t="shared" si="5"/>
        <v>813</v>
      </c>
      <c r="Y21" s="96" t="str">
        <f t="shared" si="6"/>
        <v>echo {"issue":{"subject":"Early Arrival","project_id":79,"tracker_id":40,"status_id":1,"priority_id":2,"assigned_to_id":338,"start_date":"2017-11-13","description":"","custom_fields":[{"id":1,"name":"Subdivision","value":"NW"},{"id":4,"name":"Milepost","value":"1.0716"},{"id":17,"name":"Train ID","value":"813-13"},{"id":16,"name":"Locomotive ID","value":"4036"},{"id":130,"name":"Impact","value":""},{"id":150,"name":"Time of Event (Mountain Time)","value":"09:12:39"},{"id":151,"name":"Denver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/c/Users/stu/AppData/Local/Temp/OnboardLogs/RTDC4036 --include="*4036*201711131*"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"%USERPROFILE%\AppData\Local\Temp\OnboardLogs"\RTDC4036\*4036*201711131* &gt;&gt; 2017-11-13-SliceDisagreementCheck.txt</v>
      </c>
      <c r="AE21" s="145" t="str">
        <f t="shared" si="9"/>
        <v>start /low /b %USERPROFILE%\Documents\GitHub\eaglep3\Utilities\DownloadLogsFromS3.py --loco 4036 --day 2017-11-13</v>
      </c>
      <c r="AF21" s="1"/>
    </row>
    <row r="22" spans="1:32" x14ac:dyDescent="0.25">
      <c r="A22" s="31">
        <v>43052.738645833335</v>
      </c>
      <c r="B22" s="30" t="s">
        <v>474</v>
      </c>
      <c r="C22" s="30" t="s">
        <v>649</v>
      </c>
      <c r="D22" s="30" t="s">
        <v>95</v>
      </c>
      <c r="E22" s="30" t="s">
        <v>190</v>
      </c>
      <c r="F22" s="42">
        <v>450</v>
      </c>
      <c r="G22" s="42">
        <v>500</v>
      </c>
      <c r="H22" s="42">
        <v>14150</v>
      </c>
      <c r="I22" s="42">
        <v>15896</v>
      </c>
      <c r="J22" s="30" t="s">
        <v>191</v>
      </c>
      <c r="K22" s="42">
        <v>13572</v>
      </c>
      <c r="L22" s="131" t="s">
        <v>50</v>
      </c>
      <c r="M22" s="132">
        <f t="shared" si="0"/>
        <v>-1227.0719999999999</v>
      </c>
      <c r="N22" s="133" t="str">
        <f>VLOOKUP(C22,'Trips&amp;Operators'!$C$1:$G$99911,5,FALSE)</f>
        <v>ANDREA WILLIAMS</v>
      </c>
      <c r="O22" s="176" t="s">
        <v>178</v>
      </c>
      <c r="P22" s="134"/>
      <c r="Q22" s="30"/>
      <c r="R22" s="81" t="str">
        <f>VLOOKUP(C22,'Train Runs'!$A$13:$AE$10140,31,0)</f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S22" s="84" t="str">
        <f>VLOOKUP(C22,'Train Runs'!$A$13:$AE$10140,22,0)</f>
        <v>https://d0f6bd738d7f1b3e5a7ca70fe4ff75f0.us-east-1.aws.found.io/app/kibana#/discover/Steve-Slow-Train-Analysis-(2080s-and-2083s)?_g=(refreshInterval:(display:Off,pause:!f,section:0,value:0),time:(from:'2017-11-13T16:34:59-0700',mode:absolute,to:'2017-11-13T18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2" s="86" t="str">
        <f t="shared" si="1"/>
        <v>"C:\Program Files (x86)\AstroGrep\AstroGrep.exe" /e /r /s /spath="%USERPROFILE%\AppData\Local\Temp\OnboardLogs" /stypes="*4002*201711140*"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4002</v>
      </c>
      <c r="V22" s="31">
        <f t="shared" si="3"/>
        <v>43053.030312499999</v>
      </c>
      <c r="W22" s="45" t="str">
        <f t="shared" si="4"/>
        <v>NW</v>
      </c>
      <c r="X22" s="22">
        <f t="shared" si="5"/>
        <v>835</v>
      </c>
      <c r="Y22" s="96" t="str">
        <f t="shared" si="6"/>
        <v>echo {"issue":{"subject":"","project_id":79,"tracker_id":40,"status_id":1,"priority_id":2,"assigned_to_id":338,"start_date":"2017-11-13","description":"","custom_fields":[{"id":1,"name":"Subdivision","value":"NW"},{"id":4,"name":"Milepost","value":"1.3572"},{"id":17,"name":"Train ID","value":"835-13"},{"id":16,"name":"Locomotive ID","value":"4002"},{"id":130,"name":"Impact","value":""},{"id":150,"name":"Time of Event (Mountain Time)","value":"17:43:39"},{"id":151,"name":"Denver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/c/Users/stu/AppData/Local/Temp/OnboardLogs/RTDC4002 --include="*4002*201711140*"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"%USERPROFILE%\AppData\Local\Temp\OnboardLogs"\RTDC4002\*4002*201711140* &gt;&gt; 2017-11-13-SliceDisagreementCheck.txt</v>
      </c>
      <c r="AE22" s="145" t="str">
        <f t="shared" si="9"/>
        <v>start /low /b %USERPROFILE%\Documents\GitHub\eaglep3\Utilities\DownloadLogsFromS3.py --loco 4002 --day 2017-11-14</v>
      </c>
      <c r="AF22" s="1"/>
    </row>
    <row r="23" spans="1:32" x14ac:dyDescent="0.25">
      <c r="A23" s="31">
        <v>43052.659270833334</v>
      </c>
      <c r="B23" s="30" t="s">
        <v>474</v>
      </c>
      <c r="C23" s="30" t="s">
        <v>648</v>
      </c>
      <c r="D23" s="30" t="s">
        <v>49</v>
      </c>
      <c r="E23" s="30" t="s">
        <v>190</v>
      </c>
      <c r="F23" s="42">
        <v>400</v>
      </c>
      <c r="G23" s="42">
        <v>492</v>
      </c>
      <c r="H23" s="42">
        <v>46052</v>
      </c>
      <c r="I23" s="42">
        <v>47755</v>
      </c>
      <c r="J23" s="30" t="s">
        <v>191</v>
      </c>
      <c r="K23" s="42">
        <v>47810</v>
      </c>
      <c r="L23" s="131" t="s">
        <v>50</v>
      </c>
      <c r="M23" s="132">
        <f t="shared" si="0"/>
        <v>29.04</v>
      </c>
      <c r="N23" s="133" t="str">
        <f>VLOOKUP(C23,'Trips&amp;Operators'!$C$1:$G$99911,5,FALSE)</f>
        <v>ANDREA WILLIAMS</v>
      </c>
      <c r="O23" s="176" t="s">
        <v>178</v>
      </c>
      <c r="P23" s="134"/>
      <c r="Q23" s="30"/>
      <c r="R23" s="81" t="str">
        <f>VLOOKUP(C23,'Train Runs'!$A$13:$AE$10140,31,0)</f>
        <v>aws s3 cp s3://rtdc.mdm.uploadarchive.raw/RTDC4002/ "%USERPROFILE%\AppData\Local\Temp\OnboardLogs"\RTDC4002\2017-11-13 --exclude "*" --recursive --include "*20171113*" &amp; "%USERPROFILE%\Documents\GitHub\mrs-test-scripts\Headless Mode &amp; Sideloading\WalkAndUnGZ.bat" "%USERPROFILE%\AppData\Local\Temp\OnboardLogs"\RTDC4002\2017-11-13 &amp; aws s3 cp s3://rtdc.mdm.uploadarchive.raw/RTDC4002/ "%USERPROFILE%\AppData\Local\Temp\OnboardLogs"\RTDC4002\2017-11-14 --exclude "*" --recursive --include "*20171114*" &amp; "%USERPROFILE%\Documents\GitHub\mrs-test-scripts\Headless Mode &amp; Sideloading\WalkAndUnGZ.bat" "%USERPROFILE%\AppData\Local\Temp\OnboardLogs"\RTDC4002\2017-11-14</v>
      </c>
      <c r="S23" s="84" t="str">
        <f>VLOOKUP(C23,'Train Runs'!$A$13:$AE$10140,22,0)</f>
        <v>https://d0f6bd738d7f1b3e5a7ca70fe4ff75f0.us-east-1.aws.found.io/app/kibana#/discover/Steve-Slow-Train-Analysis-(2080s-and-2083s)?_g=(refreshInterval:(display:Off,pause:!f,section:0,value:0),time:(from:'2017-11-13T14:29:59-0700',mode:absolute,to:'2017-11-13T16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6" t="str">
        <f t="shared" si="1"/>
        <v>"C:\Program Files (x86)\AstroGrep\AstroGrep.exe" /e /r /s /spath="%USERPROFILE%\AppData\Local\Temp\OnboardLogs" /stypes="*4002*201711132*" /stext=" 22:.+((SYSTEM_STATE.+slice.+state.+changed )|(ment ac)|(multiple cpu faults)|(system.+state.+changed )|(\[timeout)|(PRM\|1\|D)|(kpr)|(kdp)|(train st.+moving)|(\|lc)|(penalty))"</v>
      </c>
      <c r="U23" s="9" t="str">
        <f t="shared" si="2"/>
        <v>4002</v>
      </c>
      <c r="V23" s="31">
        <f t="shared" si="3"/>
        <v>43052.950937499998</v>
      </c>
      <c r="W23" s="45" t="str">
        <f t="shared" si="4"/>
        <v>NW</v>
      </c>
      <c r="X23" s="22">
        <f t="shared" si="5"/>
        <v>827</v>
      </c>
      <c r="Y23" s="96" t="str">
        <f t="shared" si="6"/>
        <v>echo {"issue":{"subject":"","project_id":79,"tracker_id":40,"status_id":1,"priority_id":2,"assigned_to_id":338,"start_date":"2017-11-13","description":"","custom_fields":[{"id":1,"name":"Subdivision","value":"NW"},{"id":4,"name":"Milepost","value":"4.781"},{"id":17,"name":"Train ID","value":"827-13"},{"id":16,"name":"Locomotive ID","value":"4002"},{"id":130,"name":"Impact","value":""},{"id":150,"name":"Time of Event (Mountain Time)","value":"15:49:21"},{"id":151,"name":"Denver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/c/Users/stu/AppData/Local/Temp/OnboardLogs/RTDC4002 --include="*4002*201711132*"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"%USERPROFILE%\AppData\Local\Temp\OnboardLogs"\RTDC4002\*4002*201711132* &gt;&gt; 2017-11-13-SliceDisagreementCheck.txt</v>
      </c>
      <c r="AE23" s="145" t="str">
        <f t="shared" si="9"/>
        <v>start /low /b %USERPROFILE%\Documents\GitHub\eaglep3\Utilities\DownloadLogsFromS3.py --loco 4002 --day 2017-11-13</v>
      </c>
      <c r="AF23" s="1"/>
    </row>
    <row r="24" spans="1:32" x14ac:dyDescent="0.25">
      <c r="A24" s="31">
        <v>43052.971990740742</v>
      </c>
      <c r="B24" s="30" t="s">
        <v>367</v>
      </c>
      <c r="C24" s="30" t="s">
        <v>655</v>
      </c>
      <c r="D24" s="30" t="s">
        <v>49</v>
      </c>
      <c r="E24" s="30" t="s">
        <v>190</v>
      </c>
      <c r="F24" s="42">
        <v>400</v>
      </c>
      <c r="G24" s="42">
        <v>456</v>
      </c>
      <c r="H24" s="42">
        <v>46995</v>
      </c>
      <c r="I24" s="42">
        <v>48174</v>
      </c>
      <c r="J24" s="30" t="s">
        <v>191</v>
      </c>
      <c r="K24" s="42">
        <v>47810</v>
      </c>
      <c r="L24" s="131" t="s">
        <v>50</v>
      </c>
      <c r="M24" s="132">
        <f t="shared" si="0"/>
        <v>-192.19200000000001</v>
      </c>
      <c r="N24" s="133" t="str">
        <f>VLOOKUP(C24,'Trips&amp;Operators'!$C$1:$G$99911,5,FALSE)</f>
        <v>ANDREA WILLIAMS</v>
      </c>
      <c r="O24" s="176" t="s">
        <v>178</v>
      </c>
      <c r="P24" s="134"/>
      <c r="Q24" s="30"/>
      <c r="R24" s="81" t="str">
        <f>VLOOKUP(C24,'Train Runs'!$A$13:$AE$10140,31,0)</f>
        <v>aws s3 cp s3://rtdc.mdm.uploadarchive.raw/RTDC4036/ "%USERPROFILE%\AppData\Local\Temp\OnboardLogs"\RTDC4036\2017-11-13 --exclude "*" --recursive --include "*20171113*" &amp; "%USERPROFILE%\Documents\GitHub\mrs-test-scripts\Headless Mode &amp; Sideloading\WalkAndUnGZ.bat" "%USERPROFILE%\AppData\Local\Temp\OnboardLogs"\RTDC4036\2017-11-13 &amp; aws s3 cp s3://rtdc.mdm.uploadarchive.raw/RTDC4036/ "%USERPROFILE%\AppData\Local\Temp\OnboardLogs"\RTDC4036\2017-11-14 --exclude "*" --recursive --include "*20171114*" &amp; "%USERPROFILE%\Documents\GitHub\mrs-test-scripts\Headless Mode &amp; Sideloading\WalkAndUnGZ.bat" "%USERPROFILE%\AppData\Local\Temp\OnboardLogs"\RTDC4036\2017-11-14</v>
      </c>
      <c r="S24" s="84" t="str">
        <f>VLOOKUP(C24,'Train Runs'!$A$13:$AE$10140,22,0)</f>
        <v>https://d0f6bd738d7f1b3e5a7ca70fe4ff75f0.us-east-1.aws.found.io/app/kibana#/discover/Steve-Slow-Train-Analysis-(2080s-and-2083s)?_g=(refreshInterval:(display:Off,pause:!f,section:0,value:0),time:(from:'2017-11-13T21:58:59-0700',mode:absolute,to:'2017-11-14T00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4" s="86" t="str">
        <f t="shared" si="1"/>
        <v>"C:\Program Files (x86)\AstroGrep\AstroGrep.exe" /e /r /s /spath="%USERPROFILE%\AppData\Local\Temp\OnboardLogs" /stypes="*4036*201711140*" /stext=" 06:.+((SYSTEM_STATE.+slice.+state.+changed )|(ment ac)|(multiple cpu faults)|(system.+state.+changed )|(\[timeout)|(PRM\|1\|D)|(kpr)|(kdp)|(train st.+moving)|(\|lc)|(penalty))"</v>
      </c>
      <c r="U24" s="9" t="str">
        <f t="shared" si="2"/>
        <v>4036</v>
      </c>
      <c r="V24" s="31">
        <f t="shared" si="3"/>
        <v>43053.263657407406</v>
      </c>
      <c r="W24" s="45" t="str">
        <f t="shared" si="4"/>
        <v>NW</v>
      </c>
      <c r="X24" s="22">
        <f t="shared" si="5"/>
        <v>849</v>
      </c>
      <c r="Y24" s="96" t="str">
        <f t="shared" si="6"/>
        <v>echo {"issue":{"subject":"","project_id":79,"tracker_id":40,"status_id":1,"priority_id":2,"assigned_to_id":338,"start_date":"2017-11-13","description":"","custom_fields":[{"id":1,"name":"Subdivision","value":"NW"},{"id":4,"name":"Milepost","value":"4.781"},{"id":17,"name":"Train ID","value":"849-13"},{"id":16,"name":"Locomotive ID","value":"4036"},{"id":130,"name":"Impact","value":""},{"id":150,"name":"Time of Event (Mountain Time)","value":"23:19:40"},{"id":151,"name":"Denver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/c/Users/stu/AppData/Local/Temp/OnboardLogs/RTDC4036 --include="*4036*201711140*"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"%USERPROFILE%\AppData\Local\Temp\OnboardLogs"\RTDC4036\*4036*201711140* &gt;&gt; 2017-11-13-SliceDisagreementCheck.txt</v>
      </c>
      <c r="AE24" s="145" t="str">
        <f t="shared" si="9"/>
        <v>start /low /b %USERPROFILE%\Documents\GitHub\eaglep3\Utilities\DownloadLogsFromS3.py --loco 4036 --day 2017-11-14</v>
      </c>
      <c r="AF24" s="1"/>
    </row>
    <row r="25" spans="1:32" x14ac:dyDescent="0.25">
      <c r="A25" s="31">
        <v>43052.217777777776</v>
      </c>
      <c r="B25" s="30" t="s">
        <v>472</v>
      </c>
      <c r="C25" s="30" t="s">
        <v>629</v>
      </c>
      <c r="D25" s="30" t="s">
        <v>95</v>
      </c>
      <c r="E25" s="30" t="s">
        <v>190</v>
      </c>
      <c r="F25" s="42">
        <v>150</v>
      </c>
      <c r="G25" s="42">
        <v>207</v>
      </c>
      <c r="H25" s="42">
        <v>56817</v>
      </c>
      <c r="I25" s="42">
        <v>56496</v>
      </c>
      <c r="J25" s="30" t="s">
        <v>191</v>
      </c>
      <c r="K25" s="42">
        <v>59050</v>
      </c>
      <c r="L25" s="131" t="s">
        <v>51</v>
      </c>
      <c r="M25" s="132">
        <f t="shared" si="0"/>
        <v>-1348.5120000000002</v>
      </c>
      <c r="N25" s="133" t="str">
        <f>VLOOKUP(C25,'Trips&amp;Operators'!$C$1:$G$99911,5,FALSE)</f>
        <v>MACDONALD THOMAS</v>
      </c>
      <c r="O25" s="176" t="s">
        <v>178</v>
      </c>
      <c r="P25" s="134"/>
      <c r="Q25" s="30"/>
      <c r="R25" s="81" t="str">
        <f>VLOOKUP(C25,'Train Runs'!$A$13:$AE$10140,31,0)</f>
        <v>aws s3 cp s3://rtdc.mdm.uploadarchive.raw/RTDC4001/ "%USERPROFILE%\AppData\Local\Temp\OnboardLogs"\RTDC4001\2017-11-13 --exclude "*" --recursive --include "*20171113*" &amp; "%USERPROFILE%\Documents\GitHub\mrs-test-scripts\Headless Mode &amp; Sideloading\WalkAndUnGZ.bat" "%USERPROFILE%\AppData\Local\Temp\OnboardLogs"\RTDC4001\2017-11-13 &amp; aws s3 cp s3://rtdc.mdm.uploadarchive.raw/RTDC4001/ "%USERPROFILE%\AppData\Local\Temp\OnboardLogs"\RTDC4001\2017-11-14 --exclude "*" --recursive --include "*20171114*" &amp; "%USERPROFILE%\Documents\GitHub\mrs-test-scripts\Headless Mode &amp; Sideloading\WalkAndUnGZ.bat" "%USERPROFILE%\AppData\Local\Temp\OnboardLogs"\RTDC4001\2017-11-14</v>
      </c>
      <c r="S25" s="84" t="str">
        <f>VLOOKUP(C25,'Train Runs'!$A$13:$AE$10140,22,0)</f>
        <v>https://d0f6bd738d7f1b3e5a7ca70fe4ff75f0.us-east-1.aws.found.io/app/kibana#/discover/Steve-Slow-Train-Analysis-(2080s-and-2083s)?_g=(refreshInterval:(display:Off,pause:!f,section:0,value:0),time:(from:'2017-11-13T03:59:52-0700',mode:absolute,to:'2017-11-13T06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6" t="str">
        <f t="shared" si="1"/>
        <v>"C:\Program Files (x86)\AstroGrep\AstroGrep.exe" /e /r /s /spath="%USERPROFILE%\AppData\Local\Temp\OnboardLogs" /stypes="*4001*201711131*"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4001</v>
      </c>
      <c r="V25" s="31">
        <f t="shared" si="3"/>
        <v>43052.50944444444</v>
      </c>
      <c r="W25" s="45" t="str">
        <f t="shared" si="4"/>
        <v>NW</v>
      </c>
      <c r="X25" s="22">
        <f t="shared" si="5"/>
        <v>800</v>
      </c>
      <c r="Y25" s="96" t="str">
        <f t="shared" si="6"/>
        <v>echo {"issue":{"subject":"","project_id":79,"tracker_id":40,"status_id":1,"priority_id":2,"assigned_to_id":338,"start_date":"2017-11-13","description":"","custom_fields":[{"id":1,"name":"Subdivision","value":"NW"},{"id":4,"name":"Milepost","value":"5.905"},{"id":17,"name":"Train ID","value":"800-13"},{"id":16,"name":"Locomotive ID","value":"4001"},{"id":130,"name":"Impact","value":""},{"id":150,"name":"Time of Event (Mountain Time)","value":"05:13:36"},{"id":151,"name":"Denver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/c/Users/stu/AppData/Local/Temp/OnboardLogs/RTDC4001 --include="*4001*201711131*"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"%USERPROFILE%\AppData\Local\Temp\OnboardLogs"\RTDC4001\*4001*201711131* &gt;&gt; 2017-11-13-SliceDisagreementCheck.txt</v>
      </c>
      <c r="AE25" s="145" t="str">
        <f t="shared" si="9"/>
        <v>start /low /b %USERPROFILE%\Documents\GitHub\eaglep3\Utilities\DownloadLogsFromS3.py --loco 4001 --day 2017-11-13</v>
      </c>
      <c r="AF25" s="1"/>
    </row>
    <row r="26" spans="1:32" x14ac:dyDescent="0.25">
      <c r="A26" s="31">
        <v>43052.411585648151</v>
      </c>
      <c r="B26" s="30" t="s">
        <v>368</v>
      </c>
      <c r="C26" s="30" t="s">
        <v>638</v>
      </c>
      <c r="D26" s="30" t="s">
        <v>49</v>
      </c>
      <c r="E26" s="30" t="s">
        <v>355</v>
      </c>
      <c r="F26" s="42">
        <v>0</v>
      </c>
      <c r="G26" s="42">
        <v>112</v>
      </c>
      <c r="H26" s="42">
        <v>4870</v>
      </c>
      <c r="I26" s="42">
        <v>4697</v>
      </c>
      <c r="J26" s="30" t="s">
        <v>356</v>
      </c>
      <c r="K26" s="42">
        <v>4798</v>
      </c>
      <c r="L26" s="131" t="s">
        <v>51</v>
      </c>
      <c r="M26" s="132">
        <f t="shared" si="0"/>
        <v>-53.328000000000003</v>
      </c>
      <c r="N26" s="133" t="str">
        <f>VLOOKUP(C26,'Trips&amp;Operators'!$C$1:$G$99911,5,FALSE)</f>
        <v>YANAI IAN</v>
      </c>
      <c r="O26" s="176" t="s">
        <v>349</v>
      </c>
      <c r="P26" s="134" t="s">
        <v>1108</v>
      </c>
      <c r="Q26" s="30"/>
      <c r="R26" s="81" t="str">
        <f>VLOOKUP(C26,'Train Runs'!$A$13:$AE$10140,31,0)</f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S26" s="84" t="str">
        <f>VLOOKUP(C26,'Train Runs'!$A$13:$AE$10140,22,0)</f>
        <v>https://d0f6bd738d7f1b3e5a7ca70fe4ff75f0.us-east-1.aws.found.io/app/kibana#/discover/Steve-Slow-Train-Analysis-(2080s-and-2083s)?_g=(refreshInterval:(display:Off,pause:!f,section:0,value:0),time:(from:'2017-11-13T08:23:57-0700',mode:absolute,to:'2017-11-13T10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6" s="86" t="str">
        <f t="shared" si="1"/>
        <v>"C:\Program Files (x86)\AstroGrep\AstroGrep.exe" /e /r /s /spath="%USERPROFILE%\AppData\Local\Temp\OnboardLogs" /stypes="*4035*201711131*"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4035</v>
      </c>
      <c r="V26" s="31">
        <f t="shared" si="3"/>
        <v>43052.703252314815</v>
      </c>
      <c r="W26" s="45" t="str">
        <f t="shared" si="4"/>
        <v>NW</v>
      </c>
      <c r="X26" s="22">
        <f t="shared" si="5"/>
        <v>814</v>
      </c>
      <c r="Y26" s="96" t="str">
        <f t="shared" si="6"/>
        <v>echo {"issue":{"subject":"Poor GPS under Wewatta","project_id":79,"tracker_id":40,"status_id":1,"priority_id":2,"assigned_to_id":338,"start_date":"2017-11-13","description":"","custom_fields":[{"id":1,"name":"Subdivision","value":"NW"},{"id":4,"name":"Milepost","value":"0.4798"},{"id":17,"name":"Train ID","value":"814-13"},{"id":16,"name":"Locomotive ID","value":"4035"},{"id":130,"name":"Impact","value":""},{"id":150,"name":"Time of Event (Mountain Time)","value":"09:52:41"},{"id":151,"name":"Denver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/c/Users/stu/AppData/Local/Temp/OnboardLogs/RTDC4035 --include="*4035*201711131*"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"%USERPROFILE%\AppData\Local\Temp\OnboardLogs"\RTDC4035\*4035*201711131* &gt;&gt; 2017-11-13-SliceDisagreementCheck.txt</v>
      </c>
      <c r="AE26" s="145" t="str">
        <f t="shared" si="9"/>
        <v>start /low /b %USERPROFILE%\Documents\GitHub\eaglep3\Utilities\DownloadLogsFromS3.py --loco 4035 --day 2017-11-13</v>
      </c>
      <c r="AF26" s="1"/>
    </row>
    <row r="27" spans="1:32" x14ac:dyDescent="0.25">
      <c r="A27" s="31">
        <v>43052.494942129626</v>
      </c>
      <c r="B27" s="30" t="s">
        <v>368</v>
      </c>
      <c r="C27" s="30" t="s">
        <v>642</v>
      </c>
      <c r="D27" s="30" t="s">
        <v>49</v>
      </c>
      <c r="E27" s="30" t="s">
        <v>643</v>
      </c>
      <c r="F27" s="42">
        <v>100</v>
      </c>
      <c r="G27" s="42">
        <v>150</v>
      </c>
      <c r="H27" s="42">
        <v>5142</v>
      </c>
      <c r="I27" s="42">
        <v>5004</v>
      </c>
      <c r="J27" s="30" t="s">
        <v>184</v>
      </c>
      <c r="K27" s="42">
        <v>4701</v>
      </c>
      <c r="L27" s="131" t="s">
        <v>51</v>
      </c>
      <c r="M27" s="132">
        <f t="shared" si="0"/>
        <v>159.98400000000001</v>
      </c>
      <c r="N27" s="133" t="str">
        <f>VLOOKUP(C27,'Trips&amp;Operators'!$C$1:$G$99911,5,FALSE)</f>
        <v>YANAI IAN</v>
      </c>
      <c r="O27" s="176" t="s">
        <v>178</v>
      </c>
      <c r="P27" s="134"/>
      <c r="Q27" s="30"/>
      <c r="R27" s="81" t="str">
        <f>VLOOKUP(C27,'Train Runs'!$A$13:$AE$10140,31,0)</f>
        <v>aws s3 cp s3://rtdc.mdm.uploadarchive.raw/RTDC4035/ "%USERPROFILE%\AppData\Local\Temp\OnboardLogs"\RTDC4035\2017-11-13 --exclude "*" --recursive --include "*20171113*" &amp; "%USERPROFILE%\Documents\GitHub\mrs-test-scripts\Headless Mode &amp; Sideloading\WalkAndUnGZ.bat" "%USERPROFILE%\AppData\Local\Temp\OnboardLogs"\RTDC4035\2017-11-13 &amp; aws s3 cp s3://rtdc.mdm.uploadarchive.raw/RTDC4035/ "%USERPROFILE%\AppData\Local\Temp\OnboardLogs"\RTDC4035\2017-11-14 --exclude "*" --recursive --include "*20171114*" &amp; "%USERPROFILE%\Documents\GitHub\mrs-test-scripts\Headless Mode &amp; Sideloading\WalkAndUnGZ.bat" "%USERPROFILE%\AppData\Local\Temp\OnboardLogs"\RTDC4035\2017-11-14</v>
      </c>
      <c r="S27" s="84" t="str">
        <f>VLOOKUP(C27,'Train Runs'!$A$13:$AE$10140,22,0)</f>
        <v>https://d0f6bd738d7f1b3e5a7ca70fe4ff75f0.us-east-1.aws.found.io/app/kibana#/discover/Steve-Slow-Train-Analysis-(2080s-and-2083s)?_g=(refreshInterval:(display:Off,pause:!f,section:0,value:0),time:(from:'2017-11-13T10:23:53-0700',mode:absolute,to:'2017-11-13T12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7" s="86" t="str">
        <f t="shared" si="1"/>
        <v>"C:\Program Files (x86)\AstroGrep\AstroGrep.exe" /e /r /s /spath="%USERPROFILE%\AppData\Local\Temp\OnboardLogs" /stypes="*4035*201711131*"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4035</v>
      </c>
      <c r="V27" s="31">
        <f t="shared" si="3"/>
        <v>43052.78660879629</v>
      </c>
      <c r="W27" s="45" t="str">
        <f t="shared" si="4"/>
        <v>NW</v>
      </c>
      <c r="X27" s="22">
        <f t="shared" si="5"/>
        <v>818</v>
      </c>
      <c r="Y27" s="96" t="str">
        <f t="shared" si="6"/>
        <v>echo {"issue":{"subject":"","project_id":79,"tracker_id":40,"status_id":1,"priority_id":2,"assigned_to_id":338,"start_date":"2017-11-13","description":"","custom_fields":[{"id":1,"name":"Subdivision","value":"NW"},{"id":4,"name":"Milepost","value":"0.4701"},{"id":17,"name":"Train ID","value":"818-13"},{"id":16,"name":"Locomotive ID","value":"4035"},{"id":130,"name":"Impact","value":""},{"id":150,"name":"Time of Event (Mountain Time)","value":"11:52:43"},{"id":151,"name":"Denver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/c/Users/stu/AppData/Local/Temp/OnboardLogs/RTDC4035 --include="*4035*201711131*"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"%USERPROFILE%\AppData\Local\Temp\OnboardLogs"\RTDC4035\*4035*201711131* &gt;&gt; 2017-11-13-SliceDisagreementCheck.txt</v>
      </c>
      <c r="AE27" s="145" t="str">
        <f t="shared" si="9"/>
        <v>start /low /b %USERPROFILE%\Documents\GitHub\eaglep3\Utilities\DownloadLogsFromS3.py --loco 4035 --day 2017-11-13</v>
      </c>
      <c r="AF27" s="1"/>
    </row>
    <row r="28" spans="1:32" x14ac:dyDescent="0.25">
      <c r="A28" s="31">
        <v>43052.127500000002</v>
      </c>
      <c r="B28" s="30" t="s">
        <v>489</v>
      </c>
      <c r="C28" s="30" t="s">
        <v>625</v>
      </c>
      <c r="D28" s="30" t="s">
        <v>49</v>
      </c>
      <c r="E28" s="30" t="s">
        <v>355</v>
      </c>
      <c r="F28" s="42">
        <v>0</v>
      </c>
      <c r="G28" s="42">
        <v>51</v>
      </c>
      <c r="H28" s="42">
        <v>4800</v>
      </c>
      <c r="I28" s="42">
        <v>4733</v>
      </c>
      <c r="J28" s="30" t="s">
        <v>356</v>
      </c>
      <c r="K28" s="42">
        <v>4798</v>
      </c>
      <c r="L28" s="131" t="s">
        <v>51</v>
      </c>
      <c r="M28" s="132">
        <f t="shared" si="0"/>
        <v>-34.32</v>
      </c>
      <c r="N28" s="133" t="str">
        <f>VLOOKUP(C28,'Trips&amp;Operators'!$C$1:$G$99911,5,FALSE)</f>
        <v>THOMPSON LESTER</v>
      </c>
      <c r="O28" s="176" t="s">
        <v>178</v>
      </c>
      <c r="P28" s="134"/>
      <c r="Q28" s="30"/>
      <c r="R28" s="81" t="e">
        <f>VLOOKUP(C28,'Train Runs'!$A$13:$AE$10140,31,0)</f>
        <v>#N/A</v>
      </c>
      <c r="S28" s="84" t="e">
        <f>VLOOKUP(C28,'Train Runs'!$A$13:$AE$10140,22,0)</f>
        <v>#N/A</v>
      </c>
      <c r="T28" s="86" t="str">
        <f t="shared" si="1"/>
        <v>"C:\Program Files (x86)\AstroGrep\AstroGrep.exe" /e /r /s /spath="%USERPROFILE%\AppData\Local\Temp\OnboardLogs" /stypes="*4023*201711131*" /stext=" 10:.+((SYSTEM_STATE.+slice.+state.+changed )|(ment ac)|(multiple cpu faults)|(system.+state.+changed )|(\[timeout)|(PRM\|1\|D)|(kpr)|(kdp)|(train st.+moving)|(\|lc)|(penalty))"</v>
      </c>
      <c r="U28" s="9" t="str">
        <f t="shared" si="2"/>
        <v>4023</v>
      </c>
      <c r="V28" s="31">
        <f t="shared" si="3"/>
        <v>43052.419166666667</v>
      </c>
      <c r="W28" s="45" t="str">
        <f t="shared" si="4"/>
        <v>Other</v>
      </c>
      <c r="X28" s="22">
        <f t="shared" si="5"/>
        <v>300</v>
      </c>
      <c r="Y28" s="96" t="str">
        <f t="shared" si="6"/>
        <v>echo {"issue":{"subject":"","project_id":79,"tracker_id":40,"status_id":1,"priority_id":2,"assigned_to_id":338,"start_date":"2017-11-13","description":"","custom_fields":[{"id":1,"name":"Subdivision","value":"Other"},{"id":4,"name":"Milepost","value":"0.4798"},{"id":17,"name":"Train ID","value":"300-13"},{"id":16,"name":"Locomotive ID","value":"4023"},{"id":130,"name":"Impact","value":""},{"id":150,"name":"Time of Event (Mountain Time)","value":"03:03:36"},{"id":151,"name":"Denver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/c/Users/stu/AppData/Local/Temp/OnboardLogs/RTDC4023 --include="*4023*201711131*"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"%USERPROFILE%\AppData\Local\Temp\OnboardLogs"\RTDC4023\*4023*201711131* &gt;&gt; 2017-11-13-SliceDisagreementCheck.txt</v>
      </c>
      <c r="AE28" s="145" t="str">
        <f t="shared" si="9"/>
        <v>start /low /b %USERPROFILE%\Documents\GitHub\eaglep3\Utilities\DownloadLogsFromS3.py --loco 4023 --day 2017-11-13</v>
      </c>
      <c r="AF28" s="1"/>
    </row>
    <row r="29" spans="1:32" x14ac:dyDescent="0.25">
      <c r="A29" s="31">
        <v>43052.136643518519</v>
      </c>
      <c r="B29" s="30" t="s">
        <v>488</v>
      </c>
      <c r="C29" s="30" t="s">
        <v>626</v>
      </c>
      <c r="D29" s="30" t="s">
        <v>49</v>
      </c>
      <c r="E29" s="30" t="s">
        <v>355</v>
      </c>
      <c r="F29" s="42">
        <v>0</v>
      </c>
      <c r="G29" s="42">
        <v>123</v>
      </c>
      <c r="H29" s="42">
        <v>22227</v>
      </c>
      <c r="I29" s="42">
        <v>22620</v>
      </c>
      <c r="J29" s="30" t="s">
        <v>356</v>
      </c>
      <c r="K29" s="42">
        <v>22314</v>
      </c>
      <c r="L29" s="131" t="s">
        <v>50</v>
      </c>
      <c r="M29" s="132">
        <f t="shared" si="0"/>
        <v>-161.56800000000001</v>
      </c>
      <c r="N29" s="133" t="str">
        <f>VLOOKUP(C29,'Trips&amp;Operators'!$C$1:$G$99911,5,FALSE)</f>
        <v>ROCHA YAOTL</v>
      </c>
      <c r="O29" s="176" t="s">
        <v>178</v>
      </c>
      <c r="P29" s="134"/>
      <c r="Q29" s="30"/>
      <c r="R29" s="81" t="str">
        <f>VLOOKUP(C29,'Train Runs'!$A$13:$AE$10140,31,0)</f>
        <v>aws s3 cp s3://rtdc.mdm.uploadarchive.raw/RTDC4004/ "%USERPROFILE%\AppData\Local\Temp\OnboardLogs"\RTDC4004\2017-11-13 --exclude "*" --recursive --include "*20171113*" &amp; "%USERPROFILE%\Documents\GitHub\mrs-test-scripts\Headless Mode &amp; Sideloading\WalkAndUnGZ.bat" "%USERPROFILE%\AppData\Local\Temp\OnboardLogs"\RTDC4004\2017-11-13 &amp; aws s3 cp s3://rtdc.mdm.uploadarchive.raw/RTDC4004/ "%USERPROFILE%\AppData\Local\Temp\OnboardLogs"\RTDC4004\2017-11-14 --exclude "*" --recursive --include "*20171114*" &amp; "%USERPROFILE%\Documents\GitHub\mrs-test-scripts\Headless Mode &amp; Sideloading\WalkAndUnGZ.bat" "%USERPROFILE%\AppData\Local\Temp\OnboardLogs"\RTDC4004\2017-11-14</v>
      </c>
      <c r="S29" s="84" t="str">
        <f>VLOOKUP(C29,'Train Runs'!$A$13:$AE$10140,22,0)</f>
        <v>https://d0f6bd738d7f1b3e5a7ca70fe4ff75f0.us-east-1.aws.found.io/app/kibana#/discover/Steve-Slow-Train-Analysis-(2080s-and-2083s)?_g=(refreshInterval:(display:Off,pause:!f,section:0,value:0),time:(from:'2017-11-13T01:54:06-0700',mode:absolute,to:'2017-11-13T04:16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86" t="str">
        <f t="shared" si="1"/>
        <v>"C:\Program Files (x86)\AstroGrep\AstroGrep.exe" /e /r /s /spath="%USERPROFILE%\AppData\Local\Temp\OnboardLogs" /stypes="*4004*201711131*" /stext=" 10:.+((SYSTEM_STATE.+slice.+state.+changed )|(ment ac)|(multiple cpu faults)|(system.+state.+changed )|(\[timeout)|(PRM\|1\|D)|(kpr)|(kdp)|(train st.+moving)|(\|lc)|(penalty))"</v>
      </c>
      <c r="U29" s="9" t="str">
        <f t="shared" si="2"/>
        <v>4004</v>
      </c>
      <c r="V29" s="31">
        <f t="shared" si="3"/>
        <v>43052.428310185183</v>
      </c>
      <c r="W29" s="45" t="str">
        <f t="shared" si="4"/>
        <v>Shuttle/Test</v>
      </c>
      <c r="X29" s="22">
        <f t="shared" si="5"/>
        <v>50</v>
      </c>
      <c r="Y29" s="96" t="str">
        <f t="shared" si="6"/>
        <v>echo {"issue":{"subject":"","project_id":79,"tracker_id":40,"status_id":1,"priority_id":2,"assigned_to_id":338,"start_date":"2017-11-13","description":"","custom_fields":[{"id":1,"name":"Subdivision","value":"Shuttle/Test"},{"id":4,"name":"Milepost","value":"2.2314"},{"id":17,"name":"Train ID","value":"50-13"},{"id":16,"name":"Locomotive ID","value":"4004"},{"id":130,"name":"Impact","value":""},{"id":150,"name":"Time of Event (Mountain Time)","value":"03:16:46"},{"id":151,"name":"Denver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/c/Users/stu/AppData/Local/Temp/OnboardLogs/RTDC4004 --include="*4004*201711131*"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"%USERPROFILE%\AppData\Local\Temp\OnboardLogs"\RTDC4004\*4004*201711131* &gt;&gt; 2017-11-13-SliceDisagreementCheck.txt</v>
      </c>
      <c r="AE29" s="145" t="str">
        <f t="shared" si="9"/>
        <v>start /low /b %USERPROFILE%\Documents\GitHub\eaglep3\Utilities\DownloadLogsFromS3.py --loco 4004 --day 2017-11-13</v>
      </c>
      <c r="AF29" s="1"/>
    </row>
    <row r="30" spans="1:32" x14ac:dyDescent="0.25">
      <c r="A30" s="31">
        <v>43052.458344907405</v>
      </c>
      <c r="B30" s="30" t="s">
        <v>389</v>
      </c>
      <c r="C30" s="30" t="s">
        <v>641</v>
      </c>
      <c r="D30" s="30" t="s">
        <v>49</v>
      </c>
      <c r="E30" s="30" t="s">
        <v>470</v>
      </c>
      <c r="F30" s="42">
        <v>0</v>
      </c>
      <c r="G30" s="42">
        <v>111</v>
      </c>
      <c r="H30" s="42">
        <v>1443</v>
      </c>
      <c r="I30" s="42">
        <v>1337</v>
      </c>
      <c r="J30" s="30" t="s">
        <v>471</v>
      </c>
      <c r="K30" s="42">
        <v>826</v>
      </c>
      <c r="L30" s="131" t="s">
        <v>51</v>
      </c>
      <c r="M30" s="132">
        <f t="shared" si="0"/>
        <v>269.80799999999999</v>
      </c>
      <c r="N30" s="133" t="str">
        <f>VLOOKUP(C30,'Trips&amp;Operators'!$C$1:$G$99911,5,FALSE)</f>
        <v>ROBINSON KADDIBA</v>
      </c>
      <c r="O30" s="176" t="s">
        <v>178</v>
      </c>
      <c r="P30" s="134"/>
      <c r="Q30" s="30"/>
      <c r="R30" s="81" t="str">
        <f>VLOOKUP(C30,'Train Runs'!$A$13:$AE$10140,31,0)</f>
        <v>aws s3 cp s3://rtdc.mdm.uploadarchive.raw/RTDC4029/ "%USERPROFILE%\AppData\Local\Temp\OnboardLogs"\RTDC4029\2017-11-13 --exclude "*" --recursive --include "*20171113*" &amp; "%USERPROFILE%\Documents\GitHub\mrs-test-scripts\Headless Mode &amp; Sideloading\WalkAndUnGZ.bat" "%USERPROFILE%\AppData\Local\Temp\OnboardLogs"\RTDC4029\2017-11-13 &amp; aws s3 cp s3://rtdc.mdm.uploadarchive.raw/RTDC4029/ "%USERPROFILE%\AppData\Local\Temp\OnboardLogs"\RTDC4029\2017-11-14 --exclude "*" --recursive --include "*20171114*" &amp; "%USERPROFILE%\Documents\GitHub\mrs-test-scripts\Headless Mode &amp; Sideloading\WalkAndUnGZ.bat" "%USERPROFILE%\AppData\Local\Temp\OnboardLogs"\RTDC4029\2017-11-14</v>
      </c>
      <c r="S30" s="84" t="str">
        <f>VLOOKUP(C30,'Train Runs'!$A$13:$AE$10140,22,0)</f>
        <v>https://d0f6bd738d7f1b3e5a7ca70fe4ff75f0.us-east-1.aws.found.io/app/kibana#/discover/Steve-Slow-Train-Analysis-(2080s-and-2083s)?_g=(refreshInterval:(display:Off,pause:!f,section:0,value:0),time:(from:'2017-11-13T09:49:20-0700',mode:absolute,to:'2017-11-13T12:01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6" t="str">
        <f t="shared" si="1"/>
        <v>"C:\Program Files (x86)\AstroGrep\AstroGrep.exe" /e /r /s /spath="%USERPROFILE%\AppData\Local\Temp\OnboardLogs" /stypes="*4029*201711131*"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4029</v>
      </c>
      <c r="V30" s="31">
        <f t="shared" si="3"/>
        <v>43052.75001157407</v>
      </c>
      <c r="W30" s="45" t="str">
        <f t="shared" si="4"/>
        <v>Shuttle/Test</v>
      </c>
      <c r="X30" s="22">
        <f t="shared" si="5"/>
        <v>56</v>
      </c>
      <c r="Y30" s="96" t="str">
        <f t="shared" si="6"/>
        <v>echo {"issue":{"subject":"","project_id":79,"tracker_id":40,"status_id":1,"priority_id":2,"assigned_to_id":338,"start_date":"2017-11-13","description":"","custom_fields":[{"id":1,"name":"Subdivision","value":"Shuttle/Test"},{"id":4,"name":"Milepost","value":"0.0826"},{"id":17,"name":"Train ID","value":"56-13"},{"id":16,"name":"Locomotive ID","value":"4029"},{"id":130,"name":"Impact","value":""},{"id":150,"name":"Time of Event (Mountain Time)","value":"11:00:01"},{"id":151,"name":"Denver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/c/Users/stu/AppData/Local/Temp/OnboardLogs/RTDC4029 --include="*4029*201711131*"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"%USERPROFILE%\AppData\Local\Temp\OnboardLogs"\RTDC4029\*4029*201711131* &gt;&gt; 2017-11-13-SliceDisagreementCheck.txt</v>
      </c>
      <c r="AE30" s="145" t="str">
        <f t="shared" si="9"/>
        <v>start /low /b %USERPROFILE%\Documents\GitHub\eaglep3\Utilities\DownloadLogsFromS3.py --loco 4029 --day 2017-11-13</v>
      </c>
      <c r="AF30" s="1"/>
    </row>
  </sheetData>
  <autoFilter ref="A6:AC20">
    <sortState ref="A7:AC30">
      <sortCondition ref="W7:W30"/>
      <sortCondition ref="E7:E30"/>
      <sortCondition ref="K7:K30"/>
      <sortCondition ref="F7:F30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4" sqref="E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2017-11-13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139</v>
      </c>
      <c r="B3" s="42" t="str">
        <f>A3&amp;"-"&amp;IF(DAY(Variables!$A$2)&lt;10,0,"")&amp;DAY(Variables!$A$2)</f>
        <v>139-13</v>
      </c>
      <c r="C3" s="135"/>
      <c r="D3" s="225" t="e">
        <f>VLOOKUP(B3,'Trips&amp;Operators'!$C$1:$H$1072,6,FALSE)</f>
        <v>#N/A</v>
      </c>
      <c r="E3" s="30" t="s">
        <v>1112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22139-13%22)),sort:!(Time.ISO8601,asc))</v>
      </c>
      <c r="J3" s="30" t="e">
        <f>VLOOKUP(B3,'Train Runs'!$A$13:$A$100137,1,FALSE)</f>
        <v>#N/A</v>
      </c>
    </row>
    <row r="4" spans="1:10" x14ac:dyDescent="0.25">
      <c r="A4" s="198">
        <v>140</v>
      </c>
      <c r="B4" s="42" t="str">
        <f>A4&amp;"-"&amp;IF(DAY(Variables!$A$2)&lt;10,0,"")&amp;DAY(Variables!$A$2)</f>
        <v>140-13</v>
      </c>
      <c r="C4" s="135"/>
      <c r="D4" s="153" t="e">
        <f>VLOOKUP(B4,'Trips&amp;Operators'!$C$1:$H$1072,6,FALSE)</f>
        <v>#N/A</v>
      </c>
      <c r="E4" s="30" t="s">
        <v>1112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22140-13%22)),sort:!(Time.ISO8601,asc))</v>
      </c>
      <c r="J4" s="30" t="e">
        <f>VLOOKUP(B4,'Train Runs'!$A$13:$A$100137,1,FALSE)</f>
        <v>#N/A</v>
      </c>
    </row>
    <row r="5" spans="1:10" x14ac:dyDescent="0.25">
      <c r="A5" s="198"/>
      <c r="B5" s="42" t="str">
        <f>A5&amp;"-"&amp;IF(DAY(Variables!$A$2)&lt;10,0,"")&amp;DAY(Variables!$A$2)</f>
        <v>-13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Runs'!$A$13:$A$100137,1,FALSE)</f>
        <v>#N/A</v>
      </c>
    </row>
    <row r="6" spans="1:10" x14ac:dyDescent="0.25">
      <c r="A6" s="198"/>
      <c r="B6" s="42" t="str">
        <f>A6&amp;"-"&amp;IF(DAY(Variables!$A$2)&lt;10,0,"")&amp;DAY(Variables!$A$2)</f>
        <v>-13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Runs'!$A$13:$A$100137,1,FALSE)</f>
        <v>#N/A</v>
      </c>
    </row>
    <row r="7" spans="1:10" x14ac:dyDescent="0.25">
      <c r="A7" s="198"/>
      <c r="B7" s="42" t="str">
        <f>A7&amp;"-"&amp;IF(DAY(Variables!$A$2)&lt;10,0,"")&amp;DAY(Variables!$A$2)</f>
        <v>-13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Runs'!$A$13:$A$100137,1,FALSE)</f>
        <v>#N/A</v>
      </c>
    </row>
    <row r="8" spans="1:10" x14ac:dyDescent="0.25">
      <c r="A8" s="198"/>
      <c r="B8" s="42" t="str">
        <f>A8&amp;"-"&amp;IF(DAY(Variables!$A$2)&lt;10,0,"")&amp;DAY(Variables!$A$2)</f>
        <v>-13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Runs'!$A$13:$A$100137,1,FALSE)</f>
        <v>#N/A</v>
      </c>
    </row>
    <row r="9" spans="1:10" x14ac:dyDescent="0.25">
      <c r="A9" s="198"/>
      <c r="B9" s="42" t="str">
        <f>A9&amp;"-"&amp;IF(DAY(Variables!$A$2)&lt;10,0,"")&amp;DAY(Variables!$A$2)</f>
        <v>-13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Runs'!$A$13:$A$100137,1,FALSE)</f>
        <v>#N/A</v>
      </c>
    </row>
    <row r="10" spans="1:10" x14ac:dyDescent="0.25">
      <c r="A10" s="198"/>
      <c r="B10" s="42" t="str">
        <f>A10&amp;"-"&amp;IF(DAY(Variables!$A$2)&lt;10,0,"")&amp;DAY(Variables!$A$2)</f>
        <v>-13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Runs'!$A$13:$A$100137,1,FALSE)</f>
        <v>#N/A</v>
      </c>
    </row>
    <row r="11" spans="1:10" x14ac:dyDescent="0.25">
      <c r="A11" s="198"/>
      <c r="B11" s="42" t="str">
        <f>A11&amp;"-"&amp;IF(DAY(Variables!$A$2)&lt;10,0,"")&amp;DAY(Variables!$A$2)</f>
        <v>-13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Runs'!$A$13:$A$100137,1,FALSE)</f>
        <v>#N/A</v>
      </c>
    </row>
    <row r="12" spans="1:10" x14ac:dyDescent="0.25">
      <c r="A12" s="198"/>
      <c r="B12" s="42" t="str">
        <f>A12&amp;"-"&amp;IF(DAY(Variables!$A$2)&lt;10,0,"")&amp;DAY(Variables!$A$2)</f>
        <v>-13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Runs'!$A$13:$A$100137,1,FALSE)</f>
        <v>#N/A</v>
      </c>
    </row>
    <row r="13" spans="1:10" x14ac:dyDescent="0.25">
      <c r="A13" s="198"/>
      <c r="B13" s="42" t="str">
        <f>A13&amp;"-"&amp;IF(DAY(Variables!$A$2)&lt;10,0,"")&amp;DAY(Variables!$A$2)</f>
        <v>-13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Runs'!$A$13:$A$100137,1,FALSE)</f>
        <v>#N/A</v>
      </c>
    </row>
    <row r="14" spans="1:10" x14ac:dyDescent="0.25">
      <c r="A14" s="198"/>
      <c r="B14" s="42" t="str">
        <f>A14&amp;"-"&amp;IF(DAY(Variables!$A$2)&lt;10,0,"")&amp;DAY(Variables!$A$2)</f>
        <v>-13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Runs'!$A$13:$A$100137,1,FALSE)</f>
        <v>#N/A</v>
      </c>
    </row>
    <row r="15" spans="1:10" x14ac:dyDescent="0.25">
      <c r="A15" s="198"/>
      <c r="B15" s="42" t="str">
        <f>A15&amp;"-"&amp;IF(DAY(Variables!$A$2)&lt;10,0,"")&amp;DAY(Variables!$A$2)</f>
        <v>-13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Runs'!$A$13:$A$100137,1,FALSE)</f>
        <v>#N/A</v>
      </c>
    </row>
    <row r="16" spans="1:10" x14ac:dyDescent="0.25">
      <c r="A16" s="198"/>
      <c r="B16" s="42" t="str">
        <f>A16&amp;"-"&amp;IF(DAY(Variables!$A$2)&lt;10,0,"")&amp;DAY(Variables!$A$2)</f>
        <v>-13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Runs'!$A$13:$A$100137,1,FALSE)</f>
        <v>#N/A</v>
      </c>
    </row>
    <row r="17" spans="1:10" x14ac:dyDescent="0.25">
      <c r="A17" s="198"/>
      <c r="B17" s="42" t="str">
        <f>A17&amp;"-"&amp;IF(DAY(Variables!$A$2)&lt;10,0,"")&amp;DAY(Variables!$A$2)</f>
        <v>-13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Runs'!$A$13:$A$100137,1,FALSE)</f>
        <v>#N/A</v>
      </c>
    </row>
    <row r="18" spans="1:10" x14ac:dyDescent="0.25">
      <c r="A18" s="198"/>
      <c r="B18" s="42" t="str">
        <f>A18&amp;"-"&amp;IF(DAY(Variables!$A$2)&lt;10,0,"")&amp;DAY(Variables!$A$2)</f>
        <v>-13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Runs'!$A$13:$A$100137,1,FALSE)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43052.033402777779</v>
      </c>
      <c r="B2" s="20" t="s">
        <v>553</v>
      </c>
      <c r="C2" s="20" t="s">
        <v>554</v>
      </c>
      <c r="D2" s="138">
        <v>3340000</v>
      </c>
      <c r="E2" s="20" t="s">
        <v>555</v>
      </c>
      <c r="F2" s="20" t="s">
        <v>556</v>
      </c>
      <c r="G2" s="8" t="str">
        <f>E2&amp;" "&amp;F2</f>
        <v>ELBAUM MIKE</v>
      </c>
      <c r="H2" t="str">
        <f>MID(B2,13,4)</f>
        <v>4015</v>
      </c>
    </row>
    <row r="3" spans="1:8" x14ac:dyDescent="0.25">
      <c r="A3" s="8">
        <v>43052.050104166665</v>
      </c>
      <c r="B3" s="20" t="s">
        <v>473</v>
      </c>
      <c r="C3" s="20" t="s">
        <v>567</v>
      </c>
      <c r="D3" s="138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4042</v>
      </c>
    </row>
    <row r="4" spans="1:8" x14ac:dyDescent="0.25">
      <c r="A4" s="8">
        <v>43052.053043981483</v>
      </c>
      <c r="B4" s="20" t="s">
        <v>493</v>
      </c>
      <c r="C4" s="20" t="s">
        <v>568</v>
      </c>
      <c r="D4" s="138">
        <v>3220000</v>
      </c>
      <c r="E4" s="20" t="s">
        <v>380</v>
      </c>
      <c r="F4" s="20" t="s">
        <v>381</v>
      </c>
      <c r="G4" s="8" t="str">
        <f t="shared" si="0"/>
        <v>RESPASS AARON</v>
      </c>
      <c r="H4" s="20" t="str">
        <f t="shared" si="1"/>
        <v>4051</v>
      </c>
    </row>
    <row r="5" spans="1:8" x14ac:dyDescent="0.25">
      <c r="A5" s="8">
        <v>43052.11755787037</v>
      </c>
      <c r="B5" s="20" t="s">
        <v>489</v>
      </c>
      <c r="C5" s="20" t="s">
        <v>625</v>
      </c>
      <c r="D5" s="138">
        <v>3120000</v>
      </c>
      <c r="E5" s="20" t="s">
        <v>371</v>
      </c>
      <c r="F5" s="20" t="s">
        <v>492</v>
      </c>
      <c r="G5" s="8" t="str">
        <f t="shared" si="0"/>
        <v>THOMPSON LESTER</v>
      </c>
      <c r="H5" s="20" t="str">
        <f t="shared" si="1"/>
        <v>4023</v>
      </c>
    </row>
    <row r="6" spans="1:8" x14ac:dyDescent="0.25">
      <c r="A6" s="8">
        <v>43052.11824074074</v>
      </c>
      <c r="B6" s="20" t="s">
        <v>489</v>
      </c>
      <c r="C6" s="20" t="s">
        <v>625</v>
      </c>
      <c r="D6" s="138">
        <v>3120000</v>
      </c>
      <c r="E6" s="20" t="s">
        <v>371</v>
      </c>
      <c r="F6" s="20" t="s">
        <v>492</v>
      </c>
      <c r="G6" s="8" t="str">
        <f t="shared" si="0"/>
        <v>THOMPSON LESTER</v>
      </c>
      <c r="H6" s="20" t="str">
        <f t="shared" si="1"/>
        <v>4023</v>
      </c>
    </row>
    <row r="7" spans="1:8" x14ac:dyDescent="0.25">
      <c r="A7" s="8">
        <v>43052.121550925927</v>
      </c>
      <c r="B7" s="20" t="s">
        <v>488</v>
      </c>
      <c r="C7" s="20" t="s">
        <v>626</v>
      </c>
      <c r="D7" s="138">
        <v>900000</v>
      </c>
      <c r="E7" s="20" t="s">
        <v>656</v>
      </c>
      <c r="F7" s="20" t="s">
        <v>657</v>
      </c>
      <c r="G7" s="8" t="str">
        <f t="shared" si="0"/>
        <v>ROCHA YAOTL</v>
      </c>
      <c r="H7" s="20" t="str">
        <f t="shared" si="1"/>
        <v>4004</v>
      </c>
    </row>
    <row r="8" spans="1:8" x14ac:dyDescent="0.25">
      <c r="A8" s="8">
        <v>43052.133009259262</v>
      </c>
      <c r="B8" s="20" t="s">
        <v>487</v>
      </c>
      <c r="C8" s="20" t="s">
        <v>658</v>
      </c>
      <c r="D8" s="138">
        <v>1090000</v>
      </c>
      <c r="E8" s="20" t="s">
        <v>659</v>
      </c>
      <c r="F8" s="20" t="s">
        <v>353</v>
      </c>
      <c r="G8" s="8" t="str">
        <f t="shared" si="0"/>
        <v>SPECTOR MICHAEL</v>
      </c>
      <c r="H8" s="20" t="str">
        <f t="shared" si="1"/>
        <v>4024</v>
      </c>
    </row>
    <row r="9" spans="1:8" ht="15.75" thickBot="1" x14ac:dyDescent="0.3">
      <c r="A9" s="24">
        <v>43052.13449074074</v>
      </c>
      <c r="B9" s="20" t="s">
        <v>635</v>
      </c>
      <c r="C9" s="20" t="s">
        <v>660</v>
      </c>
      <c r="D9" s="138">
        <v>3120000</v>
      </c>
      <c r="E9" s="20" t="s">
        <v>371</v>
      </c>
      <c r="F9" s="20" t="s">
        <v>492</v>
      </c>
      <c r="G9" s="8" t="str">
        <f t="shared" si="0"/>
        <v>THOMPSON LESTER</v>
      </c>
      <c r="H9" s="20" t="str">
        <f t="shared" si="1"/>
        <v>4020</v>
      </c>
    </row>
    <row r="10" spans="1:8" x14ac:dyDescent="0.25">
      <c r="A10" s="8">
        <v>43052.140902777777</v>
      </c>
      <c r="B10" s="20" t="s">
        <v>489</v>
      </c>
      <c r="C10" s="20" t="s">
        <v>661</v>
      </c>
      <c r="D10" s="138">
        <v>1090000</v>
      </c>
      <c r="E10" s="20" t="s">
        <v>659</v>
      </c>
      <c r="F10" s="20" t="s">
        <v>353</v>
      </c>
      <c r="G10" s="8" t="str">
        <f t="shared" si="0"/>
        <v>SPECTOR MICHAEL</v>
      </c>
      <c r="H10" s="20" t="str">
        <f t="shared" si="1"/>
        <v>4023</v>
      </c>
    </row>
    <row r="11" spans="1:8" x14ac:dyDescent="0.25">
      <c r="A11" s="8">
        <v>43052.141099537039</v>
      </c>
      <c r="B11" s="20" t="s">
        <v>454</v>
      </c>
      <c r="C11" s="20" t="s">
        <v>662</v>
      </c>
      <c r="D11" s="138">
        <v>3700000</v>
      </c>
      <c r="E11" s="20" t="s">
        <v>464</v>
      </c>
      <c r="F11" s="20" t="s">
        <v>371</v>
      </c>
      <c r="G11" s="8" t="str">
        <f t="shared" si="0"/>
        <v>AUSTIN THOMPSON</v>
      </c>
      <c r="H11" s="20" t="str">
        <f t="shared" si="1"/>
        <v>4009</v>
      </c>
    </row>
    <row r="12" spans="1:8" x14ac:dyDescent="0.25">
      <c r="A12" s="8">
        <v>43052.151944444442</v>
      </c>
      <c r="B12" s="20" t="s">
        <v>455</v>
      </c>
      <c r="C12" s="20" t="s">
        <v>663</v>
      </c>
      <c r="D12" s="138">
        <v>3700000</v>
      </c>
      <c r="E12" s="20" t="s">
        <v>464</v>
      </c>
      <c r="F12" s="20" t="s">
        <v>371</v>
      </c>
      <c r="G12" s="8" t="str">
        <f t="shared" si="0"/>
        <v>AUSTIN THOMPSON</v>
      </c>
      <c r="H12" s="20" t="str">
        <f t="shared" si="1"/>
        <v>4010</v>
      </c>
    </row>
    <row r="13" spans="1:8" x14ac:dyDescent="0.25">
      <c r="A13" s="8">
        <v>43052.156712962962</v>
      </c>
      <c r="B13" s="20" t="s">
        <v>664</v>
      </c>
      <c r="C13" s="20" t="s">
        <v>665</v>
      </c>
      <c r="D13" s="138">
        <v>1830000</v>
      </c>
      <c r="E13" s="20" t="s">
        <v>347</v>
      </c>
      <c r="F13" s="20" t="s">
        <v>348</v>
      </c>
      <c r="G13" s="8" t="str">
        <f t="shared" si="0"/>
        <v>YORK EDGAR</v>
      </c>
      <c r="H13" s="20" t="str">
        <f t="shared" si="1"/>
        <v>4039</v>
      </c>
    </row>
    <row r="14" spans="1:8" x14ac:dyDescent="0.25">
      <c r="A14" s="8">
        <v>43052.164675925924</v>
      </c>
      <c r="B14" s="20" t="s">
        <v>631</v>
      </c>
      <c r="C14" s="20" t="s">
        <v>666</v>
      </c>
      <c r="D14" s="138">
        <v>1830000</v>
      </c>
      <c r="E14" s="20" t="s">
        <v>347</v>
      </c>
      <c r="F14" s="20" t="s">
        <v>348</v>
      </c>
      <c r="G14" s="8" t="str">
        <f t="shared" si="0"/>
        <v>YORK EDGAR</v>
      </c>
      <c r="H14" s="20" t="str">
        <f t="shared" si="1"/>
        <v>4040</v>
      </c>
    </row>
    <row r="15" spans="1:8" x14ac:dyDescent="0.25">
      <c r="A15" s="8">
        <v>43052.16646990741</v>
      </c>
      <c r="B15" s="20" t="s">
        <v>373</v>
      </c>
      <c r="C15" s="20" t="s">
        <v>667</v>
      </c>
      <c r="D15" s="138">
        <v>3510000</v>
      </c>
      <c r="E15" s="20" t="s">
        <v>668</v>
      </c>
      <c r="F15" s="20" t="s">
        <v>669</v>
      </c>
      <c r="G15" s="8" t="str">
        <f t="shared" si="0"/>
        <v>BARRON PERLA</v>
      </c>
      <c r="H15" s="20" t="str">
        <f t="shared" si="1"/>
        <v>4011</v>
      </c>
    </row>
    <row r="16" spans="1:8" x14ac:dyDescent="0.25">
      <c r="A16" s="8">
        <v>43052.1721875</v>
      </c>
      <c r="B16" s="20" t="s">
        <v>627</v>
      </c>
      <c r="C16" s="20" t="s">
        <v>628</v>
      </c>
      <c r="D16" s="138">
        <v>3120000</v>
      </c>
      <c r="E16" s="20" t="s">
        <v>371</v>
      </c>
      <c r="F16" s="20" t="s">
        <v>492</v>
      </c>
      <c r="G16" s="8" t="str">
        <f t="shared" si="0"/>
        <v>THOMPSON LESTER</v>
      </c>
      <c r="H16" s="20" t="str">
        <f t="shared" si="1"/>
        <v>4019</v>
      </c>
    </row>
    <row r="17" spans="1:8" x14ac:dyDescent="0.25">
      <c r="A17" s="8">
        <v>43052.178472222222</v>
      </c>
      <c r="B17" s="20" t="s">
        <v>372</v>
      </c>
      <c r="C17" s="20" t="s">
        <v>670</v>
      </c>
      <c r="D17" s="138">
        <v>3510000</v>
      </c>
      <c r="E17" s="20" t="s">
        <v>668</v>
      </c>
      <c r="F17" s="20" t="s">
        <v>669</v>
      </c>
      <c r="G17" s="8" t="str">
        <f t="shared" si="0"/>
        <v>BARRON PERLA</v>
      </c>
      <c r="H17" s="20" t="str">
        <f t="shared" si="1"/>
        <v>4012</v>
      </c>
    </row>
    <row r="18" spans="1:8" x14ac:dyDescent="0.25">
      <c r="A18" s="8">
        <v>43052.182476851849</v>
      </c>
      <c r="B18" s="20" t="s">
        <v>393</v>
      </c>
      <c r="C18" s="20" t="s">
        <v>671</v>
      </c>
      <c r="D18" s="138">
        <v>2010000</v>
      </c>
      <c r="E18" s="20" t="s">
        <v>557</v>
      </c>
      <c r="F18" s="20" t="s">
        <v>558</v>
      </c>
      <c r="G18" s="8" t="str">
        <f t="shared" si="0"/>
        <v>MAELZER KURT</v>
      </c>
      <c r="H18" s="20" t="str">
        <f t="shared" si="1"/>
        <v>4059</v>
      </c>
    </row>
    <row r="19" spans="1:8" x14ac:dyDescent="0.25">
      <c r="A19" s="8">
        <v>43052.192812499998</v>
      </c>
      <c r="B19" s="20" t="s">
        <v>454</v>
      </c>
      <c r="C19" s="20" t="s">
        <v>672</v>
      </c>
      <c r="D19" s="138">
        <v>3700000</v>
      </c>
      <c r="E19" s="20" t="s">
        <v>464</v>
      </c>
      <c r="F19" s="20" t="s">
        <v>371</v>
      </c>
      <c r="G19" s="8" t="str">
        <f t="shared" si="0"/>
        <v>AUSTIN THOMPSON</v>
      </c>
      <c r="H19" s="20" t="str">
        <f t="shared" si="1"/>
        <v>4009</v>
      </c>
    </row>
    <row r="20" spans="1:8" x14ac:dyDescent="0.25">
      <c r="A20" s="8">
        <v>43052.193541666667</v>
      </c>
      <c r="B20" s="20" t="s">
        <v>358</v>
      </c>
      <c r="C20" s="20" t="s">
        <v>673</v>
      </c>
      <c r="D20" s="138">
        <v>2010000</v>
      </c>
      <c r="E20" s="20" t="s">
        <v>557</v>
      </c>
      <c r="F20" s="20" t="s">
        <v>558</v>
      </c>
      <c r="G20" s="8" t="str">
        <f t="shared" si="0"/>
        <v>MAELZER KURT</v>
      </c>
      <c r="H20" s="20" t="str">
        <f t="shared" si="1"/>
        <v>4060</v>
      </c>
    </row>
    <row r="21" spans="1:8" x14ac:dyDescent="0.25">
      <c r="A21" s="8">
        <v>43052.195868055554</v>
      </c>
      <c r="B21" s="20" t="s">
        <v>639</v>
      </c>
      <c r="C21" s="20" t="s">
        <v>674</v>
      </c>
      <c r="D21" s="138">
        <v>2600000</v>
      </c>
      <c r="E21" s="20" t="s">
        <v>675</v>
      </c>
      <c r="F21" s="20" t="s">
        <v>566</v>
      </c>
      <c r="G21" s="8" t="str">
        <f t="shared" si="0"/>
        <v>DAVIDSON DAVID</v>
      </c>
      <c r="H21" s="20" t="str">
        <f t="shared" si="1"/>
        <v>4027</v>
      </c>
    </row>
    <row r="22" spans="1:8" x14ac:dyDescent="0.25">
      <c r="A22" s="26">
        <v>43052.199016203704</v>
      </c>
      <c r="B22" s="20" t="s">
        <v>474</v>
      </c>
      <c r="C22" s="20" t="s">
        <v>676</v>
      </c>
      <c r="D22" s="138">
        <v>2560000</v>
      </c>
      <c r="E22" s="20" t="s">
        <v>560</v>
      </c>
      <c r="F22" s="20" t="s">
        <v>561</v>
      </c>
      <c r="G22" s="8" t="str">
        <f t="shared" si="0"/>
        <v>MACDONALD THOMAS</v>
      </c>
      <c r="H22" s="20" t="str">
        <f t="shared" si="1"/>
        <v>4002</v>
      </c>
    </row>
    <row r="23" spans="1:8" x14ac:dyDescent="0.25">
      <c r="A23" s="8">
        <v>43052.202303240738</v>
      </c>
      <c r="B23" s="20" t="s">
        <v>664</v>
      </c>
      <c r="C23" s="20" t="s">
        <v>677</v>
      </c>
      <c r="D23" s="138">
        <v>1830000</v>
      </c>
      <c r="E23" s="20" t="s">
        <v>347</v>
      </c>
      <c r="F23" s="20" t="s">
        <v>348</v>
      </c>
      <c r="G23" s="8" t="str">
        <f t="shared" si="0"/>
        <v>YORK EDGAR</v>
      </c>
      <c r="H23" s="20" t="str">
        <f t="shared" si="1"/>
        <v>4039</v>
      </c>
    </row>
    <row r="24" spans="1:8" x14ac:dyDescent="0.25">
      <c r="A24" s="8">
        <v>43052.206041666665</v>
      </c>
      <c r="B24" s="20" t="s">
        <v>635</v>
      </c>
      <c r="C24" s="20" t="s">
        <v>678</v>
      </c>
      <c r="D24" s="138">
        <v>3120000</v>
      </c>
      <c r="E24" s="20" t="s">
        <v>371</v>
      </c>
      <c r="F24" s="20" t="s">
        <v>492</v>
      </c>
      <c r="G24" s="8" t="str">
        <f t="shared" si="0"/>
        <v>THOMPSON LESTER</v>
      </c>
      <c r="H24" s="20" t="str">
        <f t="shared" si="1"/>
        <v>4020</v>
      </c>
    </row>
    <row r="25" spans="1:8" x14ac:dyDescent="0.25">
      <c r="A25" s="8">
        <v>43052.207685185182</v>
      </c>
      <c r="B25" s="20" t="s">
        <v>394</v>
      </c>
      <c r="C25" s="20" t="s">
        <v>679</v>
      </c>
      <c r="D25" s="138">
        <v>2600000</v>
      </c>
      <c r="E25" s="20" t="s">
        <v>675</v>
      </c>
      <c r="F25" s="20" t="s">
        <v>566</v>
      </c>
      <c r="G25" s="8" t="str">
        <f t="shared" si="0"/>
        <v>DAVIDSON DAVID</v>
      </c>
      <c r="H25" s="20" t="str">
        <f t="shared" si="1"/>
        <v>4028</v>
      </c>
    </row>
    <row r="26" spans="1:8" x14ac:dyDescent="0.25">
      <c r="A26" s="8">
        <v>43052.209641203706</v>
      </c>
      <c r="B26" s="20" t="s">
        <v>472</v>
      </c>
      <c r="C26" s="20" t="s">
        <v>629</v>
      </c>
      <c r="D26" s="138">
        <v>2560000</v>
      </c>
      <c r="E26" s="20" t="s">
        <v>560</v>
      </c>
      <c r="F26" s="20" t="s">
        <v>561</v>
      </c>
      <c r="G26" s="8" t="str">
        <f t="shared" si="0"/>
        <v>MACDONALD THOMAS</v>
      </c>
      <c r="H26" s="20" t="str">
        <f t="shared" si="1"/>
        <v>4001</v>
      </c>
    </row>
    <row r="27" spans="1:8" x14ac:dyDescent="0.25">
      <c r="A27" s="8">
        <v>43052.214618055557</v>
      </c>
      <c r="B27" s="20" t="s">
        <v>373</v>
      </c>
      <c r="C27" s="20" t="s">
        <v>680</v>
      </c>
      <c r="D27" s="138">
        <v>3510000</v>
      </c>
      <c r="E27" s="20" t="s">
        <v>668</v>
      </c>
      <c r="F27" s="20" t="s">
        <v>669</v>
      </c>
      <c r="G27" s="8" t="str">
        <f t="shared" si="0"/>
        <v>BARRON PERLA</v>
      </c>
      <c r="H27" s="20" t="str">
        <f t="shared" si="1"/>
        <v>4011</v>
      </c>
    </row>
    <row r="28" spans="1:8" x14ac:dyDescent="0.25">
      <c r="A28" s="8">
        <v>43052.223865740743</v>
      </c>
      <c r="B28" s="20" t="s">
        <v>653</v>
      </c>
      <c r="C28" s="20" t="s">
        <v>681</v>
      </c>
      <c r="D28" s="138">
        <v>3090000</v>
      </c>
      <c r="E28" s="20" t="s">
        <v>682</v>
      </c>
      <c r="F28" s="20" t="s">
        <v>683</v>
      </c>
      <c r="G28" s="8" t="str">
        <f t="shared" si="0"/>
        <v>LAMAR NEKESHA</v>
      </c>
      <c r="H28" s="20" t="str">
        <f t="shared" si="1"/>
        <v>4013</v>
      </c>
    </row>
    <row r="29" spans="1:8" x14ac:dyDescent="0.25">
      <c r="A29" s="8">
        <v>43052.225393518522</v>
      </c>
      <c r="B29" s="20" t="s">
        <v>455</v>
      </c>
      <c r="C29" s="20" t="s">
        <v>684</v>
      </c>
      <c r="D29" s="138">
        <v>3700000</v>
      </c>
      <c r="E29" s="20" t="s">
        <v>464</v>
      </c>
      <c r="F29" s="20" t="s">
        <v>371</v>
      </c>
      <c r="G29" s="8" t="str">
        <f t="shared" si="0"/>
        <v>AUSTIN THOMPSON</v>
      </c>
      <c r="H29" s="20" t="str">
        <f t="shared" si="1"/>
        <v>4010</v>
      </c>
    </row>
    <row r="30" spans="1:8" x14ac:dyDescent="0.25">
      <c r="A30" s="8">
        <v>43052.227893518517</v>
      </c>
      <c r="B30" s="20" t="s">
        <v>393</v>
      </c>
      <c r="C30" s="20" t="s">
        <v>685</v>
      </c>
      <c r="D30" s="138">
        <v>2010000</v>
      </c>
      <c r="E30" s="20" t="s">
        <v>557</v>
      </c>
      <c r="F30" s="20" t="s">
        <v>558</v>
      </c>
      <c r="G30" s="8" t="str">
        <f t="shared" si="0"/>
        <v>MAELZER KURT</v>
      </c>
      <c r="H30" s="20" t="str">
        <f t="shared" si="1"/>
        <v>4059</v>
      </c>
    </row>
    <row r="31" spans="1:8" x14ac:dyDescent="0.25">
      <c r="A31" s="8">
        <v>43052.230034722219</v>
      </c>
      <c r="B31" s="20" t="s">
        <v>368</v>
      </c>
      <c r="C31" s="20" t="s">
        <v>686</v>
      </c>
      <c r="D31" s="138">
        <v>1230000</v>
      </c>
      <c r="E31" s="20" t="s">
        <v>687</v>
      </c>
      <c r="F31" s="20" t="s">
        <v>688</v>
      </c>
      <c r="G31" s="8" t="str">
        <f t="shared" si="0"/>
        <v>YANAI IAN</v>
      </c>
      <c r="H31" s="20" t="str">
        <f t="shared" si="1"/>
        <v>4035</v>
      </c>
    </row>
    <row r="32" spans="1:8" x14ac:dyDescent="0.25">
      <c r="A32" s="8">
        <v>43052.234259259261</v>
      </c>
      <c r="B32" s="20" t="s">
        <v>474</v>
      </c>
      <c r="C32" s="20" t="s">
        <v>689</v>
      </c>
      <c r="D32" s="138">
        <v>2560000</v>
      </c>
      <c r="E32" s="20" t="s">
        <v>560</v>
      </c>
      <c r="F32" s="20" t="s">
        <v>561</v>
      </c>
      <c r="G32" s="8" t="str">
        <f t="shared" si="0"/>
        <v>MACDONALD THOMAS</v>
      </c>
      <c r="H32" s="20" t="str">
        <f t="shared" si="1"/>
        <v>4002</v>
      </c>
    </row>
    <row r="33" spans="1:8" x14ac:dyDescent="0.25">
      <c r="A33" s="8">
        <v>43052.236597222225</v>
      </c>
      <c r="B33" s="20" t="s">
        <v>690</v>
      </c>
      <c r="C33" s="20" t="s">
        <v>691</v>
      </c>
      <c r="D33" s="138">
        <v>3090000</v>
      </c>
      <c r="E33" s="20" t="s">
        <v>682</v>
      </c>
      <c r="F33" s="20" t="s">
        <v>683</v>
      </c>
      <c r="G33" s="8" t="str">
        <f t="shared" si="0"/>
        <v>LAMAR NEKESHA</v>
      </c>
      <c r="H33" s="20" t="str">
        <f t="shared" si="1"/>
        <v>4014</v>
      </c>
    </row>
    <row r="34" spans="1:8" x14ac:dyDescent="0.25">
      <c r="A34" s="8">
        <v>43052.240405092591</v>
      </c>
      <c r="B34" s="20" t="s">
        <v>367</v>
      </c>
      <c r="C34" s="20" t="s">
        <v>692</v>
      </c>
      <c r="D34" s="138">
        <v>1230000</v>
      </c>
      <c r="E34" s="20" t="s">
        <v>687</v>
      </c>
      <c r="F34" s="20" t="s">
        <v>688</v>
      </c>
      <c r="G34" s="8" t="str">
        <f t="shared" si="0"/>
        <v>YANAI IAN</v>
      </c>
      <c r="H34" s="20" t="str">
        <f t="shared" si="1"/>
        <v>4036</v>
      </c>
    </row>
    <row r="35" spans="1:8" x14ac:dyDescent="0.25">
      <c r="A35" s="8">
        <v>43052.243969907409</v>
      </c>
      <c r="B35" s="20" t="s">
        <v>631</v>
      </c>
      <c r="C35" s="20" t="s">
        <v>693</v>
      </c>
      <c r="D35" s="138">
        <v>1830000</v>
      </c>
      <c r="E35" s="20" t="s">
        <v>347</v>
      </c>
      <c r="F35" s="20" t="s">
        <v>348</v>
      </c>
      <c r="G35" s="8" t="str">
        <f t="shared" si="0"/>
        <v>YORK EDGAR</v>
      </c>
      <c r="H35" s="20" t="str">
        <f t="shared" si="1"/>
        <v>4040</v>
      </c>
    </row>
    <row r="36" spans="1:8" x14ac:dyDescent="0.25">
      <c r="A36" s="8">
        <v>43052.245833333334</v>
      </c>
      <c r="B36" s="20" t="s">
        <v>627</v>
      </c>
      <c r="C36" s="20" t="s">
        <v>694</v>
      </c>
      <c r="D36" s="138">
        <v>3120000</v>
      </c>
      <c r="E36" s="20" t="s">
        <v>371</v>
      </c>
      <c r="F36" s="20" t="s">
        <v>492</v>
      </c>
      <c r="G36" s="8" t="str">
        <f t="shared" si="0"/>
        <v>THOMPSON LESTER</v>
      </c>
      <c r="H36" s="20" t="str">
        <f t="shared" si="1"/>
        <v>4019</v>
      </c>
    </row>
    <row r="37" spans="1:8" x14ac:dyDescent="0.25">
      <c r="A37" s="8">
        <v>43052.246180555558</v>
      </c>
      <c r="B37" s="20" t="s">
        <v>639</v>
      </c>
      <c r="C37" s="20" t="s">
        <v>695</v>
      </c>
      <c r="D37" s="138">
        <v>2600000</v>
      </c>
      <c r="E37" s="20" t="s">
        <v>675</v>
      </c>
      <c r="F37" s="20" t="s">
        <v>566</v>
      </c>
      <c r="G37" s="8" t="str">
        <f t="shared" si="0"/>
        <v>DAVIDSON DAVID</v>
      </c>
      <c r="H37" s="20" t="str">
        <f t="shared" si="1"/>
        <v>4027</v>
      </c>
    </row>
    <row r="38" spans="1:8" x14ac:dyDescent="0.25">
      <c r="A38" s="8">
        <v>43052.246493055558</v>
      </c>
      <c r="B38" s="20" t="s">
        <v>472</v>
      </c>
      <c r="C38" s="20" t="s">
        <v>696</v>
      </c>
      <c r="D38" s="138">
        <v>2560000</v>
      </c>
      <c r="E38" s="20" t="s">
        <v>560</v>
      </c>
      <c r="F38" s="20" t="s">
        <v>561</v>
      </c>
      <c r="G38" s="8" t="str">
        <f t="shared" si="0"/>
        <v>MACDONALD THOMAS</v>
      </c>
      <c r="H38" s="20" t="str">
        <f t="shared" si="1"/>
        <v>4001</v>
      </c>
    </row>
    <row r="39" spans="1:8" x14ac:dyDescent="0.25">
      <c r="A39" s="8">
        <v>43052.255740740744</v>
      </c>
      <c r="B39" s="20" t="s">
        <v>372</v>
      </c>
      <c r="C39" s="20" t="s">
        <v>630</v>
      </c>
      <c r="D39" s="138">
        <v>3510000</v>
      </c>
      <c r="E39" s="20" t="s">
        <v>668</v>
      </c>
      <c r="F39" s="20" t="s">
        <v>669</v>
      </c>
      <c r="G39" s="8" t="str">
        <f t="shared" si="0"/>
        <v>BARRON PERLA</v>
      </c>
      <c r="H39" s="20" t="str">
        <f t="shared" si="1"/>
        <v>4012</v>
      </c>
    </row>
    <row r="40" spans="1:8" x14ac:dyDescent="0.25">
      <c r="A40" s="8">
        <v>43052.266516203701</v>
      </c>
      <c r="B40" s="25" t="s">
        <v>454</v>
      </c>
      <c r="C40" s="20" t="s">
        <v>697</v>
      </c>
      <c r="D40" s="138">
        <v>3700000</v>
      </c>
      <c r="E40" s="20" t="s">
        <v>464</v>
      </c>
      <c r="F40" s="20" t="s">
        <v>371</v>
      </c>
      <c r="G40" s="8" t="str">
        <f t="shared" si="0"/>
        <v>AUSTIN THOMPSON</v>
      </c>
      <c r="H40" s="20" t="str">
        <f t="shared" si="1"/>
        <v>4009</v>
      </c>
    </row>
    <row r="41" spans="1:8" x14ac:dyDescent="0.25">
      <c r="A41" s="8">
        <v>43052.267997685187</v>
      </c>
      <c r="B41" s="20" t="s">
        <v>358</v>
      </c>
      <c r="C41" s="20" t="s">
        <v>698</v>
      </c>
      <c r="D41" s="138">
        <v>2010000</v>
      </c>
      <c r="E41" s="20" t="s">
        <v>557</v>
      </c>
      <c r="F41" s="20" t="s">
        <v>558</v>
      </c>
      <c r="G41" s="8" t="str">
        <f t="shared" si="0"/>
        <v>MAELZER KURT</v>
      </c>
      <c r="H41" s="20" t="str">
        <f t="shared" si="1"/>
        <v>4060</v>
      </c>
    </row>
    <row r="42" spans="1:8" x14ac:dyDescent="0.25">
      <c r="A42" s="8">
        <v>43052.268310185187</v>
      </c>
      <c r="B42" s="20" t="s">
        <v>368</v>
      </c>
      <c r="C42" s="20" t="s">
        <v>699</v>
      </c>
      <c r="D42" s="138">
        <v>1230000</v>
      </c>
      <c r="E42" s="20" t="s">
        <v>687</v>
      </c>
      <c r="F42" s="20" t="s">
        <v>688</v>
      </c>
      <c r="G42" s="8" t="str">
        <f t="shared" si="0"/>
        <v>YANAI IAN</v>
      </c>
      <c r="H42" s="20" t="str">
        <f t="shared" si="1"/>
        <v>4035</v>
      </c>
    </row>
    <row r="43" spans="1:8" x14ac:dyDescent="0.25">
      <c r="A43" s="8">
        <v>43052.275601851848</v>
      </c>
      <c r="B43" s="20" t="s">
        <v>474</v>
      </c>
      <c r="C43" s="20" t="s">
        <v>700</v>
      </c>
      <c r="D43" s="138">
        <v>2560000</v>
      </c>
      <c r="E43" s="20" t="s">
        <v>560</v>
      </c>
      <c r="F43" s="20" t="s">
        <v>561</v>
      </c>
      <c r="G43" s="8" t="str">
        <f t="shared" si="0"/>
        <v>MACDONALD THOMAS</v>
      </c>
      <c r="H43" s="20" t="str">
        <f t="shared" si="1"/>
        <v>4002</v>
      </c>
    </row>
    <row r="44" spans="1:8" x14ac:dyDescent="0.25">
      <c r="A44" s="8">
        <v>43052.275868055556</v>
      </c>
      <c r="B44" s="20" t="s">
        <v>664</v>
      </c>
      <c r="C44" s="20" t="s">
        <v>701</v>
      </c>
      <c r="D44" s="138">
        <v>1830000</v>
      </c>
      <c r="E44" s="20" t="s">
        <v>347</v>
      </c>
      <c r="F44" s="20" t="s">
        <v>348</v>
      </c>
      <c r="G44" s="8" t="str">
        <f t="shared" si="0"/>
        <v>YORK EDGAR</v>
      </c>
      <c r="H44" s="20" t="str">
        <f t="shared" si="1"/>
        <v>4039</v>
      </c>
    </row>
    <row r="45" spans="1:8" x14ac:dyDescent="0.25">
      <c r="A45" s="8">
        <v>43052.277766203704</v>
      </c>
      <c r="B45" s="20" t="s">
        <v>653</v>
      </c>
      <c r="C45" s="20" t="s">
        <v>702</v>
      </c>
      <c r="D45" s="138">
        <v>3090000</v>
      </c>
      <c r="E45" s="20" t="s">
        <v>682</v>
      </c>
      <c r="F45" s="20" t="s">
        <v>683</v>
      </c>
      <c r="G45" s="8" t="str">
        <f t="shared" si="0"/>
        <v>LAMAR NEKESHA</v>
      </c>
      <c r="H45" s="20" t="str">
        <f t="shared" si="1"/>
        <v>4013</v>
      </c>
    </row>
    <row r="46" spans="1:8" x14ac:dyDescent="0.25">
      <c r="A46" s="8">
        <v>43052.280277777776</v>
      </c>
      <c r="B46" s="20" t="s">
        <v>635</v>
      </c>
      <c r="C46" s="20" t="s">
        <v>703</v>
      </c>
      <c r="D46" s="138">
        <v>3120000</v>
      </c>
      <c r="E46" s="20" t="s">
        <v>371</v>
      </c>
      <c r="F46" s="20" t="s">
        <v>492</v>
      </c>
      <c r="G46" s="8" t="str">
        <f t="shared" si="0"/>
        <v>THOMPSON LESTER</v>
      </c>
      <c r="H46" s="20" t="str">
        <f t="shared" si="1"/>
        <v>4020</v>
      </c>
    </row>
    <row r="47" spans="1:8" x14ac:dyDescent="0.25">
      <c r="A47" s="8">
        <v>43052.287662037037</v>
      </c>
      <c r="B47" s="20" t="s">
        <v>394</v>
      </c>
      <c r="C47" s="20" t="s">
        <v>704</v>
      </c>
      <c r="D47" s="138">
        <v>2600000</v>
      </c>
      <c r="E47" s="20" t="s">
        <v>675</v>
      </c>
      <c r="F47" s="20" t="s">
        <v>566</v>
      </c>
      <c r="G47" s="8" t="str">
        <f t="shared" si="0"/>
        <v>DAVIDSON DAVID</v>
      </c>
      <c r="H47" s="20" t="str">
        <f t="shared" si="1"/>
        <v>4028</v>
      </c>
    </row>
    <row r="48" spans="1:8" x14ac:dyDescent="0.25">
      <c r="A48" s="8">
        <v>43052.287905092591</v>
      </c>
      <c r="B48" s="20" t="s">
        <v>373</v>
      </c>
      <c r="C48" s="20" t="s">
        <v>705</v>
      </c>
      <c r="D48" s="138">
        <v>3510000</v>
      </c>
      <c r="E48" s="20" t="s">
        <v>668</v>
      </c>
      <c r="F48" s="20" t="s">
        <v>669</v>
      </c>
      <c r="G48" s="8" t="str">
        <f t="shared" si="0"/>
        <v>BARRON PERLA</v>
      </c>
      <c r="H48" s="20" t="str">
        <f t="shared" si="1"/>
        <v>4011</v>
      </c>
    </row>
    <row r="49" spans="1:8" x14ac:dyDescent="0.25">
      <c r="A49" s="8">
        <v>43052.289479166669</v>
      </c>
      <c r="B49" s="20" t="s">
        <v>367</v>
      </c>
      <c r="C49" s="20" t="s">
        <v>706</v>
      </c>
      <c r="D49" s="138">
        <v>1230000</v>
      </c>
      <c r="E49" s="20" t="s">
        <v>687</v>
      </c>
      <c r="F49" s="20" t="s">
        <v>688</v>
      </c>
      <c r="G49" s="8" t="str">
        <f t="shared" si="0"/>
        <v>YANAI IAN</v>
      </c>
      <c r="H49" s="20" t="str">
        <f t="shared" si="1"/>
        <v>4036</v>
      </c>
    </row>
    <row r="50" spans="1:8" x14ac:dyDescent="0.25">
      <c r="A50" s="8">
        <v>43052.290173611109</v>
      </c>
      <c r="B50" s="20" t="s">
        <v>472</v>
      </c>
      <c r="C50" s="20" t="s">
        <v>707</v>
      </c>
      <c r="D50" s="138">
        <v>2560000</v>
      </c>
      <c r="E50" s="20" t="s">
        <v>560</v>
      </c>
      <c r="F50" s="20" t="s">
        <v>561</v>
      </c>
      <c r="G50" s="8" t="str">
        <f t="shared" si="0"/>
        <v>MACDONALD THOMAS</v>
      </c>
      <c r="H50" s="20" t="str">
        <f t="shared" si="1"/>
        <v>4001</v>
      </c>
    </row>
    <row r="51" spans="1:8" x14ac:dyDescent="0.25">
      <c r="A51" s="8">
        <v>43052.294861111113</v>
      </c>
      <c r="B51" s="20" t="s">
        <v>653</v>
      </c>
      <c r="C51" s="20" t="s">
        <v>702</v>
      </c>
      <c r="D51" s="138">
        <v>3090000</v>
      </c>
      <c r="E51" s="20" t="s">
        <v>682</v>
      </c>
      <c r="F51" s="20" t="s">
        <v>683</v>
      </c>
      <c r="G51" s="8" t="str">
        <f t="shared" si="0"/>
        <v>LAMAR NEKESHA</v>
      </c>
      <c r="H51" s="20" t="str">
        <f t="shared" si="1"/>
        <v>4013</v>
      </c>
    </row>
    <row r="52" spans="1:8" x14ac:dyDescent="0.25">
      <c r="A52" s="8">
        <v>43052.297118055554</v>
      </c>
      <c r="B52" s="20" t="s">
        <v>455</v>
      </c>
      <c r="C52" s="20" t="s">
        <v>708</v>
      </c>
      <c r="D52" s="138">
        <v>3700000</v>
      </c>
      <c r="E52" s="20" t="s">
        <v>464</v>
      </c>
      <c r="F52" s="20" t="s">
        <v>371</v>
      </c>
      <c r="G52" s="8" t="str">
        <f t="shared" si="0"/>
        <v>AUSTIN THOMPSON</v>
      </c>
      <c r="H52" s="20" t="str">
        <f t="shared" si="1"/>
        <v>4010</v>
      </c>
    </row>
    <row r="53" spans="1:8" x14ac:dyDescent="0.25">
      <c r="A53" s="8">
        <v>43052.304270833331</v>
      </c>
      <c r="B53" s="20" t="s">
        <v>393</v>
      </c>
      <c r="C53" s="20" t="s">
        <v>709</v>
      </c>
      <c r="D53" s="138">
        <v>2010000</v>
      </c>
      <c r="E53" s="20" t="s">
        <v>557</v>
      </c>
      <c r="F53" s="20" t="s">
        <v>558</v>
      </c>
      <c r="G53" s="8" t="str">
        <f t="shared" si="0"/>
        <v>MAELZER KURT</v>
      </c>
      <c r="H53" s="20" t="str">
        <f t="shared" si="1"/>
        <v>4059</v>
      </c>
    </row>
    <row r="54" spans="1:8" x14ac:dyDescent="0.25">
      <c r="A54" s="8">
        <v>43052.310671296298</v>
      </c>
      <c r="B54" s="20" t="s">
        <v>368</v>
      </c>
      <c r="C54" s="20" t="s">
        <v>710</v>
      </c>
      <c r="D54" s="138">
        <v>1230000</v>
      </c>
      <c r="E54" s="20" t="s">
        <v>687</v>
      </c>
      <c r="F54" s="20" t="s">
        <v>688</v>
      </c>
      <c r="G54" s="8" t="str">
        <f t="shared" si="0"/>
        <v>YANAI IAN</v>
      </c>
      <c r="H54" s="20" t="str">
        <f t="shared" si="1"/>
        <v>4035</v>
      </c>
    </row>
    <row r="55" spans="1:8" x14ac:dyDescent="0.25">
      <c r="A55" s="8">
        <v>43052.311562499999</v>
      </c>
      <c r="B55" s="20" t="s">
        <v>690</v>
      </c>
      <c r="C55" s="20" t="s">
        <v>711</v>
      </c>
      <c r="D55" s="138">
        <v>3090000</v>
      </c>
      <c r="E55" s="20" t="s">
        <v>682</v>
      </c>
      <c r="F55" s="20" t="s">
        <v>683</v>
      </c>
      <c r="G55" s="8" t="str">
        <f t="shared" si="0"/>
        <v>LAMAR NEKESHA</v>
      </c>
      <c r="H55" s="20" t="str">
        <f t="shared" si="1"/>
        <v>4014</v>
      </c>
    </row>
    <row r="56" spans="1:8" x14ac:dyDescent="0.25">
      <c r="A56" s="8">
        <v>43052.31318287037</v>
      </c>
      <c r="B56" s="20" t="s">
        <v>368</v>
      </c>
      <c r="C56" s="20" t="s">
        <v>710</v>
      </c>
      <c r="D56" s="138">
        <v>1230000</v>
      </c>
      <c r="E56" s="20" t="s">
        <v>687</v>
      </c>
      <c r="F56" s="20" t="s">
        <v>688</v>
      </c>
      <c r="G56" s="8" t="str">
        <f t="shared" si="0"/>
        <v>YANAI IAN</v>
      </c>
      <c r="H56" s="20" t="str">
        <f t="shared" si="1"/>
        <v>4035</v>
      </c>
    </row>
    <row r="57" spans="1:8" x14ac:dyDescent="0.25">
      <c r="A57" s="8">
        <v>43052.317465277774</v>
      </c>
      <c r="B57" s="20" t="s">
        <v>631</v>
      </c>
      <c r="C57" s="20" t="s">
        <v>632</v>
      </c>
      <c r="D57" s="138">
        <v>1830000</v>
      </c>
      <c r="E57" s="20" t="s">
        <v>347</v>
      </c>
      <c r="F57" s="20" t="s">
        <v>348</v>
      </c>
      <c r="G57" s="8" t="str">
        <f t="shared" si="0"/>
        <v>YORK EDGAR</v>
      </c>
      <c r="H57" s="20" t="str">
        <f t="shared" si="1"/>
        <v>4040</v>
      </c>
    </row>
    <row r="58" spans="1:8" x14ac:dyDescent="0.25">
      <c r="A58" s="8">
        <v>43052.317800925928</v>
      </c>
      <c r="B58" s="20" t="s">
        <v>474</v>
      </c>
      <c r="C58" s="20" t="s">
        <v>712</v>
      </c>
      <c r="D58" s="138">
        <v>2560000</v>
      </c>
      <c r="E58" s="20" t="s">
        <v>560</v>
      </c>
      <c r="F58" s="20" t="s">
        <v>561</v>
      </c>
      <c r="G58" s="8" t="str">
        <f t="shared" si="0"/>
        <v>MACDONALD THOMAS</v>
      </c>
      <c r="H58" s="20" t="str">
        <f t="shared" si="1"/>
        <v>4002</v>
      </c>
    </row>
    <row r="59" spans="1:8" x14ac:dyDescent="0.25">
      <c r="A59" s="8">
        <v>43052.319074074076</v>
      </c>
      <c r="B59" s="20" t="s">
        <v>639</v>
      </c>
      <c r="C59" s="20" t="s">
        <v>713</v>
      </c>
      <c r="D59" s="138">
        <v>2600000</v>
      </c>
      <c r="E59" s="20" t="s">
        <v>675</v>
      </c>
      <c r="F59" s="20" t="s">
        <v>566</v>
      </c>
      <c r="G59" s="8" t="str">
        <f t="shared" si="0"/>
        <v>DAVIDSON DAVID</v>
      </c>
      <c r="H59" s="20" t="str">
        <f t="shared" si="1"/>
        <v>4027</v>
      </c>
    </row>
    <row r="60" spans="1:8" x14ac:dyDescent="0.25">
      <c r="A60" s="8">
        <v>43052.319143518522</v>
      </c>
      <c r="B60" s="20" t="s">
        <v>627</v>
      </c>
      <c r="C60" s="20" t="s">
        <v>634</v>
      </c>
      <c r="D60" s="138">
        <v>3120000</v>
      </c>
      <c r="E60" s="20" t="s">
        <v>371</v>
      </c>
      <c r="F60" s="20" t="s">
        <v>492</v>
      </c>
      <c r="G60" s="8" t="str">
        <f t="shared" si="0"/>
        <v>THOMPSON LESTER</v>
      </c>
      <c r="H60" s="20" t="str">
        <f t="shared" si="1"/>
        <v>4019</v>
      </c>
    </row>
    <row r="61" spans="1:8" x14ac:dyDescent="0.25">
      <c r="A61" s="8">
        <v>43052.330023148148</v>
      </c>
      <c r="B61" s="20" t="s">
        <v>372</v>
      </c>
      <c r="C61" s="20" t="s">
        <v>714</v>
      </c>
      <c r="D61" s="138">
        <v>3510000</v>
      </c>
      <c r="E61" s="20" t="s">
        <v>668</v>
      </c>
      <c r="F61" s="20" t="s">
        <v>669</v>
      </c>
      <c r="G61" s="8" t="str">
        <f t="shared" si="0"/>
        <v>BARRON PERLA</v>
      </c>
      <c r="H61" s="20" t="str">
        <f t="shared" si="1"/>
        <v>4012</v>
      </c>
    </row>
    <row r="62" spans="1:8" x14ac:dyDescent="0.25">
      <c r="A62" s="8">
        <v>43052.331087962964</v>
      </c>
      <c r="B62" s="20" t="s">
        <v>472</v>
      </c>
      <c r="C62" s="20" t="s">
        <v>715</v>
      </c>
      <c r="D62" s="138">
        <v>2560000</v>
      </c>
      <c r="E62" s="20" t="s">
        <v>560</v>
      </c>
      <c r="F62" s="20" t="s">
        <v>561</v>
      </c>
      <c r="G62" s="8" t="str">
        <f t="shared" si="0"/>
        <v>MACDONALD THOMAS</v>
      </c>
      <c r="H62" s="20" t="str">
        <f t="shared" si="1"/>
        <v>4001</v>
      </c>
    </row>
    <row r="63" spans="1:8" x14ac:dyDescent="0.25">
      <c r="A63" s="8">
        <v>43052.332326388889</v>
      </c>
      <c r="B63" s="20" t="s">
        <v>367</v>
      </c>
      <c r="C63" s="20" t="s">
        <v>716</v>
      </c>
      <c r="D63" s="138">
        <v>1230000</v>
      </c>
      <c r="E63" s="20" t="s">
        <v>687</v>
      </c>
      <c r="F63" s="20" t="s">
        <v>688</v>
      </c>
      <c r="G63" s="8" t="str">
        <f t="shared" si="0"/>
        <v>YANAI IAN</v>
      </c>
      <c r="H63" s="20" t="str">
        <f t="shared" si="1"/>
        <v>4036</v>
      </c>
    </row>
    <row r="64" spans="1:8" x14ac:dyDescent="0.25">
      <c r="A64" s="26">
        <v>43052.339212962965</v>
      </c>
      <c r="B64" s="20" t="s">
        <v>454</v>
      </c>
      <c r="C64" s="20" t="s">
        <v>717</v>
      </c>
      <c r="D64" s="138">
        <v>3700000</v>
      </c>
      <c r="E64" s="20" t="s">
        <v>464</v>
      </c>
      <c r="F64" s="20" t="s">
        <v>371</v>
      </c>
      <c r="G64" s="8" t="str">
        <f t="shared" si="0"/>
        <v>AUSTIN THOMPSON</v>
      </c>
      <c r="H64" s="20" t="str">
        <f t="shared" si="1"/>
        <v>4009</v>
      </c>
    </row>
    <row r="65" spans="1:8" x14ac:dyDescent="0.25">
      <c r="A65" s="8">
        <v>43052.342499999999</v>
      </c>
      <c r="B65" s="20" t="s">
        <v>358</v>
      </c>
      <c r="C65" s="20" t="s">
        <v>633</v>
      </c>
      <c r="D65" s="138">
        <v>2010000</v>
      </c>
      <c r="E65" s="20" t="s">
        <v>557</v>
      </c>
      <c r="F65" s="20" t="s">
        <v>558</v>
      </c>
      <c r="G65" s="8" t="str">
        <f t="shared" si="0"/>
        <v>MAELZER KURT</v>
      </c>
      <c r="H65" s="20" t="str">
        <f t="shared" si="1"/>
        <v>4060</v>
      </c>
    </row>
    <row r="66" spans="1:8" x14ac:dyDescent="0.25">
      <c r="A66" s="8">
        <v>43052.34778935185</v>
      </c>
      <c r="B66" s="20" t="s">
        <v>653</v>
      </c>
      <c r="C66" s="20" t="s">
        <v>718</v>
      </c>
      <c r="D66" s="138">
        <v>3090000</v>
      </c>
      <c r="E66" s="20" t="s">
        <v>682</v>
      </c>
      <c r="F66" s="20" t="s">
        <v>683</v>
      </c>
      <c r="G66" s="8" t="str">
        <f t="shared" si="0"/>
        <v>LAMAR NEKESHA</v>
      </c>
      <c r="H66" s="20" t="str">
        <f t="shared" si="1"/>
        <v>4013</v>
      </c>
    </row>
    <row r="67" spans="1:8" x14ac:dyDescent="0.25">
      <c r="A67" s="8">
        <v>43052.350405092591</v>
      </c>
      <c r="B67" s="20" t="s">
        <v>368</v>
      </c>
      <c r="C67" s="20" t="s">
        <v>719</v>
      </c>
      <c r="D67" s="138">
        <v>1230000</v>
      </c>
      <c r="E67" s="20" t="s">
        <v>687</v>
      </c>
      <c r="F67" s="20" t="s">
        <v>688</v>
      </c>
      <c r="G67" s="8" t="str">
        <f t="shared" ref="G67:G130" si="2">E67&amp;" "&amp;F67</f>
        <v>YANAI IAN</v>
      </c>
      <c r="H67" s="20" t="str">
        <f t="shared" ref="H67:H130" si="3">MID(B67,13,4)</f>
        <v>4035</v>
      </c>
    </row>
    <row r="68" spans="1:8" x14ac:dyDescent="0.25">
      <c r="A68" s="8">
        <v>43052.352175925924</v>
      </c>
      <c r="B68" s="20" t="s">
        <v>474</v>
      </c>
      <c r="C68" s="20" t="s">
        <v>715</v>
      </c>
      <c r="D68" s="138">
        <v>2560000</v>
      </c>
      <c r="E68" s="20" t="s">
        <v>560</v>
      </c>
      <c r="F68" s="20" t="s">
        <v>561</v>
      </c>
      <c r="G68" s="8" t="str">
        <f t="shared" si="2"/>
        <v>MACDONALD THOMAS</v>
      </c>
      <c r="H68" s="20" t="str">
        <f t="shared" si="3"/>
        <v>4002</v>
      </c>
    </row>
    <row r="69" spans="1:8" x14ac:dyDescent="0.25">
      <c r="A69" s="8">
        <v>43052.352685185186</v>
      </c>
      <c r="B69" s="20" t="s">
        <v>474</v>
      </c>
      <c r="C69" s="20" t="s">
        <v>720</v>
      </c>
      <c r="D69" s="138">
        <v>2560000</v>
      </c>
      <c r="E69" s="20" t="s">
        <v>560</v>
      </c>
      <c r="F69" s="20" t="s">
        <v>561</v>
      </c>
      <c r="G69" s="8" t="str">
        <f t="shared" si="2"/>
        <v>MACDONALD THOMAS</v>
      </c>
      <c r="H69" s="20" t="str">
        <f t="shared" si="3"/>
        <v>4002</v>
      </c>
    </row>
    <row r="70" spans="1:8" x14ac:dyDescent="0.25">
      <c r="A70" s="8">
        <v>43052.35292824074</v>
      </c>
      <c r="B70" s="20" t="s">
        <v>664</v>
      </c>
      <c r="C70" s="20" t="s">
        <v>721</v>
      </c>
      <c r="D70" s="138">
        <v>1830000</v>
      </c>
      <c r="E70" s="20" t="s">
        <v>347</v>
      </c>
      <c r="F70" s="20" t="s">
        <v>348</v>
      </c>
      <c r="G70" s="8" t="str">
        <f t="shared" si="2"/>
        <v>YORK EDGAR</v>
      </c>
      <c r="H70" s="20" t="str">
        <f t="shared" si="3"/>
        <v>4039</v>
      </c>
    </row>
    <row r="71" spans="1:8" x14ac:dyDescent="0.25">
      <c r="A71" s="8">
        <v>43052.366435185184</v>
      </c>
      <c r="B71" s="20" t="s">
        <v>635</v>
      </c>
      <c r="C71" s="20" t="s">
        <v>636</v>
      </c>
      <c r="D71" s="138">
        <v>3120000</v>
      </c>
      <c r="E71" s="20" t="s">
        <v>371</v>
      </c>
      <c r="F71" s="20" t="s">
        <v>492</v>
      </c>
      <c r="G71" s="8" t="str">
        <f t="shared" si="2"/>
        <v>THOMPSON LESTER</v>
      </c>
      <c r="H71" s="20" t="str">
        <f t="shared" si="3"/>
        <v>4020</v>
      </c>
    </row>
    <row r="72" spans="1:8" x14ac:dyDescent="0.25">
      <c r="A72" s="8">
        <v>43052.370069444441</v>
      </c>
      <c r="B72" s="20" t="s">
        <v>394</v>
      </c>
      <c r="C72" s="20" t="s">
        <v>722</v>
      </c>
      <c r="D72" s="138">
        <v>2600000</v>
      </c>
      <c r="E72" s="20" t="s">
        <v>675</v>
      </c>
      <c r="F72" s="20" t="s">
        <v>566</v>
      </c>
      <c r="G72" s="8" t="str">
        <f t="shared" si="2"/>
        <v>DAVIDSON DAVID</v>
      </c>
      <c r="H72" s="20" t="str">
        <f t="shared" si="3"/>
        <v>4028</v>
      </c>
    </row>
    <row r="73" spans="1:8" x14ac:dyDescent="0.25">
      <c r="A73" s="8">
        <v>43052.371550925927</v>
      </c>
      <c r="B73" s="20" t="s">
        <v>373</v>
      </c>
      <c r="C73" s="20" t="s">
        <v>723</v>
      </c>
      <c r="D73" s="138">
        <v>3510000</v>
      </c>
      <c r="E73" s="20" t="s">
        <v>668</v>
      </c>
      <c r="F73" s="20" t="s">
        <v>669</v>
      </c>
      <c r="G73" s="8" t="str">
        <f t="shared" si="2"/>
        <v>BARRON PERLA</v>
      </c>
      <c r="H73" s="20" t="str">
        <f t="shared" si="3"/>
        <v>4011</v>
      </c>
    </row>
    <row r="74" spans="1:8" x14ac:dyDescent="0.25">
      <c r="A74" s="8">
        <v>43052.379270833335</v>
      </c>
      <c r="B74" s="20" t="s">
        <v>367</v>
      </c>
      <c r="C74" s="20" t="s">
        <v>637</v>
      </c>
      <c r="D74" s="138">
        <v>1230000</v>
      </c>
      <c r="E74" s="20" t="s">
        <v>687</v>
      </c>
      <c r="F74" s="20" t="s">
        <v>688</v>
      </c>
      <c r="G74" s="8" t="str">
        <f t="shared" si="2"/>
        <v>YANAI IAN</v>
      </c>
      <c r="H74" s="20" t="str">
        <f t="shared" si="3"/>
        <v>4036</v>
      </c>
    </row>
    <row r="75" spans="1:8" x14ac:dyDescent="0.25">
      <c r="A75" s="8">
        <v>43052.380462962959</v>
      </c>
      <c r="B75" s="20" t="s">
        <v>455</v>
      </c>
      <c r="C75" s="20" t="s">
        <v>724</v>
      </c>
      <c r="D75" s="138">
        <v>3700000</v>
      </c>
      <c r="E75" s="20" t="s">
        <v>464</v>
      </c>
      <c r="F75" s="20" t="s">
        <v>371</v>
      </c>
      <c r="G75" s="8" t="str">
        <f t="shared" si="2"/>
        <v>AUSTIN THOMPSON</v>
      </c>
      <c r="H75" s="20" t="str">
        <f t="shared" si="3"/>
        <v>4010</v>
      </c>
    </row>
    <row r="76" spans="1:8" x14ac:dyDescent="0.25">
      <c r="A76" s="8">
        <v>43052.381168981483</v>
      </c>
      <c r="B76" s="20" t="s">
        <v>393</v>
      </c>
      <c r="C76" s="20" t="s">
        <v>725</v>
      </c>
      <c r="D76" s="138">
        <v>2010000</v>
      </c>
      <c r="E76" s="20" t="s">
        <v>557</v>
      </c>
      <c r="F76" s="20" t="s">
        <v>558</v>
      </c>
      <c r="G76" s="8" t="str">
        <f t="shared" si="2"/>
        <v>MAELZER KURT</v>
      </c>
      <c r="H76" s="20" t="str">
        <f t="shared" si="3"/>
        <v>4059</v>
      </c>
    </row>
    <row r="77" spans="1:8" x14ac:dyDescent="0.25">
      <c r="A77" s="8">
        <v>43052.392071759263</v>
      </c>
      <c r="B77" s="20" t="s">
        <v>368</v>
      </c>
      <c r="C77" s="20" t="s">
        <v>638</v>
      </c>
      <c r="D77" s="138">
        <v>1230000</v>
      </c>
      <c r="E77" s="20" t="s">
        <v>687</v>
      </c>
      <c r="F77" s="20" t="s">
        <v>688</v>
      </c>
      <c r="G77" s="8" t="str">
        <f t="shared" si="2"/>
        <v>YANAI IAN</v>
      </c>
      <c r="H77" s="20" t="str">
        <f t="shared" si="3"/>
        <v>4035</v>
      </c>
    </row>
    <row r="78" spans="1:8" x14ac:dyDescent="0.25">
      <c r="A78" s="8">
        <v>43052.393865740742</v>
      </c>
      <c r="B78" s="20" t="s">
        <v>690</v>
      </c>
      <c r="C78" s="20" t="s">
        <v>726</v>
      </c>
      <c r="D78" s="138">
        <v>3090000</v>
      </c>
      <c r="E78" s="20" t="s">
        <v>682</v>
      </c>
      <c r="F78" s="20" t="s">
        <v>683</v>
      </c>
      <c r="G78" s="8" t="str">
        <f t="shared" si="2"/>
        <v>LAMAR NEKESHA</v>
      </c>
      <c r="H78" s="20" t="str">
        <f t="shared" si="3"/>
        <v>4014</v>
      </c>
    </row>
    <row r="79" spans="1:8" x14ac:dyDescent="0.25">
      <c r="A79" s="8">
        <v>43052.401747685188</v>
      </c>
      <c r="B79" s="20" t="s">
        <v>631</v>
      </c>
      <c r="C79" s="20" t="s">
        <v>727</v>
      </c>
      <c r="D79" s="138">
        <v>1830000</v>
      </c>
      <c r="E79" s="20" t="s">
        <v>347</v>
      </c>
      <c r="F79" s="20" t="s">
        <v>348</v>
      </c>
      <c r="G79" s="8" t="str">
        <f t="shared" si="2"/>
        <v>YORK EDGAR</v>
      </c>
      <c r="H79" s="20" t="str">
        <f t="shared" si="3"/>
        <v>4040</v>
      </c>
    </row>
    <row r="80" spans="1:8" x14ac:dyDescent="0.25">
      <c r="A80" s="8">
        <v>43052.403506944444</v>
      </c>
      <c r="B80" s="20" t="s">
        <v>627</v>
      </c>
      <c r="C80" s="20" t="s">
        <v>728</v>
      </c>
      <c r="D80" s="138">
        <v>3120000</v>
      </c>
      <c r="E80" s="20" t="s">
        <v>371</v>
      </c>
      <c r="F80" s="20" t="s">
        <v>492</v>
      </c>
      <c r="G80" s="8" t="str">
        <f t="shared" si="2"/>
        <v>THOMPSON LESTER</v>
      </c>
      <c r="H80" s="20" t="str">
        <f t="shared" si="3"/>
        <v>4019</v>
      </c>
    </row>
    <row r="81" spans="1:8" x14ac:dyDescent="0.25">
      <c r="A81" s="8">
        <v>43052.412939814814</v>
      </c>
      <c r="B81" s="20" t="s">
        <v>639</v>
      </c>
      <c r="C81" s="20" t="s">
        <v>640</v>
      </c>
      <c r="D81" s="138">
        <v>2600000</v>
      </c>
      <c r="E81" s="20" t="s">
        <v>675</v>
      </c>
      <c r="F81" s="20" t="s">
        <v>566</v>
      </c>
      <c r="G81" s="8" t="str">
        <f t="shared" si="2"/>
        <v>DAVIDSON DAVID</v>
      </c>
      <c r="H81" s="20" t="str">
        <f t="shared" si="3"/>
        <v>4027</v>
      </c>
    </row>
    <row r="82" spans="1:8" x14ac:dyDescent="0.25">
      <c r="A82" s="8">
        <v>43052.415625000001</v>
      </c>
      <c r="B82" s="20" t="s">
        <v>372</v>
      </c>
      <c r="C82" s="20" t="s">
        <v>729</v>
      </c>
      <c r="D82" s="138">
        <v>3510000</v>
      </c>
      <c r="E82" s="20" t="s">
        <v>668</v>
      </c>
      <c r="F82" s="20" t="s">
        <v>669</v>
      </c>
      <c r="G82" s="8" t="str">
        <f t="shared" si="2"/>
        <v>BARRON PERLA</v>
      </c>
      <c r="H82" s="20" t="str">
        <f t="shared" si="3"/>
        <v>4012</v>
      </c>
    </row>
    <row r="83" spans="1:8" x14ac:dyDescent="0.25">
      <c r="A83" s="8">
        <v>43052.416631944441</v>
      </c>
      <c r="B83" s="20" t="s">
        <v>367</v>
      </c>
      <c r="C83" s="20" t="s">
        <v>730</v>
      </c>
      <c r="D83" s="138">
        <v>1230000</v>
      </c>
      <c r="E83" s="20" t="s">
        <v>687</v>
      </c>
      <c r="F83" s="20" t="s">
        <v>688</v>
      </c>
      <c r="G83" s="8" t="str">
        <f t="shared" si="2"/>
        <v>YANAI IAN</v>
      </c>
      <c r="H83" s="20" t="str">
        <f t="shared" si="3"/>
        <v>4036</v>
      </c>
    </row>
    <row r="84" spans="1:8" x14ac:dyDescent="0.25">
      <c r="A84" s="8">
        <v>43052.42392361111</v>
      </c>
      <c r="B84" s="20" t="s">
        <v>454</v>
      </c>
      <c r="C84" s="20" t="s">
        <v>731</v>
      </c>
      <c r="D84" s="138">
        <v>3700000</v>
      </c>
      <c r="E84" s="20" t="s">
        <v>464</v>
      </c>
      <c r="F84" s="20" t="s">
        <v>371</v>
      </c>
      <c r="G84" s="8" t="str">
        <f t="shared" si="2"/>
        <v>AUSTIN THOMPSON</v>
      </c>
      <c r="H84" s="20" t="str">
        <f t="shared" si="3"/>
        <v>4009</v>
      </c>
    </row>
    <row r="85" spans="1:8" x14ac:dyDescent="0.25">
      <c r="A85" s="8">
        <v>43052.426979166667</v>
      </c>
      <c r="B85" s="20" t="s">
        <v>358</v>
      </c>
      <c r="C85" s="20" t="s">
        <v>732</v>
      </c>
      <c r="D85" s="138">
        <v>1110000</v>
      </c>
      <c r="E85" s="20" t="s">
        <v>733</v>
      </c>
      <c r="F85" s="20" t="s">
        <v>734</v>
      </c>
      <c r="G85" s="8" t="str">
        <f t="shared" si="2"/>
        <v>STARKS ANGELINA</v>
      </c>
      <c r="H85" s="20" t="str">
        <f t="shared" si="3"/>
        <v>4060</v>
      </c>
    </row>
    <row r="86" spans="1:8" x14ac:dyDescent="0.25">
      <c r="A86" s="8">
        <v>43052.431331018517</v>
      </c>
      <c r="B86" s="20" t="s">
        <v>664</v>
      </c>
      <c r="C86" s="20" t="s">
        <v>735</v>
      </c>
      <c r="D86" s="138">
        <v>1830000</v>
      </c>
      <c r="E86" s="20" t="s">
        <v>347</v>
      </c>
      <c r="F86" s="20" t="s">
        <v>348</v>
      </c>
      <c r="G86" s="8" t="str">
        <f t="shared" si="2"/>
        <v>YORK EDGAR</v>
      </c>
      <c r="H86" s="20" t="str">
        <f t="shared" si="3"/>
        <v>4039</v>
      </c>
    </row>
    <row r="87" spans="1:8" x14ac:dyDescent="0.25">
      <c r="A87" s="8">
        <v>43052.433564814812</v>
      </c>
      <c r="B87" s="20" t="s">
        <v>368</v>
      </c>
      <c r="C87" s="20" t="s">
        <v>736</v>
      </c>
      <c r="D87" s="138">
        <v>1230000</v>
      </c>
      <c r="E87" s="20" t="s">
        <v>687</v>
      </c>
      <c r="F87" s="20" t="s">
        <v>688</v>
      </c>
      <c r="G87" s="8" t="str">
        <f t="shared" si="2"/>
        <v>YANAI IAN</v>
      </c>
      <c r="H87" s="20" t="str">
        <f t="shared" si="3"/>
        <v>4035</v>
      </c>
    </row>
    <row r="88" spans="1:8" x14ac:dyDescent="0.25">
      <c r="A88" s="8">
        <v>43052.433888888889</v>
      </c>
      <c r="B88" s="20" t="s">
        <v>635</v>
      </c>
      <c r="C88" s="20" t="s">
        <v>737</v>
      </c>
      <c r="D88" s="138">
        <v>2560000</v>
      </c>
      <c r="E88" s="20" t="s">
        <v>560</v>
      </c>
      <c r="F88" s="20" t="s">
        <v>561</v>
      </c>
      <c r="G88" s="8" t="str">
        <f t="shared" si="2"/>
        <v>MACDONALD THOMAS</v>
      </c>
      <c r="H88" s="20" t="str">
        <f t="shared" si="3"/>
        <v>4020</v>
      </c>
    </row>
    <row r="89" spans="1:8" x14ac:dyDescent="0.25">
      <c r="A89" s="8">
        <v>43052.433958333335</v>
      </c>
      <c r="B89" s="20" t="s">
        <v>653</v>
      </c>
      <c r="C89" s="20" t="s">
        <v>738</v>
      </c>
      <c r="D89" s="138">
        <v>3090000</v>
      </c>
      <c r="E89" s="20" t="s">
        <v>682</v>
      </c>
      <c r="F89" s="20" t="s">
        <v>683</v>
      </c>
      <c r="G89" s="8" t="str">
        <f t="shared" si="2"/>
        <v>LAMAR NEKESHA</v>
      </c>
      <c r="H89" s="20" t="str">
        <f t="shared" si="3"/>
        <v>4013</v>
      </c>
    </row>
    <row r="90" spans="1:8" x14ac:dyDescent="0.25">
      <c r="A90" s="8">
        <v>43052.445706018516</v>
      </c>
      <c r="B90" s="20" t="s">
        <v>394</v>
      </c>
      <c r="C90" s="20" t="s">
        <v>739</v>
      </c>
      <c r="D90" s="138">
        <v>2550000</v>
      </c>
      <c r="E90" s="20" t="s">
        <v>563</v>
      </c>
      <c r="F90" s="20" t="s">
        <v>564</v>
      </c>
      <c r="G90" s="8" t="str">
        <f t="shared" si="2"/>
        <v>BADERTSCHER DIANE</v>
      </c>
      <c r="H90" s="20" t="str">
        <f t="shared" si="3"/>
        <v>4028</v>
      </c>
    </row>
    <row r="91" spans="1:8" x14ac:dyDescent="0.25">
      <c r="A91" s="8">
        <v>43052.447905092595</v>
      </c>
      <c r="B91" s="20" t="s">
        <v>373</v>
      </c>
      <c r="C91" s="20" t="s">
        <v>740</v>
      </c>
      <c r="D91" s="138">
        <v>3510000</v>
      </c>
      <c r="E91" s="20" t="s">
        <v>668</v>
      </c>
      <c r="F91" s="20" t="s">
        <v>669</v>
      </c>
      <c r="G91" s="8" t="str">
        <f t="shared" si="2"/>
        <v>BARRON PERLA</v>
      </c>
      <c r="H91" s="20" t="str">
        <f t="shared" si="3"/>
        <v>4011</v>
      </c>
    </row>
    <row r="92" spans="1:8" x14ac:dyDescent="0.25">
      <c r="A92" s="8">
        <v>43052.451458333337</v>
      </c>
      <c r="B92" s="20" t="s">
        <v>389</v>
      </c>
      <c r="C92" s="20" t="s">
        <v>641</v>
      </c>
      <c r="D92" s="138">
        <v>2140000</v>
      </c>
      <c r="E92" s="20" t="s">
        <v>741</v>
      </c>
      <c r="F92" s="20" t="s">
        <v>742</v>
      </c>
      <c r="G92" s="8" t="str">
        <f t="shared" si="2"/>
        <v>ROBINSON KADDIBA</v>
      </c>
      <c r="H92" s="20" t="str">
        <f t="shared" si="3"/>
        <v>4029</v>
      </c>
    </row>
    <row r="93" spans="1:8" x14ac:dyDescent="0.25">
      <c r="A93" s="8">
        <v>43052.455763888887</v>
      </c>
      <c r="B93" s="20" t="s">
        <v>367</v>
      </c>
      <c r="C93" s="20" t="s">
        <v>743</v>
      </c>
      <c r="D93" s="138">
        <v>1230000</v>
      </c>
      <c r="E93" s="20" t="s">
        <v>687</v>
      </c>
      <c r="F93" s="20" t="s">
        <v>688</v>
      </c>
      <c r="G93" s="8" t="str">
        <f t="shared" si="2"/>
        <v>YANAI IAN</v>
      </c>
      <c r="H93" s="20" t="str">
        <f t="shared" si="3"/>
        <v>4036</v>
      </c>
    </row>
    <row r="94" spans="1:8" x14ac:dyDescent="0.25">
      <c r="A94" s="8">
        <v>43052.45585648148</v>
      </c>
      <c r="B94" s="20" t="s">
        <v>455</v>
      </c>
      <c r="C94" s="20" t="s">
        <v>744</v>
      </c>
      <c r="D94" s="138">
        <v>3030000</v>
      </c>
      <c r="E94" s="20" t="s">
        <v>562</v>
      </c>
      <c r="F94" s="20" t="s">
        <v>561</v>
      </c>
      <c r="G94" s="8" t="str">
        <f t="shared" si="2"/>
        <v>BIRENBAUM THOMAS</v>
      </c>
      <c r="H94" s="20" t="str">
        <f t="shared" si="3"/>
        <v>4010</v>
      </c>
    </row>
    <row r="95" spans="1:8" x14ac:dyDescent="0.25">
      <c r="A95" s="8">
        <v>43052.457453703704</v>
      </c>
      <c r="B95" s="20" t="s">
        <v>393</v>
      </c>
      <c r="C95" s="20" t="s">
        <v>745</v>
      </c>
      <c r="D95" s="138">
        <v>1110000</v>
      </c>
      <c r="E95" s="20" t="s">
        <v>733</v>
      </c>
      <c r="F95" s="20" t="s">
        <v>734</v>
      </c>
      <c r="G95" s="8" t="str">
        <f t="shared" si="2"/>
        <v>STARKS ANGELINA</v>
      </c>
      <c r="H95" s="20" t="str">
        <f t="shared" si="3"/>
        <v>4059</v>
      </c>
    </row>
    <row r="96" spans="1:8" x14ac:dyDescent="0.25">
      <c r="A96" s="8">
        <v>43052.467743055553</v>
      </c>
      <c r="B96" s="20" t="s">
        <v>690</v>
      </c>
      <c r="C96" s="20" t="s">
        <v>746</v>
      </c>
      <c r="D96" s="138">
        <v>920000</v>
      </c>
      <c r="E96" s="20" t="s">
        <v>456</v>
      </c>
      <c r="F96" s="20" t="s">
        <v>353</v>
      </c>
      <c r="G96" s="8" t="str">
        <f t="shared" si="2"/>
        <v>DAVIS MICHAEL</v>
      </c>
      <c r="H96" s="20" t="str">
        <f t="shared" si="3"/>
        <v>4014</v>
      </c>
    </row>
    <row r="97" spans="1:8" x14ac:dyDescent="0.25">
      <c r="A97" s="8">
        <v>43052.475231481483</v>
      </c>
      <c r="B97" s="20" t="s">
        <v>690</v>
      </c>
      <c r="C97" s="20" t="s">
        <v>746</v>
      </c>
      <c r="D97" s="138">
        <v>920000</v>
      </c>
      <c r="E97" s="20" t="s">
        <v>456</v>
      </c>
      <c r="F97" s="20" t="s">
        <v>353</v>
      </c>
      <c r="G97" s="8" t="str">
        <f t="shared" si="2"/>
        <v>DAVIS MICHAEL</v>
      </c>
      <c r="H97" s="20" t="str">
        <f t="shared" si="3"/>
        <v>4014</v>
      </c>
    </row>
    <row r="98" spans="1:8" x14ac:dyDescent="0.25">
      <c r="A98" s="8">
        <v>43052.475393518522</v>
      </c>
      <c r="B98" s="20" t="s">
        <v>368</v>
      </c>
      <c r="C98" s="20" t="s">
        <v>642</v>
      </c>
      <c r="D98" s="138">
        <v>1230000</v>
      </c>
      <c r="E98" s="20" t="s">
        <v>687</v>
      </c>
      <c r="F98" s="20" t="s">
        <v>688</v>
      </c>
      <c r="G98" s="8" t="str">
        <f t="shared" si="2"/>
        <v>YANAI IAN</v>
      </c>
      <c r="H98" s="20" t="str">
        <f t="shared" si="3"/>
        <v>4035</v>
      </c>
    </row>
    <row r="99" spans="1:8" x14ac:dyDescent="0.25">
      <c r="A99" s="8">
        <v>43052.476400462961</v>
      </c>
      <c r="B99" s="20" t="s">
        <v>627</v>
      </c>
      <c r="C99" s="20" t="s">
        <v>747</v>
      </c>
      <c r="D99" s="138">
        <v>2560000</v>
      </c>
      <c r="E99" s="20" t="s">
        <v>560</v>
      </c>
      <c r="F99" s="20" t="s">
        <v>561</v>
      </c>
      <c r="G99" s="8" t="str">
        <f t="shared" si="2"/>
        <v>MACDONALD THOMAS</v>
      </c>
      <c r="H99" s="20" t="str">
        <f t="shared" si="3"/>
        <v>4019</v>
      </c>
    </row>
    <row r="100" spans="1:8" x14ac:dyDescent="0.25">
      <c r="A100" s="8">
        <v>43052.477789351855</v>
      </c>
      <c r="B100" s="20" t="s">
        <v>631</v>
      </c>
      <c r="C100" s="20" t="s">
        <v>748</v>
      </c>
      <c r="D100" s="138">
        <v>880000</v>
      </c>
      <c r="E100" s="20" t="s">
        <v>382</v>
      </c>
      <c r="F100" s="20" t="s">
        <v>353</v>
      </c>
      <c r="G100" s="8" t="str">
        <f t="shared" si="2"/>
        <v>STEWART MICHAEL</v>
      </c>
      <c r="H100" s="20" t="str">
        <f t="shared" si="3"/>
        <v>4040</v>
      </c>
    </row>
    <row r="101" spans="1:8" x14ac:dyDescent="0.25">
      <c r="A101" s="8">
        <v>43052.479108796295</v>
      </c>
      <c r="B101" s="20" t="s">
        <v>639</v>
      </c>
      <c r="C101" s="20" t="s">
        <v>749</v>
      </c>
      <c r="D101" s="138">
        <v>2550000</v>
      </c>
      <c r="E101" s="20" t="s">
        <v>563</v>
      </c>
      <c r="F101" s="20" t="s">
        <v>564</v>
      </c>
      <c r="G101" s="8" t="str">
        <f t="shared" si="2"/>
        <v>BADERTSCHER DIANE</v>
      </c>
      <c r="H101" s="20" t="str">
        <f t="shared" si="3"/>
        <v>4027</v>
      </c>
    </row>
    <row r="102" spans="1:8" x14ac:dyDescent="0.25">
      <c r="A102" s="8">
        <v>43052.479710648149</v>
      </c>
      <c r="B102" s="20" t="s">
        <v>395</v>
      </c>
      <c r="C102" s="20" t="s">
        <v>750</v>
      </c>
      <c r="D102" s="138">
        <v>1830000</v>
      </c>
      <c r="E102" s="20" t="s">
        <v>347</v>
      </c>
      <c r="F102" s="20" t="s">
        <v>348</v>
      </c>
      <c r="G102" s="8" t="str">
        <f t="shared" si="2"/>
        <v>YORK EDGAR</v>
      </c>
      <c r="H102" s="20" t="str">
        <f t="shared" si="3"/>
        <v>4030</v>
      </c>
    </row>
    <row r="103" spans="1:8" x14ac:dyDescent="0.25">
      <c r="A103" s="8">
        <v>43052.480254629627</v>
      </c>
      <c r="B103" s="20" t="s">
        <v>395</v>
      </c>
      <c r="C103" s="20" t="s">
        <v>750</v>
      </c>
      <c r="D103" s="138">
        <v>1830000</v>
      </c>
      <c r="E103" s="20" t="s">
        <v>347</v>
      </c>
      <c r="F103" s="20" t="s">
        <v>348</v>
      </c>
      <c r="G103" s="8" t="str">
        <f t="shared" si="2"/>
        <v>YORK EDGAR</v>
      </c>
      <c r="H103" s="20" t="str">
        <f t="shared" si="3"/>
        <v>4030</v>
      </c>
    </row>
    <row r="104" spans="1:8" x14ac:dyDescent="0.25">
      <c r="A104" s="8">
        <v>43052.484803240739</v>
      </c>
      <c r="B104" s="20" t="s">
        <v>454</v>
      </c>
      <c r="C104" s="20" t="s">
        <v>751</v>
      </c>
      <c r="D104" s="138">
        <v>3030000</v>
      </c>
      <c r="E104" s="20" t="s">
        <v>562</v>
      </c>
      <c r="F104" s="20" t="s">
        <v>561</v>
      </c>
      <c r="G104" s="8" t="str">
        <f t="shared" si="2"/>
        <v>BIRENBAUM THOMAS</v>
      </c>
      <c r="H104" s="20" t="str">
        <f t="shared" si="3"/>
        <v>4009</v>
      </c>
    </row>
    <row r="105" spans="1:8" x14ac:dyDescent="0.25">
      <c r="A105" s="8">
        <v>43052.487592592595</v>
      </c>
      <c r="B105" s="20" t="s">
        <v>372</v>
      </c>
      <c r="C105" s="20" t="s">
        <v>752</v>
      </c>
      <c r="D105" s="138">
        <v>1180000</v>
      </c>
      <c r="E105" s="20" t="s">
        <v>753</v>
      </c>
      <c r="F105" s="20" t="s">
        <v>754</v>
      </c>
      <c r="G105" s="8" t="str">
        <f t="shared" si="2"/>
        <v>LEVERE CRAIG</v>
      </c>
      <c r="H105" s="20" t="str">
        <f t="shared" si="3"/>
        <v>4012</v>
      </c>
    </row>
    <row r="106" spans="1:8" x14ac:dyDescent="0.25">
      <c r="A106" s="8">
        <v>43052.498067129629</v>
      </c>
      <c r="B106" s="20" t="s">
        <v>367</v>
      </c>
      <c r="C106" s="20" t="s">
        <v>755</v>
      </c>
      <c r="D106" s="138">
        <v>1230000</v>
      </c>
      <c r="E106" s="20" t="s">
        <v>687</v>
      </c>
      <c r="F106" s="20" t="s">
        <v>688</v>
      </c>
      <c r="G106" s="8" t="str">
        <f t="shared" si="2"/>
        <v>YANAI IAN</v>
      </c>
      <c r="H106" s="20" t="str">
        <f t="shared" si="3"/>
        <v>4036</v>
      </c>
    </row>
    <row r="107" spans="1:8" x14ac:dyDescent="0.25">
      <c r="A107" s="8">
        <v>43052.498854166668</v>
      </c>
      <c r="B107" s="20" t="s">
        <v>358</v>
      </c>
      <c r="C107" s="20" t="s">
        <v>756</v>
      </c>
      <c r="D107" s="138">
        <v>2970000</v>
      </c>
      <c r="E107" s="20" t="s">
        <v>376</v>
      </c>
      <c r="F107" s="20" t="s">
        <v>377</v>
      </c>
      <c r="G107" s="8" t="str">
        <f t="shared" si="2"/>
        <v>GUZMAN DANNY</v>
      </c>
      <c r="H107" s="20" t="str">
        <f t="shared" si="3"/>
        <v>4060</v>
      </c>
    </row>
    <row r="108" spans="1:8" x14ac:dyDescent="0.25">
      <c r="A108" s="8">
        <v>43052.506550925929</v>
      </c>
      <c r="B108" s="20" t="s">
        <v>653</v>
      </c>
      <c r="C108" s="20" t="s">
        <v>757</v>
      </c>
      <c r="D108" s="138">
        <v>920000</v>
      </c>
      <c r="E108" s="20" t="s">
        <v>456</v>
      </c>
      <c r="F108" s="20" t="s">
        <v>353</v>
      </c>
      <c r="G108" s="8" t="str">
        <f t="shared" si="2"/>
        <v>DAVIS MICHAEL</v>
      </c>
      <c r="H108" s="20" t="str">
        <f t="shared" si="3"/>
        <v>4013</v>
      </c>
    </row>
    <row r="109" spans="1:8" x14ac:dyDescent="0.25">
      <c r="A109" s="8">
        <v>43052.510682870372</v>
      </c>
      <c r="B109" s="20" t="s">
        <v>635</v>
      </c>
      <c r="C109" s="20" t="s">
        <v>758</v>
      </c>
      <c r="D109" s="138">
        <v>2630000</v>
      </c>
      <c r="E109" s="20" t="s">
        <v>374</v>
      </c>
      <c r="F109" s="20" t="s">
        <v>375</v>
      </c>
      <c r="G109" s="8" t="str">
        <f t="shared" si="2"/>
        <v>SAFIEF AEIMEN</v>
      </c>
      <c r="H109" s="20" t="str">
        <f t="shared" si="3"/>
        <v>4020</v>
      </c>
    </row>
    <row r="110" spans="1:8" x14ac:dyDescent="0.25">
      <c r="A110" s="8">
        <v>43052.516932870371</v>
      </c>
      <c r="B110" s="20" t="s">
        <v>368</v>
      </c>
      <c r="C110" s="20" t="s">
        <v>759</v>
      </c>
      <c r="D110" s="138">
        <v>1230000</v>
      </c>
      <c r="E110" s="20" t="s">
        <v>687</v>
      </c>
      <c r="F110" s="20" t="s">
        <v>688</v>
      </c>
      <c r="G110" s="8" t="str">
        <f t="shared" si="2"/>
        <v>YANAI IAN</v>
      </c>
      <c r="H110" s="20" t="str">
        <f t="shared" si="3"/>
        <v>4035</v>
      </c>
    </row>
    <row r="111" spans="1:8" x14ac:dyDescent="0.25">
      <c r="A111" s="8">
        <v>43052.517592592594</v>
      </c>
      <c r="B111" s="20" t="s">
        <v>664</v>
      </c>
      <c r="C111" s="20" t="s">
        <v>760</v>
      </c>
      <c r="D111" s="138">
        <v>880000</v>
      </c>
      <c r="E111" s="20" t="s">
        <v>382</v>
      </c>
      <c r="F111" s="20" t="s">
        <v>353</v>
      </c>
      <c r="G111" s="8" t="str">
        <f t="shared" si="2"/>
        <v>STEWART MICHAEL</v>
      </c>
      <c r="H111" s="20" t="str">
        <f t="shared" si="3"/>
        <v>4039</v>
      </c>
    </row>
    <row r="112" spans="1:8" x14ac:dyDescent="0.25">
      <c r="A112" s="8">
        <v>43052.518703703703</v>
      </c>
      <c r="B112" s="20" t="s">
        <v>394</v>
      </c>
      <c r="C112" s="20" t="s">
        <v>761</v>
      </c>
      <c r="D112" s="138">
        <v>2550000</v>
      </c>
      <c r="E112" s="20" t="s">
        <v>563</v>
      </c>
      <c r="F112" s="20" t="s">
        <v>564</v>
      </c>
      <c r="G112" s="8" t="str">
        <f t="shared" si="2"/>
        <v>BADERTSCHER DIANE</v>
      </c>
      <c r="H112" s="20" t="str">
        <f t="shared" si="3"/>
        <v>4028</v>
      </c>
    </row>
    <row r="113" spans="1:8" x14ac:dyDescent="0.25">
      <c r="A113" s="8">
        <v>43052.523877314816</v>
      </c>
      <c r="B113" s="20" t="s">
        <v>373</v>
      </c>
      <c r="C113" s="20" t="s">
        <v>762</v>
      </c>
      <c r="D113" s="138">
        <v>1180000</v>
      </c>
      <c r="E113" s="20" t="s">
        <v>753</v>
      </c>
      <c r="F113" s="20" t="s">
        <v>754</v>
      </c>
      <c r="G113" s="8" t="str">
        <f t="shared" si="2"/>
        <v>LEVERE CRAIG</v>
      </c>
      <c r="H113" s="20" t="str">
        <f t="shared" si="3"/>
        <v>4011</v>
      </c>
    </row>
    <row r="114" spans="1:8" x14ac:dyDescent="0.25">
      <c r="A114" s="8">
        <v>43052.528217592589</v>
      </c>
      <c r="B114" s="20" t="s">
        <v>455</v>
      </c>
      <c r="C114" s="20" t="s">
        <v>763</v>
      </c>
      <c r="D114" s="138">
        <v>2230000</v>
      </c>
      <c r="E114" s="20" t="s">
        <v>396</v>
      </c>
      <c r="F114" s="20" t="s">
        <v>353</v>
      </c>
      <c r="G114" s="8" t="str">
        <f t="shared" si="2"/>
        <v>SMITH MICHAEL</v>
      </c>
      <c r="H114" s="20" t="str">
        <f t="shared" si="3"/>
        <v>4010</v>
      </c>
    </row>
    <row r="115" spans="1:8" x14ac:dyDescent="0.25">
      <c r="A115" s="8">
        <v>43052.531076388892</v>
      </c>
      <c r="B115" s="20" t="s">
        <v>393</v>
      </c>
      <c r="C115" s="20" t="s">
        <v>764</v>
      </c>
      <c r="D115" s="138">
        <v>2970000</v>
      </c>
      <c r="E115" s="20" t="s">
        <v>376</v>
      </c>
      <c r="F115" s="20" t="s">
        <v>377</v>
      </c>
      <c r="G115" s="8" t="str">
        <f t="shared" si="2"/>
        <v>GUZMAN DANNY</v>
      </c>
      <c r="H115" s="20" t="str">
        <f t="shared" si="3"/>
        <v>4059</v>
      </c>
    </row>
    <row r="116" spans="1:8" x14ac:dyDescent="0.25">
      <c r="A116" s="8">
        <v>43052.539918981478</v>
      </c>
      <c r="B116" s="20" t="s">
        <v>690</v>
      </c>
      <c r="C116" s="20" t="s">
        <v>765</v>
      </c>
      <c r="D116" s="138">
        <v>920000</v>
      </c>
      <c r="E116" s="20" t="s">
        <v>456</v>
      </c>
      <c r="F116" s="20" t="s">
        <v>353</v>
      </c>
      <c r="G116" s="8" t="str">
        <f t="shared" si="2"/>
        <v>DAVIS MICHAEL</v>
      </c>
      <c r="H116" s="20" t="str">
        <f t="shared" si="3"/>
        <v>4014</v>
      </c>
    </row>
    <row r="117" spans="1:8" x14ac:dyDescent="0.25">
      <c r="A117" s="8">
        <v>43052.542395833334</v>
      </c>
      <c r="B117" s="20" t="s">
        <v>367</v>
      </c>
      <c r="C117" s="20" t="s">
        <v>766</v>
      </c>
      <c r="D117" s="138">
        <v>1300000</v>
      </c>
      <c r="E117" s="20" t="s">
        <v>359</v>
      </c>
      <c r="F117" s="20" t="s">
        <v>360</v>
      </c>
      <c r="G117" s="8" t="str">
        <f t="shared" si="2"/>
        <v>LEVIN SCOTT</v>
      </c>
      <c r="H117" s="20" t="str">
        <f t="shared" si="3"/>
        <v>4036</v>
      </c>
    </row>
    <row r="118" spans="1:8" x14ac:dyDescent="0.25">
      <c r="A118" s="8">
        <v>43052.545636574076</v>
      </c>
      <c r="B118" s="20" t="s">
        <v>627</v>
      </c>
      <c r="C118" s="20" t="s">
        <v>767</v>
      </c>
      <c r="D118" s="138">
        <v>2630000</v>
      </c>
      <c r="E118" s="20" t="s">
        <v>374</v>
      </c>
      <c r="F118" s="20" t="s">
        <v>375</v>
      </c>
      <c r="G118" s="8" t="str">
        <f t="shared" si="2"/>
        <v>SAFIEF AEIMEN</v>
      </c>
      <c r="H118" s="20" t="str">
        <f t="shared" si="3"/>
        <v>4019</v>
      </c>
    </row>
    <row r="119" spans="1:8" x14ac:dyDescent="0.25">
      <c r="A119" s="8">
        <v>43052.55395833333</v>
      </c>
      <c r="B119" s="20" t="s">
        <v>631</v>
      </c>
      <c r="C119" s="20" t="s">
        <v>645</v>
      </c>
      <c r="D119" s="138">
        <v>880000</v>
      </c>
      <c r="E119" s="20" t="s">
        <v>382</v>
      </c>
      <c r="F119" s="20" t="s">
        <v>353</v>
      </c>
      <c r="G119" s="8" t="str">
        <f t="shared" si="2"/>
        <v>STEWART MICHAEL</v>
      </c>
      <c r="H119" s="20" t="str">
        <f t="shared" si="3"/>
        <v>4040</v>
      </c>
    </row>
    <row r="120" spans="1:8" x14ac:dyDescent="0.25">
      <c r="A120" s="8">
        <v>43052.554236111115</v>
      </c>
      <c r="B120" s="20" t="s">
        <v>639</v>
      </c>
      <c r="C120" s="20" t="s">
        <v>644</v>
      </c>
      <c r="D120" s="138">
        <v>2550000</v>
      </c>
      <c r="E120" s="20" t="s">
        <v>563</v>
      </c>
      <c r="F120" s="20" t="s">
        <v>564</v>
      </c>
      <c r="G120" s="8" t="str">
        <f t="shared" si="2"/>
        <v>BADERTSCHER DIANE</v>
      </c>
      <c r="H120" s="20" t="str">
        <f t="shared" si="3"/>
        <v>4027</v>
      </c>
    </row>
    <row r="121" spans="1:8" x14ac:dyDescent="0.25">
      <c r="A121" s="8">
        <v>43052.559328703705</v>
      </c>
      <c r="B121" s="20" t="s">
        <v>368</v>
      </c>
      <c r="C121" s="20" t="s">
        <v>768</v>
      </c>
      <c r="D121" s="138">
        <v>1300000</v>
      </c>
      <c r="E121" s="20" t="s">
        <v>359</v>
      </c>
      <c r="F121" s="20" t="s">
        <v>360</v>
      </c>
      <c r="G121" s="8" t="str">
        <f t="shared" si="2"/>
        <v>LEVIN SCOTT</v>
      </c>
      <c r="H121" s="20" t="str">
        <f t="shared" si="3"/>
        <v>4035</v>
      </c>
    </row>
    <row r="122" spans="1:8" x14ac:dyDescent="0.25">
      <c r="A122" s="8">
        <v>43052.565983796296</v>
      </c>
      <c r="B122" s="25" t="s">
        <v>372</v>
      </c>
      <c r="C122" s="20" t="s">
        <v>646</v>
      </c>
      <c r="D122" s="138">
        <v>1180000</v>
      </c>
      <c r="E122" s="20" t="s">
        <v>753</v>
      </c>
      <c r="F122" s="20" t="s">
        <v>754</v>
      </c>
      <c r="G122" s="8" t="str">
        <f t="shared" si="2"/>
        <v>LEVERE CRAIG</v>
      </c>
      <c r="H122" s="20" t="str">
        <f t="shared" si="3"/>
        <v>4012</v>
      </c>
    </row>
    <row r="123" spans="1:8" x14ac:dyDescent="0.25">
      <c r="A123" s="8">
        <v>43052.566817129627</v>
      </c>
      <c r="B123" s="20" t="s">
        <v>454</v>
      </c>
      <c r="C123" s="20" t="s">
        <v>769</v>
      </c>
      <c r="D123" s="138">
        <v>2230000</v>
      </c>
      <c r="E123" s="20" t="s">
        <v>396</v>
      </c>
      <c r="F123" s="20" t="s">
        <v>353</v>
      </c>
      <c r="G123" s="8" t="str">
        <f t="shared" si="2"/>
        <v>SMITH MICHAEL</v>
      </c>
      <c r="H123" s="20" t="str">
        <f t="shared" si="3"/>
        <v>4009</v>
      </c>
    </row>
    <row r="124" spans="1:8" x14ac:dyDescent="0.25">
      <c r="A124" s="8">
        <v>43052.572870370372</v>
      </c>
      <c r="B124" s="20" t="s">
        <v>358</v>
      </c>
      <c r="C124" s="20" t="s">
        <v>770</v>
      </c>
      <c r="D124" s="138">
        <v>2970000</v>
      </c>
      <c r="E124" s="20" t="s">
        <v>376</v>
      </c>
      <c r="F124" s="20" t="s">
        <v>377</v>
      </c>
      <c r="G124" s="8" t="str">
        <f t="shared" si="2"/>
        <v>GUZMAN DANNY</v>
      </c>
      <c r="H124" s="20" t="str">
        <f t="shared" si="3"/>
        <v>4060</v>
      </c>
    </row>
    <row r="125" spans="1:8" x14ac:dyDescent="0.25">
      <c r="A125" s="8">
        <v>43052.579236111109</v>
      </c>
      <c r="B125" s="20" t="s">
        <v>653</v>
      </c>
      <c r="C125" s="20" t="s">
        <v>771</v>
      </c>
      <c r="D125" s="138">
        <v>920000</v>
      </c>
      <c r="E125" s="20" t="s">
        <v>456</v>
      </c>
      <c r="F125" s="20" t="s">
        <v>353</v>
      </c>
      <c r="G125" s="8" t="str">
        <f t="shared" si="2"/>
        <v>DAVIS MICHAEL</v>
      </c>
      <c r="H125" s="20" t="str">
        <f t="shared" si="3"/>
        <v>4013</v>
      </c>
    </row>
    <row r="126" spans="1:8" x14ac:dyDescent="0.25">
      <c r="A126" s="8">
        <v>43052.583368055559</v>
      </c>
      <c r="B126" s="20" t="s">
        <v>367</v>
      </c>
      <c r="C126" s="20" t="s">
        <v>772</v>
      </c>
      <c r="D126" s="138">
        <v>1300000</v>
      </c>
      <c r="E126" s="20" t="s">
        <v>359</v>
      </c>
      <c r="F126" s="20" t="s">
        <v>360</v>
      </c>
      <c r="G126" s="8" t="str">
        <f t="shared" si="2"/>
        <v>LEVIN SCOTT</v>
      </c>
      <c r="H126" s="20" t="str">
        <f t="shared" si="3"/>
        <v>4036</v>
      </c>
    </row>
    <row r="127" spans="1:8" x14ac:dyDescent="0.25">
      <c r="A127" s="8">
        <v>43052.584305555552</v>
      </c>
      <c r="B127" s="20" t="s">
        <v>635</v>
      </c>
      <c r="C127" s="20" t="s">
        <v>773</v>
      </c>
      <c r="D127" s="138">
        <v>2630000</v>
      </c>
      <c r="E127" s="20" t="s">
        <v>374</v>
      </c>
      <c r="F127" s="20" t="s">
        <v>375</v>
      </c>
      <c r="G127" s="8" t="str">
        <f t="shared" si="2"/>
        <v>SAFIEF AEIMEN</v>
      </c>
      <c r="H127" s="20" t="str">
        <f t="shared" si="3"/>
        <v>4020</v>
      </c>
    </row>
    <row r="128" spans="1:8" x14ac:dyDescent="0.25">
      <c r="A128" s="8">
        <v>43052.590138888889</v>
      </c>
      <c r="B128" s="20" t="s">
        <v>664</v>
      </c>
      <c r="C128" s="20" t="s">
        <v>774</v>
      </c>
      <c r="D128" s="138">
        <v>880000</v>
      </c>
      <c r="E128" s="20" t="s">
        <v>382</v>
      </c>
      <c r="F128" s="20" t="s">
        <v>353</v>
      </c>
      <c r="G128" s="8" t="str">
        <f t="shared" si="2"/>
        <v>STEWART MICHAEL</v>
      </c>
      <c r="H128" s="20" t="str">
        <f t="shared" si="3"/>
        <v>4039</v>
      </c>
    </row>
    <row r="129" spans="1:8" x14ac:dyDescent="0.25">
      <c r="A129" s="8">
        <v>43052.597673611112</v>
      </c>
      <c r="B129" s="20" t="s">
        <v>394</v>
      </c>
      <c r="C129" s="20" t="s">
        <v>775</v>
      </c>
      <c r="D129" s="138">
        <v>2550000</v>
      </c>
      <c r="E129" s="20" t="s">
        <v>563</v>
      </c>
      <c r="F129" s="20" t="s">
        <v>564</v>
      </c>
      <c r="G129" s="8" t="str">
        <f t="shared" si="2"/>
        <v>BADERTSCHER DIANE</v>
      </c>
      <c r="H129" s="20" t="str">
        <f t="shared" si="3"/>
        <v>4028</v>
      </c>
    </row>
    <row r="130" spans="1:8" x14ac:dyDescent="0.25">
      <c r="A130" s="8">
        <v>43052.601307870369</v>
      </c>
      <c r="B130" s="20" t="s">
        <v>368</v>
      </c>
      <c r="C130" s="20" t="s">
        <v>776</v>
      </c>
      <c r="D130" s="138">
        <v>1300000</v>
      </c>
      <c r="E130" s="20" t="s">
        <v>359</v>
      </c>
      <c r="F130" s="20" t="s">
        <v>360</v>
      </c>
      <c r="G130" s="8" t="str">
        <f t="shared" si="2"/>
        <v>LEVIN SCOTT</v>
      </c>
      <c r="H130" s="20" t="str">
        <f t="shared" si="3"/>
        <v>4035</v>
      </c>
    </row>
    <row r="131" spans="1:8" x14ac:dyDescent="0.25">
      <c r="A131" s="8">
        <v>43052.601539351854</v>
      </c>
      <c r="B131" s="20" t="s">
        <v>373</v>
      </c>
      <c r="C131" s="20" t="s">
        <v>777</v>
      </c>
      <c r="D131" s="138">
        <v>1180000</v>
      </c>
      <c r="E131" s="20" t="s">
        <v>753</v>
      </c>
      <c r="F131" s="20" t="s">
        <v>754</v>
      </c>
      <c r="G131" s="8" t="str">
        <f t="shared" ref="G131:G194" si="4">E131&amp;" "&amp;F131</f>
        <v>LEVERE CRAIG</v>
      </c>
      <c r="H131" s="20" t="str">
        <f t="shared" ref="H131:H194" si="5">MID(B131,13,4)</f>
        <v>4011</v>
      </c>
    </row>
    <row r="132" spans="1:8" x14ac:dyDescent="0.25">
      <c r="A132" s="8">
        <v>43052.603842592594</v>
      </c>
      <c r="B132" s="20" t="s">
        <v>455</v>
      </c>
      <c r="C132" s="20" t="s">
        <v>778</v>
      </c>
      <c r="D132" s="138">
        <v>2230000</v>
      </c>
      <c r="E132" s="20" t="s">
        <v>396</v>
      </c>
      <c r="F132" s="20" t="s">
        <v>353</v>
      </c>
      <c r="G132" s="8" t="str">
        <f t="shared" si="4"/>
        <v>SMITH MICHAEL</v>
      </c>
      <c r="H132" s="20" t="str">
        <f t="shared" si="5"/>
        <v>4010</v>
      </c>
    </row>
    <row r="133" spans="1:8" x14ac:dyDescent="0.25">
      <c r="A133" s="8">
        <v>43052.607708333337</v>
      </c>
      <c r="B133" s="20" t="s">
        <v>393</v>
      </c>
      <c r="C133" s="20" t="s">
        <v>779</v>
      </c>
      <c r="D133" s="138">
        <v>2970000</v>
      </c>
      <c r="E133" s="20" t="s">
        <v>376</v>
      </c>
      <c r="F133" s="20" t="s">
        <v>377</v>
      </c>
      <c r="G133" s="8" t="str">
        <f t="shared" si="4"/>
        <v>GUZMAN DANNY</v>
      </c>
      <c r="H133" s="20" t="str">
        <f t="shared" si="5"/>
        <v>4059</v>
      </c>
    </row>
    <row r="134" spans="1:8" x14ac:dyDescent="0.25">
      <c r="A134" s="8">
        <v>43052.612361111111</v>
      </c>
      <c r="B134" s="20" t="s">
        <v>690</v>
      </c>
      <c r="C134" s="20" t="s">
        <v>780</v>
      </c>
      <c r="D134" s="138">
        <v>920000</v>
      </c>
      <c r="E134" s="20" t="s">
        <v>456</v>
      </c>
      <c r="F134" s="20" t="s">
        <v>353</v>
      </c>
      <c r="G134" s="8" t="str">
        <f t="shared" si="4"/>
        <v>DAVIS MICHAEL</v>
      </c>
      <c r="H134" s="20" t="str">
        <f t="shared" si="5"/>
        <v>4014</v>
      </c>
    </row>
    <row r="135" spans="1:8" x14ac:dyDescent="0.25">
      <c r="A135" s="8">
        <v>43052.620069444441</v>
      </c>
      <c r="B135" s="20" t="s">
        <v>627</v>
      </c>
      <c r="C135" s="20" t="s">
        <v>781</v>
      </c>
      <c r="D135" s="138">
        <v>2630000</v>
      </c>
      <c r="E135" s="20" t="s">
        <v>374</v>
      </c>
      <c r="F135" s="20" t="s">
        <v>375</v>
      </c>
      <c r="G135" s="8" t="str">
        <f t="shared" si="4"/>
        <v>SAFIEF AEIMEN</v>
      </c>
      <c r="H135" s="20" t="str">
        <f t="shared" si="5"/>
        <v>4019</v>
      </c>
    </row>
    <row r="136" spans="1:8" x14ac:dyDescent="0.25">
      <c r="A136" s="8">
        <v>43052.623344907406</v>
      </c>
      <c r="B136" s="20" t="s">
        <v>631</v>
      </c>
      <c r="C136" s="20" t="s">
        <v>782</v>
      </c>
      <c r="D136" s="138">
        <v>880000</v>
      </c>
      <c r="E136" s="20" t="s">
        <v>382</v>
      </c>
      <c r="F136" s="20" t="s">
        <v>353</v>
      </c>
      <c r="G136" s="8" t="str">
        <f t="shared" si="4"/>
        <v>STEWART MICHAEL</v>
      </c>
      <c r="H136" s="20" t="str">
        <f t="shared" si="5"/>
        <v>4040</v>
      </c>
    </row>
    <row r="137" spans="1:8" x14ac:dyDescent="0.25">
      <c r="A137" s="8">
        <v>43052.625219907408</v>
      </c>
      <c r="B137" s="20" t="s">
        <v>367</v>
      </c>
      <c r="C137" s="20" t="s">
        <v>783</v>
      </c>
      <c r="D137" s="138">
        <v>1300000</v>
      </c>
      <c r="E137" s="20" t="s">
        <v>359</v>
      </c>
      <c r="F137" s="20" t="s">
        <v>360</v>
      </c>
      <c r="G137" s="8" t="str">
        <f t="shared" si="4"/>
        <v>LEVIN SCOTT</v>
      </c>
      <c r="H137" s="20" t="str">
        <f t="shared" si="5"/>
        <v>4036</v>
      </c>
    </row>
    <row r="138" spans="1:8" x14ac:dyDescent="0.25">
      <c r="A138" s="8">
        <v>43052.629560185182</v>
      </c>
      <c r="B138" s="20" t="s">
        <v>639</v>
      </c>
      <c r="C138" s="20" t="s">
        <v>647</v>
      </c>
      <c r="D138" s="138">
        <v>2550000</v>
      </c>
      <c r="E138" s="20" t="s">
        <v>563</v>
      </c>
      <c r="F138" s="20" t="s">
        <v>564</v>
      </c>
      <c r="G138" s="8" t="str">
        <f t="shared" si="4"/>
        <v>BADERTSCHER DIANE</v>
      </c>
      <c r="H138" s="20" t="str">
        <f t="shared" si="5"/>
        <v>4027</v>
      </c>
    </row>
    <row r="139" spans="1:8" x14ac:dyDescent="0.25">
      <c r="A139" s="8">
        <v>43052.633252314816</v>
      </c>
      <c r="B139" s="20" t="s">
        <v>472</v>
      </c>
      <c r="C139" s="20" t="s">
        <v>784</v>
      </c>
      <c r="D139" s="138">
        <v>3670000</v>
      </c>
      <c r="E139" s="20" t="s">
        <v>385</v>
      </c>
      <c r="F139" s="20" t="s">
        <v>369</v>
      </c>
      <c r="G139" s="8" t="str">
        <f t="shared" si="4"/>
        <v>ANDREA WILLIAMS</v>
      </c>
      <c r="H139" s="20" t="str">
        <f t="shared" si="5"/>
        <v>4001</v>
      </c>
    </row>
    <row r="140" spans="1:8" x14ac:dyDescent="0.25">
      <c r="A140" s="8">
        <v>43052.636273148149</v>
      </c>
      <c r="B140" s="20" t="s">
        <v>372</v>
      </c>
      <c r="C140" s="20" t="s">
        <v>785</v>
      </c>
      <c r="D140" s="138">
        <v>1180000</v>
      </c>
      <c r="E140" s="20" t="s">
        <v>753</v>
      </c>
      <c r="F140" s="20" t="s">
        <v>754</v>
      </c>
      <c r="G140" s="8" t="str">
        <f t="shared" si="4"/>
        <v>LEVERE CRAIG</v>
      </c>
      <c r="H140" s="20" t="str">
        <f t="shared" si="5"/>
        <v>4012</v>
      </c>
    </row>
    <row r="141" spans="1:8" x14ac:dyDescent="0.25">
      <c r="A141" s="8">
        <v>43052.639120370368</v>
      </c>
      <c r="B141" s="20" t="s">
        <v>454</v>
      </c>
      <c r="C141" s="20" t="s">
        <v>786</v>
      </c>
      <c r="D141" s="138">
        <v>2230000</v>
      </c>
      <c r="E141" s="20" t="s">
        <v>396</v>
      </c>
      <c r="F141" s="20" t="s">
        <v>353</v>
      </c>
      <c r="G141" s="8" t="str">
        <f t="shared" si="4"/>
        <v>SMITH MICHAEL</v>
      </c>
      <c r="H141" s="20" t="str">
        <f t="shared" si="5"/>
        <v>4009</v>
      </c>
    </row>
    <row r="142" spans="1:8" x14ac:dyDescent="0.25">
      <c r="A142" s="8">
        <v>43052.643078703702</v>
      </c>
      <c r="B142" s="20" t="s">
        <v>358</v>
      </c>
      <c r="C142" s="20" t="s">
        <v>787</v>
      </c>
      <c r="D142" s="138">
        <v>2970000</v>
      </c>
      <c r="E142" s="20" t="s">
        <v>376</v>
      </c>
      <c r="F142" s="20" t="s">
        <v>377</v>
      </c>
      <c r="G142" s="8" t="str">
        <f t="shared" si="4"/>
        <v>GUZMAN DANNY</v>
      </c>
      <c r="H142" s="20" t="str">
        <f t="shared" si="5"/>
        <v>4060</v>
      </c>
    </row>
    <row r="143" spans="1:8" x14ac:dyDescent="0.25">
      <c r="A143" s="8">
        <v>43052.643090277779</v>
      </c>
      <c r="B143" s="20" t="s">
        <v>368</v>
      </c>
      <c r="C143" s="20" t="s">
        <v>788</v>
      </c>
      <c r="D143" s="138">
        <v>1300000</v>
      </c>
      <c r="E143" s="20" t="s">
        <v>359</v>
      </c>
      <c r="F143" s="20" t="s">
        <v>360</v>
      </c>
      <c r="G143" s="8" t="str">
        <f t="shared" si="4"/>
        <v>LEVIN SCOTT</v>
      </c>
      <c r="H143" s="20" t="str">
        <f t="shared" si="5"/>
        <v>4035</v>
      </c>
    </row>
    <row r="144" spans="1:8" x14ac:dyDescent="0.25">
      <c r="A144" s="8">
        <v>43052.646539351852</v>
      </c>
      <c r="B144" s="20" t="s">
        <v>474</v>
      </c>
      <c r="C144" s="20" t="s">
        <v>648</v>
      </c>
      <c r="D144" s="138">
        <v>3670000</v>
      </c>
      <c r="E144" s="20" t="s">
        <v>385</v>
      </c>
      <c r="F144" s="20" t="s">
        <v>369</v>
      </c>
      <c r="G144" s="8" t="str">
        <f t="shared" si="4"/>
        <v>ANDREA WILLIAMS</v>
      </c>
      <c r="H144" s="20" t="str">
        <f t="shared" si="5"/>
        <v>4002</v>
      </c>
    </row>
    <row r="145" spans="1:8" x14ac:dyDescent="0.25">
      <c r="A145" s="8">
        <v>43052.653391203705</v>
      </c>
      <c r="B145" s="20" t="s">
        <v>653</v>
      </c>
      <c r="C145" s="20" t="s">
        <v>789</v>
      </c>
      <c r="D145" s="138">
        <v>920000</v>
      </c>
      <c r="E145" s="20" t="s">
        <v>456</v>
      </c>
      <c r="F145" s="20" t="s">
        <v>353</v>
      </c>
      <c r="G145" s="8" t="str">
        <f t="shared" si="4"/>
        <v>DAVIS MICHAEL</v>
      </c>
      <c r="H145" s="20" t="str">
        <f t="shared" si="5"/>
        <v>4013</v>
      </c>
    </row>
    <row r="146" spans="1:8" x14ac:dyDescent="0.25">
      <c r="A146" s="8">
        <v>43052.654456018521</v>
      </c>
      <c r="B146" s="20" t="s">
        <v>635</v>
      </c>
      <c r="C146" s="20" t="s">
        <v>790</v>
      </c>
      <c r="D146" s="138">
        <v>2630000</v>
      </c>
      <c r="E146" s="20" t="s">
        <v>374</v>
      </c>
      <c r="F146" s="20" t="s">
        <v>375</v>
      </c>
      <c r="G146" s="8" t="str">
        <f t="shared" si="4"/>
        <v>SAFIEF AEIMEN</v>
      </c>
      <c r="H146" s="20" t="str">
        <f t="shared" si="5"/>
        <v>4020</v>
      </c>
    </row>
    <row r="147" spans="1:8" x14ac:dyDescent="0.25">
      <c r="A147" s="8">
        <v>43052.660370370373</v>
      </c>
      <c r="B147" s="20" t="s">
        <v>664</v>
      </c>
      <c r="C147" s="20" t="s">
        <v>791</v>
      </c>
      <c r="D147" s="138">
        <v>880000</v>
      </c>
      <c r="E147" s="20" t="s">
        <v>382</v>
      </c>
      <c r="F147" s="20" t="s">
        <v>353</v>
      </c>
      <c r="G147" s="8" t="str">
        <f t="shared" si="4"/>
        <v>STEWART MICHAEL</v>
      </c>
      <c r="H147" s="20" t="str">
        <f t="shared" si="5"/>
        <v>4039</v>
      </c>
    </row>
    <row r="148" spans="1:8" x14ac:dyDescent="0.25">
      <c r="A148" s="8">
        <v>43052.665393518517</v>
      </c>
      <c r="B148" s="20" t="s">
        <v>472</v>
      </c>
      <c r="C148" s="20" t="s">
        <v>792</v>
      </c>
      <c r="D148" s="138">
        <v>3670000</v>
      </c>
      <c r="E148" s="20" t="s">
        <v>385</v>
      </c>
      <c r="F148" s="20" t="s">
        <v>369</v>
      </c>
      <c r="G148" s="8" t="str">
        <f t="shared" si="4"/>
        <v>ANDREA WILLIAMS</v>
      </c>
      <c r="H148" s="20" t="str">
        <f t="shared" si="5"/>
        <v>4001</v>
      </c>
    </row>
    <row r="149" spans="1:8" x14ac:dyDescent="0.25">
      <c r="A149" s="8">
        <v>43052.665752314817</v>
      </c>
      <c r="B149" s="20" t="s">
        <v>394</v>
      </c>
      <c r="C149" s="20" t="s">
        <v>793</v>
      </c>
      <c r="D149" s="138">
        <v>2550000</v>
      </c>
      <c r="E149" s="20" t="s">
        <v>563</v>
      </c>
      <c r="F149" s="20" t="s">
        <v>564</v>
      </c>
      <c r="G149" s="8" t="str">
        <f t="shared" si="4"/>
        <v>BADERTSCHER DIANE</v>
      </c>
      <c r="H149" s="20" t="str">
        <f t="shared" si="5"/>
        <v>4028</v>
      </c>
    </row>
    <row r="150" spans="1:8" x14ac:dyDescent="0.25">
      <c r="A150" s="8">
        <v>43052.665925925925</v>
      </c>
      <c r="B150" s="20" t="s">
        <v>367</v>
      </c>
      <c r="C150" s="20" t="s">
        <v>794</v>
      </c>
      <c r="D150" s="138">
        <v>1300000</v>
      </c>
      <c r="E150" s="20" t="s">
        <v>359</v>
      </c>
      <c r="F150" s="20" t="s">
        <v>360</v>
      </c>
      <c r="G150" s="8" t="str">
        <f t="shared" si="4"/>
        <v>LEVIN SCOTT</v>
      </c>
      <c r="H150" s="20" t="str">
        <f t="shared" si="5"/>
        <v>4036</v>
      </c>
    </row>
    <row r="151" spans="1:8" x14ac:dyDescent="0.25">
      <c r="A151" s="8">
        <v>43052.670312499999</v>
      </c>
      <c r="B151" s="20" t="s">
        <v>373</v>
      </c>
      <c r="C151" s="20" t="s">
        <v>795</v>
      </c>
      <c r="D151" s="138">
        <v>1180000</v>
      </c>
      <c r="E151" s="20" t="s">
        <v>753</v>
      </c>
      <c r="F151" s="20" t="s">
        <v>754</v>
      </c>
      <c r="G151" s="8" t="str">
        <f t="shared" si="4"/>
        <v>LEVERE CRAIG</v>
      </c>
      <c r="H151" s="20" t="str">
        <f t="shared" si="5"/>
        <v>4011</v>
      </c>
    </row>
    <row r="152" spans="1:8" x14ac:dyDescent="0.25">
      <c r="A152" s="8">
        <v>43052.673159722224</v>
      </c>
      <c r="B152" s="20" t="s">
        <v>393</v>
      </c>
      <c r="C152" s="20" t="s">
        <v>796</v>
      </c>
      <c r="D152" s="138">
        <v>2970000</v>
      </c>
      <c r="E152" s="20" t="s">
        <v>376</v>
      </c>
      <c r="F152" s="20" t="s">
        <v>377</v>
      </c>
      <c r="G152" s="8" t="str">
        <f t="shared" si="4"/>
        <v>GUZMAN DANNY</v>
      </c>
      <c r="H152" s="20" t="str">
        <f t="shared" si="5"/>
        <v>4059</v>
      </c>
    </row>
    <row r="153" spans="1:8" x14ac:dyDescent="0.25">
      <c r="A153" s="8">
        <v>43052.674872685187</v>
      </c>
      <c r="B153" s="20" t="s">
        <v>455</v>
      </c>
      <c r="C153" s="20" t="s">
        <v>797</v>
      </c>
      <c r="D153" s="138">
        <v>2230000</v>
      </c>
      <c r="E153" s="20" t="s">
        <v>396</v>
      </c>
      <c r="F153" s="20" t="s">
        <v>353</v>
      </c>
      <c r="G153" s="8" t="str">
        <f t="shared" si="4"/>
        <v>SMITH MICHAEL</v>
      </c>
      <c r="H153" s="20" t="str">
        <f t="shared" si="5"/>
        <v>4010</v>
      </c>
    </row>
    <row r="154" spans="1:8" x14ac:dyDescent="0.25">
      <c r="A154" s="8">
        <v>43052.685439814813</v>
      </c>
      <c r="B154" s="20" t="s">
        <v>368</v>
      </c>
      <c r="C154" s="20" t="s">
        <v>798</v>
      </c>
      <c r="D154" s="138">
        <v>1300000</v>
      </c>
      <c r="E154" s="20" t="s">
        <v>359</v>
      </c>
      <c r="F154" s="20" t="s">
        <v>360</v>
      </c>
      <c r="G154" s="8" t="str">
        <f t="shared" si="4"/>
        <v>LEVIN SCOTT</v>
      </c>
      <c r="H154" s="20" t="str">
        <f t="shared" si="5"/>
        <v>4035</v>
      </c>
    </row>
    <row r="155" spans="1:8" x14ac:dyDescent="0.25">
      <c r="A155" s="8">
        <v>43052.686377314814</v>
      </c>
      <c r="B155" s="20" t="s">
        <v>627</v>
      </c>
      <c r="C155" s="20" t="s">
        <v>799</v>
      </c>
      <c r="D155" s="138">
        <v>2630000</v>
      </c>
      <c r="E155" s="20" t="s">
        <v>374</v>
      </c>
      <c r="F155" s="20" t="s">
        <v>375</v>
      </c>
      <c r="G155" s="8" t="str">
        <f t="shared" si="4"/>
        <v>SAFIEF AEIMEN</v>
      </c>
      <c r="H155" s="20" t="str">
        <f t="shared" si="5"/>
        <v>4019</v>
      </c>
    </row>
    <row r="156" spans="1:8" x14ac:dyDescent="0.25">
      <c r="A156" s="8">
        <v>43052.687314814815</v>
      </c>
      <c r="B156" s="20" t="s">
        <v>690</v>
      </c>
      <c r="C156" s="20" t="s">
        <v>800</v>
      </c>
      <c r="D156" s="138">
        <v>920000</v>
      </c>
      <c r="E156" s="20" t="s">
        <v>456</v>
      </c>
      <c r="F156" s="20" t="s">
        <v>353</v>
      </c>
      <c r="G156" s="8" t="str">
        <f t="shared" si="4"/>
        <v>DAVIS MICHAEL</v>
      </c>
      <c r="H156" s="20" t="str">
        <f t="shared" si="5"/>
        <v>4014</v>
      </c>
    </row>
    <row r="157" spans="1:8" x14ac:dyDescent="0.25">
      <c r="A157" s="8">
        <v>43052.690358796295</v>
      </c>
      <c r="B157" s="20" t="s">
        <v>474</v>
      </c>
      <c r="C157" s="20" t="s">
        <v>801</v>
      </c>
      <c r="D157" s="138">
        <v>3670000</v>
      </c>
      <c r="E157" s="20" t="s">
        <v>385</v>
      </c>
      <c r="F157" s="20" t="s">
        <v>369</v>
      </c>
      <c r="G157" s="8" t="str">
        <f t="shared" si="4"/>
        <v>ANDREA WILLIAMS</v>
      </c>
      <c r="H157" s="20" t="str">
        <f t="shared" si="5"/>
        <v>4002</v>
      </c>
    </row>
    <row r="158" spans="1:8" x14ac:dyDescent="0.25">
      <c r="A158" s="8">
        <v>43052.694837962961</v>
      </c>
      <c r="B158" s="20" t="s">
        <v>631</v>
      </c>
      <c r="C158" s="20" t="s">
        <v>802</v>
      </c>
      <c r="D158" s="138">
        <v>880000</v>
      </c>
      <c r="E158" s="20" t="s">
        <v>382</v>
      </c>
      <c r="F158" s="20" t="s">
        <v>353</v>
      </c>
      <c r="G158" s="8" t="str">
        <f t="shared" si="4"/>
        <v>STEWART MICHAEL</v>
      </c>
      <c r="H158" s="20" t="str">
        <f t="shared" si="5"/>
        <v>4040</v>
      </c>
    </row>
    <row r="159" spans="1:8" x14ac:dyDescent="0.25">
      <c r="A159" s="8">
        <v>43052.701874999999</v>
      </c>
      <c r="B159" s="20" t="s">
        <v>639</v>
      </c>
      <c r="C159" s="20" t="s">
        <v>803</v>
      </c>
      <c r="D159" s="138">
        <v>2550000</v>
      </c>
      <c r="E159" s="20" t="s">
        <v>563</v>
      </c>
      <c r="F159" s="20" t="s">
        <v>564</v>
      </c>
      <c r="G159" s="8" t="str">
        <f t="shared" si="4"/>
        <v>BADERTSCHER DIANE</v>
      </c>
      <c r="H159" s="20" t="str">
        <f t="shared" si="5"/>
        <v>4027</v>
      </c>
    </row>
    <row r="160" spans="1:8" x14ac:dyDescent="0.25">
      <c r="A160" s="8">
        <v>43052.705740740741</v>
      </c>
      <c r="B160" s="20" t="s">
        <v>472</v>
      </c>
      <c r="C160" s="20" t="s">
        <v>804</v>
      </c>
      <c r="D160" s="138">
        <v>3670000</v>
      </c>
      <c r="E160" s="20" t="s">
        <v>385</v>
      </c>
      <c r="F160" s="20" t="s">
        <v>369</v>
      </c>
      <c r="G160" s="8" t="str">
        <f t="shared" si="4"/>
        <v>ANDREA WILLIAMS</v>
      </c>
      <c r="H160" s="20" t="str">
        <f t="shared" si="5"/>
        <v>4001</v>
      </c>
    </row>
    <row r="161" spans="1:8" x14ac:dyDescent="0.25">
      <c r="A161" s="8">
        <v>43052.706053240741</v>
      </c>
      <c r="B161" s="20" t="s">
        <v>372</v>
      </c>
      <c r="C161" s="20" t="s">
        <v>805</v>
      </c>
      <c r="D161" s="138">
        <v>1180000</v>
      </c>
      <c r="E161" s="20" t="s">
        <v>753</v>
      </c>
      <c r="F161" s="20" t="s">
        <v>754</v>
      </c>
      <c r="G161" s="8" t="str">
        <f t="shared" si="4"/>
        <v>LEVERE CRAIG</v>
      </c>
      <c r="H161" s="20" t="str">
        <f t="shared" si="5"/>
        <v>4012</v>
      </c>
    </row>
    <row r="162" spans="1:8" x14ac:dyDescent="0.25">
      <c r="A162" s="8">
        <v>43052.709282407406</v>
      </c>
      <c r="B162" s="20" t="s">
        <v>367</v>
      </c>
      <c r="C162" s="20" t="s">
        <v>806</v>
      </c>
      <c r="D162" s="138">
        <v>1300000</v>
      </c>
      <c r="E162" s="20" t="s">
        <v>359</v>
      </c>
      <c r="F162" s="20" t="s">
        <v>360</v>
      </c>
      <c r="G162" s="8" t="str">
        <f t="shared" si="4"/>
        <v>LEVIN SCOTT</v>
      </c>
      <c r="H162" s="20" t="str">
        <f t="shared" si="5"/>
        <v>4036</v>
      </c>
    </row>
    <row r="163" spans="1:8" x14ac:dyDescent="0.25">
      <c r="A163" s="8">
        <v>43052.71020833333</v>
      </c>
      <c r="B163" s="20" t="s">
        <v>454</v>
      </c>
      <c r="C163" s="20" t="s">
        <v>807</v>
      </c>
      <c r="D163" s="138">
        <v>2230000</v>
      </c>
      <c r="E163" s="20" t="s">
        <v>396</v>
      </c>
      <c r="F163" s="20" t="s">
        <v>353</v>
      </c>
      <c r="G163" s="8" t="str">
        <f t="shared" si="4"/>
        <v>SMITH MICHAEL</v>
      </c>
      <c r="H163" s="20" t="str">
        <f t="shared" si="5"/>
        <v>4009</v>
      </c>
    </row>
    <row r="164" spans="1:8" x14ac:dyDescent="0.25">
      <c r="A164" s="8">
        <v>43052.712187500001</v>
      </c>
      <c r="B164" s="20" t="s">
        <v>487</v>
      </c>
      <c r="C164" s="20" t="s">
        <v>808</v>
      </c>
      <c r="D164" s="138">
        <v>1760000</v>
      </c>
      <c r="E164" s="20" t="s">
        <v>809</v>
      </c>
      <c r="F164" s="20" t="s">
        <v>810</v>
      </c>
      <c r="G164" s="8" t="str">
        <f t="shared" si="4"/>
        <v>STRICKLAND EVAN</v>
      </c>
      <c r="H164" s="20" t="str">
        <f t="shared" si="5"/>
        <v>4024</v>
      </c>
    </row>
    <row r="165" spans="1:8" x14ac:dyDescent="0.25">
      <c r="A165" s="8">
        <v>43052.716423611113</v>
      </c>
      <c r="B165" s="20" t="s">
        <v>358</v>
      </c>
      <c r="C165" s="20" t="s">
        <v>811</v>
      </c>
      <c r="D165" s="138">
        <v>2970000</v>
      </c>
      <c r="E165" s="20" t="s">
        <v>376</v>
      </c>
      <c r="F165" s="20" t="s">
        <v>377</v>
      </c>
      <c r="G165" s="8" t="str">
        <f t="shared" si="4"/>
        <v>GUZMAN DANNY</v>
      </c>
      <c r="H165" s="20" t="str">
        <f t="shared" si="5"/>
        <v>4060</v>
      </c>
    </row>
    <row r="166" spans="1:8" x14ac:dyDescent="0.25">
      <c r="A166" s="8">
        <v>43052.724918981483</v>
      </c>
      <c r="B166" s="20" t="s">
        <v>653</v>
      </c>
      <c r="C166" s="20" t="s">
        <v>812</v>
      </c>
      <c r="D166" s="138">
        <v>920000</v>
      </c>
      <c r="E166" s="20" t="s">
        <v>456</v>
      </c>
      <c r="F166" s="20" t="s">
        <v>353</v>
      </c>
      <c r="G166" s="8" t="str">
        <f t="shared" si="4"/>
        <v>DAVIS MICHAEL</v>
      </c>
      <c r="H166" s="20" t="str">
        <f t="shared" si="5"/>
        <v>4013</v>
      </c>
    </row>
    <row r="167" spans="1:8" x14ac:dyDescent="0.25">
      <c r="A167" s="8">
        <v>43052.727268518516</v>
      </c>
      <c r="B167" s="20" t="s">
        <v>368</v>
      </c>
      <c r="C167" s="20" t="s">
        <v>813</v>
      </c>
      <c r="D167" s="138">
        <v>1300000</v>
      </c>
      <c r="E167" s="20" t="s">
        <v>359</v>
      </c>
      <c r="F167" s="20" t="s">
        <v>360</v>
      </c>
      <c r="G167" s="8" t="str">
        <f t="shared" si="4"/>
        <v>LEVIN SCOTT</v>
      </c>
      <c r="H167" s="20" t="str">
        <f t="shared" si="5"/>
        <v>4035</v>
      </c>
    </row>
    <row r="168" spans="1:8" x14ac:dyDescent="0.25">
      <c r="A168" s="8">
        <v>43052.727592592593</v>
      </c>
      <c r="B168" s="20" t="s">
        <v>635</v>
      </c>
      <c r="C168" s="20" t="s">
        <v>814</v>
      </c>
      <c r="D168" s="138">
        <v>2630000</v>
      </c>
      <c r="E168" s="20" t="s">
        <v>374</v>
      </c>
      <c r="F168" s="20" t="s">
        <v>375</v>
      </c>
      <c r="G168" s="8" t="str">
        <f t="shared" si="4"/>
        <v>SAFIEF AEIMEN</v>
      </c>
      <c r="H168" s="20" t="str">
        <f t="shared" si="5"/>
        <v>4020</v>
      </c>
    </row>
    <row r="169" spans="1:8" x14ac:dyDescent="0.25">
      <c r="A169" s="8">
        <v>43052.733067129629</v>
      </c>
      <c r="B169" s="20" t="s">
        <v>474</v>
      </c>
      <c r="C169" s="20" t="s">
        <v>649</v>
      </c>
      <c r="D169" s="138">
        <v>3670000</v>
      </c>
      <c r="E169" s="20" t="s">
        <v>385</v>
      </c>
      <c r="F169" s="20" t="s">
        <v>369</v>
      </c>
      <c r="G169" s="8" t="str">
        <f t="shared" si="4"/>
        <v>ANDREA WILLIAMS</v>
      </c>
      <c r="H169" s="20" t="str">
        <f t="shared" si="5"/>
        <v>4002</v>
      </c>
    </row>
    <row r="170" spans="1:8" x14ac:dyDescent="0.25">
      <c r="A170" s="8">
        <v>43052.733738425923</v>
      </c>
      <c r="B170" s="20" t="s">
        <v>664</v>
      </c>
      <c r="C170" s="20" t="s">
        <v>815</v>
      </c>
      <c r="D170" s="138">
        <v>880000</v>
      </c>
      <c r="E170" s="20" t="s">
        <v>382</v>
      </c>
      <c r="F170" s="20" t="s">
        <v>353</v>
      </c>
      <c r="G170" s="8" t="str">
        <f t="shared" si="4"/>
        <v>STEWART MICHAEL</v>
      </c>
      <c r="H170" s="20" t="str">
        <f t="shared" si="5"/>
        <v>4039</v>
      </c>
    </row>
    <row r="171" spans="1:8" x14ac:dyDescent="0.25">
      <c r="A171" s="8">
        <v>43052.734178240738</v>
      </c>
      <c r="B171" s="20" t="s">
        <v>363</v>
      </c>
      <c r="C171" s="20" t="s">
        <v>816</v>
      </c>
      <c r="D171" s="138">
        <v>3500000</v>
      </c>
      <c r="E171" s="20" t="s">
        <v>378</v>
      </c>
      <c r="F171" s="20" t="s">
        <v>379</v>
      </c>
      <c r="G171" s="8" t="str">
        <f t="shared" si="4"/>
        <v>GUNTHIER ERIC</v>
      </c>
      <c r="H171" s="20" t="str">
        <f t="shared" si="5"/>
        <v>4017</v>
      </c>
    </row>
    <row r="172" spans="1:8" x14ac:dyDescent="0.25">
      <c r="A172" s="8">
        <v>43052.740601851852</v>
      </c>
      <c r="B172" s="20" t="s">
        <v>394</v>
      </c>
      <c r="C172" s="20" t="s">
        <v>817</v>
      </c>
      <c r="D172" s="138">
        <v>890000</v>
      </c>
      <c r="E172" s="20" t="s">
        <v>345</v>
      </c>
      <c r="F172" s="20" t="s">
        <v>346</v>
      </c>
      <c r="G172" s="8" t="str">
        <f t="shared" si="4"/>
        <v>LOZA FIDEL</v>
      </c>
      <c r="H172" s="20" t="str">
        <f t="shared" si="5"/>
        <v>4028</v>
      </c>
    </row>
    <row r="173" spans="1:8" x14ac:dyDescent="0.25">
      <c r="A173" s="8">
        <v>43052.743854166663</v>
      </c>
      <c r="B173" s="20" t="s">
        <v>373</v>
      </c>
      <c r="C173" s="20" t="s">
        <v>818</v>
      </c>
      <c r="D173" s="138">
        <v>1180000</v>
      </c>
      <c r="E173" s="20" t="s">
        <v>753</v>
      </c>
      <c r="F173" s="20" t="s">
        <v>754</v>
      </c>
      <c r="G173" s="8" t="str">
        <f t="shared" si="4"/>
        <v>LEVERE CRAIG</v>
      </c>
      <c r="H173" s="20" t="str">
        <f t="shared" si="5"/>
        <v>4011</v>
      </c>
    </row>
    <row r="174" spans="1:8" x14ac:dyDescent="0.25">
      <c r="A174" s="8">
        <v>43052.747164351851</v>
      </c>
      <c r="B174" s="20" t="s">
        <v>455</v>
      </c>
      <c r="C174" s="20" t="s">
        <v>819</v>
      </c>
      <c r="D174" s="138">
        <v>2230000</v>
      </c>
      <c r="E174" s="20" t="s">
        <v>396</v>
      </c>
      <c r="F174" s="20" t="s">
        <v>353</v>
      </c>
      <c r="G174" s="8" t="str">
        <f t="shared" si="4"/>
        <v>SMITH MICHAEL</v>
      </c>
      <c r="H174" s="20" t="str">
        <f t="shared" si="5"/>
        <v>4010</v>
      </c>
    </row>
    <row r="175" spans="1:8" x14ac:dyDescent="0.25">
      <c r="A175" s="8">
        <v>43052.747627314813</v>
      </c>
      <c r="B175" s="20" t="s">
        <v>393</v>
      </c>
      <c r="C175" s="20" t="s">
        <v>820</v>
      </c>
      <c r="D175" s="138">
        <v>2970000</v>
      </c>
      <c r="E175" s="20" t="s">
        <v>376</v>
      </c>
      <c r="F175" s="20" t="s">
        <v>377</v>
      </c>
      <c r="G175" s="8" t="str">
        <f t="shared" si="4"/>
        <v>GUZMAN DANNY</v>
      </c>
      <c r="H175" s="20" t="str">
        <f t="shared" si="5"/>
        <v>4059</v>
      </c>
    </row>
    <row r="176" spans="1:8" x14ac:dyDescent="0.25">
      <c r="A176" s="8">
        <v>43052.747997685183</v>
      </c>
      <c r="B176" s="20" t="s">
        <v>472</v>
      </c>
      <c r="C176" s="20" t="s">
        <v>650</v>
      </c>
      <c r="D176" s="138">
        <v>3670000</v>
      </c>
      <c r="E176" s="20" t="s">
        <v>385</v>
      </c>
      <c r="F176" s="20" t="s">
        <v>369</v>
      </c>
      <c r="G176" s="8" t="str">
        <f t="shared" si="4"/>
        <v>ANDREA WILLIAMS</v>
      </c>
      <c r="H176" s="20" t="str">
        <f t="shared" si="5"/>
        <v>4001</v>
      </c>
    </row>
    <row r="177" spans="1:8" x14ac:dyDescent="0.25">
      <c r="A177" s="8">
        <v>43052.750891203701</v>
      </c>
      <c r="B177" s="20" t="s">
        <v>367</v>
      </c>
      <c r="C177" s="20" t="s">
        <v>821</v>
      </c>
      <c r="D177" s="138">
        <v>2030000</v>
      </c>
      <c r="E177" s="20" t="s">
        <v>565</v>
      </c>
      <c r="F177" s="20" t="s">
        <v>566</v>
      </c>
      <c r="G177" s="8" t="str">
        <f t="shared" si="4"/>
        <v>KILLION DAVID</v>
      </c>
      <c r="H177" s="20" t="str">
        <f t="shared" si="5"/>
        <v>4036</v>
      </c>
    </row>
    <row r="178" spans="1:8" x14ac:dyDescent="0.25">
      <c r="A178" s="8">
        <v>43052.759745370371</v>
      </c>
      <c r="B178" s="20" t="s">
        <v>627</v>
      </c>
      <c r="C178" s="20" t="s">
        <v>822</v>
      </c>
      <c r="D178" s="138">
        <v>2630000</v>
      </c>
      <c r="E178" s="20" t="s">
        <v>374</v>
      </c>
      <c r="F178" s="20" t="s">
        <v>375</v>
      </c>
      <c r="G178" s="8" t="str">
        <f t="shared" si="4"/>
        <v>SAFIEF AEIMEN</v>
      </c>
      <c r="H178" s="20" t="str">
        <f t="shared" si="5"/>
        <v>4019</v>
      </c>
    </row>
    <row r="179" spans="1:8" x14ac:dyDescent="0.25">
      <c r="A179" s="8">
        <v>43052.762337962966</v>
      </c>
      <c r="B179" s="20" t="s">
        <v>690</v>
      </c>
      <c r="C179" s="20" t="s">
        <v>823</v>
      </c>
      <c r="D179" s="138">
        <v>3220000</v>
      </c>
      <c r="E179" s="20" t="s">
        <v>380</v>
      </c>
      <c r="F179" s="20" t="s">
        <v>381</v>
      </c>
      <c r="G179" s="8" t="str">
        <f t="shared" si="4"/>
        <v>RESPASS AARON</v>
      </c>
      <c r="H179" s="20" t="str">
        <f t="shared" si="5"/>
        <v>4014</v>
      </c>
    </row>
    <row r="180" spans="1:8" x14ac:dyDescent="0.25">
      <c r="A180" s="8">
        <v>43052.76871527778</v>
      </c>
      <c r="B180" s="20" t="s">
        <v>368</v>
      </c>
      <c r="C180" s="20" t="s">
        <v>824</v>
      </c>
      <c r="D180" s="138">
        <v>2030000</v>
      </c>
      <c r="E180" s="20" t="s">
        <v>565</v>
      </c>
      <c r="F180" s="20" t="s">
        <v>566</v>
      </c>
      <c r="G180" s="8" t="str">
        <f t="shared" si="4"/>
        <v>KILLION DAVID</v>
      </c>
      <c r="H180" s="20" t="str">
        <f t="shared" si="5"/>
        <v>4035</v>
      </c>
    </row>
    <row r="181" spans="1:8" x14ac:dyDescent="0.25">
      <c r="A181" s="8">
        <v>43052.770115740743</v>
      </c>
      <c r="B181" s="20" t="s">
        <v>631</v>
      </c>
      <c r="C181" s="20" t="s">
        <v>825</v>
      </c>
      <c r="D181" s="138">
        <v>3040000</v>
      </c>
      <c r="E181" s="20" t="s">
        <v>369</v>
      </c>
      <c r="F181" s="20" t="s">
        <v>559</v>
      </c>
      <c r="G181" s="8" t="str">
        <f t="shared" si="4"/>
        <v>WILLIAMS DONTE</v>
      </c>
      <c r="H181" s="20" t="str">
        <f t="shared" si="5"/>
        <v>4040</v>
      </c>
    </row>
    <row r="182" spans="1:8" x14ac:dyDescent="0.25">
      <c r="A182" s="8">
        <v>43052.775590277779</v>
      </c>
      <c r="B182" s="20" t="s">
        <v>474</v>
      </c>
      <c r="C182" s="20" t="s">
        <v>826</v>
      </c>
      <c r="D182" s="138">
        <v>3670000</v>
      </c>
      <c r="E182" s="20" t="s">
        <v>385</v>
      </c>
      <c r="F182" s="20" t="s">
        <v>369</v>
      </c>
      <c r="G182" s="8" t="str">
        <f t="shared" si="4"/>
        <v>ANDREA WILLIAMS</v>
      </c>
      <c r="H182" s="20" t="str">
        <f t="shared" si="5"/>
        <v>4002</v>
      </c>
    </row>
    <row r="183" spans="1:8" x14ac:dyDescent="0.25">
      <c r="A183" s="8">
        <v>43052.775925925926</v>
      </c>
      <c r="B183" s="20" t="s">
        <v>639</v>
      </c>
      <c r="C183" s="20" t="s">
        <v>651</v>
      </c>
      <c r="D183" s="138">
        <v>890000</v>
      </c>
      <c r="E183" s="20" t="s">
        <v>345</v>
      </c>
      <c r="F183" s="20" t="s">
        <v>346</v>
      </c>
      <c r="G183" s="8" t="str">
        <f t="shared" si="4"/>
        <v>LOZA FIDEL</v>
      </c>
      <c r="H183" s="20" t="str">
        <f t="shared" si="5"/>
        <v>4027</v>
      </c>
    </row>
    <row r="184" spans="1:8" x14ac:dyDescent="0.25">
      <c r="A184" s="8">
        <v>43052.780138888891</v>
      </c>
      <c r="B184" s="20" t="s">
        <v>372</v>
      </c>
      <c r="C184" s="20" t="s">
        <v>827</v>
      </c>
      <c r="D184" s="138">
        <v>1180000</v>
      </c>
      <c r="E184" s="20" t="s">
        <v>753</v>
      </c>
      <c r="F184" s="20" t="s">
        <v>754</v>
      </c>
      <c r="G184" s="8" t="str">
        <f t="shared" si="4"/>
        <v>LEVERE CRAIG</v>
      </c>
      <c r="H184" s="20" t="str">
        <f t="shared" si="5"/>
        <v>4012</v>
      </c>
    </row>
    <row r="185" spans="1:8" x14ac:dyDescent="0.25">
      <c r="A185" s="8">
        <v>43052.783796296295</v>
      </c>
      <c r="B185" s="20" t="s">
        <v>454</v>
      </c>
      <c r="C185" s="20" t="s">
        <v>828</v>
      </c>
      <c r="D185" s="138">
        <v>2230000</v>
      </c>
      <c r="E185" s="20" t="s">
        <v>396</v>
      </c>
      <c r="F185" s="20" t="s">
        <v>353</v>
      </c>
      <c r="G185" s="8" t="str">
        <f t="shared" si="4"/>
        <v>SMITH MICHAEL</v>
      </c>
      <c r="H185" s="20" t="str">
        <f t="shared" si="5"/>
        <v>4009</v>
      </c>
    </row>
    <row r="186" spans="1:8" x14ac:dyDescent="0.25">
      <c r="A186" s="8">
        <v>43052.789502314816</v>
      </c>
      <c r="B186" s="20" t="s">
        <v>472</v>
      </c>
      <c r="C186" s="20" t="s">
        <v>829</v>
      </c>
      <c r="D186" s="138">
        <v>3670000</v>
      </c>
      <c r="E186" s="20" t="s">
        <v>385</v>
      </c>
      <c r="F186" s="20" t="s">
        <v>369</v>
      </c>
      <c r="G186" s="8" t="str">
        <f t="shared" si="4"/>
        <v>ANDREA WILLIAMS</v>
      </c>
      <c r="H186" s="20" t="str">
        <f t="shared" si="5"/>
        <v>4001</v>
      </c>
    </row>
    <row r="187" spans="1:8" x14ac:dyDescent="0.25">
      <c r="A187" s="8">
        <v>43052.79010416667</v>
      </c>
      <c r="B187" s="20" t="s">
        <v>358</v>
      </c>
      <c r="C187" s="20" t="s">
        <v>830</v>
      </c>
      <c r="D187" s="138">
        <v>3340000</v>
      </c>
      <c r="E187" s="20" t="s">
        <v>555</v>
      </c>
      <c r="F187" s="20" t="s">
        <v>556</v>
      </c>
      <c r="G187" s="8" t="str">
        <f t="shared" si="4"/>
        <v>ELBAUM MIKE</v>
      </c>
      <c r="H187" s="20" t="str">
        <f t="shared" si="5"/>
        <v>4060</v>
      </c>
    </row>
    <row r="188" spans="1:8" x14ac:dyDescent="0.25">
      <c r="A188" s="8">
        <v>43052.792951388888</v>
      </c>
      <c r="B188" s="20" t="s">
        <v>367</v>
      </c>
      <c r="C188" s="20" t="s">
        <v>831</v>
      </c>
      <c r="D188" s="138">
        <v>2030000</v>
      </c>
      <c r="E188" s="20" t="s">
        <v>565</v>
      </c>
      <c r="F188" s="20" t="s">
        <v>566</v>
      </c>
      <c r="G188" s="8" t="str">
        <f t="shared" si="4"/>
        <v>KILLION DAVID</v>
      </c>
      <c r="H188" s="20" t="str">
        <f t="shared" si="5"/>
        <v>4036</v>
      </c>
    </row>
    <row r="189" spans="1:8" x14ac:dyDescent="0.25">
      <c r="A189" s="8">
        <v>43052.79446759259</v>
      </c>
      <c r="B189" s="20" t="s">
        <v>653</v>
      </c>
      <c r="C189" s="20" t="s">
        <v>832</v>
      </c>
      <c r="D189" s="138">
        <v>3220000</v>
      </c>
      <c r="E189" s="20" t="s">
        <v>380</v>
      </c>
      <c r="F189" s="20" t="s">
        <v>381</v>
      </c>
      <c r="G189" s="8" t="str">
        <f t="shared" si="4"/>
        <v>RESPASS AARON</v>
      </c>
      <c r="H189" s="20" t="str">
        <f t="shared" si="5"/>
        <v>4013</v>
      </c>
    </row>
    <row r="190" spans="1:8" x14ac:dyDescent="0.25">
      <c r="A190" s="8">
        <v>43052.800439814811</v>
      </c>
      <c r="B190" s="20" t="s">
        <v>635</v>
      </c>
      <c r="C190" s="20" t="s">
        <v>833</v>
      </c>
      <c r="D190" s="138">
        <v>2630000</v>
      </c>
      <c r="E190" s="20" t="s">
        <v>374</v>
      </c>
      <c r="F190" s="20" t="s">
        <v>375</v>
      </c>
      <c r="G190" s="8" t="str">
        <f t="shared" si="4"/>
        <v>SAFIEF AEIMEN</v>
      </c>
      <c r="H190" s="20" t="str">
        <f t="shared" si="5"/>
        <v>4020</v>
      </c>
    </row>
    <row r="191" spans="1:8" x14ac:dyDescent="0.25">
      <c r="A191" s="8">
        <v>43052.806932870371</v>
      </c>
      <c r="B191" s="20" t="s">
        <v>664</v>
      </c>
      <c r="C191" s="20" t="s">
        <v>834</v>
      </c>
      <c r="D191" s="138">
        <v>3040000</v>
      </c>
      <c r="E191" s="20" t="s">
        <v>369</v>
      </c>
      <c r="F191" s="20" t="s">
        <v>559</v>
      </c>
      <c r="G191" s="8" t="str">
        <f t="shared" si="4"/>
        <v>WILLIAMS DONTE</v>
      </c>
      <c r="H191" s="20" t="str">
        <f t="shared" si="5"/>
        <v>4039</v>
      </c>
    </row>
    <row r="192" spans="1:8" x14ac:dyDescent="0.25">
      <c r="A192" s="8">
        <v>43052.810694444444</v>
      </c>
      <c r="B192" s="20" t="s">
        <v>368</v>
      </c>
      <c r="C192" s="20" t="s">
        <v>835</v>
      </c>
      <c r="D192" s="138">
        <v>2030000</v>
      </c>
      <c r="E192" s="20" t="s">
        <v>565</v>
      </c>
      <c r="F192" s="20" t="s">
        <v>566</v>
      </c>
      <c r="G192" s="8" t="str">
        <f t="shared" si="4"/>
        <v>KILLION DAVID</v>
      </c>
      <c r="H192" s="20" t="str">
        <f t="shared" si="5"/>
        <v>4035</v>
      </c>
    </row>
    <row r="193" spans="1:8" x14ac:dyDescent="0.25">
      <c r="A193" s="8">
        <v>43052.8121875</v>
      </c>
      <c r="B193" s="20" t="s">
        <v>394</v>
      </c>
      <c r="C193" s="20" t="s">
        <v>836</v>
      </c>
      <c r="D193" s="138">
        <v>890000</v>
      </c>
      <c r="E193" s="20" t="s">
        <v>345</v>
      </c>
      <c r="F193" s="20" t="s">
        <v>346</v>
      </c>
      <c r="G193" s="8" t="str">
        <f t="shared" si="4"/>
        <v>LOZA FIDEL</v>
      </c>
      <c r="H193" s="20" t="str">
        <f t="shared" si="5"/>
        <v>4028</v>
      </c>
    </row>
    <row r="194" spans="1:8" x14ac:dyDescent="0.25">
      <c r="A194" s="8">
        <v>43052.818553240744</v>
      </c>
      <c r="B194" s="20" t="s">
        <v>393</v>
      </c>
      <c r="C194" s="20" t="s">
        <v>837</v>
      </c>
      <c r="D194" s="138">
        <v>3340000</v>
      </c>
      <c r="E194" s="20" t="s">
        <v>555</v>
      </c>
      <c r="F194" s="20" t="s">
        <v>556</v>
      </c>
      <c r="G194" s="8" t="str">
        <f t="shared" si="4"/>
        <v>ELBAUM MIKE</v>
      </c>
      <c r="H194" s="20" t="str">
        <f t="shared" si="5"/>
        <v>4059</v>
      </c>
    </row>
    <row r="195" spans="1:8" x14ac:dyDescent="0.25">
      <c r="A195" s="8">
        <v>43052.821631944447</v>
      </c>
      <c r="B195" s="20" t="s">
        <v>664</v>
      </c>
      <c r="C195" s="20" t="s">
        <v>834</v>
      </c>
      <c r="D195" s="138">
        <v>3040000</v>
      </c>
      <c r="E195" s="20" t="s">
        <v>369</v>
      </c>
      <c r="F195" s="20" t="s">
        <v>559</v>
      </c>
      <c r="G195" s="8" t="str">
        <f t="shared" ref="G195:G258" si="6">E195&amp;" "&amp;F195</f>
        <v>WILLIAMS DONTE</v>
      </c>
      <c r="H195" s="20" t="str">
        <f t="shared" ref="H195:H258" si="7">MID(B195,13,4)</f>
        <v>4039</v>
      </c>
    </row>
    <row r="196" spans="1:8" x14ac:dyDescent="0.25">
      <c r="A196" s="8">
        <v>43052.821863425925</v>
      </c>
      <c r="B196" s="20" t="s">
        <v>455</v>
      </c>
      <c r="C196" s="20" t="s">
        <v>838</v>
      </c>
      <c r="D196" s="138">
        <v>2230000</v>
      </c>
      <c r="E196" s="20" t="s">
        <v>396</v>
      </c>
      <c r="F196" s="20" t="s">
        <v>353</v>
      </c>
      <c r="G196" s="8" t="str">
        <f t="shared" si="6"/>
        <v>SMITH MICHAEL</v>
      </c>
      <c r="H196" s="20" t="str">
        <f t="shared" si="7"/>
        <v>4010</v>
      </c>
    </row>
    <row r="197" spans="1:8" x14ac:dyDescent="0.25">
      <c r="A197" s="8">
        <v>43052.830555555556</v>
      </c>
      <c r="B197" s="20" t="s">
        <v>690</v>
      </c>
      <c r="C197" s="20" t="s">
        <v>832</v>
      </c>
      <c r="D197" s="138">
        <v>3220000</v>
      </c>
      <c r="E197" s="20" t="s">
        <v>380</v>
      </c>
      <c r="F197" s="20" t="s">
        <v>381</v>
      </c>
      <c r="G197" s="8" t="str">
        <f t="shared" si="6"/>
        <v>RESPASS AARON</v>
      </c>
      <c r="H197" s="20" t="str">
        <f t="shared" si="7"/>
        <v>4014</v>
      </c>
    </row>
    <row r="198" spans="1:8" x14ac:dyDescent="0.25">
      <c r="A198" s="8">
        <v>43052.831759259258</v>
      </c>
      <c r="B198" s="20" t="s">
        <v>690</v>
      </c>
      <c r="C198" s="20" t="s">
        <v>839</v>
      </c>
      <c r="D198" s="138">
        <v>3220000</v>
      </c>
      <c r="E198" s="20" t="s">
        <v>380</v>
      </c>
      <c r="F198" s="20" t="s">
        <v>381</v>
      </c>
      <c r="G198" s="8" t="str">
        <f t="shared" si="6"/>
        <v>RESPASS AARON</v>
      </c>
      <c r="H198" s="20" t="str">
        <f t="shared" si="7"/>
        <v>4014</v>
      </c>
    </row>
    <row r="199" spans="1:8" x14ac:dyDescent="0.25">
      <c r="A199" s="8">
        <v>43052.836226851854</v>
      </c>
      <c r="B199" s="20" t="s">
        <v>367</v>
      </c>
      <c r="C199" s="20" t="s">
        <v>840</v>
      </c>
      <c r="D199" s="138">
        <v>2610000</v>
      </c>
      <c r="E199" s="20" t="s">
        <v>383</v>
      </c>
      <c r="F199" s="20" t="s">
        <v>384</v>
      </c>
      <c r="G199" s="8" t="str">
        <f t="shared" si="6"/>
        <v>MAGEE KENYA</v>
      </c>
      <c r="H199" s="20" t="str">
        <f t="shared" si="7"/>
        <v>4036</v>
      </c>
    </row>
    <row r="200" spans="1:8" x14ac:dyDescent="0.25">
      <c r="A200" s="8">
        <v>43052.849918981483</v>
      </c>
      <c r="B200" s="20" t="s">
        <v>631</v>
      </c>
      <c r="C200" s="20" t="s">
        <v>841</v>
      </c>
      <c r="D200" s="138">
        <v>3040000</v>
      </c>
      <c r="E200" s="20" t="s">
        <v>369</v>
      </c>
      <c r="F200" s="20" t="s">
        <v>559</v>
      </c>
      <c r="G200" s="8" t="str">
        <f t="shared" si="6"/>
        <v>WILLIAMS DONTE</v>
      </c>
      <c r="H200" s="20" t="str">
        <f t="shared" si="7"/>
        <v>4040</v>
      </c>
    </row>
    <row r="201" spans="1:8" x14ac:dyDescent="0.25">
      <c r="A201" s="8">
        <v>43052.851805555554</v>
      </c>
      <c r="B201" s="20" t="s">
        <v>639</v>
      </c>
      <c r="C201" s="20" t="s">
        <v>842</v>
      </c>
      <c r="D201" s="138">
        <v>890000</v>
      </c>
      <c r="E201" s="20" t="s">
        <v>345</v>
      </c>
      <c r="F201" s="20" t="s">
        <v>346</v>
      </c>
      <c r="G201" s="8" t="str">
        <f t="shared" si="6"/>
        <v>LOZA FIDEL</v>
      </c>
      <c r="H201" s="20" t="str">
        <f t="shared" si="7"/>
        <v>4027</v>
      </c>
    </row>
    <row r="202" spans="1:8" x14ac:dyDescent="0.25">
      <c r="A202" s="26">
        <v>43052.853321759256</v>
      </c>
      <c r="B202" s="20" t="s">
        <v>368</v>
      </c>
      <c r="C202" s="20" t="s">
        <v>843</v>
      </c>
      <c r="D202" s="138">
        <v>2610000</v>
      </c>
      <c r="E202" s="20" t="s">
        <v>383</v>
      </c>
      <c r="F202" s="20" t="s">
        <v>384</v>
      </c>
      <c r="G202" s="8" t="str">
        <f t="shared" si="6"/>
        <v>MAGEE KENYA</v>
      </c>
      <c r="H202" s="20" t="str">
        <f t="shared" si="7"/>
        <v>4035</v>
      </c>
    </row>
    <row r="203" spans="1:8" x14ac:dyDescent="0.25">
      <c r="A203" s="8">
        <v>43052.862083333333</v>
      </c>
      <c r="B203" s="20" t="s">
        <v>358</v>
      </c>
      <c r="C203" s="20" t="s">
        <v>652</v>
      </c>
      <c r="D203" s="138">
        <v>3340000</v>
      </c>
      <c r="E203" s="20" t="s">
        <v>555</v>
      </c>
      <c r="F203" s="20" t="s">
        <v>556</v>
      </c>
      <c r="G203" s="8" t="str">
        <f t="shared" si="6"/>
        <v>ELBAUM MIKE</v>
      </c>
      <c r="H203" s="20" t="str">
        <f t="shared" si="7"/>
        <v>4060</v>
      </c>
    </row>
    <row r="204" spans="1:8" x14ac:dyDescent="0.25">
      <c r="A204" s="8">
        <v>43052.867800925924</v>
      </c>
      <c r="B204" s="20" t="s">
        <v>653</v>
      </c>
      <c r="C204" s="20" t="s">
        <v>654</v>
      </c>
      <c r="D204" s="138">
        <v>3220000</v>
      </c>
      <c r="E204" s="20" t="s">
        <v>380</v>
      </c>
      <c r="F204" s="20" t="s">
        <v>381</v>
      </c>
      <c r="G204" s="8" t="str">
        <f t="shared" si="6"/>
        <v>RESPASS AARON</v>
      </c>
      <c r="H204" s="20" t="str">
        <f t="shared" si="7"/>
        <v>4013</v>
      </c>
    </row>
    <row r="205" spans="1:8" x14ac:dyDescent="0.25">
      <c r="A205" s="8">
        <v>43052.876828703702</v>
      </c>
      <c r="B205" s="20" t="s">
        <v>367</v>
      </c>
      <c r="C205" s="20" t="s">
        <v>844</v>
      </c>
      <c r="D205" s="138">
        <v>3670000</v>
      </c>
      <c r="E205" s="20" t="s">
        <v>385</v>
      </c>
      <c r="F205" s="20" t="s">
        <v>369</v>
      </c>
      <c r="G205" s="8" t="str">
        <f t="shared" si="6"/>
        <v>ANDREA WILLIAMS</v>
      </c>
      <c r="H205" s="20" t="str">
        <f t="shared" si="7"/>
        <v>4036</v>
      </c>
    </row>
    <row r="206" spans="1:8" x14ac:dyDescent="0.25">
      <c r="A206" s="8">
        <v>43052.881423611114</v>
      </c>
      <c r="B206" s="20" t="s">
        <v>394</v>
      </c>
      <c r="C206" s="20" t="s">
        <v>845</v>
      </c>
      <c r="D206" s="138">
        <v>890000</v>
      </c>
      <c r="E206" s="20" t="s">
        <v>345</v>
      </c>
      <c r="F206" s="20" t="s">
        <v>346</v>
      </c>
      <c r="G206" s="8" t="str">
        <f t="shared" si="6"/>
        <v>LOZA FIDEL</v>
      </c>
      <c r="H206" s="20" t="str">
        <f t="shared" si="7"/>
        <v>4028</v>
      </c>
    </row>
    <row r="207" spans="1:8" x14ac:dyDescent="0.25">
      <c r="A207" s="8">
        <v>43052.884629629632</v>
      </c>
      <c r="B207" s="20" t="s">
        <v>394</v>
      </c>
      <c r="C207" s="20" t="s">
        <v>845</v>
      </c>
      <c r="D207" s="138">
        <v>890000</v>
      </c>
      <c r="E207" s="20" t="s">
        <v>345</v>
      </c>
      <c r="F207" s="20" t="s">
        <v>346</v>
      </c>
      <c r="G207" s="8" t="str">
        <f t="shared" si="6"/>
        <v>LOZA FIDEL</v>
      </c>
      <c r="H207" s="20" t="str">
        <f t="shared" si="7"/>
        <v>4028</v>
      </c>
    </row>
    <row r="208" spans="1:8" x14ac:dyDescent="0.25">
      <c r="A208" s="8">
        <v>43052.891226851854</v>
      </c>
      <c r="B208" s="20" t="s">
        <v>653</v>
      </c>
      <c r="C208" s="20" t="s">
        <v>654</v>
      </c>
      <c r="D208" s="138">
        <v>3220000</v>
      </c>
      <c r="E208" s="20" t="s">
        <v>380</v>
      </c>
      <c r="F208" s="20" t="s">
        <v>381</v>
      </c>
      <c r="G208" s="8" t="str">
        <f t="shared" si="6"/>
        <v>RESPASS AARON</v>
      </c>
      <c r="H208" s="20" t="str">
        <f t="shared" si="7"/>
        <v>4013</v>
      </c>
    </row>
    <row r="209" spans="1:8" x14ac:dyDescent="0.25">
      <c r="A209" s="8">
        <v>43052.892175925925</v>
      </c>
      <c r="B209" s="20" t="s">
        <v>664</v>
      </c>
      <c r="C209" s="20" t="s">
        <v>846</v>
      </c>
      <c r="D209" s="138">
        <v>3040000</v>
      </c>
      <c r="E209" s="20" t="s">
        <v>369</v>
      </c>
      <c r="F209" s="20" t="s">
        <v>559</v>
      </c>
      <c r="G209" s="8" t="str">
        <f t="shared" si="6"/>
        <v>WILLIAMS DONTE</v>
      </c>
      <c r="H209" s="20" t="str">
        <f t="shared" si="7"/>
        <v>4039</v>
      </c>
    </row>
    <row r="210" spans="1:8" x14ac:dyDescent="0.25">
      <c r="A210" s="8">
        <v>43052.893900462965</v>
      </c>
      <c r="B210" s="20" t="s">
        <v>368</v>
      </c>
      <c r="C210" s="20" t="s">
        <v>847</v>
      </c>
      <c r="D210" s="138">
        <v>3670000</v>
      </c>
      <c r="E210" s="20" t="s">
        <v>385</v>
      </c>
      <c r="F210" s="20" t="s">
        <v>369</v>
      </c>
      <c r="G210" s="8" t="str">
        <f t="shared" si="6"/>
        <v>ANDREA WILLIAMS</v>
      </c>
      <c r="H210" s="20" t="str">
        <f t="shared" si="7"/>
        <v>4035</v>
      </c>
    </row>
    <row r="211" spans="1:8" x14ac:dyDescent="0.25">
      <c r="A211" s="8">
        <v>43052.902013888888</v>
      </c>
      <c r="B211" s="20" t="s">
        <v>393</v>
      </c>
      <c r="C211" s="20" t="s">
        <v>848</v>
      </c>
      <c r="D211" s="138">
        <v>3340000</v>
      </c>
      <c r="E211" s="20" t="s">
        <v>555</v>
      </c>
      <c r="F211" s="20" t="s">
        <v>556</v>
      </c>
      <c r="G211" s="8" t="str">
        <f t="shared" si="6"/>
        <v>ELBAUM MIKE</v>
      </c>
      <c r="H211" s="20" t="str">
        <f t="shared" si="7"/>
        <v>4059</v>
      </c>
    </row>
    <row r="212" spans="1:8" x14ac:dyDescent="0.25">
      <c r="A212" s="8">
        <v>43052.90483796296</v>
      </c>
      <c r="B212" s="20" t="s">
        <v>690</v>
      </c>
      <c r="C212" s="20" t="s">
        <v>849</v>
      </c>
      <c r="D212" s="138">
        <v>3220000</v>
      </c>
      <c r="E212" s="20" t="s">
        <v>380</v>
      </c>
      <c r="F212" s="20" t="s">
        <v>381</v>
      </c>
      <c r="G212" s="8" t="str">
        <f t="shared" si="6"/>
        <v>RESPASS AARON</v>
      </c>
      <c r="H212" s="20" t="str">
        <f t="shared" si="7"/>
        <v>4014</v>
      </c>
    </row>
    <row r="213" spans="1:8" x14ac:dyDescent="0.25">
      <c r="A213" s="8">
        <v>43052.916261574072</v>
      </c>
      <c r="B213" s="20" t="s">
        <v>367</v>
      </c>
      <c r="C213" s="20" t="s">
        <v>850</v>
      </c>
      <c r="D213" s="138">
        <v>3670000</v>
      </c>
      <c r="E213" s="20" t="s">
        <v>385</v>
      </c>
      <c r="F213" s="20" t="s">
        <v>369</v>
      </c>
      <c r="G213" s="8" t="str">
        <f t="shared" si="6"/>
        <v>ANDREA WILLIAMS</v>
      </c>
      <c r="H213" s="20" t="str">
        <f t="shared" si="7"/>
        <v>4036</v>
      </c>
    </row>
    <row r="214" spans="1:8" x14ac:dyDescent="0.25">
      <c r="A214" s="8">
        <v>43052.931469907409</v>
      </c>
      <c r="B214" s="20" t="s">
        <v>631</v>
      </c>
      <c r="C214" s="20" t="s">
        <v>851</v>
      </c>
      <c r="D214" s="138">
        <v>3040000</v>
      </c>
      <c r="E214" s="20" t="s">
        <v>369</v>
      </c>
      <c r="F214" s="20" t="s">
        <v>559</v>
      </c>
      <c r="G214" s="8" t="str">
        <f t="shared" si="6"/>
        <v>WILLIAMS DONTE</v>
      </c>
      <c r="H214" s="20" t="str">
        <f t="shared" si="7"/>
        <v>4040</v>
      </c>
    </row>
    <row r="215" spans="1:8" x14ac:dyDescent="0.25">
      <c r="A215" s="8">
        <v>43052.93414351852</v>
      </c>
      <c r="B215" s="20" t="s">
        <v>639</v>
      </c>
      <c r="C215" s="20" t="s">
        <v>852</v>
      </c>
      <c r="D215" s="138">
        <v>890000</v>
      </c>
      <c r="E215" s="20" t="s">
        <v>345</v>
      </c>
      <c r="F215" s="20" t="s">
        <v>346</v>
      </c>
      <c r="G215" s="8" t="str">
        <f t="shared" si="6"/>
        <v>LOZA FIDEL</v>
      </c>
      <c r="H215" s="20" t="str">
        <f t="shared" si="7"/>
        <v>4027</v>
      </c>
    </row>
    <row r="216" spans="1:8" x14ac:dyDescent="0.25">
      <c r="A216" s="8">
        <v>43052.934224537035</v>
      </c>
      <c r="B216" s="20" t="s">
        <v>368</v>
      </c>
      <c r="C216" s="20" t="s">
        <v>853</v>
      </c>
      <c r="D216" s="138">
        <v>3670000</v>
      </c>
      <c r="E216" s="20" t="s">
        <v>385</v>
      </c>
      <c r="F216" s="20" t="s">
        <v>369</v>
      </c>
      <c r="G216" s="8" t="str">
        <f t="shared" si="6"/>
        <v>ANDREA WILLIAMS</v>
      </c>
      <c r="H216" s="20" t="str">
        <f t="shared" si="7"/>
        <v>4035</v>
      </c>
    </row>
    <row r="217" spans="1:8" x14ac:dyDescent="0.25">
      <c r="A217" s="8">
        <v>43052.942245370374</v>
      </c>
      <c r="B217" s="20" t="s">
        <v>631</v>
      </c>
      <c r="C217" s="20" t="s">
        <v>851</v>
      </c>
      <c r="D217" s="138">
        <v>3040000</v>
      </c>
      <c r="E217" s="20" t="s">
        <v>369</v>
      </c>
      <c r="F217" s="20" t="s">
        <v>559</v>
      </c>
      <c r="G217" s="8" t="str">
        <f t="shared" si="6"/>
        <v>WILLIAMS DONTE</v>
      </c>
      <c r="H217" s="20" t="str">
        <f t="shared" si="7"/>
        <v>4040</v>
      </c>
    </row>
    <row r="218" spans="1:8" x14ac:dyDescent="0.25">
      <c r="A218" s="8">
        <v>43052.942986111113</v>
      </c>
      <c r="B218" s="20" t="s">
        <v>358</v>
      </c>
      <c r="C218" s="20" t="s">
        <v>854</v>
      </c>
      <c r="D218" s="138">
        <v>3500000</v>
      </c>
      <c r="E218" s="20" t="s">
        <v>378</v>
      </c>
      <c r="F218" s="20" t="s">
        <v>379</v>
      </c>
      <c r="G218" s="8" t="str">
        <f t="shared" si="6"/>
        <v>GUNTHIER ERIC</v>
      </c>
      <c r="H218" s="20" t="str">
        <f t="shared" si="7"/>
        <v>4060</v>
      </c>
    </row>
    <row r="219" spans="1:8" x14ac:dyDescent="0.25">
      <c r="A219" s="8">
        <v>43052.949594907404</v>
      </c>
      <c r="B219" s="20" t="s">
        <v>653</v>
      </c>
      <c r="C219" s="20" t="s">
        <v>855</v>
      </c>
      <c r="D219" s="138">
        <v>3220000</v>
      </c>
      <c r="E219" s="20" t="s">
        <v>380</v>
      </c>
      <c r="F219" s="20" t="s">
        <v>381</v>
      </c>
      <c r="G219" s="8" t="str">
        <f t="shared" si="6"/>
        <v>RESPASS AARON</v>
      </c>
      <c r="H219" s="20" t="str">
        <f t="shared" si="7"/>
        <v>4013</v>
      </c>
    </row>
    <row r="220" spans="1:8" x14ac:dyDescent="0.25">
      <c r="A220" s="8">
        <v>43052.958032407405</v>
      </c>
      <c r="B220" s="20" t="s">
        <v>367</v>
      </c>
      <c r="C220" s="20" t="s">
        <v>655</v>
      </c>
      <c r="D220" s="138">
        <v>3670000</v>
      </c>
      <c r="E220" s="20" t="s">
        <v>385</v>
      </c>
      <c r="F220" s="20" t="s">
        <v>369</v>
      </c>
      <c r="G220" s="8" t="str">
        <f t="shared" si="6"/>
        <v>ANDREA WILLIAMS</v>
      </c>
      <c r="H220" s="20" t="str">
        <f t="shared" si="7"/>
        <v>4036</v>
      </c>
    </row>
    <row r="221" spans="1:8" x14ac:dyDescent="0.25">
      <c r="A221" s="8">
        <v>43052.963495370372</v>
      </c>
      <c r="B221" s="20" t="s">
        <v>394</v>
      </c>
      <c r="C221" s="20" t="s">
        <v>856</v>
      </c>
      <c r="D221" s="138">
        <v>890000</v>
      </c>
      <c r="E221" s="20" t="s">
        <v>345</v>
      </c>
      <c r="F221" s="20" t="s">
        <v>346</v>
      </c>
      <c r="G221" s="8" t="str">
        <f t="shared" si="6"/>
        <v>LOZA FIDEL</v>
      </c>
      <c r="H221" s="20" t="str">
        <f t="shared" si="7"/>
        <v>4028</v>
      </c>
    </row>
    <row r="222" spans="1:8" x14ac:dyDescent="0.25">
      <c r="A222" s="8">
        <v>43052.972870370373</v>
      </c>
      <c r="B222" s="20" t="s">
        <v>664</v>
      </c>
      <c r="C222" s="20" t="s">
        <v>857</v>
      </c>
      <c r="D222" s="138">
        <v>3040000</v>
      </c>
      <c r="E222" s="20" t="s">
        <v>369</v>
      </c>
      <c r="F222" s="20" t="s">
        <v>559</v>
      </c>
      <c r="G222" s="8" t="str">
        <f t="shared" si="6"/>
        <v>WILLIAMS DONTE</v>
      </c>
      <c r="H222" s="20" t="str">
        <f t="shared" si="7"/>
        <v>4039</v>
      </c>
    </row>
    <row r="223" spans="1:8" x14ac:dyDescent="0.25">
      <c r="A223" s="8">
        <v>43052.977349537039</v>
      </c>
      <c r="B223" s="20" t="s">
        <v>368</v>
      </c>
      <c r="C223" s="20" t="s">
        <v>858</v>
      </c>
      <c r="D223" s="138">
        <v>3670000</v>
      </c>
      <c r="E223" s="20" t="s">
        <v>385</v>
      </c>
      <c r="F223" s="20" t="s">
        <v>369</v>
      </c>
      <c r="G223" s="8" t="str">
        <f t="shared" si="6"/>
        <v>ANDREA WILLIAMS</v>
      </c>
      <c r="H223" s="20" t="str">
        <f t="shared" si="7"/>
        <v>4035</v>
      </c>
    </row>
    <row r="224" spans="1:8" x14ac:dyDescent="0.25">
      <c r="A224" s="8">
        <v>43052.98841435185</v>
      </c>
      <c r="B224" t="s">
        <v>690</v>
      </c>
      <c r="C224" t="s">
        <v>859</v>
      </c>
      <c r="D224" s="138">
        <v>3220000</v>
      </c>
      <c r="E224" t="s">
        <v>380</v>
      </c>
      <c r="F224" s="20" t="s">
        <v>381</v>
      </c>
      <c r="G224" s="8" t="str">
        <f t="shared" si="6"/>
        <v>RESPASS AARON</v>
      </c>
      <c r="H224" s="20" t="str">
        <f t="shared" si="7"/>
        <v>4014</v>
      </c>
    </row>
    <row r="225" spans="1:8" x14ac:dyDescent="0.25">
      <c r="A225" s="8">
        <v>43052.995243055557</v>
      </c>
      <c r="B225" t="s">
        <v>393</v>
      </c>
      <c r="C225" t="s">
        <v>860</v>
      </c>
      <c r="D225" s="138">
        <v>3500000</v>
      </c>
      <c r="E225" t="s">
        <v>378</v>
      </c>
      <c r="F225" s="20" t="s">
        <v>379</v>
      </c>
      <c r="G225" s="8" t="str">
        <f t="shared" si="6"/>
        <v>GUNTHIER ERIC</v>
      </c>
      <c r="H225" s="20" t="str">
        <f t="shared" si="7"/>
        <v>4059</v>
      </c>
    </row>
    <row r="226" spans="1:8" x14ac:dyDescent="0.25">
      <c r="A226" s="8">
        <v>43053.01222222222</v>
      </c>
      <c r="B226" t="s">
        <v>631</v>
      </c>
      <c r="C226" t="s">
        <v>861</v>
      </c>
      <c r="D226" s="138">
        <v>3040000</v>
      </c>
      <c r="E226" t="s">
        <v>369</v>
      </c>
      <c r="F226" s="20" t="s">
        <v>559</v>
      </c>
      <c r="G226" s="8" t="str">
        <f t="shared" si="6"/>
        <v>WILLIAMS DONTE</v>
      </c>
      <c r="H226" s="20" t="str">
        <f t="shared" si="7"/>
        <v>4040</v>
      </c>
    </row>
    <row r="227" spans="1:8" x14ac:dyDescent="0.25">
      <c r="A227" s="8">
        <v>43053.014675925922</v>
      </c>
      <c r="B227" t="s">
        <v>639</v>
      </c>
      <c r="C227" t="s">
        <v>862</v>
      </c>
      <c r="D227" s="138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4027</v>
      </c>
    </row>
    <row r="228" spans="1:8" x14ac:dyDescent="0.25">
      <c r="A228" s="8">
        <v>43053.025787037041</v>
      </c>
      <c r="B228" t="s">
        <v>358</v>
      </c>
      <c r="C228" t="s">
        <v>863</v>
      </c>
      <c r="D228" s="138">
        <v>3340000</v>
      </c>
      <c r="E228" t="s">
        <v>555</v>
      </c>
      <c r="F228" s="20" t="s">
        <v>556</v>
      </c>
      <c r="G228" s="8" t="str">
        <f t="shared" si="6"/>
        <v>ELBAUM MIKE</v>
      </c>
      <c r="H228" s="20" t="str">
        <f t="shared" si="7"/>
        <v>4060</v>
      </c>
    </row>
    <row r="229" spans="1:8" x14ac:dyDescent="0.25">
      <c r="A229" s="8">
        <v>43053.03162037037</v>
      </c>
      <c r="B229" t="s">
        <v>653</v>
      </c>
      <c r="C229" t="s">
        <v>864</v>
      </c>
      <c r="D229" s="138">
        <v>3220000</v>
      </c>
      <c r="E229" t="s">
        <v>380</v>
      </c>
      <c r="F229" s="20" t="s">
        <v>381</v>
      </c>
      <c r="G229" s="8" t="str">
        <f t="shared" si="6"/>
        <v>RESPASS AARON</v>
      </c>
      <c r="H229" s="20" t="str">
        <f t="shared" si="7"/>
        <v>4013</v>
      </c>
    </row>
    <row r="230" spans="1:8" x14ac:dyDescent="0.25">
      <c r="A230" s="8">
        <v>43053.047013888892</v>
      </c>
      <c r="B230" t="s">
        <v>394</v>
      </c>
      <c r="C230" t="s">
        <v>865</v>
      </c>
      <c r="D230" s="138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4028</v>
      </c>
    </row>
    <row r="231" spans="1:8" x14ac:dyDescent="0.25">
      <c r="A231" s="8">
        <v>43053.054918981485</v>
      </c>
      <c r="B231" t="s">
        <v>664</v>
      </c>
      <c r="C231" t="s">
        <v>866</v>
      </c>
      <c r="D231" s="138">
        <v>3040000</v>
      </c>
      <c r="E231" t="s">
        <v>369</v>
      </c>
      <c r="F231" s="20" t="s">
        <v>559</v>
      </c>
      <c r="G231" s="8" t="str">
        <f t="shared" si="6"/>
        <v>WILLIAMS DONTE</v>
      </c>
      <c r="H231" s="20" t="str">
        <f t="shared" si="7"/>
        <v>4039</v>
      </c>
    </row>
    <row r="232" spans="1:8" x14ac:dyDescent="0.25">
      <c r="A232" s="8">
        <v>43053.067824074074</v>
      </c>
      <c r="B232" t="s">
        <v>690</v>
      </c>
      <c r="C232" t="s">
        <v>867</v>
      </c>
      <c r="D232" s="138">
        <v>3220000</v>
      </c>
      <c r="E232" t="s">
        <v>380</v>
      </c>
      <c r="F232" s="20" t="s">
        <v>381</v>
      </c>
      <c r="G232" s="8" t="str">
        <f t="shared" si="6"/>
        <v>RESPASS AARON</v>
      </c>
      <c r="H232" s="20" t="str">
        <f t="shared" si="7"/>
        <v>4014</v>
      </c>
    </row>
    <row r="233" spans="1:8" x14ac:dyDescent="0.25">
      <c r="A233" s="8">
        <v>43053.089305555557</v>
      </c>
      <c r="B233" t="s">
        <v>631</v>
      </c>
      <c r="C233" t="s">
        <v>868</v>
      </c>
      <c r="D233" s="138">
        <v>3040000</v>
      </c>
      <c r="E233" t="s">
        <v>369</v>
      </c>
      <c r="F233" s="20" t="s">
        <v>559</v>
      </c>
      <c r="G233" s="8" t="str">
        <f t="shared" si="6"/>
        <v>WILLIAMS DONTE</v>
      </c>
      <c r="H233" s="20" t="str">
        <f t="shared" si="7"/>
        <v>4040</v>
      </c>
    </row>
    <row r="234" spans="1:8" x14ac:dyDescent="0.25">
      <c r="A234" s="8">
        <v>43053.113229166665</v>
      </c>
      <c r="B234" t="s">
        <v>869</v>
      </c>
      <c r="C234" t="s">
        <v>870</v>
      </c>
      <c r="D234" s="138">
        <v>1830000</v>
      </c>
      <c r="E234" t="s">
        <v>347</v>
      </c>
      <c r="F234" s="20" t="s">
        <v>348</v>
      </c>
      <c r="G234" s="8" t="str">
        <f t="shared" si="6"/>
        <v>YORK EDGAR</v>
      </c>
      <c r="H234" s="20" t="str">
        <f t="shared" si="7"/>
        <v>4065</v>
      </c>
    </row>
    <row r="235" spans="1:8" x14ac:dyDescent="0.25">
      <c r="A235" s="8">
        <v>43047.843518518515</v>
      </c>
      <c r="B235" t="s">
        <v>462</v>
      </c>
      <c r="C235" t="s">
        <v>496</v>
      </c>
      <c r="D235" s="138">
        <v>2440000</v>
      </c>
      <c r="E235" t="s">
        <v>494</v>
      </c>
      <c r="F235" s="20" t="s">
        <v>495</v>
      </c>
      <c r="G235" s="8" t="str">
        <f t="shared" si="6"/>
        <v>LOPES KIMBERLY</v>
      </c>
      <c r="H235" s="20" t="str">
        <f t="shared" si="7"/>
        <v>4049</v>
      </c>
    </row>
    <row r="236" spans="1:8" x14ac:dyDescent="0.25">
      <c r="A236" s="8">
        <v>43047.854131944441</v>
      </c>
      <c r="B236" t="s">
        <v>489</v>
      </c>
      <c r="C236" t="s">
        <v>497</v>
      </c>
      <c r="D236" s="138">
        <v>3670000</v>
      </c>
      <c r="E236" t="s">
        <v>385</v>
      </c>
      <c r="F236" s="20" t="s">
        <v>369</v>
      </c>
      <c r="G236" s="8" t="str">
        <f t="shared" si="6"/>
        <v>ANDREA WILLIAMS</v>
      </c>
      <c r="H236" s="20" t="str">
        <f t="shared" si="7"/>
        <v>4023</v>
      </c>
    </row>
    <row r="237" spans="1:8" x14ac:dyDescent="0.25">
      <c r="A237" s="8">
        <v>43047.866793981484</v>
      </c>
      <c r="B237" t="s">
        <v>455</v>
      </c>
      <c r="C237" t="s">
        <v>498</v>
      </c>
      <c r="D237" s="138">
        <v>3320000</v>
      </c>
      <c r="E237" t="s">
        <v>364</v>
      </c>
      <c r="F237" s="20" t="s">
        <v>365</v>
      </c>
      <c r="G237" s="8" t="str">
        <f t="shared" si="6"/>
        <v>NICHOLSON WESLEY</v>
      </c>
      <c r="H237" s="20" t="str">
        <f t="shared" si="7"/>
        <v>4010</v>
      </c>
    </row>
    <row r="238" spans="1:8" x14ac:dyDescent="0.25">
      <c r="A238" s="8">
        <v>43047.868750000001</v>
      </c>
      <c r="B238" t="s">
        <v>493</v>
      </c>
      <c r="C238" t="s">
        <v>499</v>
      </c>
      <c r="D238" s="138">
        <v>890000</v>
      </c>
      <c r="E238" t="s">
        <v>345</v>
      </c>
      <c r="F238" s="20" t="s">
        <v>346</v>
      </c>
      <c r="G238" s="8" t="str">
        <f t="shared" si="6"/>
        <v>LOZA FIDEL</v>
      </c>
      <c r="H238" s="20" t="str">
        <f t="shared" si="7"/>
        <v>4051</v>
      </c>
    </row>
    <row r="239" spans="1:8" x14ac:dyDescent="0.25">
      <c r="A239" s="8">
        <v>43047.879965277774</v>
      </c>
      <c r="B239" t="s">
        <v>463</v>
      </c>
      <c r="C239" t="s">
        <v>500</v>
      </c>
      <c r="D239" s="138">
        <v>2440000</v>
      </c>
      <c r="E239" t="s">
        <v>494</v>
      </c>
      <c r="F239" s="20" t="s">
        <v>495</v>
      </c>
      <c r="G239" s="8" t="str">
        <f t="shared" si="6"/>
        <v>LOPES KIMBERLY</v>
      </c>
      <c r="H239" s="20" t="str">
        <f t="shared" si="7"/>
        <v>4050</v>
      </c>
    </row>
    <row r="240" spans="1:8" x14ac:dyDescent="0.25">
      <c r="A240" s="8">
        <v>43047.883819444447</v>
      </c>
      <c r="B240" t="s">
        <v>487</v>
      </c>
      <c r="C240" t="s">
        <v>501</v>
      </c>
      <c r="D240" s="138">
        <v>3220000</v>
      </c>
      <c r="E240" t="s">
        <v>380</v>
      </c>
      <c r="F240" s="20" t="s">
        <v>381</v>
      </c>
      <c r="G240" s="8" t="str">
        <f t="shared" si="6"/>
        <v>RESPASS AARON</v>
      </c>
      <c r="H240" s="20" t="str">
        <f t="shared" si="7"/>
        <v>4024</v>
      </c>
    </row>
    <row r="241" spans="1:8" x14ac:dyDescent="0.25">
      <c r="A241" s="8">
        <v>43047.88925925926</v>
      </c>
      <c r="B241" t="s">
        <v>393</v>
      </c>
      <c r="C241" t="s">
        <v>502</v>
      </c>
      <c r="D241" s="138">
        <v>3700000</v>
      </c>
      <c r="E241" t="s">
        <v>464</v>
      </c>
      <c r="F241" s="20" t="s">
        <v>371</v>
      </c>
      <c r="G241" s="8" t="str">
        <f t="shared" si="6"/>
        <v>AUSTIN THOMPSON</v>
      </c>
      <c r="H241" s="20" t="str">
        <f t="shared" si="7"/>
        <v>4059</v>
      </c>
    </row>
    <row r="242" spans="1:8" x14ac:dyDescent="0.25">
      <c r="A242" s="8">
        <v>43047.90247685185</v>
      </c>
      <c r="B242" t="s">
        <v>489</v>
      </c>
      <c r="C242" t="s">
        <v>503</v>
      </c>
      <c r="D242" s="138">
        <v>3220000</v>
      </c>
      <c r="E242" t="s">
        <v>380</v>
      </c>
      <c r="F242" s="20" t="s">
        <v>381</v>
      </c>
      <c r="G242" s="8" t="str">
        <f t="shared" si="6"/>
        <v>RESPASS AARON</v>
      </c>
      <c r="H242" s="20" t="str">
        <f t="shared" si="7"/>
        <v>4023</v>
      </c>
    </row>
    <row r="243" spans="1:8" x14ac:dyDescent="0.25">
      <c r="A243" s="8">
        <v>43047.908275462964</v>
      </c>
      <c r="B243" t="s">
        <v>454</v>
      </c>
      <c r="C243" t="s">
        <v>504</v>
      </c>
      <c r="D243" s="138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4009</v>
      </c>
    </row>
    <row r="244" spans="1:8" x14ac:dyDescent="0.25">
      <c r="A244" s="8">
        <v>43047.910208333335</v>
      </c>
      <c r="B244" t="s">
        <v>486</v>
      </c>
      <c r="C244" t="s">
        <v>505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25">
      <c r="A245" s="8">
        <v>43047.91914351852</v>
      </c>
      <c r="B245" t="s">
        <v>487</v>
      </c>
      <c r="C245" t="s">
        <v>506</v>
      </c>
      <c r="D245" s="138">
        <v>3220000</v>
      </c>
      <c r="E245" t="s">
        <v>380</v>
      </c>
      <c r="F245" s="20" t="s">
        <v>381</v>
      </c>
      <c r="G245" s="8" t="str">
        <f t="shared" si="6"/>
        <v>RESPASS AARON</v>
      </c>
      <c r="H245" s="20" t="str">
        <f t="shared" si="7"/>
        <v>4024</v>
      </c>
    </row>
    <row r="246" spans="1:8" x14ac:dyDescent="0.25">
      <c r="A246" s="8">
        <v>43047.927418981482</v>
      </c>
      <c r="B246" t="s">
        <v>358</v>
      </c>
      <c r="C246" t="s">
        <v>490</v>
      </c>
      <c r="D246" s="138">
        <v>3700000</v>
      </c>
      <c r="E246" t="s">
        <v>464</v>
      </c>
      <c r="F246" s="20" t="s">
        <v>371</v>
      </c>
      <c r="G246" s="8" t="str">
        <f t="shared" si="6"/>
        <v>AUSTIN THOMPSON</v>
      </c>
      <c r="H246" s="20" t="str">
        <f t="shared" si="7"/>
        <v>4060</v>
      </c>
    </row>
    <row r="247" spans="1:8" x14ac:dyDescent="0.25">
      <c r="A247" s="8">
        <v>43047.929212962961</v>
      </c>
      <c r="B247" t="s">
        <v>462</v>
      </c>
      <c r="C247" t="s">
        <v>507</v>
      </c>
      <c r="D247" s="138">
        <v>2440000</v>
      </c>
      <c r="E247" t="s">
        <v>494</v>
      </c>
      <c r="F247" s="20" t="s">
        <v>495</v>
      </c>
      <c r="G247" s="8" t="str">
        <f t="shared" si="6"/>
        <v>LOPES KIMBERLY</v>
      </c>
      <c r="H247" s="20" t="str">
        <f t="shared" si="7"/>
        <v>4049</v>
      </c>
    </row>
    <row r="248" spans="1:8" x14ac:dyDescent="0.25">
      <c r="A248" s="8">
        <v>43047.936041666668</v>
      </c>
      <c r="B248" t="s">
        <v>489</v>
      </c>
      <c r="C248" t="s">
        <v>508</v>
      </c>
      <c r="D248" s="138">
        <v>3220000</v>
      </c>
      <c r="E248" t="s">
        <v>380</v>
      </c>
      <c r="F248" s="20" t="s">
        <v>381</v>
      </c>
      <c r="G248" s="8" t="str">
        <f t="shared" si="6"/>
        <v>RESPASS AARON</v>
      </c>
      <c r="H248" s="20" t="str">
        <f t="shared" si="7"/>
        <v>4023</v>
      </c>
    </row>
    <row r="249" spans="1:8" x14ac:dyDescent="0.25">
      <c r="A249" s="8">
        <v>43047.950833333336</v>
      </c>
      <c r="B249" t="s">
        <v>455</v>
      </c>
      <c r="C249" t="s">
        <v>509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493</v>
      </c>
      <c r="C250" t="s">
        <v>510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487</v>
      </c>
      <c r="C251" t="s">
        <v>511</v>
      </c>
      <c r="D251" s="138">
        <v>2000000</v>
      </c>
      <c r="E251" t="s">
        <v>397</v>
      </c>
      <c r="F251" s="20" t="s">
        <v>398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463</v>
      </c>
      <c r="C252" t="s">
        <v>512</v>
      </c>
      <c r="D252" s="138">
        <v>2540000</v>
      </c>
      <c r="E252" t="s">
        <v>513</v>
      </c>
      <c r="F252" s="20" t="s">
        <v>514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393</v>
      </c>
      <c r="C253" t="s">
        <v>515</v>
      </c>
      <c r="D253" s="138">
        <v>3700000</v>
      </c>
      <c r="E253" t="s">
        <v>464</v>
      </c>
      <c r="F253" s="20" t="s">
        <v>371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489</v>
      </c>
      <c r="C254" t="s">
        <v>516</v>
      </c>
      <c r="D254" s="138">
        <v>2000000</v>
      </c>
      <c r="E254" t="s">
        <v>397</v>
      </c>
      <c r="F254" s="20" t="s">
        <v>398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486</v>
      </c>
      <c r="C255" t="s">
        <v>517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454</v>
      </c>
      <c r="C256" t="s">
        <v>518</v>
      </c>
      <c r="D256" s="138">
        <v>3320000</v>
      </c>
      <c r="E256" t="s">
        <v>364</v>
      </c>
      <c r="F256" s="20" t="s">
        <v>365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462</v>
      </c>
      <c r="C257" t="s">
        <v>519</v>
      </c>
      <c r="D257" s="138">
        <v>2540000</v>
      </c>
      <c r="E257" t="s">
        <v>513</v>
      </c>
      <c r="F257" s="20" t="s">
        <v>514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491</v>
      </c>
      <c r="D258" s="138">
        <v>3700000</v>
      </c>
      <c r="E258" t="s">
        <v>464</v>
      </c>
      <c r="F258" s="20" t="s">
        <v>371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455</v>
      </c>
      <c r="C259" t="s">
        <v>520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493</v>
      </c>
      <c r="C260" t="s">
        <v>521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463</v>
      </c>
      <c r="C261" t="s">
        <v>522</v>
      </c>
      <c r="D261" s="138">
        <v>2440000</v>
      </c>
      <c r="E261" t="s">
        <v>494</v>
      </c>
      <c r="F261" s="20" t="s">
        <v>495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393</v>
      </c>
      <c r="C262" t="s">
        <v>523</v>
      </c>
      <c r="D262" s="138">
        <v>3700000</v>
      </c>
      <c r="E262" t="s">
        <v>464</v>
      </c>
      <c r="F262" s="20" t="s">
        <v>371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486</v>
      </c>
      <c r="C263" t="s">
        <v>524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525</v>
      </c>
      <c r="D264" s="138">
        <v>3700000</v>
      </c>
      <c r="E264" t="s">
        <v>464</v>
      </c>
      <c r="F264" s="20" t="s">
        <v>371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389</v>
      </c>
      <c r="C265" t="s">
        <v>401</v>
      </c>
      <c r="D265" s="138">
        <v>3670000</v>
      </c>
      <c r="E265" t="s">
        <v>385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402</v>
      </c>
      <c r="D266" s="138">
        <v>2000000</v>
      </c>
      <c r="E266" t="s">
        <v>397</v>
      </c>
      <c r="F266" s="20" t="s">
        <v>398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387</v>
      </c>
      <c r="C267" t="s">
        <v>403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393</v>
      </c>
      <c r="C268" t="s">
        <v>404</v>
      </c>
      <c r="D268" s="138">
        <v>2230000</v>
      </c>
      <c r="E268" t="s">
        <v>396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405</v>
      </c>
      <c r="D269" s="138">
        <v>2000000</v>
      </c>
      <c r="E269" t="s">
        <v>397</v>
      </c>
      <c r="F269" s="20" t="s">
        <v>398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406</v>
      </c>
      <c r="D270" s="138">
        <v>3500000</v>
      </c>
      <c r="E270" t="s">
        <v>378</v>
      </c>
      <c r="F270" s="20" t="s">
        <v>379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373</v>
      </c>
      <c r="C271" t="s">
        <v>407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386</v>
      </c>
      <c r="C272" t="s">
        <v>408</v>
      </c>
      <c r="D272" s="138">
        <v>2610000</v>
      </c>
      <c r="E272" t="s">
        <v>383</v>
      </c>
      <c r="F272" s="20" t="s">
        <v>384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394</v>
      </c>
      <c r="C273" t="s">
        <v>409</v>
      </c>
      <c r="D273" s="138">
        <v>2630000</v>
      </c>
      <c r="E273" t="s">
        <v>374</v>
      </c>
      <c r="F273" s="20" t="s">
        <v>375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395</v>
      </c>
      <c r="C274" t="s">
        <v>410</v>
      </c>
      <c r="D274" s="138">
        <v>3670000</v>
      </c>
      <c r="E274" t="s">
        <v>385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411</v>
      </c>
      <c r="D275" s="138">
        <v>2040000</v>
      </c>
      <c r="E275" t="s">
        <v>399</v>
      </c>
      <c r="F275" s="20" t="s">
        <v>400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388</v>
      </c>
      <c r="C276" t="s">
        <v>412</v>
      </c>
      <c r="D276" s="138">
        <v>2610000</v>
      </c>
      <c r="E276" t="s">
        <v>383</v>
      </c>
      <c r="F276" s="20" t="s">
        <v>384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413</v>
      </c>
      <c r="D277" s="138">
        <v>2230000</v>
      </c>
      <c r="E277" t="s">
        <v>396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414</v>
      </c>
      <c r="D278" s="138">
        <v>3500000</v>
      </c>
      <c r="E278" t="s">
        <v>378</v>
      </c>
      <c r="F278" s="20" t="s">
        <v>379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386</v>
      </c>
      <c r="C279" t="s">
        <v>415</v>
      </c>
      <c r="D279" s="138">
        <v>2970000</v>
      </c>
      <c r="E279" t="s">
        <v>376</v>
      </c>
      <c r="F279" s="20" t="s">
        <v>377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372</v>
      </c>
      <c r="C280" t="s">
        <v>416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389</v>
      </c>
      <c r="C281" t="s">
        <v>390</v>
      </c>
      <c r="D281" s="138">
        <v>3670000</v>
      </c>
      <c r="E281" t="s">
        <v>385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388</v>
      </c>
      <c r="C282" t="s">
        <v>417</v>
      </c>
      <c r="D282" s="138">
        <v>2970000</v>
      </c>
      <c r="E282" t="s">
        <v>376</v>
      </c>
      <c r="F282" s="20" t="s">
        <v>377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418</v>
      </c>
      <c r="D283" s="138">
        <v>2040000</v>
      </c>
      <c r="E283" t="s">
        <v>399</v>
      </c>
      <c r="F283" s="20" t="s">
        <v>400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419</v>
      </c>
      <c r="D284" s="138">
        <v>3500000</v>
      </c>
      <c r="E284" t="s">
        <v>378</v>
      </c>
      <c r="F284" s="20" t="s">
        <v>379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373</v>
      </c>
      <c r="C285" t="s">
        <v>420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386</v>
      </c>
      <c r="C286" t="s">
        <v>421</v>
      </c>
      <c r="D286" s="138">
        <v>2000000</v>
      </c>
      <c r="E286" t="s">
        <v>397</v>
      </c>
      <c r="F286" s="20" t="s">
        <v>398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386</v>
      </c>
      <c r="C287" t="s">
        <v>421</v>
      </c>
      <c r="D287" s="138">
        <v>2000000</v>
      </c>
      <c r="E287" t="s">
        <v>397</v>
      </c>
      <c r="F287" s="20" t="s">
        <v>398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395</v>
      </c>
      <c r="C288" t="s">
        <v>422</v>
      </c>
      <c r="D288" s="138">
        <v>3670000</v>
      </c>
      <c r="E288" t="s">
        <v>385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423</v>
      </c>
      <c r="D289" s="138">
        <v>2040000</v>
      </c>
      <c r="E289" t="s">
        <v>399</v>
      </c>
      <c r="F289" s="20" t="s">
        <v>400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388</v>
      </c>
      <c r="C290" t="s">
        <v>424</v>
      </c>
      <c r="D290" s="138">
        <v>2000000</v>
      </c>
      <c r="E290" t="s">
        <v>397</v>
      </c>
      <c r="F290" s="20" t="s">
        <v>398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372</v>
      </c>
      <c r="C291" t="s">
        <v>425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426</v>
      </c>
      <c r="D292" s="138">
        <v>3500000</v>
      </c>
      <c r="E292" t="s">
        <v>378</v>
      </c>
      <c r="F292" s="20" t="s">
        <v>379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386</v>
      </c>
      <c r="C293" t="s">
        <v>427</v>
      </c>
      <c r="D293" s="138">
        <v>3220000</v>
      </c>
      <c r="E293" t="s">
        <v>380</v>
      </c>
      <c r="F293" s="20" t="s">
        <v>381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389</v>
      </c>
      <c r="C294" t="s">
        <v>391</v>
      </c>
      <c r="D294" s="138">
        <v>3670000</v>
      </c>
      <c r="E294" t="s">
        <v>385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428</v>
      </c>
      <c r="D295" s="138">
        <v>2040000</v>
      </c>
      <c r="E295" t="s">
        <v>399</v>
      </c>
      <c r="F295" s="20" t="s">
        <v>400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388</v>
      </c>
      <c r="C296" t="s">
        <v>429</v>
      </c>
      <c r="D296" s="138">
        <v>3220000</v>
      </c>
      <c r="E296" t="s">
        <v>380</v>
      </c>
      <c r="F296" s="20" t="s">
        <v>381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430</v>
      </c>
      <c r="D297" s="138">
        <v>3500000</v>
      </c>
      <c r="E297" t="s">
        <v>378</v>
      </c>
      <c r="F297" s="20" t="s">
        <v>379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373</v>
      </c>
      <c r="C298" t="s">
        <v>431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386</v>
      </c>
      <c r="C299" t="s">
        <v>432</v>
      </c>
      <c r="D299" s="138">
        <v>2000000</v>
      </c>
      <c r="E299" t="s">
        <v>397</v>
      </c>
      <c r="F299" s="20" t="s">
        <v>398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395</v>
      </c>
      <c r="C300" t="s">
        <v>433</v>
      </c>
      <c r="D300" s="138">
        <v>3670000</v>
      </c>
      <c r="E300" t="s">
        <v>385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434</v>
      </c>
      <c r="D301" s="138">
        <v>2040000</v>
      </c>
      <c r="E301" t="s">
        <v>399</v>
      </c>
      <c r="F301" s="20" t="s">
        <v>400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388</v>
      </c>
      <c r="C302" t="s">
        <v>435</v>
      </c>
      <c r="D302" s="138">
        <v>2000000</v>
      </c>
      <c r="E302" t="s">
        <v>397</v>
      </c>
      <c r="F302" s="20" t="s">
        <v>398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392</v>
      </c>
      <c r="D303" s="138">
        <v>3500000</v>
      </c>
      <c r="E303" t="s">
        <v>378</v>
      </c>
      <c r="F303" s="20" t="s">
        <v>379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372</v>
      </c>
      <c r="C304" t="s">
        <v>436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389</v>
      </c>
      <c r="C305" t="s">
        <v>437</v>
      </c>
      <c r="D305" s="138">
        <v>3670000</v>
      </c>
      <c r="E305" t="s">
        <v>385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438</v>
      </c>
      <c r="D306" s="138">
        <v>2040000</v>
      </c>
      <c r="E306" t="s">
        <v>399</v>
      </c>
      <c r="F306" s="20" t="s">
        <v>400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439</v>
      </c>
      <c r="D307" s="138">
        <v>3500000</v>
      </c>
      <c r="E307" t="s">
        <v>378</v>
      </c>
      <c r="F307" s="20" t="s">
        <v>379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373</v>
      </c>
      <c r="C308" t="s">
        <v>440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395</v>
      </c>
      <c r="C309" t="s">
        <v>441</v>
      </c>
      <c r="D309" s="138">
        <v>3670000</v>
      </c>
      <c r="E309" t="s">
        <v>385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442</v>
      </c>
      <c r="D310" s="138">
        <v>2040000</v>
      </c>
      <c r="E310" t="s">
        <v>399</v>
      </c>
      <c r="F310" s="20" t="s">
        <v>400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372</v>
      </c>
      <c r="C311" t="s">
        <v>443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444</v>
      </c>
      <c r="D312" s="138">
        <v>2040000</v>
      </c>
      <c r="E312" t="s">
        <v>399</v>
      </c>
      <c r="F312" s="20" t="s">
        <v>400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457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25">
      <c r="A2" s="196">
        <v>37.479999999999997</v>
      </c>
      <c r="B2" s="196">
        <v>0.08</v>
      </c>
      <c r="C2" s="196">
        <v>27.44</v>
      </c>
      <c r="D2" s="8">
        <v>43052</v>
      </c>
      <c r="E2" s="196">
        <v>0.67</v>
      </c>
      <c r="F2" s="196" t="s">
        <v>529</v>
      </c>
      <c r="G2" s="196">
        <v>238.86</v>
      </c>
      <c r="H2" s="196">
        <v>0</v>
      </c>
      <c r="I2" s="196">
        <v>0</v>
      </c>
      <c r="J2" s="196"/>
      <c r="K2" s="196">
        <v>1019.59</v>
      </c>
      <c r="L2" s="196" t="s">
        <v>528</v>
      </c>
      <c r="M2" s="196">
        <v>37.479999999999997</v>
      </c>
      <c r="N2" s="196">
        <v>1510556400</v>
      </c>
      <c r="O2" s="196">
        <v>0</v>
      </c>
      <c r="P2" s="196">
        <v>3.44</v>
      </c>
      <c r="Q2" s="196">
        <v>234</v>
      </c>
      <c r="R2" s="196">
        <v>2.0699999999999998</v>
      </c>
      <c r="S2" s="196">
        <v>0.33</v>
      </c>
      <c r="T2"/>
    </row>
    <row r="3" spans="1:20" x14ac:dyDescent="0.25">
      <c r="A3" s="196">
        <v>37.700000000000003</v>
      </c>
      <c r="B3" s="196">
        <v>0.06</v>
      </c>
      <c r="C3" s="196">
        <v>27.75</v>
      </c>
      <c r="D3" s="8">
        <v>43052.041666666664</v>
      </c>
      <c r="E3" s="196">
        <v>0.67</v>
      </c>
      <c r="F3" s="196" t="s">
        <v>529</v>
      </c>
      <c r="G3" s="196">
        <v>238.85</v>
      </c>
      <c r="H3" s="196">
        <v>0</v>
      </c>
      <c r="I3" s="196">
        <v>0</v>
      </c>
      <c r="J3" s="196"/>
      <c r="K3" s="196">
        <v>1019.49</v>
      </c>
      <c r="L3" s="196" t="s">
        <v>528</v>
      </c>
      <c r="M3" s="196">
        <v>37.700000000000003</v>
      </c>
      <c r="N3" s="196">
        <v>1510560000</v>
      </c>
      <c r="O3" s="196">
        <v>0</v>
      </c>
      <c r="P3" s="196">
        <v>3.42</v>
      </c>
      <c r="Q3" s="196">
        <v>245</v>
      </c>
      <c r="R3" s="196">
        <v>2.2400000000000002</v>
      </c>
      <c r="S3" s="196">
        <v>0.48</v>
      </c>
      <c r="T3"/>
    </row>
    <row r="4" spans="1:20" x14ac:dyDescent="0.25">
      <c r="A4" s="196">
        <v>37.549999999999997</v>
      </c>
      <c r="B4" s="196">
        <v>0.14000000000000001</v>
      </c>
      <c r="C4" s="196">
        <v>27.69</v>
      </c>
      <c r="D4" s="8">
        <v>43052.083333333336</v>
      </c>
      <c r="E4" s="196">
        <v>0.67</v>
      </c>
      <c r="F4" s="196" t="s">
        <v>529</v>
      </c>
      <c r="G4" s="196">
        <v>238.71</v>
      </c>
      <c r="H4" s="196">
        <v>0</v>
      </c>
      <c r="I4" s="196">
        <v>0</v>
      </c>
      <c r="J4" s="196"/>
      <c r="K4" s="196">
        <v>1019.42</v>
      </c>
      <c r="L4" s="196" t="s">
        <v>528</v>
      </c>
      <c r="M4" s="196">
        <v>37.549999999999997</v>
      </c>
      <c r="N4" s="196">
        <v>1510563600</v>
      </c>
      <c r="O4" s="196">
        <v>0</v>
      </c>
      <c r="P4" s="196">
        <v>3.44</v>
      </c>
      <c r="Q4" s="196">
        <v>203</v>
      </c>
      <c r="R4" s="196">
        <v>2.34</v>
      </c>
      <c r="S4" s="196">
        <v>0.49</v>
      </c>
      <c r="T4"/>
    </row>
    <row r="5" spans="1:20" x14ac:dyDescent="0.25">
      <c r="A5" s="196">
        <v>37.049999999999997</v>
      </c>
      <c r="B5" s="196">
        <v>0.04</v>
      </c>
      <c r="C5" s="196">
        <v>27.49</v>
      </c>
      <c r="D5" s="8">
        <v>43052.125</v>
      </c>
      <c r="E5" s="196">
        <v>0.68</v>
      </c>
      <c r="F5" s="196" t="s">
        <v>529</v>
      </c>
      <c r="G5" s="196">
        <v>238.57</v>
      </c>
      <c r="H5" s="196">
        <v>0</v>
      </c>
      <c r="I5" s="196">
        <v>0</v>
      </c>
      <c r="J5" s="196"/>
      <c r="K5" s="196">
        <v>1019.47</v>
      </c>
      <c r="L5" s="196" t="s">
        <v>528</v>
      </c>
      <c r="M5" s="196">
        <v>37.049999999999997</v>
      </c>
      <c r="N5" s="196">
        <v>1510567200</v>
      </c>
      <c r="O5" s="196">
        <v>0</v>
      </c>
      <c r="P5" s="196">
        <v>3.64</v>
      </c>
      <c r="Q5" s="196">
        <v>177</v>
      </c>
      <c r="R5" s="196">
        <v>3.3</v>
      </c>
      <c r="S5" s="196">
        <v>0.84</v>
      </c>
      <c r="T5"/>
    </row>
    <row r="6" spans="1:20" x14ac:dyDescent="0.25">
      <c r="A6" s="196">
        <v>37.880000000000003</v>
      </c>
      <c r="B6" s="196">
        <v>0.11</v>
      </c>
      <c r="C6" s="196">
        <v>27.5</v>
      </c>
      <c r="D6" s="8">
        <v>43052.166666666664</v>
      </c>
      <c r="E6" s="196">
        <v>0.66</v>
      </c>
      <c r="F6" s="196" t="s">
        <v>529</v>
      </c>
      <c r="G6" s="196">
        <v>238.57</v>
      </c>
      <c r="H6" s="196">
        <v>0</v>
      </c>
      <c r="I6" s="196">
        <v>0</v>
      </c>
      <c r="J6" s="196"/>
      <c r="K6" s="196">
        <v>1019.33</v>
      </c>
      <c r="L6" s="196" t="s">
        <v>528</v>
      </c>
      <c r="M6" s="196">
        <v>37.880000000000003</v>
      </c>
      <c r="N6" s="196">
        <v>1510570800</v>
      </c>
      <c r="O6" s="196">
        <v>0</v>
      </c>
      <c r="P6" s="196">
        <v>3.64</v>
      </c>
      <c r="Q6" s="196">
        <v>180</v>
      </c>
      <c r="R6" s="196">
        <v>3.93</v>
      </c>
      <c r="S6" s="196">
        <v>0.83</v>
      </c>
      <c r="T6"/>
    </row>
    <row r="7" spans="1:20" x14ac:dyDescent="0.25">
      <c r="A7" s="196">
        <v>37.630000000000003</v>
      </c>
      <c r="B7" s="196">
        <v>0.13</v>
      </c>
      <c r="C7" s="196">
        <v>26.48</v>
      </c>
      <c r="D7" s="8">
        <v>43052.208333333336</v>
      </c>
      <c r="E7" s="196">
        <v>0.64</v>
      </c>
      <c r="F7" s="196" t="s">
        <v>529</v>
      </c>
      <c r="G7" s="196">
        <v>237.59</v>
      </c>
      <c r="H7" s="196">
        <v>0</v>
      </c>
      <c r="I7" s="196">
        <v>0</v>
      </c>
      <c r="J7" s="196"/>
      <c r="K7" s="196">
        <v>1019.76</v>
      </c>
      <c r="L7" s="196" t="s">
        <v>528</v>
      </c>
      <c r="M7" s="196">
        <v>37.630000000000003</v>
      </c>
      <c r="N7" s="196">
        <v>1510574400</v>
      </c>
      <c r="O7" s="196">
        <v>0</v>
      </c>
      <c r="P7" s="196">
        <v>3.66</v>
      </c>
      <c r="Q7" s="196">
        <v>196</v>
      </c>
      <c r="R7" s="196">
        <v>4.1900000000000004</v>
      </c>
      <c r="S7" s="196">
        <v>0.81</v>
      </c>
      <c r="T7"/>
    </row>
    <row r="8" spans="1:20" x14ac:dyDescent="0.25">
      <c r="A8" s="196">
        <v>38.69</v>
      </c>
      <c r="B8" s="196">
        <v>7.0000000000000007E-2</v>
      </c>
      <c r="C8" s="196">
        <v>25.53</v>
      </c>
      <c r="D8" s="8">
        <v>43052.25</v>
      </c>
      <c r="E8" s="196">
        <v>0.59</v>
      </c>
      <c r="F8" s="196" t="s">
        <v>529</v>
      </c>
      <c r="G8" s="196">
        <v>237.59</v>
      </c>
      <c r="H8" s="196">
        <v>0</v>
      </c>
      <c r="I8" s="196">
        <v>0</v>
      </c>
      <c r="J8" s="196"/>
      <c r="K8" s="196">
        <v>1019.83</v>
      </c>
      <c r="L8" s="196" t="s">
        <v>528</v>
      </c>
      <c r="M8" s="196">
        <v>38.69</v>
      </c>
      <c r="N8" s="196">
        <v>1510578000</v>
      </c>
      <c r="O8" s="196">
        <v>0</v>
      </c>
      <c r="P8" s="196">
        <v>3.42</v>
      </c>
      <c r="Q8" s="196">
        <v>198</v>
      </c>
      <c r="R8" s="196">
        <v>4.53</v>
      </c>
      <c r="S8" s="196">
        <v>1.34</v>
      </c>
      <c r="T8"/>
    </row>
    <row r="9" spans="1:20" x14ac:dyDescent="0.25">
      <c r="A9" s="196">
        <v>38.99</v>
      </c>
      <c r="B9" s="196">
        <v>0.13</v>
      </c>
      <c r="C9" s="196">
        <v>24.73</v>
      </c>
      <c r="D9" s="8">
        <v>43052.291666666664</v>
      </c>
      <c r="E9" s="196">
        <v>0.56000000000000005</v>
      </c>
      <c r="F9" s="196" t="s">
        <v>527</v>
      </c>
      <c r="G9" s="196">
        <v>237.87</v>
      </c>
      <c r="H9" s="196">
        <v>0</v>
      </c>
      <c r="I9" s="196">
        <v>0</v>
      </c>
      <c r="J9" s="196"/>
      <c r="K9" s="196">
        <v>1020.52</v>
      </c>
      <c r="L9" s="196" t="s">
        <v>528</v>
      </c>
      <c r="M9" s="196">
        <v>38.99</v>
      </c>
      <c r="N9" s="196">
        <v>1510581600</v>
      </c>
      <c r="O9" s="196">
        <v>0</v>
      </c>
      <c r="P9" s="196">
        <v>3.73</v>
      </c>
      <c r="Q9" s="196">
        <v>189</v>
      </c>
      <c r="R9" s="196">
        <v>5.34</v>
      </c>
      <c r="S9" s="196">
        <v>0.87</v>
      </c>
      <c r="T9"/>
    </row>
    <row r="10" spans="1:20" x14ac:dyDescent="0.25">
      <c r="A10" s="196">
        <v>44.61</v>
      </c>
      <c r="B10" s="196">
        <v>0.08</v>
      </c>
      <c r="C10" s="196">
        <v>25</v>
      </c>
      <c r="D10" s="8">
        <v>43052.333333333336</v>
      </c>
      <c r="E10" s="196">
        <v>0.46</v>
      </c>
      <c r="F10" s="196" t="s">
        <v>527</v>
      </c>
      <c r="G10" s="196">
        <v>238.16</v>
      </c>
      <c r="H10" s="196">
        <v>0</v>
      </c>
      <c r="I10" s="196">
        <v>0</v>
      </c>
      <c r="J10" s="196"/>
      <c r="K10" s="196">
        <v>1020.61</v>
      </c>
      <c r="L10" s="196" t="s">
        <v>528</v>
      </c>
      <c r="M10" s="196">
        <v>44.61</v>
      </c>
      <c r="N10" s="196">
        <v>1510585200</v>
      </c>
      <c r="O10" s="196">
        <v>1</v>
      </c>
      <c r="P10" s="196">
        <v>4.62</v>
      </c>
      <c r="Q10" s="196">
        <v>180</v>
      </c>
      <c r="R10" s="196">
        <v>5.8</v>
      </c>
      <c r="S10" s="196">
        <v>1.59</v>
      </c>
      <c r="T10"/>
    </row>
    <row r="11" spans="1:20" x14ac:dyDescent="0.25">
      <c r="A11" s="196">
        <v>53.11</v>
      </c>
      <c r="B11" s="196">
        <v>7.0000000000000007E-2</v>
      </c>
      <c r="C11" s="196">
        <v>26.6</v>
      </c>
      <c r="D11" s="8">
        <v>43052.375</v>
      </c>
      <c r="E11" s="196">
        <v>0.36</v>
      </c>
      <c r="F11" s="196" t="s">
        <v>527</v>
      </c>
      <c r="G11" s="196">
        <v>238.58</v>
      </c>
      <c r="H11" s="196">
        <v>0</v>
      </c>
      <c r="I11" s="196">
        <v>0</v>
      </c>
      <c r="J11" s="196"/>
      <c r="K11" s="196">
        <v>1018.79</v>
      </c>
      <c r="L11" s="196" t="s">
        <v>528</v>
      </c>
      <c r="M11" s="196">
        <v>53.11</v>
      </c>
      <c r="N11" s="196">
        <v>1510588800</v>
      </c>
      <c r="O11" s="196">
        <v>1</v>
      </c>
      <c r="P11" s="196">
        <v>3.42</v>
      </c>
      <c r="Q11" s="196">
        <v>179</v>
      </c>
      <c r="R11" s="196">
        <v>6.66</v>
      </c>
      <c r="S11" s="196">
        <v>1.94</v>
      </c>
      <c r="T11"/>
    </row>
    <row r="12" spans="1:20" x14ac:dyDescent="0.25">
      <c r="A12" s="196">
        <v>60.13</v>
      </c>
      <c r="B12" s="196">
        <v>0.08</v>
      </c>
      <c r="C12" s="196">
        <v>27.06</v>
      </c>
      <c r="D12" s="8">
        <v>43052.416666666664</v>
      </c>
      <c r="E12" s="196">
        <v>0.28000000000000003</v>
      </c>
      <c r="F12" s="196" t="s">
        <v>527</v>
      </c>
      <c r="G12" s="196">
        <v>239.14</v>
      </c>
      <c r="H12" s="196">
        <v>0</v>
      </c>
      <c r="I12" s="196">
        <v>0</v>
      </c>
      <c r="J12" s="196"/>
      <c r="K12" s="196">
        <v>1017.95</v>
      </c>
      <c r="L12" s="196" t="s">
        <v>528</v>
      </c>
      <c r="M12" s="196">
        <v>60.13</v>
      </c>
      <c r="N12" s="196">
        <v>1510592400</v>
      </c>
      <c r="O12" s="196">
        <v>2</v>
      </c>
      <c r="P12" s="196">
        <v>3.11</v>
      </c>
      <c r="Q12" s="196">
        <v>184</v>
      </c>
      <c r="R12" s="196">
        <v>7.63</v>
      </c>
      <c r="S12" s="196">
        <v>2.4500000000000002</v>
      </c>
      <c r="T12"/>
    </row>
    <row r="13" spans="1:20" x14ac:dyDescent="0.25">
      <c r="A13" s="196">
        <v>65.61</v>
      </c>
      <c r="B13" s="196">
        <v>0.06</v>
      </c>
      <c r="C13" s="196">
        <v>26.65</v>
      </c>
      <c r="D13" s="8">
        <v>43052.458333333336</v>
      </c>
      <c r="E13" s="196">
        <v>0.23</v>
      </c>
      <c r="F13" s="196" t="s">
        <v>527</v>
      </c>
      <c r="G13" s="196">
        <v>241.64</v>
      </c>
      <c r="H13" s="196">
        <v>0</v>
      </c>
      <c r="I13" s="196">
        <v>0</v>
      </c>
      <c r="J13" s="196"/>
      <c r="K13" s="196">
        <v>1017.09</v>
      </c>
      <c r="L13" s="196" t="s">
        <v>528</v>
      </c>
      <c r="M13" s="196">
        <v>65.61</v>
      </c>
      <c r="N13" s="196">
        <v>1510596000</v>
      </c>
      <c r="O13" s="196">
        <v>3</v>
      </c>
      <c r="P13" s="196">
        <v>4.78</v>
      </c>
      <c r="Q13" s="196">
        <v>179</v>
      </c>
      <c r="R13" s="196">
        <v>8.93</v>
      </c>
      <c r="S13" s="196">
        <v>2.95</v>
      </c>
      <c r="T13"/>
    </row>
    <row r="14" spans="1:20" x14ac:dyDescent="0.25">
      <c r="A14" s="196">
        <v>62.84</v>
      </c>
      <c r="B14" s="196">
        <v>0.15</v>
      </c>
      <c r="C14" s="196">
        <v>25.53</v>
      </c>
      <c r="D14" s="8">
        <v>43052.5</v>
      </c>
      <c r="E14" s="196">
        <v>0.24</v>
      </c>
      <c r="F14" s="196" t="s">
        <v>527</v>
      </c>
      <c r="G14" s="196">
        <v>241.64</v>
      </c>
      <c r="H14" s="196">
        <v>0</v>
      </c>
      <c r="I14" s="196">
        <v>0</v>
      </c>
      <c r="J14" s="196"/>
      <c r="K14" s="196">
        <v>1015.02</v>
      </c>
      <c r="L14" s="196" t="s">
        <v>528</v>
      </c>
      <c r="M14" s="196">
        <v>62.84</v>
      </c>
      <c r="N14" s="196">
        <v>1510599600</v>
      </c>
      <c r="O14" s="196">
        <v>3</v>
      </c>
      <c r="P14" s="196">
        <v>10</v>
      </c>
      <c r="Q14" s="196">
        <v>198</v>
      </c>
      <c r="R14" s="196">
        <v>7.4</v>
      </c>
      <c r="S14" s="196">
        <v>3.69</v>
      </c>
      <c r="T14"/>
    </row>
    <row r="15" spans="1:20" x14ac:dyDescent="0.25">
      <c r="A15" s="196">
        <v>63.67</v>
      </c>
      <c r="B15" s="196">
        <v>7.0000000000000007E-2</v>
      </c>
      <c r="C15" s="196">
        <v>24.65</v>
      </c>
      <c r="D15" s="8">
        <v>43052.541666666664</v>
      </c>
      <c r="E15" s="196">
        <v>0.22</v>
      </c>
      <c r="F15" s="196" t="s">
        <v>527</v>
      </c>
      <c r="G15" s="196">
        <v>241.22</v>
      </c>
      <c r="H15" s="196">
        <v>1E-4</v>
      </c>
      <c r="I15" s="196">
        <v>0.01</v>
      </c>
      <c r="J15" s="196" t="s">
        <v>458</v>
      </c>
      <c r="K15" s="196">
        <v>1014.07</v>
      </c>
      <c r="L15" s="196" t="s">
        <v>528</v>
      </c>
      <c r="M15" s="196">
        <v>63.67</v>
      </c>
      <c r="N15" s="196">
        <v>1510603200</v>
      </c>
      <c r="O15" s="196">
        <v>3</v>
      </c>
      <c r="P15" s="196">
        <v>10</v>
      </c>
      <c r="Q15" s="196">
        <v>203</v>
      </c>
      <c r="R15" s="196">
        <v>6.6</v>
      </c>
      <c r="S15" s="196">
        <v>3.21</v>
      </c>
      <c r="T15"/>
    </row>
    <row r="16" spans="1:20" x14ac:dyDescent="0.25">
      <c r="A16" s="196">
        <v>68.42</v>
      </c>
      <c r="B16" s="196">
        <v>0.04</v>
      </c>
      <c r="C16" s="196">
        <v>24.19</v>
      </c>
      <c r="D16" s="8">
        <v>43052.583333333336</v>
      </c>
      <c r="E16" s="196">
        <v>0.19</v>
      </c>
      <c r="F16" s="196" t="s">
        <v>527</v>
      </c>
      <c r="G16" s="196">
        <v>240.67</v>
      </c>
      <c r="H16" s="196">
        <v>2.0000000000000001E-4</v>
      </c>
      <c r="I16" s="196">
        <v>0.01</v>
      </c>
      <c r="J16" s="196" t="s">
        <v>458</v>
      </c>
      <c r="K16" s="196">
        <v>1013.26</v>
      </c>
      <c r="L16" s="196" t="s">
        <v>528</v>
      </c>
      <c r="M16" s="196">
        <v>68.42</v>
      </c>
      <c r="N16" s="196">
        <v>1510606800</v>
      </c>
      <c r="O16" s="196">
        <v>2</v>
      </c>
      <c r="P16" s="196">
        <v>10</v>
      </c>
      <c r="Q16" s="196">
        <v>129</v>
      </c>
      <c r="R16" s="196">
        <v>5.88</v>
      </c>
      <c r="S16" s="196">
        <v>3.15</v>
      </c>
      <c r="T16"/>
    </row>
    <row r="17" spans="1:20" x14ac:dyDescent="0.25">
      <c r="A17" s="196">
        <v>67.47</v>
      </c>
      <c r="B17" s="196">
        <v>0.1</v>
      </c>
      <c r="C17" s="196">
        <v>24.7</v>
      </c>
      <c r="D17" s="8">
        <v>43052.625</v>
      </c>
      <c r="E17" s="196">
        <v>0.2</v>
      </c>
      <c r="F17" s="196" t="s">
        <v>527</v>
      </c>
      <c r="G17" s="196">
        <v>239.97</v>
      </c>
      <c r="H17" s="196">
        <v>2.0000000000000001E-4</v>
      </c>
      <c r="I17" s="196">
        <v>0.01</v>
      </c>
      <c r="J17" s="196" t="s">
        <v>458</v>
      </c>
      <c r="K17" s="196">
        <v>1013.38</v>
      </c>
      <c r="L17" s="196" t="s">
        <v>528</v>
      </c>
      <c r="M17" s="196">
        <v>67.47</v>
      </c>
      <c r="N17" s="196">
        <v>1510610400</v>
      </c>
      <c r="O17" s="196">
        <v>1</v>
      </c>
      <c r="P17" s="196">
        <v>10</v>
      </c>
      <c r="Q17" s="196">
        <v>105</v>
      </c>
      <c r="R17" s="196">
        <v>5.39</v>
      </c>
      <c r="S17" s="196">
        <v>3.2</v>
      </c>
      <c r="T17"/>
    </row>
    <row r="18" spans="1:20" x14ac:dyDescent="0.25">
      <c r="A18" s="196">
        <v>64.75</v>
      </c>
      <c r="B18" s="196">
        <v>0.21</v>
      </c>
      <c r="C18" s="196">
        <v>25.64</v>
      </c>
      <c r="D18" s="8">
        <v>43052.666666666664</v>
      </c>
      <c r="E18" s="196">
        <v>0.23</v>
      </c>
      <c r="F18" s="196" t="s">
        <v>527</v>
      </c>
      <c r="G18" s="196">
        <v>239.28</v>
      </c>
      <c r="H18" s="196">
        <v>2.0000000000000001E-4</v>
      </c>
      <c r="I18" s="196">
        <v>0.01</v>
      </c>
      <c r="J18" s="196" t="s">
        <v>458</v>
      </c>
      <c r="K18" s="196">
        <v>1014.02</v>
      </c>
      <c r="L18" s="196" t="s">
        <v>528</v>
      </c>
      <c r="M18" s="196">
        <v>64.75</v>
      </c>
      <c r="N18" s="196">
        <v>1510614000</v>
      </c>
      <c r="O18" s="196">
        <v>1</v>
      </c>
      <c r="P18" s="196">
        <v>10</v>
      </c>
      <c r="Q18" s="196">
        <v>64</v>
      </c>
      <c r="R18" s="196">
        <v>5</v>
      </c>
      <c r="S18" s="196">
        <v>3.36</v>
      </c>
      <c r="T18"/>
    </row>
    <row r="19" spans="1:20" x14ac:dyDescent="0.25">
      <c r="A19" s="196">
        <v>62.96</v>
      </c>
      <c r="B19" s="196">
        <v>0.27</v>
      </c>
      <c r="C19" s="196">
        <v>24.89</v>
      </c>
      <c r="D19" s="8">
        <v>43052.708333333336</v>
      </c>
      <c r="E19" s="196">
        <v>0.23</v>
      </c>
      <c r="F19" s="196" t="s">
        <v>370</v>
      </c>
      <c r="G19" s="196">
        <v>237.45</v>
      </c>
      <c r="H19" s="196">
        <v>0</v>
      </c>
      <c r="I19" s="196">
        <v>0</v>
      </c>
      <c r="J19" s="196"/>
      <c r="K19" s="196">
        <v>1013.53</v>
      </c>
      <c r="L19" s="196" t="s">
        <v>526</v>
      </c>
      <c r="M19" s="196">
        <v>62.96</v>
      </c>
      <c r="N19" s="196">
        <v>1510617600</v>
      </c>
      <c r="O19" s="196">
        <v>0</v>
      </c>
      <c r="P19" s="196">
        <v>10</v>
      </c>
      <c r="Q19" s="196">
        <v>39</v>
      </c>
      <c r="R19" s="196">
        <v>5.56</v>
      </c>
      <c r="S19" s="196">
        <v>4.54</v>
      </c>
      <c r="T19"/>
    </row>
    <row r="20" spans="1:20" x14ac:dyDescent="0.25">
      <c r="A20" s="196">
        <v>59.71</v>
      </c>
      <c r="B20" s="196">
        <v>0.28999999999999998</v>
      </c>
      <c r="C20" s="196">
        <v>24.64</v>
      </c>
      <c r="D20" s="8">
        <v>43052.75</v>
      </c>
      <c r="E20" s="196">
        <v>0.26</v>
      </c>
      <c r="F20" s="196" t="s">
        <v>370</v>
      </c>
      <c r="G20" s="196">
        <v>236.75</v>
      </c>
      <c r="H20" s="196">
        <v>0</v>
      </c>
      <c r="I20" s="196">
        <v>0</v>
      </c>
      <c r="J20" s="196"/>
      <c r="K20" s="196">
        <v>1014.2</v>
      </c>
      <c r="L20" s="196" t="s">
        <v>526</v>
      </c>
      <c r="M20" s="196">
        <v>59.71</v>
      </c>
      <c r="N20" s="196">
        <v>1510621200</v>
      </c>
      <c r="O20" s="196">
        <v>0</v>
      </c>
      <c r="P20" s="196">
        <v>10</v>
      </c>
      <c r="Q20" s="196">
        <v>4</v>
      </c>
      <c r="R20" s="196">
        <v>5.07</v>
      </c>
      <c r="S20" s="196">
        <v>4.54</v>
      </c>
      <c r="T20"/>
    </row>
    <row r="21" spans="1:20" x14ac:dyDescent="0.25">
      <c r="A21" s="196">
        <v>55.99</v>
      </c>
      <c r="B21" s="196">
        <v>0.28000000000000003</v>
      </c>
      <c r="C21" s="196">
        <v>24.12</v>
      </c>
      <c r="D21" s="8">
        <v>43052.791666666664</v>
      </c>
      <c r="E21" s="196">
        <v>0.28999999999999998</v>
      </c>
      <c r="F21" s="196" t="s">
        <v>370</v>
      </c>
      <c r="G21" s="196">
        <v>236.46</v>
      </c>
      <c r="H21" s="196">
        <v>2.0000000000000001E-4</v>
      </c>
      <c r="I21" s="196">
        <v>0.02</v>
      </c>
      <c r="J21" s="196" t="s">
        <v>458</v>
      </c>
      <c r="K21" s="196">
        <v>1015.12</v>
      </c>
      <c r="L21" s="196" t="s">
        <v>526</v>
      </c>
      <c r="M21" s="196">
        <v>55.99</v>
      </c>
      <c r="N21" s="196">
        <v>1510624800</v>
      </c>
      <c r="O21" s="196">
        <v>0</v>
      </c>
      <c r="P21" s="196">
        <v>10</v>
      </c>
      <c r="Q21" s="196">
        <v>276</v>
      </c>
      <c r="R21" s="196">
        <v>4.49</v>
      </c>
      <c r="S21" s="196">
        <v>4.43</v>
      </c>
      <c r="T21"/>
    </row>
    <row r="22" spans="1:20" x14ac:dyDescent="0.25">
      <c r="A22" s="196">
        <v>51.37</v>
      </c>
      <c r="B22" s="196">
        <v>0.3</v>
      </c>
      <c r="C22" s="196">
        <v>23.27</v>
      </c>
      <c r="D22" s="8">
        <v>43052.833333333336</v>
      </c>
      <c r="E22" s="196">
        <v>0.33</v>
      </c>
      <c r="F22" s="196" t="s">
        <v>370</v>
      </c>
      <c r="G22" s="196">
        <v>236.46</v>
      </c>
      <c r="H22" s="196">
        <v>2.9999999999999997E-4</v>
      </c>
      <c r="I22" s="196">
        <v>0.02</v>
      </c>
      <c r="J22" s="196" t="s">
        <v>458</v>
      </c>
      <c r="K22" s="196">
        <v>1016.89</v>
      </c>
      <c r="L22" s="196" t="s">
        <v>526</v>
      </c>
      <c r="M22" s="196">
        <v>51.37</v>
      </c>
      <c r="N22" s="196">
        <v>1510628400</v>
      </c>
      <c r="O22" s="196">
        <v>0</v>
      </c>
      <c r="P22" s="196">
        <v>10</v>
      </c>
      <c r="Q22" s="196">
        <v>285</v>
      </c>
      <c r="R22" s="196">
        <v>4.2</v>
      </c>
      <c r="S22" s="196">
        <v>4.12</v>
      </c>
      <c r="T22"/>
    </row>
    <row r="23" spans="1:20" x14ac:dyDescent="0.25">
      <c r="A23" s="196">
        <v>47.6</v>
      </c>
      <c r="B23" s="196">
        <v>0.26</v>
      </c>
      <c r="C23" s="196">
        <v>22.09</v>
      </c>
      <c r="D23" s="8">
        <v>43052.875</v>
      </c>
      <c r="E23" s="196">
        <v>0.34</v>
      </c>
      <c r="F23" s="196" t="s">
        <v>370</v>
      </c>
      <c r="G23" s="196">
        <v>236.6</v>
      </c>
      <c r="H23" s="196">
        <v>2.0000000000000001E-4</v>
      </c>
      <c r="I23" s="196">
        <v>0.02</v>
      </c>
      <c r="J23" s="196" t="s">
        <v>458</v>
      </c>
      <c r="K23" s="196">
        <v>1017.07</v>
      </c>
      <c r="L23" s="196" t="s">
        <v>526</v>
      </c>
      <c r="M23" s="196">
        <v>49.22</v>
      </c>
      <c r="N23" s="196">
        <v>1510632000</v>
      </c>
      <c r="O23" s="196">
        <v>0</v>
      </c>
      <c r="P23" s="196">
        <v>10</v>
      </c>
      <c r="Q23" s="196">
        <v>354</v>
      </c>
      <c r="R23" s="196">
        <v>4.58</v>
      </c>
      <c r="S23" s="196">
        <v>4.5199999999999996</v>
      </c>
      <c r="T23"/>
    </row>
    <row r="24" spans="1:20" x14ac:dyDescent="0.25">
      <c r="A24" s="196">
        <v>45.02</v>
      </c>
      <c r="B24" s="196">
        <v>0.21</v>
      </c>
      <c r="C24" s="196">
        <v>20.61</v>
      </c>
      <c r="D24" s="8">
        <v>43052.916666666664</v>
      </c>
      <c r="E24" s="196">
        <v>0.34</v>
      </c>
      <c r="F24" s="196" t="s">
        <v>529</v>
      </c>
      <c r="G24" s="196">
        <v>237.03</v>
      </c>
      <c r="H24" s="196">
        <v>0</v>
      </c>
      <c r="I24" s="196">
        <v>0</v>
      </c>
      <c r="J24" s="196"/>
      <c r="K24" s="196">
        <v>1016.82</v>
      </c>
      <c r="L24" s="196" t="s">
        <v>528</v>
      </c>
      <c r="M24" s="196">
        <v>47.37</v>
      </c>
      <c r="N24" s="196">
        <v>1510635600</v>
      </c>
      <c r="O24" s="196">
        <v>0</v>
      </c>
      <c r="P24" s="196">
        <v>10</v>
      </c>
      <c r="Q24" s="196">
        <v>166</v>
      </c>
      <c r="R24" s="196">
        <v>5.22</v>
      </c>
      <c r="S24" s="196">
        <v>5.17</v>
      </c>
      <c r="T24"/>
    </row>
    <row r="25" spans="1:20" x14ac:dyDescent="0.25">
      <c r="A25" s="196">
        <v>44.01</v>
      </c>
      <c r="B25" s="196">
        <v>0.17</v>
      </c>
      <c r="C25" s="196">
        <v>19.53</v>
      </c>
      <c r="D25" s="8">
        <v>43052.958333333336</v>
      </c>
      <c r="E25" s="196">
        <v>0.34</v>
      </c>
      <c r="F25" s="196" t="s">
        <v>529</v>
      </c>
      <c r="G25" s="196">
        <v>237.45</v>
      </c>
      <c r="H25" s="196">
        <v>0</v>
      </c>
      <c r="I25" s="196">
        <v>0</v>
      </c>
      <c r="J25" s="196"/>
      <c r="K25" s="196">
        <v>1016.22</v>
      </c>
      <c r="L25" s="196" t="s">
        <v>528</v>
      </c>
      <c r="M25" s="196">
        <v>46.39</v>
      </c>
      <c r="N25" s="196">
        <v>1510639200</v>
      </c>
      <c r="O25" s="196">
        <v>0</v>
      </c>
      <c r="P25" s="196">
        <v>10</v>
      </c>
      <c r="Q25" s="196">
        <v>231</v>
      </c>
      <c r="R25" s="196">
        <v>4.97</v>
      </c>
      <c r="S25" s="196">
        <v>4.95</v>
      </c>
      <c r="T25"/>
    </row>
    <row r="26" spans="1:20" x14ac:dyDescent="0.25">
      <c r="A26" s="196">
        <v>41.55</v>
      </c>
      <c r="B26" s="196">
        <v>0.25</v>
      </c>
      <c r="C26" s="196">
        <v>19.170000000000002</v>
      </c>
      <c r="D26" s="8">
        <v>43053</v>
      </c>
      <c r="E26" s="196">
        <v>0.36</v>
      </c>
      <c r="F26" s="196" t="s">
        <v>370</v>
      </c>
      <c r="G26" s="196">
        <v>238.16</v>
      </c>
      <c r="H26" s="196">
        <v>0</v>
      </c>
      <c r="I26" s="196">
        <v>0</v>
      </c>
      <c r="J26" s="196"/>
      <c r="K26" s="196">
        <v>1016.12</v>
      </c>
      <c r="L26" s="196" t="s">
        <v>526</v>
      </c>
      <c r="M26" s="196">
        <v>44.41</v>
      </c>
      <c r="N26" s="196">
        <v>1510642800</v>
      </c>
      <c r="O26" s="196">
        <v>0</v>
      </c>
      <c r="P26" s="196">
        <v>10</v>
      </c>
      <c r="Q26" s="196">
        <v>240</v>
      </c>
      <c r="R26" s="196">
        <v>5.17</v>
      </c>
      <c r="S26" s="196">
        <v>5.16</v>
      </c>
      <c r="T26"/>
    </row>
    <row r="27" spans="1:20" x14ac:dyDescent="0.25">
      <c r="A27" s="196">
        <v>39.630000000000003</v>
      </c>
      <c r="B27" s="196">
        <v>0.38</v>
      </c>
      <c r="C27" s="196">
        <v>19.149999999999999</v>
      </c>
      <c r="D27" s="8">
        <v>43053.041666666664</v>
      </c>
      <c r="E27" s="196">
        <v>0.38</v>
      </c>
      <c r="F27" s="196" t="s">
        <v>370</v>
      </c>
      <c r="G27" s="196">
        <v>238.72</v>
      </c>
      <c r="H27" s="196">
        <v>1E-4</v>
      </c>
      <c r="I27" s="196">
        <v>0.01</v>
      </c>
      <c r="J27" s="196" t="s">
        <v>458</v>
      </c>
      <c r="K27" s="196">
        <v>1016.08</v>
      </c>
      <c r="L27" s="196" t="s">
        <v>526</v>
      </c>
      <c r="M27" s="196">
        <v>42.86</v>
      </c>
      <c r="N27" s="196">
        <v>1510646400</v>
      </c>
      <c r="O27" s="196">
        <v>0</v>
      </c>
      <c r="P27" s="196">
        <v>10</v>
      </c>
      <c r="Q27" s="196">
        <v>225</v>
      </c>
      <c r="R27" s="196">
        <v>5.35</v>
      </c>
      <c r="S27" s="196">
        <v>5.29</v>
      </c>
      <c r="T27"/>
    </row>
    <row r="28" spans="1:20" x14ac:dyDescent="0.25">
      <c r="A28" s="196">
        <v>38.51</v>
      </c>
      <c r="B28" s="196">
        <v>0.48</v>
      </c>
      <c r="C28" s="196">
        <v>19.07</v>
      </c>
      <c r="D28" s="8">
        <v>43053.083333333336</v>
      </c>
      <c r="E28" s="196">
        <v>0.39</v>
      </c>
      <c r="F28" s="196" t="s">
        <v>370</v>
      </c>
      <c r="G28" s="196">
        <v>239.28</v>
      </c>
      <c r="H28" s="196">
        <v>1E-4</v>
      </c>
      <c r="I28" s="196">
        <v>0.01</v>
      </c>
      <c r="J28" s="196" t="s">
        <v>458</v>
      </c>
      <c r="K28" s="196">
        <v>1016.22</v>
      </c>
      <c r="L28" s="196" t="s">
        <v>526</v>
      </c>
      <c r="M28" s="196">
        <v>41.94</v>
      </c>
      <c r="N28" s="196">
        <v>1510650000</v>
      </c>
      <c r="O28" s="196">
        <v>0</v>
      </c>
      <c r="P28" s="196">
        <v>10</v>
      </c>
      <c r="Q28" s="196">
        <v>215</v>
      </c>
      <c r="R28" s="196">
        <v>5.74</v>
      </c>
      <c r="S28" s="196">
        <v>5.34</v>
      </c>
      <c r="T28"/>
    </row>
    <row r="29" spans="1:20" x14ac:dyDescent="0.25">
      <c r="A29" s="196">
        <v>38.19</v>
      </c>
      <c r="B29" s="196">
        <v>0.51</v>
      </c>
      <c r="C29" s="196">
        <v>18.72</v>
      </c>
      <c r="D29" s="8">
        <v>43053.125</v>
      </c>
      <c r="E29" s="196">
        <v>0.39</v>
      </c>
      <c r="F29" s="196" t="s">
        <v>370</v>
      </c>
      <c r="G29" s="196">
        <v>239.28</v>
      </c>
      <c r="H29" s="196">
        <v>1E-4</v>
      </c>
      <c r="I29" s="196">
        <v>0.01</v>
      </c>
      <c r="J29" s="196" t="s">
        <v>458</v>
      </c>
      <c r="K29" s="196">
        <v>1016.6</v>
      </c>
      <c r="L29" s="196" t="s">
        <v>526</v>
      </c>
      <c r="M29" s="196">
        <v>41.64</v>
      </c>
      <c r="N29" s="196">
        <v>1510653600</v>
      </c>
      <c r="O29" s="196">
        <v>0</v>
      </c>
      <c r="P29" s="196">
        <v>10</v>
      </c>
      <c r="Q29" s="196">
        <v>216</v>
      </c>
      <c r="R29" s="196">
        <v>5.82</v>
      </c>
      <c r="S29" s="196">
        <v>5.29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A4" sqref="A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43052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1082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1083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1084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1085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1086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1087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1088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1089</v>
      </c>
      <c r="J25" s="140" t="s">
        <v>144</v>
      </c>
      <c r="M25" s="154" t="b">
        <v>1</v>
      </c>
    </row>
    <row r="26" spans="3:24" x14ac:dyDescent="0.25">
      <c r="C26" t="s">
        <v>1090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%USERPROFILE%\Documents\GitHub\eaglep3-reporting\EC\2017-11-13-refined-times.txt</v>
      </c>
    </row>
    <row r="27" spans="3:24" x14ac:dyDescent="0.25">
      <c r="C27" t="s">
        <v>1091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%USERPROFILE%\Documents\GitHub\eaglep3-reporting\EC\2017-11-13-Enforcements.txt</v>
      </c>
    </row>
    <row r="28" spans="3:24" x14ac:dyDescent="0.25">
      <c r="C28" t="s">
        <v>1092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%USERPROFILE%\Documents\GitHub\eaglep3-reporting\EC\2017-11-13-Runs-refined.txt</v>
      </c>
    </row>
    <row r="29" spans="3:24" x14ac:dyDescent="0.25">
      <c r="C29" t="s">
        <v>1093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%USERPROFILE%\Documents\GitHub\eaglep3-reporting\EC\2017-11-13-Trips.txt</v>
      </c>
    </row>
    <row r="30" spans="3:24" x14ac:dyDescent="0.25">
      <c r="C30" t="s">
        <v>1094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%USERPROFILE%\Documents\GitHub\eaglep3-reporting\EC\2017-11-13-Weather.txt</v>
      </c>
    </row>
    <row r="31" spans="3:24" x14ac:dyDescent="0.25">
      <c r="C31" t="s">
        <v>1095</v>
      </c>
      <c r="J31" s="140" t="s">
        <v>188</v>
      </c>
      <c r="M31" s="154" t="s">
        <v>189</v>
      </c>
    </row>
    <row r="32" spans="3:24" x14ac:dyDescent="0.25">
      <c r="C32" t="s">
        <v>1096</v>
      </c>
    </row>
    <row r="33" spans="3:3" x14ac:dyDescent="0.25">
      <c r="C33" t="s">
        <v>1097</v>
      </c>
    </row>
    <row r="34" spans="3:3" x14ac:dyDescent="0.25">
      <c r="C34" t="s">
        <v>1098</v>
      </c>
    </row>
    <row r="35" spans="3:3" x14ac:dyDescent="0.25">
      <c r="C35" t="s">
        <v>1099</v>
      </c>
    </row>
    <row r="36" spans="3:3" x14ac:dyDescent="0.25">
      <c r="C36" t="s">
        <v>1100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2017-11-14T16:40:35Z</dcterms:modified>
</cp:coreProperties>
</file>