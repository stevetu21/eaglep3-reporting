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7" i="1" l="1"/>
  <c r="P162" i="1"/>
  <c r="P166" i="1"/>
  <c r="K166" i="1"/>
  <c r="L166" i="1"/>
  <c r="M166" i="1"/>
  <c r="V166" i="1"/>
  <c r="AA166" i="1"/>
  <c r="AB166" i="1"/>
  <c r="AC166" i="1"/>
  <c r="AD166" i="1"/>
  <c r="T166" i="1" s="1"/>
  <c r="AE166" i="1"/>
  <c r="AF166" i="1"/>
  <c r="AH166" i="1"/>
  <c r="X163" i="1"/>
  <c r="X164" i="1"/>
  <c r="K162" i="1"/>
  <c r="L162" i="1"/>
  <c r="M162" i="1"/>
  <c r="V162" i="1"/>
  <c r="AA162" i="1"/>
  <c r="AB162" i="1"/>
  <c r="AC162" i="1"/>
  <c r="AD162" i="1"/>
  <c r="T162" i="1" s="1"/>
  <c r="AE162" i="1"/>
  <c r="AF162" i="1"/>
  <c r="AH162" i="1"/>
  <c r="X170" i="1"/>
  <c r="X171" i="1"/>
  <c r="X172" i="1"/>
  <c r="X173" i="1"/>
  <c r="X174" i="1"/>
  <c r="P129" i="1"/>
  <c r="X6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T23" i="1"/>
  <c r="V23" i="1"/>
  <c r="Y23" i="1"/>
  <c r="Z23" i="1"/>
  <c r="AB23" i="1"/>
  <c r="AC23" i="1"/>
  <c r="AD23" i="1"/>
  <c r="X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G30" i="1"/>
  <c r="AH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AA39" i="1" s="1"/>
  <c r="Z39" i="1"/>
  <c r="AB39" i="1"/>
  <c r="AC39" i="1"/>
  <c r="AD39" i="1"/>
  <c r="T39" i="1" s="1"/>
  <c r="AE39" i="1"/>
  <c r="AF39" i="1"/>
  <c r="AH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K44" i="1"/>
  <c r="L44" i="1"/>
  <c r="M44" i="1"/>
  <c r="N44" i="1"/>
  <c r="V44" i="1"/>
  <c r="Y44" i="1"/>
  <c r="Z44" i="1"/>
  <c r="AI44" i="1" s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S18" i="3" s="1"/>
  <c r="Y46" i="1"/>
  <c r="Z46" i="1"/>
  <c r="AA46" i="1" s="1"/>
  <c r="AB46" i="1"/>
  <c r="AC46" i="1"/>
  <c r="AD46" i="1"/>
  <c r="T46" i="1" s="1"/>
  <c r="AE46" i="1"/>
  <c r="R18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K62" i="1"/>
  <c r="L62" i="1"/>
  <c r="M62" i="1"/>
  <c r="N62" i="1" s="1"/>
  <c r="V62" i="1"/>
  <c r="S19" i="3" s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G66" i="1"/>
  <c r="AH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16" i="3" s="1"/>
  <c r="AF71" i="1"/>
  <c r="AH71" i="1"/>
  <c r="K72" i="1"/>
  <c r="L72" i="1"/>
  <c r="M72" i="1"/>
  <c r="N72" i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S11" i="3" s="1"/>
  <c r="Y75" i="1"/>
  <c r="Z75" i="1"/>
  <c r="AB75" i="1"/>
  <c r="AC75" i="1"/>
  <c r="AD75" i="1"/>
  <c r="T75" i="1" s="1"/>
  <c r="AE75" i="1"/>
  <c r="R11" i="3" s="1"/>
  <c r="AF75" i="1"/>
  <c r="AH75" i="1"/>
  <c r="K76" i="1"/>
  <c r="L76" i="1"/>
  <c r="M76" i="1"/>
  <c r="N76" i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P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S8" i="3" s="1"/>
  <c r="Y85" i="1"/>
  <c r="Z85" i="1"/>
  <c r="AB85" i="1"/>
  <c r="AC85" i="1"/>
  <c r="AD85" i="1"/>
  <c r="AG85" i="1" s="1"/>
  <c r="AE85" i="1"/>
  <c r="R8" i="3" s="1"/>
  <c r="AF85" i="1"/>
  <c r="AH85" i="1"/>
  <c r="K86" i="1"/>
  <c r="L86" i="1"/>
  <c r="M86" i="1"/>
  <c r="N86" i="1" s="1"/>
  <c r="V86" i="1"/>
  <c r="S15" i="3" s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K90" i="1"/>
  <c r="L90" i="1"/>
  <c r="M90" i="1"/>
  <c r="N90" i="1" s="1"/>
  <c r="V90" i="1"/>
  <c r="Y90" i="1"/>
  <c r="Z90" i="1"/>
  <c r="AA90" i="1" s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S13" i="3" s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S17" i="3" s="1"/>
  <c r="Y98" i="1"/>
  <c r="Z98" i="1"/>
  <c r="AB98" i="1"/>
  <c r="AC98" i="1"/>
  <c r="AD98" i="1"/>
  <c r="T98" i="1" s="1"/>
  <c r="AE98" i="1"/>
  <c r="R17" i="3" s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S21" i="3" s="1"/>
  <c r="X102" i="1"/>
  <c r="Y102" i="1"/>
  <c r="Z102" i="1"/>
  <c r="AB102" i="1"/>
  <c r="AC102" i="1"/>
  <c r="AD102" i="1"/>
  <c r="T102" i="1" s="1"/>
  <c r="AE102" i="1"/>
  <c r="AF102" i="1"/>
  <c r="AG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R22" i="3" s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X106" i="1" s="1"/>
  <c r="AE106" i="1"/>
  <c r="R23" i="3" s="1"/>
  <c r="AF106" i="1"/>
  <c r="AH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S9" i="3" s="1"/>
  <c r="Y109" i="1"/>
  <c r="Z109" i="1"/>
  <c r="AA109" i="1" s="1"/>
  <c r="AB109" i="1"/>
  <c r="AC109" i="1"/>
  <c r="AD109" i="1"/>
  <c r="T109" i="1" s="1"/>
  <c r="AE109" i="1"/>
  <c r="R9" i="3" s="1"/>
  <c r="AF109" i="1"/>
  <c r="AH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A111" i="1" s="1"/>
  <c r="W111" i="1" s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A113" i="1" s="1"/>
  <c r="AB113" i="1"/>
  <c r="AC113" i="1"/>
  <c r="AD113" i="1"/>
  <c r="X113" i="1" s="1"/>
  <c r="AE113" i="1"/>
  <c r="R14" i="3" s="1"/>
  <c r="AF113" i="1"/>
  <c r="AH113" i="1"/>
  <c r="K114" i="1"/>
  <c r="L114" i="1"/>
  <c r="M114" i="1"/>
  <c r="N114" i="1" s="1"/>
  <c r="T114" i="1"/>
  <c r="V114" i="1"/>
  <c r="X114" i="1"/>
  <c r="Y114" i="1"/>
  <c r="Z114" i="1"/>
  <c r="AB114" i="1"/>
  <c r="AC114" i="1"/>
  <c r="AD114" i="1"/>
  <c r="AE114" i="1"/>
  <c r="AF114" i="1"/>
  <c r="AG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S24" i="3" s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AA124" i="1" s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V130" i="1"/>
  <c r="Y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T131" i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P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T139" i="1"/>
  <c r="V139" i="1"/>
  <c r="Y139" i="1"/>
  <c r="Z139" i="1"/>
  <c r="AA139" i="1" s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S12" i="3" s="1"/>
  <c r="Y140" i="1"/>
  <c r="Z140" i="1"/>
  <c r="AA140" i="1" s="1"/>
  <c r="AB140" i="1"/>
  <c r="AC140" i="1"/>
  <c r="AD140" i="1"/>
  <c r="AE140" i="1"/>
  <c r="R12" i="3" s="1"/>
  <c r="AF140" i="1"/>
  <c r="AH140" i="1"/>
  <c r="K141" i="1"/>
  <c r="L141" i="1"/>
  <c r="M141" i="1"/>
  <c r="N141" i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S10" i="3" s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AA209" i="1" s="1"/>
  <c r="Z209" i="1"/>
  <c r="AB209" i="1"/>
  <c r="AC209" i="1"/>
  <c r="AD209" i="1"/>
  <c r="T209" i="1" s="1"/>
  <c r="AE209" i="1"/>
  <c r="AF209" i="1"/>
  <c r="AH163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4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5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7" i="1"/>
  <c r="K213" i="1"/>
  <c r="L213" i="1"/>
  <c r="M213" i="1"/>
  <c r="N213" i="1" s="1"/>
  <c r="V213" i="1"/>
  <c r="S33" i="3" s="1"/>
  <c r="Y213" i="1"/>
  <c r="Z213" i="1"/>
  <c r="AB213" i="1"/>
  <c r="AC213" i="1"/>
  <c r="AD213" i="1"/>
  <c r="T213" i="1" s="1"/>
  <c r="AE213" i="1"/>
  <c r="R33" i="3" s="1"/>
  <c r="AF213" i="1"/>
  <c r="AG213" i="1"/>
  <c r="AH168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70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1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2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3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4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5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6" i="1"/>
  <c r="K228" i="1"/>
  <c r="L228" i="1"/>
  <c r="M228" i="1"/>
  <c r="N228" i="1" s="1"/>
  <c r="V228" i="1"/>
  <c r="Y228" i="1"/>
  <c r="Z228" i="1"/>
  <c r="AA228" i="1" s="1"/>
  <c r="W228" i="1" s="1"/>
  <c r="AB228" i="1"/>
  <c r="AC228" i="1"/>
  <c r="AD228" i="1"/>
  <c r="AG228" i="1" s="1"/>
  <c r="AE228" i="1"/>
  <c r="AF228" i="1"/>
  <c r="AH177" i="1"/>
  <c r="K159" i="1"/>
  <c r="L159" i="1"/>
  <c r="M159" i="1"/>
  <c r="N159" i="1"/>
  <c r="V159" i="1"/>
  <c r="X159" i="1"/>
  <c r="Y159" i="1"/>
  <c r="Z159" i="1"/>
  <c r="AA159" i="1" s="1"/>
  <c r="AB159" i="1"/>
  <c r="AC159" i="1"/>
  <c r="AD159" i="1"/>
  <c r="T159" i="1" s="1"/>
  <c r="AE159" i="1"/>
  <c r="AF159" i="1"/>
  <c r="AG159" i="1"/>
  <c r="AH178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79" i="1"/>
  <c r="K161" i="1"/>
  <c r="L161" i="1"/>
  <c r="M161" i="1"/>
  <c r="N161" i="1" s="1"/>
  <c r="V161" i="1"/>
  <c r="S27" i="3" s="1"/>
  <c r="Y161" i="1"/>
  <c r="Z161" i="1"/>
  <c r="AB161" i="1"/>
  <c r="AC161" i="1"/>
  <c r="AD161" i="1"/>
  <c r="AG161" i="1" s="1"/>
  <c r="AE161" i="1"/>
  <c r="R27" i="3" s="1"/>
  <c r="AF161" i="1"/>
  <c r="AH18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1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2" i="1"/>
  <c r="K165" i="1"/>
  <c r="L165" i="1"/>
  <c r="M165" i="1"/>
  <c r="N165" i="1"/>
  <c r="V165" i="1"/>
  <c r="Y165" i="1"/>
  <c r="Z165" i="1"/>
  <c r="AB165" i="1"/>
  <c r="AC165" i="1"/>
  <c r="AD165" i="1"/>
  <c r="T165" i="1" s="1"/>
  <c r="AE165" i="1"/>
  <c r="AF165" i="1"/>
  <c r="AH18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4" i="1"/>
  <c r="K168" i="1"/>
  <c r="L168" i="1"/>
  <c r="M168" i="1"/>
  <c r="N168" i="1" s="1"/>
  <c r="T168" i="1"/>
  <c r="V168" i="1"/>
  <c r="Y168" i="1"/>
  <c r="Z168" i="1"/>
  <c r="AB168" i="1"/>
  <c r="AC168" i="1"/>
  <c r="AD168" i="1"/>
  <c r="AE168" i="1"/>
  <c r="AF168" i="1"/>
  <c r="AH18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7" i="1"/>
  <c r="AH18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9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3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R30" i="3" s="1"/>
  <c r="AF176" i="1"/>
  <c r="AH194" i="1"/>
  <c r="K177" i="1"/>
  <c r="L177" i="1"/>
  <c r="M177" i="1"/>
  <c r="N177" i="1"/>
  <c r="V177" i="1"/>
  <c r="Y177" i="1"/>
  <c r="AA177" i="1" s="1"/>
  <c r="Z177" i="1"/>
  <c r="AB177" i="1"/>
  <c r="AC177" i="1"/>
  <c r="AD177" i="1"/>
  <c r="T177" i="1" s="1"/>
  <c r="AE177" i="1"/>
  <c r="AF177" i="1"/>
  <c r="AH195" i="1"/>
  <c r="K178" i="1"/>
  <c r="L178" i="1"/>
  <c r="M178" i="1"/>
  <c r="N178" i="1" s="1"/>
  <c r="V178" i="1"/>
  <c r="S31" i="3" s="1"/>
  <c r="Y178" i="1"/>
  <c r="Z178" i="1"/>
  <c r="AB178" i="1"/>
  <c r="AC178" i="1"/>
  <c r="AD178" i="1"/>
  <c r="AG178" i="1" s="1"/>
  <c r="AE178" i="1"/>
  <c r="AF178" i="1"/>
  <c r="AH19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7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0" i="1"/>
  <c r="K183" i="1"/>
  <c r="L183" i="1"/>
  <c r="M183" i="1"/>
  <c r="N183" i="1" s="1"/>
  <c r="T183" i="1"/>
  <c r="V183" i="1"/>
  <c r="Y183" i="1"/>
  <c r="Z183" i="1"/>
  <c r="AB183" i="1"/>
  <c r="AC183" i="1"/>
  <c r="AD183" i="1"/>
  <c r="AG183" i="1" s="1"/>
  <c r="AE183" i="1"/>
  <c r="AF183" i="1"/>
  <c r="AH20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4" i="1"/>
  <c r="K187" i="1"/>
  <c r="L187" i="1"/>
  <c r="M187" i="1"/>
  <c r="N187" i="1" s="1"/>
  <c r="V187" i="1"/>
  <c r="S26" i="3" s="1"/>
  <c r="Y187" i="1"/>
  <c r="Z187" i="1"/>
  <c r="AB187" i="1"/>
  <c r="AC187" i="1"/>
  <c r="AD187" i="1"/>
  <c r="T187" i="1" s="1"/>
  <c r="AE187" i="1"/>
  <c r="R26" i="3" s="1"/>
  <c r="AF187" i="1"/>
  <c r="AH205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7" i="1"/>
  <c r="K190" i="1"/>
  <c r="L190" i="1"/>
  <c r="M190" i="1"/>
  <c r="N190" i="1" s="1"/>
  <c r="V190" i="1"/>
  <c r="S32" i="3" s="1"/>
  <c r="Y190" i="1"/>
  <c r="Z190" i="1"/>
  <c r="AB190" i="1"/>
  <c r="AC190" i="1"/>
  <c r="AD190" i="1"/>
  <c r="AG190" i="1" s="1"/>
  <c r="AE190" i="1"/>
  <c r="R32" i="3" s="1"/>
  <c r="AF190" i="1"/>
  <c r="AH20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9" i="1"/>
  <c r="K192" i="1"/>
  <c r="L192" i="1"/>
  <c r="M192" i="1"/>
  <c r="N192" i="1"/>
  <c r="V192" i="1"/>
  <c r="Y192" i="1"/>
  <c r="Z192" i="1"/>
  <c r="AB192" i="1"/>
  <c r="AC192" i="1"/>
  <c r="AD192" i="1"/>
  <c r="AG192" i="1" s="1"/>
  <c r="AE192" i="1"/>
  <c r="AF192" i="1"/>
  <c r="AH210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11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2" i="1"/>
  <c r="K195" i="1"/>
  <c r="L195" i="1"/>
  <c r="M195" i="1"/>
  <c r="N195" i="1" s="1"/>
  <c r="V195" i="1"/>
  <c r="S29" i="3" s="1"/>
  <c r="Y195" i="1"/>
  <c r="Z195" i="1"/>
  <c r="AB195" i="1"/>
  <c r="AC195" i="1"/>
  <c r="AD195" i="1"/>
  <c r="T195" i="1" s="1"/>
  <c r="AE195" i="1"/>
  <c r="R29" i="3" s="1"/>
  <c r="AF195" i="1"/>
  <c r="AH213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4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7" i="1"/>
  <c r="K200" i="1"/>
  <c r="L200" i="1"/>
  <c r="M200" i="1"/>
  <c r="N200" i="1"/>
  <c r="V200" i="1"/>
  <c r="Y200" i="1"/>
  <c r="Z200" i="1"/>
  <c r="AB200" i="1"/>
  <c r="AC200" i="1"/>
  <c r="AD200" i="1"/>
  <c r="AG200" i="1" s="1"/>
  <c r="AE200" i="1"/>
  <c r="AF200" i="1"/>
  <c r="AH218" i="1"/>
  <c r="AI21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9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0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21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3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4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6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27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8" i="1"/>
  <c r="M33" i="3"/>
  <c r="U33" i="3"/>
  <c r="T33" i="3" s="1"/>
  <c r="V33" i="3"/>
  <c r="W33" i="3"/>
  <c r="Y33" i="3" s="1"/>
  <c r="X33" i="3"/>
  <c r="M28" i="3"/>
  <c r="R28" i="3"/>
  <c r="S28" i="3"/>
  <c r="U28" i="3"/>
  <c r="T28" i="3" s="1"/>
  <c r="V28" i="3"/>
  <c r="W28" i="3"/>
  <c r="X28" i="3"/>
  <c r="M27" i="3"/>
  <c r="U27" i="3"/>
  <c r="T27" i="3" s="1"/>
  <c r="V27" i="3"/>
  <c r="W27" i="3"/>
  <c r="X27" i="3"/>
  <c r="M18" i="3"/>
  <c r="U18" i="3"/>
  <c r="T18" i="3" s="1"/>
  <c r="V18" i="3"/>
  <c r="W18" i="3"/>
  <c r="X18" i="3"/>
  <c r="M19" i="3"/>
  <c r="R19" i="3"/>
  <c r="U19" i="3"/>
  <c r="T19" i="3" s="1"/>
  <c r="V19" i="3"/>
  <c r="W19" i="3"/>
  <c r="X19" i="3"/>
  <c r="M16" i="3"/>
  <c r="S16" i="3"/>
  <c r="U16" i="3"/>
  <c r="T16" i="3" s="1"/>
  <c r="V16" i="3"/>
  <c r="W16" i="3"/>
  <c r="X16" i="3"/>
  <c r="M30" i="3"/>
  <c r="S30" i="3"/>
  <c r="U30" i="3"/>
  <c r="T30" i="3" s="1"/>
  <c r="V30" i="3"/>
  <c r="W30" i="3"/>
  <c r="X30" i="3"/>
  <c r="M11" i="3"/>
  <c r="U11" i="3"/>
  <c r="T11" i="3" s="1"/>
  <c r="V11" i="3"/>
  <c r="W11" i="3"/>
  <c r="X11" i="3"/>
  <c r="M31" i="3"/>
  <c r="R31" i="3"/>
  <c r="U31" i="3"/>
  <c r="T31" i="3" s="1"/>
  <c r="V31" i="3"/>
  <c r="W31" i="3"/>
  <c r="X31" i="3"/>
  <c r="M8" i="3"/>
  <c r="U8" i="3"/>
  <c r="T8" i="3" s="1"/>
  <c r="V8" i="3"/>
  <c r="W8" i="3"/>
  <c r="X8" i="3"/>
  <c r="AC8" i="3"/>
  <c r="M13" i="3"/>
  <c r="R13" i="3"/>
  <c r="U13" i="3"/>
  <c r="T13" i="3" s="1"/>
  <c r="V13" i="3"/>
  <c r="W13" i="3"/>
  <c r="X13" i="3"/>
  <c r="AC13" i="3"/>
  <c r="AD13" i="3"/>
  <c r="M15" i="3"/>
  <c r="R15" i="3"/>
  <c r="U15" i="3"/>
  <c r="T15" i="3" s="1"/>
  <c r="V15" i="3"/>
  <c r="W15" i="3"/>
  <c r="X15" i="3"/>
  <c r="AC15" i="3"/>
  <c r="M20" i="3"/>
  <c r="R20" i="3"/>
  <c r="U20" i="3"/>
  <c r="T20" i="3" s="1"/>
  <c r="V20" i="3"/>
  <c r="W20" i="3"/>
  <c r="X20" i="3"/>
  <c r="AD20" i="3"/>
  <c r="M17" i="3"/>
  <c r="U17" i="3"/>
  <c r="T17" i="3" s="1"/>
  <c r="V17" i="3"/>
  <c r="W17" i="3"/>
  <c r="X17" i="3"/>
  <c r="AC17" i="3"/>
  <c r="M9" i="3"/>
  <c r="U9" i="3"/>
  <c r="T9" i="3" s="1"/>
  <c r="V9" i="3"/>
  <c r="W9" i="3"/>
  <c r="X9" i="3"/>
  <c r="M14" i="3"/>
  <c r="S14" i="3"/>
  <c r="U14" i="3"/>
  <c r="T14" i="3" s="1"/>
  <c r="V14" i="3"/>
  <c r="W14" i="3"/>
  <c r="X14" i="3"/>
  <c r="AC14" i="3"/>
  <c r="M26" i="3"/>
  <c r="U26" i="3"/>
  <c r="T26" i="3" s="1"/>
  <c r="V26" i="3"/>
  <c r="W26" i="3"/>
  <c r="X26" i="3"/>
  <c r="AC26" i="3"/>
  <c r="M21" i="3"/>
  <c r="R21" i="3"/>
  <c r="U21" i="3"/>
  <c r="T21" i="3" s="1"/>
  <c r="V21" i="3"/>
  <c r="W21" i="3"/>
  <c r="X21" i="3"/>
  <c r="AC21" i="3"/>
  <c r="M22" i="3"/>
  <c r="S22" i="3"/>
  <c r="U22" i="3"/>
  <c r="T22" i="3" s="1"/>
  <c r="V22" i="3"/>
  <c r="W22" i="3"/>
  <c r="X22" i="3"/>
  <c r="AC22" i="3"/>
  <c r="M23" i="3"/>
  <c r="S23" i="3"/>
  <c r="U23" i="3"/>
  <c r="T23" i="3" s="1"/>
  <c r="V23" i="3"/>
  <c r="W23" i="3"/>
  <c r="X23" i="3"/>
  <c r="M32" i="3"/>
  <c r="U32" i="3"/>
  <c r="T32" i="3" s="1"/>
  <c r="V32" i="3"/>
  <c r="W32" i="3"/>
  <c r="X32" i="3"/>
  <c r="AC32" i="3"/>
  <c r="M24" i="3"/>
  <c r="R24" i="3"/>
  <c r="U24" i="3"/>
  <c r="T24" i="3" s="1"/>
  <c r="V24" i="3"/>
  <c r="W24" i="3"/>
  <c r="X24" i="3"/>
  <c r="AC24" i="3"/>
  <c r="M29" i="3"/>
  <c r="U29" i="3"/>
  <c r="T29" i="3" s="1"/>
  <c r="V29" i="3"/>
  <c r="W29" i="3"/>
  <c r="X29" i="3"/>
  <c r="AC29" i="3"/>
  <c r="M12" i="3"/>
  <c r="U12" i="3"/>
  <c r="T12" i="3" s="1"/>
  <c r="V12" i="3"/>
  <c r="W12" i="3"/>
  <c r="X12" i="3"/>
  <c r="M10" i="3"/>
  <c r="R10" i="3"/>
  <c r="U10" i="3"/>
  <c r="T10" i="3" s="1"/>
  <c r="V10" i="3"/>
  <c r="W10" i="3"/>
  <c r="X10" i="3"/>
  <c r="AC10" i="3"/>
  <c r="AD10" i="3"/>
  <c r="M25" i="3"/>
  <c r="R25" i="3"/>
  <c r="U25" i="3"/>
  <c r="T25" i="3" s="1"/>
  <c r="V25" i="3"/>
  <c r="W25" i="3"/>
  <c r="X25" i="3"/>
  <c r="AC25" i="3"/>
  <c r="AC23" i="3" l="1"/>
  <c r="AG166" i="1"/>
  <c r="X166" i="1"/>
  <c r="Y28" i="3"/>
  <c r="AD32" i="3"/>
  <c r="AG162" i="1"/>
  <c r="X162" i="1"/>
  <c r="AC12" i="3"/>
  <c r="Y32" i="3"/>
  <c r="AC9" i="3"/>
  <c r="Y8" i="3"/>
  <c r="Y19" i="3"/>
  <c r="Y13" i="3"/>
  <c r="AD31" i="3"/>
  <c r="Y16" i="3"/>
  <c r="AA223" i="1"/>
  <c r="AA198" i="1"/>
  <c r="W198" i="1" s="1"/>
  <c r="AA197" i="1"/>
  <c r="AA191" i="1"/>
  <c r="AA163" i="1"/>
  <c r="AA71" i="1"/>
  <c r="AA70" i="1"/>
  <c r="AA61" i="1"/>
  <c r="AA60" i="1"/>
  <c r="AA58" i="1"/>
  <c r="AA57" i="1"/>
  <c r="AA36" i="1"/>
  <c r="AA32" i="1"/>
  <c r="W32" i="1" s="1"/>
  <c r="AA16" i="1"/>
  <c r="X73" i="1"/>
  <c r="X69" i="1"/>
  <c r="X72" i="1"/>
  <c r="AI221" i="1"/>
  <c r="AG156" i="1"/>
  <c r="U156" i="1" s="1"/>
  <c r="S156" i="1" s="1"/>
  <c r="AA131" i="1"/>
  <c r="AA115" i="1"/>
  <c r="W115" i="1" s="1"/>
  <c r="AG97" i="1"/>
  <c r="AI97" i="1" s="1"/>
  <c r="X97" i="1"/>
  <c r="AA25" i="1"/>
  <c r="AA24" i="1"/>
  <c r="W24" i="1" s="1"/>
  <c r="AG16" i="1"/>
  <c r="U16" i="1" s="1"/>
  <c r="S16" i="1" s="1"/>
  <c r="X71" i="1"/>
  <c r="X67" i="1"/>
  <c r="T223" i="1"/>
  <c r="AA184" i="1"/>
  <c r="W184" i="1" s="1"/>
  <c r="AA101" i="1"/>
  <c r="AA98" i="1"/>
  <c r="AA86" i="1"/>
  <c r="W86" i="1" s="1"/>
  <c r="AA82" i="1"/>
  <c r="W82" i="1" s="1"/>
  <c r="AA78" i="1"/>
  <c r="T70" i="1"/>
  <c r="T55" i="1"/>
  <c r="AA41" i="1"/>
  <c r="AA40" i="1"/>
  <c r="W40" i="1" s="1"/>
  <c r="AA27" i="1"/>
  <c r="X62" i="1"/>
  <c r="X70" i="1"/>
  <c r="X66" i="1"/>
  <c r="AA132" i="1"/>
  <c r="AD29" i="3"/>
  <c r="AI228" i="1"/>
  <c r="AA226" i="1"/>
  <c r="AG211" i="1"/>
  <c r="AG150" i="1"/>
  <c r="AA146" i="1"/>
  <c r="AA134" i="1"/>
  <c r="AI115" i="1"/>
  <c r="AG18" i="1"/>
  <c r="Y22" i="3"/>
  <c r="Y14" i="3"/>
  <c r="S20" i="3"/>
  <c r="Y30" i="3"/>
  <c r="Y27" i="3"/>
  <c r="AA224" i="1"/>
  <c r="AG202" i="1"/>
  <c r="X202" i="1"/>
  <c r="AG187" i="1"/>
  <c r="U187" i="1" s="1"/>
  <c r="S187" i="1" s="1"/>
  <c r="AA160" i="1"/>
  <c r="AA217" i="1"/>
  <c r="T206" i="1"/>
  <c r="AG148" i="1"/>
  <c r="AI148" i="1" s="1"/>
  <c r="AG136" i="1"/>
  <c r="AI136" i="1" s="1"/>
  <c r="T127" i="1"/>
  <c r="AG122" i="1"/>
  <c r="X115" i="1"/>
  <c r="AG101" i="1"/>
  <c r="U101" i="1" s="1"/>
  <c r="S101" i="1" s="1"/>
  <c r="AA73" i="1"/>
  <c r="W73" i="1" s="1"/>
  <c r="AG69" i="1"/>
  <c r="U69" i="1" s="1"/>
  <c r="S69" i="1" s="1"/>
  <c r="AA55" i="1"/>
  <c r="W55" i="1" s="1"/>
  <c r="AA44" i="1"/>
  <c r="W44" i="1" s="1"/>
  <c r="AG38" i="1"/>
  <c r="AA31" i="1"/>
  <c r="AG26" i="1"/>
  <c r="U26" i="1" s="1"/>
  <c r="S26" i="1" s="1"/>
  <c r="AA20" i="1"/>
  <c r="T15" i="1"/>
  <c r="X60" i="1"/>
  <c r="S25" i="3"/>
  <c r="AC20" i="3"/>
  <c r="AA185" i="1"/>
  <c r="AA176" i="1"/>
  <c r="W176" i="1" s="1"/>
  <c r="AA175" i="1"/>
  <c r="AA171" i="1"/>
  <c r="W171" i="1" s="1"/>
  <c r="X94" i="1"/>
  <c r="AA47" i="1"/>
  <c r="AA45" i="1"/>
  <c r="AD22" i="3"/>
  <c r="Y20" i="3"/>
  <c r="Y15" i="3"/>
  <c r="Y11" i="3"/>
  <c r="Y18" i="3"/>
  <c r="AG224" i="1"/>
  <c r="AI224" i="1" s="1"/>
  <c r="X224" i="1"/>
  <c r="AA205" i="1"/>
  <c r="AA204" i="1"/>
  <c r="W204" i="1" s="1"/>
  <c r="AA200" i="1"/>
  <c r="W200" i="1" s="1"/>
  <c r="AA192" i="1"/>
  <c r="W192" i="1" s="1"/>
  <c r="AI180" i="1"/>
  <c r="AA164" i="1"/>
  <c r="W164" i="1" s="1"/>
  <c r="T226" i="1"/>
  <c r="U226" i="1" s="1"/>
  <c r="S226" i="1" s="1"/>
  <c r="AA154" i="1"/>
  <c r="AG132" i="1"/>
  <c r="AA129" i="1"/>
  <c r="AA128" i="1"/>
  <c r="AA127" i="1"/>
  <c r="W127" i="1" s="1"/>
  <c r="AA120" i="1"/>
  <c r="AA117" i="1"/>
  <c r="AA116" i="1"/>
  <c r="W116" i="1" s="1"/>
  <c r="AA102" i="1"/>
  <c r="W102" i="1" s="1"/>
  <c r="AA96" i="1"/>
  <c r="AA95" i="1"/>
  <c r="AA94" i="1"/>
  <c r="AG88" i="1"/>
  <c r="W88" i="1" s="1"/>
  <c r="AA84" i="1"/>
  <c r="AA83" i="1"/>
  <c r="AA80" i="1"/>
  <c r="AA79" i="1"/>
  <c r="AG73" i="1"/>
  <c r="AG67" i="1"/>
  <c r="AI67" i="1" s="1"/>
  <c r="AA66" i="1"/>
  <c r="W66" i="1" s="1"/>
  <c r="X19" i="1"/>
  <c r="AA18" i="1"/>
  <c r="AA15" i="1"/>
  <c r="U14" i="1"/>
  <c r="S14" i="1" s="1"/>
  <c r="X63" i="1"/>
  <c r="X59" i="1"/>
  <c r="W67" i="1"/>
  <c r="W223" i="1"/>
  <c r="T221" i="1"/>
  <c r="U221" i="1" s="1"/>
  <c r="S221" i="1" s="1"/>
  <c r="AG205" i="1"/>
  <c r="U205" i="1" s="1"/>
  <c r="S205" i="1" s="1"/>
  <c r="AG198" i="1"/>
  <c r="AI198" i="1" s="1"/>
  <c r="X198" i="1"/>
  <c r="AA170" i="1"/>
  <c r="AA225" i="1"/>
  <c r="AA219" i="1"/>
  <c r="U211" i="1"/>
  <c r="S211" i="1" s="1"/>
  <c r="AI156" i="1"/>
  <c r="X139" i="1"/>
  <c r="T138" i="1"/>
  <c r="X101" i="1"/>
  <c r="AA100" i="1"/>
  <c r="AA99" i="1"/>
  <c r="X98" i="1"/>
  <c r="AA97" i="1"/>
  <c r="W97" i="1" s="1"/>
  <c r="T93" i="1"/>
  <c r="AG86" i="1"/>
  <c r="AI86" i="1" s="1"/>
  <c r="T85" i="1"/>
  <c r="U85" i="1" s="1"/>
  <c r="S85" i="1" s="1"/>
  <c r="T81" i="1"/>
  <c r="U81" i="1" s="1"/>
  <c r="S81" i="1" s="1"/>
  <c r="AG75" i="1"/>
  <c r="AI75" i="1" s="1"/>
  <c r="X74" i="1"/>
  <c r="AA72" i="1"/>
  <c r="AG64" i="1"/>
  <c r="U64" i="1" s="1"/>
  <c r="S64" i="1" s="1"/>
  <c r="AA62" i="1"/>
  <c r="T59" i="1"/>
  <c r="X56" i="1"/>
  <c r="AG53" i="1"/>
  <c r="AI53" i="1" s="1"/>
  <c r="AA51" i="1"/>
  <c r="AG46" i="1"/>
  <c r="W46" i="1" s="1"/>
  <c r="X46" i="1"/>
  <c r="AG23" i="1"/>
  <c r="U23" i="1" s="1"/>
  <c r="S23" i="1" s="1"/>
  <c r="X196" i="1"/>
  <c r="AA190" i="1"/>
  <c r="AA189" i="1"/>
  <c r="AA188" i="1"/>
  <c r="W188" i="1" s="1"/>
  <c r="X180" i="1"/>
  <c r="AA174" i="1"/>
  <c r="AA169" i="1"/>
  <c r="W169" i="1" s="1"/>
  <c r="AA216" i="1"/>
  <c r="AA215" i="1"/>
  <c r="AA214" i="1"/>
  <c r="W214" i="1" s="1"/>
  <c r="T214" i="1"/>
  <c r="AA156" i="1"/>
  <c r="W156" i="1" s="1"/>
  <c r="AA153" i="1"/>
  <c r="AA152" i="1"/>
  <c r="AA151" i="1"/>
  <c r="W151" i="1" s="1"/>
  <c r="T151" i="1"/>
  <c r="AA141" i="1"/>
  <c r="AA136" i="1"/>
  <c r="AA125" i="1"/>
  <c r="X123" i="1"/>
  <c r="AI112" i="1"/>
  <c r="AA108" i="1"/>
  <c r="AA93" i="1"/>
  <c r="X86" i="1"/>
  <c r="AA85" i="1"/>
  <c r="W85" i="1" s="1"/>
  <c r="AA81" i="1"/>
  <c r="W81" i="1" s="1"/>
  <c r="T77" i="1"/>
  <c r="AG42" i="1"/>
  <c r="U42" i="1" s="1"/>
  <c r="S42" i="1" s="1"/>
  <c r="AI40" i="1"/>
  <c r="AI36" i="1"/>
  <c r="T35" i="1"/>
  <c r="AI32" i="1"/>
  <c r="AI28" i="1"/>
  <c r="AI24" i="1"/>
  <c r="U97" i="1"/>
  <c r="S97" i="1" s="1"/>
  <c r="AA64" i="1"/>
  <c r="AA199" i="1"/>
  <c r="AA203" i="1"/>
  <c r="AG199" i="1"/>
  <c r="U199" i="1" s="1"/>
  <c r="S199" i="1" s="1"/>
  <c r="AA196" i="1"/>
  <c r="W196" i="1" s="1"/>
  <c r="AG195" i="1"/>
  <c r="U195" i="1" s="1"/>
  <c r="S195" i="1" s="1"/>
  <c r="U183" i="1"/>
  <c r="S183" i="1" s="1"/>
  <c r="AA183" i="1"/>
  <c r="W183" i="1" s="1"/>
  <c r="AA182" i="1"/>
  <c r="W182" i="1" s="1"/>
  <c r="AA181" i="1"/>
  <c r="AA180" i="1"/>
  <c r="AG179" i="1"/>
  <c r="U179" i="1" s="1"/>
  <c r="S179" i="1" s="1"/>
  <c r="AA172" i="1"/>
  <c r="W172" i="1" s="1"/>
  <c r="X168" i="1"/>
  <c r="X214" i="1"/>
  <c r="AA211" i="1"/>
  <c r="W211" i="1" s="1"/>
  <c r="AA208" i="1"/>
  <c r="AA207" i="1"/>
  <c r="AA206" i="1"/>
  <c r="W206" i="1" s="1"/>
  <c r="AG158" i="1"/>
  <c r="X151" i="1"/>
  <c r="AA148" i="1"/>
  <c r="AA145" i="1"/>
  <c r="AA144" i="1"/>
  <c r="AA143" i="1"/>
  <c r="T142" i="1"/>
  <c r="U142" i="1" s="1"/>
  <c r="S142" i="1" s="1"/>
  <c r="T126" i="1"/>
  <c r="AA123" i="1"/>
  <c r="W123" i="1" s="1"/>
  <c r="T123" i="1"/>
  <c r="AG120" i="1"/>
  <c r="AI120" i="1" s="1"/>
  <c r="AA118" i="1"/>
  <c r="AI116" i="1"/>
  <c r="AI111" i="1"/>
  <c r="AG77" i="1"/>
  <c r="AA75" i="1"/>
  <c r="AG57" i="1"/>
  <c r="AI57" i="1" s="1"/>
  <c r="AA43" i="1"/>
  <c r="AG35" i="1"/>
  <c r="AA33" i="1"/>
  <c r="AG22" i="1"/>
  <c r="U22" i="1" s="1"/>
  <c r="AI20" i="1"/>
  <c r="AG222" i="1"/>
  <c r="AI222" i="1" s="1"/>
  <c r="AA221" i="1"/>
  <c r="W221" i="1" s="1"/>
  <c r="AG220" i="1"/>
  <c r="AI220" i="1" s="1"/>
  <c r="X220" i="1"/>
  <c r="T203" i="1"/>
  <c r="AA201" i="1"/>
  <c r="W201" i="1" s="1"/>
  <c r="X199" i="1"/>
  <c r="X192" i="1"/>
  <c r="AG191" i="1"/>
  <c r="U191" i="1" s="1"/>
  <c r="S191" i="1" s="1"/>
  <c r="AA187" i="1"/>
  <c r="AA186" i="1"/>
  <c r="W186" i="1" s="1"/>
  <c r="T184" i="1"/>
  <c r="U184" i="1" s="1"/>
  <c r="S184" i="1" s="1"/>
  <c r="X176" i="1"/>
  <c r="AG175" i="1"/>
  <c r="U175" i="1" s="1"/>
  <c r="S175" i="1" s="1"/>
  <c r="AA173" i="1"/>
  <c r="AG171" i="1"/>
  <c r="U171" i="1" s="1"/>
  <c r="S171" i="1" s="1"/>
  <c r="AA168" i="1"/>
  <c r="AG167" i="1"/>
  <c r="U167" i="1" s="1"/>
  <c r="S167" i="1" s="1"/>
  <c r="T164" i="1"/>
  <c r="U164" i="1" s="1"/>
  <c r="S164" i="1" s="1"/>
  <c r="T160" i="1"/>
  <c r="AA227" i="1"/>
  <c r="W227" i="1" s="1"/>
  <c r="T227" i="1"/>
  <c r="U227" i="1" s="1"/>
  <c r="S227" i="1" s="1"/>
  <c r="X218" i="1"/>
  <c r="AG217" i="1"/>
  <c r="AI217" i="1" s="1"/>
  <c r="AG215" i="1"/>
  <c r="AA213" i="1"/>
  <c r="W213" i="1" s="1"/>
  <c r="AA212" i="1"/>
  <c r="AA210" i="1"/>
  <c r="T210" i="1"/>
  <c r="X155" i="1"/>
  <c r="AG154" i="1"/>
  <c r="W154" i="1" s="1"/>
  <c r="AG152" i="1"/>
  <c r="AI152" i="1" s="1"/>
  <c r="AA150" i="1"/>
  <c r="W150" i="1" s="1"/>
  <c r="AA149" i="1"/>
  <c r="AA147" i="1"/>
  <c r="W147" i="1" s="1"/>
  <c r="T147" i="1"/>
  <c r="AA142" i="1"/>
  <c r="W142" i="1" s="1"/>
  <c r="AA133" i="1"/>
  <c r="AI110" i="1"/>
  <c r="AI82" i="1"/>
  <c r="AI78" i="1"/>
  <c r="U224" i="1"/>
  <c r="S224" i="1" s="1"/>
  <c r="U223" i="1"/>
  <c r="S223" i="1" s="1"/>
  <c r="X223" i="1"/>
  <c r="X221" i="1"/>
  <c r="T196" i="1"/>
  <c r="X188" i="1"/>
  <c r="T180" i="1"/>
  <c r="U180" i="1" s="1"/>
  <c r="S180" i="1" s="1"/>
  <c r="X169" i="1"/>
  <c r="AG168" i="1"/>
  <c r="U168" i="1" s="1"/>
  <c r="S168" i="1" s="1"/>
  <c r="U159" i="1"/>
  <c r="AA222" i="1"/>
  <c r="AA220" i="1"/>
  <c r="AG203" i="1"/>
  <c r="W203" i="1" s="1"/>
  <c r="AA195" i="1"/>
  <c r="AA194" i="1"/>
  <c r="W194" i="1" s="1"/>
  <c r="T192" i="1"/>
  <c r="X184" i="1"/>
  <c r="AA179" i="1"/>
  <c r="AA178" i="1"/>
  <c r="W178" i="1" s="1"/>
  <c r="T176" i="1"/>
  <c r="T172" i="1"/>
  <c r="U172" i="1" s="1"/>
  <c r="S172" i="1" s="1"/>
  <c r="AA167" i="1"/>
  <c r="AA165" i="1"/>
  <c r="AA161" i="1"/>
  <c r="W161" i="1" s="1"/>
  <c r="AG160" i="1"/>
  <c r="X227" i="1"/>
  <c r="AG219" i="1"/>
  <c r="AI219" i="1" s="1"/>
  <c r="AA218" i="1"/>
  <c r="W218" i="1" s="1"/>
  <c r="T218" i="1"/>
  <c r="X210" i="1"/>
  <c r="AG209" i="1"/>
  <c r="W209" i="1" s="1"/>
  <c r="AG207" i="1"/>
  <c r="AA158" i="1"/>
  <c r="AA157" i="1"/>
  <c r="AA155" i="1"/>
  <c r="W155" i="1" s="1"/>
  <c r="T155" i="1"/>
  <c r="U155" i="1" s="1"/>
  <c r="S155" i="1" s="1"/>
  <c r="X147" i="1"/>
  <c r="AG146" i="1"/>
  <c r="U146" i="1" s="1"/>
  <c r="S146" i="1" s="1"/>
  <c r="AG144" i="1"/>
  <c r="AI144" i="1" s="1"/>
  <c r="AG143" i="1"/>
  <c r="W143" i="1" s="1"/>
  <c r="X143" i="1"/>
  <c r="AG135" i="1"/>
  <c r="AI135" i="1" s="1"/>
  <c r="T135" i="1"/>
  <c r="AG134" i="1"/>
  <c r="AI134" i="1" s="1"/>
  <c r="AG131" i="1"/>
  <c r="X131" i="1"/>
  <c r="X200" i="1"/>
  <c r="T188" i="1"/>
  <c r="U188" i="1" s="1"/>
  <c r="S188" i="1" s="1"/>
  <c r="T169" i="1"/>
  <c r="U169" i="1" s="1"/>
  <c r="S169" i="1" s="1"/>
  <c r="X206" i="1"/>
  <c r="T140" i="1"/>
  <c r="AG140" i="1"/>
  <c r="W140" i="1" s="1"/>
  <c r="X135" i="1"/>
  <c r="U132" i="1"/>
  <c r="AI132" i="1"/>
  <c r="AA138" i="1"/>
  <c r="W138" i="1" s="1"/>
  <c r="AA137" i="1"/>
  <c r="AA135" i="1"/>
  <c r="T130" i="1"/>
  <c r="X127" i="1"/>
  <c r="AG124" i="1"/>
  <c r="W124" i="1" s="1"/>
  <c r="AA122" i="1"/>
  <c r="W122" i="1" s="1"/>
  <c r="AA121" i="1"/>
  <c r="AA119" i="1"/>
  <c r="W119" i="1" s="1"/>
  <c r="T119" i="1"/>
  <c r="U119" i="1" s="1"/>
  <c r="S119" i="1" s="1"/>
  <c r="AA114" i="1"/>
  <c r="W114" i="1" s="1"/>
  <c r="X110" i="1"/>
  <c r="AA105" i="1"/>
  <c r="AA104" i="1"/>
  <c r="AA103" i="1"/>
  <c r="AG100" i="1"/>
  <c r="U100" i="1" s="1"/>
  <c r="S100" i="1" s="1"/>
  <c r="AG98" i="1"/>
  <c r="AG96" i="1"/>
  <c r="U96" i="1" s="1"/>
  <c r="AG94" i="1"/>
  <c r="AG93" i="1"/>
  <c r="U93" i="1" s="1"/>
  <c r="S93" i="1" s="1"/>
  <c r="AA89" i="1"/>
  <c r="T89" i="1"/>
  <c r="X85" i="1"/>
  <c r="X82" i="1"/>
  <c r="X81" i="1"/>
  <c r="X78" i="1"/>
  <c r="U66" i="1"/>
  <c r="S66" i="1" s="1"/>
  <c r="AA63" i="1"/>
  <c r="W63" i="1" s="1"/>
  <c r="T63" i="1"/>
  <c r="U63" i="1" s="1"/>
  <c r="S63" i="1" s="1"/>
  <c r="T32" i="1"/>
  <c r="U32" i="1" s="1"/>
  <c r="S32" i="1" s="1"/>
  <c r="T31" i="1"/>
  <c r="X28" i="1"/>
  <c r="AA22" i="1"/>
  <c r="AA17" i="1"/>
  <c r="AG15" i="1"/>
  <c r="W15" i="1" s="1"/>
  <c r="W110" i="1"/>
  <c r="T106" i="1"/>
  <c r="T105" i="1"/>
  <c r="U102" i="1"/>
  <c r="S102" i="1" s="1"/>
  <c r="T90" i="1"/>
  <c r="W78" i="1"/>
  <c r="U73" i="1"/>
  <c r="S73" i="1" s="1"/>
  <c r="X52" i="1"/>
  <c r="AG51" i="1"/>
  <c r="AA48" i="1"/>
  <c r="W48" i="1" s="1"/>
  <c r="T47" i="1"/>
  <c r="U46" i="1"/>
  <c r="AG45" i="1"/>
  <c r="W45" i="1" s="1"/>
  <c r="T44" i="1"/>
  <c r="U44" i="1" s="1"/>
  <c r="S44" i="1" s="1"/>
  <c r="T43" i="1"/>
  <c r="X40" i="1"/>
  <c r="AG39" i="1"/>
  <c r="W39" i="1" s="1"/>
  <c r="X39" i="1"/>
  <c r="T36" i="1"/>
  <c r="AG27" i="1"/>
  <c r="W27" i="1" s="1"/>
  <c r="X27" i="1"/>
  <c r="T24" i="1"/>
  <c r="U24" i="1" s="1"/>
  <c r="S24" i="1" s="1"/>
  <c r="AA21" i="1"/>
  <c r="AA19" i="1"/>
  <c r="T19" i="1"/>
  <c r="AA130" i="1"/>
  <c r="W130" i="1" s="1"/>
  <c r="X119" i="1"/>
  <c r="AG118" i="1"/>
  <c r="W118" i="1" s="1"/>
  <c r="W112" i="1"/>
  <c r="T110" i="1"/>
  <c r="U110" i="1" s="1"/>
  <c r="S110" i="1" s="1"/>
  <c r="AG106" i="1"/>
  <c r="W106" i="1" s="1"/>
  <c r="AG105" i="1"/>
  <c r="AG104" i="1"/>
  <c r="W98" i="1"/>
  <c r="AG90" i="1"/>
  <c r="W90" i="1" s="1"/>
  <c r="AG89" i="1"/>
  <c r="AI89" i="1" s="1"/>
  <c r="T82" i="1"/>
  <c r="U82" i="1" s="1"/>
  <c r="S82" i="1" s="1"/>
  <c r="T78" i="1"/>
  <c r="U78" i="1" s="1"/>
  <c r="S78" i="1" s="1"/>
  <c r="AA77" i="1"/>
  <c r="AA68" i="1"/>
  <c r="AG62" i="1"/>
  <c r="U62" i="1" s="1"/>
  <c r="S62" i="1" s="1"/>
  <c r="AG60" i="1"/>
  <c r="AI60" i="1" s="1"/>
  <c r="AA59" i="1"/>
  <c r="W59" i="1" s="1"/>
  <c r="AA56" i="1"/>
  <c r="W56" i="1" s="1"/>
  <c r="T56" i="1"/>
  <c r="U56" i="1" s="1"/>
  <c r="S56" i="1" s="1"/>
  <c r="AA38" i="1"/>
  <c r="AA37" i="1"/>
  <c r="AA35" i="1"/>
  <c r="AG34" i="1"/>
  <c r="U34" i="1" s="1"/>
  <c r="S34" i="1" s="1"/>
  <c r="X32" i="1"/>
  <c r="AG31" i="1"/>
  <c r="W31" i="1" s="1"/>
  <c r="T28" i="1"/>
  <c r="U28" i="1" s="1"/>
  <c r="S28" i="1" s="1"/>
  <c r="AA23" i="1"/>
  <c r="AG128" i="1"/>
  <c r="AI128" i="1" s="1"/>
  <c r="AA126" i="1"/>
  <c r="W126" i="1" s="1"/>
  <c r="T115" i="1"/>
  <c r="U115" i="1" s="1"/>
  <c r="S115" i="1" s="1"/>
  <c r="X111" i="1"/>
  <c r="AG109" i="1"/>
  <c r="W109" i="1" s="1"/>
  <c r="X109" i="1"/>
  <c r="AI102" i="1"/>
  <c r="AG92" i="1"/>
  <c r="U92" i="1" s="1"/>
  <c r="S92" i="1" s="1"/>
  <c r="AA87" i="1"/>
  <c r="AG84" i="1"/>
  <c r="U84" i="1" s="1"/>
  <c r="S84" i="1" s="1"/>
  <c r="AG80" i="1"/>
  <c r="U80" i="1" s="1"/>
  <c r="AA76" i="1"/>
  <c r="AA74" i="1"/>
  <c r="W74" i="1" s="1"/>
  <c r="T74" i="1"/>
  <c r="U74" i="1" s="1"/>
  <c r="S74" i="1" s="1"/>
  <c r="AG71" i="1"/>
  <c r="AI71" i="1" s="1"/>
  <c r="AA69" i="1"/>
  <c r="W69" i="1" s="1"/>
  <c r="U67" i="1"/>
  <c r="S67" i="1" s="1"/>
  <c r="AA65" i="1"/>
  <c r="AA54" i="1"/>
  <c r="AA52" i="1"/>
  <c r="T52" i="1"/>
  <c r="U52" i="1" s="1"/>
  <c r="S52" i="1" s="1"/>
  <c r="AA49" i="1"/>
  <c r="X48" i="1"/>
  <c r="AG47" i="1"/>
  <c r="AI47" i="1" s="1"/>
  <c r="X44" i="1"/>
  <c r="AG43" i="1"/>
  <c r="AI43" i="1" s="1"/>
  <c r="T40" i="1"/>
  <c r="U40" i="1" s="1"/>
  <c r="S40" i="1" s="1"/>
  <c r="X36" i="1"/>
  <c r="AA29" i="1"/>
  <c r="X24" i="1"/>
  <c r="AG19" i="1"/>
  <c r="AI19" i="1" s="1"/>
  <c r="U202" i="1"/>
  <c r="AI227" i="1"/>
  <c r="X222" i="1"/>
  <c r="AI223" i="1"/>
  <c r="X204" i="1"/>
  <c r="T204" i="1"/>
  <c r="U204" i="1" s="1"/>
  <c r="S204" i="1" s="1"/>
  <c r="T201" i="1"/>
  <c r="U201" i="1" s="1"/>
  <c r="S201" i="1" s="1"/>
  <c r="X201" i="1"/>
  <c r="U198" i="1"/>
  <c r="S198" i="1" s="1"/>
  <c r="W190" i="1"/>
  <c r="AI206" i="1"/>
  <c r="AI196" i="1"/>
  <c r="W174" i="1"/>
  <c r="AI186" i="1"/>
  <c r="AI226" i="1"/>
  <c r="U220" i="1"/>
  <c r="S220" i="1" s="1"/>
  <c r="W202" i="1"/>
  <c r="T197" i="1"/>
  <c r="X197" i="1"/>
  <c r="AG197" i="1"/>
  <c r="AI197" i="1" s="1"/>
  <c r="AI214" i="1"/>
  <c r="U196" i="1"/>
  <c r="S196" i="1" s="1"/>
  <c r="AI202" i="1"/>
  <c r="W180" i="1"/>
  <c r="AI192" i="1"/>
  <c r="AI182" i="1"/>
  <c r="AI204" i="1"/>
  <c r="X205" i="1"/>
  <c r="S202" i="1"/>
  <c r="T200" i="1"/>
  <c r="U200" i="1" s="1"/>
  <c r="S200" i="1" s="1"/>
  <c r="AI213" i="1"/>
  <c r="AI210" i="1"/>
  <c r="U192" i="1"/>
  <c r="S192" i="1" s="1"/>
  <c r="AI200" i="1"/>
  <c r="AI194" i="1"/>
  <c r="U176" i="1"/>
  <c r="S176" i="1" s="1"/>
  <c r="AI190" i="1"/>
  <c r="X194" i="1"/>
  <c r="T194" i="1"/>
  <c r="U194" i="1" s="1"/>
  <c r="S194" i="1" s="1"/>
  <c r="AG193" i="1"/>
  <c r="AI193" i="1" s="1"/>
  <c r="X190" i="1"/>
  <c r="T190" i="1"/>
  <c r="U190" i="1" s="1"/>
  <c r="S190" i="1" s="1"/>
  <c r="AG189" i="1"/>
  <c r="AI189" i="1" s="1"/>
  <c r="X186" i="1"/>
  <c r="T186" i="1"/>
  <c r="U186" i="1" s="1"/>
  <c r="S186" i="1" s="1"/>
  <c r="AG185" i="1"/>
  <c r="W185" i="1" s="1"/>
  <c r="AI201" i="1"/>
  <c r="X182" i="1"/>
  <c r="T182" i="1"/>
  <c r="U182" i="1" s="1"/>
  <c r="S182" i="1" s="1"/>
  <c r="AG181" i="1"/>
  <c r="X178" i="1"/>
  <c r="T178" i="1"/>
  <c r="U178" i="1" s="1"/>
  <c r="S178" i="1" s="1"/>
  <c r="AG177" i="1"/>
  <c r="AI177" i="1" s="1"/>
  <c r="T174" i="1"/>
  <c r="U174" i="1" s="1"/>
  <c r="S174" i="1" s="1"/>
  <c r="AG173" i="1"/>
  <c r="AG170" i="1"/>
  <c r="AG165" i="1"/>
  <c r="AI165" i="1" s="1"/>
  <c r="T163" i="1"/>
  <c r="X161" i="1"/>
  <c r="W159" i="1"/>
  <c r="AI175" i="1"/>
  <c r="AI155" i="1"/>
  <c r="U139" i="1"/>
  <c r="S139" i="1" s="1"/>
  <c r="AI139" i="1"/>
  <c r="U123" i="1"/>
  <c r="S123" i="1" s="1"/>
  <c r="AI123" i="1"/>
  <c r="X193" i="1"/>
  <c r="X189" i="1"/>
  <c r="X185" i="1"/>
  <c r="X181" i="1"/>
  <c r="X177" i="1"/>
  <c r="AI188" i="1"/>
  <c r="AI184" i="1"/>
  <c r="X165" i="1"/>
  <c r="AG163" i="1"/>
  <c r="AI179" i="1"/>
  <c r="T225" i="1"/>
  <c r="X225" i="1"/>
  <c r="AG225" i="1"/>
  <c r="AI225" i="1" s="1"/>
  <c r="X226" i="1"/>
  <c r="U217" i="1"/>
  <c r="S217" i="1" s="1"/>
  <c r="T216" i="1"/>
  <c r="X216" i="1"/>
  <c r="AG216" i="1"/>
  <c r="AI216" i="1" s="1"/>
  <c r="X217" i="1"/>
  <c r="U215" i="1"/>
  <c r="S215" i="1" s="1"/>
  <c r="U214" i="1"/>
  <c r="S214" i="1" s="1"/>
  <c r="AI169" i="1"/>
  <c r="W210" i="1"/>
  <c r="U152" i="1"/>
  <c r="S152" i="1" s="1"/>
  <c r="U151" i="1"/>
  <c r="S151" i="1" s="1"/>
  <c r="AI151" i="1"/>
  <c r="W131" i="1"/>
  <c r="U120" i="1"/>
  <c r="S120" i="1" s="1"/>
  <c r="AI119" i="1"/>
  <c r="S159" i="1"/>
  <c r="AI178" i="1"/>
  <c r="U210" i="1"/>
  <c r="S210" i="1" s="1"/>
  <c r="AI164" i="1"/>
  <c r="U147" i="1"/>
  <c r="S147" i="1" s="1"/>
  <c r="AI147" i="1"/>
  <c r="U131" i="1"/>
  <c r="S131" i="1" s="1"/>
  <c r="AI131" i="1"/>
  <c r="X195" i="1"/>
  <c r="X191" i="1"/>
  <c r="X187" i="1"/>
  <c r="X183" i="1"/>
  <c r="X179" i="1"/>
  <c r="X175" i="1"/>
  <c r="T161" i="1"/>
  <c r="U161" i="1" s="1"/>
  <c r="S161" i="1" s="1"/>
  <c r="T228" i="1"/>
  <c r="U228" i="1" s="1"/>
  <c r="S228" i="1" s="1"/>
  <c r="X228" i="1"/>
  <c r="AI176" i="1"/>
  <c r="W226" i="1"/>
  <c r="U218" i="1"/>
  <c r="S218" i="1" s="1"/>
  <c r="AI172" i="1"/>
  <c r="W217" i="1"/>
  <c r="U206" i="1"/>
  <c r="S206" i="1" s="1"/>
  <c r="AI159" i="1"/>
  <c r="U144" i="1"/>
  <c r="S144" i="1" s="1"/>
  <c r="W139" i="1"/>
  <c r="U128" i="1"/>
  <c r="S128" i="1" s="1"/>
  <c r="U127" i="1"/>
  <c r="S127" i="1" s="1"/>
  <c r="AI127" i="1"/>
  <c r="U213" i="1"/>
  <c r="S213" i="1" s="1"/>
  <c r="U158" i="1"/>
  <c r="S158" i="1" s="1"/>
  <c r="U150" i="1"/>
  <c r="S150" i="1" s="1"/>
  <c r="U138" i="1"/>
  <c r="S138" i="1" s="1"/>
  <c r="U134" i="1"/>
  <c r="S134" i="1" s="1"/>
  <c r="U130" i="1"/>
  <c r="U126" i="1"/>
  <c r="S126" i="1" s="1"/>
  <c r="U122" i="1"/>
  <c r="S122" i="1" s="1"/>
  <c r="U118" i="1"/>
  <c r="S118" i="1" s="1"/>
  <c r="U114" i="1"/>
  <c r="S114" i="1" s="1"/>
  <c r="T112" i="1"/>
  <c r="U112" i="1" s="1"/>
  <c r="S112" i="1" s="1"/>
  <c r="X112" i="1"/>
  <c r="S96" i="1"/>
  <c r="AI96" i="1"/>
  <c r="T95" i="1"/>
  <c r="X95" i="1"/>
  <c r="AG95" i="1"/>
  <c r="W95" i="1" s="1"/>
  <c r="S80" i="1"/>
  <c r="T79" i="1"/>
  <c r="X79" i="1"/>
  <c r="AG79" i="1"/>
  <c r="X213" i="1"/>
  <c r="AG212" i="1"/>
  <c r="X209" i="1"/>
  <c r="AG208" i="1"/>
  <c r="AI208" i="1" s="1"/>
  <c r="X158" i="1"/>
  <c r="AG157" i="1"/>
  <c r="X154" i="1"/>
  <c r="AG153" i="1"/>
  <c r="X150" i="1"/>
  <c r="AG149" i="1"/>
  <c r="X146" i="1"/>
  <c r="AG145" i="1"/>
  <c r="X142" i="1"/>
  <c r="AG141" i="1"/>
  <c r="X138" i="1"/>
  <c r="AG137" i="1"/>
  <c r="X134" i="1"/>
  <c r="AG133" i="1"/>
  <c r="X130" i="1"/>
  <c r="AG129" i="1"/>
  <c r="X126" i="1"/>
  <c r="AG125" i="1"/>
  <c r="X122" i="1"/>
  <c r="AG121" i="1"/>
  <c r="X118" i="1"/>
  <c r="AG117" i="1"/>
  <c r="T116" i="1"/>
  <c r="U116" i="1" s="1"/>
  <c r="S116" i="1" s="1"/>
  <c r="X116" i="1"/>
  <c r="T107" i="1"/>
  <c r="X107" i="1"/>
  <c r="AG107" i="1"/>
  <c r="W107" i="1" s="1"/>
  <c r="T91" i="1"/>
  <c r="X91" i="1"/>
  <c r="AG91" i="1"/>
  <c r="X212" i="1"/>
  <c r="AI163" i="1"/>
  <c r="X208" i="1"/>
  <c r="AI158" i="1"/>
  <c r="X157" i="1"/>
  <c r="X153" i="1"/>
  <c r="AI150" i="1"/>
  <c r="X149" i="1"/>
  <c r="X145" i="1"/>
  <c r="AI142" i="1"/>
  <c r="X141" i="1"/>
  <c r="AI138" i="1"/>
  <c r="X137" i="1"/>
  <c r="X133" i="1"/>
  <c r="AI130" i="1"/>
  <c r="X129" i="1"/>
  <c r="AI126" i="1"/>
  <c r="X125" i="1"/>
  <c r="AI122" i="1"/>
  <c r="X121" i="1"/>
  <c r="X117" i="1"/>
  <c r="AI114" i="1"/>
  <c r="T113" i="1"/>
  <c r="T108" i="1"/>
  <c r="X108" i="1"/>
  <c r="AI105" i="1"/>
  <c r="AI104" i="1"/>
  <c r="T103" i="1"/>
  <c r="X103" i="1"/>
  <c r="AG103" i="1"/>
  <c r="W103" i="1" s="1"/>
  <c r="W96" i="1"/>
  <c r="T87" i="1"/>
  <c r="X87" i="1"/>
  <c r="AG87" i="1"/>
  <c r="X219" i="1"/>
  <c r="X215" i="1"/>
  <c r="X211" i="1"/>
  <c r="X207" i="1"/>
  <c r="X156" i="1"/>
  <c r="X152" i="1"/>
  <c r="X148" i="1"/>
  <c r="X144" i="1"/>
  <c r="X140" i="1"/>
  <c r="X136" i="1"/>
  <c r="X132" i="1"/>
  <c r="X128" i="1"/>
  <c r="X124" i="1"/>
  <c r="X120" i="1"/>
  <c r="AG113" i="1"/>
  <c r="T111" i="1"/>
  <c r="U111" i="1" s="1"/>
  <c r="S111" i="1" s="1"/>
  <c r="AG108" i="1"/>
  <c r="U104" i="1"/>
  <c r="S104" i="1" s="1"/>
  <c r="T99" i="1"/>
  <c r="X99" i="1"/>
  <c r="AG99" i="1"/>
  <c r="W99" i="1" s="1"/>
  <c r="AA92" i="1"/>
  <c r="T83" i="1"/>
  <c r="X83" i="1"/>
  <c r="AG83" i="1"/>
  <c r="AG76" i="1"/>
  <c r="W76" i="1" s="1"/>
  <c r="T76" i="1"/>
  <c r="X76" i="1"/>
  <c r="U70" i="1"/>
  <c r="S70" i="1"/>
  <c r="AI70" i="1"/>
  <c r="AI63" i="1"/>
  <c r="AI56" i="1"/>
  <c r="AI52" i="1"/>
  <c r="AI30" i="1"/>
  <c r="U30" i="1"/>
  <c r="S30" i="1" s="1"/>
  <c r="X104" i="1"/>
  <c r="AI101" i="1"/>
  <c r="X100" i="1"/>
  <c r="X96" i="1"/>
  <c r="X92" i="1"/>
  <c r="X88" i="1"/>
  <c r="AI85" i="1"/>
  <c r="X84" i="1"/>
  <c r="AI81" i="1"/>
  <c r="X80" i="1"/>
  <c r="U75" i="1"/>
  <c r="S75" i="1" s="1"/>
  <c r="AI74" i="1"/>
  <c r="AI73" i="1"/>
  <c r="AI69" i="1"/>
  <c r="T68" i="1"/>
  <c r="AG68" i="1"/>
  <c r="AI66" i="1"/>
  <c r="T65" i="1"/>
  <c r="X65" i="1"/>
  <c r="AG65" i="1"/>
  <c r="AI59" i="1"/>
  <c r="AI55" i="1"/>
  <c r="AI51" i="1"/>
  <c r="T49" i="1"/>
  <c r="X49" i="1"/>
  <c r="AG49" i="1"/>
  <c r="AI45" i="1"/>
  <c r="T17" i="1"/>
  <c r="X17" i="1"/>
  <c r="AG17" i="1"/>
  <c r="W17" i="1" s="1"/>
  <c r="T61" i="1"/>
  <c r="AG61" i="1"/>
  <c r="W61" i="1" s="1"/>
  <c r="U60" i="1"/>
  <c r="S60" i="1" s="1"/>
  <c r="U59" i="1"/>
  <c r="S59" i="1" s="1"/>
  <c r="T58" i="1"/>
  <c r="X58" i="1"/>
  <c r="AG58" i="1"/>
  <c r="W58" i="1" s="1"/>
  <c r="U57" i="1"/>
  <c r="S57" i="1" s="1"/>
  <c r="U55" i="1"/>
  <c r="S55" i="1" s="1"/>
  <c r="T54" i="1"/>
  <c r="X54" i="1"/>
  <c r="AG54" i="1"/>
  <c r="W54" i="1" s="1"/>
  <c r="X55" i="1"/>
  <c r="U51" i="1"/>
  <c r="S51" i="1" s="1"/>
  <c r="W36" i="1"/>
  <c r="AI18" i="1"/>
  <c r="U18" i="1"/>
  <c r="S18" i="1" s="1"/>
  <c r="AG72" i="1"/>
  <c r="W70" i="1"/>
  <c r="W52" i="1"/>
  <c r="U36" i="1"/>
  <c r="S36" i="1" s="1"/>
  <c r="T29" i="1"/>
  <c r="X29" i="1"/>
  <c r="AG29" i="1"/>
  <c r="W20" i="1"/>
  <c r="X51" i="1"/>
  <c r="AA50" i="1"/>
  <c r="AI42" i="1"/>
  <c r="T41" i="1"/>
  <c r="X41" i="1"/>
  <c r="AG41" i="1"/>
  <c r="AA34" i="1"/>
  <c r="T25" i="1"/>
  <c r="X25" i="1"/>
  <c r="AG25" i="1"/>
  <c r="AA14" i="1"/>
  <c r="W14" i="1" s="1"/>
  <c r="T50" i="1"/>
  <c r="S46" i="1"/>
  <c r="AI46" i="1"/>
  <c r="AI38" i="1"/>
  <c r="T37" i="1"/>
  <c r="X37" i="1"/>
  <c r="AG37" i="1"/>
  <c r="W30" i="1"/>
  <c r="S22" i="1"/>
  <c r="AI22" i="1"/>
  <c r="T21" i="1"/>
  <c r="X21" i="1"/>
  <c r="AG21" i="1"/>
  <c r="W21" i="1" s="1"/>
  <c r="W18" i="1"/>
  <c r="X75" i="1"/>
  <c r="X64" i="1"/>
  <c r="X57" i="1"/>
  <c r="X53" i="1"/>
  <c r="AG50" i="1"/>
  <c r="T48" i="1"/>
  <c r="U48" i="1" s="1"/>
  <c r="S48" i="1" s="1"/>
  <c r="T45" i="1"/>
  <c r="U45" i="1" s="1"/>
  <c r="S45" i="1" s="1"/>
  <c r="X45" i="1"/>
  <c r="AA42" i="1"/>
  <c r="U38" i="1"/>
  <c r="S38" i="1" s="1"/>
  <c r="AI34" i="1"/>
  <c r="T33" i="1"/>
  <c r="X33" i="1"/>
  <c r="AG33" i="1"/>
  <c r="W33" i="1" s="1"/>
  <c r="AA26" i="1"/>
  <c r="W26" i="1" s="1"/>
  <c r="AI14" i="1"/>
  <c r="U39" i="1"/>
  <c r="S39" i="1" s="1"/>
  <c r="U31" i="1"/>
  <c r="S31" i="1" s="1"/>
  <c r="U27" i="1"/>
  <c r="S27" i="1" s="1"/>
  <c r="X20" i="1"/>
  <c r="T20" i="1"/>
  <c r="U20" i="1" s="1"/>
  <c r="S20" i="1" s="1"/>
  <c r="X16" i="1"/>
  <c r="X42" i="1"/>
  <c r="AI39" i="1"/>
  <c r="X38" i="1"/>
  <c r="X34" i="1"/>
  <c r="AI31" i="1"/>
  <c r="X30" i="1"/>
  <c r="AI27" i="1"/>
  <c r="X26" i="1"/>
  <c r="X22" i="1"/>
  <c r="X18" i="1"/>
  <c r="Y29" i="3"/>
  <c r="Y9" i="3"/>
  <c r="AD11" i="3"/>
  <c r="AD18" i="3"/>
  <c r="Y10" i="3"/>
  <c r="Y26" i="3"/>
  <c r="AD9" i="3"/>
  <c r="Y17" i="3"/>
  <c r="AD8" i="3"/>
  <c r="AD30" i="3"/>
  <c r="AD27" i="3"/>
  <c r="AD26" i="3"/>
  <c r="AD16" i="3"/>
  <c r="AD28" i="3"/>
  <c r="AD19" i="3"/>
  <c r="AD33" i="3"/>
  <c r="Y12" i="3"/>
  <c r="Y23" i="3"/>
  <c r="Y25" i="3"/>
  <c r="Y24" i="3"/>
  <c r="Y21" i="3"/>
  <c r="AD25" i="3"/>
  <c r="AD12" i="3"/>
  <c r="AD24" i="3"/>
  <c r="AD23" i="3"/>
  <c r="AD21" i="3"/>
  <c r="AD14" i="3"/>
  <c r="AD17" i="3"/>
  <c r="AD15" i="3"/>
  <c r="Y31" i="3"/>
  <c r="AC31" i="3"/>
  <c r="AC11" i="3"/>
  <c r="AC30" i="3"/>
  <c r="AC16" i="3"/>
  <c r="AC19" i="3"/>
  <c r="AC18" i="3"/>
  <c r="AC27" i="3"/>
  <c r="AC28" i="3"/>
  <c r="AC33" i="3"/>
  <c r="AI166" i="1" l="1"/>
  <c r="U166" i="1"/>
  <c r="S166" i="1" s="1"/>
  <c r="W166" i="1"/>
  <c r="AI162" i="1"/>
  <c r="U162" i="1"/>
  <c r="S162" i="1" s="1"/>
  <c r="W162" i="1"/>
  <c r="W16" i="1"/>
  <c r="AI93" i="1"/>
  <c r="AI146" i="1"/>
  <c r="AI92" i="1"/>
  <c r="W79" i="1"/>
  <c r="AI64" i="1"/>
  <c r="U86" i="1"/>
  <c r="S86" i="1" s="1"/>
  <c r="W191" i="1"/>
  <c r="W93" i="1"/>
  <c r="AI23" i="1"/>
  <c r="W34" i="1"/>
  <c r="AI62" i="1"/>
  <c r="U88" i="1"/>
  <c r="S88" i="1" s="1"/>
  <c r="W80" i="1"/>
  <c r="U222" i="1"/>
  <c r="S222" i="1" s="1"/>
  <c r="W207" i="1"/>
  <c r="AI16" i="1"/>
  <c r="AI88" i="1"/>
  <c r="AI15" i="1"/>
  <c r="U15" i="1"/>
  <c r="S15" i="1" s="1"/>
  <c r="AI118" i="1"/>
  <c r="W157" i="1"/>
  <c r="W38" i="1"/>
  <c r="U43" i="1"/>
  <c r="S43" i="1" s="1"/>
  <c r="U47" i="1"/>
  <c r="S47" i="1" s="1"/>
  <c r="U135" i="1"/>
  <c r="S135" i="1" s="1"/>
  <c r="W100" i="1"/>
  <c r="U148" i="1"/>
  <c r="S148" i="1" s="1"/>
  <c r="W132" i="1"/>
  <c r="W175" i="1"/>
  <c r="W224" i="1"/>
  <c r="W53" i="1"/>
  <c r="U19" i="1"/>
  <c r="S19" i="1" s="1"/>
  <c r="AI26" i="1"/>
  <c r="U53" i="1"/>
  <c r="S53" i="1" s="1"/>
  <c r="W92" i="1"/>
  <c r="AI100" i="1"/>
  <c r="AI80" i="1"/>
  <c r="U219" i="1"/>
  <c r="S219" i="1" s="1"/>
  <c r="W43" i="1"/>
  <c r="W101" i="1"/>
  <c r="W23" i="1"/>
  <c r="W22" i="1"/>
  <c r="W134" i="1"/>
  <c r="W158" i="1"/>
  <c r="W167" i="1"/>
  <c r="W179" i="1"/>
  <c r="U35" i="1"/>
  <c r="S35" i="1" s="1"/>
  <c r="U77" i="1"/>
  <c r="S77" i="1" s="1"/>
  <c r="W148" i="1"/>
  <c r="W83" i="1"/>
  <c r="U89" i="1"/>
  <c r="S89" i="1" s="1"/>
  <c r="W117" i="1"/>
  <c r="W125" i="1"/>
  <c r="W149" i="1"/>
  <c r="U209" i="1"/>
  <c r="S209" i="1" s="1"/>
  <c r="U136" i="1"/>
  <c r="S136" i="1" s="1"/>
  <c r="AI209" i="1"/>
  <c r="W94" i="1"/>
  <c r="W136" i="1"/>
  <c r="W146" i="1"/>
  <c r="W187" i="1"/>
  <c r="W75" i="1"/>
  <c r="W64" i="1"/>
  <c r="W65" i="1"/>
  <c r="AI84" i="1"/>
  <c r="AI154" i="1"/>
  <c r="W141" i="1"/>
  <c r="W212" i="1"/>
  <c r="U154" i="1"/>
  <c r="S154" i="1" s="1"/>
  <c r="U207" i="1"/>
  <c r="S207" i="1" s="1"/>
  <c r="W195" i="1"/>
  <c r="U203" i="1"/>
  <c r="S203" i="1" s="1"/>
  <c r="W62" i="1"/>
  <c r="W77" i="1"/>
  <c r="W220" i="1"/>
  <c r="W205" i="1"/>
  <c r="AI35" i="1"/>
  <c r="AI143" i="1"/>
  <c r="AI171" i="1"/>
  <c r="AI205" i="1"/>
  <c r="W35" i="1"/>
  <c r="W51" i="1"/>
  <c r="W222" i="1"/>
  <c r="W215" i="1"/>
  <c r="W42" i="1"/>
  <c r="AI77" i="1"/>
  <c r="AI109" i="1"/>
  <c r="AI168" i="1"/>
  <c r="U143" i="1"/>
  <c r="S143" i="1" s="1"/>
  <c r="AI185" i="1"/>
  <c r="U109" i="1"/>
  <c r="S109" i="1" s="1"/>
  <c r="W135" i="1"/>
  <c r="W120" i="1"/>
  <c r="W199" i="1"/>
  <c r="W57" i="1"/>
  <c r="W170" i="1"/>
  <c r="AI170" i="1"/>
  <c r="W173" i="1"/>
  <c r="AI173" i="1"/>
  <c r="W71" i="1"/>
  <c r="W104" i="1"/>
  <c r="U124" i="1"/>
  <c r="S124" i="1" s="1"/>
  <c r="AI124" i="1"/>
  <c r="W216" i="1"/>
  <c r="W47" i="1"/>
  <c r="U105" i="1"/>
  <c r="S105" i="1" s="1"/>
  <c r="W84" i="1"/>
  <c r="W89" i="1"/>
  <c r="U98" i="1"/>
  <c r="S98" i="1" s="1"/>
  <c r="AI98" i="1"/>
  <c r="W105" i="1"/>
  <c r="U160" i="1"/>
  <c r="S160" i="1" s="1"/>
  <c r="AI160" i="1"/>
  <c r="W128" i="1"/>
  <c r="W152" i="1"/>
  <c r="AI212" i="1"/>
  <c r="U71" i="1"/>
  <c r="S71" i="1" s="1"/>
  <c r="U106" i="1"/>
  <c r="S106" i="1" s="1"/>
  <c r="AI106" i="1"/>
  <c r="W60" i="1"/>
  <c r="U140" i="1"/>
  <c r="S140" i="1" s="1"/>
  <c r="AI140" i="1"/>
  <c r="W144" i="1"/>
  <c r="U90" i="1"/>
  <c r="S90" i="1" s="1"/>
  <c r="AI90" i="1"/>
  <c r="W19" i="1"/>
  <c r="U94" i="1"/>
  <c r="S94" i="1" s="1"/>
  <c r="AI94" i="1"/>
  <c r="W160" i="1"/>
  <c r="W168" i="1"/>
  <c r="W219" i="1"/>
  <c r="U25" i="1"/>
  <c r="S25" i="1" s="1"/>
  <c r="AI25" i="1"/>
  <c r="AI68" i="1"/>
  <c r="U68" i="1"/>
  <c r="S68" i="1" s="1"/>
  <c r="W68" i="1"/>
  <c r="AI76" i="1"/>
  <c r="U76" i="1"/>
  <c r="S76" i="1" s="1"/>
  <c r="AI91" i="1"/>
  <c r="U91" i="1"/>
  <c r="S91" i="1" s="1"/>
  <c r="AI195" i="1"/>
  <c r="U177" i="1"/>
  <c r="S177" i="1" s="1"/>
  <c r="AI211" i="1"/>
  <c r="U193" i="1"/>
  <c r="S193" i="1" s="1"/>
  <c r="W177" i="1"/>
  <c r="U29" i="1"/>
  <c r="S29" i="1" s="1"/>
  <c r="AI29" i="1"/>
  <c r="W29" i="1"/>
  <c r="U41" i="1"/>
  <c r="S41" i="1" s="1"/>
  <c r="AI41" i="1"/>
  <c r="AI72" i="1"/>
  <c r="U72" i="1"/>
  <c r="S72" i="1" s="1"/>
  <c r="AI54" i="1"/>
  <c r="U54" i="1"/>
  <c r="S54" i="1" s="1"/>
  <c r="AI61" i="1"/>
  <c r="U61" i="1"/>
  <c r="S61" i="1" s="1"/>
  <c r="W72" i="1"/>
  <c r="W25" i="1"/>
  <c r="AI49" i="1"/>
  <c r="U49" i="1"/>
  <c r="S49" i="1" s="1"/>
  <c r="AI108" i="1"/>
  <c r="U108" i="1"/>
  <c r="S108" i="1" s="1"/>
  <c r="W108" i="1"/>
  <c r="AI121" i="1"/>
  <c r="U121" i="1"/>
  <c r="S121" i="1" s="1"/>
  <c r="AI129" i="1"/>
  <c r="U129" i="1"/>
  <c r="S129" i="1" s="1"/>
  <c r="AI137" i="1"/>
  <c r="U137" i="1"/>
  <c r="S137" i="1" s="1"/>
  <c r="AI145" i="1"/>
  <c r="U145" i="1"/>
  <c r="S145" i="1" s="1"/>
  <c r="AI153" i="1"/>
  <c r="U153" i="1"/>
  <c r="S153" i="1" s="1"/>
  <c r="AI161" i="1"/>
  <c r="U208" i="1"/>
  <c r="S208" i="1" s="1"/>
  <c r="AI79" i="1"/>
  <c r="U79" i="1"/>
  <c r="S79" i="1" s="1"/>
  <c r="W129" i="1"/>
  <c r="AI174" i="1"/>
  <c r="U225" i="1"/>
  <c r="S225" i="1" s="1"/>
  <c r="W121" i="1"/>
  <c r="AI199" i="1"/>
  <c r="U181" i="1"/>
  <c r="S181" i="1" s="1"/>
  <c r="W193" i="1"/>
  <c r="AI83" i="1"/>
  <c r="U83" i="1"/>
  <c r="S83" i="1" s="1"/>
  <c r="AI87" i="1"/>
  <c r="U87" i="1"/>
  <c r="S87" i="1" s="1"/>
  <c r="U107" i="1"/>
  <c r="S107" i="1" s="1"/>
  <c r="AI107" i="1"/>
  <c r="W91" i="1"/>
  <c r="W145" i="1"/>
  <c r="W137" i="1"/>
  <c r="AI203" i="1"/>
  <c r="U185" i="1"/>
  <c r="S185" i="1" s="1"/>
  <c r="U197" i="1"/>
  <c r="S197" i="1" s="1"/>
  <c r="W197" i="1"/>
  <c r="AI215" i="1"/>
  <c r="AI50" i="1"/>
  <c r="U50" i="1"/>
  <c r="S50" i="1" s="1"/>
  <c r="W50" i="1"/>
  <c r="U17" i="1"/>
  <c r="S17" i="1" s="1"/>
  <c r="AI17" i="1"/>
  <c r="U33" i="1"/>
  <c r="S33" i="1" s="1"/>
  <c r="AI33" i="1"/>
  <c r="U21" i="1"/>
  <c r="S21" i="1" s="1"/>
  <c r="AI21" i="1"/>
  <c r="U37" i="1"/>
  <c r="S37" i="1" s="1"/>
  <c r="AI37" i="1"/>
  <c r="W37" i="1"/>
  <c r="W41" i="1"/>
  <c r="AI58" i="1"/>
  <c r="U58" i="1"/>
  <c r="S58" i="1" s="1"/>
  <c r="AI65" i="1"/>
  <c r="U65" i="1"/>
  <c r="S65" i="1" s="1"/>
  <c r="W49" i="1"/>
  <c r="AI99" i="1"/>
  <c r="U99" i="1"/>
  <c r="S99" i="1" s="1"/>
  <c r="AI113" i="1"/>
  <c r="U113" i="1"/>
  <c r="S113" i="1" s="1"/>
  <c r="AI103" i="1"/>
  <c r="U103" i="1"/>
  <c r="S103" i="1" s="1"/>
  <c r="W87" i="1"/>
  <c r="W113" i="1"/>
  <c r="AI117" i="1"/>
  <c r="U117" i="1"/>
  <c r="S117" i="1" s="1"/>
  <c r="AI125" i="1"/>
  <c r="U125" i="1"/>
  <c r="S125" i="1" s="1"/>
  <c r="AI133" i="1"/>
  <c r="U133" i="1"/>
  <c r="S132" i="1" s="1"/>
  <c r="AI141" i="1"/>
  <c r="U141" i="1"/>
  <c r="S141" i="1" s="1"/>
  <c r="AI149" i="1"/>
  <c r="U149" i="1"/>
  <c r="S149" i="1" s="1"/>
  <c r="AI157" i="1"/>
  <c r="U157" i="1"/>
  <c r="S157" i="1" s="1"/>
  <c r="AI167" i="1"/>
  <c r="U212" i="1"/>
  <c r="S212" i="1" s="1"/>
  <c r="AI95" i="1"/>
  <c r="U95" i="1"/>
  <c r="S95" i="1" s="1"/>
  <c r="W208" i="1"/>
  <c r="W133" i="1"/>
  <c r="U216" i="1"/>
  <c r="S216" i="1" s="1"/>
  <c r="AI181" i="1"/>
  <c r="W163" i="1"/>
  <c r="U163" i="1"/>
  <c r="S163" i="1" s="1"/>
  <c r="W153" i="1"/>
  <c r="W225" i="1"/>
  <c r="AI183" i="1"/>
  <c r="U165" i="1"/>
  <c r="S165" i="1" s="1"/>
  <c r="AI187" i="1"/>
  <c r="U170" i="1"/>
  <c r="S170" i="1" s="1"/>
  <c r="AI191" i="1"/>
  <c r="U173" i="1"/>
  <c r="S173" i="1" s="1"/>
  <c r="AI207" i="1"/>
  <c r="U189" i="1"/>
  <c r="S189" i="1" s="1"/>
  <c r="W165" i="1"/>
  <c r="W181" i="1"/>
  <c r="W189" i="1"/>
  <c r="M7" i="3"/>
  <c r="U7" i="3"/>
  <c r="T7" i="3" s="1"/>
  <c r="V7" i="3"/>
  <c r="W7" i="3"/>
  <c r="X7" i="3"/>
  <c r="AD7" i="3" l="1"/>
  <c r="Y7" i="3"/>
  <c r="AC7" i="3"/>
  <c r="M28" i="5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C66" i="9" l="1"/>
  <c r="C62" i="9"/>
  <c r="C68" i="9"/>
  <c r="C64" i="9"/>
  <c r="C60" i="9"/>
  <c r="C56" i="9"/>
  <c r="C58" i="9"/>
  <c r="C67" i="9"/>
  <c r="C63" i="9"/>
  <c r="C59" i="9"/>
  <c r="C55" i="9"/>
  <c r="C54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N33" i="3" s="1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18" i="3" s="1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19" i="3" s="1"/>
  <c r="G89" i="4"/>
  <c r="G90" i="4"/>
  <c r="G91" i="4"/>
  <c r="G92" i="4"/>
  <c r="G93" i="4"/>
  <c r="N16" i="3" s="1"/>
  <c r="G94" i="4"/>
  <c r="G95" i="4"/>
  <c r="N30" i="3" s="1"/>
  <c r="G96" i="4"/>
  <c r="G97" i="4"/>
  <c r="G98" i="4"/>
  <c r="G99" i="4"/>
  <c r="N11" i="3" s="1"/>
  <c r="G100" i="4"/>
  <c r="N7" i="3" s="1"/>
  <c r="G101" i="4"/>
  <c r="G102" i="4"/>
  <c r="G103" i="4"/>
  <c r="G104" i="4"/>
  <c r="G105" i="4"/>
  <c r="G106" i="4"/>
  <c r="G107" i="4"/>
  <c r="N31" i="3" s="1"/>
  <c r="G108" i="4"/>
  <c r="G109" i="4"/>
  <c r="G110" i="4"/>
  <c r="G111" i="4"/>
  <c r="G112" i="4"/>
  <c r="G113" i="4"/>
  <c r="N8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13" i="3" s="1"/>
  <c r="G128" i="4"/>
  <c r="G129" i="4"/>
  <c r="G130" i="4"/>
  <c r="G131" i="4"/>
  <c r="G132" i="4"/>
  <c r="G133" i="4"/>
  <c r="G134" i="4"/>
  <c r="G135" i="4"/>
  <c r="G136" i="4"/>
  <c r="N17" i="3" s="1"/>
  <c r="G137" i="4"/>
  <c r="G138" i="4"/>
  <c r="G139" i="4"/>
  <c r="G140" i="4"/>
  <c r="G141" i="4"/>
  <c r="G142" i="4"/>
  <c r="G143" i="4"/>
  <c r="N21" i="3" s="1"/>
  <c r="G144" i="4"/>
  <c r="N9" i="3" s="1"/>
  <c r="G145" i="4"/>
  <c r="G146" i="4"/>
  <c r="N22" i="3" s="1"/>
  <c r="G147" i="4"/>
  <c r="G148" i="4"/>
  <c r="N23" i="3" s="1"/>
  <c r="G149" i="4"/>
  <c r="G150" i="4"/>
  <c r="N26" i="3" s="1"/>
  <c r="G151" i="4"/>
  <c r="N14" i="3" s="1"/>
  <c r="G152" i="4"/>
  <c r="G153" i="4"/>
  <c r="G154" i="4"/>
  <c r="N32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N24" i="3" s="1"/>
  <c r="G171" i="4"/>
  <c r="G172" i="4"/>
  <c r="G173" i="4"/>
  <c r="G174" i="4"/>
  <c r="G175" i="4"/>
  <c r="G176" i="4"/>
  <c r="G177" i="4"/>
  <c r="G178" i="4"/>
  <c r="G179" i="4"/>
  <c r="G180" i="4"/>
  <c r="G181" i="4"/>
  <c r="N29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12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0" i="3" l="1"/>
  <c r="N15" i="3"/>
  <c r="N25" i="3"/>
  <c r="N10" i="3"/>
  <c r="N28" i="3"/>
  <c r="N27" i="3"/>
  <c r="H6" i="6"/>
  <c r="H4" i="6"/>
  <c r="H5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S7" i="3" s="1"/>
  <c r="Y13" i="1"/>
  <c r="Z13" i="1"/>
  <c r="AB13" i="1"/>
  <c r="AC13" i="1"/>
  <c r="AD13" i="1"/>
  <c r="X14" i="1" s="1"/>
  <c r="AE13" i="1"/>
  <c r="R7" i="3" s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<sst xmlns="http://schemas.openxmlformats.org/spreadsheetml/2006/main" count="2505" uniqueCount="896">
  <si>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</si>
  <si>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</si>
  <si>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</si>
  <si>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</si>
  <si>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</si>
  <si>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</si>
  <si>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</si>
  <si>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</si>
  <si>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</si>
  <si>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</si>
  <si>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</si>
  <si>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</si>
  <si>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</si>
  <si>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</si>
  <si>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</si>
  <si>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</si>
  <si>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</si>
  <si>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</si>
  <si>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</si>
  <si>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</si>
  <si>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</si>
  <si>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</si>
  <si>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</si>
  <si>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</si>
  <si>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</si>
  <si>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</si>
  <si>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</si>
  <si>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</si>
  <si>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</si>
  <si>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</si>
  <si>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</si>
  <si>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</si>
  <si>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</si>
  <si>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</si>
  <si>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</si>
  <si>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</si>
  <si>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</si>
  <si>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</si>
  <si>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</si>
  <si>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</si>
  <si>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</si>
  <si>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</si>
  <si>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</si>
  <si>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</si>
  <si>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</si>
  <si>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</si>
  <si>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</si>
  <si>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</si>
  <si>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</si>
  <si>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</si>
  <si>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</si>
  <si>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</si>
  <si>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</si>
  <si>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</si>
  <si>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</si>
  <si>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</si>
  <si>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</si>
  <si>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</si>
  <si>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</si>
  <si>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</si>
  <si>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</si>
  <si>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</si>
  <si>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</si>
  <si>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</si>
  <si>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</si>
  <si>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</si>
  <si>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</si>
  <si>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</si>
  <si>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</si>
  <si>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</si>
  <si>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</si>
  <si>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</si>
  <si>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</si>
  <si>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</si>
  <si>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</si>
  <si>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</si>
  <si>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</si>
  <si>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</si>
  <si>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</si>
  <si>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</si>
  <si>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</si>
  <si>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</si>
  <si>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</si>
  <si>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</si>
  <si>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</si>
  <si>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</si>
  <si>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</si>
  <si>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</si>
  <si>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</si>
  <si>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</si>
  <si>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</si>
  <si>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</si>
  <si>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</si>
  <si>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</si>
  <si>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</si>
  <si>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</si>
  <si>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</si>
  <si>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</si>
  <si>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</si>
  <si>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</si>
  <si>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</si>
  <si>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</si>
  <si>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</si>
  <si>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</si>
  <si>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</si>
  <si>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</si>
  <si>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</si>
  <si>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</si>
  <si>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</si>
  <si>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</si>
  <si>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</si>
  <si>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</si>
  <si>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</si>
  <si>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</si>
  <si>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</si>
  <si>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</si>
  <si>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</si>
  <si>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</si>
  <si>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</si>
  <si>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</si>
  <si>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</si>
  <si>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</si>
  <si>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</si>
  <si>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</si>
  <si>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</si>
  <si>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</si>
  <si>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</si>
  <si>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</si>
  <si>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</si>
  <si>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</si>
  <si>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</si>
  <si>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</si>
  <si>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</si>
  <si>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</si>
  <si>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</si>
  <si>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</si>
  <si>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</si>
  <si>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</si>
  <si>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</si>
  <si>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</si>
  <si>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</si>
  <si>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</si>
  <si>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</si>
  <si>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</si>
  <si>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</si>
  <si>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</si>
  <si>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</si>
  <si>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</si>
  <si>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</si>
  <si>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</si>
  <si>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</si>
  <si>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</si>
  <si>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</si>
  <si>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</si>
  <si>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</si>
  <si>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</si>
  <si>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</si>
  <si>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</si>
  <si>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</si>
  <si>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</si>
  <si>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</si>
  <si>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</si>
  <si>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</si>
  <si>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</si>
  <si>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</si>
  <si>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</si>
  <si>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</si>
  <si>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</si>
  <si>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</si>
  <si>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</si>
  <si>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</si>
  <si>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</si>
  <si>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</si>
  <si>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</si>
  <si>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</si>
  <si>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</si>
  <si>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</si>
  <si>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</si>
  <si>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</si>
  <si>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</si>
  <si>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</si>
  <si>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</si>
  <si>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</si>
  <si>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</si>
  <si>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</si>
  <si>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</si>
  <si>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</si>
  <si>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</si>
  <si>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</si>
  <si>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</si>
  <si>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</si>
  <si>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</si>
  <si>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</si>
  <si>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</si>
  <si>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</si>
  <si>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</si>
  <si>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</si>
  <si>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</si>
  <si>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</si>
  <si>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</si>
  <si>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</si>
  <si>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</si>
  <si>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</si>
  <si>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</si>
  <si>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</si>
  <si>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</si>
  <si>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</si>
  <si>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</si>
  <si>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</si>
  <si>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</si>
  <si>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</si>
  <si>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</si>
  <si>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</si>
  <si>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</si>
  <si>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</si>
  <si>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</si>
  <si>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</si>
  <si>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</si>
  <si>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</si>
  <si>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</si>
  <si>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</si>
  <si>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</si>
  <si>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</si>
  <si>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</si>
  <si>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</si>
  <si>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</si>
  <si>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</si>
  <si>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</si>
  <si>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</si>
  <si>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</si>
  <si>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</si>
  <si>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</si>
  <si>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</si>
  <si>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</si>
  <si>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</si>
  <si>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</si>
  <si>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</si>
  <si>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</si>
  <si>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</si>
  <si>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</si>
  <si>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</si>
  <si>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</si>
  <si>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</si>
  <si>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</si>
  <si>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</si>
  <si>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</si>
  <si>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</si>
  <si>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</si>
  <si>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</si>
  <si>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</si>
  <si>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</si>
  <si>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</si>
  <si>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</si>
  <si>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</si>
  <si>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</si>
  <si>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</si>
  <si>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rtdc.l.rtdc.4045:itc</t>
  </si>
  <si>
    <t>204:147</t>
  </si>
  <si>
    <t>204:139</t>
  </si>
  <si>
    <t>MICHAEL</t>
  </si>
  <si>
    <t>DAVIS</t>
  </si>
  <si>
    <t>204:232977</t>
  </si>
  <si>
    <t>204:161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</si>
  <si>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</si>
  <si>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</si>
  <si>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</si>
  <si>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</si>
  <si>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</si>
  <si>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</si>
  <si>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</si>
  <si>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</si>
  <si>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</si>
  <si>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204:232986</t>
  </si>
  <si>
    <t>204:440</t>
  </si>
  <si>
    <t>204:233299</t>
  </si>
  <si>
    <t>204:233298</t>
  </si>
  <si>
    <t>SMITH</t>
  </si>
  <si>
    <t>NEWELL</t>
  </si>
  <si>
    <t>204:449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</si>
  <si>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</si>
  <si>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</si>
  <si>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</si>
  <si>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</si>
  <si>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</si>
  <si>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</si>
  <si>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</si>
  <si>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</si>
  <si>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</si>
  <si>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</si>
  <si>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</si>
  <si>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</si>
  <si>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</si>
  <si>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</si>
  <si>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</si>
  <si>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</si>
  <si>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</si>
  <si>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</si>
  <si>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</si>
  <si>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</si>
  <si>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</si>
  <si>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</si>
  <si>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</si>
  <si>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</si>
  <si>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204:473</t>
  </si>
  <si>
    <t>204:233301</t>
  </si>
  <si>
    <t>204:233297</t>
  </si>
  <si>
    <t>YANG</t>
  </si>
  <si>
    <t>JAN</t>
  </si>
  <si>
    <t>204:233312</t>
  </si>
  <si>
    <t>204:233293</t>
  </si>
  <si>
    <t>204:233300</t>
  </si>
  <si>
    <t>204:152</t>
  </si>
  <si>
    <t>204:232980</t>
  </si>
  <si>
    <t>204:232983</t>
  </si>
  <si>
    <t>204:232982</t>
  </si>
  <si>
    <t>204:165</t>
  </si>
  <si>
    <t>HILLS</t>
  </si>
  <si>
    <t>DUSTIN</t>
  </si>
  <si>
    <t>BROWN</t>
  </si>
  <si>
    <t>JACOB</t>
  </si>
  <si>
    <t>204:158</t>
  </si>
  <si>
    <t>204:475</t>
  </si>
  <si>
    <t>204:232966</t>
  </si>
  <si>
    <t>204:232998</t>
  </si>
  <si>
    <t>204:233304</t>
  </si>
  <si>
    <t>204:232987</t>
  </si>
  <si>
    <t>204:141</t>
  </si>
  <si>
    <t>204:233307</t>
  </si>
  <si>
    <t>300:58617</t>
  </si>
  <si>
    <t>rtdc.l.rtdc.4025:itc</t>
  </si>
  <si>
    <t>rtdc.l.rtdc.4026:itc</t>
  </si>
  <si>
    <t>WENDY</t>
  </si>
  <si>
    <t>SAFIEF</t>
  </si>
  <si>
    <t>AEIMEN</t>
  </si>
  <si>
    <t>STEWART</t>
  </si>
  <si>
    <t>244-23</t>
  </si>
  <si>
    <t>311-23</t>
  </si>
  <si>
    <t>246-23</t>
  </si>
  <si>
    <t>313-23</t>
  </si>
  <si>
    <t>315-23</t>
  </si>
  <si>
    <t>Clear</t>
  </si>
  <si>
    <t>clear-night</t>
  </si>
  <si>
    <t>204:480</t>
  </si>
  <si>
    <t>204:232971</t>
  </si>
  <si>
    <t>204:457</t>
  </si>
  <si>
    <t>204:233291</t>
  </si>
  <si>
    <t>204:232976</t>
  </si>
  <si>
    <t>204:156</t>
  </si>
  <si>
    <t>204:233317</t>
  </si>
  <si>
    <t>300:23304</t>
  </si>
  <si>
    <t>300:58931</t>
  </si>
  <si>
    <t>rtdc.l.rtdc.4017:itc</t>
  </si>
  <si>
    <t>rtdc.l.rtdc.4018:itc</t>
  </si>
  <si>
    <t>ADANE</t>
  </si>
  <si>
    <t>ELSHADAY</t>
  </si>
  <si>
    <t>CRAYTON</t>
  </si>
  <si>
    <t>QUNTRELL</t>
  </si>
  <si>
    <t>204:708</t>
  </si>
  <si>
    <t>204:232988</t>
  </si>
  <si>
    <t>204:444</t>
  </si>
  <si>
    <t>204:232989</t>
  </si>
  <si>
    <t>204:233006</t>
  </si>
  <si>
    <t>204:232996</t>
  </si>
  <si>
    <t>204:172</t>
  </si>
  <si>
    <t>204:232985</t>
  </si>
  <si>
    <t>300:58944</t>
  </si>
  <si>
    <t>300:58939</t>
  </si>
  <si>
    <t>300:58638</t>
  </si>
  <si>
    <t>204:232974</t>
  </si>
  <si>
    <t>204:233306</t>
  </si>
  <si>
    <t>rtdc.l.rtdc.4001:itc</t>
  </si>
  <si>
    <t>MAGEE</t>
  </si>
  <si>
    <t>KENYA</t>
  </si>
  <si>
    <t>STARKS</t>
  </si>
  <si>
    <t>ANGELINA</t>
  </si>
  <si>
    <t>DUNCAN</t>
  </si>
  <si>
    <t>SHEILA</t>
  </si>
  <si>
    <t>COMELLA</t>
  </si>
  <si>
    <t>JUSTIN</t>
  </si>
  <si>
    <t>CLARK</t>
  </si>
  <si>
    <t>KATHLEEN</t>
  </si>
  <si>
    <t>SIMMONS</t>
  </si>
  <si>
    <t>SHYHESHA</t>
  </si>
  <si>
    <t>SIMONEAUX</t>
  </si>
  <si>
    <t>TERA</t>
  </si>
  <si>
    <t>242-26</t>
  </si>
  <si>
    <t>311-26</t>
  </si>
  <si>
    <t>244-26</t>
  </si>
  <si>
    <t>313-26</t>
  </si>
  <si>
    <t>315-26</t>
  </si>
  <si>
    <t>204:488</t>
  </si>
  <si>
    <t>204:233351</t>
  </si>
  <si>
    <t>204:167</t>
  </si>
  <si>
    <t>204:446</t>
  </si>
  <si>
    <t>204:466</t>
  </si>
  <si>
    <t>204:232975</t>
  </si>
  <si>
    <t>204:233284</t>
  </si>
  <si>
    <t>204:232963</t>
  </si>
  <si>
    <t>204:469</t>
  </si>
  <si>
    <t>204:438</t>
  </si>
  <si>
    <t>204:233270</t>
  </si>
  <si>
    <t>204:498</t>
  </si>
  <si>
    <t>204:232979</t>
  </si>
  <si>
    <t>204:233268</t>
  </si>
  <si>
    <t>204:233276</t>
  </si>
  <si>
    <t>204:233281</t>
  </si>
  <si>
    <t>204:169</t>
  </si>
  <si>
    <t>300:23310</t>
  </si>
  <si>
    <t>300:23170</t>
  </si>
  <si>
    <t>300:58929</t>
  </si>
  <si>
    <t>204:664</t>
  </si>
  <si>
    <t>204:626</t>
  </si>
  <si>
    <t>300:58628</t>
  </si>
  <si>
    <t>300:58912</t>
  </si>
  <si>
    <t>300:58976</t>
  </si>
  <si>
    <t>204:1002</t>
  </si>
  <si>
    <t>204:703</t>
  </si>
  <si>
    <t>300:58920</t>
  </si>
  <si>
    <t>300:58632</t>
  </si>
  <si>
    <t>204:1007</t>
  </si>
  <si>
    <t>300:58958</t>
  </si>
  <si>
    <t>204:965</t>
  </si>
  <si>
    <t>204:979</t>
  </si>
  <si>
    <t>Onboard in-route failure</t>
  </si>
  <si>
    <t>Early arrival</t>
  </si>
  <si>
    <t>Early arrival (41st)</t>
  </si>
  <si>
    <t>Pena 4S STOP</t>
  </si>
  <si>
    <t>Wi-MAX data drop</t>
  </si>
  <si>
    <t>Banner without braking</t>
  </si>
  <si>
    <t>101-27</t>
  </si>
  <si>
    <t>308-27</t>
  </si>
  <si>
    <t>802-27</t>
  </si>
  <si>
    <t>rtdc.l.rtdc.4041:itc</t>
  </si>
  <si>
    <t>134-27</t>
  </si>
  <si>
    <t>150-27</t>
  </si>
  <si>
    <t>rtdc.l.rtdc.4007:itc</t>
  </si>
  <si>
    <t>159-27</t>
  </si>
  <si>
    <t>817-27</t>
  </si>
  <si>
    <t>163-27</t>
  </si>
  <si>
    <t>819-27</t>
  </si>
  <si>
    <t>173-27</t>
  </si>
  <si>
    <t>185-27</t>
  </si>
  <si>
    <t>rtdc.l.rtdc.4008:itc</t>
  </si>
  <si>
    <t>174-27</t>
  </si>
  <si>
    <t>186-27</t>
  </si>
  <si>
    <t>197-27</t>
  </si>
  <si>
    <t>201-27</t>
  </si>
  <si>
    <t>828-27</t>
  </si>
  <si>
    <t>190-27</t>
  </si>
  <si>
    <t>192-27</t>
  </si>
  <si>
    <t>194-27</t>
  </si>
  <si>
    <t>831-27</t>
  </si>
  <si>
    <t>206-27</t>
  </si>
  <si>
    <t>836-27</t>
  </si>
  <si>
    <t>226-27</t>
  </si>
  <si>
    <t>242-27</t>
  </si>
  <si>
    <t>rtdc.l.rtdc.4019:itc</t>
  </si>
  <si>
    <t>302-27</t>
  </si>
  <si>
    <t>YOUNG</t>
  </si>
  <si>
    <t>ELIZABETH</t>
  </si>
  <si>
    <t>304-27</t>
  </si>
  <si>
    <t>MAELZER</t>
  </si>
  <si>
    <t>KURT</t>
  </si>
  <si>
    <t>103-27</t>
  </si>
  <si>
    <t>306-27</t>
  </si>
  <si>
    <t>102-27</t>
  </si>
  <si>
    <t>105-27</t>
  </si>
  <si>
    <t>310-27</t>
  </si>
  <si>
    <t>107-27</t>
  </si>
  <si>
    <t>104-27</t>
  </si>
  <si>
    <t>109-27</t>
  </si>
  <si>
    <t>901-27</t>
  </si>
  <si>
    <t>111-27</t>
  </si>
  <si>
    <t>800-27</t>
  </si>
  <si>
    <t>106-27</t>
  </si>
  <si>
    <t>113-27</t>
  </si>
  <si>
    <t>108-27</t>
  </si>
  <si>
    <t>801-27</t>
  </si>
  <si>
    <t>115-27</t>
  </si>
  <si>
    <t>117-27</t>
  </si>
  <si>
    <t>110-27</t>
  </si>
  <si>
    <t>112-27</t>
  </si>
  <si>
    <t>902-27</t>
  </si>
  <si>
    <t>119-27</t>
  </si>
  <si>
    <t>rtdc.l.rtdc.4021:itc</t>
  </si>
  <si>
    <t>114-27</t>
  </si>
  <si>
    <t>121-27</t>
  </si>
  <si>
    <t>803-27</t>
  </si>
  <si>
    <t>116-27</t>
  </si>
  <si>
    <t>123-27</t>
  </si>
  <si>
    <t>805-27</t>
  </si>
  <si>
    <t>118-27</t>
  </si>
  <si>
    <t>125-27</t>
  </si>
  <si>
    <t>804-27</t>
  </si>
  <si>
    <t>120-27</t>
  </si>
  <si>
    <t>127-27</t>
  </si>
  <si>
    <t>122-27</t>
  </si>
  <si>
    <t>806-27</t>
  </si>
  <si>
    <t>129-27</t>
  </si>
  <si>
    <t>807-27</t>
  </si>
  <si>
    <t>124-27</t>
  </si>
  <si>
    <t>131-27</t>
  </si>
  <si>
    <t>809-27</t>
  </si>
  <si>
    <t>126-27</t>
  </si>
  <si>
    <t>133-27</t>
  </si>
  <si>
    <t>808-27</t>
  </si>
  <si>
    <t>128-27</t>
  </si>
  <si>
    <t>135-27</t>
  </si>
  <si>
    <t>811-27</t>
  </si>
  <si>
    <t>130-27</t>
  </si>
  <si>
    <t>810-27</t>
  </si>
  <si>
    <t>137-27</t>
  </si>
  <si>
    <t>132-27</t>
  </si>
  <si>
    <t>139-27</t>
  </si>
  <si>
    <t>903-27</t>
  </si>
  <si>
    <t>812-27</t>
  </si>
  <si>
    <t>136-27</t>
  </si>
  <si>
    <t>141-27</t>
  </si>
  <si>
    <t>CUSHING</t>
  </si>
  <si>
    <t>HARRY</t>
  </si>
  <si>
    <t>143-27</t>
  </si>
  <si>
    <t>813-27</t>
  </si>
  <si>
    <t>145-27</t>
  </si>
  <si>
    <t>138-27</t>
  </si>
  <si>
    <t>140-27</t>
  </si>
  <si>
    <t>147-27</t>
  </si>
  <si>
    <t>142-27</t>
  </si>
  <si>
    <t>814-27</t>
  </si>
  <si>
    <t>149-27</t>
  </si>
  <si>
    <t>144-27</t>
  </si>
  <si>
    <t>151-27</t>
  </si>
  <si>
    <t>146-27</t>
  </si>
  <si>
    <t>815-27</t>
  </si>
  <si>
    <t>153-27</t>
  </si>
  <si>
    <t>148-27</t>
  </si>
  <si>
    <t>155-27</t>
  </si>
  <si>
    <t>816-27</t>
  </si>
  <si>
    <t>157-27</t>
  </si>
  <si>
    <t>152-27</t>
  </si>
  <si>
    <t>154-27</t>
  </si>
  <si>
    <t>156-27</t>
  </si>
  <si>
    <t>161-27</t>
  </si>
  <si>
    <t>158-27</t>
  </si>
  <si>
    <t>818-27</t>
  </si>
  <si>
    <t>165-27</t>
  </si>
  <si>
    <t>160-27</t>
  </si>
  <si>
    <t>167-27</t>
  </si>
  <si>
    <t>162-27</t>
  </si>
  <si>
    <t>169-27</t>
  </si>
  <si>
    <t>164-27</t>
  </si>
  <si>
    <t>171-27</t>
  </si>
  <si>
    <t>BRANNON</t>
  </si>
  <si>
    <t>JEFFREY</t>
  </si>
  <si>
    <t>166-27</t>
  </si>
  <si>
    <t>820-27</t>
  </si>
  <si>
    <t>168-27</t>
  </si>
  <si>
    <t>175-27</t>
  </si>
  <si>
    <t>170-27</t>
  </si>
  <si>
    <t>177-27</t>
  </si>
  <si>
    <t>821-27</t>
  </si>
  <si>
    <t>DE LA ROSA</t>
  </si>
  <si>
    <t>ALEX</t>
  </si>
  <si>
    <t>172-27</t>
  </si>
  <si>
    <t>179-27</t>
  </si>
  <si>
    <t>822-27</t>
  </si>
  <si>
    <t>181-27</t>
  </si>
  <si>
    <t>176-27</t>
  </si>
  <si>
    <t>183-27</t>
  </si>
  <si>
    <t>178-27</t>
  </si>
  <si>
    <t>823-27</t>
  </si>
  <si>
    <t>180-27</t>
  </si>
  <si>
    <t>182-27</t>
  </si>
  <si>
    <t>187-27</t>
  </si>
  <si>
    <t>824-27</t>
  </si>
  <si>
    <t>184-27</t>
  </si>
  <si>
    <t>189-27</t>
  </si>
  <si>
    <t>191-27</t>
  </si>
  <si>
    <t>193-27</t>
  </si>
  <si>
    <t>825-27</t>
  </si>
  <si>
    <t>188-27</t>
  </si>
  <si>
    <t>904-27</t>
  </si>
  <si>
    <t>195-27</t>
  </si>
  <si>
    <t>826-27</t>
  </si>
  <si>
    <t>827-27</t>
  </si>
  <si>
    <t>199-27</t>
  </si>
  <si>
    <t>829-27</t>
  </si>
  <si>
    <t>196-27</t>
  </si>
  <si>
    <t>203-27</t>
  </si>
  <si>
    <t>198-27</t>
  </si>
  <si>
    <t>830-27</t>
  </si>
  <si>
    <t>205-27</t>
  </si>
  <si>
    <t>200-27</t>
  </si>
  <si>
    <t>207-27</t>
  </si>
  <si>
    <t>66-27</t>
  </si>
  <si>
    <t>202-27</t>
  </si>
  <si>
    <t>832-27</t>
  </si>
  <si>
    <t>209-27</t>
  </si>
  <si>
    <t>833-27</t>
  </si>
  <si>
    <t>75-27</t>
  </si>
  <si>
    <t>SANTIZO</t>
  </si>
  <si>
    <t>D. EDY</t>
  </si>
  <si>
    <t>211-27</t>
  </si>
  <si>
    <t>204-27</t>
  </si>
  <si>
    <t>835-27</t>
  </si>
  <si>
    <t>834-27</t>
  </si>
  <si>
    <t>213-27</t>
  </si>
  <si>
    <t>208-27</t>
  </si>
  <si>
    <t>68-27</t>
  </si>
  <si>
    <t>215-27</t>
  </si>
  <si>
    <t>210-27</t>
  </si>
  <si>
    <t>71-27</t>
  </si>
  <si>
    <t>212-27</t>
  </si>
  <si>
    <t>837-27</t>
  </si>
  <si>
    <t>217-27</t>
  </si>
  <si>
    <t>219-27</t>
  </si>
  <si>
    <t>839-27</t>
  </si>
  <si>
    <t>214-27</t>
  </si>
  <si>
    <t>838-27</t>
  </si>
  <si>
    <t>303-27</t>
  </si>
  <si>
    <t>216-27</t>
  </si>
  <si>
    <t>221-27</t>
  </si>
  <si>
    <t>906-27</t>
  </si>
  <si>
    <t>841-27</t>
  </si>
  <si>
    <t>218-27</t>
  </si>
  <si>
    <t>220-27</t>
  </si>
  <si>
    <t>305-27</t>
  </si>
  <si>
    <t>223-27</t>
  </si>
  <si>
    <t>GREGORY</t>
  </si>
  <si>
    <t>840-27</t>
  </si>
  <si>
    <t>307-27</t>
  </si>
  <si>
    <t>222-27</t>
  </si>
  <si>
    <t>225-27</t>
  </si>
  <si>
    <t>227-27</t>
  </si>
  <si>
    <t>224-27</t>
  </si>
  <si>
    <t>843-27</t>
  </si>
  <si>
    <t>842-27</t>
  </si>
  <si>
    <t>229-27</t>
  </si>
  <si>
    <t>845-27</t>
  </si>
  <si>
    <t>231-27</t>
  </si>
  <si>
    <t>228-27</t>
  </si>
  <si>
    <t>844-27</t>
  </si>
  <si>
    <t>233-27</t>
  </si>
  <si>
    <t>230-27</t>
  </si>
  <si>
    <t>847-27</t>
  </si>
  <si>
    <t>235-27</t>
  </si>
  <si>
    <t>232-27</t>
  </si>
  <si>
    <t>908-27</t>
  </si>
  <si>
    <t>234-27</t>
  </si>
  <si>
    <t>237-27</t>
  </si>
  <si>
    <t>239-27</t>
  </si>
  <si>
    <t>236-27</t>
  </si>
  <si>
    <t>241-27</t>
  </si>
  <si>
    <t>238-27</t>
  </si>
  <si>
    <t>243-27</t>
  </si>
  <si>
    <t>240-27</t>
  </si>
  <si>
    <t>309-27</t>
  </si>
  <si>
    <t>311-27</t>
  </si>
  <si>
    <t>244-27</t>
  </si>
  <si>
    <t>313-27</t>
  </si>
  <si>
    <t>315-27</t>
  </si>
  <si>
    <t>partly-cloudy-day</t>
  </si>
  <si>
    <t>204:783</t>
  </si>
  <si>
    <t>204:232675</t>
  </si>
  <si>
    <t>204:741</t>
  </si>
  <si>
    <t>204:232713</t>
  </si>
  <si>
    <t>204:774</t>
  </si>
  <si>
    <t>204:232662</t>
  </si>
  <si>
    <t>204:233310</t>
  </si>
  <si>
    <t>204:1167</t>
  </si>
  <si>
    <t>204:761</t>
  </si>
  <si>
    <t>204:233002</t>
  </si>
  <si>
    <t>204:701</t>
  </si>
  <si>
    <t>204:232961</t>
  </si>
  <si>
    <t>204:759</t>
  </si>
  <si>
    <t>204:233287</t>
  </si>
  <si>
    <t>204:232970</t>
  </si>
  <si>
    <t>204:437</t>
  </si>
  <si>
    <t>204:223</t>
  </si>
  <si>
    <t>204:431</t>
  </si>
  <si>
    <t>204:233321</t>
  </si>
  <si>
    <t>204:174</t>
  </si>
  <si>
    <t>204:233309</t>
  </si>
  <si>
    <t>204:232992</t>
  </si>
  <si>
    <t>204:478</t>
  </si>
  <si>
    <t>204:233008</t>
  </si>
  <si>
    <t>204:1269</t>
  </si>
  <si>
    <t>204:233318</t>
  </si>
  <si>
    <t>204:232959</t>
  </si>
  <si>
    <t>204:233323</t>
  </si>
  <si>
    <t>204:233011</t>
  </si>
  <si>
    <t>204:189</t>
  </si>
  <si>
    <t>204:233330</t>
  </si>
  <si>
    <t>204:502</t>
  </si>
  <si>
    <t>204:233286</t>
  </si>
  <si>
    <t>204:233314</t>
  </si>
  <si>
    <t>204:181</t>
  </si>
  <si>
    <t>204:233282</t>
  </si>
  <si>
    <t>204:176</t>
  </si>
  <si>
    <t>204:19128</t>
  </si>
  <si>
    <t>204:233329</t>
  </si>
  <si>
    <t>204:232991</t>
  </si>
  <si>
    <t>204:194</t>
  </si>
  <si>
    <t>204:200</t>
  </si>
  <si>
    <t>204:435</t>
  </si>
  <si>
    <t>204:471</t>
  </si>
  <si>
    <t>204:233266</t>
  </si>
  <si>
    <t>204:201</t>
  </si>
  <si>
    <t>204:232951</t>
  </si>
  <si>
    <t>204:511</t>
  </si>
  <si>
    <t>204:1177</t>
  </si>
  <si>
    <t>204:232990</t>
  </si>
  <si>
    <t>204:233004</t>
  </si>
  <si>
    <t>204:129</t>
  </si>
  <si>
    <t>204:519</t>
  </si>
  <si>
    <t>204:232965</t>
  </si>
  <si>
    <t>204:180</t>
  </si>
  <si>
    <t>204:338</t>
  </si>
  <si>
    <t>204:233249</t>
  </si>
  <si>
    <t>204:233280</t>
  </si>
  <si>
    <t>204:232950</t>
  </si>
  <si>
    <t>204:170</t>
  </si>
  <si>
    <t>204:433</t>
  </si>
  <si>
    <t>204:128255</t>
  </si>
  <si>
    <t>204:679</t>
  </si>
  <si>
    <t>204:128244</t>
  </si>
  <si>
    <t>204:233385</t>
  </si>
  <si>
    <t>204:504</t>
  </si>
  <si>
    <t>204:102982</t>
  </si>
  <si>
    <t>204:233057</t>
  </si>
  <si>
    <t>204:427</t>
  </si>
  <si>
    <t>204:132</t>
  </si>
  <si>
    <t>204:233336</t>
  </si>
  <si>
    <t>300:23203</t>
  </si>
  <si>
    <t>204:484</t>
  </si>
  <si>
    <t>300:23346</t>
  </si>
  <si>
    <t>300:19863</t>
  </si>
  <si>
    <t>204:134</t>
  </si>
  <si>
    <t>300:25124</t>
  </si>
  <si>
    <t>300:22070</t>
  </si>
  <si>
    <t>300:23299</t>
  </si>
  <si>
    <t>300:23358</t>
  </si>
  <si>
    <t>204:2813</t>
  </si>
  <si>
    <t>300:23302</t>
  </si>
  <si>
    <t>300:23301</t>
  </si>
  <si>
    <t>300:22157</t>
  </si>
  <si>
    <t>204:148</t>
  </si>
  <si>
    <t>300:21795</t>
  </si>
  <si>
    <t>204:918</t>
  </si>
  <si>
    <t>204:1481</t>
  </si>
  <si>
    <t>300:58630</t>
  </si>
  <si>
    <t>204:736</t>
  </si>
  <si>
    <t>204:1030</t>
  </si>
  <si>
    <t>300:58608</t>
  </si>
  <si>
    <t>204:750</t>
  </si>
  <si>
    <t>204:755</t>
  </si>
  <si>
    <t>300:58647</t>
  </si>
  <si>
    <t>300:58613</t>
  </si>
  <si>
    <t>204:853</t>
  </si>
  <si>
    <t>204:1013</t>
  </si>
  <si>
    <t>300:58937</t>
  </si>
  <si>
    <t>204:722</t>
  </si>
  <si>
    <t>300:58640</t>
  </si>
  <si>
    <t>204:1016</t>
  </si>
  <si>
    <t>204:726</t>
  </si>
  <si>
    <t>300:58623</t>
  </si>
  <si>
    <t>204:731</t>
  </si>
  <si>
    <t>204:1011</t>
  </si>
  <si>
    <t>204:1018</t>
  </si>
  <si>
    <t>300:58948</t>
  </si>
  <si>
    <t>300:58641</t>
  </si>
  <si>
    <t>204:747</t>
  </si>
  <si>
    <t>204:1032</t>
  </si>
  <si>
    <t>300:58077</t>
  </si>
  <si>
    <t>204:997</t>
  </si>
  <si>
    <t>300:58960</t>
  </si>
  <si>
    <t>300:58649</t>
  </si>
  <si>
    <t>300:58943</t>
  </si>
  <si>
    <t>300:58634</t>
  </si>
  <si>
    <t>204:745</t>
  </si>
  <si>
    <t>204:890</t>
  </si>
  <si>
    <t>300:58986</t>
  </si>
  <si>
    <t>300:58668</t>
  </si>
  <si>
    <t>204:636</t>
  </si>
  <si>
    <t>300:58636</t>
  </si>
  <si>
    <t>204:927</t>
  </si>
  <si>
    <t>300:58990</t>
  </si>
  <si>
    <t>204:782</t>
  </si>
  <si>
    <t>300:58626</t>
  </si>
  <si>
    <t>204:775</t>
  </si>
  <si>
    <t>204:1058</t>
  </si>
  <si>
    <t>300:58975</t>
  </si>
  <si>
    <t>204:748</t>
  </si>
  <si>
    <t>204:1074</t>
  </si>
  <si>
    <t>300:58954</t>
  </si>
  <si>
    <t>204:754</t>
  </si>
  <si>
    <t>204:1046</t>
  </si>
  <si>
    <t>204:631</t>
  </si>
  <si>
    <t>204:1042</t>
  </si>
  <si>
    <t>204:944</t>
  </si>
  <si>
    <t>300:58961</t>
  </si>
  <si>
    <t>300:30195</t>
  </si>
  <si>
    <t>300:23262</t>
  </si>
  <si>
    <t>204:706</t>
  </si>
  <si>
    <t>204:1125</t>
  </si>
  <si>
    <t>300:24224</t>
  </si>
  <si>
    <t>300:23205</t>
  </si>
  <si>
    <t>300:58655</t>
  </si>
  <si>
    <t>300:21420</t>
  </si>
  <si>
    <t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t>
  </si>
  <si>
    <t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t>
  </si>
  <si>
    <t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t>
  </si>
  <si>
    <t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t>
  </si>
  <si>
    <t>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 &amp; 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</t>
  </si>
  <si>
    <t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t>
  </si>
  <si>
    <t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t>
  </si>
  <si>
    <t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t>
  </si>
  <si>
    <t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t>
  </si>
  <si>
    <t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t>
  </si>
  <si>
    <t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t>
  </si>
  <si>
    <t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t>
  </si>
  <si>
    <t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t>
  </si>
  <si>
    <t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t>
  </si>
  <si>
    <t>Delayed at 40th</t>
  </si>
  <si>
    <t>CP Sable offline due to UP maintenance</t>
  </si>
  <si>
    <t>Multiple init attempts while BPP was low (83)</t>
  </si>
  <si>
    <t>CRMFN 2S STOP, cleared 30 sec later</t>
  </si>
  <si>
    <t>SYS :2016/12/27 10:29:20.855:ENFORCEMENT:Reactive Enforcement Action:  Target Number: 00017003  Target Speed:  14.0  Current Speed:  19.4</t>
  </si>
  <si>
    <t>SYS :2016/12/27 10:29:21.104:ENFORCEMENT:Reactive Enforcement Action:  Target Number: 00017003  Target Speed:  14.0  Current Speed:  19.4</t>
  </si>
  <si>
    <t>SYS :2016/12/27 10:29:21.283:ENFORCEMENT:Reactive Enforcement Action:  Target Number: 00017003  Target Speed:  14.0  Current Speed:  19.4</t>
  </si>
  <si>
    <t>SYS :2016/12/27 11:22:12.743:ENFORCEMENT:Predictive Enforcement Action:  Target Number: 00001002  Target Speed:   0.0  Current Speed:   4.5</t>
  </si>
  <si>
    <t>SYS :2016/12/27 13:17:52.097:ENFORCEMENT:Predictive Enforcement Action:  Target Number: 0000602C  Target Speed:   0.0  Current Speed:  64.1</t>
  </si>
  <si>
    <t>SYS :2016/12/27 13:17:53.240:ENFORCEMENT:Predictive Enforcement Action:  Target Number: 0000603D  Target Speed:   0.0  Current Speed:  64.1</t>
  </si>
  <si>
    <t>SYS :2016/12/27 13:17:53.476:ENFORCEMENT:Predictive Enforcement Action:  Target Number: 0000604C  Target Speed:   0.0  Current Speed:  63.6</t>
  </si>
  <si>
    <t>SYS :2016/12/27 13:20:29.044:ENFORCEMENT:Predictive Enforcement Action:  Target Number: 00017003  Target Speed:  26.0  Current Speed:  37.2</t>
  </si>
  <si>
    <t>SYS :2016/12/27 13:20:29.246:ENFORCEMENT:Predictive Enforcement Action:  Target Number: 00017003  Target Speed:  26.0  Current Speed:  37.6</t>
  </si>
  <si>
    <t>SYS :2016/12/27 13:20:29.469:ENFORCEMENT:Predictive Enforcement Action:  Target Number: 00017003  Target Speed:  26.0  Current Speed:  37.2</t>
  </si>
  <si>
    <t>SYS :2016/12/27 14:18:12.039:ENFORCEMENT:Predictive Enforcement Action:  Target Number: 0001003D  Target Speed:  30.0  Current Speed:  38.3</t>
  </si>
  <si>
    <t>SYS :2016/12/27 14:36:31.442:ENFORCEMENT:Predictive Enforcement Action:  Target Number: 00001018  Target Speed:   0.0  Current Speed:   4.1</t>
  </si>
  <si>
    <t>SYS :2016/12/27 16:21:00.445:ENFORCEMENT:Predictive Enforcement Action:  Target Number: 0000101A  Target Speed:   0.0  Current Speed:   7.2</t>
  </si>
  <si>
    <t>SYS :2016/12/27 16:21:00.625:ENFORCEMENT:Predictive Enforcement Action:  Target Number: 0000100D  Target Speed:   0.0  Current Speed:   7.2</t>
  </si>
  <si>
    <t>SYS :2016/12/27 16:21:00.731:ENFORCEMENT:Predictive Enforcement Action:  Target Number: 0000101B  Target Speed:   0.0  Current Speed:   7.2</t>
  </si>
  <si>
    <t>SYS :2016/12/27 18:20:43.172:ENFORCEMENT:Predictive Enforcement Action:  Target Number: 0000100C  Target Speed:   0.0  Current Speed:   5.9</t>
  </si>
  <si>
    <t>SYS :2016/12/27 18:20:43.388:ENFORCEMENT:Predictive Enforcement Action:  Target Number: 0000100C  Target Speed:   0.0  Current Speed:   5.9</t>
  </si>
  <si>
    <t>SYS :2016/12/27 18:20:43.738:ENFORCEMENT:Predictive Enforcement Action:  Target Number: 0000100C  Target Speed:   0.0  Current Speed:   5.8</t>
  </si>
  <si>
    <t>SYS :2016/12/27 18:21:19.447:ENFORCEMENT:Predictive Enforcement Action:  Target Number: 0001007F  Target Speed:  40.0  Current Speed:  61.9</t>
  </si>
  <si>
    <t>SYS :2016/12/27 18:21:19.814:ENFORCEMENT:Predictive Enforcement Action:  Target Number: 0001007E  Target Speed:  40.0  Current Speed:  62.3</t>
  </si>
  <si>
    <t>SYS :2016/12/27 18:21:20.692:ENFORCEMENT:Predictive Enforcement Action:  Target Number: 0001007D  Target Speed:  40.0  Current Speed:  61.9</t>
  </si>
  <si>
    <t>SYS :2016/12/27 18:34:34.465:ENFORCEMENT:Predictive Enforcement Action:  Target Number: 00001008  Target Speed:   0.0  Current Speed:   5.3</t>
  </si>
  <si>
    <t>SYS :2016/12/27 18:42:34.482:ENFORCEMENT:Predictive Enforcement Action:  Target Number: 00017053  Target Speed:  46.0  Current Speed:  59.0</t>
  </si>
  <si>
    <t>SYS :2016/12/27 18:42:35.112:ENFORCEMENT:Predictive Enforcement Action:  Target Number: 00017053  Target Speed:  46.0  Current Speed:  59.0</t>
  </si>
  <si>
    <t>SYS :2016/12/27 18:42:35.345:ENFORCEMENT:Predictive Enforcement Action:  Target Number: 00017053  Target Speed:  46.0  Current Speed:  59.0</t>
  </si>
  <si>
    <t>SYS :2016/12/27 19:34:46.473:ENFORCEMENT:Predictive Enforcement Action:  Target Number: 0000100A  Target Speed:   0.0  Current Speed:  14.7</t>
  </si>
  <si>
    <t>SYS :2016/12/27 19:54:38.450:ENFORCEMENT:Predictive Enforcement Action:  Target Number: 00017064  Target Speed:  30.0  Current Speed:  35.3</t>
  </si>
  <si>
    <t>SYS :2016/12/27 19:54:38.692:ENFORCEMENT:Predictive Enforcement Action:  Target Number: 00017064  Target Speed:  30.0  Current Speed:  35.3</t>
  </si>
  <si>
    <t>SYS :2016/12/27 19:54:39.921:ENFORCEMENT:Predictive Enforcement Action:  Target Number: 00017064  Target Speed:  30.0  Current Speed:  35.3</t>
  </si>
  <si>
    <t>SYS :2016/12/27 21:10:13.673:ENFORCEMENT:Predictive Enforcement Action:  Target Number: 0000A004  Target Speed:  10.0  Current Speed:  31.8</t>
  </si>
  <si>
    <t>SYS :2016/12/27 21:16:16.341:ENFORCEMENT:Reactive Enforcement Action:  Target Number: 0001024E  Target Speed:  15.0  Current Speed:  20.1</t>
  </si>
  <si>
    <t>SYS :2016/12/27 21:16:17.506:ENFORCEMENT:Reactive Enforcement Action:  Target Number: 00010252  Target Speed:  15.0  Current Speed:  20.1</t>
  </si>
  <si>
    <t>SYS :2016/12/27 21:16:17.608:ENFORCEMENT:Reactive Enforcement Action:  Target Number: 0001024F  Target Speed:  15.0  Current Speed:  20.1</t>
  </si>
  <si>
    <t>SYS :2016/12/27 21:25:33.168:ENFORCEMENT:Predictive Enforcement Action:  Target Number: 0001000A  Target Speed:  20.0  Current Speed:  29.1</t>
  </si>
  <si>
    <t>SYS :2016/12/27 21:25:33.542:ENFORCEMENT:Predictive Enforcement Action:  Target Number: 000100E7  Target Speed:  20.0  Current Speed:  29.1</t>
  </si>
  <si>
    <t>SYS :2016/12/27 21:25:34.485:ENFORCEMENT:Predictive Enforcement Action:  Target Number: 000100E7  Target Speed:  20.0  Current Speed:  29.0</t>
  </si>
  <si>
    <t>SYS :2016/12/27 21:29:08.015:ENFORCEMENT:Predictive Enforcement Action:  Target Number: 00001002  Target Speed:   0.0  Current Speed:   4.0</t>
  </si>
  <si>
    <t>SYS :2016/12/27 21:29:08.474:ENFORCEMENT:Predictive Enforcement Action:  Target Number: 00001011  Target Speed:   0.0  Current Speed:   4.0</t>
  </si>
  <si>
    <t>SYS :2016/12/27 21:29:08.541:ENFORCEMENT:Predictive Enforcement Action:  Target Number: 00001011  Target Speed:   0.0  Current Speed:   4.0</t>
  </si>
  <si>
    <t>SYS :2016/12/27 22:15:56.999:ENFORCEMENT:Predictive Enforcement Action:  Target Number: 000063EB  Target Speed:   0.0  Current Speed:  36.1</t>
  </si>
  <si>
    <t>SYS :2016/12/27 22:15:57.114:ENFORCEMENT:Predictive Enforcement Action:  Target Number: 0000644A  Target Speed:   0.0  Current Speed:  36.1</t>
  </si>
  <si>
    <t>SYS :2016/12/27 22:15:57.484:ENFORCEMENT:Predictive Enforcement Action:  Target Number: 0000644C  Target Speed:   0.0  Current Speed:  36.1</t>
  </si>
  <si>
    <t>SYS :2016/12/27 22:56:38.859:ENFORCEMENT:Predictive Enforcement Action:  Target Number: 000170A9  Target Speed:  26.0  Current Speed:  31.4</t>
  </si>
  <si>
    <t>SYS :2016/12/27 22:56:39.115:ENFORCEMENT:Predictive Enforcement Action:  Target Number: 000170A9  Target Speed:  26.0  Current Speed:  31.1</t>
  </si>
  <si>
    <t>SYS :2016/12/27 22:56:39.290:ENFORCEMENT:Predictive Enforcement Action:  Target Number: 000170A9  Target Speed:  26.0  Current Speed:  31.1</t>
  </si>
  <si>
    <t>SYS :2016/12/27 23:16:39.693:ENFORCEMENT:Reactive Enforcement Action:  Target Number: 000100E8  Target Speed:  15.0  Current Speed:  20.0</t>
  </si>
  <si>
    <t>SYS :2016/12/27 23:16:40.463:ENFORCEMENT:Reactive Enforcement Action:  Target Number: 000100EB  Target Speed:  15.0  Current Speed:  20.0</t>
  </si>
  <si>
    <t>SYS :2016/12/27 23:16:40.821:ENFORCEMENT:Reactive Enforcement Action:  Target Number: 000100E9  Target Speed:  15.0  Current Speed:  20.0</t>
  </si>
  <si>
    <t>SYS :2016/12/27 23:20:46.535:ENFORCEMENT:Predictive Enforcement Action:  Target Number: 00017006  Target Speed:   9.0  Current Speed:  14.2</t>
  </si>
  <si>
    <t>SYS :2016/12/27 23:23:52.459:ENFORCEMENT:Predictive Enforcement Action:  Target Number: 00001022  Target Speed:   0.0  Current Speed:  15.2</t>
  </si>
  <si>
    <t>SYS :2016/12/27 23:23:52.732:ENFORCEMENT:Predictive Enforcement Action:  Target Number: 00001024  Target Speed:   0.0  Current Speed:  15.2</t>
  </si>
  <si>
    <t>SYS :2016/12/27 23:24:40.442:ENFORCEMENT:Predictive Enforcement Action:  Target Number: 00001022  Target Speed:   0.0  Current Speed:   7.3</t>
  </si>
  <si>
    <t>SYS :2016/12/27 23:24:40.621:ENFORCEMENT:Predictive Enforcement Action:  Target Number: 00001016  Target Speed:   0.0  Current Speed:   7.3</t>
  </si>
  <si>
    <t>SYS :2016/12/27 23:24:40.731:ENFORCEMENT:Predictive Enforcement Action:  Target Number: 00001024  Target Speed:   0.0  Current Speed:   7.3</t>
  </si>
  <si>
    <t>SYS :2016/12/27 23:37:47.176:ENFORCEMENT:Predictive Enforcement Action:  Target Number: 00001014  Target Speed:   0.0  Current Speed:   5.4</t>
  </si>
  <si>
    <t>SYS :2016/12/27 23:37:47.387:ENFORCEMENT:Predictive Enforcement Action:  Target Number: 00001014  Target Speed:   0.0  Current Speed:   5.4</t>
  </si>
  <si>
    <t>SYS :2016/12/28 00:05:42.422:ENFORCEMENT:Predictive Enforcement Action:  Target Number: 00001012  Target Speed:   0.0  Current Speed:   7.1</t>
  </si>
  <si>
    <t>SYS :2016/12/28 00:05:43.008:ENFORCEMENT:Predictive Enforcement Action:  Target Number: 00001013  Target Speed:   0.0  Current Speed:   7.1</t>
  </si>
  <si>
    <t>SYS :2016/12/28 00:05:43.065:ENFORCEMENT:Predictive Enforcement Action:  Target Number: 00001012  Target Speed:   0.0  Current Speed:   7.1</t>
  </si>
  <si>
    <t>SYS :2016/12/28 01:09:46.022:ENFORCEMENT:Predictive Enforcement Action:  Target Number: 00001016  Target Speed:   0.0  Current Speed:   3.1</t>
  </si>
  <si>
    <t>SYS :2016/12/28 01:20:54.385:ENFORCEMENT:Predictive Enforcement Action:  Target Number: 00001018  Target Speed:   0.0  Current Speed:   4.4</t>
  </si>
  <si>
    <t>SYS :2016/12/28 01:27:04.232:ENFORCEMENT:Predictive Enforcement Action:  Target Number: 00001015  Target Speed:   0.0  Current Speed:   8.3</t>
  </si>
  <si>
    <t>SYS :2016/12/28 01:27:04.466:ENFORCEMENT:Predictive Enforcement Action:  Target Number: 00001015  Target Speed:   0.0  Current Speed:   8.3</t>
  </si>
  <si>
    <t>SYS :2016/12/28 01:27:04.525:ENFORCEMENT:Predictive Enforcement Action:  Target Number: 00001010  Target Speed:   0.0  Current Speed:   8.3</t>
  </si>
  <si>
    <t>SYS :2016/12/28 02:02:07.433:ENFORCEMENT:Predictive Enforcement Action:  Target Number: 00010117  Target Speed:  15.0  Current Speed:  32.4</t>
  </si>
  <si>
    <t>SYS :2016/12/28 02:02:08.026:ENFORCEMENT:Predictive Enforcement Action:  Target Number: 0001011D  Target Speed:  15.0  Current Speed:  31.0</t>
  </si>
  <si>
    <t>SYS :2016/12/28 04:14:30.462:ENFORCEMENT:Predictive Enforcement Action:  Target Number: 000171B4  Target Speed:   0.0  Current Speed:  59.0</t>
  </si>
  <si>
    <t>SYS :2016/12/28 04:14:31.670:ENFORCEMENT:Predictive Enforcement Action:  Target Number: 00017118  Target Speed:   0.0  Current Speed:  59.0</t>
  </si>
  <si>
    <t>SYS :2016/12/28 04:14:31.759:ENFORCEMENT:Predictive Enforcement Action:  Target Number: 000171B4  Target Speed:   0.0  Current Speed:  57.8</t>
  </si>
  <si>
    <t>Early arrival, 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</si>
</sst>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570312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42731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42731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COUNTIFS($N$13:$N$9357,"&gt;0",$AG$13:$AG$9357,I1)</f>
        <v>141</v>
      </c>
      <c r="K5" s="44"/>
      <c r="L5" s="44"/>
      <c r="M5" s="45">
        <f>AVERAGEIFS($N$13:$N$9357,$AG$13:$AG$9357,I1)</f>
        <v>39.489479905038955</v>
      </c>
      <c r="N5" s="43">
        <f t="array" ref="N5">MIN(IF($AG$13:$AG$9357=I1,IF(ISNUMBER($N$13:$N$9357),IF($N$13:$N$9357&gt;0,$N$13:$N$9357))))</f>
        <v>34.049999996786937</v>
      </c>
      <c r="O5" s="3">
        <f t="array" ref="O5">MAX(IF($AG$13:$AG$9357=I1,IF(ISNUMBER($N$13:$N$9357),IF($N$13:$N$9357&gt;0,$N$13:$N$9357))))</f>
        <v>57.099999999627471</v>
      </c>
      <c r="P5" s="2"/>
      <c r="R5" s="80" t="s">
        <v>17</v>
      </c>
      <c r="S5" s="55">
        <f>COUNTIFS($N$13:$N$9357,"&gt;0",$AG$13:$AG$9357,R1)</f>
        <v>45</v>
      </c>
      <c r="T5" s="44"/>
      <c r="U5" s="168"/>
      <c r="V5" s="45">
        <f>AVERAGEIFS($N$13:$N$9357,$AG$13:$AG$9357,R1)</f>
        <v>15.010370369302109</v>
      </c>
      <c r="W5" s="43">
        <f t="array" ref="W5">MIN(IF($AG$13:$AG$9357=R1,IF(ISNUMBER($N$13:$N$9357),IF($N$13:$N$9357&gt;0,$N$13:$N$9357))))</f>
        <v>12.699999993201345</v>
      </c>
      <c r="X5" s="173">
        <f t="array" ref="X5">MAX(IF($AG$13:$AG$9357=R1,IF(ISNUMBER($N$13:$N$9357),IF($N$13:$N$9357&gt;0,$N$13:$N$9357))))</f>
        <v>19.399999998277053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COUNT($O$13:$O$136)</f>
        <v>0</v>
      </c>
      <c r="K6" s="44"/>
      <c r="L6" s="44"/>
      <c r="M6" s="45">
        <f>IFERROR(AVERAGE($O$13:$O$136),0)</f>
        <v>0</v>
      </c>
      <c r="N6" s="43">
        <f>MIN($O$13:$O$136)</f>
        <v>0</v>
      </c>
      <c r="O6" s="3">
        <f>MAX($O$13:$O$136)</f>
        <v>0</v>
      </c>
      <c r="P6" s="2"/>
      <c r="R6" s="81" t="s">
        <v>43</v>
      </c>
      <c r="S6" s="55">
        <f>COUNT($O$13:$O$136)</f>
        <v>0</v>
      </c>
      <c r="T6" s="44"/>
      <c r="U6" s="168"/>
      <c r="V6" s="45">
        <f>IFERROR(AVERAGE($O$13:$O$136),0)</f>
        <v>0</v>
      </c>
      <c r="W6" s="43">
        <f>MIN($O$13:$O$136)</f>
        <v>0</v>
      </c>
      <c r="X6" s="173">
        <f>MAX($O$13:$O$136)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COUNTIFS($P$13:$P$9357,"&gt;0",$AG$13:$AG$9357,I1)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COUNTIFS($P$13:$P$9357,"&gt;0",$AG$13:$AG$9357,R1)</f>
        <v>2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39.489479905038955</v>
      </c>
      <c r="N8" s="43">
        <f>N5</f>
        <v>34.049999996786937</v>
      </c>
      <c r="O8" s="3">
        <f>O5</f>
        <v>57.099999999627471</v>
      </c>
      <c r="P8" s="2"/>
      <c r="R8" s="80" t="s">
        <v>16</v>
      </c>
      <c r="S8" s="55">
        <f>S5</f>
        <v>45</v>
      </c>
      <c r="T8" s="44"/>
      <c r="U8" s="168"/>
      <c r="V8" s="45">
        <f>V5</f>
        <v>15.010370369302109</v>
      </c>
      <c r="W8" s="43">
        <f>W5</f>
        <v>12.699999993201345</v>
      </c>
      <c r="X8" s="173">
        <f>X5</f>
        <v>19.399999998277053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0.95744680851063835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- 2016-12-27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AVERAGE(S13:S97)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429</v>
      </c>
      <c r="B13" s="7">
        <v>4022</v>
      </c>
      <c r="C13" s="22" t="s">
        <v>205</v>
      </c>
      <c r="D13" s="22" t="s">
        <v>661</v>
      </c>
      <c r="E13" s="13">
        <v>42731.127523148149</v>
      </c>
      <c r="F13" s="13">
        <v>42731.135729166665</v>
      </c>
      <c r="G13" s="7">
        <v>1</v>
      </c>
      <c r="H13" s="22" t="s">
        <v>324</v>
      </c>
      <c r="I13" s="13">
        <v>42731.169189814813</v>
      </c>
      <c r="J13" s="7">
        <v>1</v>
      </c>
      <c r="K13" s="109" t="str">
        <f>IF(ISEVEN(B13),(B13-1)&amp;"/"&amp;B13,B13&amp;"/"&amp;(B13+1))</f>
        <v>4021/4022</v>
      </c>
      <c r="L13" s="22" t="str">
        <f>VLOOKUP(A13,'Trips&amp;Operators'!$C$1:$G$99999,5,FALSE)</f>
        <v>YOUNG ELIZABETH</v>
      </c>
      <c r="M13" s="6">
        <f>I13-F13</f>
        <v>3.3460648148320615E-2</v>
      </c>
      <c r="N13" s="7">
        <f>24*60*SUM($M13:$M13)</f>
        <v>48.183333333581686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https://search-rtdc-monitor-bjffxe2xuh6vdkpspy63sjmuny.us-east-1.es.amazonaws.com/_plugin/kibana/#/discover/Steve-Slow-Train-Analysis-(2080s-and-2083s)?_g=(refreshInterval:(display:Off,section:0,value:0),time:(from:'2016-12-27 02:03:38-700',mode:absolute,to:'2016-12-27 05:03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" s="52" t="str">
        <f>IF(AA13&lt;IF(AG13="EC",23,5.65),"Y","N")</f>
        <v>N</v>
      </c>
      <c r="X13" s="177" t="e">
        <f>VALUE(LEFT(AD13,4))-VALUE(LEFT(AD12,4))</f>
        <v>#VALUE!</v>
      </c>
      <c r="Y13" s="67">
        <f>RIGHT(D13,LEN(D13)-4)/10000</f>
        <v>7.8299999999999995E-2</v>
      </c>
      <c r="Z13" s="67">
        <f>RIGHT(H13,LEN(H13)-4)/10000</f>
        <v>23.330400000000001</v>
      </c>
      <c r="AA13" s="67">
        <f>ABS(Z13-Y13)</f>
        <v>23.252100000000002</v>
      </c>
      <c r="AB13" s="64" t="str">
        <f>VLOOKUP(A13,Enforcements!$C$7:$K$19,8,0)</f>
        <v>Bulletin (2)</v>
      </c>
      <c r="AC13" s="60" t="str">
        <f>VLOOKUP(A13,Enforcements!$C$7:$E$19,3,0)</f>
        <v>GRADE CROSSING</v>
      </c>
      <c r="AD13" s="61" t="str">
        <f>IF(LEN(A13)=6,"0"&amp;A13,A13)</f>
        <v>0101-27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/stypes="app*4022*20161227*" /stext=" 11:.+((SYSTEM_STATE.+slice.+state.+changed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4022 --swversion DE.1.0.8.0 --startMP 204:783 --initTime 2016-12-27T03:03:38 --startdatetime 2016-12-27T03:15:27 --delay 1 --endMP 204:233304 --enddatetime 2016-12-27T04:03:38 --enforcementcount 1 &gt;&gt;C:\Users\stu\Documents\GitHub\eaglep3-reporting\EC\2016-12-27-refined-times.txt</v>
      </c>
      <c r="AI13" s="11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{"issue":{"subject":"","project_id":79,"tracker_id":40,"status_id":1,"priority_id":2,"assigned_to_id":23,"start_date":"2016-12-27","description":"","custom_fields":[{"id":1,"name":"Subdivision","value":"EC"},{"id":4,"name":"Milepost","value":"23.3304"},{"id":17,"name":"Train ID","value":"101-27"},{"id":16,"name":"Locomotive ID","value":"4022"},{"id":130,"name":"Impact","value":""},{"id":150,"name":"Time of Event (Mountain Time)","value":"04:03:38"},{"id":151,"name":"Denver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465</v>
      </c>
      <c r="B14" s="7">
        <v>4019</v>
      </c>
      <c r="C14" s="22" t="s">
        <v>205</v>
      </c>
      <c r="D14" s="22" t="s">
        <v>662</v>
      </c>
      <c r="E14" s="13">
        <v>42731.172037037039</v>
      </c>
      <c r="F14" s="13">
        <v>42731.174618055556</v>
      </c>
      <c r="G14" s="7">
        <v>1</v>
      </c>
      <c r="H14" s="22" t="s">
        <v>257</v>
      </c>
      <c r="I14" s="13">
        <v>42731.207314814812</v>
      </c>
      <c r="J14" s="7">
        <v>1</v>
      </c>
      <c r="K14" s="109" t="str">
        <f>IF(ISEVEN(B14),(B14-1)&amp;"/"&amp;B14,B14&amp;"/"&amp;(B14+1))</f>
        <v>4019/4020</v>
      </c>
      <c r="L14" s="22" t="str">
        <f>VLOOKUP(A14,'Trips&amp;Operators'!$C$1:$G$99999,5,FALSE)</f>
        <v>YOUNG ELIZABETH</v>
      </c>
      <c r="M14" s="6">
        <f>I14-F14</f>
        <v>3.269675925548654E-2</v>
      </c>
      <c r="N14" s="7">
        <f>24*60*SUM($M14:$M14)</f>
        <v>47.083333327900618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https://search-rtdc-monitor-bjffxe2xuh6vdkpspy63sjmuny.us-east-1.es.amazonaws.com/_plugin/kibana/#/discover/Steve-Slow-Train-Analysis-(2080s-and-2083s)?_g=(refreshInterval:(display:Off,section:0,value:0),time:(from:'2016-12-27 03:07:44-700',mode:absolute,to:'2016-12-27 05:58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" s="52" t="str">
        <f>IF(AA14&lt;IF(AG14="EC",23,5.65),"Y","N")</f>
        <v>N</v>
      </c>
      <c r="X14" s="177">
        <f>VALUE(LEFT(AD14,4))-VALUE(LEFT(AD13,4))</f>
        <v>1</v>
      </c>
      <c r="Y14" s="67">
        <f>RIGHT(D14,LEN(D14)-4)/10000</f>
        <v>23.267499999999998</v>
      </c>
      <c r="Z14" s="67">
        <f>RIGHT(H14,LEN(H14)-4)/10000</f>
        <v>1.47E-2</v>
      </c>
      <c r="AA14" s="67">
        <f>ABS(Z14-Y14)</f>
        <v>23.252799999999997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>IF(LEN(A14)=6,"0"&amp;A14,A14)</f>
        <v>0102-27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s3://rtdc.mdm.uploadarchive.raw/RTDC4019/ "%USERPROFILE%\AppData\Local\Temp\OnboardLogs"\RTDC4019\2016-12-27 --exclude "*" --recursive --include "*20161227*" &amp; "%USERPROFILE%\Documents\GitHub\mrs-test-scripts\Headless Mode &amp; Sideloading\WalkAndUnGZ.bat" "%USERPROFILE%\AppData\Local\Temp\OnboardLogs"\RTDC4019\2016-12-27 &amp; 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/stypes="app*4019*20161227*"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5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4019 --swversion DE.1.0.8.0 --startMP 204:232675 --initTime 2016-12-27T04:07:44 --startdatetime 2016-12-27T04:11:27 --delay 1 --endMP 204:147 --enddatetime 2016-12-27T04:58:32 --enforcementcount 1 &gt;&gt;C:\Users\stu\Documents\GitHub\eaglep3-reporting\EC\2016-12-27-refined-times.txt</v>
      </c>
      <c r="AI14" s="119" t="str">
        <f t="shared" ref="AI14:AI75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{"issue":{"subject":"","project_id":79,"tracker_id":40,"status_id":1,"priority_id":2,"assigned_to_id":23,"start_date":"2016-12-27","description":"","custom_fields":[{"id":1,"name":"Subdivision","value":"EC"},{"id":4,"name":"Milepost","value":"0.0147"},{"id":17,"name":"Train ID","value":"102-27"},{"id":16,"name":"Locomotive ID","value":"4019"},{"id":130,"name":"Impact","value":""},{"id":150,"name":"Time of Event (Mountain Time)","value":"04:58:32"},{"id":151,"name":"Denver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463</v>
      </c>
      <c r="B15" s="7">
        <v>4051</v>
      </c>
      <c r="C15" s="22" t="s">
        <v>205</v>
      </c>
      <c r="D15" s="22" t="s">
        <v>663</v>
      </c>
      <c r="E15" s="13">
        <v>42731.153009259258</v>
      </c>
      <c r="F15" s="13">
        <v>42731.156481481485</v>
      </c>
      <c r="G15" s="7">
        <v>1</v>
      </c>
      <c r="H15" s="22" t="s">
        <v>391</v>
      </c>
      <c r="I15" s="13">
        <v>42731.182534722226</v>
      </c>
      <c r="J15" s="7">
        <v>1</v>
      </c>
      <c r="K15" s="109" t="str">
        <f>IF(ISEVEN(B15),(B15-1)&amp;"/"&amp;B15,B15&amp;"/"&amp;(B15+1))</f>
        <v>4051/4052</v>
      </c>
      <c r="L15" s="22" t="str">
        <f>VLOOKUP(A15,'Trips&amp;Operators'!$C$1:$G$99999,5,FALSE)</f>
        <v>MAELZER KURT</v>
      </c>
      <c r="M15" s="6">
        <f>I15-F15</f>
        <v>2.6053240741021E-2</v>
      </c>
      <c r="N15" s="7">
        <f>24*60*SUM($M15:$M15)</f>
        <v>37.51666666707024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https://search-rtdc-monitor-bjffxe2xuh6vdkpspy63sjmuny.us-east-1.es.amazonaws.com/_plugin/kibana/#/discover/Steve-Slow-Train-Analysis-(2080s-and-2083s)?_g=(refreshInterval:(display:Off,section:0,value:0),time:(from:'2016-12-27 02:40:20-700',mode:absolute,to:'2016-12-27 05:22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5" s="52" t="str">
        <f>IF(AA15&lt;IF(AG15="EC",23,5.65),"Y","N")</f>
        <v>N</v>
      </c>
      <c r="X15" s="177">
        <f>VALUE(LEFT(AD15,4))-VALUE(LEFT(AD14,4))</f>
        <v>1</v>
      </c>
      <c r="Y15" s="67">
        <f>RIGHT(D15,LEN(D15)-4)/10000</f>
        <v>7.4099999999999999E-2</v>
      </c>
      <c r="Z15" s="67">
        <f>RIGHT(H15,LEN(H15)-4)/10000</f>
        <v>23.335100000000001</v>
      </c>
      <c r="AA15" s="67">
        <f>ABS(Z15-Y15)</f>
        <v>23.260999999999999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>IF(LEN(A15)=6,"0"&amp;A15,A15)</f>
        <v>0103-27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/stypes="app*4051*20161227*"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103-27 --locoid 4051 --swversion DE.1.0.8.0 --startMP 204:741 --initTime 2016-12-27T03:40:20 --startdatetime 2016-12-27T03:45:20 --delay 1 --endMP 204:233351 --enddatetime 2016-12-27T04:22:51 --enforcementcount 1 &gt;&gt;C:\Users\stu\Documents\GitHub\eaglep3-reporting\EC\2016-12-27-refined-times.txt</v>
      </c>
      <c r="AI15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{"issue":{"subject":"","project_id":79,"tracker_id":40,"status_id":1,"priority_id":2,"assigned_to_id":23,"start_date":"2016-12-27","description":"","custom_fields":[{"id":1,"name":"Subdivision","value":"EC"},{"id":4,"name":"Milepost","value":"23.3351"},{"id":17,"name":"Train ID","value":"103-27"},{"id":16,"name":"Locomotive ID","value":"4051"},{"id":130,"name":"Impact","value":""},{"id":150,"name":"Time of Event (Mountain Time)","value":"04:22:51"},{"id":151,"name":"Denver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469</v>
      </c>
      <c r="B16" s="7">
        <v>4008</v>
      </c>
      <c r="C16" s="22" t="s">
        <v>205</v>
      </c>
      <c r="D16" s="22" t="s">
        <v>664</v>
      </c>
      <c r="E16" s="13">
        <v>42731.187951388885</v>
      </c>
      <c r="F16" s="13">
        <v>42731.195474537039</v>
      </c>
      <c r="G16" s="7">
        <v>1</v>
      </c>
      <c r="H16" s="22" t="s">
        <v>192</v>
      </c>
      <c r="I16" s="13">
        <v>42731.224745370368</v>
      </c>
      <c r="J16" s="7">
        <v>1</v>
      </c>
      <c r="K16" s="109" t="str">
        <f>IF(ISEVEN(B16),(B16-1)&amp;"/"&amp;B16,B16&amp;"/"&amp;(B16+1))</f>
        <v>4007/4008</v>
      </c>
      <c r="L16" s="22" t="str">
        <f>VLOOKUP(A16,'Trips&amp;Operators'!$C$1:$G$99999,5,FALSE)</f>
        <v>MAELZER KURT</v>
      </c>
      <c r="M16" s="6">
        <f>I16-F16</f>
        <v>2.9270833329064772E-2</v>
      </c>
      <c r="N16" s="7">
        <f>24*60*SUM($M16:$M16)</f>
        <v>42.149999993853271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https://search-rtdc-monitor-bjffxe2xuh6vdkpspy63sjmuny.us-east-1.es.amazonaws.com/_plugin/kibana/#/discover/Steve-Slow-Train-Analysis-(2080s-and-2083s)?_g=(refreshInterval:(display:Off,section:0,value:0),time:(from:'2016-12-27 03:30:39-700',mode:absolute,to:'2016-12-27 06:23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" s="52" t="str">
        <f>IF(AA16&lt;IF(AG16="EC",23,5.65),"Y","N")</f>
        <v>N</v>
      </c>
      <c r="X16" s="177">
        <f>VALUE(LEFT(AD16,4))-VALUE(LEFT(AD15,4))</f>
        <v>1</v>
      </c>
      <c r="Y16" s="67">
        <f>RIGHT(D16,LEN(D16)-4)/10000</f>
        <v>23.2713</v>
      </c>
      <c r="Z16" s="67">
        <f>RIGHT(H16,LEN(H16)-4)/10000</f>
        <v>1.43E-2</v>
      </c>
      <c r="AA16" s="67">
        <f>ABS(Z16-Y16)</f>
        <v>23.257000000000001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>IF(LEN(A16)=6,"0"&amp;A16,A16)</f>
        <v>0104-27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/stypes="app*4008*20161227*"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104-27 --locoid 4008 --swversion DE.1.0.8.0 --startMP 204:232713 --initTime 2016-12-27T04:30:39 --startdatetime 2016-12-27T04:41:29 --delay 1 --endMP 204:143 --enddatetime 2016-12-27T05:23:38 --enforcementcount 1 &gt;&gt;C:\Users\stu\Documents\GitHub\eaglep3-reporting\EC\2016-12-27-refined-times.txt</v>
      </c>
      <c r="AI16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{"issue":{"subject":"","project_id":79,"tracker_id":40,"status_id":1,"priority_id":2,"assigned_to_id":23,"start_date":"2016-12-27","description":"","custom_fields":[{"id":1,"name":"Subdivision","value":"EC"},{"id":4,"name":"Milepost","value":"0.0143"},{"id":17,"name":"Train ID","value":"104-27"},{"id":16,"name":"Locomotive ID","value":"4008"},{"id":130,"name":"Impact","value":""},{"id":150,"name":"Time of Event (Mountain Time)","value":"05:23:38"},{"id":151,"name":"Denver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466</v>
      </c>
      <c r="B17" s="7">
        <v>4042</v>
      </c>
      <c r="C17" s="22" t="s">
        <v>205</v>
      </c>
      <c r="D17" s="22" t="s">
        <v>665</v>
      </c>
      <c r="E17" s="13">
        <v>42731.173506944448</v>
      </c>
      <c r="F17" s="13">
        <v>42731.178240740737</v>
      </c>
      <c r="G17" s="7">
        <v>5</v>
      </c>
      <c r="H17" s="22" t="s">
        <v>275</v>
      </c>
      <c r="I17" s="13">
        <v>42731.206435185188</v>
      </c>
      <c r="J17" s="7">
        <v>1</v>
      </c>
      <c r="K17" s="109" t="str">
        <f>IF(ISEVEN(B17),(B17-1)&amp;"/"&amp;B17,B17&amp;"/"&amp;(B17+1))</f>
        <v>4041/4042</v>
      </c>
      <c r="L17" s="22" t="str">
        <f>VLOOKUP(A17,'Trips&amp;Operators'!$C$1:$G$99999,5,FALSE)</f>
        <v>STARKS ANGELINA</v>
      </c>
      <c r="M17" s="6">
        <f>I17-F17</f>
        <v>2.8194444450491574E-2</v>
      </c>
      <c r="N17" s="7">
        <f>24*60*SUM($M17:$M17)</f>
        <v>40.600000008707866</v>
      </c>
      <c r="O17" s="7"/>
      <c r="P17" s="7"/>
      <c r="Q17" s="23"/>
      <c r="R17" s="23"/>
      <c r="S17" s="35">
        <f>SUM(U17:U17)/IF(AG17="EC",12,1)</f>
        <v>1</v>
      </c>
      <c r="T17" s="50" t="str">
        <f>IF(ISEVEN(LEFT(AD17,4)),"Southbound","NorthBound")</f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https://search-rtdc-monitor-bjffxe2xuh6vdkpspy63sjmuny.us-east-1.es.amazonaws.com/_plugin/kibana/#/discover/Steve-Slow-Train-Analysis-(2080s-and-2083s)?_g=(refreshInterval:(display:Off,section:0,value:0),time:(from:'2016-12-27 03:09:51-700',mode:absolute,to:'2016-12-27 05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>IF(AA17&lt;IF(AG17="EC",23,5.65),"Y","N")</f>
        <v>N</v>
      </c>
      <c r="X17" s="177">
        <f>VALUE(LEFT(AD17,4))-VALUE(LEFT(AD16,4))</f>
        <v>1</v>
      </c>
      <c r="Y17" s="67">
        <f>RIGHT(D17,LEN(D17)-4)/10000</f>
        <v>7.7399999999999997E-2</v>
      </c>
      <c r="Z17" s="67">
        <f>RIGHT(H17,LEN(H17)-4)/10000</f>
        <v>23.329799999999999</v>
      </c>
      <c r="AA17" s="67">
        <f>ABS(Z17-Y17)</f>
        <v>23.252399999999998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>IF(LEN(A17)=6,"0"&amp;A17,A17)</f>
        <v>0105-27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/stypes="app*4042*20161227*"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105-27 --locoid 4042 --swversion DE.1.0.8.0 --startMP 204:774 --initTime 2016-12-27T04:09:51 --startdatetime 2016-12-27T04:16:40 --delay 5 --endMP 204:233298 --enddatetime 2016-12-27T04:57:16 --enforcementcount 1 &gt;&gt;C:\Users\stu\Documents\GitHub\eaglep3-reporting\EC\2016-12-27-refined-times.txt</v>
      </c>
      <c r="AI17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{"issue":{"subject":"","project_id":79,"tracker_id":40,"status_id":1,"priority_id":2,"assigned_to_id":23,"start_date":"2016-12-27","description":"","custom_fields":[{"id":1,"name":"Subdivision","value":"EC"},{"id":4,"name":"Milepost","value":"23.3298"},{"id":17,"name":"Train ID","value":"105-27"},{"id":16,"name":"Locomotive ID","value":"4042"},{"id":130,"name":"Impact","value":""},{"id":150,"name":"Time of Event (Mountain Time)","value":"04:57:16"},{"id":151,"name":"Denver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474</v>
      </c>
      <c r="B18" s="7">
        <v>4015</v>
      </c>
      <c r="C18" s="22" t="s">
        <v>205</v>
      </c>
      <c r="D18" s="22" t="s">
        <v>666</v>
      </c>
      <c r="E18" s="13">
        <v>42731.213935185187</v>
      </c>
      <c r="F18" s="13">
        <v>42731.216226851851</v>
      </c>
      <c r="G18" s="7">
        <v>1</v>
      </c>
      <c r="H18" s="22" t="s">
        <v>311</v>
      </c>
      <c r="I18" s="13">
        <v>42731.246863425928</v>
      </c>
      <c r="J18" s="7">
        <v>1</v>
      </c>
      <c r="K18" s="109" t="str">
        <f>IF(ISEVEN(B18),(B18-1)&amp;"/"&amp;B18,B18&amp;"/"&amp;(B18+1))</f>
        <v>4015/4016</v>
      </c>
      <c r="L18" s="22" t="str">
        <f>VLOOKUP(A18,'Trips&amp;Operators'!$C$1:$G$99999,5,FALSE)</f>
        <v>STARKS ANGELINA</v>
      </c>
      <c r="M18" s="6">
        <f>I18-F18</f>
        <v>3.0636574076197576E-2</v>
      </c>
      <c r="N18" s="7">
        <f>24*60*SUM($M18:$M18)</f>
        <v>44.116666669724509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https://search-rtdc-monitor-bjffxe2xuh6vdkpspy63sjmuny.us-east-1.es.amazonaws.com/_plugin/kibana/#/discover/Steve-Slow-Train-Analysis-(2080s-and-2083s)?_g=(refreshInterval:(display:Off,section:0,value:0),time:(from:'2016-12-27 04:08:04-700',mode:absolute,to:'2016-12-27 06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>IF(AA18&lt;IF(AG18="EC",23,5.65),"Y","N")</f>
        <v>N</v>
      </c>
      <c r="X18" s="177">
        <f>VALUE(LEFT(AD18,4))-VALUE(LEFT(AD17,4))</f>
        <v>1</v>
      </c>
      <c r="Y18" s="67">
        <f>RIGHT(D18,LEN(D18)-4)/10000</f>
        <v>23.266200000000001</v>
      </c>
      <c r="Z18" s="67">
        <f>RIGHT(H18,LEN(H18)-4)/10000</f>
        <v>1.52E-2</v>
      </c>
      <c r="AA18" s="67">
        <f>ABS(Z18-Y18)</f>
        <v>23.251000000000001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>IF(LEN(A18)=6,"0"&amp;A18,A18)</f>
        <v>0106-27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 &amp; aws s3 cp s3://rtdc.mdm.uploadarchive.raw/RTDC4015/ "%USERPROFILE%\AppData\Local\Temp\OnboardLogs"\RTDC4015\2016-12-28 --exclude "*" --recursive --include "*20161228*" &amp; "%USERPROFILE%\Documents\GitHub\mrs-test-scripts\Headless Mode &amp; Sideloading\WalkAndUnGZ.bat" "%USERPROFILE%\AppData\Local\Temp\OnboardLogs"\RTDC4015\2016-12-28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/stypes="app*4015*20161227*"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106-27 --locoid 4015 --swversion DE.1.0.8.0 --startMP 204:232662 --initTime 2016-12-27T05:08:04 --startdatetime 2016-12-27T05:11:22 --delay 1 --endMP 204:152 --enddatetime 2016-12-27T05:55:29 --enforcementcount 1 &gt;&gt;C:\Users\stu\Documents\GitHub\eaglep3-reporting\EC\2016-12-27-refined-times.txt</v>
      </c>
      <c r="AI18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{"issue":{"subject":"","project_id":79,"tracker_id":40,"status_id":1,"priority_id":2,"assigned_to_id":23,"start_date":"2016-12-27","description":"","custom_fields":[{"id":1,"name":"Subdivision","value":"EC"},{"id":4,"name":"Milepost","value":"0.0152"},{"id":17,"name":"Train ID","value":"106-27"},{"id":16,"name":"Locomotive ID","value":"4015"},{"id":130,"name":"Impact","value":""},{"id":150,"name":"Time of Event (Mountain Time)","value":"05:55:29"},{"id":151,"name":"Denver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468</v>
      </c>
      <c r="B19" s="7">
        <v>4002</v>
      </c>
      <c r="C19" s="22" t="s">
        <v>205</v>
      </c>
      <c r="D19" s="22" t="s">
        <v>321</v>
      </c>
      <c r="E19" s="13">
        <v>42731.187164351853</v>
      </c>
      <c r="F19" s="13">
        <v>42731.188414351855</v>
      </c>
      <c r="G19" s="7">
        <v>1</v>
      </c>
      <c r="H19" s="22" t="s">
        <v>327</v>
      </c>
      <c r="I19" s="13">
        <v>42731.213148148148</v>
      </c>
      <c r="J19" s="7">
        <v>1</v>
      </c>
      <c r="K19" s="109" t="str">
        <f>IF(ISEVEN(B19),(B19-1)&amp;"/"&amp;B19,B19&amp;"/"&amp;(B19+1))</f>
        <v>4001/4002</v>
      </c>
      <c r="L19" s="22" t="str">
        <f>VLOOKUP(A19,'Trips&amp;Operators'!$C$1:$G$99999,5,FALSE)</f>
        <v>DUNCAN SHEILA</v>
      </c>
      <c r="M19" s="6">
        <f>I19-F19</f>
        <v>2.4733796293730848E-2</v>
      </c>
      <c r="N19" s="7">
        <f>24*60*SUM($M19:$M19)</f>
        <v>35.61666666297242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https://search-rtdc-monitor-bjffxe2xuh6vdkpspy63sjmuny.us-east-1.es.amazonaws.com/_plugin/kibana/#/discover/Steve-Slow-Train-Analysis-(2080s-and-2083s)?_g=(refreshInterval:(display:Off,section:0,value:0),time:(from:'2016-12-27 03:29:31-700',mode:absolute,to:'2016-12-27 06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" s="52" t="str">
        <f>IF(AA19&lt;IF(AG19="EC",23,5.65),"Y","N")</f>
        <v>N</v>
      </c>
      <c r="X19" s="177">
        <f>VALUE(LEFT(AD19,4))-VALUE(LEFT(AD18,4))</f>
        <v>1</v>
      </c>
      <c r="Y19" s="67">
        <f>RIGHT(D19,LEN(D19)-4)/10000</f>
        <v>4.7500000000000001E-2</v>
      </c>
      <c r="Z19" s="67">
        <f>RIGHT(H19,LEN(H19)-4)/10000</f>
        <v>23.3307</v>
      </c>
      <c r="AA19" s="67">
        <f>ABS(Z19-Y19)</f>
        <v>23.283200000000001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>IF(LEN(A19)=6,"0"&amp;A19,A19)</f>
        <v>0107-27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/stypes="app*4002*20161227*"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107-27 --locoid 4002 --swversion DE.1.0.8.0 --startMP 204:475 --initTime 2016-12-27T04:29:31 --startdatetime 2016-12-27T04:31:19 --delay 1 --endMP 204:233307 --enddatetime 2016-12-27T05:06:56 --enforcementcount 1 &gt;&gt;C:\Users\stu\Documents\GitHub\eaglep3-reporting\EC\2016-12-27-refined-times.txt</v>
      </c>
      <c r="AI19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{"issue":{"subject":"","project_id":79,"tracker_id":40,"status_id":1,"priority_id":2,"assigned_to_id":23,"start_date":"2016-12-27","description":"","custom_fields":[{"id":1,"name":"Subdivision","value":"EC"},{"id":4,"name":"Milepost","value":"23.3307"},{"id":17,"name":"Train ID","value":"107-27"},{"id":16,"name":"Locomotive ID","value":"4002"},{"id":130,"name":"Impact","value":""},{"id":150,"name":"Time of Event (Mountain Time)","value":"05:06:56"},{"id":151,"name":"Denver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476</v>
      </c>
      <c r="B20" s="7">
        <v>4001</v>
      </c>
      <c r="C20" s="22" t="s">
        <v>205</v>
      </c>
      <c r="D20" s="22" t="s">
        <v>314</v>
      </c>
      <c r="E20" s="13">
        <v>42731.217418981483</v>
      </c>
      <c r="F20" s="13">
        <v>42731.226585648146</v>
      </c>
      <c r="G20" s="7">
        <v>1</v>
      </c>
      <c r="H20" s="22" t="s">
        <v>192</v>
      </c>
      <c r="I20" s="13">
        <v>42731.256585648145</v>
      </c>
      <c r="J20" s="7">
        <v>1</v>
      </c>
      <c r="K20" s="109" t="str">
        <f>IF(ISEVEN(B20),(B20-1)&amp;"/"&amp;B20,B20&amp;"/"&amp;(B20+1))</f>
        <v>4001/4002</v>
      </c>
      <c r="L20" s="22" t="str">
        <f>VLOOKUP(A20,'Trips&amp;Operators'!$C$1:$G$99999,5,FALSE)</f>
        <v>DUNCAN SHEILA</v>
      </c>
      <c r="M20" s="6">
        <f>I20-F20</f>
        <v>2.9999999998835847E-2</v>
      </c>
      <c r="N20" s="7">
        <f>24*60*SUM($M20:$M20)</f>
        <v>43.199999998323619</v>
      </c>
      <c r="O20" s="7"/>
      <c r="P20" s="7"/>
      <c r="Q20" s="23"/>
      <c r="R20" s="23"/>
      <c r="S20" s="35">
        <f>SUM(U20:U20)/IF(AG20="EC",12,1)</f>
        <v>1</v>
      </c>
      <c r="T20" s="50" t="str">
        <f>IF(ISEVEN(LEFT(AD20,4)),"Southbound","NorthBound")</f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https://search-rtdc-monitor-bjffxe2xuh6vdkpspy63sjmuny.us-east-1.es.amazonaws.com/_plugin/kibana/#/discover/Steve-Slow-Train-Analysis-(2080s-and-2083s)?_g=(refreshInterval:(display:Off,section:0,value:0),time:(from:'2016-12-27 04:13:05-700',mode:absolute,to:'2016-12-27 07:09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" s="52" t="str">
        <f>IF(AA20&lt;IF(AG20="EC",23,5.65),"Y","N")</f>
        <v>N</v>
      </c>
      <c r="X20" s="177">
        <f>VALUE(LEFT(AD20,4))-VALUE(LEFT(AD19,4))</f>
        <v>1</v>
      </c>
      <c r="Y20" s="67">
        <f>RIGHT(D20,LEN(D20)-4)/10000</f>
        <v>23.298200000000001</v>
      </c>
      <c r="Z20" s="67">
        <f>RIGHT(H20,LEN(H20)-4)/10000</f>
        <v>1.43E-2</v>
      </c>
      <c r="AA20" s="67">
        <f>ABS(Z20-Y20)</f>
        <v>23.283900000000003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>IF(LEN(A20)=6,"0"&amp;A20,A20)</f>
        <v>0108-27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/stypes="app*4001*20161227*"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108-27 --locoid 4001 --swversion DE.1.0.8.0 --startMP 204:232982 --initTime 2016-12-27T05:13:05 --startdatetime 2016-12-27T05:26:17 --delay 1 --endMP 204:143 --enddatetime 2016-12-27T06:09:29 --enforcementcount 1 &gt;&gt;C:\Users\stu\Documents\GitHub\eaglep3-reporting\EC\2016-12-27-refined-times.txt</v>
      </c>
      <c r="AI20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{"issue":{"subject":"","project_id":79,"tracker_id":40,"status_id":1,"priority_id":2,"assigned_to_id":23,"start_date":"2016-12-27","description":"","custom_fields":[{"id":1,"name":"Subdivision","value":"EC"},{"id":4,"name":"Milepost","value":"0.0143"},{"id":17,"name":"Train ID","value":"108-27"},{"id":16,"name":"Locomotive ID","value":"4001"},{"id":130,"name":"Impact","value":""},{"id":150,"name":"Time of Event (Mountain Time)","value":"06:09:29"},{"id":151,"name":"Denver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470</v>
      </c>
      <c r="B21" s="7">
        <v>4027</v>
      </c>
      <c r="C21" s="22" t="s">
        <v>205</v>
      </c>
      <c r="D21" s="22" t="s">
        <v>390</v>
      </c>
      <c r="E21" s="13">
        <v>42731.195</v>
      </c>
      <c r="F21" s="13">
        <v>42731.19809027778</v>
      </c>
      <c r="G21" s="7">
        <v>1</v>
      </c>
      <c r="H21" s="22" t="s">
        <v>667</v>
      </c>
      <c r="I21" s="13">
        <v>42731.223564814813</v>
      </c>
      <c r="J21" s="7">
        <v>1</v>
      </c>
      <c r="K21" s="109" t="str">
        <f>IF(ISEVEN(B21),(B21-1)&amp;"/"&amp;B21,B21&amp;"/"&amp;(B21+1))</f>
        <v>4027/4028</v>
      </c>
      <c r="L21" s="22" t="str">
        <f>VLOOKUP(A21,'Trips&amp;Operators'!$C$1:$G$99999,5,FALSE)</f>
        <v>DAVIS WENDY</v>
      </c>
      <c r="M21" s="6">
        <f>I21-F21</f>
        <v>2.5474537033005618E-2</v>
      </c>
      <c r="N21" s="7">
        <f>24*60*SUM($M21:$M21)</f>
        <v>36.683333327528089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https://search-rtdc-monitor-bjffxe2xuh6vdkpspy63sjmuny.us-east-1.es.amazonaws.com/_plugin/kibana/#/discover/Steve-Slow-Train-Analysis-(2080s-and-2083s)?_g=(refreshInterval:(display:Off,section:0,value:0),time:(from:'2016-12-27 03:40:48-700',mode:absolute,to:'2016-12-27 06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" s="52" t="str">
        <f>IF(AA21&lt;IF(AG21="EC",23,5.65),"Y","N")</f>
        <v>N</v>
      </c>
      <c r="X21" s="177">
        <f>VALUE(LEFT(AD21,4))-VALUE(LEFT(AD20,4))</f>
        <v>1</v>
      </c>
      <c r="Y21" s="67">
        <f>RIGHT(D21,LEN(D21)-4)/10000</f>
        <v>4.8800000000000003E-2</v>
      </c>
      <c r="Z21" s="67">
        <f>RIGHT(H21,LEN(H21)-4)/10000</f>
        <v>23.331</v>
      </c>
      <c r="AA21" s="67">
        <f>ABS(Z21-Y21)</f>
        <v>23.2822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>IF(LEN(A21)=6,"0"&amp;A21,A21)</f>
        <v>0109-27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/stypes="app*4027*20161227*"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109-27 --locoid 4027 --swversion DE.1.0.8.0 --startMP 204:488 --initTime 2016-12-27T04:40:48 --startdatetime 2016-12-27T04:45:15 --delay 1 --endMP 204:233310 --enddatetime 2016-12-27T05:21:56 --enforcementcount 1 &gt;&gt;C:\Users\stu\Documents\GitHub\eaglep3-reporting\EC\2016-12-27-refined-times.txt</v>
      </c>
      <c r="AI21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{"issue":{"subject":"","project_id":79,"tracker_id":40,"status_id":1,"priority_id":2,"assigned_to_id":23,"start_date":"2016-12-27","description":"","custom_fields":[{"id":1,"name":"Subdivision","value":"EC"},{"id":4,"name":"Milepost","value":"23.331"},{"id":17,"name":"Train ID","value":"109-27"},{"id":16,"name":"Locomotive ID","value":"4027"},{"id":130,"name":"Impact","value":""},{"id":150,"name":"Time of Event (Mountain Time)","value":"05:21:56"},{"id":151,"name":"Denver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480</v>
      </c>
      <c r="B22" s="7">
        <v>4028</v>
      </c>
      <c r="C22" s="22" t="s">
        <v>205</v>
      </c>
      <c r="D22" s="22" t="s">
        <v>323</v>
      </c>
      <c r="E22" s="13">
        <v>42731.23296296296</v>
      </c>
      <c r="F22" s="13">
        <v>42731.237071759257</v>
      </c>
      <c r="G22" s="7">
        <v>1</v>
      </c>
      <c r="H22" s="22" t="s">
        <v>269</v>
      </c>
      <c r="I22" s="13">
        <v>42731.266041666669</v>
      </c>
      <c r="J22" s="7">
        <v>1</v>
      </c>
      <c r="K22" s="109" t="str">
        <f>IF(ISEVEN(B22),(B22-1)&amp;"/"&amp;B22,B22&amp;"/"&amp;(B22+1))</f>
        <v>4027/4028</v>
      </c>
      <c r="L22" s="22" t="str">
        <f>VLOOKUP(A22,'Trips&amp;Operators'!$C$1:$G$99999,5,FALSE)</f>
        <v>DAVIS WENDY</v>
      </c>
      <c r="M22" s="6">
        <f>I22-F22</f>
        <v>2.8969907412829343E-2</v>
      </c>
      <c r="N22" s="7">
        <f>24*60*SUM($M22:$M22)</f>
        <v>41.716666674474254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https://search-rtdc-monitor-bjffxe2xuh6vdkpspy63sjmuny.us-east-1.es.amazonaws.com/_plugin/kibana/#/discover/Steve-Slow-Train-Analysis-(2080s-and-2083s)?_g=(refreshInterval:(display:Off,section:0,value:0),time:(from:'2016-12-27 04:35:28-700',mode:absolute,to:'2016-12-27 07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" s="52" t="str">
        <f>IF(AA22&lt;IF(AG22="EC",23,5.65),"Y","N")</f>
        <v>N</v>
      </c>
      <c r="X22" s="177">
        <f>VALUE(LEFT(AD22,4))-VALUE(LEFT(AD21,4))</f>
        <v>1</v>
      </c>
      <c r="Y22" s="67">
        <f>RIGHT(D22,LEN(D22)-4)/10000</f>
        <v>23.299800000000001</v>
      </c>
      <c r="Z22" s="67">
        <f>RIGHT(H22,LEN(H22)-4)/10000</f>
        <v>1.38E-2</v>
      </c>
      <c r="AA22" s="67">
        <f>ABS(Z22-Y22)</f>
        <v>23.286000000000001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>IF(LEN(A22)=6,"0"&amp;A22,A22)</f>
        <v>0110-27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/stypes="app*4028*20161227*"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110-27 --locoid 4028 --swversion DE.1.0.8.0 --startMP 204:232998 --initTime 2016-12-27T05:35:28 --startdatetime 2016-12-27T05:41:23 --delay 1 --endMP 204:138 --enddatetime 2016-12-27T06:23:06 --enforcementcount 1 &gt;&gt;C:\Users\stu\Documents\GitHub\eaglep3-reporting\EC\2016-12-27-refined-times.txt</v>
      </c>
      <c r="AI22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{"issue":{"subject":"","project_id":79,"tracker_id":40,"status_id":1,"priority_id":2,"assigned_to_id":23,"start_date":"2016-12-27","description":"","custom_fields":[{"id":1,"name":"Subdivision","value":"EC"},{"id":4,"name":"Milepost","value":"0.0138"},{"id":17,"name":"Train ID","value":"110-27"},{"id":16,"name":"Locomotive ID","value":"4028"},{"id":130,"name":"Impact","value":""},{"id":150,"name":"Time of Event (Mountain Time)","value":"06:23:06"},{"id":151,"name":"Denver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472</v>
      </c>
      <c r="B23" s="7">
        <v>4011</v>
      </c>
      <c r="C23" s="22" t="s">
        <v>205</v>
      </c>
      <c r="D23" s="22" t="s">
        <v>668</v>
      </c>
      <c r="E23" s="13">
        <v>42731.209039351852</v>
      </c>
      <c r="F23" s="13">
        <v>42731.211400462962</v>
      </c>
      <c r="G23" s="7">
        <v>1</v>
      </c>
      <c r="H23" s="22" t="s">
        <v>279</v>
      </c>
      <c r="I23" s="13">
        <v>42731.24019675926</v>
      </c>
      <c r="J23" s="7">
        <v>1</v>
      </c>
      <c r="K23" s="109" t="str">
        <f>IF(ISEVEN(B23),(B23-1)&amp;"/"&amp;B23,B23&amp;"/"&amp;(B23+1))</f>
        <v>4011/4012</v>
      </c>
      <c r="L23" s="22" t="str">
        <f>VLOOKUP(A23,'Trips&amp;Operators'!$C$1:$G$99999,5,FALSE)</f>
        <v>MAGEE KENYA</v>
      </c>
      <c r="M23" s="6">
        <f>I23-F23</f>
        <v>2.8796296297514345E-2</v>
      </c>
      <c r="N23" s="7">
        <f>24*60*SUM($M23:$M23)</f>
        <v>41.466666668420658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https://search-rtdc-monitor-bjffxe2xuh6vdkpspy63sjmuny.us-east-1.es.amazonaws.com/_plugin/kibana/#/discover/Steve-Slow-Train-Analysis-(2080s-and-2083s)?_g=(refreshInterval:(display:Off,section:0,value:0),time:(from:'2016-12-27 04:01:01-700',mode:absolute,to:'2016-12-27 06:45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" s="52" t="str">
        <f>IF(AA23&lt;IF(AG23="EC",23,5.65),"Y","N")</f>
        <v>N</v>
      </c>
      <c r="X23" s="177">
        <f>VALUE(LEFT(AD23,4))-VALUE(LEFT(AD22,4))</f>
        <v>1</v>
      </c>
      <c r="Y23" s="67">
        <f>RIGHT(D23,LEN(D23)-4)/10000</f>
        <v>0.1167</v>
      </c>
      <c r="Z23" s="67">
        <f>RIGHT(H23,LEN(H23)-4)/10000</f>
        <v>23.329499999999999</v>
      </c>
      <c r="AA23" s="67">
        <f>ABS(Z23-Y23)</f>
        <v>23.212799999999998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>IF(LEN(A23)=6,"0"&amp;A23,A23)</f>
        <v>0111-27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s3://rtdc.mdm.uploadarchive.raw/RTDC4011/ "%USERPROFILE%\AppData\Local\Temp\OnboardLogs"\RTDC4011\2016-12-27 --exclude "*" --recursive --include "*20161227*" &amp; "%USERPROFILE%\Documents\GitHub\mrs-test-scripts\Headless Mode &amp; Sideloading\WalkAndUnGZ.bat" "%USERPROFILE%\AppData\Local\Temp\OnboardLogs"\RTDC4011\2016-12-27 &amp; 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/stypes="app*4011*20161227*"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111-27 --locoid 4011 --swversion DE.1.0.8.0 --startMP 204:1167 --initTime 2016-12-27T05:01:01 --startdatetime 2016-12-27T05:04:25 --delay 1 --endMP 204:233295 --enddatetime 2016-12-27T05:45:53 --enforcementcount 1 &gt;&gt;C:\Users\stu\Documents\GitHub\eaglep3-reporting\EC\2016-12-27-refined-times.txt</v>
      </c>
      <c r="AI23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{"issue":{"subject":"","project_id":79,"tracker_id":40,"status_id":1,"priority_id":2,"assigned_to_id":23,"start_date":"2016-12-27","description":"","custom_fields":[{"id":1,"name":"Subdivision","value":"EC"},{"id":4,"name":"Milepost","value":"23.3295"},{"id":17,"name":"Train ID","value":"111-27"},{"id":16,"name":"Locomotive ID","value":"4011"},{"id":130,"name":"Impact","value":""},{"id":150,"name":"Time of Event (Mountain Time)","value":"05:45:53"},{"id":151,"name":"Denver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481</v>
      </c>
      <c r="B24" s="7">
        <v>4012</v>
      </c>
      <c r="C24" s="22" t="s">
        <v>205</v>
      </c>
      <c r="D24" s="22" t="s">
        <v>261</v>
      </c>
      <c r="E24" s="13">
        <v>42731.242939814816</v>
      </c>
      <c r="F24" s="13">
        <v>42731.247453703705</v>
      </c>
      <c r="G24" s="7">
        <v>2</v>
      </c>
      <c r="H24" s="22" t="s">
        <v>243</v>
      </c>
      <c r="I24" s="13">
        <v>42731.27753472222</v>
      </c>
      <c r="J24" s="7">
        <v>1</v>
      </c>
      <c r="K24" s="109" t="str">
        <f>IF(ISEVEN(B24),(B24-1)&amp;"/"&amp;B24,B24&amp;"/"&amp;(B24+1))</f>
        <v>4011/4012</v>
      </c>
      <c r="L24" s="22" t="str">
        <f>VLOOKUP(A24,'Trips&amp;Operators'!$C$1:$G$99999,5,FALSE)</f>
        <v>MAGEE KENYA</v>
      </c>
      <c r="M24" s="6">
        <f>I24-F24</f>
        <v>3.0081018514465541E-2</v>
      </c>
      <c r="N24" s="7">
        <f>24*60*SUM($M24:$M24)</f>
        <v>43.316666660830379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https://search-rtdc-monitor-bjffxe2xuh6vdkpspy63sjmuny.us-east-1.es.amazonaws.com/_plugin/kibana/#/discover/Steve-Slow-Train-Analysis-(2080s-and-2083s)?_g=(refreshInterval:(display:Off,section:0,value:0),time:(from:'2016-12-27 04:49:50-700',mode:absolute,to:'2016-12-27 07:39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4" s="52" t="str">
        <f>IF(AA24&lt;IF(AG24="EC",23,5.65),"Y","N")</f>
        <v>N</v>
      </c>
      <c r="X24" s="177">
        <f>VALUE(LEFT(AD24,4))-VALUE(LEFT(AD23,4))</f>
        <v>1</v>
      </c>
      <c r="Y24" s="67">
        <f>RIGHT(D24,LEN(D24)-4)/10000</f>
        <v>23.297699999999999</v>
      </c>
      <c r="Z24" s="67">
        <f>RIGHT(H24,LEN(H24)-4)/10000</f>
        <v>1.6299999999999999E-2</v>
      </c>
      <c r="AA24" s="67">
        <f>ABS(Z24-Y24)</f>
        <v>23.281399999999998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>IF(LEN(A24)=6,"0"&amp;A24,A24)</f>
        <v>0112-27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 &amp; 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/stypes="app*4012*20161227*"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112-27 --locoid 4012 --swversion DE.1.0.8.0 --startMP 204:232977 --initTime 2016-12-27T05:49:50 --startdatetime 2016-12-27T05:56:20 --delay 2 --endMP 204:163 --enddatetime 2016-12-27T06:39:39 --enforcementcount 1 &gt;&gt;C:\Users\stu\Documents\GitHub\eaglep3-reporting\EC\2016-12-27-refined-times.txt</v>
      </c>
      <c r="AI24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{"issue":{"subject":"","project_id":79,"tracker_id":40,"status_id":1,"priority_id":2,"assigned_to_id":23,"start_date":"2016-12-27","description":"","custom_fields":[{"id":1,"name":"Subdivision","value":"EC"},{"id":4,"name":"Milepost","value":"0.0163"},{"id":17,"name":"Train ID","value":"112-27"},{"id":16,"name":"Locomotive ID","value":"4012"},{"id":130,"name":"Impact","value":""},{"id":150,"name":"Time of Event (Mountain Time)","value":"06:39:39"},{"id":151,"name":"Denver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475</v>
      </c>
      <c r="B25" s="7">
        <v>4022</v>
      </c>
      <c r="C25" s="22" t="s">
        <v>205</v>
      </c>
      <c r="D25" s="22" t="s">
        <v>669</v>
      </c>
      <c r="E25" s="13">
        <v>42731.215729166666</v>
      </c>
      <c r="F25" s="13">
        <v>42731.219409722224</v>
      </c>
      <c r="G25" s="7">
        <v>3</v>
      </c>
      <c r="H25" s="22" t="s">
        <v>348</v>
      </c>
      <c r="I25" s="13">
        <v>42731.24726851852</v>
      </c>
      <c r="J25" s="7">
        <v>1</v>
      </c>
      <c r="K25" s="109" t="str">
        <f>IF(ISEVEN(B25),(B25-1)&amp;"/"&amp;B25,B25&amp;"/"&amp;(B25+1))</f>
        <v>4021/4022</v>
      </c>
      <c r="L25" s="22" t="str">
        <f>VLOOKUP(A25,'Trips&amp;Operators'!$C$1:$G$99999,5,FALSE)</f>
        <v>YOUNG ELIZABETH</v>
      </c>
      <c r="M25" s="6">
        <f>I25-F25</f>
        <v>2.7858796296641231E-2</v>
      </c>
      <c r="N25" s="7">
        <f>24*60*SUM($M25:$M25)</f>
        <v>40.116666667163372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https://search-rtdc-monitor-bjffxe2xuh6vdkpspy63sjmuny.us-east-1.es.amazonaws.com/_plugin/kibana/#/discover/Steve-Slow-Train-Analysis-(2080s-and-2083s)?_g=(refreshInterval:(display:Off,section:0,value:0),time:(from:'2016-12-27 04:10:39-700',mode:absolute,to:'2016-12-27 06:56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>IF(AA25&lt;IF(AG25="EC",23,5.65),"Y","N")</f>
        <v>N</v>
      </c>
      <c r="X25" s="177">
        <f>VALUE(LEFT(AD25,4))-VALUE(LEFT(AD24,4))</f>
        <v>1</v>
      </c>
      <c r="Y25" s="67">
        <f>RIGHT(D25,LEN(D25)-4)/10000</f>
        <v>7.6100000000000001E-2</v>
      </c>
      <c r="Z25" s="67">
        <f>RIGHT(H25,LEN(H25)-4)/10000</f>
        <v>23.331700000000001</v>
      </c>
      <c r="AA25" s="67">
        <f>ABS(Z25-Y25)</f>
        <v>23.255600000000001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>IF(LEN(A25)=6,"0"&amp;A25,A25)</f>
        <v>0113-27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/stypes="app*4022*20161227*"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113-27 --locoid 4022 --swversion DE.1.0.8.0 --startMP 204:761 --initTime 2016-12-27T05:10:39 --startdatetime 2016-12-27T05:15:57 --delay 3 --endMP 204:233317 --enddatetime 2016-12-27T05:56:04 --enforcementcount 1 &gt;&gt;C:\Users\stu\Documents\GitHub\eaglep3-reporting\EC\2016-12-27-refined-times.txt</v>
      </c>
      <c r="AI25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{"issue":{"subject":"","project_id":79,"tracker_id":40,"status_id":1,"priority_id":2,"assigned_to_id":23,"start_date":"2016-12-27","description":"","custom_fields":[{"id":1,"name":"Subdivision","value":"EC"},{"id":4,"name":"Milepost","value":"23.3317"},{"id":17,"name":"Train ID","value":"113-27"},{"id":16,"name":"Locomotive ID","value":"4022"},{"id":130,"name":"Impact","value":""},{"id":150,"name":"Time of Event (Mountain Time)","value":"05:56:04"},{"id":151,"name":"Denver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485</v>
      </c>
      <c r="B26" s="7">
        <v>4021</v>
      </c>
      <c r="C26" s="22" t="s">
        <v>205</v>
      </c>
      <c r="D26" s="22" t="s">
        <v>670</v>
      </c>
      <c r="E26" s="13">
        <v>42731.252418981479</v>
      </c>
      <c r="F26" s="13">
        <v>42731.257881944446</v>
      </c>
      <c r="G26" s="7">
        <v>2</v>
      </c>
      <c r="H26" s="22" t="s">
        <v>347</v>
      </c>
      <c r="I26" s="13">
        <v>42731.287743055553</v>
      </c>
      <c r="J26" s="7">
        <v>1</v>
      </c>
      <c r="K26" s="109" t="str">
        <f>IF(ISEVEN(B26),(B26-1)&amp;"/"&amp;B26,B26&amp;"/"&amp;(B26+1))</f>
        <v>4021/4022</v>
      </c>
      <c r="L26" s="22" t="str">
        <f>VLOOKUP(A26,'Trips&amp;Operators'!$C$1:$G$99999,5,FALSE)</f>
        <v>YOUNG ELIZABETH</v>
      </c>
      <c r="M26" s="6">
        <f>I26-F26</f>
        <v>2.9861111106583849E-2</v>
      </c>
      <c r="N26" s="7">
        <f>24*60*SUM($M26:$M26)</f>
        <v>42.999999993480742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https://search-rtdc-monitor-bjffxe2xuh6vdkpspy63sjmuny.us-east-1.es.amazonaws.com/_plugin/kibana/#/discover/Steve-Slow-Train-Analysis-(2080s-and-2083s)?_g=(refreshInterval:(display:Off,section:0,value:0),time:(from:'2016-12-27 05:03:29-700',mode:absolute,to:'2016-12-27 07:54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>IF(AA26&lt;IF(AG26="EC",23,5.65),"Y","N")</f>
        <v>N</v>
      </c>
      <c r="X26" s="177">
        <f>VALUE(LEFT(AD26,4))-VALUE(LEFT(AD25,4))</f>
        <v>1</v>
      </c>
      <c r="Y26" s="67">
        <f>RIGHT(D26,LEN(D26)-4)/10000</f>
        <v>23.3002</v>
      </c>
      <c r="Z26" s="67">
        <f>RIGHT(H26,LEN(H26)-4)/10000</f>
        <v>1.5599999999999999E-2</v>
      </c>
      <c r="AA26" s="67">
        <f>ABS(Z26-Y26)</f>
        <v>23.284600000000001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>IF(LEN(A26)=6,"0"&amp;A26,A26)</f>
        <v>0114-27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s3://rtdc.mdm.uploadarchive.raw/RTDC4021/ "%USERPROFILE%\AppData\Local\Temp\OnboardLogs"\RTDC4021\2016-12-27 --exclude "*" --recursive --include "*20161227*" &amp; "%USERPROFILE%\Documents\GitHub\mrs-test-scripts\Headless Mode &amp; Sideloading\WalkAndUnGZ.bat" "%USERPROFILE%\AppData\Local\Temp\OnboardLogs"\RTDC4021\2016-12-27 &amp; aws s3 cp s3://rtdc.mdm.uploadarchive.raw/RTDC4021/ "%USERPROFILE%\AppData\Local\Temp\OnboardLogs"\RTDC4021\2016-12-28 --exclude "*" --recursive --include "*20161228*" &amp; "%USERPROFILE%\Documents\GitHub\mrs-test-scripts\Headless Mode &amp; Sideloading\WalkAndUnGZ.bat" "%USERPROFILE%\AppData\Local\Temp\OnboardLogs"\RTDC4021\2016-12-28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/stypes="app*4021*20161227*"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114-27 --locoid 4021 --swversion DE.1.0.8.0 --startMP 204:233002 --initTime 2016-12-27T06:03:29 --startdatetime 2016-12-27T06:11:21 --delay 2 --endMP 204:156 --enddatetime 2016-12-27T06:54:21 --enforcementcount 1 &gt;&gt;C:\Users\stu\Documents\GitHub\eaglep3-reporting\EC\2016-12-27-refined-times.txt</v>
      </c>
      <c r="AI26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{"issue":{"subject":"","project_id":79,"tracker_id":40,"status_id":1,"priority_id":2,"assigned_to_id":23,"start_date":"2016-12-27","description":"","custom_fields":[{"id":1,"name":"Subdivision","value":"EC"},{"id":4,"name":"Milepost","value":"0.0156"},{"id":17,"name":"Train ID","value":"114-27"},{"id":16,"name":"Locomotive ID","value":"4021"},{"id":130,"name":"Impact","value":""},{"id":150,"name":"Time of Event (Mountain Time)","value":"06:54:21"},{"id":151,"name":"Denver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478</v>
      </c>
      <c r="B27" s="7">
        <v>4051</v>
      </c>
      <c r="C27" s="22" t="s">
        <v>205</v>
      </c>
      <c r="D27" s="22" t="s">
        <v>671</v>
      </c>
      <c r="E27" s="13">
        <v>42731.228344907409</v>
      </c>
      <c r="F27" s="13">
        <v>42731.230405092596</v>
      </c>
      <c r="G27" s="7">
        <v>2</v>
      </c>
      <c r="H27" s="22" t="s">
        <v>271</v>
      </c>
      <c r="I27" s="13">
        <v>42731.256631944445</v>
      </c>
      <c r="J27" s="7">
        <v>1</v>
      </c>
      <c r="K27" s="109" t="str">
        <f>IF(ISEVEN(B27),(B27-1)&amp;"/"&amp;B27,B27&amp;"/"&amp;(B27+1))</f>
        <v>4051/4052</v>
      </c>
      <c r="L27" s="22" t="str">
        <f>VLOOKUP(A27,'Trips&amp;Operators'!$C$1:$G$99999,5,FALSE)</f>
        <v>COMELLA JUSTIN</v>
      </c>
      <c r="M27" s="6">
        <f>I27-F27</f>
        <v>2.622685184906004E-2</v>
      </c>
      <c r="N27" s="7">
        <f>24*60*SUM($M27:$M27)</f>
        <v>37.766666662646458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https://search-rtdc-monitor-bjffxe2xuh6vdkpspy63sjmuny.us-east-1.es.amazonaws.com/_plugin/kibana/#/discover/Steve-Slow-Train-Analysis-(2080s-and-2083s)?_g=(refreshInterval:(display:Off,section:0,value:0),time:(from:'2016-12-27 04:28:49-700',mode:absolute,to:'2016-12-27 07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7" s="52" t="str">
        <f>IF(AA27&lt;IF(AG27="EC",23,5.65),"Y","N")</f>
        <v>N</v>
      </c>
      <c r="X27" s="177">
        <f>VALUE(LEFT(AD27,4))-VALUE(LEFT(AD26,4))</f>
        <v>1</v>
      </c>
      <c r="Y27" s="67">
        <f>RIGHT(D27,LEN(D27)-4)/10000</f>
        <v>7.0099999999999996E-2</v>
      </c>
      <c r="Z27" s="67">
        <f>RIGHT(H27,LEN(H27)-4)/10000</f>
        <v>23.328900000000001</v>
      </c>
      <c r="AA27" s="67">
        <f>ABS(Z27-Y27)</f>
        <v>23.258800000000001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>IF(LEN(A27)=6,"0"&amp;A27,A27)</f>
        <v>0115-27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/stypes="app*4051*20161227*"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115-27 --locoid 4051 --swversion DE.1.0.8.0 --startMP 204:701 --initTime 2016-12-27T05:28:49 --startdatetime 2016-12-27T05:31:47 --delay 2 --endMP 204:233289 --enddatetime 2016-12-27T06:09:33 --enforcementcount 1 &gt;&gt;C:\Users\stu\Documents\GitHub\eaglep3-reporting\EC\2016-12-27-refined-times.txt</v>
      </c>
      <c r="AI27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{"issue":{"subject":"","project_id":79,"tracker_id":40,"status_id":1,"priority_id":2,"assigned_to_id":23,"start_date":"2016-12-27","description":"","custom_fields":[{"id":1,"name":"Subdivision","value":"EC"},{"id":4,"name":"Milepost","value":"23.3289"},{"id":17,"name":"Train ID","value":"115-27"},{"id":16,"name":"Locomotive ID","value":"4051"},{"id":130,"name":"Impact","value":""},{"id":150,"name":"Time of Event (Mountain Time)","value":"06:09:33"},{"id":151,"name":"Denver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488</v>
      </c>
      <c r="B28" s="7">
        <v>4052</v>
      </c>
      <c r="C28" s="22" t="s">
        <v>205</v>
      </c>
      <c r="D28" s="22" t="s">
        <v>672</v>
      </c>
      <c r="E28" s="13">
        <v>42731.262673611112</v>
      </c>
      <c r="F28" s="13">
        <v>42731.268252314818</v>
      </c>
      <c r="G28" s="7">
        <v>1</v>
      </c>
      <c r="H28" s="22" t="s">
        <v>320</v>
      </c>
      <c r="I28" s="13">
        <v>42731.297766203701</v>
      </c>
      <c r="J28" s="7">
        <v>1</v>
      </c>
      <c r="K28" s="109" t="str">
        <f>IF(ISEVEN(B28),(B28-1)&amp;"/"&amp;B28,B28&amp;"/"&amp;(B28+1))</f>
        <v>4051/4052</v>
      </c>
      <c r="L28" s="22" t="str">
        <f>VLOOKUP(A28,'Trips&amp;Operators'!$C$1:$G$99999,5,FALSE)</f>
        <v>COMELLA JUSTIN</v>
      </c>
      <c r="M28" s="6">
        <f>I28-F28</f>
        <v>2.9513888883229811E-2</v>
      </c>
      <c r="N28" s="7">
        <f>24*60*SUM($M28:$M28)</f>
        <v>42.499999991850927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https://search-rtdc-monitor-bjffxe2xuh6vdkpspy63sjmuny.us-east-1.es.amazonaws.com/_plugin/kibana/#/discover/Steve-Slow-Train-Analysis-(2080s-and-2083s)?_g=(refreshInterval:(display:Off,section:0,value:0),time:(from:'2016-12-27 05:18:15-700',mode:absolute,to:'2016-12-27 08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8" s="52" t="str">
        <f>IF(AA28&lt;IF(AG28="EC",23,5.65),"Y","N")</f>
        <v>N</v>
      </c>
      <c r="X28" s="177">
        <f>VALUE(LEFT(AD28,4))-VALUE(LEFT(AD27,4))</f>
        <v>1</v>
      </c>
      <c r="Y28" s="67">
        <f>RIGHT(D28,LEN(D28)-4)/10000</f>
        <v>23.296099999999999</v>
      </c>
      <c r="Z28" s="67">
        <f>RIGHT(H28,LEN(H28)-4)/10000</f>
        <v>1.5800000000000002E-2</v>
      </c>
      <c r="AA28" s="67">
        <f>ABS(Z28-Y28)</f>
        <v>23.2803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>IF(LEN(A28)=6,"0"&amp;A28,A28)</f>
        <v>0116-27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/stypes="app*4052*20161227*"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116-27 --locoid 4052 --swversion DE.1.0.8.0 --startMP 204:232961 --initTime 2016-12-27T06:18:15 --startdatetime 2016-12-27T06:26:17 --delay 1 --endMP 204:158 --enddatetime 2016-12-27T07:08:47 --enforcementcount 1 &gt;&gt;C:\Users\stu\Documents\GitHub\eaglep3-reporting\EC\2016-12-27-refined-times.txt</v>
      </c>
      <c r="AI28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{"issue":{"subject":"","project_id":79,"tracker_id":40,"status_id":1,"priority_id":2,"assigned_to_id":23,"start_date":"2016-12-27","description":"","custom_fields":[{"id":1,"name":"Subdivision","value":"EC"},{"id":4,"name":"Milepost","value":"0.0158"},{"id":17,"name":"Train ID","value":"116-27"},{"id":16,"name":"Locomotive ID","value":"4052"},{"id":130,"name":"Impact","value":""},{"id":150,"name":"Time of Event (Mountain Time)","value":"07:08:47"},{"id":151,"name":"Denver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479</v>
      </c>
      <c r="B29" s="7">
        <v>4007</v>
      </c>
      <c r="C29" s="22" t="s">
        <v>205</v>
      </c>
      <c r="D29" s="22" t="s">
        <v>399</v>
      </c>
      <c r="E29" s="13">
        <v>42731.230312500003</v>
      </c>
      <c r="F29" s="13">
        <v>42731.239895833336</v>
      </c>
      <c r="G29" s="7">
        <v>1</v>
      </c>
      <c r="H29" s="22" t="s">
        <v>280</v>
      </c>
      <c r="I29" s="13">
        <v>42731.264861111114</v>
      </c>
      <c r="J29" s="7">
        <v>1</v>
      </c>
      <c r="K29" s="109" t="str">
        <f>IF(ISEVEN(B29),(B29-1)&amp;"/"&amp;B29,B29&amp;"/"&amp;(B29+1))</f>
        <v>4007/4008</v>
      </c>
      <c r="L29" s="22" t="str">
        <f>VLOOKUP(A29,'Trips&amp;Operators'!$C$1:$G$99999,5,FALSE)</f>
        <v>MAELZER KURT</v>
      </c>
      <c r="M29" s="6">
        <f>I29-F29</f>
        <v>2.4965277778392192E-2</v>
      </c>
      <c r="N29" s="7">
        <f>24*60*SUM($M29:$M29)</f>
        <v>35.950000000884756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https://search-rtdc-monitor-bjffxe2xuh6vdkpspy63sjmuny.us-east-1.es.amazonaws.com/_plugin/kibana/#/discover/Steve-Slow-Train-Analysis-(2080s-and-2083s)?_g=(refreshInterval:(display:Off,section:0,value:0),time:(from:'2016-12-27 04:31:39-700',mode:absolute,to:'2016-12-27 07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9" s="52" t="str">
        <f>IF(AA29&lt;IF(AG29="EC",23,5.65),"Y","N")</f>
        <v>N</v>
      </c>
      <c r="X29" s="177">
        <f>VALUE(LEFT(AD29,4))-VALUE(LEFT(AD28,4))</f>
        <v>1</v>
      </c>
      <c r="Y29" s="67">
        <f>RIGHT(D29,LEN(D29)-4)/10000</f>
        <v>4.3799999999999999E-2</v>
      </c>
      <c r="Z29" s="67">
        <f>RIGHT(H29,LEN(H29)-4)/10000</f>
        <v>23.3308</v>
      </c>
      <c r="AA29" s="67">
        <f>ABS(Z29-Y29)</f>
        <v>23.286999999999999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>IF(LEN(A29)=6,"0"&amp;A29,A29)</f>
        <v>0117-27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/stypes="app*4007*20161227*"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117-27 --locoid 4007 --swversion DE.1.0.8.0 --startMP 204:438 --initTime 2016-12-27T05:31:39 --startdatetime 2016-12-27T05:45:27 --delay 1 --endMP 204:233308 --enddatetime 2016-12-27T06:21:24 --enforcementcount 1 &gt;&gt;C:\Users\stu\Documents\GitHub\eaglep3-reporting\EC\2016-12-27-refined-times.txt</v>
      </c>
      <c r="AI29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{"issue":{"subject":"","project_id":79,"tracker_id":40,"status_id":1,"priority_id":2,"assigned_to_id":23,"start_date":"2016-12-27","description":"","custom_fields":[{"id":1,"name":"Subdivision","value":"EC"},{"id":4,"name":"Milepost","value":"23.3308"},{"id":17,"name":"Train ID","value":"117-27"},{"id":16,"name":"Locomotive ID","value":"4007"},{"id":130,"name":"Impact","value":""},{"id":150,"name":"Time of Event (Mountain Time)","value":"06:21:24"},{"id":151,"name":"Denver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491</v>
      </c>
      <c r="B30" s="7">
        <v>4008</v>
      </c>
      <c r="C30" s="22" t="s">
        <v>205</v>
      </c>
      <c r="D30" s="22" t="s">
        <v>360</v>
      </c>
      <c r="E30" s="13">
        <v>42731.273009259261</v>
      </c>
      <c r="F30" s="13">
        <v>42731.278958333336</v>
      </c>
      <c r="G30" s="7">
        <v>0</v>
      </c>
      <c r="H30" s="22" t="s">
        <v>311</v>
      </c>
      <c r="I30" s="13">
        <v>42731.305659722224</v>
      </c>
      <c r="J30" s="7">
        <v>1</v>
      </c>
      <c r="K30" s="109" t="str">
        <f>IF(ISEVEN(B30),(B30-1)&amp;"/"&amp;B30,B30&amp;"/"&amp;(B30+1))</f>
        <v>4007/4008</v>
      </c>
      <c r="L30" s="22" t="str">
        <f>VLOOKUP(A30,'Trips&amp;Operators'!$C$1:$G$99999,5,FALSE)</f>
        <v>MAELZER KURT</v>
      </c>
      <c r="M30" s="6">
        <f>I30-F30</f>
        <v>2.6701388887886424E-2</v>
      </c>
      <c r="N30" s="7">
        <f>24*60*SUM($M30:$M30)</f>
        <v>38.44999999855645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https://search-rtdc-monitor-bjffxe2xuh6vdkpspy63sjmuny.us-east-1.es.amazonaws.com/_plugin/kibana/#/discover/Steve-Slow-Train-Analysis-(2080s-and-2083s)?_g=(refreshInterval:(display:Off,section:0,value:0),time:(from:'2016-12-27 05:33:08-700',mode:absolute,to:'2016-12-27 08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0" s="52" t="str">
        <f>IF(AA30&lt;IF(AG30="EC",23,5.65),"Y","N")</f>
        <v>N</v>
      </c>
      <c r="X30" s="177">
        <f>VALUE(LEFT(AD30,4))-VALUE(LEFT(AD29,4))</f>
        <v>1</v>
      </c>
      <c r="Y30" s="67">
        <f>RIGHT(D30,LEN(D30)-4)/10000</f>
        <v>23.2989</v>
      </c>
      <c r="Z30" s="67">
        <f>RIGHT(H30,LEN(H30)-4)/10000</f>
        <v>1.52E-2</v>
      </c>
      <c r="AA30" s="67">
        <f>ABS(Z30-Y30)</f>
        <v>23.2837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>IF(LEN(A30)=6,"0"&amp;A30,A30)</f>
        <v>0118-27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/stypes="app*4008*20161227*"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118-27 --locoid 4008 --swversion DE.1.0.8.0 --startMP 204:232989 --initTime 2016-12-27T06:33:08 --startdatetime 2016-12-27T06:41:42 --delay 0 --endMP 204:152 --enddatetime 2016-12-27T07:20:09 --enforcementcount 1 &gt;&gt;C:\Users\stu\Documents\GitHub\eaglep3-reporting\EC\2016-12-27-refined-times.txt</v>
      </c>
      <c r="AI30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{"issue":{"subject":"","project_id":79,"tracker_id":40,"status_id":1,"priority_id":2,"assigned_to_id":23,"start_date":"2016-12-27","description":"","custom_fields":[{"id":1,"name":"Subdivision","value":"EC"},{"id":4,"name":"Milepost","value":"0.0152"},{"id":17,"name":"Train ID","value":"118-27"},{"id":16,"name":"Locomotive ID","value":"4008"},{"id":130,"name":"Impact","value":""},{"id":150,"name":"Time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483</v>
      </c>
      <c r="B31" s="7">
        <v>4042</v>
      </c>
      <c r="C31" s="22" t="s">
        <v>205</v>
      </c>
      <c r="D31" s="22" t="s">
        <v>673</v>
      </c>
      <c r="E31" s="13">
        <v>42731.249062499999</v>
      </c>
      <c r="F31" s="13">
        <v>42731.251168981478</v>
      </c>
      <c r="G31" s="7">
        <v>1</v>
      </c>
      <c r="H31" s="22" t="s">
        <v>271</v>
      </c>
      <c r="I31" s="13">
        <v>42731.276562500003</v>
      </c>
      <c r="J31" s="7">
        <v>1</v>
      </c>
      <c r="K31" s="109" t="str">
        <f>IF(ISEVEN(B31),(B31-1)&amp;"/"&amp;B31,B31&amp;"/"&amp;(B31+1))</f>
        <v>4041/4042</v>
      </c>
      <c r="L31" s="22" t="str">
        <f>VLOOKUP(A31,'Trips&amp;Operators'!$C$1:$G$99999,5,FALSE)</f>
        <v>STARKS ANGELINA</v>
      </c>
      <c r="M31" s="6">
        <f>I31-F31</f>
        <v>2.5393518524651881E-2</v>
      </c>
      <c r="N31" s="7">
        <f>24*60*SUM($M31:$M31)</f>
        <v>36.566666675498709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https://search-rtdc-monitor-bjffxe2xuh6vdkpspy63sjmuny.us-east-1.es.amazonaws.com/_plugin/kibana/#/discover/Steve-Slow-Train-Analysis-(2080s-and-2083s)?_g=(refreshInterval:(display:Off,section:0,value:0),time:(from:'2016-12-27 04:58:39-700',mode:absolute,to:'2016-12-27 07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>IF(AA31&lt;IF(AG31="EC",23,5.65),"Y","N")</f>
        <v>N</v>
      </c>
      <c r="X31" s="177">
        <f>VALUE(LEFT(AD31,4))-VALUE(LEFT(AD30,4))</f>
        <v>1</v>
      </c>
      <c r="Y31" s="67">
        <f>RIGHT(D31,LEN(D31)-4)/10000</f>
        <v>7.5899999999999995E-2</v>
      </c>
      <c r="Z31" s="67">
        <f>RIGHT(H31,LEN(H31)-4)/10000</f>
        <v>23.328900000000001</v>
      </c>
      <c r="AA31" s="67">
        <f>ABS(Z31-Y31)</f>
        <v>23.253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>IF(LEN(A31)=6,"0"&amp;A31,A31)</f>
        <v>0119-27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/stypes="app*4042*20161227*"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119-27 --locoid 4042 --swversion DE.1.0.8.0 --startMP 204:759 --initTime 2016-12-27T05:58:39 --startdatetime 2016-12-27T06:01:41 --delay 1 --endMP 204:233289 --enddatetime 2016-12-27T06:38:15 --enforcementcount 1 &gt;&gt;C:\Users\stu\Documents\GitHub\eaglep3-reporting\EC\2016-12-27-refined-times.txt</v>
      </c>
      <c r="AI31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{"issue":{"subject":"","project_id":79,"tracker_id":40,"status_id":1,"priority_id":2,"assigned_to_id":23,"start_date":"2016-12-27","description":"","custom_fields":[{"id":1,"name":"Subdivision","value":"EC"},{"id":4,"name":"Milepost","value":"23.3289"},{"id":17,"name":"Train ID","value":"119-27"},{"id":16,"name":"Locomotive ID","value":"4042"},{"id":130,"name":"Impact","value":""},{"id":150,"name":"Time of Event (Mountain Time)","value":"06:38:15"},{"id":151,"name":"Denver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494</v>
      </c>
      <c r="B32" s="7">
        <v>4041</v>
      </c>
      <c r="C32" s="22" t="s">
        <v>205</v>
      </c>
      <c r="D32" s="22" t="s">
        <v>672</v>
      </c>
      <c r="E32" s="13">
        <v>42731.283900462964</v>
      </c>
      <c r="F32" s="13">
        <v>42731.289050925923</v>
      </c>
      <c r="G32" s="7">
        <v>1</v>
      </c>
      <c r="H32" s="22" t="s">
        <v>191</v>
      </c>
      <c r="I32" s="13">
        <v>42731.317083333335</v>
      </c>
      <c r="J32" s="7">
        <v>1</v>
      </c>
      <c r="K32" s="109" t="str">
        <f>IF(ISEVEN(B32),(B32-1)&amp;"/"&amp;B32,B32&amp;"/"&amp;(B32+1))</f>
        <v>4041/4042</v>
      </c>
      <c r="L32" s="22" t="str">
        <f>VLOOKUP(A32,'Trips&amp;Operators'!$C$1:$G$99999,5,FALSE)</f>
        <v>STARKS ANGELINA</v>
      </c>
      <c r="M32" s="6">
        <f>I32-F32</f>
        <v>2.8032407411956228E-2</v>
      </c>
      <c r="N32" s="7">
        <f>24*60*SUM($M32:$M32)</f>
        <v>40.366666673216969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https://search-rtdc-monitor-bjffxe2xuh6vdkpspy63sjmuny.us-east-1.es.amazonaws.com/_plugin/kibana/#/discover/Steve-Slow-Train-Analysis-(2080s-and-2083s)?_g=(refreshInterval:(display:Off,section:0,value:0),time:(from:'2016-12-27 05:48:49-700',mode:absolute,to:'2016-12-27 08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>IF(AA32&lt;IF(AG32="EC",23,5.65),"Y","N")</f>
        <v>N</v>
      </c>
      <c r="X32" s="177">
        <f>VALUE(LEFT(AD32,4))-VALUE(LEFT(AD31,4))</f>
        <v>1</v>
      </c>
      <c r="Y32" s="67">
        <f>RIGHT(D32,LEN(D32)-4)/10000</f>
        <v>23.296099999999999</v>
      </c>
      <c r="Z32" s="67">
        <f>RIGHT(H32,LEN(H32)-4)/10000</f>
        <v>1.49E-2</v>
      </c>
      <c r="AA32" s="67">
        <f>ABS(Z32-Y32)</f>
        <v>23.281199999999998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>IF(LEN(A32)=6,"0"&amp;A32,A32)</f>
        <v>0120-27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/stypes="app*4041*20161227*"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120-27 --locoid 4041 --swversion DE.1.0.8.0 --startMP 204:232961 --initTime 2016-12-27T06:48:49 --startdatetime 2016-12-27T06:56:14 --delay 1 --endMP 204:149 --enddatetime 2016-12-27T07:36:36 --enforcementcount 1 &gt;&gt;C:\Users\stu\Documents\GitHub\eaglep3-reporting\EC\2016-12-27-refined-times.txt</v>
      </c>
      <c r="AI32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{"issue":{"subject":"","project_id":79,"tracker_id":40,"status_id":1,"priority_id":2,"assigned_to_id":23,"start_date":"2016-12-27","description":"","custom_fields":[{"id":1,"name":"Subdivision","value":"EC"},{"id":4,"name":"Milepost","value":"0.0149"},{"id":17,"name":"Train ID","value":"120-27"},{"id":16,"name":"Locomotive ID","value":"4041"},{"id":130,"name":"Impact","value":""},{"id":150,"name":"Time of Event (Mountain Time)","value":"07:36:36"},{"id":151,"name":"Denver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486</v>
      </c>
      <c r="B33" s="7">
        <v>4002</v>
      </c>
      <c r="C33" s="22" t="s">
        <v>205</v>
      </c>
      <c r="D33" s="22" t="s">
        <v>241</v>
      </c>
      <c r="E33" s="13">
        <v>42731.2578125</v>
      </c>
      <c r="F33" s="13">
        <v>42731.260659722226</v>
      </c>
      <c r="G33" s="7">
        <v>1</v>
      </c>
      <c r="H33" s="22" t="s">
        <v>674</v>
      </c>
      <c r="I33" s="13">
        <v>42731.285416666666</v>
      </c>
      <c r="J33" s="7">
        <v>1</v>
      </c>
      <c r="K33" s="109" t="str">
        <f>IF(ISEVEN(B33),(B33-1)&amp;"/"&amp;B33,B33&amp;"/"&amp;(B33+1))</f>
        <v>4001/4002</v>
      </c>
      <c r="L33" s="22" t="str">
        <f>VLOOKUP(A33,'Trips&amp;Operators'!$C$1:$G$99999,5,FALSE)</f>
        <v>DUNCAN SHEILA</v>
      </c>
      <c r="M33" s="6">
        <f>I33-F33</f>
        <v>2.4756944440014195E-2</v>
      </c>
      <c r="N33" s="7">
        <f>24*60*SUM($M33:$M33)</f>
        <v>35.64999999362044</v>
      </c>
      <c r="O33" s="7"/>
      <c r="P33" s="7"/>
      <c r="Q33" s="23"/>
      <c r="R33" s="23"/>
      <c r="S33" s="35">
        <f>SUM(U33:U33)/IF(AG33="EC",12,1)</f>
        <v>1</v>
      </c>
      <c r="T33" s="50" t="str">
        <f>IF(ISEVEN(LEFT(AD33,4)),"Southbound","NorthBound")</f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https://search-rtdc-monitor-bjffxe2xuh6vdkpspy63sjmuny.us-east-1.es.amazonaws.com/_plugin/kibana/#/discover/Steve-Slow-Train-Analysis-(2080s-and-2083s)?_g=(refreshInterval:(display:Off,section:0,value:0),time:(from:'2016-12-27 05:11:15-700',mode:absolute,to:'2016-12-27 07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3" s="52" t="str">
        <f>IF(AA33&lt;IF(AG33="EC",23,5.65),"Y","N")</f>
        <v>N</v>
      </c>
      <c r="X33" s="177">
        <f>VALUE(LEFT(AD33,4))-VALUE(LEFT(AD32,4))</f>
        <v>1</v>
      </c>
      <c r="Y33" s="67">
        <f>RIGHT(D33,LEN(D33)-4)/10000</f>
        <v>4.58E-2</v>
      </c>
      <c r="Z33" s="67">
        <f>RIGHT(H33,LEN(H33)-4)/10000</f>
        <v>23.328700000000001</v>
      </c>
      <c r="AA33" s="67">
        <f>ABS(Z33-Y33)</f>
        <v>23.282900000000001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>IF(LEN(A33)=6,"0"&amp;A33,A33)</f>
        <v>0121-27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/stypes="app*4002*20161227*"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121-27 --locoid 4002 --swversion DE.1.0.8.0 --startMP 204:458 --initTime 2016-12-27T06:11:15 --startdatetime 2016-12-27T06:15:21 --delay 1 --endMP 204:233287 --enddatetime 2016-12-27T06:51:00 --enforcementcount 1 &gt;&gt;C:\Users\stu\Documents\GitHub\eaglep3-reporting\EC\2016-12-27-refined-times.txt</v>
      </c>
      <c r="AI33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{"issue":{"subject":"","project_id":79,"tracker_id":40,"status_id":1,"priority_id":2,"assigned_to_id":23,"start_date":"2016-12-27","description":"","custom_fields":[{"id":1,"name":"Subdivision","value":"EC"},{"id":4,"name":"Milepost","value":"23.3287"},{"id":17,"name":"Train ID","value":"121-27"},{"id":16,"name":"Locomotive ID","value":"4002"},{"id":130,"name":"Impact","value":""},{"id":150,"name":"Time of Event (Mountain Time)","value":"06:51:00"},{"id":151,"name":"Denver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496</v>
      </c>
      <c r="B34" s="7">
        <v>4001</v>
      </c>
      <c r="C34" s="22" t="s">
        <v>205</v>
      </c>
      <c r="D34" s="22" t="s">
        <v>675</v>
      </c>
      <c r="E34" s="13">
        <v>42731.289803240739</v>
      </c>
      <c r="F34" s="13">
        <v>42731.29960648148</v>
      </c>
      <c r="G34" s="7">
        <v>1</v>
      </c>
      <c r="H34" s="22" t="s">
        <v>192</v>
      </c>
      <c r="I34" s="13">
        <v>42731.326724537037</v>
      </c>
      <c r="J34" s="7">
        <v>1</v>
      </c>
      <c r="K34" s="109" t="str">
        <f>IF(ISEVEN(B34),(B34-1)&amp;"/"&amp;B34,B34&amp;"/"&amp;(B34+1))</f>
        <v>4001/4002</v>
      </c>
      <c r="L34" s="22" t="str">
        <f>VLOOKUP(A34,'Trips&amp;Operators'!$C$1:$G$99999,5,FALSE)</f>
        <v>DUNCAN SHEILA</v>
      </c>
      <c r="M34" s="6">
        <f>I34-F34</f>
        <v>2.7118055557366461E-2</v>
      </c>
      <c r="N34" s="7">
        <f>24*60*SUM($M34:$M34)</f>
        <v>39.050000002607703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https://search-rtdc-monitor-bjffxe2xuh6vdkpspy63sjmuny.us-east-1.es.amazonaws.com/_plugin/kibana/#/discover/Steve-Slow-Train-Analysis-(2080s-and-2083s)?_g=(refreshInterval:(display:Off,section:0,value:0),time:(from:'2016-12-27 05:57:19-700',mode:absolute,to:'2016-12-27 08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4" s="52" t="str">
        <f>IF(AA34&lt;IF(AG34="EC",23,5.65),"Y","N")</f>
        <v>N</v>
      </c>
      <c r="X34" s="177">
        <f>VALUE(LEFT(AD34,4))-VALUE(LEFT(AD33,4))</f>
        <v>1</v>
      </c>
      <c r="Y34" s="67">
        <f>RIGHT(D34,LEN(D34)-4)/10000</f>
        <v>23.297000000000001</v>
      </c>
      <c r="Z34" s="67">
        <f>RIGHT(H34,LEN(H34)-4)/10000</f>
        <v>1.43E-2</v>
      </c>
      <c r="AA34" s="67">
        <f>ABS(Z34-Y34)</f>
        <v>23.282700000000002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>IF(LEN(A34)=6,"0"&amp;A34,A34)</f>
        <v>0122-27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/stypes="app*4001*20161227*"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122-27 --locoid 4001 --swversion DE.1.0.8.0 --startMP 204:232970 --initTime 2016-12-27T06:57:19 --startdatetime 2016-12-27T07:11:26 --delay 1 --endMP 204:143 --enddatetime 2016-12-27T07:50:29 --enforcementcount 1 &gt;&gt;C:\Users\stu\Documents\GitHub\eaglep3-reporting\EC\2016-12-27-refined-times.txt</v>
      </c>
      <c r="AI34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{"issue":{"subject":"","project_id":79,"tracker_id":40,"status_id":1,"priority_id":2,"assigned_to_id":23,"start_date":"2016-12-27","description":"","custom_fields":[{"id":1,"name":"Subdivision","value":"EC"},{"id":4,"name":"Milepost","value":"0.0143"},{"id":17,"name":"Train ID","value":"122-27"},{"id":16,"name":"Locomotive ID","value":"4001"},{"id":130,"name":"Impact","value":""},{"id":150,"name":"Time of Event (Mountain Time)","value":"07:50:29"},{"id":151,"name":"Denver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489</v>
      </c>
      <c r="B35" s="7">
        <v>4027</v>
      </c>
      <c r="C35" s="22" t="s">
        <v>205</v>
      </c>
      <c r="D35" s="22" t="s">
        <v>393</v>
      </c>
      <c r="E35" s="13">
        <v>42731.267372685186</v>
      </c>
      <c r="F35" s="13">
        <v>42731.270995370367</v>
      </c>
      <c r="G35" s="7">
        <v>1</v>
      </c>
      <c r="H35" s="22" t="s">
        <v>274</v>
      </c>
      <c r="I35" s="13">
        <v>42731.295694444445</v>
      </c>
      <c r="J35" s="7">
        <v>1</v>
      </c>
      <c r="K35" s="109" t="str">
        <f>IF(ISEVEN(B35),(B35-1)&amp;"/"&amp;B35,B35&amp;"/"&amp;(B35+1))</f>
        <v>4027/4028</v>
      </c>
      <c r="L35" s="22" t="str">
        <f>VLOOKUP(A35,'Trips&amp;Operators'!$C$1:$G$99999,5,FALSE)</f>
        <v>DAVIS WENDY</v>
      </c>
      <c r="M35" s="6">
        <f>I35-F35</f>
        <v>2.4699074077943806E-2</v>
      </c>
      <c r="N35" s="7">
        <f>24*60*SUM($M35:$M35)</f>
        <v>35.56666667223908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https://search-rtdc-monitor-bjffxe2xuh6vdkpspy63sjmuny.us-east-1.es.amazonaws.com/_plugin/kibana/#/discover/Steve-Slow-Train-Analysis-(2080s-and-2083s)?_g=(refreshInterval:(display:Off,section:0,value:0),time:(from:'2016-12-27 05:25:01-700',mode:absolute,to:'2016-12-27 08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5" s="52" t="str">
        <f>IF(AA35&lt;IF(AG35="EC",23,5.65),"Y","N")</f>
        <v>N</v>
      </c>
      <c r="X35" s="177">
        <f>VALUE(LEFT(AD35,4))-VALUE(LEFT(AD34,4))</f>
        <v>1</v>
      </c>
      <c r="Y35" s="67">
        <f>RIGHT(D35,LEN(D35)-4)/10000</f>
        <v>4.4600000000000001E-2</v>
      </c>
      <c r="Z35" s="67">
        <f>RIGHT(H35,LEN(H35)-4)/10000</f>
        <v>23.329899999999999</v>
      </c>
      <c r="AA35" s="67">
        <f>ABS(Z35-Y35)</f>
        <v>23.285299999999999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>IF(LEN(A35)=6,"0"&amp;A35,A35)</f>
        <v>0123-27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/stypes="app*4027*20161227*"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123-27 --locoid 4027 --swversion DE.1.0.8.0 --startMP 204:446 --initTime 2016-12-27T06:25:01 --startdatetime 2016-12-27T06:30:14 --delay 1 --endMP 204:233299 --enddatetime 2016-12-27T07:05:48 --enforcementcount 1 &gt;&gt;C:\Users\stu\Documents\GitHub\eaglep3-reporting\EC\2016-12-27-refined-times.txt</v>
      </c>
      <c r="AI35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{"issue":{"subject":"","project_id":79,"tracker_id":40,"status_id":1,"priority_id":2,"assigned_to_id":23,"start_date":"2016-12-27","description":"","custom_fields":[{"id":1,"name":"Subdivision","value":"EC"},{"id":4,"name":"Milepost","value":"23.3299"},{"id":17,"name":"Train ID","value":"123-27"},{"id":16,"name":"Locomotive ID","value":"4027"},{"id":130,"name":"Impact","value":""},{"id":150,"name":"Time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500</v>
      </c>
      <c r="B36" s="7">
        <v>4028</v>
      </c>
      <c r="C36" s="22" t="s">
        <v>205</v>
      </c>
      <c r="D36" s="22" t="s">
        <v>282</v>
      </c>
      <c r="E36" s="13">
        <v>42731.306250000001</v>
      </c>
      <c r="F36" s="13">
        <v>42731.309884259259</v>
      </c>
      <c r="G36" s="7">
        <v>1</v>
      </c>
      <c r="H36" s="22" t="s">
        <v>257</v>
      </c>
      <c r="I36" s="13">
        <v>42731.338090277779</v>
      </c>
      <c r="J36" s="7">
        <v>1</v>
      </c>
      <c r="K36" s="109" t="str">
        <f>IF(ISEVEN(B36),(B36-1)&amp;"/"&amp;B36,B36&amp;"/"&amp;(B36+1))</f>
        <v>4027/4028</v>
      </c>
      <c r="L36" s="22" t="str">
        <f>VLOOKUP(A36,'Trips&amp;Operators'!$C$1:$G$99999,5,FALSE)</f>
        <v>DAVIS WENDY</v>
      </c>
      <c r="M36" s="6">
        <f>I36-F36</f>
        <v>2.8206018519995268E-2</v>
      </c>
      <c r="N36" s="7">
        <f>24*60*SUM($M36:$M36)</f>
        <v>40.616666668793187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https://search-rtdc-monitor-bjffxe2xuh6vdkpspy63sjmuny.us-east-1.es.amazonaws.com/_plugin/kibana/#/discover/Steve-Slow-Train-Analysis-(2080s-and-2083s)?_g=(refreshInterval:(display:Off,section:0,value:0),time:(from:'2016-12-27 06:21:00-700',mode:absolute,to:'2016-12-27 09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6" s="52" t="str">
        <f>IF(AA36&lt;IF(AG36="EC",23,5.65),"Y","N")</f>
        <v>N</v>
      </c>
      <c r="X36" s="177">
        <f>VALUE(LEFT(AD36,4))-VALUE(LEFT(AD35,4))</f>
        <v>1</v>
      </c>
      <c r="Y36" s="67">
        <f>RIGHT(D36,LEN(D36)-4)/10000</f>
        <v>23.297799999999999</v>
      </c>
      <c r="Z36" s="67">
        <f>RIGHT(H36,LEN(H36)-4)/10000</f>
        <v>1.47E-2</v>
      </c>
      <c r="AA36" s="67">
        <f>ABS(Z36-Y36)</f>
        <v>23.283099999999997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>IF(LEN(A36)=6,"0"&amp;A36,A36)</f>
        <v>0124-27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/stypes="app*4028*20161227*"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124-27 --locoid 4028 --swversion DE.1.0.8.0 --startMP 204:232978 --initTime 2016-12-27T07:21:00 --startdatetime 2016-12-27T07:26:14 --delay 1 --endMP 204:147 --enddatetime 2016-12-27T08:06:51 --enforcementcount 1 &gt;&gt;C:\Users\stu\Documents\GitHub\eaglep3-reporting\EC\2016-12-27-refined-times.txt</v>
      </c>
      <c r="AI36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{"issue":{"subject":"","project_id":79,"tracker_id":40,"status_id":1,"priority_id":2,"assigned_to_id":23,"start_date":"2016-12-27","description":"","custom_fields":[{"id":1,"name":"Subdivision","value":"EC"},{"id":4,"name":"Milepost","value":"0.0147"},{"id":17,"name":"Train ID","value":"124-27"},{"id":16,"name":"Locomotive ID","value":"4028"},{"id":130,"name":"Impact","value":""},{"id":150,"name":"Time of Event (Mountain Time)","value":"08:06:51"},{"id":151,"name":"Denver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492</v>
      </c>
      <c r="B37" s="7">
        <v>4011</v>
      </c>
      <c r="C37" s="22" t="s">
        <v>205</v>
      </c>
      <c r="D37" s="22" t="s">
        <v>676</v>
      </c>
      <c r="E37" s="13">
        <v>42731.278923611113</v>
      </c>
      <c r="F37" s="13">
        <v>42731.281423611108</v>
      </c>
      <c r="G37" s="7">
        <v>1</v>
      </c>
      <c r="H37" s="22" t="s">
        <v>345</v>
      </c>
      <c r="I37" s="13">
        <v>42731.306539351855</v>
      </c>
      <c r="J37" s="7">
        <v>1</v>
      </c>
      <c r="K37" s="109" t="str">
        <f>IF(ISEVEN(B37),(B37-1)&amp;"/"&amp;B37,B37&amp;"/"&amp;(B37+1))</f>
        <v>4011/4012</v>
      </c>
      <c r="L37" s="22" t="str">
        <f>VLOOKUP(A37,'Trips&amp;Operators'!$C$1:$G$99999,5,FALSE)</f>
        <v>MAGEE KENYA</v>
      </c>
      <c r="M37" s="6">
        <f>I37-F37</f>
        <v>2.5115740747423843E-2</v>
      </c>
      <c r="N37" s="7">
        <f>24*60*SUM($M37:$M37)</f>
        <v>36.166666676290333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https://search-rtdc-monitor-bjffxe2xuh6vdkpspy63sjmuny.us-east-1.es.amazonaws.com/_plugin/kibana/#/discover/Steve-Slow-Train-Analysis-(2080s-and-2083s)?_g=(refreshInterval:(display:Off,section:0,value:0),time:(from:'2016-12-27 05:41:39-700',mode:absolute,to:'2016-12-27 08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7" s="52" t="str">
        <f>IF(AA37&lt;IF(AG37="EC",23,5.65),"Y","N")</f>
        <v>N</v>
      </c>
      <c r="X37" s="177">
        <f>VALUE(LEFT(AD37,4))-VALUE(LEFT(AD36,4))</f>
        <v>1</v>
      </c>
      <c r="Y37" s="67">
        <f>RIGHT(D37,LEN(D37)-4)/10000</f>
        <v>4.3700000000000003E-2</v>
      </c>
      <c r="Z37" s="67">
        <f>RIGHT(H37,LEN(H37)-4)/10000</f>
        <v>23.3291</v>
      </c>
      <c r="AA37" s="67">
        <f>ABS(Z37-Y37)</f>
        <v>23.285399999999999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>IF(LEN(A37)=6,"0"&amp;A37,A37)</f>
        <v>0125-27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s3://rtdc.mdm.uploadarchive.raw/RTDC4011/ "%USERPROFILE%\AppData\Local\Temp\OnboardLogs"\RTDC4011\2016-12-27 --exclude "*" --recursive --include "*20161227*" &amp; "%USERPROFILE%\Documents\GitHub\mrs-test-scripts\Headless Mode &amp; Sideloading\WalkAndUnGZ.bat" "%USERPROFILE%\AppData\Local\Temp\OnboardLogs"\RTDC4011\2016-12-27 &amp; 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/stypes="app*4011*20161227*"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125-27 --locoid 4011 --swversion DE.1.0.8.0 --startMP 204:437 --initTime 2016-12-27T06:41:39 --startdatetime 2016-12-27T06:45:15 --delay 1 --endMP 204:233291 --enddatetime 2016-12-27T07:21:25 --enforcementcount 1 &gt;&gt;C:\Users\stu\Documents\GitHub\eaglep3-reporting\EC\2016-12-27-refined-times.txt</v>
      </c>
      <c r="AI37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{"issue":{"subject":"","project_id":79,"tracker_id":40,"status_id":1,"priority_id":2,"assigned_to_id":23,"start_date":"2016-12-27","description":"","custom_fields":[{"id":1,"name":"Subdivision","value":"EC"},{"id":4,"name":"Milepost","value":"23.3291"},{"id":17,"name":"Train ID","value":"125-27"},{"id":16,"name":"Locomotive ID","value":"4011"},{"id":130,"name":"Impact","value":""},{"id":150,"name":"Time of Event (Mountain Time)","value":"07:21:25"},{"id":151,"name":"Denver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503</v>
      </c>
      <c r="B38" s="7">
        <v>4012</v>
      </c>
      <c r="C38" s="22" t="s">
        <v>205</v>
      </c>
      <c r="D38" s="22" t="s">
        <v>254</v>
      </c>
      <c r="E38" s="13">
        <v>42731.316365740742</v>
      </c>
      <c r="F38" s="13">
        <v>42731.320497685185</v>
      </c>
      <c r="G38" s="7">
        <v>1</v>
      </c>
      <c r="H38" s="22" t="s">
        <v>263</v>
      </c>
      <c r="I38" s="13">
        <v>42731.350011574075</v>
      </c>
      <c r="J38" s="7">
        <v>1</v>
      </c>
      <c r="K38" s="109" t="str">
        <f>IF(ISEVEN(B38),(B38-1)&amp;"/"&amp;B38,B38&amp;"/"&amp;(B38+1))</f>
        <v>4011/4012</v>
      </c>
      <c r="L38" s="22" t="str">
        <f>VLOOKUP(A38,'Trips&amp;Operators'!$C$1:$G$99999,5,FALSE)</f>
        <v>MAGEE KENYA</v>
      </c>
      <c r="M38" s="6">
        <f>I38-F38</f>
        <v>2.9513888890505768E-2</v>
      </c>
      <c r="N38" s="7">
        <f>24*60*SUM($M38:$M38)</f>
        <v>42.500000002328306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https://search-rtdc-monitor-bjffxe2xuh6vdkpspy63sjmuny.us-east-1.es.amazonaws.com/_plugin/kibana/#/discover/Steve-Slow-Train-Analysis-(2080s-and-2083s)?_g=(refreshInterval:(display:Off,section:0,value:0),time:(from:'2016-12-27 06:35:34-700',mode:absolute,to:'2016-12-27 09:24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8" s="52" t="str">
        <f>IF(AA38&lt;IF(AG38="EC",23,5.65),"Y","N")</f>
        <v>N</v>
      </c>
      <c r="X38" s="177">
        <f>VALUE(LEFT(AD38,4))-VALUE(LEFT(AD37,4))</f>
        <v>1</v>
      </c>
      <c r="Y38" s="67">
        <f>RIGHT(D38,LEN(D38)-4)/10000</f>
        <v>23.299399999999999</v>
      </c>
      <c r="Z38" s="67">
        <f>RIGHT(H38,LEN(H38)-4)/10000</f>
        <v>1.6E-2</v>
      </c>
      <c r="AA38" s="67">
        <f>ABS(Z38-Y38)</f>
        <v>23.2834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>IF(LEN(A38)=6,"0"&amp;A38,A38)</f>
        <v>0126-27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 &amp; 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/stypes="app*4012*20161227*"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126-27 --locoid 4012 --swversion DE.1.0.8.0 --startMP 204:232994 --initTime 2016-12-27T07:35:34 --startdatetime 2016-12-27T07:41:31 --delay 1 --endMP 204:160 --enddatetime 2016-12-27T08:24:01 --enforcementcount 1 &gt;&gt;C:\Users\stu\Documents\GitHub\eaglep3-reporting\EC\2016-12-27-refined-times.txt</v>
      </c>
      <c r="AI38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{"issue":{"subject":"","project_id":79,"tracker_id":40,"status_id":1,"priority_id":2,"assigned_to_id":23,"start_date":"2016-12-27","description":"","custom_fields":[{"id":1,"name":"Subdivision","value":"EC"},{"id":4,"name":"Milepost","value":"0.016"},{"id":17,"name":"Train ID","value":"126-27"},{"id":16,"name":"Locomotive ID","value":"4012"},{"id":130,"name":"Impact","value":""},{"id":150,"name":"Time of Event (Mountain Time)","value":"08:24:01"},{"id":151,"name":"Denver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495</v>
      </c>
      <c r="B39" s="7">
        <v>4022</v>
      </c>
      <c r="C39" s="22" t="s">
        <v>205</v>
      </c>
      <c r="D39" s="22" t="s">
        <v>253</v>
      </c>
      <c r="E39" s="13">
        <v>42731.289074074077</v>
      </c>
      <c r="F39" s="13">
        <v>42731.291898148149</v>
      </c>
      <c r="G39" s="7">
        <v>2</v>
      </c>
      <c r="H39" s="22" t="s">
        <v>327</v>
      </c>
      <c r="I39" s="13">
        <v>42731.318773148145</v>
      </c>
      <c r="J39" s="7">
        <v>1</v>
      </c>
      <c r="K39" s="109" t="str">
        <f>IF(ISEVEN(B39),(B39-1)&amp;"/"&amp;B39,B39&amp;"/"&amp;(B39+1))</f>
        <v>4021/4022</v>
      </c>
      <c r="L39" s="22" t="str">
        <f>VLOOKUP(A39,'Trips&amp;Operators'!$C$1:$G$99999,5,FALSE)</f>
        <v>YOUNG ELIZABETH</v>
      </c>
      <c r="M39" s="6">
        <f>I39-F39</f>
        <v>2.6874999995925464E-2</v>
      </c>
      <c r="N39" s="7">
        <f>24*60*SUM($M39:$M39)</f>
        <v>38.699999994132668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https://search-rtdc-monitor-bjffxe2xuh6vdkpspy63sjmuny.us-east-1.es.amazonaws.com/_plugin/kibana/#/discover/Steve-Slow-Train-Analysis-(2080s-and-2083s)?_g=(refreshInterval:(display:Off,section:0,value:0),time:(from:'2016-12-27 05:56:16-700',mode:absolute,to:'2016-12-27 08:39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9" s="52" t="str">
        <f>IF(AA39&lt;IF(AG39="EC",23,5.65),"Y","N")</f>
        <v>N</v>
      </c>
      <c r="X39" s="177">
        <f>VALUE(LEFT(AD39,4))-VALUE(LEFT(AD38,4))</f>
        <v>1</v>
      </c>
      <c r="Y39" s="67">
        <f>RIGHT(D39,LEN(D39)-4)/10000</f>
        <v>4.6399999999999997E-2</v>
      </c>
      <c r="Z39" s="67">
        <f>RIGHT(H39,LEN(H39)-4)/10000</f>
        <v>23.3307</v>
      </c>
      <c r="AA39" s="67">
        <f>ABS(Z39-Y39)</f>
        <v>23.284300000000002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>IF(LEN(A39)=6,"0"&amp;A39,A39)</f>
        <v>0127-27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/stypes="app*4022*20161227*"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127-27 --locoid 4022 --swversion DE.1.0.8.0 --startMP 204:464 --initTime 2016-12-27T06:56:16 --startdatetime 2016-12-27T07:00:20 --delay 2 --endMP 204:233307 --enddatetime 2016-12-27T07:39:02 --enforcementcount 1 &gt;&gt;C:\Users\stu\Documents\GitHub\eaglep3-reporting\EC\2016-12-27-refined-times.txt</v>
      </c>
      <c r="AI39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{"issue":{"subject":"","project_id":79,"tracker_id":40,"status_id":1,"priority_id":2,"assigned_to_id":23,"start_date":"2016-12-27","description":"","custom_fields":[{"id":1,"name":"Subdivision","value":"EC"},{"id":4,"name":"Milepost","value":"23.3307"},{"id":17,"name":"Train ID","value":"127-27"},{"id":16,"name":"Locomotive ID","value":"4022"},{"id":130,"name":"Impact","value":""},{"id":150,"name":"Time of Event (Mountain Time)","value":"07:39:02"},{"id":151,"name":"Denver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506</v>
      </c>
      <c r="B40" s="7">
        <v>4021</v>
      </c>
      <c r="C40" s="22" t="s">
        <v>205</v>
      </c>
      <c r="D40" s="22" t="s">
        <v>282</v>
      </c>
      <c r="E40" s="13">
        <v>42731.323240740741</v>
      </c>
      <c r="F40" s="13">
        <v>42731.33084490741</v>
      </c>
      <c r="G40" s="7">
        <v>1</v>
      </c>
      <c r="H40" s="22" t="s">
        <v>315</v>
      </c>
      <c r="I40" s="13">
        <v>42731.359953703701</v>
      </c>
      <c r="J40" s="7">
        <v>1</v>
      </c>
      <c r="K40" s="109" t="str">
        <f>IF(ISEVEN(B40),(B40-1)&amp;"/"&amp;B40,B40&amp;"/"&amp;(B40+1))</f>
        <v>4021/4022</v>
      </c>
      <c r="L40" s="22" t="str">
        <f>VLOOKUP(A40,'Trips&amp;Operators'!$C$1:$G$99999,5,FALSE)</f>
        <v>YOUNG ELIZABETH</v>
      </c>
      <c r="M40" s="6">
        <f>I40-F40</f>
        <v>2.9108796290529426E-2</v>
      </c>
      <c r="N40" s="7">
        <f>24*60*SUM($M40:$M40)</f>
        <v>41.916666658362374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https://search-rtdc-monitor-bjffxe2xuh6vdkpspy63sjmuny.us-east-1.es.amazonaws.com/_plugin/kibana/#/discover/Steve-Slow-Train-Analysis-(2080s-and-2083s)?_g=(refreshInterval:(display:Off,section:0,value:0),time:(from:'2016-12-27 06:45:28-700',mode:absolute,to:'2016-12-27 09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0" s="52" t="str">
        <f>IF(AA40&lt;IF(AG40="EC",23,5.65),"Y","N")</f>
        <v>N</v>
      </c>
      <c r="X40" s="177">
        <f>VALUE(LEFT(AD40,4))-VALUE(LEFT(AD39,4))</f>
        <v>1</v>
      </c>
      <c r="Y40" s="67">
        <f>RIGHT(D40,LEN(D40)-4)/10000</f>
        <v>23.297799999999999</v>
      </c>
      <c r="Z40" s="67">
        <f>RIGHT(H40,LEN(H40)-4)/10000</f>
        <v>1.6500000000000001E-2</v>
      </c>
      <c r="AA40" s="67">
        <f>ABS(Z40-Y40)</f>
        <v>23.281299999999998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>IF(LEN(A40)=6,"0"&amp;A40,A40)</f>
        <v>0128-27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s3://rtdc.mdm.uploadarchive.raw/RTDC4021/ "%USERPROFILE%\AppData\Local\Temp\OnboardLogs"\RTDC4021\2016-12-27 --exclude "*" --recursive --include "*20161227*" &amp; "%USERPROFILE%\Documents\GitHub\mrs-test-scripts\Headless Mode &amp; Sideloading\WalkAndUnGZ.bat" "%USERPROFILE%\AppData\Local\Temp\OnboardLogs"\RTDC4021\2016-12-27 &amp; aws s3 cp s3://rtdc.mdm.uploadarchive.raw/RTDC4021/ "%USERPROFILE%\AppData\Local\Temp\OnboardLogs"\RTDC4021\2016-12-28 --exclude "*" --recursive --include "*20161228*" &amp; "%USERPROFILE%\Documents\GitHub\mrs-test-scripts\Headless Mode &amp; Sideloading\WalkAndUnGZ.bat" "%USERPROFILE%\AppData\Local\Temp\OnboardLogs"\RTDC4021\2016-12-28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/stypes="app*4021*20161227*"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128-27 --locoid 4021 --swversion DE.1.0.8.0 --startMP 204:232978 --initTime 2016-12-27T07:45:28 --startdatetime 2016-12-27T07:56:25 --delay 1 --endMP 204:165 --enddatetime 2016-12-27T08:38:20 --enforcementcount 1 &gt;&gt;C:\Users\stu\Documents\GitHub\eaglep3-reporting\EC\2016-12-27-refined-times.txt</v>
      </c>
      <c r="AI40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{"issue":{"subject":"","project_id":79,"tracker_id":40,"status_id":1,"priority_id":2,"assigned_to_id":23,"start_date":"2016-12-27","description":"","custom_fields":[{"id":1,"name":"Subdivision","value":"EC"},{"id":4,"name":"Milepost","value":"0.0165"},{"id":17,"name":"Train ID","value":"128-27"},{"id":16,"name":"Locomotive ID","value":"4021"},{"id":130,"name":"Impact","value":""},{"id":150,"name":"Time of Event (Mountain Time)","value":"08:38:20"},{"id":151,"name":"Denver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498</v>
      </c>
      <c r="B41" s="7">
        <v>4051</v>
      </c>
      <c r="C41" s="22" t="s">
        <v>205</v>
      </c>
      <c r="D41" s="22" t="s">
        <v>398</v>
      </c>
      <c r="E41" s="13">
        <v>42731.299039351848</v>
      </c>
      <c r="F41" s="13">
        <v>42731.30228009259</v>
      </c>
      <c r="G41" s="7">
        <v>1</v>
      </c>
      <c r="H41" s="22" t="s">
        <v>345</v>
      </c>
      <c r="I41" s="13">
        <v>42731.328518518516</v>
      </c>
      <c r="J41" s="7">
        <v>1</v>
      </c>
      <c r="K41" s="109" t="str">
        <f>IF(ISEVEN(B41),(B41-1)&amp;"/"&amp;B41,B41&amp;"/"&amp;(B41+1))</f>
        <v>4051/4052</v>
      </c>
      <c r="L41" s="22" t="str">
        <f>VLOOKUP(A41,'Trips&amp;Operators'!$C$1:$G$99999,5,FALSE)</f>
        <v>COMELLA JUSTIN</v>
      </c>
      <c r="M41" s="6">
        <f>I41-F41</f>
        <v>2.6238425925839692E-2</v>
      </c>
      <c r="N41" s="7">
        <f>24*60*SUM($M41:$M41)</f>
        <v>37.783333333209157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https://search-rtdc-monitor-bjffxe2xuh6vdkpspy63sjmuny.us-east-1.es.amazonaws.com/_plugin/kibana/#/discover/Steve-Slow-Train-Analysis-(2080s-and-2083s)?_g=(refreshInterval:(display:Off,section:0,value:0),time:(from:'2016-12-27 06:10:37-700',mode:absolute,to:'2016-12-27 08:53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1" s="52" t="str">
        <f>IF(AA41&lt;IF(AG41="EC",23,5.65),"Y","N")</f>
        <v>N</v>
      </c>
      <c r="X41" s="177">
        <f>VALUE(LEFT(AD41,4))-VALUE(LEFT(AD40,4))</f>
        <v>1</v>
      </c>
      <c r="Y41" s="67">
        <f>RIGHT(D41,LEN(D41)-4)/10000</f>
        <v>4.6899999999999997E-2</v>
      </c>
      <c r="Z41" s="67">
        <f>RIGHT(H41,LEN(H41)-4)/10000</f>
        <v>23.3291</v>
      </c>
      <c r="AA41" s="67">
        <f>ABS(Z41-Y41)</f>
        <v>23.2822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>IF(LEN(A41)=6,"0"&amp;A41,A41)</f>
        <v>0129-27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/stypes="app*4051*20161227*"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129-27 --locoid 4051 --swversion DE.1.0.8.0 --startMP 204:469 --initTime 2016-12-27T07:10:37 --startdatetime 2016-12-27T07:15:17 --delay 1 --endMP 204:233291 --enddatetime 2016-12-27T07:53:04 --enforcementcount 1 &gt;&gt;C:\Users\stu\Documents\GitHub\eaglep3-reporting\EC\2016-12-27-refined-times.txt</v>
      </c>
      <c r="AI41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{"issue":{"subject":"","project_id":79,"tracker_id":40,"status_id":1,"priority_id":2,"assigned_to_id":23,"start_date":"2016-12-27","description":"","custom_fields":[{"id":1,"name":"Subdivision","value":"EC"},{"id":4,"name":"Milepost","value":"23.3291"},{"id":17,"name":"Train ID","value":"129-27"},{"id":16,"name":"Locomotive ID","value":"4051"},{"id":130,"name":"Impact","value":""},{"id":150,"name":"Time of Event (Mountain Time)","value":"07:53:04"},{"id":151,"name":"Denver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509</v>
      </c>
      <c r="B42" s="7">
        <v>4052</v>
      </c>
      <c r="C42" s="22" t="s">
        <v>205</v>
      </c>
      <c r="D42" s="22" t="s">
        <v>360</v>
      </c>
      <c r="E42" s="13">
        <v>42731.334988425922</v>
      </c>
      <c r="F42" s="13">
        <v>42731.341145833336</v>
      </c>
      <c r="G42" s="7">
        <v>1</v>
      </c>
      <c r="H42" s="22" t="s">
        <v>243</v>
      </c>
      <c r="I42" s="13">
        <v>42731.369502314818</v>
      </c>
      <c r="J42" s="7">
        <v>1</v>
      </c>
      <c r="K42" s="109" t="str">
        <f>IF(ISEVEN(B42),(B42-1)&amp;"/"&amp;B42,B42&amp;"/"&amp;(B42+1))</f>
        <v>4051/4052</v>
      </c>
      <c r="L42" s="22" t="str">
        <f>VLOOKUP(A42,'Trips&amp;Operators'!$C$1:$G$99999,5,FALSE)</f>
        <v>COMELLA JUSTIN</v>
      </c>
      <c r="M42" s="6">
        <f>I42-F42</f>
        <v>2.8356481481750961E-2</v>
      </c>
      <c r="N42" s="7">
        <f>24*60*SUM($M42:$M42)</f>
        <v>40.833333333721384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https://search-rtdc-monitor-bjffxe2xuh6vdkpspy63sjmuny.us-east-1.es.amazonaws.com/_plugin/kibana/#/discover/Steve-Slow-Train-Analysis-(2080s-and-2083s)?_g=(refreshInterval:(display:Off,section:0,value:0),time:(from:'2016-12-27 07:02:23-700',mode:absolute,to:'2016-12-27 09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2" s="52" t="str">
        <f>IF(AA42&lt;IF(AG42="EC",23,5.65),"Y","N")</f>
        <v>N</v>
      </c>
      <c r="X42" s="177">
        <f>VALUE(LEFT(AD42,4))-VALUE(LEFT(AD41,4))</f>
        <v>1</v>
      </c>
      <c r="Y42" s="67">
        <f>RIGHT(D42,LEN(D42)-4)/10000</f>
        <v>23.2989</v>
      </c>
      <c r="Z42" s="67">
        <f>RIGHT(H42,LEN(H42)-4)/10000</f>
        <v>1.6299999999999999E-2</v>
      </c>
      <c r="AA42" s="67">
        <f>ABS(Z42-Y42)</f>
        <v>23.282599999999999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>IF(LEN(A42)=6,"0"&amp;A42,A42)</f>
        <v>0130-27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/stypes="app*4052*20161227*"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130-27 --locoid 4052 --swversion DE.1.0.8.0 --startMP 204:232989 --initTime 2016-12-27T08:02:23 --startdatetime 2016-12-27T08:11:15 --delay 1 --endMP 204:163 --enddatetime 2016-12-27T08:52:05 --enforcementcount 1 &gt;&gt;C:\Users\stu\Documents\GitHub\eaglep3-reporting\EC\2016-12-27-refined-times.txt</v>
      </c>
      <c r="AI42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{"issue":{"subject":"","project_id":79,"tracker_id":40,"status_id":1,"priority_id":2,"assigned_to_id":23,"start_date":"2016-12-27","description":"","custom_fields":[{"id":1,"name":"Subdivision","value":"EC"},{"id":4,"name":"Milepost","value":"0.0163"},{"id":17,"name":"Train ID","value":"130-27"},{"id":16,"name":"Locomotive ID","value":"4052"},{"id":130,"name":"Impact","value":""},{"id":150,"name":"Time of Event (Mountain Time)","value":"08:52:05"},{"id":151,"name":"Denver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501</v>
      </c>
      <c r="B43" s="7">
        <v>4007</v>
      </c>
      <c r="C43" s="22" t="s">
        <v>205</v>
      </c>
      <c r="D43" s="22" t="s">
        <v>359</v>
      </c>
      <c r="E43" s="13">
        <v>42731.308888888889</v>
      </c>
      <c r="F43" s="13">
        <v>42731.3128125</v>
      </c>
      <c r="G43" s="7">
        <v>1</v>
      </c>
      <c r="H43" s="22" t="s">
        <v>308</v>
      </c>
      <c r="I43" s="13">
        <v>42731.337442129632</v>
      </c>
      <c r="J43" s="7">
        <v>1</v>
      </c>
      <c r="K43" s="109" t="str">
        <f>IF(ISEVEN(B43),(B43-1)&amp;"/"&amp;B43,B43&amp;"/"&amp;(B43+1))</f>
        <v>4007/4008</v>
      </c>
      <c r="L43" s="22" t="str">
        <f>VLOOKUP(A43,'Trips&amp;Operators'!$C$1:$G$99999,5,FALSE)</f>
        <v>MAELZER KURT</v>
      </c>
      <c r="M43" s="6">
        <f>I43-F43</f>
        <v>2.4629629631817807E-2</v>
      </c>
      <c r="N43" s="7">
        <f>24*60*SUM($M43:$M43)</f>
        <v>35.466666669817641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https://search-rtdc-monitor-bjffxe2xuh6vdkpspy63sjmuny.us-east-1.es.amazonaws.com/_plugin/kibana/#/discover/Steve-Slow-Train-Analysis-(2080s-and-2083s)?_g=(refreshInterval:(display:Off,section:0,value:0),time:(from:'2016-12-27 06:24:48-700',mode:absolute,to:'2016-12-27 09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3" s="52" t="str">
        <f>IF(AA43&lt;IF(AG43="EC",23,5.65),"Y","N")</f>
        <v>N</v>
      </c>
      <c r="X43" s="177">
        <f>VALUE(LEFT(AD43,4))-VALUE(LEFT(AD42,4))</f>
        <v>1</v>
      </c>
      <c r="Y43" s="67">
        <f>RIGHT(D43,LEN(D43)-4)/10000</f>
        <v>4.4400000000000002E-2</v>
      </c>
      <c r="Z43" s="67">
        <f>RIGHT(H43,LEN(H43)-4)/10000</f>
        <v>23.331199999999999</v>
      </c>
      <c r="AA43" s="67">
        <f>ABS(Z43-Y43)</f>
        <v>23.286799999999999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>IF(LEN(A43)=6,"0"&amp;A43,A43)</f>
        <v>0131-27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/stypes="app*4007*20161227*"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131-27 --locoid 4007 --swversion DE.1.0.8.0 --startMP 204:444 --initTime 2016-12-27T07:24:48 --startdatetime 2016-12-27T07:30:27 --delay 1 --endMP 204:233312 --enddatetime 2016-12-27T08:05:55 --enforcementcount 1 &gt;&gt;C:\Users\stu\Documents\GitHub\eaglep3-reporting\EC\2016-12-27-refined-times.txt</v>
      </c>
      <c r="AI43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{"issue":{"subject":"","project_id":79,"tracker_id":40,"status_id":1,"priority_id":2,"assigned_to_id":23,"start_date":"2016-12-27","description":"","custom_fields":[{"id":1,"name":"Subdivision","value":"EC"},{"id":4,"name":"Milepost","value":"23.3312"},{"id":17,"name":"Train ID","value":"131-27"},{"id":16,"name":"Locomotive ID","value":"4007"},{"id":130,"name":"Impact","value":""},{"id":150,"name":"Time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512</v>
      </c>
      <c r="B44" s="7">
        <v>4008</v>
      </c>
      <c r="C44" s="22" t="s">
        <v>205</v>
      </c>
      <c r="D44" s="22" t="s">
        <v>312</v>
      </c>
      <c r="E44" s="13">
        <v>42731.342905092592</v>
      </c>
      <c r="F44" s="13">
        <v>42731.351655092592</v>
      </c>
      <c r="G44" s="7">
        <v>1</v>
      </c>
      <c r="H44" s="22" t="s">
        <v>191</v>
      </c>
      <c r="I44" s="13">
        <v>42731.378206018519</v>
      </c>
      <c r="J44" s="7">
        <v>1</v>
      </c>
      <c r="K44" s="109" t="str">
        <f>IF(ISEVEN(B44),(B44-1)&amp;"/"&amp;B44,B44&amp;"/"&amp;(B44+1))</f>
        <v>4007/4008</v>
      </c>
      <c r="L44" s="22" t="str">
        <f>VLOOKUP(A44,'Trips&amp;Operators'!$C$1:$G$99999,5,FALSE)</f>
        <v>MAELZER KURT</v>
      </c>
      <c r="M44" s="6">
        <f>I44-F44</f>
        <v>2.6550925926130731E-2</v>
      </c>
      <c r="N44" s="7">
        <f>24*60*SUM($M44:$M44)</f>
        <v>38.233333333628252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https://search-rtdc-monitor-bjffxe2xuh6vdkpspy63sjmuny.us-east-1.es.amazonaws.com/_plugin/kibana/#/discover/Steve-Slow-Train-Analysis-(2080s-and-2083s)?_g=(refreshInterval:(display:Off,section:0,value:0),time:(from:'2016-12-27 07:13:47-700',mode:absolute,to:'2016-12-27 10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4" s="52" t="str">
        <f>IF(AA44&lt;IF(AG44="EC",23,5.65),"Y","N")</f>
        <v>N</v>
      </c>
      <c r="X44" s="177">
        <f>VALUE(LEFT(AD44,4))-VALUE(LEFT(AD43,4))</f>
        <v>1</v>
      </c>
      <c r="Y44" s="67">
        <f>RIGHT(D44,LEN(D44)-4)/10000</f>
        <v>23.297999999999998</v>
      </c>
      <c r="Z44" s="67">
        <f>RIGHT(H44,LEN(H44)-4)/10000</f>
        <v>1.49E-2</v>
      </c>
      <c r="AA44" s="67">
        <f>ABS(Z44-Y44)</f>
        <v>23.283099999999997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>IF(LEN(A44)=6,"0"&amp;A44,A44)</f>
        <v>0132-27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/stypes="app*4008*20161227*"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132-27 --locoid 4008 --swversion DE.1.0.8.0 --startMP 204:232980 --initTime 2016-12-27T08:13:47 --startdatetime 2016-12-27T08:26:23 --delay 1 --endMP 204:149 --enddatetime 2016-12-27T09:04:37 --enforcementcount 1 &gt;&gt;C:\Users\stu\Documents\GitHub\eaglep3-reporting\EC\2016-12-27-refined-times.txt</v>
      </c>
      <c r="AI44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{"issue":{"subject":"","project_id":79,"tracker_id":40,"status_id":1,"priority_id":2,"assigned_to_id":23,"start_date":"2016-12-27","description":"","custom_fields":[{"id":1,"name":"Subdivision","value":"EC"},{"id":4,"name":"Milepost","value":"0.0149"},{"id":17,"name":"Train ID","value":"132-27"},{"id":16,"name":"Locomotive ID","value":"4008"},{"id":130,"name":"Impact","value":""},{"id":150,"name":"Time of Event (Mountain Time)","value":"09:04:37"},{"id":151,"name":"Denver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504</v>
      </c>
      <c r="B45" s="7">
        <v>4042</v>
      </c>
      <c r="C45" s="22" t="s">
        <v>205</v>
      </c>
      <c r="D45" s="22" t="s">
        <v>264</v>
      </c>
      <c r="E45" s="13">
        <v>42731.318958333337</v>
      </c>
      <c r="F45" s="13">
        <v>42731.323171296295</v>
      </c>
      <c r="G45" s="7">
        <v>1</v>
      </c>
      <c r="H45" s="22" t="s">
        <v>309</v>
      </c>
      <c r="I45" s="13">
        <v>42731.34988425926</v>
      </c>
      <c r="J45" s="7">
        <v>1</v>
      </c>
      <c r="K45" s="109" t="str">
        <f>IF(ISEVEN(B45),(B45-1)&amp;"/"&amp;B45,B45&amp;"/"&amp;(B45+1))</f>
        <v>4041/4042</v>
      </c>
      <c r="L45" s="22" t="str">
        <f>VLOOKUP(A45,'Trips&amp;Operators'!$C$1:$G$99999,5,FALSE)</f>
        <v>STARKS ANGELINA</v>
      </c>
      <c r="M45" s="6">
        <f>I45-F45</f>
        <v>2.6712962964666076E-2</v>
      </c>
      <c r="N45" s="7">
        <f>24*60*SUM($M45:$M45)</f>
        <v>38.466666669119149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https://search-rtdc-monitor-bjffxe2xuh6vdkpspy63sjmuny.us-east-1.es.amazonaws.com/_plugin/kibana/#/discover/Steve-Slow-Train-Analysis-(2080s-and-2083s)?_g=(refreshInterval:(display:Off,section:0,value:0),time:(from:'2016-12-27 06:39:18-700',mode:absolute,to:'2016-12-27 09:23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>IF(AA45&lt;IF(AG45="EC",23,5.65),"Y","N")</f>
        <v>N</v>
      </c>
      <c r="X45" s="177">
        <f>VALUE(LEFT(AD45,4))-VALUE(LEFT(AD44,4))</f>
        <v>1</v>
      </c>
      <c r="Y45" s="67">
        <f>RIGHT(D45,LEN(D45)-4)/10000</f>
        <v>4.6199999999999998E-2</v>
      </c>
      <c r="Z45" s="67">
        <f>RIGHT(H45,LEN(H45)-4)/10000</f>
        <v>23.3293</v>
      </c>
      <c r="AA45" s="67">
        <f>ABS(Z45-Y45)</f>
        <v>23.283100000000001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>IF(LEN(A45)=6,"0"&amp;A45,A45)</f>
        <v>0133-27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/stypes="app*4042*20161227*"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133-27 --locoid 4042 --swversion DE.1.0.8.0 --startMP 204:462 --initTime 2016-12-27T07:39:18 --startdatetime 2016-12-27T07:45:22 --delay 1 --endMP 204:233293 --enddatetime 2016-12-27T08:23:50 --enforcementcount 1 &gt;&gt;C:\Users\stu\Documents\GitHub\eaglep3-reporting\EC\2016-12-27-refined-times.txt</v>
      </c>
      <c r="AI45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{"issue":{"subject":"","project_id":79,"tracker_id":40,"status_id":1,"priority_id":2,"assigned_to_id":23,"start_date":"2016-12-27","description":"","custom_fields":[{"id":1,"name":"Subdivision","value":"EC"},{"id":4,"name":"Milepost","value":"23.3293"},{"id":17,"name":"Train ID","value":"133-27"},{"id":16,"name":"Locomotive ID","value":"4042"},{"id":130,"name":"Impact","value":""},{"id":150,"name":"Time of Event (Mountain Time)","value":"08:23:50"},{"id":151,"name":"Denver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433</v>
      </c>
      <c r="B46" s="7">
        <v>4041</v>
      </c>
      <c r="C46" s="22" t="s">
        <v>205</v>
      </c>
      <c r="D46" s="22" t="s">
        <v>323</v>
      </c>
      <c r="E46" s="13">
        <v>42731.359884259262</v>
      </c>
      <c r="F46" s="13">
        <v>42731.361990740741</v>
      </c>
      <c r="G46" s="7">
        <v>1</v>
      </c>
      <c r="H46" s="22" t="s">
        <v>677</v>
      </c>
      <c r="I46" s="13">
        <v>42731.389664351853</v>
      </c>
      <c r="J46" s="7">
        <v>1</v>
      </c>
      <c r="K46" s="109" t="str">
        <f>IF(ISEVEN(B46),(B46-1)&amp;"/"&amp;B46,B46&amp;"/"&amp;(B46+1))</f>
        <v>4041/4042</v>
      </c>
      <c r="L46" s="22" t="str">
        <f>VLOOKUP(A46,'Trips&amp;Operators'!$C$1:$G$99999,5,FALSE)</f>
        <v>STARKS ANGELINA</v>
      </c>
      <c r="M46" s="6">
        <f>I46-F46</f>
        <v>2.7673611111822538E-2</v>
      </c>
      <c r="N46" s="7">
        <f>24*60*SUM($M46:$M46)</f>
        <v>39.850000001024455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https://search-rtdc-monitor-bjffxe2xuh6vdkpspy63sjmuny.us-east-1.es.amazonaws.com/_plugin/kibana/#/discover/Steve-Slow-Train-Analysis-(2080s-and-2083s)?_g=(refreshInterval:(display:Off,section:0,value:0),time:(from:'2016-12-27 07:38:14-700',mode:absolute,to:'2016-12-27 10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>IF(AA46&lt;IF(AG46="EC",23,5.65),"Y","N")</f>
        <v>N</v>
      </c>
      <c r="X46" s="177">
        <f>VALUE(LEFT(AD46,4))-VALUE(LEFT(AD45,4))</f>
        <v>1</v>
      </c>
      <c r="Y46" s="67">
        <f>RIGHT(D46,LEN(D46)-4)/10000</f>
        <v>23.299800000000001</v>
      </c>
      <c r="Z46" s="67">
        <f>RIGHT(H46,LEN(H46)-4)/10000</f>
        <v>2.23E-2</v>
      </c>
      <c r="AA46" s="67">
        <f>ABS(Z46-Y46)</f>
        <v>23.2775</v>
      </c>
      <c r="AB46" s="64" t="str">
        <f>VLOOKUP(A46,Enforcements!$C$7:$K$19,8,0)</f>
        <v>Form based authority (4)</v>
      </c>
      <c r="AC46" s="60" t="str">
        <f>VLOOKUP(A46,Enforcements!$C$7:$E$19,3,0)</f>
        <v>TRACK WARRANT AUTHORITY</v>
      </c>
      <c r="AD46" s="61" t="str">
        <f>IF(LEN(A46)=6,"0"&amp;A46,A46)</f>
        <v>0134-27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/stypes="app*4041*20161227*"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134-27 --locoid 4041 --swversion DE.1.0.8.0 --startMP 204:232998 --initTime 2016-12-27T08:38:14 --startdatetime 2016-12-27T08:41:16 --delay 1 --endMP 204:223 --enddatetime 2016-12-27T09:21:07 --enforcementcount 1 &gt;&gt;C:\Users\stu\Documents\GitHub\eaglep3-reporting\EC\2016-12-27-refined-times.txt</v>
      </c>
      <c r="AI46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{"issue":{"subject":"","project_id":79,"tracker_id":40,"status_id":1,"priority_id":2,"assigned_to_id":23,"start_date":"2016-12-27","description":"","custom_fields":[{"id":1,"name":"Subdivision","value":"EC"},{"id":4,"name":"Milepost","value":"0.0223"},{"id":17,"name":"Train ID","value":"134-27"},{"id":16,"name":"Locomotive ID","value":"4041"},{"id":130,"name":"Impact","value":""},{"id":150,"name":"Time of Event (Mountain Time)","value":"09:21:07"},{"id":151,"name":"Denver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507</v>
      </c>
      <c r="B47" s="7">
        <v>4002</v>
      </c>
      <c r="C47" s="22" t="s">
        <v>205</v>
      </c>
      <c r="D47" s="22" t="s">
        <v>678</v>
      </c>
      <c r="E47" s="13">
        <v>42731.328136574077</v>
      </c>
      <c r="F47" s="13">
        <v>42731.333437499998</v>
      </c>
      <c r="G47" s="7">
        <v>1</v>
      </c>
      <c r="H47" s="22" t="s">
        <v>274</v>
      </c>
      <c r="I47" s="13">
        <v>42731.357627314814</v>
      </c>
      <c r="J47" s="7">
        <v>1</v>
      </c>
      <c r="K47" s="109" t="str">
        <f>IF(ISEVEN(B47),(B47-1)&amp;"/"&amp;B47,B47&amp;"/"&amp;(B47+1))</f>
        <v>4001/4002</v>
      </c>
      <c r="L47" s="22" t="str">
        <f>VLOOKUP(A47,'Trips&amp;Operators'!$C$1:$G$99999,5,FALSE)</f>
        <v>DUNCAN SHEILA</v>
      </c>
      <c r="M47" s="6">
        <f>I47-F47</f>
        <v>2.4189814816054422E-2</v>
      </c>
      <c r="N47" s="7">
        <f>24*60*SUM($M47:$M47)</f>
        <v>34.833333335118368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https://search-rtdc-monitor-bjffxe2xuh6vdkpspy63sjmuny.us-east-1.es.amazonaws.com/_plugin/kibana/#/discover/Steve-Slow-Train-Analysis-(2080s-and-2083s)?_g=(refreshInterval:(display:Off,section:0,value:0),time:(from:'2016-12-27 06:52:31-700',mode:absolute,to:'2016-12-27 09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7" s="52" t="str">
        <f>IF(AA47&lt;IF(AG47="EC",23,5.65),"Y","N")</f>
        <v>N</v>
      </c>
      <c r="X47" s="177">
        <f>VALUE(LEFT(AD47,4))-VALUE(LEFT(AD46,4))</f>
        <v>1</v>
      </c>
      <c r="Y47" s="67">
        <f>RIGHT(D47,LEN(D47)-4)/10000</f>
        <v>4.3099999999999999E-2</v>
      </c>
      <c r="Z47" s="67">
        <f>RIGHT(H47,LEN(H47)-4)/10000</f>
        <v>23.329899999999999</v>
      </c>
      <c r="AA47" s="67">
        <f>ABS(Z47-Y47)</f>
        <v>23.286799999999999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>IF(LEN(A47)=6,"0"&amp;A47,A47)</f>
        <v>0135-27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/stypes="app*4002*20161227*"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135-27 --locoid 4002 --swversion DE.1.0.8.0 --startMP 204:431 --initTime 2016-12-27T07:52:31 --startdatetime 2016-12-27T08:00:09 --delay 1 --endMP 204:233299 --enddatetime 2016-12-27T08:34:59 --enforcementcount 1 &gt;&gt;C:\Users\stu\Documents\GitHub\eaglep3-reporting\EC\2016-12-27-refined-times.txt</v>
      </c>
      <c r="AI47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{"issue":{"subject":"","project_id":79,"tracker_id":40,"status_id":1,"priority_id":2,"assigned_to_id":23,"start_date":"2016-12-27","description":"","custom_fields":[{"id":1,"name":"Subdivision","value":"EC"},{"id":4,"name":"Milepost","value":"23.3299"},{"id":17,"name":"Train ID","value":"135-27"},{"id":16,"name":"Locomotive ID","value":"4002"},{"id":130,"name":"Impact","value":""},{"id":150,"name":"Time of Event (Mountain Time)","value":"08:34:59"},{"id":151,"name":"Denver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516</v>
      </c>
      <c r="B48" s="7">
        <v>4001</v>
      </c>
      <c r="C48" s="22" t="s">
        <v>205</v>
      </c>
      <c r="D48" s="22" t="s">
        <v>395</v>
      </c>
      <c r="E48" s="13">
        <v>42731.361817129633</v>
      </c>
      <c r="F48" s="13">
        <v>42731.372534722221</v>
      </c>
      <c r="G48" s="7">
        <v>1</v>
      </c>
      <c r="H48" s="22" t="s">
        <v>191</v>
      </c>
      <c r="I48" s="13">
        <v>42731.399907407409</v>
      </c>
      <c r="J48" s="7">
        <v>1</v>
      </c>
      <c r="K48" s="109" t="str">
        <f>IF(ISEVEN(B48),(B48-1)&amp;"/"&amp;B48,B48&amp;"/"&amp;(B48+1))</f>
        <v>4001/4002</v>
      </c>
      <c r="L48" s="22" t="str">
        <f>VLOOKUP(A48,'Trips&amp;Operators'!$C$1:$G$99999,5,FALSE)</f>
        <v>DUNCAN SHEILA</v>
      </c>
      <c r="M48" s="6">
        <f>I48-F48</f>
        <v>2.7372685188311152E-2</v>
      </c>
      <c r="N48" s="7">
        <f>24*60*SUM($M48:$M48)</f>
        <v>39.416666671168059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https://search-rtdc-monitor-bjffxe2xuh6vdkpspy63sjmuny.us-east-1.es.amazonaws.com/_plugin/kibana/#/discover/Steve-Slow-Train-Analysis-(2080s-and-2083s)?_g=(refreshInterval:(display:Off,section:0,value:0),time:(from:'2016-12-27 07:41:01-700',mode:absolute,to:'2016-12-27 10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8" s="52" t="str">
        <f>IF(AA48&lt;IF(AG48="EC",23,5.65),"Y","N")</f>
        <v>N</v>
      </c>
      <c r="X48" s="177">
        <f>VALUE(LEFT(AD48,4))-VALUE(LEFT(AD47,4))</f>
        <v>1</v>
      </c>
      <c r="Y48" s="67">
        <f>RIGHT(D48,LEN(D48)-4)/10000</f>
        <v>23.297499999999999</v>
      </c>
      <c r="Z48" s="67">
        <f>RIGHT(H48,LEN(H48)-4)/10000</f>
        <v>1.49E-2</v>
      </c>
      <c r="AA48" s="67">
        <f>ABS(Z48-Y48)</f>
        <v>23.282599999999999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>IF(LEN(A48)=6,"0"&amp;A48,A48)</f>
        <v>0136-27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/stypes="app*4001*20161227*" /stext=" 16:.+((SYSTEM_STATE.+slice.+state.+changed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136-27 --locoid 4001 --swversion DE.1.0.8.0 --startMP 204:232975 --initTime 2016-12-27T08:41:01 --startdatetime 2016-12-27T08:56:27 --delay 1 --endMP 204:149 --enddatetime 2016-12-27T09:35:52 --enforcementcount 1 &gt;&gt;C:\Users\stu\Documents\GitHub\eaglep3-reporting\EC\2016-12-27-refined-times.txt</v>
      </c>
      <c r="AI48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{"issue":{"subject":"","project_id":79,"tracker_id":40,"status_id":1,"priority_id":2,"assigned_to_id":23,"start_date":"2016-12-27","description":"","custom_fields":[{"id":1,"name":"Subdivision","value":"EC"},{"id":4,"name":"Milepost","value":"0.0149"},{"id":17,"name":"Train ID","value":"136-27"},{"id":16,"name":"Locomotive ID","value":"4001"},{"id":130,"name":"Impact","value":""},{"id":150,"name":"Time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511</v>
      </c>
      <c r="B49" s="7">
        <v>4027</v>
      </c>
      <c r="C49" s="22" t="s">
        <v>205</v>
      </c>
      <c r="D49" s="22" t="s">
        <v>344</v>
      </c>
      <c r="E49" s="13">
        <v>42731.339583333334</v>
      </c>
      <c r="F49" s="13">
        <v>42731.343935185185</v>
      </c>
      <c r="G49" s="7">
        <v>1</v>
      </c>
      <c r="H49" s="22" t="s">
        <v>679</v>
      </c>
      <c r="I49" s="13">
        <v>42731.36891203704</v>
      </c>
      <c r="J49" s="7">
        <v>1</v>
      </c>
      <c r="K49" s="109" t="str">
        <f>IF(ISEVEN(B49),(B49-1)&amp;"/"&amp;B49,B49&amp;"/"&amp;(B49+1))</f>
        <v>4027/4028</v>
      </c>
      <c r="L49" s="22" t="str">
        <f>VLOOKUP(A49,'Trips&amp;Operators'!$C$1:$G$99999,5,FALSE)</f>
        <v>DAVIS WENDY</v>
      </c>
      <c r="M49" s="6">
        <f>I49-F49</f>
        <v>2.4976851855171844E-2</v>
      </c>
      <c r="N49" s="7">
        <f>24*60*SUM($M49:$M49)</f>
        <v>35.966666671447456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https://search-rtdc-monitor-bjffxe2xuh6vdkpspy63sjmuny.us-east-1.es.amazonaws.com/_plugin/kibana/#/discover/Steve-Slow-Train-Analysis-(2080s-and-2083s)?_g=(refreshInterval:(display:Off,section:0,value:0),time:(from:'2016-12-27 07:09:00-700',mode:absolute,to:'2016-12-27 09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9" s="52" t="str">
        <f>IF(AA49&lt;IF(AG49="EC",23,5.65),"Y","N")</f>
        <v>N</v>
      </c>
      <c r="X49" s="177">
        <f>VALUE(LEFT(AD49,4))-VALUE(LEFT(AD48,4))</f>
        <v>1</v>
      </c>
      <c r="Y49" s="67">
        <f>RIGHT(D49,LEN(D49)-4)/10000</f>
        <v>4.5699999999999998E-2</v>
      </c>
      <c r="Z49" s="67">
        <f>RIGHT(H49,LEN(H49)-4)/10000</f>
        <v>23.332100000000001</v>
      </c>
      <c r="AA49" s="67">
        <f>ABS(Z49-Y49)</f>
        <v>23.2864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>IF(LEN(A49)=6,"0"&amp;A49,A49)</f>
        <v>0137-27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/stypes="app*4027*20161227*" /stext=" 15:.+((SYSTEM_STATE.+slice.+state.+changed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137-27 --locoid 4027 --swversion DE.1.0.8.0 --startMP 204:457 --initTime 2016-12-27T08:09:00 --startdatetime 2016-12-27T08:15:16 --delay 1 --endMP 204:233321 --enddatetime 2016-12-27T08:51:14 --enforcementcount 1 &gt;&gt;C:\Users\stu\Documents\GitHub\eaglep3-reporting\EC\2016-12-27-refined-times.txt</v>
      </c>
      <c r="AI49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{"issue":{"subject":"","project_id":79,"tracker_id":40,"status_id":1,"priority_id":2,"assigned_to_id":23,"start_date":"2016-12-27","description":"","custom_fields":[{"id":1,"name":"Subdivision","value":"EC"},{"id":4,"name":"Milepost","value":"23.3321"},{"id":17,"name":"Train ID","value":"137-27"},{"id":16,"name":"Locomotive ID","value":"4027"},{"id":130,"name":"Impact","value":""},{"id":150,"name":"Time of Event (Mountain Time)","value":"08:51:14"},{"id":151,"name":"Denver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523</v>
      </c>
      <c r="B50" s="7">
        <v>4028</v>
      </c>
      <c r="C50" s="22" t="s">
        <v>205</v>
      </c>
      <c r="D50" s="22" t="s">
        <v>670</v>
      </c>
      <c r="E50" s="13">
        <v>42731.380567129629</v>
      </c>
      <c r="F50" s="13">
        <v>42731.382789351854</v>
      </c>
      <c r="G50" s="7">
        <v>1</v>
      </c>
      <c r="H50" s="22" t="s">
        <v>233</v>
      </c>
      <c r="I50" s="13">
        <v>42731.411620370367</v>
      </c>
      <c r="J50" s="7">
        <v>1</v>
      </c>
      <c r="K50" s="109" t="str">
        <f>IF(ISEVEN(B50),(B50-1)&amp;"/"&amp;B50,B50&amp;"/"&amp;(B50+1))</f>
        <v>4027/4028</v>
      </c>
      <c r="L50" s="22" t="str">
        <f>VLOOKUP(A50,'Trips&amp;Operators'!$C$1:$G$99999,5,FALSE)</f>
        <v>DAVIS WENDY</v>
      </c>
      <c r="M50" s="6">
        <f>I50-F50</f>
        <v>2.8831018513301387E-2</v>
      </c>
      <c r="N50" s="7">
        <f>24*60*SUM($M50:$M50)</f>
        <v>41.516666659153998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https://search-rtdc-monitor-bjffxe2xuh6vdkpspy63sjmuny.us-east-1.es.amazonaws.com/_plugin/kibana/#/discover/Steve-Slow-Train-Analysis-(2080s-and-2083s)?_g=(refreshInterval:(display:Off,section:0,value:0),time:(from:'2016-12-27 08:08:01-700',mode:absolute,to:'2016-12-27 10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0" s="52" t="str">
        <f>IF(AA50&lt;IF(AG50="EC",23,5.65),"Y","N")</f>
        <v>N</v>
      </c>
      <c r="X50" s="177">
        <f>VALUE(LEFT(AD50,4))-VALUE(LEFT(AD49,4))</f>
        <v>1</v>
      </c>
      <c r="Y50" s="67">
        <f>RIGHT(D50,LEN(D50)-4)/10000</f>
        <v>23.3002</v>
      </c>
      <c r="Z50" s="67">
        <f>RIGHT(H50,LEN(H50)-4)/10000</f>
        <v>1.4500000000000001E-2</v>
      </c>
      <c r="AA50" s="67">
        <f>ABS(Z50-Y50)</f>
        <v>23.285699999999999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>IF(LEN(A50)=6,"0"&amp;A50,A50)</f>
        <v>0138-27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/stypes="app*4028*20161227*"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138-27 --locoid 4028 --swversion DE.1.0.8.0 --startMP 204:233002 --initTime 2016-12-27T09:08:01 --startdatetime 2016-12-27T09:11:13 --delay 1 --endMP 204:145 --enddatetime 2016-12-27T09:52:44 --enforcementcount 1 &gt;&gt;C:\Users\stu\Documents\GitHub\eaglep3-reporting\EC\2016-12-27-refined-times.txt</v>
      </c>
      <c r="AI50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{"issue":{"subject":"","project_id":79,"tracker_id":40,"status_id":1,"priority_id":2,"assigned_to_id":23,"start_date":"2016-12-27","description":"","custom_fields":[{"id":1,"name":"Subdivision","value":"EC"},{"id":4,"name":"Milepost","value":"0.0145"},{"id":17,"name":"Train ID","value":"138-27"},{"id":16,"name":"Locomotive ID","value":"4028"},{"id":130,"name":"Impact","value":""},{"id":150,"name":"Time of Event (Mountain Time)","value":"09:52:44"},{"id":151,"name":"Denver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513</v>
      </c>
      <c r="B51" s="7">
        <v>4011</v>
      </c>
      <c r="C51" s="22" t="s">
        <v>205</v>
      </c>
      <c r="D51" s="22" t="s">
        <v>273</v>
      </c>
      <c r="E51" s="13">
        <v>42731.352303240739</v>
      </c>
      <c r="F51" s="13">
        <v>42731.354398148149</v>
      </c>
      <c r="G51" s="7">
        <v>1</v>
      </c>
      <c r="H51" s="22" t="s">
        <v>305</v>
      </c>
      <c r="I51" s="13">
        <v>42731.378784722219</v>
      </c>
      <c r="J51" s="7">
        <v>1</v>
      </c>
      <c r="K51" s="109" t="str">
        <f>IF(ISEVEN(B51),(B51-1)&amp;"/"&amp;B51,B51&amp;"/"&amp;(B51+1))</f>
        <v>4011/4012</v>
      </c>
      <c r="L51" s="22" t="str">
        <f>VLOOKUP(A51,'Trips&amp;Operators'!$C$1:$G$99999,5,FALSE)</f>
        <v>MAGEE KENYA</v>
      </c>
      <c r="M51" s="6">
        <f>I51-F51</f>
        <v>2.438657407037681E-2</v>
      </c>
      <c r="N51" s="7">
        <f>24*60*SUM($M51:$M51)</f>
        <v>35.116666661342606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https://search-rtdc-monitor-bjffxe2xuh6vdkpspy63sjmuny.us-east-1.es.amazonaws.com/_plugin/kibana/#/discover/Steve-Slow-Train-Analysis-(2080s-and-2083s)?_g=(refreshInterval:(display:Off,section:0,value:0),time:(from:'2016-12-27 07:27:19-700',mode:absolute,to:'2016-12-27 10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1" s="52" t="str">
        <f>IF(AA51&lt;IF(AG51="EC",23,5.65),"Y","N")</f>
        <v>N</v>
      </c>
      <c r="X51" s="177">
        <f>VALUE(LEFT(AD51,4))-VALUE(LEFT(AD50,4))</f>
        <v>1</v>
      </c>
      <c r="Y51" s="67">
        <f>RIGHT(D51,LEN(D51)-4)/10000</f>
        <v>4.3999999999999997E-2</v>
      </c>
      <c r="Z51" s="67">
        <f>RIGHT(H51,LEN(H51)-4)/10000</f>
        <v>23.329699999999999</v>
      </c>
      <c r="AA51" s="67">
        <f>ABS(Z51-Y51)</f>
        <v>23.285699999999999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>IF(LEN(A51)=6,"0"&amp;A51,A51)</f>
        <v>0139-27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s3://rtdc.mdm.uploadarchive.raw/RTDC4011/ "%USERPROFILE%\AppData\Local\Temp\OnboardLogs"\RTDC4011\2016-12-27 --exclude "*" --recursive --include "*20161227*" &amp; "%USERPROFILE%\Documents\GitHub\mrs-test-scripts\Headless Mode &amp; Sideloading\WalkAndUnGZ.bat" "%USERPROFILE%\AppData\Local\Temp\OnboardLogs"\RTDC4011\2016-12-27 &amp; 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/stypes="app*4011*20161227*"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139-27 --locoid 4011 --swversion DE.1.0.8.0 --startMP 204:440 --initTime 2016-12-27T08:27:19 --startdatetime 2016-12-27T08:30:20 --delay 1 --endMP 204:233297 --enddatetime 2016-12-27T09:05:27 --enforcementcount 1 &gt;&gt;C:\Users\stu\Documents\GitHub\eaglep3-reporting\EC\2016-12-27-refined-times.txt</v>
      </c>
      <c r="AI51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{"issue":{"subject":"","project_id":79,"tracker_id":40,"status_id":1,"priority_id":2,"assigned_to_id":23,"start_date":"2016-12-27","description":"","custom_fields":[{"id":1,"name":"Subdivision","value":"EC"},{"id":4,"name":"Milepost","value":"23.3297"},{"id":17,"name":"Train ID","value":"139-27"},{"id":16,"name":"Locomotive ID","value":"4011"},{"id":130,"name":"Impact","value":""},{"id":150,"name":"Time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524</v>
      </c>
      <c r="B52" s="7">
        <v>4012</v>
      </c>
      <c r="C52" s="22" t="s">
        <v>205</v>
      </c>
      <c r="D52" s="22" t="s">
        <v>272</v>
      </c>
      <c r="E52" s="13">
        <v>42731.386273148149</v>
      </c>
      <c r="F52" s="13">
        <v>42731.393692129626</v>
      </c>
      <c r="G52" s="7">
        <v>1</v>
      </c>
      <c r="H52" s="22" t="s">
        <v>191</v>
      </c>
      <c r="I52" s="13">
        <v>42731.420648148145</v>
      </c>
      <c r="J52" s="7">
        <v>1</v>
      </c>
      <c r="K52" s="109" t="str">
        <f>IF(ISEVEN(B52),(B52-1)&amp;"/"&amp;B52,B52&amp;"/"&amp;(B52+1))</f>
        <v>4011/4012</v>
      </c>
      <c r="L52" s="22" t="str">
        <f>VLOOKUP(A52,'Trips&amp;Operators'!$C$1:$G$99999,5,FALSE)</f>
        <v>MAGEE KENYA</v>
      </c>
      <c r="M52" s="6">
        <f>I52-F52</f>
        <v>2.6956018518831115E-2</v>
      </c>
      <c r="N52" s="7">
        <f>24*60*SUM($M52:$M52)</f>
        <v>38.816666667116806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https://search-rtdc-monitor-bjffxe2xuh6vdkpspy63sjmuny.us-east-1.es.amazonaws.com/_plugin/kibana/#/discover/Steve-Slow-Train-Analysis-(2080s-and-2083s)?_g=(refreshInterval:(display:Off,section:0,value:0),time:(from:'2016-12-27 08:16:14-700',mode:absolute,to:'2016-12-27 11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2" s="52" t="str">
        <f>IF(AA52&lt;IF(AG52="EC",23,5.65),"Y","N")</f>
        <v>N</v>
      </c>
      <c r="X52" s="177">
        <f>VALUE(LEFT(AD52,4))-VALUE(LEFT(AD51,4))</f>
        <v>1</v>
      </c>
      <c r="Y52" s="67">
        <f>RIGHT(D52,LEN(D52)-4)/10000</f>
        <v>23.2986</v>
      </c>
      <c r="Z52" s="67">
        <f>RIGHT(H52,LEN(H52)-4)/10000</f>
        <v>1.49E-2</v>
      </c>
      <c r="AA52" s="67">
        <f>ABS(Z52-Y52)</f>
        <v>23.2837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>IF(LEN(A52)=6,"0"&amp;A52,A52)</f>
        <v>0140-27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 &amp; 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/stypes="app*4012*20161227*"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140-27 --locoid 4012 --swversion DE.1.0.8.0 --startMP 204:232986 --initTime 2016-12-27T09:16:14 --startdatetime 2016-12-27T09:26:55 --delay 1 --endMP 204:149 --enddatetime 2016-12-27T10:05:44 --enforcementcount 1 &gt;&gt;C:\Users\stu\Documents\GitHub\eaglep3-reporting\EC\2016-12-27-refined-times.txt</v>
      </c>
      <c r="AI52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{"issue":{"subject":"","project_id":79,"tracker_id":40,"status_id":1,"priority_id":2,"assigned_to_id":23,"start_date":"2016-12-27","description":"","custom_fields":[{"id":1,"name":"Subdivision","value":"EC"},{"id":4,"name":"Milepost","value":"0.0149"},{"id":17,"name":"Train ID","value":"140-27"},{"id":16,"name":"Locomotive ID","value":"4012"},{"id":130,"name":"Impact","value":""},{"id":150,"name":"Time of Event (Mountain Time)","value":"10:05:44"},{"id":151,"name":"Denver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517</v>
      </c>
      <c r="B53" s="7">
        <v>4022</v>
      </c>
      <c r="C53" s="22" t="s">
        <v>205</v>
      </c>
      <c r="D53" s="22" t="s">
        <v>303</v>
      </c>
      <c r="E53" s="13">
        <v>42731.363553240742</v>
      </c>
      <c r="F53" s="13">
        <v>42731.365312499998</v>
      </c>
      <c r="G53" s="7">
        <v>1</v>
      </c>
      <c r="H53" s="22" t="s">
        <v>275</v>
      </c>
      <c r="I53" s="13">
        <v>42731.391979166663</v>
      </c>
      <c r="J53" s="7">
        <v>1</v>
      </c>
      <c r="K53" s="109" t="str">
        <f>IF(ISEVEN(B53),(B53-1)&amp;"/"&amp;B53,B53&amp;"/"&amp;(B53+1))</f>
        <v>4021/4022</v>
      </c>
      <c r="L53" s="22" t="str">
        <f>VLOOKUP(A53,'Trips&amp;Operators'!$C$1:$G$99999,5,FALSE)</f>
        <v>CUSHING HARRY</v>
      </c>
      <c r="M53" s="6">
        <f>I53-F53</f>
        <v>2.6666666664823424E-2</v>
      </c>
      <c r="N53" s="7">
        <f>24*60*SUM($M53:$M53)</f>
        <v>38.399999997345731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https://search-rtdc-monitor-bjffxe2xuh6vdkpspy63sjmuny.us-east-1.es.amazonaws.com/_plugin/kibana/#/discover/Steve-Slow-Train-Analysis-(2080s-and-2083s)?_g=(refreshInterval:(display:Off,section:0,value:0),time:(from:'2016-12-27 07:43:31-700',mode:absolute,to:'2016-12-27 10:24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3" s="52" t="str">
        <f>IF(AA53&lt;IF(AG53="EC",23,5.65),"Y","N")</f>
        <v>N</v>
      </c>
      <c r="X53" s="177">
        <f>VALUE(LEFT(AD53,4))-VALUE(LEFT(AD52,4))</f>
        <v>1</v>
      </c>
      <c r="Y53" s="67">
        <f>RIGHT(D53,LEN(D53)-4)/10000</f>
        <v>4.7300000000000002E-2</v>
      </c>
      <c r="Z53" s="67">
        <f>RIGHT(H53,LEN(H53)-4)/10000</f>
        <v>23.329799999999999</v>
      </c>
      <c r="AA53" s="67">
        <f>ABS(Z53-Y53)</f>
        <v>23.282499999999999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>IF(LEN(A53)=6,"0"&amp;A53,A53)</f>
        <v>0141-27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/stypes="app*4022*20161227*"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141-27 --locoid 4022 --swversion DE.1.0.8.0 --startMP 204:473 --initTime 2016-12-27T08:43:31 --startdatetime 2016-12-27T08:46:03 --delay 1 --endMP 204:233298 --enddatetime 2016-12-27T09:24:27 --enforcementcount 1 &gt;&gt;C:\Users\stu\Documents\GitHub\eaglep3-reporting\EC\2016-12-27-refined-times.txt</v>
      </c>
      <c r="AI53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{"issue":{"subject":"","project_id":79,"tracker_id":40,"status_id":1,"priority_id":2,"assigned_to_id":23,"start_date":"2016-12-27","description":"","custom_fields":[{"id":1,"name":"Subdivision","value":"EC"},{"id":4,"name":"Milepost","value":"23.3298"},{"id":17,"name":"Train ID","value":"141-27"},{"id":16,"name":"Locomotive ID","value":"4022"},{"id":130,"name":"Impact","value":""},{"id":150,"name":"Time of Event (Mountain Time)","value":"09:24:27"},{"id":151,"name":"Denver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526</v>
      </c>
      <c r="B54" s="7">
        <v>4021</v>
      </c>
      <c r="C54" s="22" t="s">
        <v>205</v>
      </c>
      <c r="D54" s="22" t="s">
        <v>323</v>
      </c>
      <c r="E54" s="13">
        <v>42731.397175925929</v>
      </c>
      <c r="F54" s="13">
        <v>42731.40384259259</v>
      </c>
      <c r="G54" s="7">
        <v>1</v>
      </c>
      <c r="H54" s="22" t="s">
        <v>680</v>
      </c>
      <c r="I54" s="13">
        <v>42731.432384259257</v>
      </c>
      <c r="J54" s="7">
        <v>1</v>
      </c>
      <c r="K54" s="109" t="str">
        <f>IF(ISEVEN(B54),(B54-1)&amp;"/"&amp;B54,B54&amp;"/"&amp;(B54+1))</f>
        <v>4021/4022</v>
      </c>
      <c r="L54" s="22" t="str">
        <f>VLOOKUP(A54,'Trips&amp;Operators'!$C$1:$G$99999,5,FALSE)</f>
        <v>CUSHING HARRY</v>
      </c>
      <c r="M54" s="6">
        <f>I54-F54</f>
        <v>2.8541666666569654E-2</v>
      </c>
      <c r="N54" s="7">
        <f>24*60*SUM($M54:$M54)</f>
        <v>41.099999999860302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https://search-rtdc-monitor-bjffxe2xuh6vdkpspy63sjmuny.us-east-1.es.amazonaws.com/_plugin/kibana/#/discover/Steve-Slow-Train-Analysis-(2080s-and-2083s)?_g=(refreshInterval:(display:Off,section:0,value:0),time:(from:'2016-12-27 08:31:56-700',mode:absolute,to:'2016-12-27 11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4" s="52" t="str">
        <f>IF(AA54&lt;IF(AG54="EC",23,5.65),"Y","N")</f>
        <v>N</v>
      </c>
      <c r="X54" s="177">
        <f>VALUE(LEFT(AD54,4))-VALUE(LEFT(AD53,4))</f>
        <v>1</v>
      </c>
      <c r="Y54" s="67">
        <f>RIGHT(D54,LEN(D54)-4)/10000</f>
        <v>23.299800000000001</v>
      </c>
      <c r="Z54" s="67">
        <f>RIGHT(H54,LEN(H54)-4)/10000</f>
        <v>1.7399999999999999E-2</v>
      </c>
      <c r="AA54" s="67">
        <f>ABS(Z54-Y54)</f>
        <v>23.282400000000003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>IF(LEN(A54)=6,"0"&amp;A54,A54)</f>
        <v>0142-27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s3://rtdc.mdm.uploadarchive.raw/RTDC4021/ "%USERPROFILE%\AppData\Local\Temp\OnboardLogs"\RTDC4021\2016-12-27 --exclude "*" --recursive --include "*20161227*" &amp; "%USERPROFILE%\Documents\GitHub\mrs-test-scripts\Headless Mode &amp; Sideloading\WalkAndUnGZ.bat" "%USERPROFILE%\AppData\Local\Temp\OnboardLogs"\RTDC4021\2016-12-27 &amp; aws s3 cp s3://rtdc.mdm.uploadarchive.raw/RTDC4021/ "%USERPROFILE%\AppData\Local\Temp\OnboardLogs"\RTDC4021\2016-12-28 --exclude "*" --recursive --include "*20161228*" &amp; "%USERPROFILE%\Documents\GitHub\mrs-test-scripts\Headless Mode &amp; Sideloading\WalkAndUnGZ.bat" "%USERPROFILE%\AppData\Local\Temp\OnboardLogs"\RTDC4021\2016-12-28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/stypes="app*4021*20161227*" /stext=" 17:.+((SYSTEM_STATE.+slice.+state.+changed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142-27 --locoid 4021 --swversion DE.1.0.8.0 --startMP 204:232998 --initTime 2016-12-27T09:31:56 --startdatetime 2016-12-27T09:41:32 --delay 1 --endMP 204:174 --enddatetime 2016-12-27T10:22:38 --enforcementcount 1 &gt;&gt;C:\Users\stu\Documents\GitHub\eaglep3-reporting\EC\2016-12-27-refined-times.txt</v>
      </c>
      <c r="AI54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{"issue":{"subject":"","project_id":79,"tracker_id":40,"status_id":1,"priority_id":2,"assigned_to_id":23,"start_date":"2016-12-27","description":"","custom_fields":[{"id":1,"name":"Subdivision","value":"EC"},{"id":4,"name":"Milepost","value":"0.0174"},{"id":17,"name":"Train ID","value":"142-27"},{"id":16,"name":"Locomotive ID","value":"4021"},{"id":130,"name":"Impact","value":""},{"id":150,"name":"Time of Event (Mountain Time)","value":"10:22:38"},{"id":151,"name":"Denver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520</v>
      </c>
      <c r="B55" s="7">
        <v>4051</v>
      </c>
      <c r="C55" s="22" t="s">
        <v>205</v>
      </c>
      <c r="D55" s="22" t="s">
        <v>401</v>
      </c>
      <c r="E55" s="13">
        <v>42731.370972222219</v>
      </c>
      <c r="F55" s="13">
        <v>42731.375185185185</v>
      </c>
      <c r="G55" s="7">
        <v>2</v>
      </c>
      <c r="H55" s="22" t="s">
        <v>681</v>
      </c>
      <c r="I55" s="13">
        <v>42731.399687500001</v>
      </c>
      <c r="J55" s="7">
        <v>1</v>
      </c>
      <c r="K55" s="109" t="str">
        <f>IF(ISEVEN(B55),(B55-1)&amp;"/"&amp;B55,B55&amp;"/"&amp;(B55+1))</f>
        <v>4051/4052</v>
      </c>
      <c r="L55" s="22" t="str">
        <f>VLOOKUP(A55,'Trips&amp;Operators'!$C$1:$G$99999,5,FALSE)</f>
        <v>COMELLA JUSTIN</v>
      </c>
      <c r="M55" s="6">
        <f>I55-F55</f>
        <v>2.4502314816345461E-2</v>
      </c>
      <c r="N55" s="7">
        <f>24*60*SUM($M55:$M55)</f>
        <v>35.283333335537463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https://search-rtdc-monitor-bjffxe2xuh6vdkpspy63sjmuny.us-east-1.es.amazonaws.com/_plugin/kibana/#/discover/Steve-Slow-Train-Analysis-(2080s-and-2083s)?_g=(refreshInterval:(display:Off,section:0,value:0),time:(from:'2016-12-27 07:54:12-700',mode:absolute,to:'2016-12-27 10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55" s="52" t="str">
        <f>IF(AA55&lt;IF(AG55="EC",23,5.65),"Y","N")</f>
        <v>N</v>
      </c>
      <c r="X55" s="177">
        <f>VALUE(LEFT(AD55,4))-VALUE(LEFT(AD54,4))</f>
        <v>1</v>
      </c>
      <c r="Y55" s="67">
        <f>RIGHT(D55,LEN(D55)-4)/10000</f>
        <v>4.9799999999999997E-2</v>
      </c>
      <c r="Z55" s="67">
        <f>RIGHT(H55,LEN(H55)-4)/10000</f>
        <v>23.3309</v>
      </c>
      <c r="AA55" s="67">
        <f>ABS(Z55-Y55)</f>
        <v>23.281099999999999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>IF(LEN(A55)=6,"0"&amp;A55,A55)</f>
        <v>0143-27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/stypes="app*4051*20161227*" /stext=" 16:.+((SYSTEM_STATE.+slice.+state.+changed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143-27 --locoid 4051 --swversion DE.1.0.8.0 --startMP 204:498 --initTime 2016-12-27T08:54:12 --startdatetime 2016-12-27T09:00:16 --delay 2 --endMP 204:233309 --enddatetime 2016-12-27T09:35:33 --enforcementcount 1 &gt;&gt;C:\Users\stu\Documents\GitHub\eaglep3-reporting\EC\2016-12-27-refined-times.txt</v>
      </c>
      <c r="AI55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{"issue":{"subject":"","project_id":79,"tracker_id":40,"status_id":1,"priority_id":2,"assigned_to_id":23,"start_date":"2016-12-27","description":"","custom_fields":[{"id":1,"name":"Subdivision","value":"EC"},{"id":4,"name":"Milepost","value":"23.3309"},{"id":17,"name":"Train ID","value":"143-27"},{"id":16,"name":"Locomotive ID","value":"4051"},{"id":130,"name":"Impact","value":""},{"id":150,"name":"Time of Event (Mountain Time)","value":"09:35:33"},{"id":151,"name":"Denver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529</v>
      </c>
      <c r="B56" s="7">
        <v>4052</v>
      </c>
      <c r="C56" s="22" t="s">
        <v>205</v>
      </c>
      <c r="D56" s="22" t="s">
        <v>682</v>
      </c>
      <c r="E56" s="13">
        <v>42731.407430555555</v>
      </c>
      <c r="F56" s="13">
        <v>42731.414074074077</v>
      </c>
      <c r="G56" s="7">
        <v>2</v>
      </c>
      <c r="H56" s="22" t="s">
        <v>326</v>
      </c>
      <c r="I56" s="13">
        <v>42731.441782407404</v>
      </c>
      <c r="J56" s="7">
        <v>1</v>
      </c>
      <c r="K56" s="109" t="str">
        <f>IF(ISEVEN(B56),(B56-1)&amp;"/"&amp;B56,B56&amp;"/"&amp;(B56+1))</f>
        <v>4051/4052</v>
      </c>
      <c r="L56" s="22" t="str">
        <f>VLOOKUP(A56,'Trips&amp;Operators'!$C$1:$G$99999,5,FALSE)</f>
        <v>COMELLA JUSTIN</v>
      </c>
      <c r="M56" s="6">
        <f>I56-F56</f>
        <v>2.770833332760958E-2</v>
      </c>
      <c r="N56" s="7">
        <f>24*60*SUM($M56:$M56)</f>
        <v>39.899999991757795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https://search-rtdc-monitor-bjffxe2xuh6vdkpspy63sjmuny.us-east-1.es.amazonaws.com/_plugin/kibana/#/discover/Steve-Slow-Train-Analysis-(2080s-and-2083s)?_g=(refreshInterval:(display:Off,section:0,value:0),time:(from:'2016-12-27 08:46:42-700',mode:absolute,to:'2016-12-27 11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56" s="52" t="str">
        <f>IF(AA56&lt;IF(AG56="EC",23,5.65),"Y","N")</f>
        <v>N</v>
      </c>
      <c r="X56" s="177">
        <f>VALUE(LEFT(AD56,4))-VALUE(LEFT(AD55,4))</f>
        <v>1</v>
      </c>
      <c r="Y56" s="67">
        <f>RIGHT(D56,LEN(D56)-4)/10000</f>
        <v>23.299199999999999</v>
      </c>
      <c r="Z56" s="67">
        <f>RIGHT(H56,LEN(H56)-4)/10000</f>
        <v>1.41E-2</v>
      </c>
      <c r="AA56" s="67">
        <f>ABS(Z56-Y56)</f>
        <v>23.2851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>IF(LEN(A56)=6,"0"&amp;A56,A56)</f>
        <v>0144-27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/stypes="app*4052*20161227*" /stext=" 17:.+((SYSTEM_STATE.+slice.+state.+changed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144-27 --locoid 4052 --swversion DE.1.0.8.0 --startMP 204:232992 --initTime 2016-12-27T09:46:42 --startdatetime 2016-12-27T09:56:16 --delay 2 --endMP 204:141 --enddatetime 2016-12-27T10:36:10 --enforcementcount 1 &gt;&gt;C:\Users\stu\Documents\GitHub\eaglep3-reporting\EC\2016-12-27-refined-times.txt</v>
      </c>
      <c r="AI56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{"issue":{"subject":"","project_id":79,"tracker_id":40,"status_id":1,"priority_id":2,"assigned_to_id":23,"start_date":"2016-12-27","description":"","custom_fields":[{"id":1,"name":"Subdivision","value":"EC"},{"id":4,"name":"Milepost","value":"0.0141"},{"id":17,"name":"Train ID","value":"144-27"},{"id":16,"name":"Locomotive ID","value":"4052"},{"id":130,"name":"Impact","value":""},{"id":150,"name":"Time of Event (Mountain Time)","value":"10:36:10"},{"id":151,"name":"Denver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522</v>
      </c>
      <c r="B57" s="7">
        <v>4007</v>
      </c>
      <c r="C57" s="22" t="s">
        <v>205</v>
      </c>
      <c r="D57" s="22" t="s">
        <v>683</v>
      </c>
      <c r="E57" s="13">
        <v>42731.380324074074</v>
      </c>
      <c r="F57" s="13">
        <v>42731.385868055557</v>
      </c>
      <c r="G57" s="7">
        <v>1</v>
      </c>
      <c r="H57" s="22" t="s">
        <v>679</v>
      </c>
      <c r="I57" s="13">
        <v>42731.410381944443</v>
      </c>
      <c r="J57" s="7">
        <v>1</v>
      </c>
      <c r="K57" s="109" t="str">
        <f>IF(ISEVEN(B57),(B57-1)&amp;"/"&amp;B57,B57&amp;"/"&amp;(B57+1))</f>
        <v>4007/4008</v>
      </c>
      <c r="L57" s="22" t="str">
        <f>VLOOKUP(A57,'Trips&amp;Operators'!$C$1:$G$99999,5,FALSE)</f>
        <v>MAELZER KURT</v>
      </c>
      <c r="M57" s="6">
        <f>I57-F57</f>
        <v>2.4513888885849155E-2</v>
      </c>
      <c r="N57" s="7">
        <f>24*60*SUM($M57:$M57)</f>
        <v>35.299999995622784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https://search-rtdc-monitor-bjffxe2xuh6vdkpspy63sjmuny.us-east-1.es.amazonaws.com/_plugin/kibana/#/discover/Steve-Slow-Train-Analysis-(2080s-and-2083s)?_g=(refreshInterval:(display:Off,section:0,value:0),time:(from:'2016-12-27 08:07:40-700',mode:absolute,to:'2016-12-27 10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7" s="52" t="str">
        <f>IF(AA57&lt;IF(AG57="EC",23,5.65),"Y","N")</f>
        <v>N</v>
      </c>
      <c r="X57" s="177">
        <f>VALUE(LEFT(AD57,4))-VALUE(LEFT(AD56,4))</f>
        <v>1</v>
      </c>
      <c r="Y57" s="67">
        <f>RIGHT(D57,LEN(D57)-4)/10000</f>
        <v>4.7800000000000002E-2</v>
      </c>
      <c r="Z57" s="67">
        <f>RIGHT(H57,LEN(H57)-4)/10000</f>
        <v>23.332100000000001</v>
      </c>
      <c r="AA57" s="67">
        <f>ABS(Z57-Y57)</f>
        <v>23.284300000000002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>IF(LEN(A57)=6,"0"&amp;A57,A57)</f>
        <v>0145-27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/stypes="app*4007*20161227*" /stext=" 16:.+((SYSTEM_STATE.+slice.+state.+changed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145-27 --locoid 4007 --swversion DE.1.0.8.0 --startMP 204:478 --initTime 2016-12-27T09:07:40 --startdatetime 2016-12-27T09:15:39 --delay 1 --endMP 204:233321 --enddatetime 2016-12-27T09:50:57 --enforcementcount 1 &gt;&gt;C:\Users\stu\Documents\GitHub\eaglep3-reporting\EC\2016-12-27-refined-times.txt</v>
      </c>
      <c r="AI57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{"issue":{"subject":"","project_id":79,"tracker_id":40,"status_id":1,"priority_id":2,"assigned_to_id":23,"start_date":"2016-12-27","description":"","custom_fields":[{"id":1,"name":"Subdivision","value":"EC"},{"id":4,"name":"Milepost","value":"23.3321"},{"id":17,"name":"Train ID","value":"145-27"},{"id":16,"name":"Locomotive ID","value":"4007"},{"id":130,"name":"Impact","value":""},{"id":150,"name":"Time of Event (Mountain Time)","value":"09:50:57"},{"id":151,"name":"Denver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531</v>
      </c>
      <c r="B58" s="7">
        <v>4008</v>
      </c>
      <c r="C58" s="22" t="s">
        <v>205</v>
      </c>
      <c r="D58" s="22" t="s">
        <v>684</v>
      </c>
      <c r="E58" s="13">
        <v>42731.41851851852</v>
      </c>
      <c r="F58" s="13">
        <v>42731.42459490741</v>
      </c>
      <c r="G58" s="7">
        <v>0</v>
      </c>
      <c r="H58" s="22" t="s">
        <v>233</v>
      </c>
      <c r="I58" s="13">
        <v>42731.45171296296</v>
      </c>
      <c r="J58" s="7">
        <v>1</v>
      </c>
      <c r="K58" s="109" t="str">
        <f>IF(ISEVEN(B58),(B58-1)&amp;"/"&amp;B58,B58&amp;"/"&amp;(B58+1))</f>
        <v>4007/4008</v>
      </c>
      <c r="L58" s="22" t="str">
        <f>VLOOKUP(A58,'Trips&amp;Operators'!$C$1:$G$99999,5,FALSE)</f>
        <v>MAELZER KURT</v>
      </c>
      <c r="M58" s="6">
        <f>I58-F58</f>
        <v>2.7118055550090503E-2</v>
      </c>
      <c r="N58" s="7">
        <f>24*60*SUM($M58:$M58)</f>
        <v>39.049999992130324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https://search-rtdc-monitor-bjffxe2xuh6vdkpspy63sjmuny.us-east-1.es.amazonaws.com/_plugin/kibana/#/discover/Steve-Slow-Train-Analysis-(2080s-and-2083s)?_g=(refreshInterval:(display:Off,section:0,value:0),time:(from:'2016-12-27 09:02:40-700',mode:absolute,to:'2016-12-27 11:50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8" s="52" t="str">
        <f>IF(AA58&lt;IF(AG58="EC",23,5.65),"Y","N")</f>
        <v>N</v>
      </c>
      <c r="X58" s="177">
        <f>VALUE(LEFT(AD58,4))-VALUE(LEFT(AD57,4))</f>
        <v>1</v>
      </c>
      <c r="Y58" s="67">
        <f>RIGHT(D58,LEN(D58)-4)/10000</f>
        <v>23.300799999999999</v>
      </c>
      <c r="Z58" s="67">
        <f>RIGHT(H58,LEN(H58)-4)/10000</f>
        <v>1.4500000000000001E-2</v>
      </c>
      <c r="AA58" s="67">
        <f>ABS(Z58-Y58)</f>
        <v>23.286299999999997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>IF(LEN(A58)=6,"0"&amp;A58,A58)</f>
        <v>0146-27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/stypes="app*4008*20161227*"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146-27 --locoid 4008 --swversion DE.1.0.8.0 --startMP 204:233008 --initTime 2016-12-27T10:02:40 --startdatetime 2016-12-27T10:11:25 --delay 0 --endMP 204:145 --enddatetime 2016-12-27T10:50:28 --enforcementcount 1 &gt;&gt;C:\Users\stu\Documents\GitHub\eaglep3-reporting\EC\2016-12-27-refined-times.txt</v>
      </c>
      <c r="AI58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{"issue":{"subject":"","project_id":79,"tracker_id":40,"status_id":1,"priority_id":2,"assigned_to_id":23,"start_date":"2016-12-27","description":"","custom_fields":[{"id":1,"name":"Subdivision","value":"EC"},{"id":4,"name":"Milepost","value":"0.0145"},{"id":17,"name":"Train ID","value":"146-27"},{"id":16,"name":"Locomotive ID","value":"4008"},{"id":130,"name":"Impact","value":""},{"id":150,"name":"Time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525</v>
      </c>
      <c r="B59" s="7">
        <v>4042</v>
      </c>
      <c r="C59" s="22" t="s">
        <v>205</v>
      </c>
      <c r="D59" s="22" t="s">
        <v>685</v>
      </c>
      <c r="E59" s="13">
        <v>42731.39334490741</v>
      </c>
      <c r="F59" s="13">
        <v>42731.396099537036</v>
      </c>
      <c r="G59" s="7">
        <v>4</v>
      </c>
      <c r="H59" s="22" t="s">
        <v>686</v>
      </c>
      <c r="I59" s="13">
        <v>42731.421342592592</v>
      </c>
      <c r="J59" s="7">
        <v>1</v>
      </c>
      <c r="K59" s="109" t="str">
        <f>IF(ISEVEN(B59),(B59-1)&amp;"/"&amp;B59,B59&amp;"/"&amp;(B59+1))</f>
        <v>4041/4042</v>
      </c>
      <c r="L59" s="22" t="str">
        <f>VLOOKUP(A59,'Trips&amp;Operators'!$C$1:$G$99999,5,FALSE)</f>
        <v>STARKS ANGELINA</v>
      </c>
      <c r="M59" s="6">
        <f>I59-F59</f>
        <v>2.5243055555620231E-2</v>
      </c>
      <c r="N59" s="7">
        <f>24*60*SUM($M59:$M59)</f>
        <v>36.350000000093132</v>
      </c>
      <c r="O59" s="7"/>
      <c r="P59" s="7"/>
      <c r="Q59" s="23"/>
      <c r="R59" s="23"/>
      <c r="S59" s="35">
        <f>SUM(U59:U59)/IF(AG59="EC",12,1)</f>
        <v>1</v>
      </c>
      <c r="T59" s="50" t="str">
        <f>IF(ISEVEN(LEFT(AD59,4)),"Southbound","NorthBound")</f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https://search-rtdc-monitor-bjffxe2xuh6vdkpspy63sjmuny.us-east-1.es.amazonaws.com/_plugin/kibana/#/discover/Steve-Slow-Train-Analysis-(2080s-and-2083s)?_g=(refreshInterval:(display:Off,section:0,value:0),time:(from:'2016-12-27 08:26:25-700',mode:absolute,to:'2016-12-27 11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>IF(AA59&lt;IF(AG59="EC",23,5.65),"Y","N")</f>
        <v>N</v>
      </c>
      <c r="X59" s="177">
        <f t="shared" ref="X59:X63" si="4">VALUE(LEFT(AD59,4))-VALUE(LEFT(AD58,4))</f>
        <v>1</v>
      </c>
      <c r="Y59" s="67">
        <f>RIGHT(D59,LEN(D59)-4)/10000</f>
        <v>0.12690000000000001</v>
      </c>
      <c r="Z59" s="67">
        <f>RIGHT(H59,LEN(H59)-4)/10000</f>
        <v>23.331800000000001</v>
      </c>
      <c r="AA59" s="67">
        <f>ABS(Z59-Y59)</f>
        <v>23.204900000000002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>IF(LEN(A59)=6,"0"&amp;A59,A59)</f>
        <v>0147-27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/stypes="app*4042*20161227*"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147-27 --locoid 4042 --swversion DE.1.0.8.0 --startMP 204:1269 --initTime 2016-12-27T09:26:25 --startdatetime 2016-12-27T09:30:23 --delay 4 --endMP 204:233318 --enddatetime 2016-12-27T10:06:44 --enforcementcount 1 &gt;&gt;C:\Users\stu\Documents\GitHub\eaglep3-reporting\EC\2016-12-27-refined-times.txt</v>
      </c>
      <c r="AI59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{"issue":{"subject":"","project_id":79,"tracker_id":40,"status_id":1,"priority_id":2,"assigned_to_id":23,"start_date":"2016-12-27","description":"","custom_fields":[{"id":1,"name":"Subdivision","value":"EC"},{"id":4,"name":"Milepost","value":"23.3318"},{"id":17,"name":"Train ID","value":"147-27"},{"id":16,"name":"Locomotive ID","value":"4042"},{"id":130,"name":"Impact","value":""},{"id":150,"name":"Time of Event (Mountain Time)","value":"10:06:44"},{"id":151,"name":"Denver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534</v>
      </c>
      <c r="B60" s="7">
        <v>4041</v>
      </c>
      <c r="C60" s="22" t="s">
        <v>205</v>
      </c>
      <c r="D60" s="22" t="s">
        <v>687</v>
      </c>
      <c r="E60" s="13">
        <v>42731.432326388887</v>
      </c>
      <c r="F60" s="13">
        <v>42731.435069444444</v>
      </c>
      <c r="G60" s="7">
        <v>1</v>
      </c>
      <c r="H60" s="22" t="s">
        <v>233</v>
      </c>
      <c r="I60" s="13">
        <v>42731.463750000003</v>
      </c>
      <c r="J60" s="7">
        <v>1</v>
      </c>
      <c r="K60" s="109" t="str">
        <f>IF(ISEVEN(B60),(B60-1)&amp;"/"&amp;B60,B60&amp;"/"&amp;(B60+1))</f>
        <v>4041/4042</v>
      </c>
      <c r="L60" s="22" t="str">
        <f>VLOOKUP(A60,'Trips&amp;Operators'!$C$1:$G$99999,5,FALSE)</f>
        <v>STARKS ANGELINA</v>
      </c>
      <c r="M60" s="6">
        <f>I60-F60</f>
        <v>2.8680555558821652E-2</v>
      </c>
      <c r="N60" s="7">
        <f>24*60*SUM($M60:$M60)</f>
        <v>41.300000004703179</v>
      </c>
      <c r="O60" s="7"/>
      <c r="P60" s="7"/>
      <c r="Q60" s="23"/>
      <c r="R60" s="23"/>
      <c r="S60" s="35">
        <f>SUM(U60:U60)/IF(AG60="EC",12,1)</f>
        <v>1</v>
      </c>
      <c r="T60" s="50" t="str">
        <f>IF(ISEVEN(LEFT(AD60,4)),"Southbound","NorthBound")</f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https://search-rtdc-monitor-bjffxe2xuh6vdkpspy63sjmuny.us-east-1.es.amazonaws.com/_plugin/kibana/#/discover/Steve-Slow-Train-Analysis-(2080s-and-2083s)?_g=(refreshInterval:(display:Off,section:0,value:0),time:(from:'2016-12-27 09:22:33-700',mode:absolute,to:'2016-12-27 12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>IF(AA60&lt;IF(AG60="EC",23,5.65),"Y","N")</f>
        <v>N</v>
      </c>
      <c r="X60" s="177">
        <f t="shared" si="4"/>
        <v>1</v>
      </c>
      <c r="Y60" s="67">
        <f>RIGHT(D60,LEN(D60)-4)/10000</f>
        <v>23.2959</v>
      </c>
      <c r="Z60" s="67">
        <f>RIGHT(H60,LEN(H60)-4)/10000</f>
        <v>1.4500000000000001E-2</v>
      </c>
      <c r="AA60" s="67">
        <f>ABS(Z60-Y60)</f>
        <v>23.281399999999998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>IF(LEN(A60)=6,"0"&amp;A60,A60)</f>
        <v>0148-27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/stypes="app*4041*20161227*" /stext=" 18:.+((SYSTEM_STATE.+slice.+state.+changed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148-27 --locoid 4041 --swversion DE.1.0.8.0 --startMP 204:232959 --initTime 2016-12-27T10:22:33 --startdatetime 2016-12-27T10:26:30 --delay 1 --endMP 204:145 --enddatetime 2016-12-27T11:07:48 --enforcementcount 1 &gt;&gt;C:\Users\stu\Documents\GitHub\eaglep3-reporting\EC\2016-12-27-refined-times.txt</v>
      </c>
      <c r="AI60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{"issue":{"subject":"","project_id":79,"tracker_id":40,"status_id":1,"priority_id":2,"assigned_to_id":23,"start_date":"2016-12-27","description":"","custom_fields":[{"id":1,"name":"Subdivision","value":"EC"},{"id":4,"name":"Milepost","value":"0.0145"},{"id":17,"name":"Train ID","value":"148-27"},{"id":16,"name":"Locomotive ID","value":"4041"},{"id":130,"name":"Impact","value":""},{"id":150,"name":"Time of Event (Mountain Time)","value":"11:07:48"},{"id":151,"name":"Denver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528</v>
      </c>
      <c r="B61" s="7">
        <v>4002</v>
      </c>
      <c r="C61" s="22" t="s">
        <v>205</v>
      </c>
      <c r="D61" s="22" t="s">
        <v>228</v>
      </c>
      <c r="E61" s="13">
        <v>42731.401296296295</v>
      </c>
      <c r="F61" s="13">
        <v>42731.406400462962</v>
      </c>
      <c r="G61" s="7">
        <v>1</v>
      </c>
      <c r="H61" s="22" t="s">
        <v>688</v>
      </c>
      <c r="I61" s="13">
        <v>42731.430555555555</v>
      </c>
      <c r="J61" s="7">
        <v>1</v>
      </c>
      <c r="K61" s="109" t="str">
        <f>IF(ISEVEN(B61),(B61-1)&amp;"/"&amp;B61,B61&amp;"/"&amp;(B61+1))</f>
        <v>4001/4002</v>
      </c>
      <c r="L61" s="22" t="str">
        <f>VLOOKUP(A61,'Trips&amp;Operators'!$C$1:$G$99999,5,FALSE)</f>
        <v>DUNCAN SHEILA</v>
      </c>
      <c r="M61" s="6">
        <f>I61-F61</f>
        <v>2.4155092592991423E-2</v>
      </c>
      <c r="N61" s="7">
        <f>24*60*SUM($M61:$M61)</f>
        <v>34.783333333907649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https://search-rtdc-monitor-bjffxe2xuh6vdkpspy63sjmuny.us-east-1.es.amazonaws.com/_plugin/kibana/#/discover/Steve-Slow-Train-Analysis-(2080s-and-2083s)?_g=(refreshInterval:(display:Off,section:0,value:0),time:(from:'2016-12-27 08:37:52-700',mode:absolute,to:'2016-12-27 11:20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1" s="52" t="str">
        <f>IF(AA61&lt;IF(AG61="EC",23,5.65),"Y","N")</f>
        <v>N</v>
      </c>
      <c r="X61" s="177">
        <f t="shared" si="4"/>
        <v>1</v>
      </c>
      <c r="Y61" s="67">
        <f>RIGHT(D61,LEN(D61)-4)/10000</f>
        <v>4.5499999999999999E-2</v>
      </c>
      <c r="Z61" s="67">
        <f>RIGHT(H61,LEN(H61)-4)/10000</f>
        <v>23.3323</v>
      </c>
      <c r="AA61" s="67">
        <f>ABS(Z61-Y61)</f>
        <v>23.286799999999999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>IF(LEN(A61)=6,"0"&amp;A61,A61)</f>
        <v>0149-27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/stypes="app*4002*20161227*"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149-27 --locoid 4002 --swversion DE.1.0.8.0 --startMP 204:455 --initTime 2016-12-27T09:37:52 --startdatetime 2016-12-27T09:45:13 --delay 1 --endMP 204:233323 --enddatetime 2016-12-27T10:20:00 --enforcementcount 1 &gt;&gt;C:\Users\stu\Documents\GitHub\eaglep3-reporting\EC\2016-12-27-refined-times.txt</v>
      </c>
      <c r="AI61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{"issue":{"subject":"","project_id":79,"tracker_id":40,"status_id":1,"priority_id":2,"assigned_to_id":23,"start_date":"2016-12-27","description":"","custom_fields":[{"id":1,"name":"Subdivision","value":"EC"},{"id":4,"name":"Milepost","value":"23.3323"},{"id":17,"name":"Train ID","value":"149-27"},{"id":16,"name":"Locomotive ID","value":"4002"},{"id":130,"name":"Impact","value":""},{"id":150,"name":"Time of Event (Mountain Time)","value":"10:20:00"},{"id":151,"name":"Denver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434</v>
      </c>
      <c r="B62" s="7">
        <v>4001</v>
      </c>
      <c r="C62" s="22" t="s">
        <v>205</v>
      </c>
      <c r="D62" s="22" t="s">
        <v>689</v>
      </c>
      <c r="E62" s="13">
        <v>42731.434594907405</v>
      </c>
      <c r="F62" s="13">
        <v>42731.445462962962</v>
      </c>
      <c r="G62" s="7">
        <v>1</v>
      </c>
      <c r="H62" s="22" t="s">
        <v>690</v>
      </c>
      <c r="I62" s="13">
        <v>42731.472812499997</v>
      </c>
      <c r="J62" s="7">
        <v>1</v>
      </c>
      <c r="K62" s="109" t="str">
        <f>IF(ISEVEN(B62),(B62-1)&amp;"/"&amp;B62,B62&amp;"/"&amp;(B62+1))</f>
        <v>4001/4002</v>
      </c>
      <c r="L62" s="22" t="str">
        <f>VLOOKUP(A62,'Trips&amp;Operators'!$C$1:$G$99999,5,FALSE)</f>
        <v>DUNCAN SHEILA</v>
      </c>
      <c r="M62" s="6">
        <f>I62-F62</f>
        <v>2.7349537034751847E-2</v>
      </c>
      <c r="N62" s="7">
        <f>24*60*SUM($M62:$M62)</f>
        <v>39.38333333004266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https://search-rtdc-monitor-bjffxe2xuh6vdkpspy63sjmuny.us-east-1.es.amazonaws.com/_plugin/kibana/#/discover/Steve-Slow-Train-Analysis-(2080s-and-2083s)?_g=(refreshInterval:(display:Off,section:0,value:0),time:(from:'2016-12-27 09:25:49-700',mode:absolute,to:'2016-12-27 12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2" s="52" t="str">
        <f>IF(AA62&lt;IF(AG62="EC",23,5.65),"Y","N")</f>
        <v>N</v>
      </c>
      <c r="X62" s="177">
        <f t="shared" si="4"/>
        <v>1</v>
      </c>
      <c r="Y62" s="67">
        <f>RIGHT(D62,LEN(D62)-4)/10000</f>
        <v>23.301100000000002</v>
      </c>
      <c r="Z62" s="67">
        <f>RIGHT(H62,LEN(H62)-4)/10000</f>
        <v>1.89E-2</v>
      </c>
      <c r="AA62" s="67">
        <f>ABS(Z62-Y62)</f>
        <v>23.282200000000003</v>
      </c>
      <c r="AB62" s="64" t="str">
        <f>VLOOKUP(A62,Enforcements!$C$7:$K$19,8,0)</f>
        <v>Form based authority (4)</v>
      </c>
      <c r="AC62" s="60" t="str">
        <f>VLOOKUP(A62,Enforcements!$C$7:$E$19,3,0)</f>
        <v>TRACK WARRANT AUTHORITY</v>
      </c>
      <c r="AD62" s="61" t="str">
        <f>IF(LEN(A62)=6,"0"&amp;A62,A62)</f>
        <v>0150-27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/stypes="app*4001*20161227*"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150-27 --locoid 4001 --swversion DE.1.0.8.0 --startMP 204:233011 --initTime 2016-12-27T10:25:49 --startdatetime 2016-12-27T10:41:28 --delay 1 --endMP 204:189 --enddatetime 2016-12-27T11:20:51 --enforcementcount 1 &gt;&gt;C:\Users\stu\Documents\GitHub\eaglep3-reporting\EC\2016-12-27-refined-times.txt</v>
      </c>
      <c r="AI62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{"issue":{"subject":"","project_id":79,"tracker_id":40,"status_id":1,"priority_id":2,"assigned_to_id":23,"start_date":"2016-12-27","description":"","custom_fields":[{"id":1,"name":"Subdivision","value":"EC"},{"id":4,"name":"Milepost","value":"0.0189"},{"id":17,"name":"Train ID","value":"150-27"},{"id":16,"name":"Locomotive ID","value":"4001"},{"id":130,"name":"Impact","value":""},{"id":150,"name":"Time of Event (Mountain Time)","value":"11:20:51"},{"id":151,"name":"Denver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530</v>
      </c>
      <c r="B63" s="7">
        <v>4027</v>
      </c>
      <c r="C63" s="22" t="s">
        <v>205</v>
      </c>
      <c r="D63" s="22" t="s">
        <v>359</v>
      </c>
      <c r="E63" s="13">
        <v>42731.412824074076</v>
      </c>
      <c r="F63" s="13">
        <v>42731.41684027778</v>
      </c>
      <c r="G63" s="7">
        <v>1</v>
      </c>
      <c r="H63" s="22" t="s">
        <v>691</v>
      </c>
      <c r="I63" s="13">
        <v>42731.441643518519</v>
      </c>
      <c r="J63" s="7">
        <v>1</v>
      </c>
      <c r="K63" s="109" t="str">
        <f>IF(ISEVEN(B63),(B63-1)&amp;"/"&amp;B63,B63&amp;"/"&amp;(B63+1))</f>
        <v>4027/4028</v>
      </c>
      <c r="L63" s="22" t="str">
        <f>VLOOKUP(A63,'Trips&amp;Operators'!$C$1:$G$99999,5,FALSE)</f>
        <v>DAVIS WENDY</v>
      </c>
      <c r="M63" s="6">
        <f>I63-F63</f>
        <v>2.4803240739856847E-2</v>
      </c>
      <c r="N63" s="7">
        <f>24*60*SUM($M63:$M63)</f>
        <v>35.716666665393859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https://search-rtdc-monitor-bjffxe2xuh6vdkpspy63sjmuny.us-east-1.es.amazonaws.com/_plugin/kibana/#/discover/Steve-Slow-Train-Analysis-(2080s-and-2083s)?_g=(refreshInterval:(display:Off,section:0,value:0),time:(from:'2016-12-27 08:54:28-700',mode:absolute,to:'2016-12-27 11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3" s="52" t="str">
        <f>IF(AA63&lt;IF(AG63="EC",23,5.65),"Y","N")</f>
        <v>N</v>
      </c>
      <c r="X63" s="177">
        <f t="shared" si="4"/>
        <v>1</v>
      </c>
      <c r="Y63" s="67">
        <f>RIGHT(D63,LEN(D63)-4)/10000</f>
        <v>4.4400000000000002E-2</v>
      </c>
      <c r="Z63" s="67">
        <f>RIGHT(H63,LEN(H63)-4)/10000</f>
        <v>23.332999999999998</v>
      </c>
      <c r="AA63" s="67">
        <f>ABS(Z63-Y63)</f>
        <v>23.288599999999999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>IF(LEN(A63)=6,"0"&amp;A63,A63)</f>
        <v>0151-27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/stypes="app*4027*20161227*"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151-27 --locoid 4027 --swversion DE.1.0.8.0 --startMP 204:444 --initTime 2016-12-27T09:54:28 --startdatetime 2016-12-27T10:00:15 --delay 1 --endMP 204:233330 --enddatetime 2016-12-27T10:35:58 --enforcementcount 1 &gt;&gt;C:\Users\stu\Documents\GitHub\eaglep3-reporting\EC\2016-12-27-refined-times.txt</v>
      </c>
      <c r="AI63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{"issue":{"subject":"","project_id":79,"tracker_id":40,"status_id":1,"priority_id":2,"assigned_to_id":23,"start_date":"2016-12-27","description":"","custom_fields":[{"id":1,"name":"Subdivision","value":"EC"},{"id":4,"name":"Milepost","value":"23.333"},{"id":17,"name":"Train ID","value":"151-27"},{"id":16,"name":"Locomotive ID","value":"4027"},{"id":130,"name":"Impact","value":""},{"id":150,"name":"Time of Event (Mountain Time)","value":"10:35:58"},{"id":151,"name":"Denver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538</v>
      </c>
      <c r="B64" s="7">
        <v>4028</v>
      </c>
      <c r="C64" s="22" t="s">
        <v>205</v>
      </c>
      <c r="D64" s="22" t="s">
        <v>254</v>
      </c>
      <c r="E64" s="13">
        <v>42731.450879629629</v>
      </c>
      <c r="F64" s="13">
        <v>42731.455729166664</v>
      </c>
      <c r="G64" s="7">
        <v>1</v>
      </c>
      <c r="H64" s="22" t="s">
        <v>233</v>
      </c>
      <c r="I64" s="13">
        <v>42731.483067129629</v>
      </c>
      <c r="J64" s="7">
        <v>1</v>
      </c>
      <c r="K64" s="109" t="str">
        <f>IF(ISEVEN(B64),(B64-1)&amp;"/"&amp;B64,B64&amp;"/"&amp;(B64+1))</f>
        <v>4027/4028</v>
      </c>
      <c r="L64" s="22" t="str">
        <f>VLOOKUP(A64,'Trips&amp;Operators'!$C$1:$G$99999,5,FALSE)</f>
        <v>DAVIS WENDY</v>
      </c>
      <c r="M64" s="6">
        <f>I64-F64</f>
        <v>2.7337962965248153E-2</v>
      </c>
      <c r="N64" s="7">
        <f>24*60*SUM($M64:$M64)</f>
        <v>39.36666666995734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https://search-rtdc-monitor-bjffxe2xuh6vdkpspy63sjmuny.us-east-1.es.amazonaws.com/_plugin/kibana/#/discover/Steve-Slow-Train-Analysis-(2080s-and-2083s)?_g=(refreshInterval:(display:Off,section:0,value:0),time:(from:'2016-12-27 09:49:16-700',mode:absolute,to:'2016-12-27 12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4" s="52" t="str">
        <f>IF(AA64&lt;IF(AG64="EC",23,5.65),"Y","N")</f>
        <v>N</v>
      </c>
      <c r="X64" s="177">
        <f>VALUE(LEFT(AD64,4))-VALUE(LEFT(AD63,4))</f>
        <v>1</v>
      </c>
      <c r="Y64" s="67">
        <f>RIGHT(D64,LEN(D64)-4)/10000</f>
        <v>23.299399999999999</v>
      </c>
      <c r="Z64" s="67">
        <f>RIGHT(H64,LEN(H64)-4)/10000</f>
        <v>1.4500000000000001E-2</v>
      </c>
      <c r="AA64" s="67">
        <f>ABS(Z64-Y64)</f>
        <v>23.284899999999997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>IF(LEN(A64)=6,"0"&amp;A64,A64)</f>
        <v>0152-27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/stypes="app*4028*20161227*"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152-27 --locoid 4028 --swversion DE.1.0.8.0 --startMP 204:232994 --initTime 2016-12-27T10:49:16 --startdatetime 2016-12-27T10:56:15 --delay 1 --endMP 204:145 --enddatetime 2016-12-27T11:35:37 --enforcementcount 1 &gt;&gt;C:\Users\stu\Documents\GitHub\eaglep3-reporting\EC\2016-12-27-refined-times.txt</v>
      </c>
      <c r="AI64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{"issue":{"subject":"","project_id":79,"tracker_id":40,"status_id":1,"priority_id":2,"assigned_to_id":23,"start_date":"2016-12-27","description":"","custom_fields":[{"id":1,"name":"Subdivision","value":"EC"},{"id":4,"name":"Milepost","value":"0.0145"},{"id":17,"name":"Train ID","value":"152-27"},{"id":16,"name":"Locomotive ID","value":"4028"},{"id":130,"name":"Impact","value":""},{"id":150,"name":"Time of Event (Mountain Time)","value":"11:35:37"},{"id":151,"name":"Denver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533</v>
      </c>
      <c r="B65" s="7">
        <v>4011</v>
      </c>
      <c r="C65" s="22" t="s">
        <v>205</v>
      </c>
      <c r="D65" s="22" t="s">
        <v>193</v>
      </c>
      <c r="E65" s="13">
        <v>42731.422835648147</v>
      </c>
      <c r="F65" s="13">
        <v>42731.427314814813</v>
      </c>
      <c r="G65" s="7">
        <v>5</v>
      </c>
      <c r="H65" s="22" t="s">
        <v>324</v>
      </c>
      <c r="I65" s="13">
        <v>42731.453182870369</v>
      </c>
      <c r="J65" s="7">
        <v>1</v>
      </c>
      <c r="K65" s="109" t="str">
        <f>IF(ISEVEN(B65),(B65-1)&amp;"/"&amp;B65,B65&amp;"/"&amp;(B65+1))</f>
        <v>4011/4012</v>
      </c>
      <c r="L65" s="22" t="str">
        <f>VLOOKUP(A65,'Trips&amp;Operators'!$C$1:$G$99999,5,FALSE)</f>
        <v>MAGEE KENYA</v>
      </c>
      <c r="M65" s="6">
        <f>I65-F65</f>
        <v>2.5868055556202307E-2</v>
      </c>
      <c r="N65" s="7">
        <f>24*60*SUM($M65:$M65)</f>
        <v>37.250000000931323</v>
      </c>
      <c r="O65" s="7"/>
      <c r="P65" s="7"/>
      <c r="Q65" s="23"/>
      <c r="R65" s="23"/>
      <c r="S65" s="35">
        <f>SUM(U65:U65)/IF(AG65="EC",12,1)</f>
        <v>1</v>
      </c>
      <c r="T65" s="50" t="str">
        <f>IF(ISEVEN(LEFT(AD65,4)),"Southbound","NorthBound")</f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https://search-rtdc-monitor-bjffxe2xuh6vdkpspy63sjmuny.us-east-1.es.amazonaws.com/_plugin/kibana/#/discover/Steve-Slow-Train-Analysis-(2080s-and-2083s)?_g=(refreshInterval:(display:Off,section:0,value:0),time:(from:'2016-12-27 09:08:53-700',mode:absolute,to:'2016-12-27 11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5" s="52" t="str">
        <f>IF(AA65&lt;IF(AG65="EC",23,5.65),"Y","N")</f>
        <v>N</v>
      </c>
      <c r="X65" s="177">
        <f>VALUE(LEFT(AD65,4))-VALUE(LEFT(AD64,4))</f>
        <v>1</v>
      </c>
      <c r="Y65" s="67">
        <f>RIGHT(D65,LEN(D65)-4)/10000</f>
        <v>4.4699999999999997E-2</v>
      </c>
      <c r="Z65" s="67">
        <f>RIGHT(H65,LEN(H65)-4)/10000</f>
        <v>23.330400000000001</v>
      </c>
      <c r="AA65" s="67">
        <f>ABS(Z65-Y65)</f>
        <v>23.285700000000002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>IF(LEN(A65)=6,"0"&amp;A65,A65)</f>
        <v>0153-27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s3://rtdc.mdm.uploadarchive.raw/RTDC4011/ "%USERPROFILE%\AppData\Local\Temp\OnboardLogs"\RTDC4011\2016-12-27 --exclude "*" --recursive --include "*20161227*" &amp; "%USERPROFILE%\Documents\GitHub\mrs-test-scripts\Headless Mode &amp; Sideloading\WalkAndUnGZ.bat" "%USERPROFILE%\AppData\Local\Temp\OnboardLogs"\RTDC4011\2016-12-27 &amp; 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/stypes="app*4011*20161227*"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153-27 --locoid 4011 --swversion DE.1.0.8.0 --startMP 204:447 --initTime 2016-12-27T10:08:53 --startdatetime 2016-12-27T10:15:20 --delay 5 --endMP 204:233304 --enddatetime 2016-12-27T10:52:35 --enforcementcount 1 &gt;&gt;C:\Users\stu\Documents\GitHub\eaglep3-reporting\EC\2016-12-27-refined-times.txt</v>
      </c>
      <c r="AI65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{"issue":{"subject":"","project_id":79,"tracker_id":40,"status_id":1,"priority_id":2,"assigned_to_id":23,"start_date":"2016-12-27","description":"","custom_fields":[{"id":1,"name":"Subdivision","value":"EC"},{"id":4,"name":"Milepost","value":"23.3304"},{"id":17,"name":"Train ID","value":"153-27"},{"id":16,"name":"Locomotive ID","value":"4011"},{"id":130,"name":"Impact","value":""},{"id":150,"name":"Time of Event (Mountain Time)","value":"10:52:35"},{"id":151,"name":"Denver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539</v>
      </c>
      <c r="B66" s="7">
        <v>4012</v>
      </c>
      <c r="C66" s="22" t="s">
        <v>205</v>
      </c>
      <c r="D66" s="22" t="s">
        <v>265</v>
      </c>
      <c r="E66" s="13">
        <v>42731.462638888886</v>
      </c>
      <c r="F66" s="13">
        <v>42731.466423611113</v>
      </c>
      <c r="G66" s="7">
        <v>1</v>
      </c>
      <c r="H66" s="22" t="s">
        <v>211</v>
      </c>
      <c r="I66" s="13">
        <v>42731.494131944448</v>
      </c>
      <c r="J66" s="7">
        <v>1</v>
      </c>
      <c r="K66" s="109" t="str">
        <f>IF(ISEVEN(B66),(B66-1)&amp;"/"&amp;B66,B66&amp;"/"&amp;(B66+1))</f>
        <v>4011/4012</v>
      </c>
      <c r="L66" s="22" t="str">
        <f>VLOOKUP(A66,'Trips&amp;Operators'!$C$1:$G$99999,5,FALSE)</f>
        <v>MAGEE KENYA</v>
      </c>
      <c r="M66" s="6">
        <f>I66-F66</f>
        <v>2.7708333334885538E-2</v>
      </c>
      <c r="N66" s="7">
        <f>24*60*SUM($M66:$M66)</f>
        <v>39.900000002235174</v>
      </c>
      <c r="O66" s="7"/>
      <c r="P66" s="7"/>
      <c r="Q66" s="23"/>
      <c r="R66" s="23"/>
      <c r="S66" s="35">
        <f>SUM(U66:U66)/IF(AG66="EC",12,1)</f>
        <v>1</v>
      </c>
      <c r="T66" s="50" t="str">
        <f>IF(ISEVEN(LEFT(AD66,4)),"Southbound","NorthBound")</f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https://search-rtdc-monitor-bjffxe2xuh6vdkpspy63sjmuny.us-east-1.es.amazonaws.com/_plugin/kibana/#/discover/Steve-Slow-Train-Analysis-(2080s-and-2083s)?_g=(refreshInterval:(display:Off,section:0,value:0),time:(from:'2016-12-27 10:06:12-700',mode:absolute,to:'2016-12-27 12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6" s="52" t="str">
        <f>IF(AA66&lt;IF(AG66="EC",23,5.65),"Y","N")</f>
        <v>N</v>
      </c>
      <c r="X66" s="177">
        <f t="shared" ref="X66:X73" si="5">VALUE(LEFT(AD66,4))-VALUE(LEFT(AD65,4))</f>
        <v>1</v>
      </c>
      <c r="Y66" s="67">
        <f>RIGHT(D66,LEN(D66)-4)/10000</f>
        <v>23.299299999999999</v>
      </c>
      <c r="Z66" s="67">
        <f>RIGHT(H66,LEN(H66)-4)/10000</f>
        <v>1.4999999999999999E-2</v>
      </c>
      <c r="AA66" s="67">
        <f>ABS(Z66-Y66)</f>
        <v>23.284299999999998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>IF(LEN(A66)=6,"0"&amp;A66,A66)</f>
        <v>0154-27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 &amp; 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/stypes="app*4012*20161227*"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154-27 --locoid 4012 --swversion DE.1.0.8.0 --startMP 204:232993 --initTime 2016-12-27T11:06:12 --startdatetime 2016-12-27T11:11:39 --delay 1 --endMP 204:150 --enddatetime 2016-12-27T11:51:33 --enforcementcount 1 &gt;&gt;C:\Users\stu\Documents\GitHub\eaglep3-reporting\EC\2016-12-27-refined-times.txt</v>
      </c>
      <c r="AI66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{"issue":{"subject":"","project_id":79,"tracker_id":40,"status_id":1,"priority_id":2,"assigned_to_id":23,"start_date":"2016-12-27","description":"","custom_fields":[{"id":1,"name":"Subdivision","value":"EC"},{"id":4,"name":"Milepost","value":"0.015"},{"id":17,"name":"Train ID","value":"154-27"},{"id":16,"name":"Locomotive ID","value":"4012"},{"id":130,"name":"Impact","value":""},{"id":150,"name":"Time of Event (Mountain Time)","value":"11:51:33"},{"id":151,"name":"Denver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535</v>
      </c>
      <c r="B67" s="7">
        <v>4022</v>
      </c>
      <c r="C67" s="22" t="s">
        <v>205</v>
      </c>
      <c r="D67" s="22" t="s">
        <v>692</v>
      </c>
      <c r="E67" s="13">
        <v>42731.435624999998</v>
      </c>
      <c r="F67" s="13">
        <v>42731.438101851854</v>
      </c>
      <c r="G67" s="7">
        <v>1</v>
      </c>
      <c r="H67" s="22" t="s">
        <v>693</v>
      </c>
      <c r="I67" s="13">
        <v>42731.462222222224</v>
      </c>
      <c r="J67" s="7">
        <v>1</v>
      </c>
      <c r="K67" s="109" t="str">
        <f>IF(ISEVEN(B67),(B67-1)&amp;"/"&amp;B67,B67&amp;"/"&amp;(B67+1))</f>
        <v>4021/4022</v>
      </c>
      <c r="L67" s="22" t="str">
        <f>VLOOKUP(A67,'Trips&amp;Operators'!$C$1:$G$99999,5,FALSE)</f>
        <v>YANG JAN</v>
      </c>
      <c r="M67" s="6">
        <f>I67-F67</f>
        <v>2.4120370369928423E-2</v>
      </c>
      <c r="N67" s="7">
        <f>24*60*SUM($M67:$M67)</f>
        <v>34.73333333269693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https://search-rtdc-monitor-bjffxe2xuh6vdkpspy63sjmuny.us-east-1.es.amazonaws.com/_plugin/kibana/#/discover/Steve-Slow-Train-Analysis-(2080s-and-2083s)?_g=(refreshInterval:(display:Off,section:0,value:0),time:(from:'2016-12-27 09:27:18-700',mode:absolute,to:'2016-12-27 12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7" s="52" t="str">
        <f>IF(AA67&lt;IF(AG67="EC",23,5.65),"Y","N")</f>
        <v>N</v>
      </c>
      <c r="X67" s="177">
        <f t="shared" si="5"/>
        <v>1</v>
      </c>
      <c r="Y67" s="67">
        <f>RIGHT(D67,LEN(D67)-4)/10000</f>
        <v>5.0200000000000002E-2</v>
      </c>
      <c r="Z67" s="67">
        <f>RIGHT(H67,LEN(H67)-4)/10000</f>
        <v>23.328600000000002</v>
      </c>
      <c r="AA67" s="67">
        <f>ABS(Z67-Y67)</f>
        <v>23.278400000000001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>IF(LEN(A67)=6,"0"&amp;A67,A67)</f>
        <v>0155-27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/stypes="app*4022*20161227*"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155-27 --locoid 4022 --swversion DE.1.0.8.0 --startMP 204:502 --initTime 2016-12-27T10:27:18 --startdatetime 2016-12-27T10:30:52 --delay 1 --endMP 204:233286 --enddatetime 2016-12-27T11:05:36 --enforcementcount 1 &gt;&gt;C:\Users\stu\Documents\GitHub\eaglep3-reporting\EC\2016-12-27-refined-times.txt</v>
      </c>
      <c r="AI67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{"issue":{"subject":"","project_id":79,"tracker_id":40,"status_id":1,"priority_id":2,"assigned_to_id":23,"start_date":"2016-12-27","description":"","custom_fields":[{"id":1,"name":"Subdivision","value":"EC"},{"id":4,"name":"Milepost","value":"23.3286"},{"id":17,"name":"Train ID","value":"155-27"},{"id":16,"name":"Locomotive ID","value":"4022"},{"id":130,"name":"Impact","value":""},{"id":150,"name":"Time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540</v>
      </c>
      <c r="B68" s="7">
        <v>4021</v>
      </c>
      <c r="C68" s="22" t="s">
        <v>205</v>
      </c>
      <c r="D68" s="22" t="s">
        <v>343</v>
      </c>
      <c r="E68" s="13">
        <v>42731.464722222219</v>
      </c>
      <c r="F68" s="13">
        <v>42731.477060185185</v>
      </c>
      <c r="G68" s="7">
        <v>1</v>
      </c>
      <c r="H68" s="22" t="s">
        <v>347</v>
      </c>
      <c r="I68" s="13">
        <v>42731.50513888889</v>
      </c>
      <c r="J68" s="7">
        <v>1</v>
      </c>
      <c r="K68" s="109" t="str">
        <f>IF(ISEVEN(B68),(B68-1)&amp;"/"&amp;B68,B68&amp;"/"&amp;(B68+1))</f>
        <v>4021/4022</v>
      </c>
      <c r="L68" s="22" t="str">
        <f>VLOOKUP(A68,'Trips&amp;Operators'!$C$1:$G$99999,5,FALSE)</f>
        <v>YANG JAN</v>
      </c>
      <c r="M68" s="6">
        <f>I68-F68</f>
        <v>2.8078703704522923E-2</v>
      </c>
      <c r="N68" s="7">
        <f>24*60*SUM($M68:$M68)</f>
        <v>40.433333334513009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https://search-rtdc-monitor-bjffxe2xuh6vdkpspy63sjmuny.us-east-1.es.amazonaws.com/_plugin/kibana/#/discover/Steve-Slow-Train-Analysis-(2080s-and-2083s)?_g=(refreshInterval:(display:Off,section:0,value:0),time:(from:'2016-12-27 10:09:12-700',mode:absolute,to:'2016-12-27 13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8" s="52" t="str">
        <f>IF(AA68&lt;IF(AG68="EC",23,5.65),"Y","N")</f>
        <v>N</v>
      </c>
      <c r="X68" s="177">
        <f t="shared" si="5"/>
        <v>1</v>
      </c>
      <c r="Y68" s="67">
        <f>RIGHT(D68,LEN(D68)-4)/10000</f>
        <v>23.2971</v>
      </c>
      <c r="Z68" s="67">
        <f>RIGHT(H68,LEN(H68)-4)/10000</f>
        <v>1.5599999999999999E-2</v>
      </c>
      <c r="AA68" s="67">
        <f>ABS(Z68-Y68)</f>
        <v>23.281500000000001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>IF(LEN(A68)=6,"0"&amp;A68,A68)</f>
        <v>0156-27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s3://rtdc.mdm.uploadarchive.raw/RTDC4021/ "%USERPROFILE%\AppData\Local\Temp\OnboardLogs"\RTDC4021\2016-12-27 --exclude "*" --recursive --include "*20161227*" &amp; "%USERPROFILE%\Documents\GitHub\mrs-test-scripts\Headless Mode &amp; Sideloading\WalkAndUnGZ.bat" "%USERPROFILE%\AppData\Local\Temp\OnboardLogs"\RTDC4021\2016-12-27 &amp; aws s3 cp s3://rtdc.mdm.uploadarchive.raw/RTDC4021/ "%USERPROFILE%\AppData\Local\Temp\OnboardLogs"\RTDC4021\2016-12-28 --exclude "*" --recursive --include "*20161228*" &amp; "%USERPROFILE%\Documents\GitHub\mrs-test-scripts\Headless Mode &amp; Sideloading\WalkAndUnGZ.bat" "%USERPROFILE%\AppData\Local\Temp\OnboardLogs"\RTDC4021\2016-12-28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/stypes="app*4021*20161227*" /stext=" 19:.+((SYSTEM_STATE.+slice.+state.+changed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156-27 --locoid 4021 --swversion DE.1.0.8.0 --startMP 204:232971 --initTime 2016-12-27T11:09:12 --startdatetime 2016-12-27T11:26:58 --delay 1 --endMP 204:156 --enddatetime 2016-12-27T12:07:24 --enforcementcount 1 &gt;&gt;C:\Users\stu\Documents\GitHub\eaglep3-reporting\EC\2016-12-27-refined-times.txt</v>
      </c>
      <c r="AI68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{"issue":{"subject":"","project_id":79,"tracker_id":40,"status_id":1,"priority_id":2,"assigned_to_id":23,"start_date":"2016-12-27","description":"","custom_fields":[{"id":1,"name":"Subdivision","value":"EC"},{"id":4,"name":"Milepost","value":"0.0156"},{"id":17,"name":"Train ID","value":"156-27"},{"id":16,"name":"Locomotive ID","value":"4021"},{"id":130,"name":"Impact","value":""},{"id":150,"name":"Time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537</v>
      </c>
      <c r="B69" s="7">
        <v>4051</v>
      </c>
      <c r="C69" s="22" t="s">
        <v>205</v>
      </c>
      <c r="D69" s="22" t="s">
        <v>344</v>
      </c>
      <c r="E69" s="13">
        <v>42731.443055555559</v>
      </c>
      <c r="F69" s="13">
        <v>42731.448333333334</v>
      </c>
      <c r="G69" s="7">
        <v>1</v>
      </c>
      <c r="H69" s="22" t="s">
        <v>694</v>
      </c>
      <c r="I69" s="13">
        <v>42731.473969907405</v>
      </c>
      <c r="J69" s="7">
        <v>1</v>
      </c>
      <c r="K69" s="109" t="str">
        <f>IF(ISEVEN(B69),(B69-1)&amp;"/"&amp;B69,B69&amp;"/"&amp;(B69+1))</f>
        <v>4051/4052</v>
      </c>
      <c r="L69" s="22" t="str">
        <f>VLOOKUP(A69,'Trips&amp;Operators'!$C$1:$G$99999,5,FALSE)</f>
        <v>COMELLA JUSTIN</v>
      </c>
      <c r="M69" s="6">
        <f>I69-F69</f>
        <v>2.5636574071540963E-2</v>
      </c>
      <c r="N69" s="7">
        <f>24*60*SUM($M69:$M69)</f>
        <v>36.916666663018987</v>
      </c>
      <c r="O69" s="7"/>
      <c r="P69" s="7"/>
      <c r="Q69" s="23"/>
      <c r="R69" s="23"/>
      <c r="S69" s="35">
        <f>SUM(U69:U69)/IF(AG69="EC",12,1)</f>
        <v>1</v>
      </c>
      <c r="T69" s="50" t="str">
        <f>IF(ISEVEN(LEFT(AD69,4)),"Southbound","NorthBound")</f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https://search-rtdc-monitor-bjffxe2xuh6vdkpspy63sjmuny.us-east-1.es.amazonaws.com/_plugin/kibana/#/discover/Steve-Slow-Train-Analysis-(2080s-and-2083s)?_g=(refreshInterval:(display:Off,section:0,value:0),time:(from:'2016-12-27 09:38:00-700',mode:absolute,to:'2016-12-27 12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9" s="52" t="str">
        <f>IF(AA69&lt;IF(AG69="EC",23,5.65),"Y","N")</f>
        <v>N</v>
      </c>
      <c r="X69" s="177">
        <f t="shared" si="5"/>
        <v>1</v>
      </c>
      <c r="Y69" s="67">
        <f>RIGHT(D69,LEN(D69)-4)/10000</f>
        <v>4.5699999999999998E-2</v>
      </c>
      <c r="Z69" s="67">
        <f>RIGHT(H69,LEN(H69)-4)/10000</f>
        <v>23.331399999999999</v>
      </c>
      <c r="AA69" s="67">
        <f>ABS(Z69-Y69)</f>
        <v>23.285699999999999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>IF(LEN(A69)=6,"0"&amp;A69,A69)</f>
        <v>0157-27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/stypes="app*4051*20161227*"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157-27 --locoid 4051 --swversion DE.1.0.8.0 --startMP 204:457 --initTime 2016-12-27T10:38:00 --startdatetime 2016-12-27T10:45:36 --delay 1 --endMP 204:233314 --enddatetime 2016-12-27T11:22:31 --enforcementcount 1 &gt;&gt;C:\Users\stu\Documents\GitHub\eaglep3-reporting\EC\2016-12-27-refined-times.txt</v>
      </c>
      <c r="AI69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{"issue":{"subject":"","project_id":79,"tracker_id":40,"status_id":1,"priority_id":2,"assigned_to_id":23,"start_date":"2016-12-27","description":"","custom_fields":[{"id":1,"name":"Subdivision","value":"EC"},{"id":4,"name":"Milepost","value":"23.3314"},{"id":17,"name":"Train ID","value":"157-27"},{"id":16,"name":"Locomotive ID","value":"4051"},{"id":130,"name":"Impact","value":""},{"id":150,"name":"Time of Event (Mountain Time)","value":"11:22:31"},{"id":151,"name":"Denver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542</v>
      </c>
      <c r="B70" s="7">
        <v>4052</v>
      </c>
      <c r="C70" s="22" t="s">
        <v>205</v>
      </c>
      <c r="D70" s="22" t="s">
        <v>325</v>
      </c>
      <c r="E70" s="13">
        <v>42731.481354166666</v>
      </c>
      <c r="F70" s="13">
        <v>42731.486990740741</v>
      </c>
      <c r="G70" s="7">
        <v>1</v>
      </c>
      <c r="H70" s="22" t="s">
        <v>392</v>
      </c>
      <c r="I70" s="13">
        <v>42731.515462962961</v>
      </c>
      <c r="J70" s="7">
        <v>1</v>
      </c>
      <c r="K70" s="109" t="str">
        <f>IF(ISEVEN(B70),(B70-1)&amp;"/"&amp;B70,B70&amp;"/"&amp;(B70+1))</f>
        <v>4051/4052</v>
      </c>
      <c r="L70" s="22" t="str">
        <f>VLOOKUP(A70,'Trips&amp;Operators'!$C$1:$G$99999,5,FALSE)</f>
        <v>COMELLA JUSTIN</v>
      </c>
      <c r="M70" s="6">
        <f>I70-F70</f>
        <v>2.8472222220443655E-2</v>
      </c>
      <c r="N70" s="7">
        <f>24*60*SUM($M70:$M70)</f>
        <v>40.999999997438863</v>
      </c>
      <c r="O70" s="7"/>
      <c r="P70" s="7"/>
      <c r="Q70" s="23"/>
      <c r="R70" s="23"/>
      <c r="S70" s="35">
        <f>SUM(U70:U70)/IF(AG70="EC",12,1)</f>
        <v>1</v>
      </c>
      <c r="T70" s="50" t="str">
        <f>IF(ISEVEN(LEFT(AD70,4)),"Southbound","NorthBound")</f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https://search-rtdc-monitor-bjffxe2xuh6vdkpspy63sjmuny.us-east-1.es.amazonaws.com/_plugin/kibana/#/discover/Steve-Slow-Train-Analysis-(2080s-and-2083s)?_g=(refreshInterval:(display:Off,section:0,value:0),time:(from:'2016-12-27 10:33:09-700',mode:absolute,to:'2016-12-27 13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0" s="52" t="str">
        <f>IF(AA70&lt;IF(AG70="EC",23,5.65),"Y","N")</f>
        <v>N</v>
      </c>
      <c r="X70" s="177">
        <f t="shared" si="5"/>
        <v>1</v>
      </c>
      <c r="Y70" s="67">
        <f>RIGHT(D70,LEN(D70)-4)/10000</f>
        <v>23.2987</v>
      </c>
      <c r="Z70" s="67">
        <f>RIGHT(H70,LEN(H70)-4)/10000</f>
        <v>1.67E-2</v>
      </c>
      <c r="AA70" s="67">
        <f>ABS(Z70-Y70)</f>
        <v>23.282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>IF(LEN(A70)=6,"0"&amp;A70,A70)</f>
        <v>0158-27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/stypes="app*4052*20161227*"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158-27 --locoid 4052 --swversion DE.1.0.8.0 --startMP 204:232987 --initTime 2016-12-27T11:33:09 --startdatetime 2016-12-27T11:41:16 --delay 1 --endMP 204:167 --enddatetime 2016-12-27T12:22:16 --enforcementcount 1 &gt;&gt;C:\Users\stu\Documents\GitHub\eaglep3-reporting\EC\2016-12-27-refined-times.txt</v>
      </c>
      <c r="AI70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{"issue":{"subject":"","project_id":79,"tracker_id":40,"status_id":1,"priority_id":2,"assigned_to_id":23,"start_date":"2016-12-27","description":"","custom_fields":[{"id":1,"name":"Subdivision","value":"EC"},{"id":4,"name":"Milepost","value":"0.0167"},{"id":17,"name":"Train ID","value":"158-27"},{"id":16,"name":"Locomotive ID","value":"4052"},{"id":130,"name":"Impact","value":""},{"id":150,"name":"Time of Event (Mountain Time)","value":"12:22:16"},{"id":151,"name":"Denver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436</v>
      </c>
      <c r="B71" s="7">
        <v>4007</v>
      </c>
      <c r="C71" s="22" t="s">
        <v>205</v>
      </c>
      <c r="D71" s="22" t="s">
        <v>399</v>
      </c>
      <c r="E71" s="13">
        <v>42731.454768518517</v>
      </c>
      <c r="F71" s="13">
        <v>42731.458796296298</v>
      </c>
      <c r="G71" s="7">
        <v>2</v>
      </c>
      <c r="H71" s="22" t="s">
        <v>345</v>
      </c>
      <c r="I71" s="13">
        <v>42731.484594907408</v>
      </c>
      <c r="J71" s="7">
        <v>1</v>
      </c>
      <c r="K71" s="109" t="str">
        <f>IF(ISEVEN(B71),(B71-1)&amp;"/"&amp;B71,B71&amp;"/"&amp;(B71+1))</f>
        <v>4007/4008</v>
      </c>
      <c r="L71" s="22" t="str">
        <f>VLOOKUP(A71,'Trips&amp;Operators'!$C$1:$G$99999,5,FALSE)</f>
        <v>DAVIS MICHAEL</v>
      </c>
      <c r="M71" s="6">
        <f>I71-F71</f>
        <v>2.5798611110076308E-2</v>
      </c>
      <c r="N71" s="7">
        <f>24*60*SUM($M71:$M71)</f>
        <v>37.149999998509884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https://search-rtdc-monitor-bjffxe2xuh6vdkpspy63sjmuny.us-east-1.es.amazonaws.com/_plugin/kibana/#/discover/Steve-Slow-Train-Analysis-(2080s-and-2083s)?_g=(refreshInterval:(display:Off,section:0,value:0),time:(from:'2016-12-27 09:54:52-700',mode:absolute,to:'2016-12-27 12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1" s="52" t="str">
        <f>IF(AA71&lt;IF(AG71="EC",23,5.65),"Y","N")</f>
        <v>N</v>
      </c>
      <c r="X71" s="177">
        <f t="shared" si="5"/>
        <v>1</v>
      </c>
      <c r="Y71" s="67">
        <f>RIGHT(D71,LEN(D71)-4)/10000</f>
        <v>4.3799999999999999E-2</v>
      </c>
      <c r="Z71" s="67">
        <f>RIGHT(H71,LEN(H71)-4)/10000</f>
        <v>23.3291</v>
      </c>
      <c r="AA71" s="67">
        <f>ABS(Z71-Y71)</f>
        <v>23.285299999999999</v>
      </c>
      <c r="AB71" s="64" t="str">
        <f>VLOOKUP(A71,Enforcements!$C$7:$K$19,8,0)</f>
        <v>Speed (6)</v>
      </c>
      <c r="AC71" s="60" t="str">
        <f>VLOOKUP(A71,Enforcements!$C$7:$E$19,3,0)</f>
        <v>PERMANENT SPEED RESTRICTION</v>
      </c>
      <c r="AD71" s="61" t="str">
        <f>IF(LEN(A71)=6,"0"&amp;A71,A71)</f>
        <v>0159-27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/stypes="app*4007*20161227*"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159-27 --locoid 4007 --swversion DE.1.0.8.0 --startMP 204:438 --initTime 2016-12-27T10:54:52 --startdatetime 2016-12-27T11:00:40 --delay 2 --endMP 204:233291 --enddatetime 2016-12-27T11:37:49 --enforcementcount 1 &gt;&gt;C:\Users\stu\Documents\GitHub\eaglep3-reporting\EC\2016-12-27-refined-times.txt</v>
      </c>
      <c r="AI71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{"issue":{"subject":"","project_id":79,"tracker_id":40,"status_id":1,"priority_id":2,"assigned_to_id":23,"start_date":"2016-12-27","description":"","custom_fields":[{"id":1,"name":"Subdivision","value":"EC"},{"id":4,"name":"Milepost","value":"23.3291"},{"id":17,"name":"Train ID","value":"159-27"},{"id":16,"name":"Locomotive ID","value":"4007"},{"id":130,"name":"Impact","value":""},{"id":150,"name":"Time of Event (Mountain Time)","value":"11:37:49"},{"id":151,"name":"Denver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545</v>
      </c>
      <c r="B72" s="7">
        <v>4008</v>
      </c>
      <c r="C72" s="22" t="s">
        <v>205</v>
      </c>
      <c r="D72" s="22" t="s">
        <v>397</v>
      </c>
      <c r="E72" s="13">
        <v>42731.494120370371</v>
      </c>
      <c r="F72" s="13">
        <v>42731.497696759259</v>
      </c>
      <c r="G72" s="7">
        <v>1</v>
      </c>
      <c r="H72" s="22" t="s">
        <v>192</v>
      </c>
      <c r="I72" s="13">
        <v>42731.525891203702</v>
      </c>
      <c r="J72" s="7">
        <v>1</v>
      </c>
      <c r="K72" s="109" t="str">
        <f>IF(ISEVEN(B72),(B72-1)&amp;"/"&amp;B72,B72&amp;"/"&amp;(B72+1))</f>
        <v>4007/4008</v>
      </c>
      <c r="L72" s="22" t="str">
        <f>VLOOKUP(A72,'Trips&amp;Operators'!$C$1:$G$99999,5,FALSE)</f>
        <v>DAVIS MICHAEL</v>
      </c>
      <c r="M72" s="6">
        <f>I72-F72</f>
        <v>2.8194444443215616E-2</v>
      </c>
      <c r="N72" s="7">
        <f>24*60*SUM($M72:$M72)</f>
        <v>40.599999998230487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https://search-rtdc-monitor-bjffxe2xuh6vdkpspy63sjmuny.us-east-1.es.amazonaws.com/_plugin/kibana/#/discover/Steve-Slow-Train-Analysis-(2080s-and-2083s)?_g=(refreshInterval:(display:Off,section:0,value:0),time:(from:'2016-12-27 10:51:32-700',mode:absolute,to:'2016-12-27 13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2" s="52" t="str">
        <f>IF(AA72&lt;IF(AG72="EC",23,5.65),"Y","N")</f>
        <v>N</v>
      </c>
      <c r="X72" s="177">
        <f t="shared" si="5"/>
        <v>1</v>
      </c>
      <c r="Y72" s="67">
        <f>RIGHT(D72,LEN(D72)-4)/10000</f>
        <v>23.296299999999999</v>
      </c>
      <c r="Z72" s="67">
        <f>RIGHT(H72,LEN(H72)-4)/10000</f>
        <v>1.43E-2</v>
      </c>
      <c r="AA72" s="67">
        <f>ABS(Z72-Y72)</f>
        <v>23.282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>IF(LEN(A72)=6,"0"&amp;A72,A72)</f>
        <v>0160-27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/stypes="app*4008*20161227*"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160-27 --locoid 4008 --swversion DE.1.0.8.0 --startMP 204:232963 --initTime 2016-12-27T11:51:32 --startdatetime 2016-12-27T11:56:41 --delay 1 --endMP 204:143 --enddatetime 2016-12-27T12:37:17 --enforcementcount 1 &gt;&gt;C:\Users\stu\Documents\GitHub\eaglep3-reporting\EC\2016-12-27-refined-times.txt</v>
      </c>
      <c r="AI72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{"issue":{"subject":"","project_id":79,"tracker_id":40,"status_id":1,"priority_id":2,"assigned_to_id":23,"start_date":"2016-12-27","description":"","custom_fields":[{"id":1,"name":"Subdivision","value":"EC"},{"id":4,"name":"Milepost","value":"0.0143"},{"id":17,"name":"Train ID","value":"160-27"},{"id":16,"name":"Locomotive ID","value":"4008"},{"id":130,"name":"Impact","value":""},{"id":150,"name":"Time of Event (Mountain Time)","value":"12:37:17"},{"id":151,"name":"Denver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541</v>
      </c>
      <c r="B73" s="7">
        <v>4042</v>
      </c>
      <c r="C73" s="22" t="s">
        <v>205</v>
      </c>
      <c r="D73" s="22" t="s">
        <v>264</v>
      </c>
      <c r="E73" s="13">
        <v>42731.466099537036</v>
      </c>
      <c r="F73" s="13">
        <v>42731.469293981485</v>
      </c>
      <c r="G73" s="7">
        <v>2</v>
      </c>
      <c r="H73" s="22" t="s">
        <v>403</v>
      </c>
      <c r="I73" s="13">
        <v>42731.495219907411</v>
      </c>
      <c r="J73" s="7">
        <v>1</v>
      </c>
      <c r="K73" s="109" t="str">
        <f>IF(ISEVEN(B73),(B73-1)&amp;"/"&amp;B73,B73&amp;"/"&amp;(B73+1))</f>
        <v>4041/4042</v>
      </c>
      <c r="L73" s="22" t="str">
        <f>VLOOKUP(A73,'Trips&amp;Operators'!$C$1:$G$99999,5,FALSE)</f>
        <v>STEWART MICHAEL</v>
      </c>
      <c r="M73" s="6">
        <f>I73-F73</f>
        <v>2.5925925925548654E-2</v>
      </c>
      <c r="N73" s="7">
        <f>24*60*SUM($M73:$M73)</f>
        <v>37.333333332790062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https://search-rtdc-monitor-bjffxe2xuh6vdkpspy63sjmuny.us-east-1.es.amazonaws.com/_plugin/kibana/#/discover/Steve-Slow-Train-Analysis-(2080s-and-2083s)?_g=(refreshInterval:(display:Off,section:0,value:0),time:(from:'2016-12-27 10:11:11-700',mode:absolute,to:'2016-12-27 12:53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>IF(AA73&lt;IF(AG73="EC",23,5.65),"Y","N")</f>
        <v>N</v>
      </c>
      <c r="X73" s="177">
        <f t="shared" si="5"/>
        <v>1</v>
      </c>
      <c r="Y73" s="67">
        <f>RIGHT(D73,LEN(D73)-4)/10000</f>
        <v>4.6199999999999998E-2</v>
      </c>
      <c r="Z73" s="67">
        <f>RIGHT(H73,LEN(H73)-4)/10000</f>
        <v>23.326799999999999</v>
      </c>
      <c r="AA73" s="67">
        <f>ABS(Z73-Y73)</f>
        <v>23.2806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>IF(LEN(A73)=6,"0"&amp;A73,A73)</f>
        <v>0161-27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/stypes="app*4042*20161227*" /stext=" 18:.+((SYSTEM_STATE.+slice.+state.+changed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161-27 --locoid 4042 --swversion DE.1.0.8.0 --startMP 204:462 --initTime 2016-12-27T11:11:11 --startdatetime 2016-12-27T11:15:47 --delay 2 --endMP 204:233268 --enddatetime 2016-12-27T11:53:07 --enforcementcount 1 &gt;&gt;C:\Users\stu\Documents\GitHub\eaglep3-reporting\EC\2016-12-27-refined-times.txt</v>
      </c>
      <c r="AI73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{"issue":{"subject":"","project_id":79,"tracker_id":40,"status_id":1,"priority_id":2,"assigned_to_id":23,"start_date":"2016-12-27","description":"","custom_fields":[{"id":1,"name":"Subdivision","value":"EC"},{"id":4,"name":"Milepost","value":"23.3268"},{"id":17,"name":"Train ID","value":"161-27"},{"id":16,"name":"Locomotive ID","value":"4042"},{"id":130,"name":"Impact","value":""},{"id":150,"name":"Time of Event (Mountain Time)","value":"11:53:07"},{"id":151,"name":"Denver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547</v>
      </c>
      <c r="B74" s="7">
        <v>4041</v>
      </c>
      <c r="C74" s="22" t="s">
        <v>205</v>
      </c>
      <c r="D74" s="22" t="s">
        <v>368</v>
      </c>
      <c r="E74" s="13">
        <v>42731.503599537034</v>
      </c>
      <c r="F74" s="13">
        <v>42731.507905092592</v>
      </c>
      <c r="G74" s="7">
        <v>1</v>
      </c>
      <c r="H74" s="22" t="s">
        <v>695</v>
      </c>
      <c r="I74" s="13">
        <v>42731.537037037036</v>
      </c>
      <c r="J74" s="7">
        <v>1</v>
      </c>
      <c r="K74" s="109" t="str">
        <f>IF(ISEVEN(B74),(B74-1)&amp;"/"&amp;B74,B74&amp;"/"&amp;(B74+1))</f>
        <v>4041/4042</v>
      </c>
      <c r="L74" s="22" t="str">
        <f>VLOOKUP(A74,'Trips&amp;Operators'!$C$1:$G$99999,5,FALSE)</f>
        <v>STEWART MICHAEL</v>
      </c>
      <c r="M74" s="6">
        <f>I74-F74</f>
        <v>2.9131944444088731E-2</v>
      </c>
      <c r="N74" s="7">
        <f>24*60*SUM($M74:$M74)</f>
        <v>41.949999999487773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https://search-rtdc-monitor-bjffxe2xuh6vdkpspy63sjmuny.us-east-1.es.amazonaws.com/_plugin/kibana/#/discover/Steve-Slow-Train-Analysis-(2080s-and-2083s)?_g=(refreshInterval:(display:Off,section:0,value:0),time:(from:'2016-12-27 11:05:11-700',mode:absolute,to:'2016-12-27 13:53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>IF(AA74&lt;IF(AG74="EC",23,5.65),"Y","N")</f>
        <v>N</v>
      </c>
      <c r="X74" s="177">
        <f>VALUE(LEFT(AD74,4))-VALUE(LEFT(AD73,4))</f>
        <v>1</v>
      </c>
      <c r="Y74" s="67">
        <f>RIGHT(D74,LEN(D74)-4)/10000</f>
        <v>23.2974</v>
      </c>
      <c r="Z74" s="67">
        <f>RIGHT(H74,LEN(H74)-4)/10000</f>
        <v>1.8100000000000002E-2</v>
      </c>
      <c r="AA74" s="67">
        <f>ABS(Z74-Y74)</f>
        <v>23.279299999999999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>IF(LEN(A74)=6,"0"&amp;A74,A74)</f>
        <v>0162-27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/stypes="app*4041*20161227*"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162-27 --locoid 4041 --swversion DE.1.0.8.0 --startMP 204:232974 --initTime 2016-12-27T12:05:11 --startdatetime 2016-12-27T12:11:23 --delay 1 --endMP 204:181 --enddatetime 2016-12-27T12:53:20 --enforcementcount 1 &gt;&gt;C:\Users\stu\Documents\GitHub\eaglep3-reporting\EC\2016-12-27-refined-times.txt</v>
      </c>
      <c r="AI74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{"issue":{"subject":"","project_id":79,"tracker_id":40,"status_id":1,"priority_id":2,"assigned_to_id":23,"start_date":"2016-12-27","description":"","custom_fields":[{"id":1,"name":"Subdivision","value":"EC"},{"id":4,"name":"Milepost","value":"0.0181"},{"id":17,"name":"Train ID","value":"162-27"},{"id":16,"name":"Locomotive ID","value":"4041"},{"id":130,"name":"Impact","value":""},{"id":150,"name":"Time of Event (Mountain Time)","value":"12:53:20"},{"id":151,"name":"Denver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438</v>
      </c>
      <c r="B75" s="7">
        <v>4002</v>
      </c>
      <c r="C75" s="22" t="s">
        <v>205</v>
      </c>
      <c r="D75" s="22" t="s">
        <v>398</v>
      </c>
      <c r="E75" s="13">
        <v>42731.475451388891</v>
      </c>
      <c r="F75" s="13">
        <v>42731.479398148149</v>
      </c>
      <c r="G75" s="7">
        <v>1</v>
      </c>
      <c r="H75" s="22" t="s">
        <v>696</v>
      </c>
      <c r="I75" s="13">
        <v>42731.503784722219</v>
      </c>
      <c r="J75" s="7">
        <v>1</v>
      </c>
      <c r="K75" s="109" t="str">
        <f>IF(ISEVEN(B75),(B75-1)&amp;"/"&amp;B75,B75&amp;"/"&amp;(B75+1))</f>
        <v>4001/4002</v>
      </c>
      <c r="L75" s="22" t="str">
        <f>VLOOKUP(A75,'Trips&amp;Operators'!$C$1:$G$99999,5,FALSE)</f>
        <v>SIMMONS SHYHESHA</v>
      </c>
      <c r="M75" s="6">
        <f>I75-F75</f>
        <v>2.438657407037681E-2</v>
      </c>
      <c r="N75" s="7">
        <f>24*60*SUM($M75:$M75)</f>
        <v>35.116666661342606</v>
      </c>
      <c r="O75" s="7"/>
      <c r="P75" s="7"/>
      <c r="Q75" s="23"/>
      <c r="R75" s="23"/>
      <c r="S75" s="35">
        <f>SUM(U75:U75)/IF(AG75="EC",12,1)</f>
        <v>1</v>
      </c>
      <c r="T75" s="50" t="str">
        <f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https://search-rtdc-monitor-bjffxe2xuh6vdkpspy63sjmuny.us-east-1.es.amazonaws.com/_plugin/kibana/#/discover/Steve-Slow-Train-Analysis-(2080s-and-2083s)?_g=(refreshInterval:(display:Off,section:0,value:0),time:(from:'2016-12-27 10:24:39-700',mode:absolute,to:'2016-12-27 13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52" t="str">
        <f>IF(AA75&lt;IF(AG75="EC",23,5.65),"Y","N")</f>
        <v>N</v>
      </c>
      <c r="X75" s="177">
        <f>VALUE(LEFT(AD75,4))-VALUE(LEFT(AD74,4))</f>
        <v>1</v>
      </c>
      <c r="Y75" s="67">
        <f>RIGHT(D75,LEN(D75)-4)/10000</f>
        <v>4.6899999999999997E-2</v>
      </c>
      <c r="Z75" s="67">
        <f>RIGHT(H75,LEN(H75)-4)/10000</f>
        <v>23.328199999999999</v>
      </c>
      <c r="AA75" s="67">
        <f>ABS(Z75-Y75)</f>
        <v>23.281299999999998</v>
      </c>
      <c r="AB75" s="64" t="str">
        <f>VLOOKUP(A75,Enforcements!$C$7:$K$19,8,0)</f>
        <v>Bulletin (2)</v>
      </c>
      <c r="AC75" s="60" t="str">
        <f>VLOOKUP(A75,Enforcements!$C$7:$E$19,3,0)</f>
        <v>GRADE CROSSING</v>
      </c>
      <c r="AD75" s="61" t="str">
        <f>IF(LEN(A75)=6,"0"&amp;A75,A75)</f>
        <v>0163-27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/stypes="app*4002*20161227*"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163-27 --locoid 4002 --swversion DE.1.0.8.0 --startMP 204:469 --initTime 2016-12-27T11:24:39 --startdatetime 2016-12-27T11:30:20 --delay 1 --endMP 204:233282 --enddatetime 2016-12-27T12:05:27 --enforcementcount 1 &gt;&gt;C:\Users\stu\Documents\GitHub\eaglep3-reporting\EC\2016-12-27-refined-times.txt</v>
      </c>
      <c r="AI75" s="119" t="str">
        <f t="shared" si="3"/>
        <v>echo {"issue":{"subject":"","project_id":79,"tracker_id":40,"status_id":1,"priority_id":2,"assigned_to_id":23,"start_date":"2016-12-27","description":"","custom_fields":[{"id":1,"name":"Subdivision","value":"EC"},{"id":4,"name":"Milepost","value":"23.3282"},{"id":17,"name":"Train ID","value":"163-27"},{"id":16,"name":"Locomotive ID","value":"4002"},{"id":130,"name":"Impact","value":""},{"id":150,"name":"Time of Event (Mountain Time)","value":"12:05:27"},{"id":151,"name":"Denver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549</v>
      </c>
      <c r="B76" s="7">
        <v>4001</v>
      </c>
      <c r="C76" s="22" t="s">
        <v>205</v>
      </c>
      <c r="D76" s="22" t="s">
        <v>282</v>
      </c>
      <c r="E76" s="13">
        <v>42731.513310185182</v>
      </c>
      <c r="F76" s="13">
        <v>42731.518425925926</v>
      </c>
      <c r="G76" s="7">
        <v>1</v>
      </c>
      <c r="H76" s="22" t="s">
        <v>406</v>
      </c>
      <c r="I76" s="13">
        <v>42731.546122685184</v>
      </c>
      <c r="J76" s="7">
        <v>1</v>
      </c>
      <c r="K76" s="109" t="str">
        <f>IF(ISEVEN(B76),(B76-1)&amp;"/"&amp;B76,B76&amp;"/"&amp;(B76+1))</f>
        <v>4001/4002</v>
      </c>
      <c r="L76" s="22" t="str">
        <f>VLOOKUP(A76,'Trips&amp;Operators'!$C$1:$G$99999,5,FALSE)</f>
        <v>SIMMONS SHYHESHA</v>
      </c>
      <c r="M76" s="6">
        <f>I76-F76</f>
        <v>2.7696759258105885E-2</v>
      </c>
      <c r="N76" s="7">
        <f>24*60*SUM($M76:$M76)</f>
        <v>39.883333331672475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https://search-rtdc-monitor-bjffxe2xuh6vdkpspy63sjmuny.us-east-1.es.amazonaws.com/_plugin/kibana/#/discover/Steve-Slow-Train-Analysis-(2080s-and-2083s)?_g=(refreshInterval:(display:Off,section:0,value:0),time:(from:'2016-12-27 11:19:10-700',mode:absolute,to:'2016-12-27 14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6" s="52" t="str">
        <f>IF(AA76&lt;IF(AG76="EC",23,5.65),"Y","N")</f>
        <v>N</v>
      </c>
      <c r="X76" s="177">
        <f>VALUE(LEFT(AD76,4))-VALUE(LEFT(AD75,4))</f>
        <v>1</v>
      </c>
      <c r="Y76" s="67">
        <f>RIGHT(D76,LEN(D76)-4)/10000</f>
        <v>23.297799999999999</v>
      </c>
      <c r="Z76" s="67">
        <f>RIGHT(H76,LEN(H76)-4)/10000</f>
        <v>1.6899999999999998E-2</v>
      </c>
      <c r="AA76" s="67">
        <f>ABS(Z76-Y76)</f>
        <v>23.280899999999999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>IF(LEN(A76)=6,"0"&amp;A76,A76)</f>
        <v>0164-27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/stypes="app*4001*20161227*" /stext=" 20:.+((SYSTEM_STATE.+slice.+state.+changed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ref="AH76:AH139" si="6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164-27 --locoid 4001 --swversion DE.1.0.8.0 --startMP 204:232978 --initTime 2016-12-27T12:19:10 --startdatetime 2016-12-27T12:26:32 --delay 1 --endMP 204:169 --enddatetime 2016-12-27T13:06:25 --enforcementcount 1 &gt;&gt;C:\Users\stu\Documents\GitHub\eaglep3-reporting\EC\2016-12-27-refined-times.txt</v>
      </c>
      <c r="AI76" s="119" t="str">
        <f t="shared" ref="AI76:AI139" si="7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{"issue":{"subject":"","project_id":79,"tracker_id":40,"status_id":1,"priority_id":2,"assigned_to_id":23,"start_date":"2016-12-27","description":"","custom_fields":[{"id":1,"name":"Subdivision","value":"EC"},{"id":4,"name":"Milepost","value":"0.0169"},{"id":17,"name":"Train ID","value":"164-27"},{"id":16,"name":"Locomotive ID","value":"4001"},{"id":130,"name":"Impact","value":""},{"id":150,"name":"Time of Event (Mountain Time)","value":"13:06:25"},{"id":151,"name":"Denver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544</v>
      </c>
      <c r="B77" s="7">
        <v>4027</v>
      </c>
      <c r="C77" s="22" t="s">
        <v>205</v>
      </c>
      <c r="D77" s="22" t="s">
        <v>194</v>
      </c>
      <c r="E77" s="13">
        <v>42731.485266203701</v>
      </c>
      <c r="F77" s="13">
        <v>42731.489756944444</v>
      </c>
      <c r="G77" s="7">
        <v>1</v>
      </c>
      <c r="H77" s="22" t="s">
        <v>694</v>
      </c>
      <c r="I77" s="13">
        <v>42731.517268518517</v>
      </c>
      <c r="J77" s="7">
        <v>1</v>
      </c>
      <c r="K77" s="109" t="str">
        <f>IF(ISEVEN(B77),(B77-1)&amp;"/"&amp;B77,B77&amp;"/"&amp;(B77+1))</f>
        <v>4027/4028</v>
      </c>
      <c r="L77" s="22" t="str">
        <f>VLOOKUP(A77,'Trips&amp;Operators'!$C$1:$G$99999,5,FALSE)</f>
        <v>CLARK KATHLEEN</v>
      </c>
      <c r="M77" s="6">
        <f>I77-F77</f>
        <v>2.7511574073287193E-2</v>
      </c>
      <c r="N77" s="7">
        <f>24*60*SUM($M77:$M77)</f>
        <v>39.616666665533558</v>
      </c>
      <c r="O77" s="7"/>
      <c r="P77" s="7"/>
      <c r="Q77" s="23"/>
      <c r="R77" s="23"/>
      <c r="S77" s="35">
        <f>SUM(U77:U77)/IF(AG77="EC",12,1)</f>
        <v>1</v>
      </c>
      <c r="T77" s="50" t="str">
        <f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https://search-rtdc-monitor-bjffxe2xuh6vdkpspy63sjmuny.us-east-1.es.amazonaws.com/_plugin/kibana/#/discover/Steve-Slow-Train-Analysis-(2080s-and-2083s)?_g=(refreshInterval:(display:Off,section:0,value:0),time:(from:'2016-12-27 10:38:47-700',mode:absolute,to:'2016-12-27 13:24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7" s="52" t="str">
        <f>IF(AA77&lt;IF(AG77="EC",23,5.65),"Y","N")</f>
        <v>N</v>
      </c>
      <c r="X77" s="177">
        <f>VALUE(LEFT(AD77,4))-VALUE(LEFT(AD76,4))</f>
        <v>1</v>
      </c>
      <c r="Y77" s="67">
        <f>RIGHT(D77,LEN(D77)-4)/10000</f>
        <v>4.5100000000000001E-2</v>
      </c>
      <c r="Z77" s="67">
        <f>RIGHT(H77,LEN(H77)-4)/10000</f>
        <v>23.331399999999999</v>
      </c>
      <c r="AA77" s="67">
        <f>ABS(Z77-Y77)</f>
        <v>23.286299999999997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>IF(LEN(A77)=6,"0"&amp;A77,A77)</f>
        <v>0165-27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/stypes="app*4027*20161227*" /stext=" 19:.+((SYSTEM_STATE.+slice.+state.+changed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6"/>
        <v>"%USERPROFILE%\Documents\GitHub\eaglep3\Utilities\RefineRTDCRunTimes.py" --tripid 165-27 --locoid 4027 --swversion DE.1.0.8.0 --startMP 204:451 --initTime 2016-12-27T11:38:47 --startdatetime 2016-12-27T11:45:15 --delay 1 --endMP 204:233314 --enddatetime 2016-12-27T12:24:52 --enforcementcount 1 &gt;&gt;C:\Users\stu\Documents\GitHub\eaglep3-reporting\EC\2016-12-27-refined-times.txt</v>
      </c>
      <c r="AI77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{"issue":{"subject":"","project_id":79,"tracker_id":40,"status_id":1,"priority_id":2,"assigned_to_id":23,"start_date":"2016-12-27","description":"","custom_fields":[{"id":1,"name":"Subdivision","value":"EC"},{"id":4,"name":"Milepost","value":"23.3314"},{"id":17,"name":"Train ID","value":"165-27"},{"id":16,"name":"Locomotive ID","value":"4027"},{"id":130,"name":"Impact","value":""},{"id":150,"name":"Time of Event (Mountain Time)","value":"12:24:52"},{"id":151,"name":"Denver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553</v>
      </c>
      <c r="B78" s="7">
        <v>4028</v>
      </c>
      <c r="C78" s="22" t="s">
        <v>205</v>
      </c>
      <c r="D78" s="22" t="s">
        <v>361</v>
      </c>
      <c r="E78" s="13">
        <v>42731.524004629631</v>
      </c>
      <c r="F78" s="13">
        <v>42731.528657407405</v>
      </c>
      <c r="G78" s="7">
        <v>1</v>
      </c>
      <c r="H78" s="22" t="s">
        <v>697</v>
      </c>
      <c r="I78" s="13">
        <v>42731.558159722219</v>
      </c>
      <c r="J78" s="7">
        <v>1</v>
      </c>
      <c r="K78" s="109" t="str">
        <f>IF(ISEVEN(B78),(B78-1)&amp;"/"&amp;B78,B78&amp;"/"&amp;(B78+1))</f>
        <v>4027/4028</v>
      </c>
      <c r="L78" s="22" t="str">
        <f>VLOOKUP(A78,'Trips&amp;Operators'!$C$1:$G$99999,5,FALSE)</f>
        <v>CLARK KATHLEEN</v>
      </c>
      <c r="M78" s="6">
        <f>I78-F78</f>
        <v>2.9502314813726116E-2</v>
      </c>
      <c r="N78" s="7">
        <f>24*60*SUM($M78:$M78)</f>
        <v>42.483333331765607</v>
      </c>
      <c r="O78" s="7"/>
      <c r="P78" s="7"/>
      <c r="Q78" s="23"/>
      <c r="R78" s="23"/>
      <c r="S78" s="35">
        <f>SUM(U78:U78)/IF(AG78="EC",12,1)</f>
        <v>1</v>
      </c>
      <c r="T78" s="50" t="str">
        <f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https://search-rtdc-monitor-bjffxe2xuh6vdkpspy63sjmuny.us-east-1.es.amazonaws.com/_plugin/kibana/#/discover/Steve-Slow-Train-Analysis-(2080s-and-2083s)?_g=(refreshInterval:(display:Off,section:0,value:0),time:(from:'2016-12-27 11:34:34-700',mode:absolute,to:'2016-12-27 14:23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8" s="52" t="str">
        <f>IF(AA78&lt;IF(AG78="EC",23,5.65),"Y","N")</f>
        <v>N</v>
      </c>
      <c r="X78" s="177">
        <f>VALUE(LEFT(AD78,4))-VALUE(LEFT(AD77,4))</f>
        <v>1</v>
      </c>
      <c r="Y78" s="67">
        <f>RIGHT(D78,LEN(D78)-4)/10000</f>
        <v>23.300599999999999</v>
      </c>
      <c r="Z78" s="67">
        <f>RIGHT(H78,LEN(H78)-4)/10000</f>
        <v>1.7600000000000001E-2</v>
      </c>
      <c r="AA78" s="67">
        <f>ABS(Z78-Y78)</f>
        <v>23.282999999999998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>IF(LEN(A78)=6,"0"&amp;A78,A78)</f>
        <v>0166-27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/stypes="app*4028*20161227*" /stext=" 20:.+((SYSTEM_STATE.+slice.+state.+changed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si="6"/>
        <v>"%USERPROFILE%\Documents\GitHub\eaglep3\Utilities\RefineRTDCRunTimes.py" --tripid 166-27 --locoid 4028 --swversion DE.1.0.8.0 --startMP 204:233006 --initTime 2016-12-27T12:34:34 --startdatetime 2016-12-27T12:41:16 --delay 1 --endMP 204:176 --enddatetime 2016-12-27T13:23:45 --enforcementcount 1 &gt;&gt;C:\Users\stu\Documents\GitHub\eaglep3-reporting\EC\2016-12-27-refined-times.txt</v>
      </c>
      <c r="AI78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{"issue":{"subject":"","project_id":79,"tracker_id":40,"status_id":1,"priority_id":2,"assigned_to_id":23,"start_date":"2016-12-27","description":"","custom_fields":[{"id":1,"name":"Subdivision","value":"EC"},{"id":4,"name":"Milepost","value":"0.0176"},{"id":17,"name":"Train ID","value":"166-27"},{"id":16,"name":"Locomotive ID","value":"4028"},{"id":130,"name":"Impact","value":""},{"id":150,"name":"Time of Event (Mountain Time)","value":"13:23:45"},{"id":151,"name":"Denver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546</v>
      </c>
      <c r="B79" s="7">
        <v>4011</v>
      </c>
      <c r="C79" s="22" t="s">
        <v>205</v>
      </c>
      <c r="D79" s="22" t="s">
        <v>394</v>
      </c>
      <c r="E79" s="13">
        <v>42731.496099537035</v>
      </c>
      <c r="F79" s="13">
        <v>42731.500162037039</v>
      </c>
      <c r="G79" s="7">
        <v>1</v>
      </c>
      <c r="H79" s="22" t="s">
        <v>305</v>
      </c>
      <c r="I79" s="13">
        <v>42731.525625000002</v>
      </c>
      <c r="J79" s="7">
        <v>1</v>
      </c>
      <c r="K79" s="109" t="str">
        <f>IF(ISEVEN(B79),(B79-1)&amp;"/"&amp;B79,B79&amp;"/"&amp;(B79+1))</f>
        <v>4011/4012</v>
      </c>
      <c r="L79" s="22" t="str">
        <f>VLOOKUP(A79,'Trips&amp;Operators'!$C$1:$G$99999,5,FALSE)</f>
        <v>CRAYTON QUNTRELL</v>
      </c>
      <c r="M79" s="6">
        <f>I79-F79</f>
        <v>2.5462962963501923E-2</v>
      </c>
      <c r="N79" s="7">
        <f>24*60*SUM($M79:$M79)</f>
        <v>36.666666667442769</v>
      </c>
      <c r="O79" s="7"/>
      <c r="P79" s="7"/>
      <c r="Q79" s="23"/>
      <c r="R79" s="23"/>
      <c r="S79" s="35">
        <f>SUM(U79:U79)/IF(AG79="EC",12,1)</f>
        <v>1</v>
      </c>
      <c r="T79" s="50" t="str">
        <f>IF(ISEVEN(LEFT(AD79,4)),"Southbound","NorthBound")</f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https://search-rtdc-monitor-bjffxe2xuh6vdkpspy63sjmuny.us-east-1.es.amazonaws.com/_plugin/kibana/#/discover/Steve-Slow-Train-Analysis-(2080s-and-2083s)?_g=(refreshInterval:(display:Off,section:0,value:0),time:(from:'2016-12-27 10:54:23-700',mode:absolute,to:'2016-12-27 13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9" s="52" t="str">
        <f>IF(AA79&lt;IF(AG79="EC",23,5.65),"Y","N")</f>
        <v>N</v>
      </c>
      <c r="X79" s="177">
        <f>VALUE(LEFT(AD79,4))-VALUE(LEFT(AD78,4))</f>
        <v>1</v>
      </c>
      <c r="Y79" s="67">
        <f>RIGHT(D79,LEN(D79)-4)/10000</f>
        <v>4.6600000000000003E-2</v>
      </c>
      <c r="Z79" s="67">
        <f>RIGHT(H79,LEN(H79)-4)/10000</f>
        <v>23.329699999999999</v>
      </c>
      <c r="AA79" s="67">
        <f>ABS(Z79-Y79)</f>
        <v>23.283099999999997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>IF(LEN(A79)=6,"0"&amp;A79,A79)</f>
        <v>0167-27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s3://rtdc.mdm.uploadarchive.raw/RTDC4011/ "%USERPROFILE%\AppData\Local\Temp\OnboardLogs"\RTDC4011\2016-12-27 --exclude "*" --recursive --include "*20161227*" &amp; "%USERPROFILE%\Documents\GitHub\mrs-test-scripts\Headless Mode &amp; Sideloading\WalkAndUnGZ.bat" "%USERPROFILE%\AppData\Local\Temp\OnboardLogs"\RTDC4011\2016-12-27 &amp; 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/stypes="app*4011*20161227*" /stext=" 19:.+((SYSTEM_STATE.+slice.+state.+changed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6"/>
        <v>"%USERPROFILE%\Documents\GitHub\eaglep3\Utilities\RefineRTDCRunTimes.py" --tripid 167-27 --locoid 4011 --swversion DE.1.0.8.0 --startMP 204:466 --initTime 2016-12-27T11:54:23 --startdatetime 2016-12-27T12:00:14 --delay 1 --endMP 204:233297 --enddatetime 2016-12-27T12:36:54 --enforcementcount 1 &gt;&gt;C:\Users\stu\Documents\GitHub\eaglep3-reporting\EC\2016-12-27-refined-times.txt</v>
      </c>
      <c r="AI79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{"issue":{"subject":"","project_id":79,"tracker_id":40,"status_id":1,"priority_id":2,"assigned_to_id":23,"start_date":"2016-12-27","description":"","custom_fields":[{"id":1,"name":"Subdivision","value":"EC"},{"id":4,"name":"Milepost","value":"23.3297"},{"id":17,"name":"Train ID","value":"167-27"},{"id":16,"name":"Locomotive ID","value":"4011"},{"id":130,"name":"Impact","value":""},{"id":150,"name":"Time of Event (Mountain Time)","value":"12:36:54"},{"id":151,"name":"Denver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555</v>
      </c>
      <c r="B80" s="7">
        <v>4012</v>
      </c>
      <c r="C80" s="22" t="s">
        <v>205</v>
      </c>
      <c r="D80" s="22" t="s">
        <v>358</v>
      </c>
      <c r="E80" s="13">
        <v>42731.528425925928</v>
      </c>
      <c r="F80" s="13">
        <v>42731.539097222223</v>
      </c>
      <c r="G80" s="7">
        <v>6</v>
      </c>
      <c r="H80" s="22" t="s">
        <v>262</v>
      </c>
      <c r="I80" s="13">
        <v>42731.567604166667</v>
      </c>
      <c r="J80" s="7">
        <v>1</v>
      </c>
      <c r="K80" s="109" t="str">
        <f>IF(ISEVEN(B80),(B80-1)&amp;"/"&amp;B80,B80&amp;"/"&amp;(B80+1))</f>
        <v>4011/4012</v>
      </c>
      <c r="L80" s="22" t="str">
        <f>VLOOKUP(A80,'Trips&amp;Operators'!$C$1:$G$99999,5,FALSE)</f>
        <v>CRAYTON QUNTRELL</v>
      </c>
      <c r="M80" s="6">
        <f>I80-F80</f>
        <v>2.8506944443506654E-2</v>
      </c>
      <c r="N80" s="7">
        <f>24*60*SUM($M80:$M80)</f>
        <v>41.049999998649582</v>
      </c>
      <c r="O80" s="7"/>
      <c r="P80" s="7"/>
      <c r="Q80" s="23"/>
      <c r="R80" s="23"/>
      <c r="S80" s="35">
        <f>SUM(U80:U80)/IF(AG80="EC",12,1)</f>
        <v>1</v>
      </c>
      <c r="T80" s="50" t="str">
        <f>IF(ISEVEN(LEFT(AD80,4)),"Southbound","NorthBound")</f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https://search-rtdc-monitor-bjffxe2xuh6vdkpspy63sjmuny.us-east-1.es.amazonaws.com/_plugin/kibana/#/discover/Steve-Slow-Train-Analysis-(2080s-and-2083s)?_g=(refreshInterval:(display:Off,section:0,value:0),time:(from:'2016-12-27 11:40:56-700',mode:absolute,to:'2016-12-27 14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0" s="52" t="str">
        <f>IF(AA80&lt;IF(AG80="EC",23,5.65),"Y","N")</f>
        <v>N</v>
      </c>
      <c r="X80" s="177">
        <f>VALUE(LEFT(AD80,4))-VALUE(LEFT(AD79,4))</f>
        <v>1</v>
      </c>
      <c r="Y80" s="67">
        <f>RIGHT(D80,LEN(D80)-4)/10000</f>
        <v>23.2988</v>
      </c>
      <c r="Z80" s="67">
        <f>RIGHT(H80,LEN(H80)-4)/10000</f>
        <v>1.61E-2</v>
      </c>
      <c r="AA80" s="67">
        <f>ABS(Z80-Y80)</f>
        <v>23.282699999999998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>IF(LEN(A80)=6,"0"&amp;A80,A80)</f>
        <v>0168-27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 &amp; 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/stypes="app*4012*20161227*" /stext=" 20:.+((SYSTEM_STATE.+slice.+state.+changed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6"/>
        <v>"%USERPROFILE%\Documents\GitHub\eaglep3\Utilities\RefineRTDCRunTimes.py" --tripid 168-27 --locoid 4012 --swversion DE.1.0.8.0 --startMP 204:232988 --initTime 2016-12-27T12:40:56 --startdatetime 2016-12-27T12:56:18 --delay 6 --endMP 204:161 --enddatetime 2016-12-27T13:37:21 --enforcementcount 1 &gt;&gt;C:\Users\stu\Documents\GitHub\eaglep3-reporting\EC\2016-12-27-refined-times.txt</v>
      </c>
      <c r="AI80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{"issue":{"subject":"","project_id":79,"tracker_id":40,"status_id":1,"priority_id":2,"assigned_to_id":23,"start_date":"2016-12-27","description":"","custom_fields":[{"id":1,"name":"Subdivision","value":"EC"},{"id":4,"name":"Milepost","value":"0.0161"},{"id":17,"name":"Train ID","value":"168-27"},{"id":16,"name":"Locomotive ID","value":"4012"},{"id":130,"name":"Impact","value":""},{"id":150,"name":"Time of Event (Mountain Time)","value":"13:37:21"},{"id":151,"name":"Denver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548</v>
      </c>
      <c r="B81" s="7">
        <v>4022</v>
      </c>
      <c r="C81" s="22" t="s">
        <v>205</v>
      </c>
      <c r="D81" s="22" t="s">
        <v>698</v>
      </c>
      <c r="E81" s="13">
        <v>42731.517025462963</v>
      </c>
      <c r="F81" s="13">
        <v>42731.518414351849</v>
      </c>
      <c r="G81" s="7">
        <v>1</v>
      </c>
      <c r="H81" s="22" t="s">
        <v>324</v>
      </c>
      <c r="I81" s="13">
        <v>42731.543217592596</v>
      </c>
      <c r="J81" s="7">
        <v>1</v>
      </c>
      <c r="K81" s="109" t="str">
        <f>IF(ISEVEN(B81),(B81-1)&amp;"/"&amp;B81,B81&amp;"/"&amp;(B81+1))</f>
        <v>4021/4022</v>
      </c>
      <c r="L81" s="22" t="str">
        <f>VLOOKUP(A81,'Trips&amp;Operators'!$C$1:$G$99999,5,FALSE)</f>
        <v>ADANE ELSHADAY</v>
      </c>
      <c r="M81" s="6">
        <f>I81-F81</f>
        <v>2.4803240747132804E-2</v>
      </c>
      <c r="N81" s="7"/>
      <c r="O81" s="7"/>
      <c r="P81" s="7">
        <f>24*60*SUM($M81:$M81)</f>
        <v>35.716666675871238</v>
      </c>
      <c r="Q81" s="23"/>
      <c r="R81" s="23" t="s">
        <v>427</v>
      </c>
      <c r="S81" s="35">
        <f>SUM(U81:U81)/IF(AG81="EC",12,1)</f>
        <v>1</v>
      </c>
      <c r="T81" s="50" t="str">
        <f>IF(ISEVEN(LEFT(AD81,4)),"Southbound","NorthBound")</f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https://search-rtdc-monitor-bjffxe2xuh6vdkpspy63sjmuny.us-east-1.es.amazonaws.com/_plugin/kibana/#/discover/Steve-Slow-Train-Analysis-(2080s-and-2083s)?_g=(refreshInterval:(display:Off,section:0,value:0),time:(from:'2016-12-27 11:24:31-700',mode:absolute,to:'2016-12-27 14:02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1" s="52" t="str">
        <f>IF(AA81&lt;IF(AG81="EC",23,5.65),"Y","N")</f>
        <v>Y</v>
      </c>
      <c r="X81" s="177">
        <f>VALUE(LEFT(AD81,4))-VALUE(LEFT(AD80,4))</f>
        <v>1</v>
      </c>
      <c r="Y81" s="67">
        <f>RIGHT(D81,LEN(D81)-4)/10000</f>
        <v>1.9128000000000001</v>
      </c>
      <c r="Z81" s="67">
        <f>RIGHT(H81,LEN(H81)-4)/10000</f>
        <v>23.330400000000001</v>
      </c>
      <c r="AA81" s="67">
        <f>ABS(Z81-Y81)</f>
        <v>21.4176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>IF(LEN(A81)=6,"0"&amp;A81,A81)</f>
        <v>0169-27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/stypes="app*4022*20161227*"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6"/>
        <v>"%USERPROFILE%\Documents\GitHub\eaglep3\Utilities\RefineRTDCRunTimes.py" --tripid 169-27 --locoid 4022 --swversion DE.1.0.8.0 --startMP 204:19128 --initTime 2016-12-27T12:24:31 --startdatetime 2016-12-27T12:26:31 --delay 1 --endMP 204:233304 --enddatetime 2016-12-27T13:02:14 --enforcementcount 1 &gt;&gt;C:\Users\stu\Documents\GitHub\eaglep3-reporting\EC\2016-12-27-refined-times.txt</v>
      </c>
      <c r="AI81" s="119" t="str">
        <f t="shared" si="7"/>
        <v>echo {"issue":{"subject":"Wi-MAX data drop","project_id":79,"tracker_id":40,"status_id":1,"priority_id":2,"assigned_to_id":23,"start_date":"2016-12-27","description":"","custom_fields":[{"id":1,"name":"Subdivision","value":"EC"},{"id":4,"name":"Milepost","value":"23.3304"},{"id":17,"name":"Train ID","value":"169-27"},{"id":16,"name":"Locomotive ID","value":"4022"},{"id":130,"name":"Impact","value":""},{"id":150,"name":"Time of Event (Mountain Time)","value":"13:02:14"},{"id":151,"name":"Denver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557</v>
      </c>
      <c r="B82" s="7">
        <v>4021</v>
      </c>
      <c r="C82" s="22" t="s">
        <v>205</v>
      </c>
      <c r="D82" s="22" t="s">
        <v>346</v>
      </c>
      <c r="E82" s="13">
        <v>42731.545115740744</v>
      </c>
      <c r="F82" s="13">
        <v>42731.549791666665</v>
      </c>
      <c r="G82" s="7">
        <v>1</v>
      </c>
      <c r="H82" s="22" t="s">
        <v>211</v>
      </c>
      <c r="I82" s="13">
        <v>42731.577824074076</v>
      </c>
      <c r="J82" s="7">
        <v>1</v>
      </c>
      <c r="K82" s="109" t="str">
        <f>IF(ISEVEN(B82),(B82-1)&amp;"/"&amp;B82,B82&amp;"/"&amp;(B82+1))</f>
        <v>4021/4022</v>
      </c>
      <c r="L82" s="22" t="str">
        <f>VLOOKUP(A82,'Trips&amp;Operators'!$C$1:$G$99999,5,FALSE)</f>
        <v>ADANE ELSHADAY</v>
      </c>
      <c r="M82" s="6">
        <f>I82-F82</f>
        <v>2.8032407411956228E-2</v>
      </c>
      <c r="N82" s="7">
        <f>24*60*SUM($M82:$M82)</f>
        <v>40.366666673216969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https://search-rtdc-monitor-bjffxe2xuh6vdkpspy63sjmuny.us-east-1.es.amazonaws.com/_plugin/kibana/#/discover/Steve-Slow-Train-Analysis-(2080s-and-2083s)?_g=(refreshInterval:(display:Off,section:0,value:0),time:(from:'2016-12-27 12:04:58-700',mode:absolute,to:'2016-12-27 14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2" s="52" t="str">
        <f>IF(AA82&lt;IF(AG82="EC",23,5.65),"Y","N")</f>
        <v>N</v>
      </c>
      <c r="X82" s="177">
        <f>VALUE(LEFT(AD82,4))-VALUE(LEFT(AD81,4))</f>
        <v>1</v>
      </c>
      <c r="Y82" s="67">
        <f>RIGHT(D82,LEN(D82)-4)/10000</f>
        <v>23.297599999999999</v>
      </c>
      <c r="Z82" s="67">
        <f>RIGHT(H82,LEN(H82)-4)/10000</f>
        <v>1.4999999999999999E-2</v>
      </c>
      <c r="AA82" s="67">
        <f>ABS(Z82-Y82)</f>
        <v>23.282599999999999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>IF(LEN(A82)=6,"0"&amp;A82,A82)</f>
        <v>0170-27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s3://rtdc.mdm.uploadarchive.raw/RTDC4021/ "%USERPROFILE%\AppData\Local\Temp\OnboardLogs"\RTDC4021\2016-12-27 --exclude "*" --recursive --include "*20161227*" &amp; "%USERPROFILE%\Documents\GitHub\mrs-test-scripts\Headless Mode &amp; Sideloading\WalkAndUnGZ.bat" "%USERPROFILE%\AppData\Local\Temp\OnboardLogs"\RTDC4021\2016-12-27 &amp; aws s3 cp s3://rtdc.mdm.uploadarchive.raw/RTDC4021/ "%USERPROFILE%\AppData\Local\Temp\OnboardLogs"\RTDC4021\2016-12-28 --exclude "*" --recursive --include "*20161228*" &amp; "%USERPROFILE%\Documents\GitHub\mrs-test-scripts\Headless Mode &amp; Sideloading\WalkAndUnGZ.bat" "%USERPROFILE%\AppData\Local\Temp\OnboardLogs"\RTDC4021\2016-12-28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/stypes="app*4021*20161227*"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6"/>
        <v>"%USERPROFILE%\Documents\GitHub\eaglep3\Utilities\RefineRTDCRunTimes.py" --tripid 170-27 --locoid 4021 --swversion DE.1.0.8.0 --startMP 204:232976 --initTime 2016-12-27T13:04:58 --startdatetime 2016-12-27T13:11:42 --delay 1 --endMP 204:150 --enddatetime 2016-12-27T13:52:04 --enforcementcount 1 &gt;&gt;C:\Users\stu\Documents\GitHub\eaglep3-reporting\EC\2016-12-27-refined-times.txt</v>
      </c>
      <c r="AI82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{"issue":{"subject":"","project_id":79,"tracker_id":40,"status_id":1,"priority_id":2,"assigned_to_id":23,"start_date":"2016-12-27","description":"","custom_fields":[{"id":1,"name":"Subdivision","value":"EC"},{"id":4,"name":"Milepost","value":"0.015"},{"id":17,"name":"Train ID","value":"170-27"},{"id":16,"name":"Locomotive ID","value":"4021"},{"id":130,"name":"Impact","value":""},{"id":150,"name":"Time of Event (Mountain Time)","value":"13:52:04"},{"id":151,"name":"Denver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550</v>
      </c>
      <c r="B83" s="7">
        <v>4051</v>
      </c>
      <c r="C83" s="22" t="s">
        <v>205</v>
      </c>
      <c r="D83" s="22" t="s">
        <v>270</v>
      </c>
      <c r="E83" s="13">
        <v>42731.517789351848</v>
      </c>
      <c r="F83" s="13">
        <v>42731.520983796298</v>
      </c>
      <c r="G83" s="7">
        <v>1</v>
      </c>
      <c r="H83" s="22" t="s">
        <v>309</v>
      </c>
      <c r="I83" s="13">
        <v>42731.547349537039</v>
      </c>
      <c r="J83" s="7">
        <v>1</v>
      </c>
      <c r="K83" s="109" t="str">
        <f>IF(ISEVEN(B83),(B83-1)&amp;"/"&amp;B83,B83&amp;"/"&amp;(B83+1))</f>
        <v>4051/4052</v>
      </c>
      <c r="L83" s="22" t="str">
        <f>VLOOKUP(A83,'Trips&amp;Operators'!$C$1:$G$99999,5,FALSE)</f>
        <v>BRANNON JEFFREY</v>
      </c>
      <c r="M83" s="6">
        <f>I83-F83</f>
        <v>2.6365740741312038E-2</v>
      </c>
      <c r="N83" s="7">
        <f>24*60*SUM($M83:$M83)</f>
        <v>37.966666667489335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https://search-rtdc-monitor-bjffxe2xuh6vdkpspy63sjmuny.us-east-1.es.amazonaws.com/_plugin/kibana/#/discover/Steve-Slow-Train-Analysis-(2080s-and-2083s)?_g=(refreshInterval:(display:Off,section:0,value:0),time:(from:'2016-12-27 11:25:37-700',mode:absolute,to:'2016-12-27 14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83" s="52" t="str">
        <f>IF(AA83&lt;IF(AG83="EC",23,5.65),"Y","N")</f>
        <v>N</v>
      </c>
      <c r="X83" s="177">
        <f>VALUE(LEFT(AD83,4))-VALUE(LEFT(AD82,4))</f>
        <v>1</v>
      </c>
      <c r="Y83" s="67">
        <f>RIGHT(D83,LEN(D83)-4)/10000</f>
        <v>4.7699999999999999E-2</v>
      </c>
      <c r="Z83" s="67">
        <f>RIGHT(H83,LEN(H83)-4)/10000</f>
        <v>23.3293</v>
      </c>
      <c r="AA83" s="67">
        <f>ABS(Z83-Y83)</f>
        <v>23.281600000000001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>IF(LEN(A83)=6,"0"&amp;A83,A83)</f>
        <v>0171-27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/stypes="app*4051*20161227*"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6"/>
        <v>"%USERPROFILE%\Documents\GitHub\eaglep3\Utilities\RefineRTDCRunTimes.py" --tripid 171-27 --locoid 4051 --swversion DE.1.0.8.0 --startMP 204:477 --initTime 2016-12-27T12:25:37 --startdatetime 2016-12-27T12:30:13 --delay 1 --endMP 204:233293 --enddatetime 2016-12-27T13:08:11 --enforcementcount 1 &gt;&gt;C:\Users\stu\Documents\GitHub\eaglep3-reporting\EC\2016-12-27-refined-times.txt</v>
      </c>
      <c r="AI83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{"issue":{"subject":"","project_id":79,"tracker_id":40,"status_id":1,"priority_id":2,"assigned_to_id":23,"start_date":"2016-12-27","description":"","custom_fields":[{"id":1,"name":"Subdivision","value":"EC"},{"id":4,"name":"Milepost","value":"23.3293"},{"id":17,"name":"Train ID","value":"171-27"},{"id":16,"name":"Locomotive ID","value":"4051"},{"id":130,"name":"Impact","value":""},{"id":150,"name":"Time of Event (Mountain Time)","value":"13:08:11"},{"id":151,"name":"Denver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562</v>
      </c>
      <c r="B84" s="7">
        <v>4052</v>
      </c>
      <c r="C84" s="22" t="s">
        <v>205</v>
      </c>
      <c r="D84" s="22" t="s">
        <v>314</v>
      </c>
      <c r="E84" s="13">
        <v>42731.551342592589</v>
      </c>
      <c r="F84" s="13">
        <v>42731.560706018521</v>
      </c>
      <c r="G84" s="7">
        <v>1</v>
      </c>
      <c r="H84" s="22" t="s">
        <v>326</v>
      </c>
      <c r="I84" s="13">
        <v>42731.586550925924</v>
      </c>
      <c r="J84" s="7">
        <v>1</v>
      </c>
      <c r="K84" s="109" t="str">
        <f>IF(ISEVEN(B84),(B84-1)&amp;"/"&amp;B84,B84&amp;"/"&amp;(B84+1))</f>
        <v>4051/4052</v>
      </c>
      <c r="L84" s="22" t="str">
        <f>VLOOKUP(A84,'Trips&amp;Operators'!$C$1:$G$99999,5,FALSE)</f>
        <v>BRANNON JEFFREY</v>
      </c>
      <c r="M84" s="6">
        <f>I84-F84</f>
        <v>2.5844907402643003E-2</v>
      </c>
      <c r="N84" s="7">
        <f>24*60*SUM($M84:$M84)</f>
        <v>37.216666659805924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https://search-rtdc-monitor-bjffxe2xuh6vdkpspy63sjmuny.us-east-1.es.amazonaws.com/_plugin/kibana/#/discover/Steve-Slow-Train-Analysis-(2080s-and-2083s)?_g=(refreshInterval:(display:Off,section:0,value:0),time:(from:'2016-12-27 12:13:56-700',mode:absolute,to:'2016-12-27 15:04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84" s="52" t="str">
        <f>IF(AA84&lt;IF(AG84="EC",23,5.65),"Y","N")</f>
        <v>N</v>
      </c>
      <c r="X84" s="177">
        <f>VALUE(LEFT(AD84,4))-VALUE(LEFT(AD83,4))</f>
        <v>1</v>
      </c>
      <c r="Y84" s="67">
        <f>RIGHT(D84,LEN(D84)-4)/10000</f>
        <v>23.298200000000001</v>
      </c>
      <c r="Z84" s="67">
        <f>RIGHT(H84,LEN(H84)-4)/10000</f>
        <v>1.41E-2</v>
      </c>
      <c r="AA84" s="67">
        <f>ABS(Z84-Y84)</f>
        <v>23.284100000000002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>IF(LEN(A84)=6,"0"&amp;A84,A84)</f>
        <v>0172-27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/stypes="app*4052*20161227*" /stext=" 21:.+((SYSTEM_STATE.+slice.+state.+changed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6"/>
        <v>"%USERPROFILE%\Documents\GitHub\eaglep3\Utilities\RefineRTDCRunTimes.py" --tripid 172-27 --locoid 4052 --swversion DE.1.0.8.0 --startMP 204:232982 --initTime 2016-12-27T13:13:56 --startdatetime 2016-12-27T13:27:25 --delay 1 --endMP 204:141 --enddatetime 2016-12-27T14:04:38 --enforcementcount 1 &gt;&gt;C:\Users\stu\Documents\GitHub\eaglep3-reporting\EC\2016-12-27-refined-times.txt</v>
      </c>
      <c r="AI84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{"issue":{"subject":"","project_id":79,"tracker_id":40,"status_id":1,"priority_id":2,"assigned_to_id":23,"start_date":"2016-12-27","description":"","custom_fields":[{"id":1,"name":"Subdivision","value":"EC"},{"id":4,"name":"Milepost","value":"0.0141"},{"id":17,"name":"Train ID","value":"172-27"},{"id":16,"name":"Locomotive ID","value":"4052"},{"id":130,"name":"Impact","value":""},{"id":150,"name":"Time of Event (Mountain Time)","value":"14:04:38"},{"id":151,"name":"Denver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440</v>
      </c>
      <c r="B85" s="7">
        <v>4007</v>
      </c>
      <c r="C85" s="22" t="s">
        <v>205</v>
      </c>
      <c r="D85" s="22" t="s">
        <v>359</v>
      </c>
      <c r="E85" s="13">
        <v>42731.529722222222</v>
      </c>
      <c r="F85" s="13">
        <v>42731.531967592593</v>
      </c>
      <c r="G85" s="7">
        <v>1</v>
      </c>
      <c r="H85" s="22" t="s">
        <v>699</v>
      </c>
      <c r="I85" s="13">
        <v>42731.558159722219</v>
      </c>
      <c r="J85" s="7">
        <v>1</v>
      </c>
      <c r="K85" s="109" t="str">
        <f>IF(ISEVEN(B85),(B85-1)&amp;"/"&amp;B85,B85&amp;"/"&amp;(B85+1))</f>
        <v>4007/4008</v>
      </c>
      <c r="L85" s="22" t="str">
        <f>VLOOKUP(A85,'Trips&amp;Operators'!$C$1:$G$99999,5,FALSE)</f>
        <v>DAVIS MICHAEL</v>
      </c>
      <c r="M85" s="6">
        <f>I85-F85</f>
        <v>2.619212962599704E-2</v>
      </c>
      <c r="N85" s="7">
        <f>24*60*SUM($M85:$M85)</f>
        <v>37.716666661435738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https://search-rtdc-monitor-bjffxe2xuh6vdkpspy63sjmuny.us-east-1.es.amazonaws.com/_plugin/kibana/#/discover/Steve-Slow-Train-Analysis-(2080s-and-2083s)?_g=(refreshInterval:(display:Off,section:0,value:0),time:(from:'2016-12-27 11:42:48-700',mode:absolute,to:'2016-12-27 14:23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5" s="52" t="str">
        <f>IF(AA85&lt;IF(AG85="EC",23,5.65),"Y","N")</f>
        <v>N</v>
      </c>
      <c r="X85" s="177">
        <f>VALUE(LEFT(AD85,4))-VALUE(LEFT(AD84,4))</f>
        <v>1</v>
      </c>
      <c r="Y85" s="67">
        <f>RIGHT(D85,LEN(D85)-4)/10000</f>
        <v>4.4400000000000002E-2</v>
      </c>
      <c r="Z85" s="67">
        <f>RIGHT(H85,LEN(H85)-4)/10000</f>
        <v>23.332899999999999</v>
      </c>
      <c r="AA85" s="67">
        <f>ABS(Z85-Y85)</f>
        <v>23.288499999999999</v>
      </c>
      <c r="AB85" s="64" t="str">
        <f>VLOOKUP(A85,Enforcements!$C$7:$K$19,8,0)</f>
        <v>Bulletin (2)</v>
      </c>
      <c r="AC85" s="60" t="str">
        <f>VLOOKUP(A85,Enforcements!$C$7:$E$19,3,0)</f>
        <v>GRADE CROSSING</v>
      </c>
      <c r="AD85" s="61" t="str">
        <f>IF(LEN(A85)=6,"0"&amp;A85,A85)</f>
        <v>0173-27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/stypes="app*4007*20161227*"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6"/>
        <v>"%USERPROFILE%\Documents\GitHub\eaglep3\Utilities\RefineRTDCRunTimes.py" --tripid 173-27 --locoid 4007 --swversion DE.1.0.8.0 --startMP 204:444 --initTime 2016-12-27T12:42:48 --startdatetime 2016-12-27T12:46:02 --delay 1 --endMP 204:233329 --enddatetime 2016-12-27T13:23:45 --enforcementcount 1 &gt;&gt;C:\Users\stu\Documents\GitHub\eaglep3-reporting\EC\2016-12-27-refined-times.txt</v>
      </c>
      <c r="AI85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{"issue":{"subject":"","project_id":79,"tracker_id":40,"status_id":1,"priority_id":2,"assigned_to_id":23,"start_date":"2016-12-27","description":"","custom_fields":[{"id":1,"name":"Subdivision","value":"EC"},{"id":4,"name":"Milepost","value":"23.3329"},{"id":17,"name":"Train ID","value":"173-27"},{"id":16,"name":"Locomotive ID","value":"4007"},{"id":130,"name":"Impact","value":""},{"id":150,"name":"Time of Event (Mountain Time)","value":"13:23:45"},{"id":151,"name":"Denver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443</v>
      </c>
      <c r="B86" s="7">
        <v>4008</v>
      </c>
      <c r="C86" s="22" t="s">
        <v>205</v>
      </c>
      <c r="D86" s="22" t="s">
        <v>675</v>
      </c>
      <c r="E86" s="13">
        <v>42731.565671296295</v>
      </c>
      <c r="F86" s="13">
        <v>42731.570601851854</v>
      </c>
      <c r="G86" s="7">
        <v>1</v>
      </c>
      <c r="H86" s="22" t="s">
        <v>211</v>
      </c>
      <c r="I86" s="13">
        <v>42731.603622685187</v>
      </c>
      <c r="J86" s="7">
        <v>1</v>
      </c>
      <c r="K86" s="109" t="str">
        <f>IF(ISEVEN(B86),(B86-1)&amp;"/"&amp;B86,B86&amp;"/"&amp;(B86+1))</f>
        <v>4007/4008</v>
      </c>
      <c r="L86" s="22" t="str">
        <f>VLOOKUP(A86,'Trips&amp;Operators'!$C$1:$G$99999,5,FALSE)</f>
        <v>DAVIS MICHAEL</v>
      </c>
      <c r="M86" s="6">
        <f>I86-F86</f>
        <v>3.3020833332557231E-2</v>
      </c>
      <c r="N86" s="7">
        <f>24*60*SUM($M86:$M86)</f>
        <v>47.549999998882413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https://search-rtdc-monitor-bjffxe2xuh6vdkpspy63sjmuny.us-east-1.es.amazonaws.com/_plugin/kibana/#/discover/Steve-Slow-Train-Analysis-(2080s-and-2083s)?_g=(refreshInterval:(display:Off,section:0,value:0),time:(from:'2016-12-27 12:34:34-700',mode:absolute,to:'2016-12-27 15:29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6" s="52" t="str">
        <f>IF(AA86&lt;IF(AG86="EC",23,5.65),"Y","N")</f>
        <v>N</v>
      </c>
      <c r="X86" s="177">
        <f>VALUE(LEFT(AD86,4))-VALUE(LEFT(AD85,4))</f>
        <v>1</v>
      </c>
      <c r="Y86" s="67">
        <f>RIGHT(D86,LEN(D86)-4)/10000</f>
        <v>23.297000000000001</v>
      </c>
      <c r="Z86" s="67">
        <f>RIGHT(H86,LEN(H86)-4)/10000</f>
        <v>1.4999999999999999E-2</v>
      </c>
      <c r="AA86" s="67">
        <f>ABS(Z86-Y86)</f>
        <v>23.282</v>
      </c>
      <c r="AB86" s="64" t="str">
        <f>VLOOKUP(A86,Enforcements!$C$7:$K$19,8,0)</f>
        <v>Speed (6)</v>
      </c>
      <c r="AC86" s="60" t="str">
        <f>VLOOKUP(A86,Enforcements!$C$7:$E$19,3,0)</f>
        <v>PERMANENT SPEED RESTRICTION</v>
      </c>
      <c r="AD86" s="61" t="str">
        <f>IF(LEN(A86)=6,"0"&amp;A86,A86)</f>
        <v>0174-27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/stypes="app*4008*20161227*"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6"/>
        <v>"%USERPROFILE%\Documents\GitHub\eaglep3\Utilities\RefineRTDCRunTimes.py" --tripid 174-27 --locoid 4008 --swversion DE.1.0.8.0 --startMP 204:232970 --initTime 2016-12-27T13:34:34 --startdatetime 2016-12-27T13:41:40 --delay 1 --endMP 204:150 --enddatetime 2016-12-27T14:29:13 --enforcementcount 1 &gt;&gt;C:\Users\stu\Documents\GitHub\eaglep3-reporting\EC\2016-12-27-refined-times.txt</v>
      </c>
      <c r="AI86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{"issue":{"subject":"","project_id":79,"tracker_id":40,"status_id":1,"priority_id":2,"assigned_to_id":23,"start_date":"2016-12-27","description":"","custom_fields":[{"id":1,"name":"Subdivision","value":"EC"},{"id":4,"name":"Milepost","value":"0.015"},{"id":17,"name":"Train ID","value":"174-27"},{"id":16,"name":"Locomotive ID","value":"4008"},{"id":130,"name":"Impact","value":""},{"id":150,"name":"Time of Event (Mountain Time)","value":"14:29:13"},{"id":151,"name":"Denver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556</v>
      </c>
      <c r="B87" s="7">
        <v>4042</v>
      </c>
      <c r="C87" s="22" t="s">
        <v>205</v>
      </c>
      <c r="D87" s="22" t="s">
        <v>278</v>
      </c>
      <c r="E87" s="13">
        <v>42731.5387962963</v>
      </c>
      <c r="F87" s="13">
        <v>42731.541921296295</v>
      </c>
      <c r="G87" s="7">
        <v>1</v>
      </c>
      <c r="H87" s="22" t="s">
        <v>279</v>
      </c>
      <c r="I87" s="13">
        <v>42731.566724537035</v>
      </c>
      <c r="J87" s="7">
        <v>1</v>
      </c>
      <c r="K87" s="109" t="str">
        <f>IF(ISEVEN(B87),(B87-1)&amp;"/"&amp;B87,B87&amp;"/"&amp;(B87+1))</f>
        <v>4041/4042</v>
      </c>
      <c r="L87" s="22" t="str">
        <f>VLOOKUP(A87,'Trips&amp;Operators'!$C$1:$G$99999,5,FALSE)</f>
        <v>STEWART MICHAEL</v>
      </c>
      <c r="M87" s="6">
        <f>I87-F87</f>
        <v>2.4803240739856847E-2</v>
      </c>
      <c r="N87" s="7">
        <f>24*60*SUM($M87:$M87)</f>
        <v>35.716666665393859</v>
      </c>
      <c r="O87" s="7"/>
      <c r="P87" s="7"/>
      <c r="Q87" s="23"/>
      <c r="R87" s="23"/>
      <c r="S87" s="35">
        <f>SUM(U87:U87)/IF(AG87="EC",12,1)</f>
        <v>1</v>
      </c>
      <c r="T87" s="50" t="str">
        <f>IF(ISEVEN(LEFT(AD87,4)),"Southbound","NorthBound")</f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https://search-rtdc-monitor-bjffxe2xuh6vdkpspy63sjmuny.us-east-1.es.amazonaws.com/_plugin/kibana/#/discover/Steve-Slow-Train-Analysis-(2080s-and-2083s)?_g=(refreshInterval:(display:Off,section:0,value:0),time:(from:'2016-12-27 11:55:52-700',mode:absolute,to:'2016-12-27 14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2" t="str">
        <f>IF(AA87&lt;IF(AG87="EC",23,5.65),"Y","N")</f>
        <v>N</v>
      </c>
      <c r="X87" s="177">
        <f>VALUE(LEFT(AD87,4))-VALUE(LEFT(AD86,4))</f>
        <v>1</v>
      </c>
      <c r="Y87" s="67">
        <f>RIGHT(D87,LEN(D87)-4)/10000</f>
        <v>4.4900000000000002E-2</v>
      </c>
      <c r="Z87" s="67">
        <f>RIGHT(H87,LEN(H87)-4)/10000</f>
        <v>23.329499999999999</v>
      </c>
      <c r="AA87" s="67">
        <f>ABS(Z87-Y87)</f>
        <v>23.284600000000001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>IF(LEN(A87)=6,"0"&amp;A87,A87)</f>
        <v>0175-27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/stypes="app*4042*20161227*"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6"/>
        <v>"%USERPROFILE%\Documents\GitHub\eaglep3\Utilities\RefineRTDCRunTimes.py" --tripid 175-27 --locoid 4042 --swversion DE.1.0.8.0 --startMP 204:449 --initTime 2016-12-27T12:55:52 --startdatetime 2016-12-27T13:00:22 --delay 1 --endMP 204:233295 --enddatetime 2016-12-27T13:36:05 --enforcementcount 1 &gt;&gt;C:\Users\stu\Documents\GitHub\eaglep3-reporting\EC\2016-12-27-refined-times.txt</v>
      </c>
      <c r="AI87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{"issue":{"subject":"","project_id":79,"tracker_id":40,"status_id":1,"priority_id":2,"assigned_to_id":23,"start_date":"2016-12-27","description":"","custom_fields":[{"id":1,"name":"Subdivision","value":"EC"},{"id":4,"name":"Milepost","value":"23.3295"},{"id":17,"name":"Train ID","value":"175-27"},{"id":16,"name":"Locomotive ID","value":"4042"},{"id":130,"name":"Impact","value":""},{"id":150,"name":"Time of Event (Mountain Time)","value":"13:36:05"},{"id":151,"name":"Denver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566</v>
      </c>
      <c r="B88" s="7">
        <v>4041</v>
      </c>
      <c r="C88" s="22" t="s">
        <v>205</v>
      </c>
      <c r="D88" s="22" t="s">
        <v>395</v>
      </c>
      <c r="E88" s="13">
        <v>42731.576701388891</v>
      </c>
      <c r="F88" s="13">
        <v>42731.580752314818</v>
      </c>
      <c r="G88" s="7">
        <v>1</v>
      </c>
      <c r="H88" s="22" t="s">
        <v>311</v>
      </c>
      <c r="I88" s="13">
        <v>42731.611655092594</v>
      </c>
      <c r="J88" s="7">
        <v>1</v>
      </c>
      <c r="K88" s="109" t="str">
        <f>IF(ISEVEN(B88),(B88-1)&amp;"/"&amp;B88,B88&amp;"/"&amp;(B88+1))</f>
        <v>4041/4042</v>
      </c>
      <c r="L88" s="22" t="str">
        <f>VLOOKUP(A88,'Trips&amp;Operators'!$C$1:$G$99999,5,FALSE)</f>
        <v>STEWART MICHAEL</v>
      </c>
      <c r="M88" s="6">
        <f>I88-F88</f>
        <v>3.0902777776645962E-2</v>
      </c>
      <c r="N88" s="7">
        <f>24*60*SUM($M88:$M88)</f>
        <v>44.499999998370185</v>
      </c>
      <c r="O88" s="7"/>
      <c r="P88" s="7"/>
      <c r="Q88" s="23"/>
      <c r="R88" s="23"/>
      <c r="S88" s="35">
        <f>SUM(U88:U88)/IF(AG88="EC",12,1)</f>
        <v>1</v>
      </c>
      <c r="T88" s="50" t="str">
        <f>IF(ISEVEN(LEFT(AD88,4)),"Southbound","NorthBound")</f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https://search-rtdc-monitor-bjffxe2xuh6vdkpspy63sjmuny.us-east-1.es.amazonaws.com/_plugin/kibana/#/discover/Steve-Slow-Train-Analysis-(2080s-and-2083s)?_g=(refreshInterval:(display:Off,section:0,value:0),time:(from:'2016-12-27 12:50:27-700',mode:absolute,to:'2016-12-27 15:40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>IF(AA88&lt;IF(AG88="EC",23,5.65),"Y","N")</f>
        <v>N</v>
      </c>
      <c r="X88" s="177">
        <f>VALUE(LEFT(AD88,4))-VALUE(LEFT(AD87,4))</f>
        <v>1</v>
      </c>
      <c r="Y88" s="67">
        <f>RIGHT(D88,LEN(D88)-4)/10000</f>
        <v>23.297499999999999</v>
      </c>
      <c r="Z88" s="67">
        <f>RIGHT(H88,LEN(H88)-4)/10000</f>
        <v>1.52E-2</v>
      </c>
      <c r="AA88" s="67">
        <f>ABS(Z88-Y88)</f>
        <v>23.282299999999999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>IF(LEN(A88)=6,"0"&amp;A88,A88)</f>
        <v>0176-27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/stypes="app*4041*20161227*"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6"/>
        <v>"%USERPROFILE%\Documents\GitHub\eaglep3\Utilities\RefineRTDCRunTimes.py" --tripid 176-27 --locoid 4041 --swversion DE.1.0.8.0 --startMP 204:232975 --initTime 2016-12-27T13:50:27 --startdatetime 2016-12-27T13:56:17 --delay 1 --endMP 204:152 --enddatetime 2016-12-27T14:40:47 --enforcementcount 1 &gt;&gt;C:\Users\stu\Documents\GitHub\eaglep3-reporting\EC\2016-12-27-refined-times.txt</v>
      </c>
      <c r="AI88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{"issue":{"subject":"","project_id":79,"tracker_id":40,"status_id":1,"priority_id":2,"assigned_to_id":23,"start_date":"2016-12-27","description":"","custom_fields":[{"id":1,"name":"Subdivision","value":"EC"},{"id":4,"name":"Milepost","value":"0.0152"},{"id":17,"name":"Train ID","value":"176-27"},{"id":16,"name":"Locomotive ID","value":"4041"},{"id":130,"name":"Impact","value":""},{"id":150,"name":"Time of Event (Mountain Time)","value":"14:40:47"},{"id":151,"name":"Denver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7" t="s">
        <v>558</v>
      </c>
      <c r="B89" s="7">
        <v>4002</v>
      </c>
      <c r="C89" s="22" t="s">
        <v>205</v>
      </c>
      <c r="D89" s="22" t="s">
        <v>394</v>
      </c>
      <c r="E89" s="13">
        <v>42731.548067129632</v>
      </c>
      <c r="F89" s="13">
        <v>42731.552291666667</v>
      </c>
      <c r="G89" s="7">
        <v>1</v>
      </c>
      <c r="H89" s="22" t="s">
        <v>369</v>
      </c>
      <c r="I89" s="13">
        <v>42731.578182870369</v>
      </c>
      <c r="J89" s="7">
        <v>1</v>
      </c>
      <c r="K89" s="109" t="str">
        <f>IF(ISEVEN(B89),(B89-1)&amp;"/"&amp;B89,B89&amp;"/"&amp;(B89+1))</f>
        <v>4001/4002</v>
      </c>
      <c r="L89" s="22" t="str">
        <f>VLOOKUP(A89,'Trips&amp;Operators'!$C$1:$G$99999,5,FALSE)</f>
        <v>SIMMONS SHYHESHA</v>
      </c>
      <c r="M89" s="6">
        <f>I89-F89</f>
        <v>2.5891203702485655E-2</v>
      </c>
      <c r="N89" s="7">
        <f>24*60*SUM($M89:$M89)</f>
        <v>37.283333331579342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https://search-rtdc-monitor-bjffxe2xuh6vdkpspy63sjmuny.us-east-1.es.amazonaws.com/_plugin/kibana/#/discover/Steve-Slow-Train-Analysis-(2080s-and-2083s)?_g=(refreshInterval:(display:Off,section:0,value:0),time:(from:'2016-12-27 12:09:13-700',mode:absolute,to:'2016-12-27 14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9" s="52" t="str">
        <f>IF(AA89&lt;IF(AG89="EC",23,5.65),"Y","N")</f>
        <v>N</v>
      </c>
      <c r="X89" s="177">
        <f>VALUE(LEFT(AD89,4))-VALUE(LEFT(AD88,4))</f>
        <v>1</v>
      </c>
      <c r="Y89" s="67">
        <f>RIGHT(D89,LEN(D89)-4)/10000</f>
        <v>4.6600000000000003E-2</v>
      </c>
      <c r="Z89" s="67">
        <f>RIGHT(H89,LEN(H89)-4)/10000</f>
        <v>23.3306</v>
      </c>
      <c r="AA89" s="67">
        <f>ABS(Z89-Y89)</f>
        <v>23.283999999999999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>IF(LEN(A89)=6,"0"&amp;A89,A89)</f>
        <v>0177-27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/stypes="app*4002*20161227*" /stext=" 20:.+((SYSTEM_STATE.+slice.+state.+changed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6"/>
        <v>"%USERPROFILE%\Documents\GitHub\eaglep3\Utilities\RefineRTDCRunTimes.py" --tripid 177-27 --locoid 4002 --swversion DE.1.0.8.0 --startMP 204:466 --initTime 2016-12-27T13:09:13 --startdatetime 2016-12-27T13:15:18 --delay 1 --endMP 204:233306 --enddatetime 2016-12-27T13:52:35 --enforcementcount 1 &gt;&gt;C:\Users\stu\Documents\GitHub\eaglep3-reporting\EC\2016-12-27-refined-times.txt</v>
      </c>
      <c r="AI89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{"issue":{"subject":"","project_id":79,"tracker_id":40,"status_id":1,"priority_id":2,"assigned_to_id":23,"start_date":"2016-12-27","description":"","custom_fields":[{"id":1,"name":"Subdivision","value":"EC"},{"id":4,"name":"Milepost","value":"23.3306"},{"id":17,"name":"Train ID","value":"177-27"},{"id":16,"name":"Locomotive ID","value":"4002"},{"id":130,"name":"Impact","value":""},{"id":150,"name":"Time of Event (Mountain Time)","value":"13:52:35"},{"id":151,"name":"Denver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7" t="s">
        <v>568</v>
      </c>
      <c r="B90" s="7">
        <v>4001</v>
      </c>
      <c r="C90" s="22" t="s">
        <v>205</v>
      </c>
      <c r="D90" s="22" t="s">
        <v>700</v>
      </c>
      <c r="E90" s="13">
        <v>42731.585648148146</v>
      </c>
      <c r="F90" s="13">
        <v>42731.591203703705</v>
      </c>
      <c r="G90" s="7">
        <v>3</v>
      </c>
      <c r="H90" s="22" t="s">
        <v>263</v>
      </c>
      <c r="I90" s="13">
        <v>42731.622685185182</v>
      </c>
      <c r="J90" s="7">
        <v>1</v>
      </c>
      <c r="K90" s="109" t="str">
        <f>IF(ISEVEN(B90),(B90-1)&amp;"/"&amp;B90,B90&amp;"/"&amp;(B90+1))</f>
        <v>4001/4002</v>
      </c>
      <c r="L90" s="22" t="str">
        <f>VLOOKUP(A90,'Trips&amp;Operators'!$C$1:$G$99999,5,FALSE)</f>
        <v>SIMMONS SHYHESHA</v>
      </c>
      <c r="M90" s="6">
        <f>I90-F90</f>
        <v>3.1481481477385387E-2</v>
      </c>
      <c r="N90" s="7">
        <f>24*60*SUM($M90:$M90)</f>
        <v>45.333333327434957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https://search-rtdc-monitor-bjffxe2xuh6vdkpspy63sjmuny.us-east-1.es.amazonaws.com/_plugin/kibana/#/discover/Steve-Slow-Train-Analysis-(2080s-and-2083s)?_g=(refreshInterval:(display:Off,section:0,value:0),time:(from:'2016-12-27 13:03:20-700',mode:absolute,to:'2016-12-27 15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0" s="52" t="str">
        <f>IF(AA90&lt;IF(AG90="EC",23,5.65),"Y","N")</f>
        <v>N</v>
      </c>
      <c r="X90" s="177">
        <f>VALUE(LEFT(AD90,4))-VALUE(LEFT(AD89,4))</f>
        <v>1</v>
      </c>
      <c r="Y90" s="67">
        <f>RIGHT(D90,LEN(D90)-4)/10000</f>
        <v>23.299099999999999</v>
      </c>
      <c r="Z90" s="67">
        <f>RIGHT(H90,LEN(H90)-4)/10000</f>
        <v>1.6E-2</v>
      </c>
      <c r="AA90" s="67">
        <f>ABS(Z90-Y90)</f>
        <v>23.283100000000001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>IF(LEN(A90)=6,"0"&amp;A90,A90)</f>
        <v>0178-27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/stypes="app*4001*20161227*"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6"/>
        <v>"%USERPROFILE%\Documents\GitHub\eaglep3\Utilities\RefineRTDCRunTimes.py" --tripid 178-27 --locoid 4001 --swversion DE.1.0.8.0 --startMP 204:232991 --initTime 2016-12-27T14:03:20 --startdatetime 2016-12-27T14:11:20 --delay 3 --endMP 204:160 --enddatetime 2016-12-27T14:56:40 --enforcementcount 1 &gt;&gt;C:\Users\stu\Documents\GitHub\eaglep3-reporting\EC\2016-12-27-refined-times.txt</v>
      </c>
      <c r="AI90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{"issue":{"subject":"","project_id":79,"tracker_id":40,"status_id":1,"priority_id":2,"assigned_to_id":23,"start_date":"2016-12-27","description":"","custom_fields":[{"id":1,"name":"Subdivision","value":"EC"},{"id":4,"name":"Milepost","value":"0.016"},{"id":17,"name":"Train ID","value":"178-27"},{"id":16,"name":"Locomotive ID","value":"4001"},{"id":130,"name":"Impact","value":""},{"id":150,"name":"Time of Event (Mountain Time)","value":"14:56:40"},{"id":151,"name":"Denver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563</v>
      </c>
      <c r="B91" s="7">
        <v>4027</v>
      </c>
      <c r="C91" s="22" t="s">
        <v>205</v>
      </c>
      <c r="D91" s="22" t="s">
        <v>390</v>
      </c>
      <c r="E91" s="13">
        <v>42731.559386574074</v>
      </c>
      <c r="F91" s="13">
        <v>42731.562719907408</v>
      </c>
      <c r="G91" s="7">
        <v>1</v>
      </c>
      <c r="H91" s="22" t="s">
        <v>304</v>
      </c>
      <c r="I91" s="13">
        <v>42731.588680555556</v>
      </c>
      <c r="J91" s="7">
        <v>1</v>
      </c>
      <c r="K91" s="109" t="str">
        <f>IF(ISEVEN(B91),(B91-1)&amp;"/"&amp;B91,B91&amp;"/"&amp;(B91+1))</f>
        <v>4027/4028</v>
      </c>
      <c r="L91" s="22" t="str">
        <f>VLOOKUP(A91,'Trips&amp;Operators'!$C$1:$G$99999,5,FALSE)</f>
        <v>CLARK KATHLEEN</v>
      </c>
      <c r="M91" s="6">
        <f>I91-F91</f>
        <v>2.5960648148611654E-2</v>
      </c>
      <c r="N91" s="7">
        <f>24*60*SUM($M91:$M91)</f>
        <v>37.383333334000781</v>
      </c>
      <c r="O91" s="7"/>
      <c r="P91" s="7"/>
      <c r="Q91" s="23"/>
      <c r="R91" s="23"/>
      <c r="S91" s="35">
        <f>SUM(U91:U91)/IF(AG91="EC",12,1)</f>
        <v>1</v>
      </c>
      <c r="T91" s="50" t="str">
        <f>IF(ISEVEN(LEFT(AD91,4)),"Southbound","NorthBound")</f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https://search-rtdc-monitor-bjffxe2xuh6vdkpspy63sjmuny.us-east-1.es.amazonaws.com/_plugin/kibana/#/discover/Steve-Slow-Train-Analysis-(2080s-and-2083s)?_g=(refreshInterval:(display:Off,section:0,value:0),time:(from:'2016-12-27 12:25:31-700',mode:absolute,to:'2016-12-27 15:07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1" s="52" t="str">
        <f>IF(AA91&lt;IF(AG91="EC",23,5.65),"Y","N")</f>
        <v>N</v>
      </c>
      <c r="X91" s="177">
        <f>VALUE(LEFT(AD91,4))-VALUE(LEFT(AD90,4))</f>
        <v>1</v>
      </c>
      <c r="Y91" s="67">
        <f>RIGHT(D91,LEN(D91)-4)/10000</f>
        <v>4.8800000000000003E-2</v>
      </c>
      <c r="Z91" s="67">
        <f>RIGHT(H91,LEN(H91)-4)/10000</f>
        <v>23.330100000000002</v>
      </c>
      <c r="AA91" s="67">
        <f>ABS(Z91-Y91)</f>
        <v>23.281300000000002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>IF(LEN(A91)=6,"0"&amp;A91,A91)</f>
        <v>0179-27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/stypes="app*4027*20161227*"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6"/>
        <v>"%USERPROFILE%\Documents\GitHub\eaglep3\Utilities\RefineRTDCRunTimes.py" --tripid 179-27 --locoid 4027 --swversion DE.1.0.8.0 --startMP 204:488 --initTime 2016-12-27T13:25:31 --startdatetime 2016-12-27T13:30:19 --delay 1 --endMP 204:233301 --enddatetime 2016-12-27T14:07:42 --enforcementcount 1 &gt;&gt;C:\Users\stu\Documents\GitHub\eaglep3-reporting\EC\2016-12-27-refined-times.txt</v>
      </c>
      <c r="AI91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{"issue":{"subject":"","project_id":79,"tracker_id":40,"status_id":1,"priority_id":2,"assigned_to_id":23,"start_date":"2016-12-27","description":"","custom_fields":[{"id":1,"name":"Subdivision","value":"EC"},{"id":4,"name":"Milepost","value":"23.3301"},{"id":17,"name":"Train ID","value":"179-27"},{"id":16,"name":"Locomotive ID","value":"4027"},{"id":130,"name":"Impact","value":""},{"id":150,"name":"Time of Event (Mountain Time)","value":"14:07:42"},{"id":151,"name":"Denver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570</v>
      </c>
      <c r="B92" s="7">
        <v>4028</v>
      </c>
      <c r="C92" s="22" t="s">
        <v>205</v>
      </c>
      <c r="D92" s="22" t="s">
        <v>281</v>
      </c>
      <c r="E92" s="13">
        <v>42731.595949074072</v>
      </c>
      <c r="F92" s="13">
        <v>42731.6015625</v>
      </c>
      <c r="G92" s="7">
        <v>1</v>
      </c>
      <c r="H92" s="22" t="s">
        <v>701</v>
      </c>
      <c r="I92" s="13">
        <v>42731.633969907409</v>
      </c>
      <c r="J92" s="7">
        <v>1</v>
      </c>
      <c r="K92" s="109" t="str">
        <f>IF(ISEVEN(B92),(B92-1)&amp;"/"&amp;B92,B92&amp;"/"&amp;(B92+1))</f>
        <v>4027/4028</v>
      </c>
      <c r="L92" s="22" t="str">
        <f>VLOOKUP(A92,'Trips&amp;Operators'!$C$1:$G$99999,5,FALSE)</f>
        <v>CLARK KATHLEEN</v>
      </c>
      <c r="M92" s="6">
        <f>I92-F92</f>
        <v>3.2407407408754807E-2</v>
      </c>
      <c r="N92" s="7">
        <f>24*60*SUM($M92:$M92)</f>
        <v>46.666666668606922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https://search-rtdc-monitor-bjffxe2xuh6vdkpspy63sjmuny.us-east-1.es.amazonaws.com/_plugin/kibana/#/discover/Steve-Slow-Train-Analysis-(2080s-and-2083s)?_g=(refreshInterval:(display:Off,section:0,value:0),time:(from:'2016-12-27 13:18:10-700',mode:absolute,to:'2016-12-27 16:12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2" s="52" t="str">
        <f>IF(AA92&lt;IF(AG92="EC",23,5.65),"Y","N")</f>
        <v>N</v>
      </c>
      <c r="X92" s="177">
        <f>VALUE(LEFT(AD92,4))-VALUE(LEFT(AD91,4))</f>
        <v>1</v>
      </c>
      <c r="Y92" s="67">
        <f>RIGHT(D92,LEN(D92)-4)/10000</f>
        <v>23.2973</v>
      </c>
      <c r="Z92" s="67">
        <f>RIGHT(H92,LEN(H92)-4)/10000</f>
        <v>1.9400000000000001E-2</v>
      </c>
      <c r="AA92" s="67">
        <f>ABS(Z92-Y92)</f>
        <v>23.277899999999999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>IF(LEN(A92)=6,"0"&amp;A92,A92)</f>
        <v>0180-27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/stypes="app*4028*20161227*" /stext=" 22:.+((SYSTEM_STATE.+slice.+state.+changed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6"/>
        <v>"%USERPROFILE%\Documents\GitHub\eaglep3\Utilities\RefineRTDCRunTimes.py" --tripid 180-27 --locoid 4028 --swversion DE.1.0.8.0 --startMP 204:232973 --initTime 2016-12-27T14:18:10 --startdatetime 2016-12-27T14:26:15 --delay 1 --endMP 204:194 --enddatetime 2016-12-27T15:12:55 --enforcementcount 1 &gt;&gt;C:\Users\stu\Documents\GitHub\eaglep3-reporting\EC\2016-12-27-refined-times.txt</v>
      </c>
      <c r="AI92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{"issue":{"subject":"","project_id":79,"tracker_id":40,"status_id":1,"priority_id":2,"assigned_to_id":23,"start_date":"2016-12-27","description":"","custom_fields":[{"id":1,"name":"Subdivision","value":"EC"},{"id":4,"name":"Milepost","value":"0.0194"},{"id":17,"name":"Train ID","value":"180-27"},{"id":16,"name":"Locomotive ID","value":"4028"},{"id":130,"name":"Impact","value":""},{"id":150,"name":"Time of Event (Mountain Time)","value":"15:12:55"},{"id":151,"name":"Denver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7" t="s">
        <v>565</v>
      </c>
      <c r="B93" s="7">
        <v>4011</v>
      </c>
      <c r="C93" s="22" t="s">
        <v>205</v>
      </c>
      <c r="D93" s="22" t="s">
        <v>359</v>
      </c>
      <c r="E93" s="13">
        <v>42731.569363425922</v>
      </c>
      <c r="F93" s="13">
        <v>42731.573298611111</v>
      </c>
      <c r="G93" s="7">
        <v>1</v>
      </c>
      <c r="H93" s="22" t="s">
        <v>279</v>
      </c>
      <c r="I93" s="13">
        <v>42731.60019675926</v>
      </c>
      <c r="J93" s="7">
        <v>1</v>
      </c>
      <c r="K93" s="109" t="str">
        <f>IF(ISEVEN(B93),(B93-1)&amp;"/"&amp;B93,B93&amp;"/"&amp;(B93+1))</f>
        <v>4011/4012</v>
      </c>
      <c r="L93" s="22" t="str">
        <f>VLOOKUP(A93,'Trips&amp;Operators'!$C$1:$G$99999,5,FALSE)</f>
        <v>CRAYTON QUNTRELL</v>
      </c>
      <c r="M93" s="6">
        <f>I93-F93</f>
        <v>2.6898148149484769E-2</v>
      </c>
      <c r="N93" s="7">
        <f>24*60*SUM($M93:$M93)</f>
        <v>38.733333335258067</v>
      </c>
      <c r="O93" s="7"/>
      <c r="P93" s="7"/>
      <c r="Q93" s="23"/>
      <c r="R93" s="23"/>
      <c r="S93" s="35">
        <f>SUM(U93:U93)/IF(AG93="EC",12,1)</f>
        <v>1</v>
      </c>
      <c r="T93" s="50" t="str">
        <f>IF(ISEVEN(LEFT(AD93,4)),"Southbound","NorthBound")</f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https://search-rtdc-monitor-bjffxe2xuh6vdkpspy63sjmuny.us-east-1.es.amazonaws.com/_plugin/kibana/#/discover/Steve-Slow-Train-Analysis-(2080s-and-2083s)?_g=(refreshInterval:(display:Off,section:0,value:0),time:(from:'2016-12-27 12:39:53-700',mode:absolute,to:'2016-12-27 15:24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3" s="52" t="str">
        <f>IF(AA93&lt;IF(AG93="EC",23,5.65),"Y","N")</f>
        <v>N</v>
      </c>
      <c r="X93" s="177">
        <f>VALUE(LEFT(AD93,4))-VALUE(LEFT(AD92,4))</f>
        <v>1</v>
      </c>
      <c r="Y93" s="67">
        <f>RIGHT(D93,LEN(D93)-4)/10000</f>
        <v>4.4400000000000002E-2</v>
      </c>
      <c r="Z93" s="67">
        <f>RIGHT(H93,LEN(H93)-4)/10000</f>
        <v>23.329499999999999</v>
      </c>
      <c r="AA93" s="67">
        <f>ABS(Z93-Y93)</f>
        <v>23.2851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>IF(LEN(A93)=6,"0"&amp;A93,A93)</f>
        <v>0181-27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s3://rtdc.mdm.uploadarchive.raw/RTDC4011/ "%USERPROFILE%\AppData\Local\Temp\OnboardLogs"\RTDC4011\2016-12-27 --exclude "*" --recursive --include "*20161227*" &amp; "%USERPROFILE%\Documents\GitHub\mrs-test-scripts\Headless Mode &amp; Sideloading\WalkAndUnGZ.bat" "%USERPROFILE%\AppData\Local\Temp\OnboardLogs"\RTDC4011\2016-12-27 &amp; 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/stypes="app*4011*20161227*" /stext=" 21:.+((SYSTEM_STATE.+slice.+state.+changed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6"/>
        <v>"%USERPROFILE%\Documents\GitHub\eaglep3\Utilities\RefineRTDCRunTimes.py" --tripid 181-27 --locoid 4011 --swversion DE.1.0.8.0 --startMP 204:444 --initTime 2016-12-27T13:39:53 --startdatetime 2016-12-27T13:45:33 --delay 1 --endMP 204:233295 --enddatetime 2016-12-27T14:24:17 --enforcementcount 1 &gt;&gt;C:\Users\stu\Documents\GitHub\eaglep3-reporting\EC\2016-12-27-refined-times.txt</v>
      </c>
      <c r="AI93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{"issue":{"subject":"","project_id":79,"tracker_id":40,"status_id":1,"priority_id":2,"assigned_to_id":23,"start_date":"2016-12-27","description":"","custom_fields":[{"id":1,"name":"Subdivision","value":"EC"},{"id":4,"name":"Milepost","value":"23.3295"},{"id":17,"name":"Train ID","value":"181-27"},{"id":16,"name":"Locomotive ID","value":"4011"},{"id":130,"name":"Impact","value":""},{"id":150,"name":"Time of Event (Mountain Time)","value":"14:24:17"},{"id":151,"name":"Denver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</row>
    <row r="94" spans="1:91" x14ac:dyDescent="0.25">
      <c r="A94" s="37" t="s">
        <v>571</v>
      </c>
      <c r="B94" s="7">
        <v>4012</v>
      </c>
      <c r="C94" s="22" t="s">
        <v>205</v>
      </c>
      <c r="D94" s="22" t="s">
        <v>368</v>
      </c>
      <c r="E94" s="13">
        <v>42731.603159722225</v>
      </c>
      <c r="F94" s="13">
        <v>42731.611967592595</v>
      </c>
      <c r="G94" s="7">
        <v>2</v>
      </c>
      <c r="H94" s="22" t="s">
        <v>702</v>
      </c>
      <c r="I94" s="13">
        <v>42731.645046296297</v>
      </c>
      <c r="J94" s="7">
        <v>1</v>
      </c>
      <c r="K94" s="109" t="str">
        <f>IF(ISEVEN(B94),(B94-1)&amp;"/"&amp;B94,B94&amp;"/"&amp;(B94+1))</f>
        <v>4011/4012</v>
      </c>
      <c r="L94" s="22" t="str">
        <f>VLOOKUP(A94,'Trips&amp;Operators'!$C$1:$G$99999,5,FALSE)</f>
        <v>CRAYTON QUNTRELL</v>
      </c>
      <c r="M94" s="6">
        <f>I94-F94</f>
        <v>3.3078703701903578E-2</v>
      </c>
      <c r="N94" s="7">
        <f>24*60*SUM($M94:$M94)</f>
        <v>47.633333330741152</v>
      </c>
      <c r="O94" s="7"/>
      <c r="P94" s="7"/>
      <c r="Q94" s="23"/>
      <c r="R94" s="23"/>
      <c r="S94" s="35">
        <f>SUM(U94:U94)/IF(AG94="EC",12,1)</f>
        <v>1</v>
      </c>
      <c r="T94" s="50" t="str">
        <f>IF(ISEVEN(LEFT(AD94,4)),"Southbound","NorthBound")</f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https://search-rtdc-monitor-bjffxe2xuh6vdkpspy63sjmuny.us-east-1.es.amazonaws.com/_plugin/kibana/#/discover/Steve-Slow-Train-Analysis-(2080s-and-2083s)?_g=(refreshInterval:(display:Off,section:0,value:0),time:(from:'2016-12-27 13:28:33-700',mode:absolute,to:'2016-12-27 16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4" s="52" t="str">
        <f>IF(AA94&lt;IF(AG94="EC",23,5.65),"Y","N")</f>
        <v>N</v>
      </c>
      <c r="X94" s="177">
        <f>VALUE(LEFT(AD94,4))-VALUE(LEFT(AD93,4))</f>
        <v>1</v>
      </c>
      <c r="Y94" s="67">
        <f>RIGHT(D94,LEN(D94)-4)/10000</f>
        <v>23.2974</v>
      </c>
      <c r="Z94" s="67">
        <f>RIGHT(H94,LEN(H94)-4)/10000</f>
        <v>0.02</v>
      </c>
      <c r="AA94" s="67">
        <f>ABS(Z94-Y94)</f>
        <v>23.2774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>IF(LEN(A94)=6,"0"&amp;A94,A94)</f>
        <v>0182-27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 &amp; 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/stypes="app*4012*20161227*" /stext=" 22:.+((SYSTEM_STATE.+slice.+state.+changed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6"/>
        <v>"%USERPROFILE%\Documents\GitHub\eaglep3\Utilities\RefineRTDCRunTimes.py" --tripid 182-27 --locoid 4012 --swversion DE.1.0.8.0 --startMP 204:232974 --initTime 2016-12-27T14:28:33 --startdatetime 2016-12-27T14:41:14 --delay 2 --endMP 204:200 --enddatetime 2016-12-27T15:28:52 --enforcementcount 1 &gt;&gt;C:\Users\stu\Documents\GitHub\eaglep3-reporting\EC\2016-12-27-refined-times.txt</v>
      </c>
      <c r="AI94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{"issue":{"subject":"","project_id":79,"tracker_id":40,"status_id":1,"priority_id":2,"assigned_to_id":23,"start_date":"2016-12-27","description":"","custom_fields":[{"id":1,"name":"Subdivision","value":"EC"},{"id":4,"name":"Milepost","value":"0.02"},{"id":17,"name":"Train ID","value":"182-27"},{"id":16,"name":"Locomotive ID","value":"4012"},{"id":130,"name":"Impact","value":""},{"id":150,"name":"Time of Event (Mountain Time)","value":"15:28:52"},{"id":151,"name":"Denver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</row>
    <row r="95" spans="1:91" x14ac:dyDescent="0.25">
      <c r="A95" s="37" t="s">
        <v>567</v>
      </c>
      <c r="B95" s="7">
        <v>4022</v>
      </c>
      <c r="C95" s="22" t="s">
        <v>205</v>
      </c>
      <c r="D95" s="22" t="s">
        <v>399</v>
      </c>
      <c r="E95" s="13">
        <v>42731.579305555555</v>
      </c>
      <c r="F95" s="13">
        <v>42731.583680555559</v>
      </c>
      <c r="G95" s="7">
        <v>1</v>
      </c>
      <c r="H95" s="22" t="s">
        <v>693</v>
      </c>
      <c r="I95" s="13">
        <v>42731.610474537039</v>
      </c>
      <c r="J95" s="7">
        <v>1</v>
      </c>
      <c r="K95" s="109" t="str">
        <f>IF(ISEVEN(B95),(B95-1)&amp;"/"&amp;B95,B95&amp;"/"&amp;(B95+1))</f>
        <v>4021/4022</v>
      </c>
      <c r="L95" s="22" t="str">
        <f>VLOOKUP(A95,'Trips&amp;Operators'!$C$1:$G$99999,5,FALSE)</f>
        <v>ADANE ELSHADAY</v>
      </c>
      <c r="M95" s="6">
        <f>I95-F95</f>
        <v>2.679398148029577E-2</v>
      </c>
      <c r="N95" s="7">
        <f>24*60*SUM($M95:$M95)</f>
        <v>38.583333331625909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https://search-rtdc-monitor-bjffxe2xuh6vdkpspy63sjmuny.us-east-1.es.amazonaws.com/_plugin/kibana/#/discover/Steve-Slow-Train-Analysis-(2080s-and-2083s)?_g=(refreshInterval:(display:Off,section:0,value:0),time:(from:'2016-12-27 12:54:12-700',mode:absolute,to:'2016-12-27 15:39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5" s="52" t="str">
        <f>IF(AA95&lt;IF(AG95="EC",23,5.65),"Y","N")</f>
        <v>N</v>
      </c>
      <c r="X95" s="177">
        <f>VALUE(LEFT(AD95,4))-VALUE(LEFT(AD94,4))</f>
        <v>1</v>
      </c>
      <c r="Y95" s="67">
        <f>RIGHT(D95,LEN(D95)-4)/10000</f>
        <v>4.3799999999999999E-2</v>
      </c>
      <c r="Z95" s="67">
        <f>RIGHT(H95,LEN(H95)-4)/10000</f>
        <v>23.328600000000002</v>
      </c>
      <c r="AA95" s="67">
        <f>ABS(Z95-Y95)</f>
        <v>23.284800000000001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>IF(LEN(A95)=6,"0"&amp;A95,A95)</f>
        <v>0183-27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/stypes="app*4022*20161227*" /stext=" 21:.+((SYSTEM_STATE.+slice.+state.+changed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6"/>
        <v>"%USERPROFILE%\Documents\GitHub\eaglep3\Utilities\RefineRTDCRunTimes.py" --tripid 183-27 --locoid 4022 --swversion DE.1.0.8.0 --startMP 204:438 --initTime 2016-12-27T13:54:12 --startdatetime 2016-12-27T14:00:30 --delay 1 --endMP 204:233286 --enddatetime 2016-12-27T14:39:05 --enforcementcount 1 &gt;&gt;C:\Users\stu\Documents\GitHub\eaglep3-reporting\EC\2016-12-27-refined-times.txt</v>
      </c>
      <c r="AI95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{"issue":{"subject":"","project_id":79,"tracker_id":40,"status_id":1,"priority_id":2,"assigned_to_id":23,"start_date":"2016-12-27","description":"","custom_fields":[{"id":1,"name":"Subdivision","value":"EC"},{"id":4,"name":"Milepost","value":"23.3286"},{"id":17,"name":"Train ID","value":"183-27"},{"id":16,"name":"Locomotive ID","value":"4022"},{"id":130,"name":"Impact","value":""},{"id":150,"name":"Time of Event (Mountain Time)","value":"14:39:05"},{"id":151,"name":"Denver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s="21" customFormat="1" x14ac:dyDescent="0.25">
      <c r="A96" s="37" t="s">
        <v>574</v>
      </c>
      <c r="B96" s="7">
        <v>4021</v>
      </c>
      <c r="C96" s="22" t="s">
        <v>205</v>
      </c>
      <c r="D96" s="22" t="s">
        <v>282</v>
      </c>
      <c r="E96" s="13">
        <v>42731.612615740742</v>
      </c>
      <c r="F96" s="13">
        <v>42731.622789351852</v>
      </c>
      <c r="G96" s="7">
        <v>1</v>
      </c>
      <c r="H96" s="22" t="s">
        <v>211</v>
      </c>
      <c r="I96" s="13">
        <v>42731.654629629629</v>
      </c>
      <c r="J96" s="7">
        <v>1</v>
      </c>
      <c r="K96" s="109" t="str">
        <f>IF(ISEVEN(B96),(B96-1)&amp;"/"&amp;B96,B96&amp;"/"&amp;(B96+1))</f>
        <v>4021/4022</v>
      </c>
      <c r="L96" s="22" t="str">
        <f>VLOOKUP(A96,'Trips&amp;Operators'!$C$1:$G$99999,5,FALSE)</f>
        <v>ADANE ELSHADAY</v>
      </c>
      <c r="M96" s="6">
        <f>I96-F96</f>
        <v>3.1840277777519077E-2</v>
      </c>
      <c r="N96" s="7">
        <f>24*60*SUM($M96:$M96)</f>
        <v>45.849999999627471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https://search-rtdc-monitor-bjffxe2xuh6vdkpspy63sjmuny.us-east-1.es.amazonaws.com/_plugin/kibana/#/discover/Steve-Slow-Train-Analysis-(2080s-and-2083s)?_g=(refreshInterval:(display:Off,section:0,value:0),time:(from:'2016-12-27 13:42:10-700',mode:absolute,to:'2016-12-27 16:42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6" s="52" t="str">
        <f>IF(AA96&lt;IF(AG96="EC",23,5.65),"Y","N")</f>
        <v>N</v>
      </c>
      <c r="X96" s="177">
        <f>VALUE(LEFT(AD96,4))-VALUE(LEFT(AD95,4))</f>
        <v>1</v>
      </c>
      <c r="Y96" s="67">
        <f>RIGHT(D96,LEN(D96)-4)/10000</f>
        <v>23.297799999999999</v>
      </c>
      <c r="Z96" s="67">
        <f>RIGHT(H96,LEN(H96)-4)/10000</f>
        <v>1.4999999999999999E-2</v>
      </c>
      <c r="AA96" s="67">
        <f>ABS(Z96-Y96)</f>
        <v>23.282799999999998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>IF(LEN(A96)=6,"0"&amp;A96,A96)</f>
        <v>0184-27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s3://rtdc.mdm.uploadarchive.raw/RTDC4021/ "%USERPROFILE%\AppData\Local\Temp\OnboardLogs"\RTDC4021\2016-12-27 --exclude "*" --recursive --include "*20161227*" &amp; "%USERPROFILE%\Documents\GitHub\mrs-test-scripts\Headless Mode &amp; Sideloading\WalkAndUnGZ.bat" "%USERPROFILE%\AppData\Local\Temp\OnboardLogs"\RTDC4021\2016-12-27 &amp; aws s3 cp s3://rtdc.mdm.uploadarchive.raw/RTDC4021/ "%USERPROFILE%\AppData\Local\Temp\OnboardLogs"\RTDC4021\2016-12-28 --exclude "*" --recursive --include "*20161228*" &amp; "%USERPROFILE%\Documents\GitHub\mrs-test-scripts\Headless Mode &amp; Sideloading\WalkAndUnGZ.bat" "%USERPROFILE%\AppData\Local\Temp\OnboardLogs"\RTDC4021\2016-12-28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/stypes="app*4021*20161227*"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6"/>
        <v>"%USERPROFILE%\Documents\GitHub\eaglep3\Utilities\RefineRTDCRunTimes.py" --tripid 184-27 --locoid 4021 --swversion DE.1.0.8.0 --startMP 204:232978 --initTime 2016-12-27T14:42:10 --startdatetime 2016-12-27T14:56:49 --delay 1 --endMP 204:150 --enddatetime 2016-12-27T15:42:40 --enforcementcount 1 &gt;&gt;C:\Users\stu\Documents\GitHub\eaglep3-reporting\EC\2016-12-27-refined-times.txt</v>
      </c>
      <c r="AI96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{"issue":{"subject":"","project_id":79,"tracker_id":40,"status_id":1,"priority_id":2,"assigned_to_id":23,"start_date":"2016-12-27","description":"","custom_fields":[{"id":1,"name":"Subdivision","value":"EC"},{"id":4,"name":"Milepost","value":"0.015"},{"id":17,"name":"Train ID","value":"184-27"},{"id":16,"name":"Locomotive ID","value":"4021"},{"id":130,"name":"Impact","value":""},{"id":150,"name":"Time of Event (Mountain Time)","value":"15:42:40"},{"id":151,"name":"Denver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441</v>
      </c>
      <c r="B97" s="7">
        <v>4051</v>
      </c>
      <c r="C97" s="22" t="s">
        <v>205</v>
      </c>
      <c r="D97" s="22" t="s">
        <v>703</v>
      </c>
      <c r="E97" s="13">
        <v>42731.58803240741</v>
      </c>
      <c r="F97" s="13">
        <v>42731.593912037039</v>
      </c>
      <c r="G97" s="7">
        <v>1</v>
      </c>
      <c r="H97" s="22" t="s">
        <v>369</v>
      </c>
      <c r="I97" s="13">
        <v>42731.620358796295</v>
      </c>
      <c r="J97" s="7">
        <v>1</v>
      </c>
      <c r="K97" s="109" t="str">
        <f>IF(ISEVEN(B97),(B97-1)&amp;"/"&amp;B97,B97&amp;"/"&amp;(B97+1))</f>
        <v>4051/4052</v>
      </c>
      <c r="L97" s="22" t="str">
        <f>VLOOKUP(A97,'Trips&amp;Operators'!$C$1:$G$99999,5,FALSE)</f>
        <v>BRANNON JEFFREY</v>
      </c>
      <c r="M97" s="6">
        <f>I97-F97</f>
        <v>2.6446759256941732E-2</v>
      </c>
      <c r="N97" s="7">
        <f>24*60*SUM($M97:$M97)</f>
        <v>38.083333329996094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https://search-rtdc-monitor-bjffxe2xuh6vdkpspy63sjmuny.us-east-1.es.amazonaws.com/_plugin/kibana/#/discover/Steve-Slow-Train-Analysis-(2080s-and-2083s)?_g=(refreshInterval:(display:Off,section:0,value:0),time:(from:'2016-12-27 13:06:46-700',mode:absolute,to:'2016-12-27 15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97" s="52" t="str">
        <f>IF(AA97&lt;IF(AG97="EC",23,5.65),"Y","N")</f>
        <v>N</v>
      </c>
      <c r="X97" s="177">
        <f>VALUE(LEFT(AD97,4))-VALUE(LEFT(AD96,4))</f>
        <v>1</v>
      </c>
      <c r="Y97" s="67">
        <f>RIGHT(D97,LEN(D97)-4)/10000</f>
        <v>4.3499999999999997E-2</v>
      </c>
      <c r="Z97" s="67">
        <f>RIGHT(H97,LEN(H97)-4)/10000</f>
        <v>23.3306</v>
      </c>
      <c r="AA97" s="67">
        <f>ABS(Z97-Y97)</f>
        <v>23.287099999999999</v>
      </c>
      <c r="AB97" s="64" t="str">
        <f>VLOOKUP(A97,Enforcements!$C$7:$K$19,8,0)</f>
        <v>Speed (6)</v>
      </c>
      <c r="AC97" s="60" t="str">
        <f>VLOOKUP(A97,Enforcements!$C$7:$E$19,3,0)</f>
        <v>PERMANENT SPEED RESTRICTION</v>
      </c>
      <c r="AD97" s="61" t="str">
        <f>IF(LEN(A97)=6,"0"&amp;A97,A97)</f>
        <v>0185-27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/stypes="app*4051*20161227*" /stext=" 21:.+((SYSTEM_STATE.+slice.+state.+changed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6"/>
        <v>"%USERPROFILE%\Documents\GitHub\eaglep3\Utilities\RefineRTDCRunTimes.py" --tripid 185-27 --locoid 4051 --swversion DE.1.0.8.0 --startMP 204:435 --initTime 2016-12-27T14:06:46 --startdatetime 2016-12-27T14:15:14 --delay 1 --endMP 204:233306 --enddatetime 2016-12-27T14:53:19 --enforcementcount 1 &gt;&gt;C:\Users\stu\Documents\GitHub\eaglep3-reporting\EC\2016-12-27-refined-times.txt</v>
      </c>
      <c r="AI97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{"issue":{"subject":"","project_id":79,"tracker_id":40,"status_id":1,"priority_id":2,"assigned_to_id":23,"start_date":"2016-12-27","description":"","custom_fields":[{"id":1,"name":"Subdivision","value":"EC"},{"id":4,"name":"Milepost","value":"23.3306"},{"id":17,"name":"Train ID","value":"185-27"},{"id":16,"name":"Locomotive ID","value":"4051"},{"id":130,"name":"Impact","value":""},{"id":150,"name":"Time of Event (Mountain Time)","value":"14:53:19"},{"id":151,"name":"Denver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444</v>
      </c>
      <c r="B98" s="7">
        <v>4052</v>
      </c>
      <c r="C98" s="22" t="s">
        <v>205</v>
      </c>
      <c r="D98" s="22" t="s">
        <v>313</v>
      </c>
      <c r="E98" s="13">
        <v>42731.631122685183</v>
      </c>
      <c r="F98" s="13">
        <v>42731.632928240739</v>
      </c>
      <c r="G98" s="7">
        <v>1</v>
      </c>
      <c r="H98" s="22" t="s">
        <v>233</v>
      </c>
      <c r="I98" s="13">
        <v>42731.661886574075</v>
      </c>
      <c r="J98" s="7">
        <v>1</v>
      </c>
      <c r="K98" s="109" t="str">
        <f>IF(ISEVEN(B98),(B98-1)&amp;"/"&amp;B98,B98&amp;"/"&amp;(B98+1))</f>
        <v>4051/4052</v>
      </c>
      <c r="L98" s="22" t="str">
        <f>VLOOKUP(A98,'Trips&amp;Operators'!$C$1:$G$99999,5,FALSE)</f>
        <v>BRANNON JEFFREY</v>
      </c>
      <c r="M98" s="6">
        <f>I98-F98</f>
        <v>2.8958333336049691E-2</v>
      </c>
      <c r="N98" s="7">
        <f>24*60*SUM($M98:$M98)</f>
        <v>41.700000003911555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https://search-rtdc-monitor-bjffxe2xuh6vdkpspy63sjmuny.us-east-1.es.amazonaws.com/_plugin/kibana/#/discover/Steve-Slow-Train-Analysis-(2080s-and-2083s)?_g=(refreshInterval:(display:Off,section:0,value:0),time:(from:'2016-12-27 14:08:49-700',mode:absolute,to:'2016-12-27 16:53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98" s="52" t="str">
        <f>IF(AA98&lt;IF(AG98="EC",23,5.65),"Y","N")</f>
        <v>N</v>
      </c>
      <c r="X98" s="177">
        <f>VALUE(LEFT(AD98,4))-VALUE(LEFT(AD97,4))</f>
        <v>1</v>
      </c>
      <c r="Y98" s="67">
        <f>RIGHT(D98,LEN(D98)-4)/10000</f>
        <v>23.298300000000001</v>
      </c>
      <c r="Z98" s="67">
        <f>RIGHT(H98,LEN(H98)-4)/10000</f>
        <v>1.4500000000000001E-2</v>
      </c>
      <c r="AA98" s="67">
        <f>ABS(Z98-Y98)</f>
        <v>23.283799999999999</v>
      </c>
      <c r="AB98" s="64" t="str">
        <f>VLOOKUP(A98,Enforcements!$C$7:$K$19,8,0)</f>
        <v>Signal based authority (5)</v>
      </c>
      <c r="AC98" s="60" t="str">
        <f>VLOOKUP(A98,Enforcements!$C$7:$E$19,3,0)</f>
        <v>SIGNAL</v>
      </c>
      <c r="AD98" s="61" t="str">
        <f>IF(LEN(A98)=6,"0"&amp;A98,A98)</f>
        <v>0186-27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/stypes="app*4052*20161227*"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6"/>
        <v>"%USERPROFILE%\Documents\GitHub\eaglep3\Utilities\RefineRTDCRunTimes.py" --tripid 186-27 --locoid 4052 --swversion DE.1.0.8.0 --startMP 204:232983 --initTime 2016-12-27T15:08:49 --startdatetime 2016-12-27T15:11:25 --delay 1 --endMP 204:145 --enddatetime 2016-12-27T15:53:07 --enforcementcount 1 &gt;&gt;C:\Users\stu\Documents\GitHub\eaglep3-reporting\EC\2016-12-27-refined-times.txt</v>
      </c>
      <c r="AI98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{"issue":{"subject":"","project_id":79,"tracker_id":40,"status_id":1,"priority_id":2,"assigned_to_id":23,"start_date":"2016-12-27","description":"","custom_fields":[{"id":1,"name":"Subdivision","value":"EC"},{"id":4,"name":"Milepost","value":"0.0145"},{"id":17,"name":"Train ID","value":"186-27"},{"id":16,"name":"Locomotive ID","value":"4052"},{"id":130,"name":"Impact","value":""},{"id":150,"name":"Time of Event (Mountain Time)","value":"15:53:07"},{"id":151,"name":"Denver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572</v>
      </c>
      <c r="B99" s="7">
        <v>4007</v>
      </c>
      <c r="C99" s="22" t="s">
        <v>205</v>
      </c>
      <c r="D99" s="22" t="s">
        <v>228</v>
      </c>
      <c r="E99" s="13">
        <v>42731.605428240742</v>
      </c>
      <c r="F99" s="13">
        <v>42731.607245370367</v>
      </c>
      <c r="G99" s="7">
        <v>1</v>
      </c>
      <c r="H99" s="22" t="s">
        <v>404</v>
      </c>
      <c r="I99" s="13">
        <v>42731.635092592594</v>
      </c>
      <c r="J99" s="7">
        <v>1</v>
      </c>
      <c r="K99" s="109" t="str">
        <f>IF(ISEVEN(B99),(B99-1)&amp;"/"&amp;B99,B99&amp;"/"&amp;(B99+1))</f>
        <v>4007/4008</v>
      </c>
      <c r="L99" s="22" t="str">
        <f>VLOOKUP(A99,'Trips&amp;Operators'!$C$1:$G$99999,5,FALSE)</f>
        <v>DAVIS MICHAEL</v>
      </c>
      <c r="M99" s="6">
        <f>I99-F99</f>
        <v>2.7847222227137536E-2</v>
      </c>
      <c r="N99" s="7">
        <f>24*60*SUM($M99:$M99)</f>
        <v>40.100000007078052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https://search-rtdc-monitor-bjffxe2xuh6vdkpspy63sjmuny.us-east-1.es.amazonaws.com/_plugin/kibana/#/discover/Steve-Slow-Train-Analysis-(2080s-and-2083s)?_g=(refreshInterval:(display:Off,section:0,value:0),time:(from:'2016-12-27 13:31:49-700',mode:absolute,to:'2016-12-27 16:14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9" s="52" t="str">
        <f>IF(AA99&lt;IF(AG99="EC",23,5.65),"Y","N")</f>
        <v>N</v>
      </c>
      <c r="X99" s="177">
        <f>VALUE(LEFT(AD99,4))-VALUE(LEFT(AD98,4))</f>
        <v>1</v>
      </c>
      <c r="Y99" s="67">
        <f>RIGHT(D99,LEN(D99)-4)/10000</f>
        <v>4.5499999999999999E-2</v>
      </c>
      <c r="Z99" s="67">
        <f>RIGHT(H99,LEN(H99)-4)/10000</f>
        <v>23.3276</v>
      </c>
      <c r="AA99" s="67">
        <f>ABS(Z99-Y99)</f>
        <v>23.2821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>IF(LEN(A99)=6,"0"&amp;A99,A99)</f>
        <v>0187-27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/stypes="app*4007*20161227*"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6"/>
        <v>"%USERPROFILE%\Documents\GitHub\eaglep3\Utilities\RefineRTDCRunTimes.py" --tripid 187-27 --locoid 4007 --swversion DE.1.0.8.0 --startMP 204:455 --initTime 2016-12-27T14:31:49 --startdatetime 2016-12-27T14:34:26 --delay 1 --endMP 204:233276 --enddatetime 2016-12-27T15:14:32 --enforcementcount 1 &gt;&gt;C:\Users\stu\Documents\GitHub\eaglep3-reporting\EC\2016-12-27-refined-times.txt</v>
      </c>
      <c r="AI99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{"issue":{"subject":"","project_id":79,"tracker_id":40,"status_id":1,"priority_id":2,"assigned_to_id":23,"start_date":"2016-12-27","description":"","custom_fields":[{"id":1,"name":"Subdivision","value":"EC"},{"id":4,"name":"Milepost","value":"23.3276"},{"id":17,"name":"Train ID","value":"187-27"},{"id":16,"name":"Locomotive ID","value":"4007"},{"id":130,"name":"Impact","value":""},{"id":150,"name":"Time of Event (Mountain Time)","value":"15:14:32"},{"id":151,"name":"Denver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579</v>
      </c>
      <c r="B100" s="7">
        <v>4008</v>
      </c>
      <c r="C100" s="22" t="s">
        <v>205</v>
      </c>
      <c r="D100" s="22" t="s">
        <v>358</v>
      </c>
      <c r="E100" s="13">
        <v>42731.639664351853</v>
      </c>
      <c r="F100" s="13">
        <v>42731.643923611111</v>
      </c>
      <c r="G100" s="7">
        <v>1</v>
      </c>
      <c r="H100" s="22" t="s">
        <v>191</v>
      </c>
      <c r="I100" s="13">
        <v>42731.672685185185</v>
      </c>
      <c r="J100" s="7">
        <v>1</v>
      </c>
      <c r="K100" s="109" t="str">
        <f>IF(ISEVEN(B100),(B100-1)&amp;"/"&amp;B100,B100&amp;"/"&amp;(B100+1))</f>
        <v>4007/4008</v>
      </c>
      <c r="L100" s="22" t="str">
        <f>VLOOKUP(A100,'Trips&amp;Operators'!$C$1:$G$99999,5,FALSE)</f>
        <v>DAVIS MICHAEL</v>
      </c>
      <c r="M100" s="6">
        <f>I100-F100</f>
        <v>2.8761574074451346E-2</v>
      </c>
      <c r="N100" s="7">
        <f>24*60*SUM($M100:$M100)</f>
        <v>41.416666667209938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https://search-rtdc-monitor-bjffxe2xuh6vdkpspy63sjmuny.us-east-1.es.amazonaws.com/_plugin/kibana/#/discover/Steve-Slow-Train-Analysis-(2080s-and-2083s)?_g=(refreshInterval:(display:Off,section:0,value:0),time:(from:'2016-12-27 14:21:07-700',mode:absolute,to:'2016-12-27 17:08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0" s="52" t="str">
        <f>IF(AA100&lt;IF(AG100="EC",23,5.65),"Y","N")</f>
        <v>N</v>
      </c>
      <c r="X100" s="177">
        <f>VALUE(LEFT(AD100,4))-VALUE(LEFT(AD99,4))</f>
        <v>1</v>
      </c>
      <c r="Y100" s="67">
        <f>RIGHT(D100,LEN(D100)-4)/10000</f>
        <v>23.2988</v>
      </c>
      <c r="Z100" s="67">
        <f>RIGHT(H100,LEN(H100)-4)/10000</f>
        <v>1.49E-2</v>
      </c>
      <c r="AA100" s="67">
        <f>ABS(Z100-Y100)</f>
        <v>23.283899999999999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>IF(LEN(A100)=6,"0"&amp;A100,A100)</f>
        <v>0188-27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/stypes="app*4008*20161227*" /stext=" 23:.+((SYSTEM_STATE.+slice.+state.+changed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6"/>
        <v>"%USERPROFILE%\Documents\GitHub\eaglep3\Utilities\RefineRTDCRunTimes.py" --tripid 188-27 --locoid 4008 --swversion DE.1.0.8.0 --startMP 204:232988 --initTime 2016-12-27T15:21:07 --startdatetime 2016-12-27T15:27:15 --delay 1 --endMP 204:149 --enddatetime 2016-12-27T16:08:40 --enforcementcount 1 &gt;&gt;C:\Users\stu\Documents\GitHub\eaglep3-reporting\EC\2016-12-27-refined-times.txt</v>
      </c>
      <c r="AI100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{"issue":{"subject":"","project_id":79,"tracker_id":40,"status_id":1,"priority_id":2,"assigned_to_id":23,"start_date":"2016-12-27","description":"","custom_fields":[{"id":1,"name":"Subdivision","value":"EC"},{"id":4,"name":"Milepost","value":"0.0149"},{"id":17,"name":"Train ID","value":"188-27"},{"id":16,"name":"Locomotive ID","value":"4008"},{"id":130,"name":"Impact","value":""},{"id":150,"name":"Time of Event (Mountain Time)","value":"16:08:40"},{"id":151,"name":"Denver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575</v>
      </c>
      <c r="B101" s="7">
        <v>4042</v>
      </c>
      <c r="C101" s="22" t="s">
        <v>205</v>
      </c>
      <c r="D101" s="22" t="s">
        <v>704</v>
      </c>
      <c r="E101" s="13">
        <v>42731.612928240742</v>
      </c>
      <c r="F101" s="13">
        <v>42731.614803240744</v>
      </c>
      <c r="G101" s="7">
        <v>1</v>
      </c>
      <c r="H101" s="22" t="s">
        <v>705</v>
      </c>
      <c r="I101" s="13">
        <v>42731.643287037034</v>
      </c>
      <c r="J101" s="7">
        <v>1</v>
      </c>
      <c r="K101" s="109" t="str">
        <f>IF(ISEVEN(B101),(B101-1)&amp;"/"&amp;B101,B101&amp;"/"&amp;(B101+1))</f>
        <v>4041/4042</v>
      </c>
      <c r="L101" s="22" t="str">
        <f>VLOOKUP(A101,'Trips&amp;Operators'!$C$1:$G$99999,5,FALSE)</f>
        <v>STEWART MICHAEL</v>
      </c>
      <c r="M101" s="6">
        <f>I101-F101</f>
        <v>2.848379628994735E-2</v>
      </c>
      <c r="N101" s="7">
        <f>24*60*SUM($M101:$M101)</f>
        <v>41.016666657524183</v>
      </c>
      <c r="O101" s="7"/>
      <c r="P101" s="7"/>
      <c r="Q101" s="23"/>
      <c r="R101" s="23"/>
      <c r="S101" s="35">
        <f>SUM(U101:U101)/IF(AG101="EC",12,1)</f>
        <v>1</v>
      </c>
      <c r="T101" s="50" t="str">
        <f>IF(ISEVEN(LEFT(AD101,4)),"Southbound","NorthBound")</f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https://search-rtdc-monitor-bjffxe2xuh6vdkpspy63sjmuny.us-east-1.es.amazonaws.com/_plugin/kibana/#/discover/Steve-Slow-Train-Analysis-(2080s-and-2083s)?_g=(refreshInterval:(display:Off,section:0,value:0),time:(from:'2016-12-27 13:42:37-700',mode:absolute,to:'2016-12-27 16:26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>IF(AA101&lt;IF(AG101="EC",23,5.65),"Y","N")</f>
        <v>N</v>
      </c>
      <c r="X101" s="177">
        <f>VALUE(LEFT(AD101,4))-VALUE(LEFT(AD100,4))</f>
        <v>1</v>
      </c>
      <c r="Y101" s="67">
        <f>RIGHT(D101,LEN(D101)-4)/10000</f>
        <v>4.7100000000000003E-2</v>
      </c>
      <c r="Z101" s="67">
        <f>RIGHT(H101,LEN(H101)-4)/10000</f>
        <v>23.326599999999999</v>
      </c>
      <c r="AA101" s="67">
        <f>ABS(Z101-Y101)</f>
        <v>23.279499999999999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>IF(LEN(A101)=6,"0"&amp;A101,A101)</f>
        <v>0189-27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/stypes="app*4042*20161227*" /stext=" 22:.+((SYSTEM_STATE.+slice.+state.+changed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6"/>
        <v>"%USERPROFILE%\Documents\GitHub\eaglep3\Utilities\RefineRTDCRunTimes.py" --tripid 189-27 --locoid 4042 --swversion DE.1.0.8.0 --startMP 204:471 --initTime 2016-12-27T14:42:37 --startdatetime 2016-12-27T14:45:19 --delay 1 --endMP 204:233266 --enddatetime 2016-12-27T15:26:20 --enforcementcount 1 &gt;&gt;C:\Users\stu\Documents\GitHub\eaglep3-reporting\EC\2016-12-27-refined-times.txt</v>
      </c>
      <c r="AI101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{"issue":{"subject":"","project_id":79,"tracker_id":40,"status_id":1,"priority_id":2,"assigned_to_id":23,"start_date":"2016-12-27","description":"","custom_fields":[{"id":1,"name":"Subdivision","value":"EC"},{"id":4,"name":"Milepost","value":"23.3266"},{"id":17,"name":"Train ID","value":"189-27"},{"id":16,"name":"Locomotive ID","value":"4042"},{"id":130,"name":"Impact","value":""},{"id":150,"name":"Time of Event (Mountain Time)","value":"15:26:20"},{"id":151,"name":"Denver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448</v>
      </c>
      <c r="B102" s="7">
        <v>4041</v>
      </c>
      <c r="C102" s="22" t="s">
        <v>205</v>
      </c>
      <c r="D102" s="22" t="s">
        <v>402</v>
      </c>
      <c r="E102" s="13">
        <v>42731.652129629627</v>
      </c>
      <c r="F102" s="13">
        <v>42731.653680555559</v>
      </c>
      <c r="G102" s="7">
        <v>1</v>
      </c>
      <c r="H102" s="22" t="s">
        <v>706</v>
      </c>
      <c r="I102" s="13">
        <v>42731.683888888889</v>
      </c>
      <c r="J102" s="7">
        <v>1</v>
      </c>
      <c r="K102" s="109" t="str">
        <f>IF(ISEVEN(B102),(B102-1)&amp;"/"&amp;B102,B102&amp;"/"&amp;(B102+1))</f>
        <v>4041/4042</v>
      </c>
      <c r="L102" s="22" t="str">
        <f>VLOOKUP(A102,'Trips&amp;Operators'!$C$1:$G$99999,5,FALSE)</f>
        <v>STEWART MICHAEL</v>
      </c>
      <c r="M102" s="6">
        <f>I102-F102</f>
        <v>3.0208333329937886E-2</v>
      </c>
      <c r="N102" s="7">
        <f>24*60*SUM($M102:$M102)</f>
        <v>43.499999995110556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https://search-rtdc-monitor-bjffxe2xuh6vdkpspy63sjmuny.us-east-1.es.amazonaws.com/_plugin/kibana/#/discover/Steve-Slow-Train-Analysis-(2080s-and-2083s)?_g=(refreshInterval:(display:Off,section:0,value:0),time:(from:'2016-12-27 14:39:04-700',mode:absolute,to:'2016-12-27 17:24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2" t="str">
        <f>IF(AA102&lt;IF(AG102="EC",23,5.65),"Y","N")</f>
        <v>N</v>
      </c>
      <c r="X102" s="177">
        <f>VALUE(LEFT(AD102,4))-VALUE(LEFT(AD101,4))</f>
        <v>1</v>
      </c>
      <c r="Y102" s="67">
        <f>RIGHT(D102,LEN(D102)-4)/10000</f>
        <v>23.297899999999998</v>
      </c>
      <c r="Z102" s="67">
        <f>RIGHT(H102,LEN(H102)-4)/10000</f>
        <v>2.01E-2</v>
      </c>
      <c r="AA102" s="67">
        <f>ABS(Z102-Y102)</f>
        <v>23.277799999999999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>IF(LEN(A102)=6,"0"&amp;A102,A102)</f>
        <v>0190-27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/stypes="app*4041*20161227*" /stext=" 23:.+((SYSTEM_STATE.+slice.+state.+changed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6"/>
        <v>"%USERPROFILE%\Documents\GitHub\eaglep3\Utilities\RefineRTDCRunTimes.py" --tripid 190-27 --locoid 4041 --swversion DE.1.0.8.0 --startMP 204:232979 --initTime 2016-12-27T15:39:04 --startdatetime 2016-12-27T15:41:18 --delay 1 --endMP 204:201 --enddatetime 2016-12-27T16:24:48 --enforcementcount 1 &gt;&gt;C:\Users\stu\Documents\GitHub\eaglep3-reporting\EC\2016-12-27-refined-times.txt</v>
      </c>
      <c r="AI102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{"issue":{"subject":"","project_id":79,"tracker_id":40,"status_id":1,"priority_id":2,"assigned_to_id":23,"start_date":"2016-12-27","description":"","custom_fields":[{"id":1,"name":"Subdivision","value":"EC"},{"id":4,"name":"Milepost","value":"0.0201"},{"id":17,"name":"Train ID","value":"190-27"},{"id":16,"name":"Locomotive ID","value":"4041"},{"id":130,"name":"Impact","value":""},{"id":150,"name":"Time of Event (Mountain Time)","value":"16:24:48"},{"id":151,"name":"Denver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576</v>
      </c>
      <c r="B103" s="7">
        <v>4002</v>
      </c>
      <c r="C103" s="22" t="s">
        <v>205</v>
      </c>
      <c r="D103" s="22" t="s">
        <v>704</v>
      </c>
      <c r="E103" s="13">
        <v>42731.623749999999</v>
      </c>
      <c r="F103" s="13">
        <v>42731.625636574077</v>
      </c>
      <c r="G103" s="7">
        <v>1</v>
      </c>
      <c r="H103" s="22" t="s">
        <v>345</v>
      </c>
      <c r="I103" s="13">
        <v>42731.651828703703</v>
      </c>
      <c r="J103" s="7">
        <v>1</v>
      </c>
      <c r="K103" s="109" t="str">
        <f>IF(ISEVEN(B103),(B103-1)&amp;"/"&amp;B103,B103&amp;"/"&amp;(B103+1))</f>
        <v>4001/4002</v>
      </c>
      <c r="L103" s="22" t="str">
        <f>VLOOKUP(A103,'Trips&amp;Operators'!$C$1:$G$99999,5,FALSE)</f>
        <v>SIMMONS SHYHESHA</v>
      </c>
      <c r="M103" s="6">
        <f>I103-F103</f>
        <v>2.619212962599704E-2</v>
      </c>
      <c r="N103" s="7">
        <f>24*60*SUM($M103:$M103)</f>
        <v>37.716666661435738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https://search-rtdc-monitor-bjffxe2xuh6vdkpspy63sjmuny.us-east-1.es.amazonaws.com/_plugin/kibana/#/discover/Steve-Slow-Train-Analysis-(2080s-and-2083s)?_g=(refreshInterval:(display:Off,section:0,value:0),time:(from:'2016-12-27 13:58:12-700',mode:absolute,to:'2016-12-27 16:38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3" s="52" t="str">
        <f>IF(AA103&lt;IF(AG103="EC",23,5.65),"Y","N")</f>
        <v>N</v>
      </c>
      <c r="X103" s="177">
        <f>VALUE(LEFT(AD103,4))-VALUE(LEFT(AD102,4))</f>
        <v>1</v>
      </c>
      <c r="Y103" s="67">
        <f>RIGHT(D103,LEN(D103)-4)/10000</f>
        <v>4.7100000000000003E-2</v>
      </c>
      <c r="Z103" s="67">
        <f>RIGHT(H103,LEN(H103)-4)/10000</f>
        <v>23.3291</v>
      </c>
      <c r="AA103" s="67">
        <f>ABS(Z103-Y103)</f>
        <v>23.282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>IF(LEN(A103)=6,"0"&amp;A103,A103)</f>
        <v>0191-27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/stypes="app*4002*20161227*"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6"/>
        <v>"%USERPROFILE%\Documents\GitHub\eaglep3\Utilities\RefineRTDCRunTimes.py" --tripid 191-27 --locoid 4002 --swversion DE.1.0.8.0 --startMP 204:471 --initTime 2016-12-27T14:58:12 --startdatetime 2016-12-27T15:00:55 --delay 1 --endMP 204:233291 --enddatetime 2016-12-27T15:38:38 --enforcementcount 1 &gt;&gt;C:\Users\stu\Documents\GitHub\eaglep3-reporting\EC\2016-12-27-refined-times.txt</v>
      </c>
      <c r="AI103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{"issue":{"subject":"","project_id":79,"tracker_id":40,"status_id":1,"priority_id":2,"assigned_to_id":23,"start_date":"2016-12-27","description":"","custom_fields":[{"id":1,"name":"Subdivision","value":"EC"},{"id":4,"name":"Milepost","value":"23.3291"},{"id":17,"name":"Train ID","value":"191-27"},{"id":16,"name":"Locomotive ID","value":"4002"},{"id":130,"name":"Impact","value":""},{"id":150,"name":"Time of Event (Mountain Time)","value":"15:38:38"},{"id":151,"name":"Denver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449</v>
      </c>
      <c r="B104" s="7">
        <v>4001</v>
      </c>
      <c r="C104" s="22" t="s">
        <v>205</v>
      </c>
      <c r="D104" s="22" t="s">
        <v>687</v>
      </c>
      <c r="E104" s="13">
        <v>42731.658148148148</v>
      </c>
      <c r="F104" s="13">
        <v>42731.664189814815</v>
      </c>
      <c r="G104" s="7">
        <v>1</v>
      </c>
      <c r="H104" s="22" t="s">
        <v>243</v>
      </c>
      <c r="I104" s="13">
        <v>42731.692986111113</v>
      </c>
      <c r="J104" s="7">
        <v>1</v>
      </c>
      <c r="K104" s="109" t="str">
        <f>IF(ISEVEN(B104),(B104-1)&amp;"/"&amp;B104,B104&amp;"/"&amp;(B104+1))</f>
        <v>4001/4002</v>
      </c>
      <c r="L104" s="22" t="str">
        <f>VLOOKUP(A104,'Trips&amp;Operators'!$C$1:$G$99999,5,FALSE)</f>
        <v>SIMMONS SHYHESHA</v>
      </c>
      <c r="M104" s="6">
        <f>I104-F104</f>
        <v>2.8796296297514345E-2</v>
      </c>
      <c r="N104" s="7">
        <f>24*60*SUM($M104:$M104)</f>
        <v>41.466666668420658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https://search-rtdc-monitor-bjffxe2xuh6vdkpspy63sjmuny.us-east-1.es.amazonaws.com/_plugin/kibana/#/discover/Steve-Slow-Train-Analysis-(2080s-and-2083s)?_g=(refreshInterval:(display:Off,section:0,value:0),time:(from:'2016-12-27 14:47:44-700',mode:absolute,to:'2016-12-27 17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4" s="52" t="str">
        <f>IF(AA104&lt;IF(AG104="EC",23,5.65),"Y","N")</f>
        <v>N</v>
      </c>
      <c r="X104" s="177">
        <f>VALUE(LEFT(AD104,4))-VALUE(LEFT(AD103,4))</f>
        <v>1</v>
      </c>
      <c r="Y104" s="67">
        <f>RIGHT(D104,LEN(D104)-4)/10000</f>
        <v>23.2959</v>
      </c>
      <c r="Z104" s="67">
        <f>RIGHT(H104,LEN(H104)-4)/10000</f>
        <v>1.6299999999999999E-2</v>
      </c>
      <c r="AA104" s="67">
        <f>ABS(Z104-Y104)</f>
        <v>23.279599999999999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>IF(LEN(A104)=6,"0"&amp;A104,A104)</f>
        <v>0192-27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/stypes="app*4001*20161227*"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6"/>
        <v>"%USERPROFILE%\Documents\GitHub\eaglep3\Utilities\RefineRTDCRunTimes.py" --tripid 192-27 --locoid 4001 --swversion DE.1.0.8.0 --startMP 204:232959 --initTime 2016-12-27T15:47:44 --startdatetime 2016-12-27T15:56:26 --delay 1 --endMP 204:163 --enddatetime 2016-12-27T16:37:54 --enforcementcount 1 &gt;&gt;C:\Users\stu\Documents\GitHub\eaglep3-reporting\EC\2016-12-27-refined-times.txt</v>
      </c>
      <c r="AI104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{"issue":{"subject":"","project_id":79,"tracker_id":40,"status_id":1,"priority_id":2,"assigned_to_id":23,"start_date":"2016-12-27","description":"","custom_fields":[{"id":1,"name":"Subdivision","value":"EC"},{"id":4,"name":"Milepost","value":"0.0163"},{"id":17,"name":"Train ID","value":"192-27"},{"id":16,"name":"Locomotive ID","value":"4001"},{"id":130,"name":"Impact","value":""},{"id":150,"name":"Time of Event (Mountain Time)","value":"16:37:54"},{"id":151,"name":"Denver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577</v>
      </c>
      <c r="B105" s="7">
        <v>4027</v>
      </c>
      <c r="C105" s="22" t="s">
        <v>205</v>
      </c>
      <c r="D105" s="22" t="s">
        <v>401</v>
      </c>
      <c r="E105" s="13">
        <v>42731.634872685187</v>
      </c>
      <c r="F105" s="13">
        <v>42731.637141203704</v>
      </c>
      <c r="G105" s="7">
        <v>1</v>
      </c>
      <c r="H105" s="22" t="s">
        <v>400</v>
      </c>
      <c r="I105" s="13">
        <v>42731.663541666669</v>
      </c>
      <c r="J105" s="7">
        <v>1</v>
      </c>
      <c r="K105" s="109" t="str">
        <f>IF(ISEVEN(B105),(B105-1)&amp;"/"&amp;B105,B105&amp;"/"&amp;(B105+1))</f>
        <v>4027/4028</v>
      </c>
      <c r="L105" s="22" t="str">
        <f>VLOOKUP(A105,'Trips&amp;Operators'!$C$1:$G$99999,5,FALSE)</f>
        <v>CLARK KATHLEEN</v>
      </c>
      <c r="M105" s="6">
        <f>I105-F105</f>
        <v>2.6400462964375038E-2</v>
      </c>
      <c r="N105" s="7">
        <f>24*60*SUM($M105:$M105)</f>
        <v>38.016666668700054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https://search-rtdc-monitor-bjffxe2xuh6vdkpspy63sjmuny.us-east-1.es.amazonaws.com/_plugin/kibana/#/discover/Steve-Slow-Train-Analysis-(2080s-and-2083s)?_g=(refreshInterval:(display:Off,section:0,value:0),time:(from:'2016-12-27 14:14:13-700',mode:absolute,to:'2016-12-27 16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5" s="52" t="str">
        <f>IF(AA105&lt;IF(AG105="EC",23,5.65),"Y","N")</f>
        <v>N</v>
      </c>
      <c r="X105" s="177">
        <f>VALUE(LEFT(AD105,4))-VALUE(LEFT(AD104,4))</f>
        <v>1</v>
      </c>
      <c r="Y105" s="67">
        <f>RIGHT(D105,LEN(D105)-4)/10000</f>
        <v>4.9799999999999997E-2</v>
      </c>
      <c r="Z105" s="67">
        <f>RIGHT(H105,LEN(H105)-4)/10000</f>
        <v>23.327000000000002</v>
      </c>
      <c r="AA105" s="67">
        <f>ABS(Z105-Y105)</f>
        <v>23.277200000000001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>IF(LEN(A105)=6,"0"&amp;A105,A105)</f>
        <v>0193-27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/stypes="app*4027*20161227*" /stext=" 22:.+((SYSTEM_STATE.+slice.+state.+changed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6"/>
        <v>"%USERPROFILE%\Documents\GitHub\eaglep3\Utilities\RefineRTDCRunTimes.py" --tripid 193-27 --locoid 4027 --swversion DE.1.0.8.0 --startMP 204:498 --initTime 2016-12-27T15:14:13 --startdatetime 2016-12-27T15:17:29 --delay 1 --endMP 204:233270 --enddatetime 2016-12-27T15:55:30 --enforcementcount 1 &gt;&gt;C:\Users\stu\Documents\GitHub\eaglep3-reporting\EC\2016-12-27-refined-times.txt</v>
      </c>
      <c r="AI105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{"issue":{"subject":"","project_id":79,"tracker_id":40,"status_id":1,"priority_id":2,"assigned_to_id":23,"start_date":"2016-12-27","description":"","custom_fields":[{"id":1,"name":"Subdivision","value":"EC"},{"id":4,"name":"Milepost","value":"23.327"},{"id":17,"name":"Train ID","value":"193-27"},{"id":16,"name":"Locomotive ID","value":"4027"},{"id":130,"name":"Impact","value":""},{"id":150,"name":"Time of Event (Mountain Time)","value":"15:55:30"},{"id":151,"name":"Denver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450</v>
      </c>
      <c r="B106" s="7">
        <v>4028</v>
      </c>
      <c r="C106" s="22" t="s">
        <v>205</v>
      </c>
      <c r="D106" s="22" t="s">
        <v>707</v>
      </c>
      <c r="E106" s="13">
        <v>42731.669560185182</v>
      </c>
      <c r="F106" s="13">
        <v>42731.674490740741</v>
      </c>
      <c r="G106" s="7">
        <v>0</v>
      </c>
      <c r="H106" s="22" t="s">
        <v>243</v>
      </c>
      <c r="I106" s="13">
        <v>42731.706909722219</v>
      </c>
      <c r="J106" s="7">
        <v>1</v>
      </c>
      <c r="K106" s="109" t="str">
        <f>IF(ISEVEN(B106),(B106-1)&amp;"/"&amp;B106,B106&amp;"/"&amp;(B106+1))</f>
        <v>4027/4028</v>
      </c>
      <c r="L106" s="22" t="str">
        <f>VLOOKUP(A106,'Trips&amp;Operators'!$C$1:$G$99999,5,FALSE)</f>
        <v>CLARK KATHLEEN</v>
      </c>
      <c r="M106" s="6">
        <f>I106-F106</f>
        <v>3.2418981478258502E-2</v>
      </c>
      <c r="N106" s="7">
        <f>24*60*SUM($M106:$M106)</f>
        <v>46.683333328692243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https://search-rtdc-monitor-bjffxe2xuh6vdkpspy63sjmuny.us-east-1.es.amazonaws.com/_plugin/kibana/#/discover/Steve-Slow-Train-Analysis-(2080s-and-2083s)?_g=(refreshInterval:(display:Off,section:0,value:0),time:(from:'2016-12-27 15:04:10-700',mode:absolute,to:'2016-12-27 17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6" s="52" t="str">
        <f>IF(AA106&lt;IF(AG106="EC",23,5.65),"Y","N")</f>
        <v>N</v>
      </c>
      <c r="X106" s="177">
        <f>VALUE(LEFT(AD106,4))-VALUE(LEFT(AD105,4))</f>
        <v>1</v>
      </c>
      <c r="Y106" s="67">
        <f>RIGHT(D106,LEN(D106)-4)/10000</f>
        <v>23.295100000000001</v>
      </c>
      <c r="Z106" s="67">
        <f>RIGHT(H106,LEN(H106)-4)/10000</f>
        <v>1.6299999999999999E-2</v>
      </c>
      <c r="AA106" s="67">
        <f>ABS(Z106-Y106)</f>
        <v>23.2788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>IF(LEN(A106)=6,"0"&amp;A106,A106)</f>
        <v>0194-27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/stypes="app*4028*20161227*"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6"/>
        <v>"%USERPROFILE%\Documents\GitHub\eaglep3\Utilities\RefineRTDCRunTimes.py" --tripid 194-27 --locoid 4028 --swversion DE.1.0.8.0 --startMP 204:232951 --initTime 2016-12-27T16:04:10 --startdatetime 2016-12-27T16:11:16 --delay 0 --endMP 204:163 --enddatetime 2016-12-27T16:57:57 --enforcementcount 1 &gt;&gt;C:\Users\stu\Documents\GitHub\eaglep3-reporting\EC\2016-12-27-refined-times.txt</v>
      </c>
      <c r="AI106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{"issue":{"subject":"","project_id":79,"tracker_id":40,"status_id":1,"priority_id":2,"assigned_to_id":23,"start_date":"2016-12-27","description":"","custom_fields":[{"id":1,"name":"Subdivision","value":"EC"},{"id":4,"name":"Milepost","value":"0.0163"},{"id":17,"name":"Train ID","value":"194-27"},{"id":16,"name":"Locomotive ID","value":"4028"},{"id":130,"name":"Impact","value":""},{"id":150,"name":"Time of Event (Mountain Time)","value":"16:57:57"},{"id":151,"name":"Denver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581</v>
      </c>
      <c r="B107" s="7">
        <v>4011</v>
      </c>
      <c r="C107" s="22" t="s">
        <v>205</v>
      </c>
      <c r="D107" s="22" t="s">
        <v>708</v>
      </c>
      <c r="E107" s="13">
        <v>42731.646261574075</v>
      </c>
      <c r="F107" s="13">
        <v>42731.647476851853</v>
      </c>
      <c r="G107" s="7">
        <v>1</v>
      </c>
      <c r="H107" s="22" t="s">
        <v>345</v>
      </c>
      <c r="I107" s="13">
        <v>42731.672118055554</v>
      </c>
      <c r="J107" s="7">
        <v>1</v>
      </c>
      <c r="K107" s="109" t="str">
        <f>IF(ISEVEN(B107),(B107-1)&amp;"/"&amp;B107,B107&amp;"/"&amp;(B107+1))</f>
        <v>4011/4012</v>
      </c>
      <c r="L107" s="22" t="str">
        <f>VLOOKUP(A107,'Trips&amp;Operators'!$C$1:$G$99999,5,FALSE)</f>
        <v>CRAYTON QUNTRELL</v>
      </c>
      <c r="M107" s="6">
        <f>I107-F107</f>
        <v>2.4641203701321501E-2</v>
      </c>
      <c r="N107" s="7">
        <f>24*60*SUM($M107:$M107)</f>
        <v>35.483333329902962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https://search-rtdc-monitor-bjffxe2xuh6vdkpspy63sjmuny.us-east-1.es.amazonaws.com/_plugin/kibana/#/discover/Steve-Slow-Train-Analysis-(2080s-and-2083s)?_g=(refreshInterval:(display:Off,section:0,value:0),time:(from:'2016-12-27 14:30:37-700',mode:absolute,to:'2016-12-27 17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7" s="52" t="str">
        <f>IF(AA107&lt;IF(AG107="EC",23,5.65),"Y","N")</f>
        <v>N</v>
      </c>
      <c r="X107" s="177">
        <f>VALUE(LEFT(AD107,4))-VALUE(LEFT(AD106,4))</f>
        <v>1</v>
      </c>
      <c r="Y107" s="67">
        <f>RIGHT(D107,LEN(D107)-4)/10000</f>
        <v>5.11E-2</v>
      </c>
      <c r="Z107" s="67">
        <f>RIGHT(H107,LEN(H107)-4)/10000</f>
        <v>23.3291</v>
      </c>
      <c r="AA107" s="67">
        <f>ABS(Z107-Y107)</f>
        <v>23.277999999999999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>IF(LEN(A107)=6,"0"&amp;A107,A107)</f>
        <v>0195-27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s3://rtdc.mdm.uploadarchive.raw/RTDC4011/ "%USERPROFILE%\AppData\Local\Temp\OnboardLogs"\RTDC4011\2016-12-27 --exclude "*" --recursive --include "*20161227*" &amp; "%USERPROFILE%\Documents\GitHub\mrs-test-scripts\Headless Mode &amp; Sideloading\WalkAndUnGZ.bat" "%USERPROFILE%\AppData\Local\Temp\OnboardLogs"\RTDC4011\2016-12-27 &amp; 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/stypes="app*4011*20161227*"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6"/>
        <v>"%USERPROFILE%\Documents\GitHub\eaglep3\Utilities\RefineRTDCRunTimes.py" --tripid 195-27 --locoid 4011 --swversion DE.1.0.8.0 --startMP 204:511 --initTime 2016-12-27T15:30:37 --startdatetime 2016-12-27T15:32:22 --delay 1 --endMP 204:233291 --enddatetime 2016-12-27T16:07:51 --enforcementcount 1 &gt;&gt;C:\Users\stu\Documents\GitHub\eaglep3-reporting\EC\2016-12-27-refined-times.txt</v>
      </c>
      <c r="AI107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{"issue":{"subject":"","project_id":79,"tracker_id":40,"status_id":1,"priority_id":2,"assigned_to_id":23,"start_date":"2016-12-27","description":"","custom_fields":[{"id":1,"name":"Subdivision","value":"EC"},{"id":4,"name":"Milepost","value":"23.3291"},{"id":17,"name":"Train ID","value":"195-27"},{"id":16,"name":"Locomotive ID","value":"4011"},{"id":130,"name":"Impact","value":""},{"id":150,"name":"Time of Event (Mountain Time)","value":"16:07:51"},{"id":151,"name":"Denver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586</v>
      </c>
      <c r="B108" s="7">
        <v>4012</v>
      </c>
      <c r="C108" s="22" t="s">
        <v>205</v>
      </c>
      <c r="D108" s="22" t="s">
        <v>343</v>
      </c>
      <c r="E108" s="13">
        <v>42731.678414351853</v>
      </c>
      <c r="F108" s="13">
        <v>42731.68546296296</v>
      </c>
      <c r="G108" s="7">
        <v>1</v>
      </c>
      <c r="H108" s="22" t="s">
        <v>709</v>
      </c>
      <c r="I108" s="13">
        <v>42731.716157407405</v>
      </c>
      <c r="J108" s="7">
        <v>1</v>
      </c>
      <c r="K108" s="109" t="str">
        <f>IF(ISEVEN(B108),(B108-1)&amp;"/"&amp;B108,B108&amp;"/"&amp;(B108+1))</f>
        <v>4011/4012</v>
      </c>
      <c r="L108" s="22" t="str">
        <f>VLOOKUP(A108,'Trips&amp;Operators'!$C$1:$G$99999,5,FALSE)</f>
        <v>CRAYTON QUNTRELL</v>
      </c>
      <c r="M108" s="6">
        <f>I108-F108</f>
        <v>3.0694444445543922E-2</v>
      </c>
      <c r="N108" s="7">
        <f>24*60*SUM($M108:$M108)</f>
        <v>44.200000001583248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https://search-rtdc-monitor-bjffxe2xuh6vdkpspy63sjmuny.us-east-1.es.amazonaws.com/_plugin/kibana/#/discover/Steve-Slow-Train-Analysis-(2080s-and-2083s)?_g=(refreshInterval:(display:Off,section:0,value:0),time:(from:'2016-12-27 15:16:55-700',mode:absolute,to:'2016-12-27 18:11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8" s="52" t="str">
        <f>IF(AA108&lt;IF(AG108="EC",23,5.65),"Y","N")</f>
        <v>N</v>
      </c>
      <c r="X108" s="177">
        <f>VALUE(LEFT(AD108,4))-VALUE(LEFT(AD107,4))</f>
        <v>1</v>
      </c>
      <c r="Y108" s="67">
        <f>RIGHT(D108,LEN(D108)-4)/10000</f>
        <v>23.2971</v>
      </c>
      <c r="Z108" s="67">
        <f>RIGHT(H108,LEN(H108)-4)/10000</f>
        <v>0.1177</v>
      </c>
      <c r="AA108" s="67">
        <f>ABS(Z108-Y108)</f>
        <v>23.179400000000001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>IF(LEN(A108)=6,"0"&amp;A108,A108)</f>
        <v>0196-27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 &amp; 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/stypes="app*4012*20161228*" /stext=" 00:.+((SYSTEM_STATE.+slice.+state.+changed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6"/>
        <v>"%USERPROFILE%\Documents\GitHub\eaglep3\Utilities\RefineRTDCRunTimes.py" --tripid 196-27 --locoid 4012 --swversion DE.1.0.8.0 --startMP 204:232971 --initTime 2016-12-27T16:16:55 --startdatetime 2016-12-27T16:27:04 --delay 1 --endMP 204:1177 --enddatetime 2016-12-27T17:11:16 --enforcementcount 1 &gt;&gt;C:\Users\stu\Documents\GitHub\eaglep3-reporting\EC\2016-12-27-refined-times.txt</v>
      </c>
      <c r="AI108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{"issue":{"subject":"","project_id":79,"tracker_id":40,"status_id":1,"priority_id":2,"assigned_to_id":23,"start_date":"2016-12-27","description":"","custom_fields":[{"id":1,"name":"Subdivision","value":"EC"},{"id":4,"name":"Milepost","value":"0.1177"},{"id":17,"name":"Train ID","value":"196-27"},{"id":16,"name":"Locomotive ID","value":"4012"},{"id":130,"name":"Impact","value":""},{"id":150,"name":"Time of Event (Mountain Time)","value":"17:11:16"},{"id":151,"name":"Denver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445</v>
      </c>
      <c r="B109" s="7">
        <v>4022</v>
      </c>
      <c r="C109" s="22" t="s">
        <v>205</v>
      </c>
      <c r="D109" s="22" t="s">
        <v>194</v>
      </c>
      <c r="E109" s="13">
        <v>42731.655902777777</v>
      </c>
      <c r="F109" s="13">
        <v>42731.657430555555</v>
      </c>
      <c r="G109" s="7">
        <v>0</v>
      </c>
      <c r="H109" s="22" t="s">
        <v>308</v>
      </c>
      <c r="I109" s="13">
        <v>42731.685300925928</v>
      </c>
      <c r="J109" s="7">
        <v>1</v>
      </c>
      <c r="K109" s="109" t="str">
        <f>IF(ISEVEN(B109),(B109-1)&amp;"/"&amp;B109,B109&amp;"/"&amp;(B109+1))</f>
        <v>4021/4022</v>
      </c>
      <c r="L109" s="22" t="str">
        <f>VLOOKUP(A109,'Trips&amp;Operators'!$C$1:$G$99999,5,FALSE)</f>
        <v>ADANE ELSHADAY</v>
      </c>
      <c r="M109" s="6">
        <f>I109-F109</f>
        <v>2.7870370373420883E-2</v>
      </c>
      <c r="N109" s="7">
        <f>24*60*SUM($M109:$M109)</f>
        <v>40.133333337726071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https://search-rtdc-monitor-bjffxe2xuh6vdkpspy63sjmuny.us-east-1.es.amazonaws.com/_plugin/kibana/#/discover/Steve-Slow-Train-Analysis-(2080s-and-2083s)?_g=(refreshInterval:(display:Off,section:0,value:0),time:(from:'2016-12-27 14:44:30-700',mode:absolute,to:'2016-12-27 17:26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9" s="52" t="str">
        <f>IF(AA109&lt;IF(AG109="EC",23,5.65),"Y","N")</f>
        <v>N</v>
      </c>
      <c r="X109" s="177">
        <f>VALUE(LEFT(AD109,4))-VALUE(LEFT(AD108,4))</f>
        <v>1</v>
      </c>
      <c r="Y109" s="67">
        <f>RIGHT(D109,LEN(D109)-4)/10000</f>
        <v>4.5100000000000001E-2</v>
      </c>
      <c r="Z109" s="67">
        <f>RIGHT(H109,LEN(H109)-4)/10000</f>
        <v>23.331199999999999</v>
      </c>
      <c r="AA109" s="67">
        <f>ABS(Z109-Y109)</f>
        <v>23.286099999999998</v>
      </c>
      <c r="AB109" s="64" t="str">
        <f>VLOOKUP(A109,Enforcements!$C$7:$K$19,8,0)</f>
        <v>Bulletin (2)</v>
      </c>
      <c r="AC109" s="60" t="str">
        <f>VLOOKUP(A109,Enforcements!$C$7:$E$19,3,0)</f>
        <v>GRADE CROSSING</v>
      </c>
      <c r="AD109" s="61" t="str">
        <f>IF(LEN(A109)=6,"0"&amp;A109,A109)</f>
        <v>0197-27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/stypes="app*4022*20161227*" /stext=" 23:.+((SYSTEM_STATE.+slice.+state.+changed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6"/>
        <v>"%USERPROFILE%\Documents\GitHub\eaglep3\Utilities\RefineRTDCRunTimes.py" --tripid 197-27 --locoid 4022 --swversion DE.1.0.8.0 --startMP 204:451 --initTime 2016-12-27T15:44:30 --startdatetime 2016-12-27T15:46:42 --delay 0 --endMP 204:233312 --enddatetime 2016-12-27T16:26:50 --enforcementcount 1 &gt;&gt;C:\Users\stu\Documents\GitHub\eaglep3-reporting\EC\2016-12-27-refined-times.txt</v>
      </c>
      <c r="AI109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{"issue":{"subject":"","project_id":79,"tracker_id":40,"status_id":1,"priority_id":2,"assigned_to_id":23,"start_date":"2016-12-27","description":"","custom_fields":[{"id":1,"name":"Subdivision","value":"EC"},{"id":4,"name":"Milepost","value":"23.3312"},{"id":17,"name":"Train ID","value":"197-27"},{"id":16,"name":"Locomotive ID","value":"4022"},{"id":130,"name":"Impact","value":""},{"id":150,"name":"Time of Event (Mountain Time)","value":"16:26:50"},{"id":151,"name":"Denver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588</v>
      </c>
      <c r="B110" s="7">
        <v>4021</v>
      </c>
      <c r="C110" s="22" t="s">
        <v>205</v>
      </c>
      <c r="D110" s="22" t="s">
        <v>362</v>
      </c>
      <c r="E110" s="13">
        <v>42731.686481481483</v>
      </c>
      <c r="F110" s="13">
        <v>42731.695625</v>
      </c>
      <c r="G110" s="7">
        <v>1</v>
      </c>
      <c r="H110" s="22" t="s">
        <v>347</v>
      </c>
      <c r="I110" s="13">
        <v>42731.721817129626</v>
      </c>
      <c r="J110" s="7">
        <v>1</v>
      </c>
      <c r="K110" s="109" t="str">
        <f>IF(ISEVEN(B110),(B110-1)&amp;"/"&amp;B110,B110&amp;"/"&amp;(B110+1))</f>
        <v>4021/4022</v>
      </c>
      <c r="L110" s="22" t="str">
        <f>VLOOKUP(A110,'Trips&amp;Operators'!$C$1:$G$99999,5,FALSE)</f>
        <v>ADANE ELSHADAY</v>
      </c>
      <c r="M110" s="6">
        <f>I110-F110</f>
        <v>2.619212962599704E-2</v>
      </c>
      <c r="N110" s="7">
        <f>24*60*SUM($M110:$M110)</f>
        <v>37.716666661435738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https://search-rtdc-monitor-bjffxe2xuh6vdkpspy63sjmuny.us-east-1.es.amazonaws.com/_plugin/kibana/#/discover/Steve-Slow-Train-Analysis-(2080s-and-2083s)?_g=(refreshInterval:(display:Off,section:0,value:0),time:(from:'2016-12-27 15:28:32-700',mode:absolute,to:'2016-12-27 18:19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0" s="52" t="str">
        <f>IF(AA110&lt;IF(AG110="EC",23,5.65),"Y","N")</f>
        <v>N</v>
      </c>
      <c r="X110" s="177">
        <f>VALUE(LEFT(AD110,4))-VALUE(LEFT(AD109,4))</f>
        <v>1</v>
      </c>
      <c r="Y110" s="67">
        <f>RIGHT(D110,LEN(D110)-4)/10000</f>
        <v>23.299600000000002</v>
      </c>
      <c r="Z110" s="67">
        <f>RIGHT(H110,LEN(H110)-4)/10000</f>
        <v>1.5599999999999999E-2</v>
      </c>
      <c r="AA110" s="67">
        <f>ABS(Z110-Y110)</f>
        <v>23.284000000000002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>IF(LEN(A110)=6,"0"&amp;A110,A110)</f>
        <v>0198-27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s3://rtdc.mdm.uploadarchive.raw/RTDC4021/ "%USERPROFILE%\AppData\Local\Temp\OnboardLogs"\RTDC4021\2016-12-27 --exclude "*" --recursive --include "*20161227*" &amp; "%USERPROFILE%\Documents\GitHub\mrs-test-scripts\Headless Mode &amp; Sideloading\WalkAndUnGZ.bat" "%USERPROFILE%\AppData\Local\Temp\OnboardLogs"\RTDC4021\2016-12-27 &amp; aws s3 cp s3://rtdc.mdm.uploadarchive.raw/RTDC4021/ "%USERPROFILE%\AppData\Local\Temp\OnboardLogs"\RTDC4021\2016-12-28 --exclude "*" --recursive --include "*20161228*" &amp; "%USERPROFILE%\Documents\GitHub\mrs-test-scripts\Headless Mode &amp; Sideloading\WalkAndUnGZ.bat" "%USERPROFILE%\AppData\Local\Temp\OnboardLogs"\RTDC4021\2016-12-28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/stypes="app*4021*20161228*" /stext=" 00:.+((SYSTEM_STATE.+slice.+state.+changed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6"/>
        <v>"%USERPROFILE%\Documents\GitHub\eaglep3\Utilities\RefineRTDCRunTimes.py" --tripid 198-27 --locoid 4021 --swversion DE.1.0.8.0 --startMP 204:232996 --initTime 2016-12-27T16:28:32 --startdatetime 2016-12-27T16:41:42 --delay 1 --endMP 204:156 --enddatetime 2016-12-27T17:19:25 --enforcementcount 1 &gt;&gt;C:\Users\stu\Documents\GitHub\eaglep3-reporting\EC\2016-12-27-refined-times.txt</v>
      </c>
      <c r="AI110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{"issue":{"subject":"","project_id":79,"tracker_id":40,"status_id":1,"priority_id":2,"assigned_to_id":23,"start_date":"2016-12-27","description":"","custom_fields":[{"id":1,"name":"Subdivision","value":"EC"},{"id":4,"name":"Milepost","value":"0.0156"},{"id":17,"name":"Train ID","value":"198-27"},{"id":16,"name":"Locomotive ID","value":"4021"},{"id":130,"name":"Impact","value":""},{"id":150,"name":"Time of Event (Mountain Time)","value":"17:19:25"},{"id":151,"name":"Denver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584</v>
      </c>
      <c r="B111" s="7">
        <v>4051</v>
      </c>
      <c r="C111" s="22" t="s">
        <v>205</v>
      </c>
      <c r="D111" s="22" t="s">
        <v>393</v>
      </c>
      <c r="E111" s="13">
        <v>42731.663171296299</v>
      </c>
      <c r="F111" s="13">
        <v>42731.666817129626</v>
      </c>
      <c r="G111" s="7">
        <v>2</v>
      </c>
      <c r="H111" s="22" t="s">
        <v>304</v>
      </c>
      <c r="I111" s="13">
        <v>42731.690879629627</v>
      </c>
      <c r="J111" s="7">
        <v>1</v>
      </c>
      <c r="K111" s="109" t="str">
        <f>IF(ISEVEN(B111),(B111-1)&amp;"/"&amp;B111,B111&amp;"/"&amp;(B111+1))</f>
        <v>4051/4052</v>
      </c>
      <c r="L111" s="22" t="str">
        <f>VLOOKUP(A111,'Trips&amp;Operators'!$C$1:$G$99999,5,FALSE)</f>
        <v>BRANNON JEFFREY</v>
      </c>
      <c r="M111" s="6">
        <f>I111-F111</f>
        <v>2.4062500000582077E-2</v>
      </c>
      <c r="N111" s="7">
        <f>24*60*SUM($M111:$M111)</f>
        <v>34.65000000083819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https://search-rtdc-monitor-bjffxe2xuh6vdkpspy63sjmuny.us-east-1.es.amazonaws.com/_plugin/kibana/#/discover/Steve-Slow-Train-Analysis-(2080s-and-2083s)?_g=(refreshInterval:(display:Off,section:0,value:0),time:(from:'2016-12-27 14:54:58-700',mode:absolute,to:'2016-12-27 17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11" s="52" t="str">
        <f>IF(AA111&lt;IF(AG111="EC",23,5.65),"Y","N")</f>
        <v>N</v>
      </c>
      <c r="X111" s="177">
        <f>VALUE(LEFT(AD111,4))-VALUE(LEFT(AD110,4))</f>
        <v>1</v>
      </c>
      <c r="Y111" s="67">
        <f>RIGHT(D111,LEN(D111)-4)/10000</f>
        <v>4.4600000000000001E-2</v>
      </c>
      <c r="Z111" s="67">
        <f>RIGHT(H111,LEN(H111)-4)/10000</f>
        <v>23.330100000000002</v>
      </c>
      <c r="AA111" s="67">
        <f>ABS(Z111-Y111)</f>
        <v>23.285500000000003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>IF(LEN(A111)=6,"0"&amp;A111,A111)</f>
        <v>0199-27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/stypes="app*4051*20161227*" /stext=" 23:.+((SYSTEM_STATE.+slice.+state.+changed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6"/>
        <v>"%USERPROFILE%\Documents\GitHub\eaglep3\Utilities\RefineRTDCRunTimes.py" --tripid 199-27 --locoid 4051 --swversion DE.1.0.8.0 --startMP 204:446 --initTime 2016-12-27T15:54:58 --startdatetime 2016-12-27T16:00:13 --delay 2 --endMP 204:233301 --enddatetime 2016-12-27T16:34:52 --enforcementcount 1 &gt;&gt;C:\Users\stu\Documents\GitHub\eaglep3-reporting\EC\2016-12-27-refined-times.txt</v>
      </c>
      <c r="AI111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{"issue":{"subject":"","project_id":79,"tracker_id":40,"status_id":1,"priority_id":2,"assigned_to_id":23,"start_date":"2016-12-27","description":"","custom_fields":[{"id":1,"name":"Subdivision","value":"EC"},{"id":4,"name":"Milepost","value":"23.3301"},{"id":17,"name":"Train ID","value":"199-27"},{"id":16,"name":"Locomotive ID","value":"4051"},{"id":130,"name":"Impact","value":""},{"id":150,"name":"Time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591</v>
      </c>
      <c r="B112" s="7">
        <v>4052</v>
      </c>
      <c r="C112" s="22" t="s">
        <v>205</v>
      </c>
      <c r="D112" s="22" t="s">
        <v>710</v>
      </c>
      <c r="E112" s="13">
        <v>42731.696967592594</v>
      </c>
      <c r="F112" s="13">
        <v>42731.705717592595</v>
      </c>
      <c r="G112" s="7">
        <v>0</v>
      </c>
      <c r="H112" s="22" t="s">
        <v>315</v>
      </c>
      <c r="I112" s="13">
        <v>42731.732581018521</v>
      </c>
      <c r="J112" s="7">
        <v>1</v>
      </c>
      <c r="K112" s="109" t="str">
        <f>IF(ISEVEN(B112),(B112-1)&amp;"/"&amp;B112,B112&amp;"/"&amp;(B112+1))</f>
        <v>4051/4052</v>
      </c>
      <c r="L112" s="22" t="str">
        <f>VLOOKUP(A112,'Trips&amp;Operators'!$C$1:$G$99999,5,FALSE)</f>
        <v>BRANNON JEFFREY</v>
      </c>
      <c r="M112" s="6">
        <f>I112-F112</f>
        <v>2.6863425926421769E-2</v>
      </c>
      <c r="N112" s="7">
        <f>24*60*SUM($M112:$M112)</f>
        <v>38.683333334047347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https://search-rtdc-monitor-bjffxe2xuh6vdkpspy63sjmuny.us-east-1.es.amazonaws.com/_plugin/kibana/#/discover/Steve-Slow-Train-Analysis-(2080s-and-2083s)?_g=(refreshInterval:(display:Off,section:0,value:0),time:(from:'2016-12-27 15:43:38-700',mode:absolute,to:'2016-12-27 18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12" s="52" t="str">
        <f>IF(AA112&lt;IF(AG112="EC",23,5.65),"Y","N")</f>
        <v>N</v>
      </c>
      <c r="X112" s="177">
        <f>VALUE(LEFT(AD112,4))-VALUE(LEFT(AD111,4))</f>
        <v>1</v>
      </c>
      <c r="Y112" s="67">
        <f>RIGHT(D112,LEN(D112)-4)/10000</f>
        <v>23.298999999999999</v>
      </c>
      <c r="Z112" s="67">
        <f>RIGHT(H112,LEN(H112)-4)/10000</f>
        <v>1.6500000000000001E-2</v>
      </c>
      <c r="AA112" s="67">
        <f>ABS(Z112-Y112)</f>
        <v>23.282499999999999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>IF(LEN(A112)=6,"0"&amp;A112,A112)</f>
        <v>0200-27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/stypes="app*4052*20161228*" /stext=" 00:.+((SYSTEM_STATE.+slice.+state.+changed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6"/>
        <v>"%USERPROFILE%\Documents\GitHub\eaglep3\Utilities\RefineRTDCRunTimes.py" --tripid 200-27 --locoid 4052 --swversion DE.1.0.8.0 --startMP 204:232990 --initTime 2016-12-27T16:43:38 --startdatetime 2016-12-27T16:56:14 --delay 0 --endMP 204:165 --enddatetime 2016-12-27T17:34:55 --enforcementcount 1 &gt;&gt;C:\Users\stu\Documents\GitHub\eaglep3-reporting\EC\2016-12-27-refined-times.txt</v>
      </c>
      <c r="AI112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{"issue":{"subject":"","project_id":79,"tracker_id":40,"status_id":1,"priority_id":2,"assigned_to_id":23,"start_date":"2016-12-27","description":"","custom_fields":[{"id":1,"name":"Subdivision","value":"EC"},{"id":4,"name":"Milepost","value":"0.0165"},{"id":17,"name":"Train ID","value":"200-27"},{"id":16,"name":"Locomotive ID","value":"4052"},{"id":130,"name":"Impact","value":""},{"id":150,"name":"Time of Event (Mountain Time)","value":"17:34:55"},{"id":151,"name":"Denver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7" t="s">
        <v>446</v>
      </c>
      <c r="B113" s="7">
        <v>4007</v>
      </c>
      <c r="C113" s="22" t="s">
        <v>205</v>
      </c>
      <c r="D113" s="22" t="s">
        <v>194</v>
      </c>
      <c r="E113" s="13">
        <v>42731.674641203703</v>
      </c>
      <c r="F113" s="13">
        <v>42731.677488425928</v>
      </c>
      <c r="G113" s="7">
        <v>1</v>
      </c>
      <c r="H113" s="22" t="s">
        <v>694</v>
      </c>
      <c r="I113" s="13">
        <v>42731.70952546296</v>
      </c>
      <c r="J113" s="7">
        <v>1</v>
      </c>
      <c r="K113" s="109" t="str">
        <f>IF(ISEVEN(B113),(B113-1)&amp;"/"&amp;B113,B113&amp;"/"&amp;(B113+1))</f>
        <v>4007/4008</v>
      </c>
      <c r="L113" s="22" t="str">
        <f>VLOOKUP(A113,'Trips&amp;Operators'!$C$1:$G$99999,5,FALSE)</f>
        <v>DAVIS MICHAEL</v>
      </c>
      <c r="M113" s="6">
        <f>I113-F113</f>
        <v>3.2037037031841464E-2</v>
      </c>
      <c r="N113" s="7">
        <f>24*60*SUM($M113:$M113)</f>
        <v>46.133333325851709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https://search-rtdc-monitor-bjffxe2xuh6vdkpspy63sjmuny.us-east-1.es.amazonaws.com/_plugin/kibana/#/discover/Steve-Slow-Train-Analysis-(2080s-and-2083s)?_g=(refreshInterval:(display:Off,section:0,value:0),time:(from:'2016-12-27 15:11:29-700',mode:absolute,to:'2016-12-27 18:01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3" s="52" t="str">
        <f>IF(AA113&lt;IF(AG113="EC",23,5.65),"Y","N")</f>
        <v>N</v>
      </c>
      <c r="X113" s="177">
        <f>VALUE(LEFT(AD113,4))-VALUE(LEFT(AD112,4))</f>
        <v>1</v>
      </c>
      <c r="Y113" s="67">
        <f>RIGHT(D113,LEN(D113)-4)/10000</f>
        <v>4.5100000000000001E-2</v>
      </c>
      <c r="Z113" s="67">
        <f>RIGHT(H113,LEN(H113)-4)/10000</f>
        <v>23.331399999999999</v>
      </c>
      <c r="AA113" s="67">
        <f>ABS(Z113-Y113)</f>
        <v>23.286299999999997</v>
      </c>
      <c r="AB113" s="64" t="str">
        <f>VLOOKUP(A113,Enforcements!$C$7:$K$19,8,0)</f>
        <v>Speed (6)</v>
      </c>
      <c r="AC113" s="60" t="str">
        <f>VLOOKUP(A113,Enforcements!$C$7:$E$19,3,0)</f>
        <v>PERMANENT SPEED RESTRICTION</v>
      </c>
      <c r="AD113" s="61" t="str">
        <f>IF(LEN(A113)=6,"0"&amp;A113,A113)</f>
        <v>0201-27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/stypes="app*4007*20161228*" /stext=" 00:.+((SYSTEM_STATE.+slice.+state.+changed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6"/>
        <v>"%USERPROFILE%\Documents\GitHub\eaglep3\Utilities\RefineRTDCRunTimes.py" --tripid 201-27 --locoid 4007 --swversion DE.1.0.8.0 --startMP 204:451 --initTime 2016-12-27T16:11:29 --startdatetime 2016-12-27T16:15:35 --delay 1 --endMP 204:233314 --enddatetime 2016-12-27T17:01:43 --enforcementcount 1 &gt;&gt;C:\Users\stu\Documents\GitHub\eaglep3-reporting\EC\2016-12-27-refined-times.txt</v>
      </c>
      <c r="AI113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{"issue":{"subject":"","project_id":79,"tracker_id":40,"status_id":1,"priority_id":2,"assigned_to_id":23,"start_date":"2016-12-27","description":"","custom_fields":[{"id":1,"name":"Subdivision","value":"EC"},{"id":4,"name":"Milepost","value":"23.3314"},{"id":17,"name":"Train ID","value":"201-27"},{"id":16,"name":"Locomotive ID","value":"4007"},{"id":130,"name":"Impact","value":""},{"id":150,"name":"Time of Event (Mountain Time)","value":"17:01:43"},{"id":151,"name":"Denver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s="21" customFormat="1" x14ac:dyDescent="0.25">
      <c r="A114" s="37" t="s">
        <v>594</v>
      </c>
      <c r="B114" s="7">
        <v>4008</v>
      </c>
      <c r="C114" s="22" t="s">
        <v>205</v>
      </c>
      <c r="D114" s="22" t="s">
        <v>711</v>
      </c>
      <c r="E114" s="13">
        <v>42731.713773148149</v>
      </c>
      <c r="F114" s="13">
        <v>42731.716400462959</v>
      </c>
      <c r="G114" s="7">
        <v>1</v>
      </c>
      <c r="H114" s="22" t="s">
        <v>712</v>
      </c>
      <c r="I114" s="13">
        <v>42731.747453703705</v>
      </c>
      <c r="J114" s="7">
        <v>1</v>
      </c>
      <c r="K114" s="109" t="str">
        <f>IF(ISEVEN(B114),(B114-1)&amp;"/"&amp;B114,B114&amp;"/"&amp;(B114+1))</f>
        <v>4007/4008</v>
      </c>
      <c r="L114" s="22" t="str">
        <f>VLOOKUP(A114,'Trips&amp;Operators'!$C$1:$G$99999,5,FALSE)</f>
        <v>DAVIS MICHAEL</v>
      </c>
      <c r="M114" s="6">
        <f>I114-F114</f>
        <v>3.1053240745677613E-2</v>
      </c>
      <c r="N114" s="7">
        <f>24*60*SUM($M114:$M114)</f>
        <v>44.716666673775762</v>
      </c>
      <c r="O114" s="7"/>
      <c r="P114" s="7"/>
      <c r="Q114" s="23"/>
      <c r="R114" s="23"/>
      <c r="S114" s="35">
        <f>SUM(U114:U114)/IF(AG114="EC",12,1)</f>
        <v>1</v>
      </c>
      <c r="T114" s="50" t="str">
        <f>IF(ISEVEN(LEFT(AD114,4)),"Southbound","NorthBound")</f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https://search-rtdc-monitor-bjffxe2xuh6vdkpspy63sjmuny.us-east-1.es.amazonaws.com/_plugin/kibana/#/discover/Steve-Slow-Train-Analysis-(2080s-and-2083s)?_g=(refreshInterval:(display:Off,section:0,value:0),time:(from:'2016-12-27 16:07:50-700',mode:absolute,to:'2016-12-27 18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4" s="52" t="str">
        <f>IF(AA114&lt;IF(AG114="EC",23,5.65),"Y","N")</f>
        <v>N</v>
      </c>
      <c r="X114" s="177">
        <f>VALUE(LEFT(AD114,4))-VALUE(LEFT(AD113,4))</f>
        <v>1</v>
      </c>
      <c r="Y114" s="67">
        <f>RIGHT(D114,LEN(D114)-4)/10000</f>
        <v>23.3004</v>
      </c>
      <c r="Z114" s="67">
        <f>RIGHT(H114,LEN(H114)-4)/10000</f>
        <v>1.29E-2</v>
      </c>
      <c r="AA114" s="67">
        <f>ABS(Z114-Y114)</f>
        <v>23.287500000000001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>IF(LEN(A114)=6,"0"&amp;A114,A114)</f>
        <v>0202-27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/stypes="app*4008*20161228*"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6"/>
        <v>"%USERPROFILE%\Documents\GitHub\eaglep3\Utilities\RefineRTDCRunTimes.py" --tripid 202-27 --locoid 4008 --swversion DE.1.0.8.0 --startMP 204:233004 --initTime 2016-12-27T17:07:50 --startdatetime 2016-12-27T17:11:37 --delay 1 --endMP 204:129 --enddatetime 2016-12-27T17:56:20 --enforcementcount 1 &gt;&gt;C:\Users\stu\Documents\GitHub\eaglep3-reporting\EC\2016-12-27-refined-times.txt</v>
      </c>
      <c r="AI114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{"issue":{"subject":"","project_id":79,"tracker_id":40,"status_id":1,"priority_id":2,"assigned_to_id":23,"start_date":"2016-12-27","description":"","custom_fields":[{"id":1,"name":"Subdivision","value":"EC"},{"id":4,"name":"Milepost","value":"0.0129"},{"id":17,"name":"Train ID","value":"202-27"},{"id":16,"name":"Locomotive ID","value":"4008"},{"id":130,"name":"Impact","value":""},{"id":150,"name":"Time of Event (Mountain Time)","value":"17:56:20"},{"id":151,"name":"Denver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587</v>
      </c>
      <c r="B115" s="7">
        <v>4042</v>
      </c>
      <c r="C115" s="22" t="s">
        <v>205</v>
      </c>
      <c r="D115" s="22" t="s">
        <v>713</v>
      </c>
      <c r="E115" s="13">
        <v>42731.686053240737</v>
      </c>
      <c r="F115" s="13">
        <v>42731.687777777777</v>
      </c>
      <c r="G115" s="7">
        <v>1</v>
      </c>
      <c r="H115" s="22" t="s">
        <v>271</v>
      </c>
      <c r="I115" s="13">
        <v>42731.712696759256</v>
      </c>
      <c r="J115" s="7">
        <v>1</v>
      </c>
      <c r="K115" s="109" t="str">
        <f>IF(ISEVEN(B115),(B115-1)&amp;"/"&amp;B115,B115&amp;"/"&amp;(B115+1))</f>
        <v>4041/4042</v>
      </c>
      <c r="L115" s="22" t="str">
        <f>VLOOKUP(A115,'Trips&amp;Operators'!$C$1:$G$99999,5,FALSE)</f>
        <v>STEWART MICHAEL</v>
      </c>
      <c r="M115" s="6">
        <f>I115-F115</f>
        <v>2.491898147854954E-2</v>
      </c>
      <c r="N115" s="7">
        <f>24*60*SUM($M115:$M115)</f>
        <v>35.883333329111338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https://search-rtdc-monitor-bjffxe2xuh6vdkpspy63sjmuny.us-east-1.es.amazonaws.com/_plugin/kibana/#/discover/Steve-Slow-Train-Analysis-(2080s-and-2083s)?_g=(refreshInterval:(display:Off,section:0,value:0),time:(from:'2016-12-27 15:27:55-700',mode:absolute,to:'2016-12-27 18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>IF(AA115&lt;IF(AG115="EC",23,5.65),"Y","N")</f>
        <v>N</v>
      </c>
      <c r="X115" s="177">
        <f>VALUE(LEFT(AD115,4))-VALUE(LEFT(AD114,4))</f>
        <v>1</v>
      </c>
      <c r="Y115" s="67">
        <f>RIGHT(D115,LEN(D115)-4)/10000</f>
        <v>5.1900000000000002E-2</v>
      </c>
      <c r="Z115" s="67">
        <f>RIGHT(H115,LEN(H115)-4)/10000</f>
        <v>23.328900000000001</v>
      </c>
      <c r="AA115" s="67">
        <f>ABS(Z115-Y115)</f>
        <v>23.277000000000001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>IF(LEN(A115)=6,"0"&amp;A115,A115)</f>
        <v>0203-27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/stypes="app*4042*20161228*"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6"/>
        <v>"%USERPROFILE%\Documents\GitHub\eaglep3\Utilities\RefineRTDCRunTimes.py" --tripid 203-27 --locoid 4042 --swversion DE.1.0.8.0 --startMP 204:519 --initTime 2016-12-27T16:27:55 --startdatetime 2016-12-27T16:30:24 --delay 1 --endMP 204:233289 --enddatetime 2016-12-27T17:06:17 --enforcementcount 1 &gt;&gt;C:\Users\stu\Documents\GitHub\eaglep3-reporting\EC\2016-12-27-refined-times.txt</v>
      </c>
      <c r="AI115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{"issue":{"subject":"","project_id":79,"tracker_id":40,"status_id":1,"priority_id":2,"assigned_to_id":23,"start_date":"2016-12-27","description":"","custom_fields":[{"id":1,"name":"Subdivision","value":"EC"},{"id":4,"name":"Milepost","value":"23.3289"},{"id":17,"name":"Train ID","value":"203-27"},{"id":16,"name":"Locomotive ID","value":"4042"},{"id":130,"name":"Impact","value":""},{"id":150,"name":"Time of Event (Mountain Time)","value":"17:06:17"},{"id":151,"name":"Denver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602</v>
      </c>
      <c r="B116" s="7">
        <v>4041</v>
      </c>
      <c r="C116" s="22" t="s">
        <v>205</v>
      </c>
      <c r="D116" s="22" t="s">
        <v>281</v>
      </c>
      <c r="E116" s="13">
        <v>42731.72351851852</v>
      </c>
      <c r="F116" s="13">
        <v>42731.726597222223</v>
      </c>
      <c r="G116" s="7">
        <v>2</v>
      </c>
      <c r="H116" s="22" t="s">
        <v>263</v>
      </c>
      <c r="I116" s="13">
        <v>42731.756655092591</v>
      </c>
      <c r="J116" s="7">
        <v>1</v>
      </c>
      <c r="K116" s="109" t="str">
        <f>IF(ISEVEN(B116),(B116-1)&amp;"/"&amp;B116,B116&amp;"/"&amp;(B116+1))</f>
        <v>4041/4042</v>
      </c>
      <c r="L116" s="22" t="str">
        <f>VLOOKUP(A116,'Trips&amp;Operators'!$C$1:$G$99999,5,FALSE)</f>
        <v>STEWART MICHAEL</v>
      </c>
      <c r="M116" s="6">
        <f>I116-F116</f>
        <v>3.0057870368182193E-2</v>
      </c>
      <c r="N116" s="7">
        <f>24*60*SUM($M116:$M116)</f>
        <v>43.283333330182359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https://search-rtdc-monitor-bjffxe2xuh6vdkpspy63sjmuny.us-east-1.es.amazonaws.com/_plugin/kibana/#/discover/Steve-Slow-Train-Analysis-(2080s-and-2083s)?_g=(refreshInterval:(display:Off,section:0,value:0),time:(from:'2016-12-27 16:21:52-700',mode:absolute,to:'2016-12-27 19:09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>IF(AA116&lt;IF(AG116="EC",23,5.65),"Y","N")</f>
        <v>N</v>
      </c>
      <c r="X116" s="177">
        <f>VALUE(LEFT(AD116,4))-VALUE(LEFT(AD115,4))</f>
        <v>1</v>
      </c>
      <c r="Y116" s="67">
        <f>RIGHT(D116,LEN(D116)-4)/10000</f>
        <v>23.2973</v>
      </c>
      <c r="Z116" s="67">
        <f>RIGHT(H116,LEN(H116)-4)/10000</f>
        <v>1.6E-2</v>
      </c>
      <c r="AA116" s="67">
        <f>ABS(Z116-Y116)</f>
        <v>23.281300000000002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>IF(LEN(A116)=6,"0"&amp;A116,A116)</f>
        <v>0204-27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/stypes="app*4041*20161228*" /stext=" 01:.+((SYSTEM_STATE.+slice.+state.+changed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6"/>
        <v>"%USERPROFILE%\Documents\GitHub\eaglep3\Utilities\RefineRTDCRunTimes.py" --tripid 204-27 --locoid 4041 --swversion DE.1.0.8.0 --startMP 204:232973 --initTime 2016-12-27T17:21:52 --startdatetime 2016-12-27T17:26:18 --delay 2 --endMP 204:160 --enddatetime 2016-12-27T18:09:35 --enforcementcount 1 &gt;&gt;C:\Users\stu\Documents\GitHub\eaglep3-reporting\EC\2016-12-27-refined-times.txt</v>
      </c>
      <c r="AI116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{"issue":{"subject":"","project_id":79,"tracker_id":40,"status_id":1,"priority_id":2,"assigned_to_id":23,"start_date":"2016-12-27","description":"","custom_fields":[{"id":1,"name":"Subdivision","value":"EC"},{"id":4,"name":"Milepost","value":"0.016"},{"id":17,"name":"Train ID","value":"204-27"},{"id":16,"name":"Locomotive ID","value":"4041"},{"id":130,"name":"Impact","value":""},{"id":150,"name":"Time of Event (Mountain Time)","value":"18:09:35"},{"id":151,"name":"Denver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590</v>
      </c>
      <c r="B117" s="7">
        <v>4002</v>
      </c>
      <c r="C117" s="22" t="s">
        <v>205</v>
      </c>
      <c r="D117" s="22" t="s">
        <v>398</v>
      </c>
      <c r="E117" s="13">
        <v>42731.694282407407</v>
      </c>
      <c r="F117" s="13">
        <v>42731.69809027778</v>
      </c>
      <c r="G117" s="7">
        <v>1</v>
      </c>
      <c r="H117" s="22" t="s">
        <v>369</v>
      </c>
      <c r="I117" s="13">
        <v>42731.724062499998</v>
      </c>
      <c r="J117" s="7">
        <v>1</v>
      </c>
      <c r="K117" s="109" t="str">
        <f>IF(ISEVEN(B117),(B117-1)&amp;"/"&amp;B117,B117&amp;"/"&amp;(B117+1))</f>
        <v>4001/4002</v>
      </c>
      <c r="L117" s="22" t="str">
        <f>VLOOKUP(A117,'Trips&amp;Operators'!$C$1:$G$99999,5,FALSE)</f>
        <v>SIMMONS SHYHESHA</v>
      </c>
      <c r="M117" s="6">
        <f>I117-F117</f>
        <v>2.5972222218115348E-2</v>
      </c>
      <c r="N117" s="7">
        <f>24*60*SUM($M117:$M117)</f>
        <v>37.399999994086102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https://search-rtdc-monitor-bjffxe2xuh6vdkpspy63sjmuny.us-east-1.es.amazonaws.com/_plugin/kibana/#/discover/Steve-Slow-Train-Analysis-(2080s-and-2083s)?_g=(refreshInterval:(display:Off,section:0,value:0),time:(from:'2016-12-27 15:39:46-700',mode:absolute,to:'2016-12-27 18:22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7" s="52" t="str">
        <f>IF(AA117&lt;IF(AG117="EC",23,5.65),"Y","N")</f>
        <v>N</v>
      </c>
      <c r="X117" s="177">
        <f>VALUE(LEFT(AD117,4))-VALUE(LEFT(AD116,4))</f>
        <v>1</v>
      </c>
      <c r="Y117" s="67">
        <f>RIGHT(D117,LEN(D117)-4)/10000</f>
        <v>4.6899999999999997E-2</v>
      </c>
      <c r="Z117" s="67">
        <f>RIGHT(H117,LEN(H117)-4)/10000</f>
        <v>23.3306</v>
      </c>
      <c r="AA117" s="67">
        <f>ABS(Z117-Y117)</f>
        <v>23.2837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>IF(LEN(A117)=6,"0"&amp;A117,A117)</f>
        <v>0205-27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/stypes="app*4002*20161228*" /stext=" 00:.+((SYSTEM_STATE.+slice.+state.+changed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6"/>
        <v>"%USERPROFILE%\Documents\GitHub\eaglep3\Utilities\RefineRTDCRunTimes.py" --tripid 205-27 --locoid 4002 --swversion DE.1.0.8.0 --startMP 204:469 --initTime 2016-12-27T16:39:46 --startdatetime 2016-12-27T16:45:15 --delay 1 --endMP 204:233306 --enddatetime 2016-12-27T17:22:39 --enforcementcount 1 &gt;&gt;C:\Users\stu\Documents\GitHub\eaglep3-reporting\EC\2016-12-27-refined-times.txt</v>
      </c>
      <c r="AI117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{"issue":{"subject":"","project_id":79,"tracker_id":40,"status_id":1,"priority_id":2,"assigned_to_id":23,"start_date":"2016-12-27","description":"","custom_fields":[{"id":1,"name":"Subdivision","value":"EC"},{"id":4,"name":"Milepost","value":"23.3306"},{"id":17,"name":"Train ID","value":"205-27"},{"id":16,"name":"Locomotive ID","value":"4002"},{"id":130,"name":"Impact","value":""},{"id":150,"name":"Time of Event (Mountain Time)","value":"17:22:39"},{"id":151,"name":"Denver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452</v>
      </c>
      <c r="B118" s="7">
        <v>4001</v>
      </c>
      <c r="C118" s="22" t="s">
        <v>205</v>
      </c>
      <c r="D118" s="22" t="s">
        <v>265</v>
      </c>
      <c r="E118" s="13">
        <v>42731.731678240743</v>
      </c>
      <c r="F118" s="13">
        <v>42731.737025462964</v>
      </c>
      <c r="G118" s="7">
        <v>1</v>
      </c>
      <c r="H118" s="22" t="s">
        <v>363</v>
      </c>
      <c r="I118" s="13">
        <v>42731.764594907407</v>
      </c>
      <c r="J118" s="7">
        <v>1</v>
      </c>
      <c r="K118" s="109" t="str">
        <f>IF(ISEVEN(B118),(B118-1)&amp;"/"&amp;B118,B118&amp;"/"&amp;(B118+1))</f>
        <v>4001/4002</v>
      </c>
      <c r="L118" s="22" t="str">
        <f>VLOOKUP(A118,'Trips&amp;Operators'!$C$1:$G$99999,5,FALSE)</f>
        <v>SIMMONS SHYHESHA</v>
      </c>
      <c r="M118" s="6">
        <f>I118-F118</f>
        <v>2.7569444442633539E-2</v>
      </c>
      <c r="N118" s="7">
        <f>24*60*SUM($M118:$M118)</f>
        <v>39.699999997392297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https://search-rtdc-monitor-bjffxe2xuh6vdkpspy63sjmuny.us-east-1.es.amazonaws.com/_plugin/kibana/#/discover/Steve-Slow-Train-Analysis-(2080s-and-2083s)?_g=(refreshInterval:(display:Off,section:0,value:0),time:(from:'2016-12-27 16:33:37-700',mode:absolute,to:'2016-12-27 19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8" s="52" t="str">
        <f>IF(AA118&lt;IF(AG118="EC",23,5.65),"Y","N")</f>
        <v>N</v>
      </c>
      <c r="X118" s="177">
        <f>VALUE(LEFT(AD118,4))-VALUE(LEFT(AD117,4))</f>
        <v>1</v>
      </c>
      <c r="Y118" s="67">
        <f>RIGHT(D118,LEN(D118)-4)/10000</f>
        <v>23.299299999999999</v>
      </c>
      <c r="Z118" s="67">
        <f>RIGHT(H118,LEN(H118)-4)/10000</f>
        <v>1.72E-2</v>
      </c>
      <c r="AA118" s="67">
        <f>ABS(Z118-Y118)</f>
        <v>23.2821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>IF(LEN(A118)=6,"0"&amp;A118,A118)</f>
        <v>0206-27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/stypes="app*4001*20161228*" /stext=" 01:.+((SYSTEM_STATE.+slice.+state.+changed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6"/>
        <v>"%USERPROFILE%\Documents\GitHub\eaglep3\Utilities\RefineRTDCRunTimes.py" --tripid 206-27 --locoid 4001 --swversion DE.1.0.8.0 --startMP 204:232993 --initTime 2016-12-27T17:33:37 --startdatetime 2016-12-27T17:41:19 --delay 1 --endMP 204:172 --enddatetime 2016-12-27T18:21:01 --enforcementcount 1 &gt;&gt;C:\Users\stu\Documents\GitHub\eaglep3-reporting\EC\2016-12-27-refined-times.txt</v>
      </c>
      <c r="AI118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{"issue":{"subject":"","project_id":79,"tracker_id":40,"status_id":1,"priority_id":2,"assigned_to_id":23,"start_date":"2016-12-27","description":"","custom_fields":[{"id":1,"name":"Subdivision","value":"EC"},{"id":4,"name":"Milepost","value":"0.0172"},{"id":17,"name":"Train ID","value":"206-27"},{"id":16,"name":"Locomotive ID","value":"4001"},{"id":130,"name":"Impact","value":""},{"id":150,"name":"Time of Event (Mountain Time)","value":"18:21:01"},{"id":151,"name":"Denver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592</v>
      </c>
      <c r="B119" s="7">
        <v>4027</v>
      </c>
      <c r="C119" s="22" t="s">
        <v>205</v>
      </c>
      <c r="D119" s="22" t="s">
        <v>253</v>
      </c>
      <c r="E119" s="13">
        <v>42731.707858796297</v>
      </c>
      <c r="F119" s="13">
        <v>42731.70989583333</v>
      </c>
      <c r="G119" s="7">
        <v>1</v>
      </c>
      <c r="H119" s="22" t="s">
        <v>396</v>
      </c>
      <c r="I119" s="13">
        <v>42731.735543981478</v>
      </c>
      <c r="J119" s="7">
        <v>1</v>
      </c>
      <c r="K119" s="109" t="str">
        <f>IF(ISEVEN(B119),(B119-1)&amp;"/"&amp;B119,B119&amp;"/"&amp;(B119+1))</f>
        <v>4027/4028</v>
      </c>
      <c r="L119" s="22" t="str">
        <f>VLOOKUP(A119,'Trips&amp;Operators'!$C$1:$G$99999,5,FALSE)</f>
        <v>CLARK KATHLEEN</v>
      </c>
      <c r="M119" s="6">
        <f>I119-F119</f>
        <v>2.5648148148320615E-2</v>
      </c>
      <c r="N119" s="7">
        <f>24*60*SUM($M119:$M119)</f>
        <v>36.933333333581686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https://search-rtdc-monitor-bjffxe2xuh6vdkpspy63sjmuny.us-east-1.es.amazonaws.com/_plugin/kibana/#/discover/Steve-Slow-Train-Analysis-(2080s-and-2083s)?_g=(refreshInterval:(display:Off,section:0,value:0),time:(from:'2016-12-27 15:59:19-700',mode:absolute,to:'2016-12-27 18:39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9" s="52" t="str">
        <f>IF(AA119&lt;IF(AG119="EC",23,5.65),"Y","N")</f>
        <v>N</v>
      </c>
      <c r="X119" s="177">
        <f>VALUE(LEFT(AD119,4))-VALUE(LEFT(AD118,4))</f>
        <v>1</v>
      </c>
      <c r="Y119" s="67">
        <f>RIGHT(D119,LEN(D119)-4)/10000</f>
        <v>4.6399999999999997E-2</v>
      </c>
      <c r="Z119" s="67">
        <f>RIGHT(H119,LEN(H119)-4)/10000</f>
        <v>23.328399999999998</v>
      </c>
      <c r="AA119" s="67">
        <f>ABS(Z119-Y119)</f>
        <v>23.282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>IF(LEN(A119)=6,"0"&amp;A119,A119)</f>
        <v>0207-27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/stypes="app*4027*20161228*" /stext=" 00:.+((SYSTEM_STATE.+slice.+state.+changed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6"/>
        <v>"%USERPROFILE%\Documents\GitHub\eaglep3\Utilities\RefineRTDCRunTimes.py" --tripid 207-27 --locoid 4027 --swversion DE.1.0.8.0 --startMP 204:464 --initTime 2016-12-27T16:59:19 --startdatetime 2016-12-27T17:02:15 --delay 1 --endMP 204:233284 --enddatetime 2016-12-27T17:39:11 --enforcementcount 1 &gt;&gt;C:\Users\stu\Documents\GitHub\eaglep3-reporting\EC\2016-12-27-refined-times.txt</v>
      </c>
      <c r="AI119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{"issue":{"subject":"","project_id":79,"tracker_id":40,"status_id":1,"priority_id":2,"assigned_to_id":23,"start_date":"2016-12-27","description":"","custom_fields":[{"id":1,"name":"Subdivision","value":"EC"},{"id":4,"name":"Milepost","value":"23.3284"},{"id":17,"name":"Train ID","value":"207-27"},{"id":16,"name":"Locomotive ID","value":"4027"},{"id":130,"name":"Impact","value":""},{"id":150,"name":"Time of Event (Mountain Time)","value":"17:39:11"},{"id":151,"name":"Denver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606</v>
      </c>
      <c r="B120" s="7">
        <v>4028</v>
      </c>
      <c r="C120" s="22" t="s">
        <v>205</v>
      </c>
      <c r="D120" s="22" t="s">
        <v>714</v>
      </c>
      <c r="E120" s="13">
        <v>42731.74119212963</v>
      </c>
      <c r="F120" s="13">
        <v>42731.747384259259</v>
      </c>
      <c r="G120" s="7">
        <v>1</v>
      </c>
      <c r="H120" s="22" t="s">
        <v>715</v>
      </c>
      <c r="I120" s="13">
        <v>42731.776550925926</v>
      </c>
      <c r="J120" s="7">
        <v>1</v>
      </c>
      <c r="K120" s="109" t="str">
        <f>IF(ISEVEN(B120),(B120-1)&amp;"/"&amp;B120,B120&amp;"/"&amp;(B120+1))</f>
        <v>4027/4028</v>
      </c>
      <c r="L120" s="22" t="str">
        <f>VLOOKUP(A120,'Trips&amp;Operators'!$C$1:$G$99999,5,FALSE)</f>
        <v>CLARK KATHLEEN</v>
      </c>
      <c r="M120" s="6">
        <f>I120-F120</f>
        <v>2.9166666667151731E-2</v>
      </c>
      <c r="N120" s="7">
        <f>24*60*SUM($M120:$M120)</f>
        <v>42.000000000698492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https://search-rtdc-monitor-bjffxe2xuh6vdkpspy63sjmuny.us-east-1.es.amazonaws.com/_plugin/kibana/#/discover/Steve-Slow-Train-Analysis-(2080s-and-2083s)?_g=(refreshInterval:(display:Off,section:0,value:0),time:(from:'2016-12-27 16:47:19-700',mode:absolute,to:'2016-12-27 19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0" s="52" t="str">
        <f>IF(AA120&lt;IF(AG120="EC",23,5.65),"Y","N")</f>
        <v>N</v>
      </c>
      <c r="X120" s="177">
        <f>VALUE(LEFT(AD120,4))-VALUE(LEFT(AD119,4))</f>
        <v>1</v>
      </c>
      <c r="Y120" s="67">
        <f>RIGHT(D120,LEN(D120)-4)/10000</f>
        <v>23.296500000000002</v>
      </c>
      <c r="Z120" s="67">
        <f>RIGHT(H120,LEN(H120)-4)/10000</f>
        <v>1.7999999999999999E-2</v>
      </c>
      <c r="AA120" s="67">
        <f>ABS(Z120-Y120)</f>
        <v>23.278500000000001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>IF(LEN(A120)=6,"0"&amp;A120,A120)</f>
        <v>0208-27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/stypes="app*4028*20161228*" /stext=" 01:.+((SYSTEM_STATE.+slice.+state.+changed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6"/>
        <v>"%USERPROFILE%\Documents\GitHub\eaglep3\Utilities\RefineRTDCRunTimes.py" --tripid 208-27 --locoid 4028 --swversion DE.1.0.8.0 --startMP 204:232965 --initTime 2016-12-27T17:47:19 --startdatetime 2016-12-27T17:56:14 --delay 1 --endMP 204:180 --enddatetime 2016-12-27T18:38:14 --enforcementcount 1 &gt;&gt;C:\Users\stu\Documents\GitHub\eaglep3-reporting\EC\2016-12-27-refined-times.txt</v>
      </c>
      <c r="AI120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{"issue":{"subject":"","project_id":79,"tracker_id":40,"status_id":1,"priority_id":2,"assigned_to_id":23,"start_date":"2016-12-27","description":"","custom_fields":[{"id":1,"name":"Subdivision","value":"EC"},{"id":4,"name":"Milepost","value":"0.018"},{"id":17,"name":"Train ID","value":"208-27"},{"id":16,"name":"Locomotive ID","value":"4028"},{"id":130,"name":"Impact","value":""},{"id":150,"name":"Time of Event (Mountain Time)","value":"18:38:14"},{"id":151,"name":"Denver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596</v>
      </c>
      <c r="B121" s="7">
        <v>4016</v>
      </c>
      <c r="C121" s="22" t="s">
        <v>205</v>
      </c>
      <c r="D121" s="22" t="s">
        <v>716</v>
      </c>
      <c r="E121" s="13">
        <v>42731.716689814813</v>
      </c>
      <c r="F121" s="13">
        <v>42731.719212962962</v>
      </c>
      <c r="G121" s="7">
        <v>1</v>
      </c>
      <c r="H121" s="22" t="s">
        <v>717</v>
      </c>
      <c r="I121" s="13">
        <v>42731.744583333333</v>
      </c>
      <c r="J121" s="7">
        <v>1</v>
      </c>
      <c r="K121" s="109" t="str">
        <f>IF(ISEVEN(B121),(B121-1)&amp;"/"&amp;B121,B121&amp;"/"&amp;(B121+1))</f>
        <v>4015/4016</v>
      </c>
      <c r="L121" s="22" t="str">
        <f>VLOOKUP(A121,'Trips&amp;Operators'!$C$1:$G$99999,5,FALSE)</f>
        <v>CHANDLER KELVIN</v>
      </c>
      <c r="M121" s="6">
        <f>I121-F121</f>
        <v>2.5370370371092577E-2</v>
      </c>
      <c r="N121" s="7">
        <f>24*60*SUM($M121:$M121)</f>
        <v>36.53333333437331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https://search-rtdc-monitor-bjffxe2xuh6vdkpspy63sjmuny.us-east-1.es.amazonaws.com/_plugin/kibana/#/discover/Steve-Slow-Train-Analysis-(2080s-and-2083s)?_g=(refreshInterval:(display:Off,section:0,value:0),time:(from:'2016-12-27 16:12:02-700',mode:absolute,to:'2016-12-27 18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1" s="52" t="str">
        <f>IF(AA121&lt;IF(AG121="EC",23,5.65),"Y","N")</f>
        <v>N</v>
      </c>
      <c r="X121" s="177">
        <f>VALUE(LEFT(AD121,4))-VALUE(LEFT(AD120,4))</f>
        <v>1</v>
      </c>
      <c r="Y121" s="67">
        <f>RIGHT(D121,LEN(D121)-4)/10000</f>
        <v>3.3799999999999997E-2</v>
      </c>
      <c r="Z121" s="67">
        <f>RIGHT(H121,LEN(H121)-4)/10000</f>
        <v>23.3249</v>
      </c>
      <c r="AA121" s="67">
        <f>ABS(Z121-Y121)</f>
        <v>23.2911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>IF(LEN(A121)=6,"0"&amp;A121,A121)</f>
        <v>0209-27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s3://rtdc.mdm.uploadarchive.raw/RTDC4016/ "%USERPROFILE%\AppData\Local\Temp\OnboardLogs"\RTDC4016\2016-12-27 --exclude "*" --recursive --include "*20161227*" &amp; "%USERPROFILE%\Documents\GitHub\mrs-test-scripts\Headless Mode &amp; Sideloading\WalkAndUnGZ.bat" "%USERPROFILE%\AppData\Local\Temp\OnboardLogs"\RTDC4016\2016-12-27 &amp; aws s3 cp s3://rtdc.mdm.uploadarchive.raw/RTDC4016/ "%USERPROFILE%\AppData\Local\Temp\OnboardLogs"\RTDC4016\2016-12-28 --exclude "*" --recursive --include "*20161228*" &amp; "%USERPROFILE%\Documents\GitHub\mrs-test-scripts\Headless Mode &amp; Sideloading\WalkAndUnGZ.bat" "%USERPROFILE%\AppData\Local\Temp\OnboardLogs"\RTDC4016\2016-12-28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/stypes="app*4016*20161228*" /stext=" 00:.+((SYSTEM_STATE.+slice.+state.+changed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6"/>
        <v>"%USERPROFILE%\Documents\GitHub\eaglep3\Utilities\RefineRTDCRunTimes.py" --tripid 209-27 --locoid 4016 --swversion DE.1.0.8.0 --startMP 204:338 --initTime 2016-12-27T17:12:02 --startdatetime 2016-12-27T17:15:40 --delay 1 --endMP 204:233249 --enddatetime 2016-12-27T17:52:12 --enforcementcount 1 &gt;&gt;C:\Users\stu\Documents\GitHub\eaglep3-reporting\EC\2016-12-27-refined-times.txt</v>
      </c>
      <c r="AI121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{"issue":{"subject":"","project_id":79,"tracker_id":40,"status_id":1,"priority_id":2,"assigned_to_id":23,"start_date":"2016-12-27","description":"","custom_fields":[{"id":1,"name":"Subdivision","value":"EC"},{"id":4,"name":"Milepost","value":"23.3249"},{"id":17,"name":"Train ID","value":"209-27"},{"id":16,"name":"Locomotive ID","value":"4016"},{"id":130,"name":"Impact","value":""},{"id":150,"name":"Time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609</v>
      </c>
      <c r="B122" s="7">
        <v>4015</v>
      </c>
      <c r="C122" s="22" t="s">
        <v>205</v>
      </c>
      <c r="D122" s="22" t="s">
        <v>368</v>
      </c>
      <c r="E122" s="13">
        <v>42731.756435185183</v>
      </c>
      <c r="F122" s="13">
        <v>42731.757986111108</v>
      </c>
      <c r="G122" s="7">
        <v>1</v>
      </c>
      <c r="H122" s="22" t="s">
        <v>311</v>
      </c>
      <c r="I122" s="13">
        <v>42731.785393518519</v>
      </c>
      <c r="J122" s="7">
        <v>1</v>
      </c>
      <c r="K122" s="109" t="str">
        <f>IF(ISEVEN(B122),(B122-1)&amp;"/"&amp;B122,B122&amp;"/"&amp;(B122+1))</f>
        <v>4015/4016</v>
      </c>
      <c r="L122" s="22" t="str">
        <f>VLOOKUP(A122,'Trips&amp;Operators'!$C$1:$G$99999,5,FALSE)</f>
        <v>CHANDLER KELVIN</v>
      </c>
      <c r="M122" s="6">
        <f>I122-F122</f>
        <v>2.7407407411374152E-2</v>
      </c>
      <c r="N122" s="7">
        <f>24*60*SUM($M122:$M122)</f>
        <v>39.466666672378778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https://search-rtdc-monitor-bjffxe2xuh6vdkpspy63sjmuny.us-east-1.es.amazonaws.com/_plugin/kibana/#/discover/Steve-Slow-Train-Analysis-(2080s-and-2083s)?_g=(refreshInterval:(display:Off,section:0,value:0),time:(from:'2016-12-27 17:09:16-700',mode:absolute,to:'2016-12-27 19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2" s="52" t="str">
        <f>IF(AA122&lt;IF(AG122="EC",23,5.65),"Y","N")</f>
        <v>N</v>
      </c>
      <c r="X122" s="177">
        <f>VALUE(LEFT(AD122,4))-VALUE(LEFT(AD121,4))</f>
        <v>1</v>
      </c>
      <c r="Y122" s="67">
        <f>RIGHT(D122,LEN(D122)-4)/10000</f>
        <v>23.2974</v>
      </c>
      <c r="Z122" s="67">
        <f>RIGHT(H122,LEN(H122)-4)/10000</f>
        <v>1.52E-2</v>
      </c>
      <c r="AA122" s="67">
        <f>ABS(Z122-Y122)</f>
        <v>23.2822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>IF(LEN(A122)=6,"0"&amp;A122,A122)</f>
        <v>0210-27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 &amp; aws s3 cp s3://rtdc.mdm.uploadarchive.raw/RTDC4015/ "%USERPROFILE%\AppData\Local\Temp\OnboardLogs"\RTDC4015\2016-12-28 --exclude "*" --recursive --include "*20161228*" &amp; "%USERPROFILE%\Documents\GitHub\mrs-test-scripts\Headless Mode &amp; Sideloading\WalkAndUnGZ.bat" "%USERPROFILE%\AppData\Local\Temp\OnboardLogs"\RTDC4015\2016-12-28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/stypes="app*4015*20161228*"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6"/>
        <v>"%USERPROFILE%\Documents\GitHub\eaglep3\Utilities\RefineRTDCRunTimes.py" --tripid 210-27 --locoid 4015 --swversion DE.1.0.8.0 --startMP 204:232974 --initTime 2016-12-27T18:09:16 --startdatetime 2016-12-27T18:11:30 --delay 1 --endMP 204:152 --enddatetime 2016-12-27T18:50:58 --enforcementcount 1 &gt;&gt;C:\Users\stu\Documents\GitHub\eaglep3-reporting\EC\2016-12-27-refined-times.txt</v>
      </c>
      <c r="AI122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{"issue":{"subject":"","project_id":79,"tracker_id":40,"status_id":1,"priority_id":2,"assigned_to_id":23,"start_date":"2016-12-27","description":"","custom_fields":[{"id":1,"name":"Subdivision","value":"EC"},{"id":4,"name":"Milepost","value":"0.0152"},{"id":17,"name":"Train ID","value":"210-27"},{"id":16,"name":"Locomotive ID","value":"4015"},{"id":130,"name":"Impact","value":""},{"id":150,"name":"Time of Event (Mountain Time)","value":"18:50:58"},{"id":151,"name":"Denver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601</v>
      </c>
      <c r="B123" s="7">
        <v>4022</v>
      </c>
      <c r="C123" s="22" t="s">
        <v>205</v>
      </c>
      <c r="D123" s="22" t="s">
        <v>264</v>
      </c>
      <c r="E123" s="13">
        <v>42731.72314814815</v>
      </c>
      <c r="F123" s="13">
        <v>42731.729479166665</v>
      </c>
      <c r="G123" s="7">
        <v>1</v>
      </c>
      <c r="H123" s="22" t="s">
        <v>718</v>
      </c>
      <c r="I123" s="13">
        <v>42731.754953703705</v>
      </c>
      <c r="J123" s="7">
        <v>1</v>
      </c>
      <c r="K123" s="109" t="str">
        <f>IF(ISEVEN(B123),(B123-1)&amp;"/"&amp;B123,B123&amp;"/"&amp;(B123+1))</f>
        <v>4021/4022</v>
      </c>
      <c r="L123" s="22" t="str">
        <f>VLOOKUP(A123,'Trips&amp;Operators'!$C$1:$G$99999,5,FALSE)</f>
        <v>CRAYTON QUNTRELL</v>
      </c>
      <c r="M123" s="6">
        <f>I123-F123</f>
        <v>2.5474537040281575E-2</v>
      </c>
      <c r="N123" s="7">
        <f>24*60*SUM($M123:$M123)</f>
        <v>36.683333338005468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https://search-rtdc-monitor-bjffxe2xuh6vdkpspy63sjmuny.us-east-1.es.amazonaws.com/_plugin/kibana/#/discover/Steve-Slow-Train-Analysis-(2080s-and-2083s)?_g=(refreshInterval:(display:Off,section:0,value:0),time:(from:'2016-12-27 16:21:20-700',mode:absolute,to:'2016-12-27 19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3" s="52" t="str">
        <f>IF(AA123&lt;IF(AG123="EC",23,5.65),"Y","N")</f>
        <v>N</v>
      </c>
      <c r="X123" s="177">
        <f>VALUE(LEFT(AD123,4))-VALUE(LEFT(AD122,4))</f>
        <v>1</v>
      </c>
      <c r="Y123" s="67">
        <f>RIGHT(D123,LEN(D123)-4)/10000</f>
        <v>4.6199999999999998E-2</v>
      </c>
      <c r="Z123" s="67">
        <f>RIGHT(H123,LEN(H123)-4)/10000</f>
        <v>23.327999999999999</v>
      </c>
      <c r="AA123" s="67">
        <f>ABS(Z123-Y123)</f>
        <v>23.2818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>IF(LEN(A123)=6,"0"&amp;A123,A123)</f>
        <v>0211-27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/stypes="app*4022*20161228*"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6"/>
        <v>"%USERPROFILE%\Documents\GitHub\eaglep3\Utilities\RefineRTDCRunTimes.py" --tripid 211-27 --locoid 4022 --swversion DE.1.0.8.0 --startMP 204:462 --initTime 2016-12-27T17:21:20 --startdatetime 2016-12-27T17:30:27 --delay 1 --endMP 204:233280 --enddatetime 2016-12-27T18:07:08 --enforcementcount 1 &gt;&gt;C:\Users\stu\Documents\GitHub\eaglep3-reporting\EC\2016-12-27-refined-times.txt</v>
      </c>
      <c r="AI123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{"issue":{"subject":"","project_id":79,"tracker_id":40,"status_id":1,"priority_id":2,"assigned_to_id":23,"start_date":"2016-12-27","description":"","custom_fields":[{"id":1,"name":"Subdivision","value":"EC"},{"id":4,"name":"Milepost","value":"23.328"},{"id":17,"name":"Train ID","value":"211-27"},{"id":16,"name":"Locomotive ID","value":"4022"},{"id":130,"name":"Impact","value":""},{"id":150,"name":"Time of Event (Mountain Time)","value":"18:07:08"},{"id":151,"name":"Denver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611</v>
      </c>
      <c r="B124" s="7">
        <v>4021</v>
      </c>
      <c r="C124" s="22" t="s">
        <v>205</v>
      </c>
      <c r="D124" s="22" t="s">
        <v>719</v>
      </c>
      <c r="E124" s="13">
        <v>42731.759571759256</v>
      </c>
      <c r="F124" s="13">
        <v>42731.768368055556</v>
      </c>
      <c r="G124" s="7">
        <v>1</v>
      </c>
      <c r="H124" s="22" t="s">
        <v>720</v>
      </c>
      <c r="I124" s="13">
        <v>42731.808020833334</v>
      </c>
      <c r="J124" s="7">
        <v>1</v>
      </c>
      <c r="K124" s="109" t="str">
        <f>IF(ISEVEN(B124),(B124-1)&amp;"/"&amp;B124,B124&amp;"/"&amp;(B124+1))</f>
        <v>4021/4022</v>
      </c>
      <c r="L124" s="22" t="str">
        <f>VLOOKUP(A124,'Trips&amp;Operators'!$C$1:$G$99999,5,FALSE)</f>
        <v>CRAYTON QUNTRELL</v>
      </c>
      <c r="M124" s="6">
        <f>I124-F124</f>
        <v>3.9652777777519077E-2</v>
      </c>
      <c r="N124" s="7">
        <f>24*60*SUM($M124:$M124)</f>
        <v>57.099999999627471</v>
      </c>
      <c r="O124" s="7"/>
      <c r="P124" s="7"/>
      <c r="Q124" s="23"/>
      <c r="R124" s="23" t="s">
        <v>822</v>
      </c>
      <c r="S124" s="35">
        <f>SUM(U124:U124)/IF(AG124="EC",12,1)</f>
        <v>1</v>
      </c>
      <c r="T124" s="50" t="str">
        <f>IF(ISEVEN(LEFT(AD124,4)),"Southbound","NorthBound")</f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https://search-rtdc-monitor-bjffxe2xuh6vdkpspy63sjmuny.us-east-1.es.amazonaws.com/_plugin/kibana/#/discover/Steve-Slow-Train-Analysis-(2080s-and-2083s)?_g=(refreshInterval:(display:Off,section:0,value:0),time:(from:'2016-12-27 17:13:47-700',mode:absolute,to:'2016-12-27 20:23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4" s="52" t="str">
        <f>IF(AA124&lt;IF(AG124="EC",23,5.65),"Y","N")</f>
        <v>N</v>
      </c>
      <c r="X124" s="177">
        <f>VALUE(LEFT(AD124,4))-VALUE(LEFT(AD123,4))</f>
        <v>1</v>
      </c>
      <c r="Y124" s="67">
        <f>RIGHT(D124,LEN(D124)-4)/10000</f>
        <v>23.295000000000002</v>
      </c>
      <c r="Z124" s="67">
        <f>RIGHT(H124,LEN(H124)-4)/10000</f>
        <v>1.7000000000000001E-2</v>
      </c>
      <c r="AA124" s="67">
        <f>ABS(Z124-Y124)</f>
        <v>23.278000000000002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>IF(LEN(A124)=6,"0"&amp;A124,A124)</f>
        <v>0212-27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s3://rtdc.mdm.uploadarchive.raw/RTDC4021/ "%USERPROFILE%\AppData\Local\Temp\OnboardLogs"\RTDC4021\2016-12-27 --exclude "*" --recursive --include "*20161227*" &amp; "%USERPROFILE%\Documents\GitHub\mrs-test-scripts\Headless Mode &amp; Sideloading\WalkAndUnGZ.bat" "%USERPROFILE%\AppData\Local\Temp\OnboardLogs"\RTDC4021\2016-12-27 &amp; aws s3 cp s3://rtdc.mdm.uploadarchive.raw/RTDC4021/ "%USERPROFILE%\AppData\Local\Temp\OnboardLogs"\RTDC4021\2016-12-28 --exclude "*" --recursive --include "*20161228*" &amp; "%USERPROFILE%\Documents\GitHub\mrs-test-scripts\Headless Mode &amp; Sideloading\WalkAndUnGZ.bat" "%USERPROFILE%\AppData\Local\Temp\OnboardLogs"\RTDC4021\2016-12-28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/stypes="app*4021*20161228*" /stext=" 02:.+((SYSTEM_STATE.+slice.+state.+changed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6"/>
        <v>"%USERPROFILE%\Documents\GitHub\eaglep3\Utilities\RefineRTDCRunTimes.py" --tripid 212-27 --locoid 4021 --swversion DE.1.0.8.0 --startMP 204:232950 --initTime 2016-12-27T18:13:47 --startdatetime 2016-12-27T18:26:27 --delay 1 --endMP 204:170 --enddatetime 2016-12-27T19:23:33 --enforcementcount 1 &gt;&gt;C:\Users\stu\Documents\GitHub\eaglep3-reporting\EC\2016-12-27-refined-times.txt</v>
      </c>
      <c r="AI124" s="119" t="str">
        <f t="shared" si="7"/>
        <v>echo {"issue":{"subject":"Delayed at 40th","project_id":79,"tracker_id":40,"status_id":1,"priority_id":2,"assigned_to_id":23,"start_date":"2016-12-27","description":"","custom_fields":[{"id":1,"name":"Subdivision","value":"EC"},{"id":4,"name":"Milepost","value":"0.017"},{"id":17,"name":"Train ID","value":"212-27"},{"id":16,"name":"Locomotive ID","value":"4021"},{"id":130,"name":"Impact","value":""},{"id":150,"name":"Time of Event (Mountain Time)","value":"19:23:33"},{"id":151,"name":"Denver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605</v>
      </c>
      <c r="B125" s="7">
        <v>4051</v>
      </c>
      <c r="C125" s="22" t="s">
        <v>205</v>
      </c>
      <c r="D125" s="22" t="s">
        <v>704</v>
      </c>
      <c r="E125" s="13">
        <v>42731.734965277778</v>
      </c>
      <c r="F125" s="13">
        <v>42731.739849537036</v>
      </c>
      <c r="G125" s="7">
        <v>1</v>
      </c>
      <c r="H125" s="22" t="s">
        <v>688</v>
      </c>
      <c r="I125" s="13">
        <v>42731.763969907406</v>
      </c>
      <c r="J125" s="7">
        <v>1</v>
      </c>
      <c r="K125" s="109" t="str">
        <f>IF(ISEVEN(B125),(B125-1)&amp;"/"&amp;B125,B125&amp;"/"&amp;(B125+1))</f>
        <v>4051/4052</v>
      </c>
      <c r="L125" s="22" t="str">
        <f>VLOOKUP(A125,'Trips&amp;Operators'!$C$1:$G$99999,5,FALSE)</f>
        <v>NEWELL JAMES</v>
      </c>
      <c r="M125" s="6">
        <f>I125-F125</f>
        <v>2.4120370369928423E-2</v>
      </c>
      <c r="N125" s="7">
        <f>24*60*SUM($M125:$M125)</f>
        <v>34.73333333269693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https://search-rtdc-monitor-bjffxe2xuh6vdkpspy63sjmuny.us-east-1.es.amazonaws.com/_plugin/kibana/#/discover/Steve-Slow-Train-Analysis-(2080s-and-2083s)?_g=(refreshInterval:(display:Off,section:0,value:0),time:(from:'2016-12-27 16:38:21-700',mode:absolute,to:'2016-12-27 19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25" s="52" t="str">
        <f>IF(AA125&lt;IF(AG125="EC",23,5.65),"Y","N")</f>
        <v>N</v>
      </c>
      <c r="X125" s="177">
        <f>VALUE(LEFT(AD125,4))-VALUE(LEFT(AD124,4))</f>
        <v>1</v>
      </c>
      <c r="Y125" s="67">
        <f>RIGHT(D125,LEN(D125)-4)/10000</f>
        <v>4.7100000000000003E-2</v>
      </c>
      <c r="Z125" s="67">
        <f>RIGHT(H125,LEN(H125)-4)/10000</f>
        <v>23.3323</v>
      </c>
      <c r="AA125" s="67">
        <f>ABS(Z125-Y125)</f>
        <v>23.2852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>IF(LEN(A125)=6,"0"&amp;A125,A125)</f>
        <v>0213-27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/stypes="app*4051*20161228*" /stext=" 01:.+((SYSTEM_STATE.+slice.+state.+changed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6"/>
        <v>"%USERPROFILE%\Documents\GitHub\eaglep3\Utilities\RefineRTDCRunTimes.py" --tripid 213-27 --locoid 4051 --swversion DE.1.0.8.0 --startMP 204:471 --initTime 2016-12-27T17:38:21 --startdatetime 2016-12-27T17:45:23 --delay 1 --endMP 204:233323 --enddatetime 2016-12-27T18:20:07 --enforcementcount 1 &gt;&gt;C:\Users\stu\Documents\GitHub\eaglep3-reporting\EC\2016-12-27-refined-times.txt</v>
      </c>
      <c r="AI125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{"issue":{"subject":"","project_id":79,"tracker_id":40,"status_id":1,"priority_id":2,"assigned_to_id":23,"start_date":"2016-12-27","description":"","custom_fields":[{"id":1,"name":"Subdivision","value":"EC"},{"id":4,"name":"Milepost","value":"23.3323"},{"id":17,"name":"Train ID","value":"213-27"},{"id":16,"name":"Locomotive ID","value":"4051"},{"id":130,"name":"Impact","value":""},{"id":150,"name":"Time of Event (Mountain Time)","value":"18:20:07"},{"id":151,"name":"Denver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616</v>
      </c>
      <c r="B126" s="7">
        <v>4052</v>
      </c>
      <c r="C126" s="22" t="s">
        <v>205</v>
      </c>
      <c r="D126" s="22" t="s">
        <v>313</v>
      </c>
      <c r="E126" s="13">
        <v>42731.770578703705</v>
      </c>
      <c r="F126" s="13">
        <v>42731.778622685182</v>
      </c>
      <c r="G126" s="7">
        <v>1</v>
      </c>
      <c r="H126" s="22" t="s">
        <v>191</v>
      </c>
      <c r="I126" s="13">
        <v>42731.811354166668</v>
      </c>
      <c r="J126" s="7">
        <v>1</v>
      </c>
      <c r="K126" s="109" t="str">
        <f>IF(ISEVEN(B126),(B126-1)&amp;"/"&amp;B126,B126&amp;"/"&amp;(B126+1))</f>
        <v>4051/4052</v>
      </c>
      <c r="L126" s="22" t="str">
        <f>VLOOKUP(A126,'Trips&amp;Operators'!$C$1:$G$99999,5,FALSE)</f>
        <v>NEWELL JAMES</v>
      </c>
      <c r="M126" s="6">
        <f>I126-F126</f>
        <v>3.2731481485825498E-2</v>
      </c>
      <c r="N126" s="7">
        <f>24*60*SUM($M126:$M126)</f>
        <v>47.133333339588717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https://search-rtdc-monitor-bjffxe2xuh6vdkpspy63sjmuny.us-east-1.es.amazonaws.com/_plugin/kibana/#/discover/Steve-Slow-Train-Analysis-(2080s-and-2083s)?_g=(refreshInterval:(display:Off,section:0,value:0),time:(from:'2016-12-27 17:29:38-700',mode:absolute,to:'2016-12-27 20:28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26" s="52" t="str">
        <f>IF(AA126&lt;IF(AG126="EC",23,5.65),"Y","N")</f>
        <v>N</v>
      </c>
      <c r="X126" s="177">
        <f>VALUE(LEFT(AD126,4))-VALUE(LEFT(AD125,4))</f>
        <v>1</v>
      </c>
      <c r="Y126" s="67">
        <f>RIGHT(D126,LEN(D126)-4)/10000</f>
        <v>23.298300000000001</v>
      </c>
      <c r="Z126" s="67">
        <f>RIGHT(H126,LEN(H126)-4)/10000</f>
        <v>1.49E-2</v>
      </c>
      <c r="AA126" s="67">
        <f>ABS(Z126-Y126)</f>
        <v>23.2834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>IF(LEN(A126)=6,"0"&amp;A126,A126)</f>
        <v>0214-27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/stypes="app*4052*20161228*" /stext=" 02:.+((SYSTEM_STATE.+slice.+state.+changed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6"/>
        <v>"%USERPROFILE%\Documents\GitHub\eaglep3\Utilities\RefineRTDCRunTimes.py" --tripid 214-27 --locoid 4052 --swversion DE.1.0.8.0 --startMP 204:232983 --initTime 2016-12-27T18:29:38 --startdatetime 2016-12-27T18:41:13 --delay 1 --endMP 204:149 --enddatetime 2016-12-27T19:28:21 --enforcementcount 1 &gt;&gt;C:\Users\stu\Documents\GitHub\eaglep3-reporting\EC\2016-12-27-refined-times.txt</v>
      </c>
      <c r="AI126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{"issue":{"subject":"","project_id":79,"tracker_id":40,"status_id":1,"priority_id":2,"assigned_to_id":23,"start_date":"2016-12-27","description":"","custom_fields":[{"id":1,"name":"Subdivision","value":"EC"},{"id":4,"name":"Milepost","value":"0.0149"},{"id":17,"name":"Train ID","value":"214-27"},{"id":16,"name":"Locomotive ID","value":"4052"},{"id":130,"name":"Impact","value":""},{"id":150,"name":"Time of Event (Mountain Time)","value":"19:28:21"},{"id":151,"name":"Denver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608</v>
      </c>
      <c r="B127" s="7">
        <v>4007</v>
      </c>
      <c r="C127" s="22" t="s">
        <v>205</v>
      </c>
      <c r="D127" s="22" t="s">
        <v>721</v>
      </c>
      <c r="E127" s="13">
        <v>42731.748460648145</v>
      </c>
      <c r="F127" s="13">
        <v>42731.750162037039</v>
      </c>
      <c r="G127" s="7">
        <v>1</v>
      </c>
      <c r="H127" s="22" t="s">
        <v>345</v>
      </c>
      <c r="I127" s="13">
        <v>42731.774259259262</v>
      </c>
      <c r="J127" s="7">
        <v>1</v>
      </c>
      <c r="K127" s="109" t="str">
        <f>IF(ISEVEN(B127),(B127-1)&amp;"/"&amp;B127,B127&amp;"/"&amp;(B127+1))</f>
        <v>4007/4008</v>
      </c>
      <c r="L127" s="22" t="str">
        <f>VLOOKUP(A127,'Trips&amp;Operators'!$C$1:$G$99999,5,FALSE)</f>
        <v>BRANNON JEFFREY</v>
      </c>
      <c r="M127" s="6">
        <f>I127-F127</f>
        <v>2.4097222223645076E-2</v>
      </c>
      <c r="N127" s="7">
        <f>24*60*SUM($M127:$M127)</f>
        <v>34.70000000204891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https://search-rtdc-monitor-bjffxe2xuh6vdkpspy63sjmuny.us-east-1.es.amazonaws.com/_plugin/kibana/#/discover/Steve-Slow-Train-Analysis-(2080s-and-2083s)?_g=(refreshInterval:(display:Off,section:0,value:0),time:(from:'2016-12-27 16:57:47-700',mode:absolute,to:'2016-12-27 19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7" s="52" t="str">
        <f>IF(AA127&lt;IF(AG127="EC",23,5.65),"Y","N")</f>
        <v>N</v>
      </c>
      <c r="X127" s="177">
        <f>VALUE(LEFT(AD127,4))-VALUE(LEFT(AD126,4))</f>
        <v>1</v>
      </c>
      <c r="Y127" s="67">
        <f>RIGHT(D127,LEN(D127)-4)/10000</f>
        <v>4.3299999999999998E-2</v>
      </c>
      <c r="Z127" s="67">
        <f>RIGHT(H127,LEN(H127)-4)/10000</f>
        <v>23.3291</v>
      </c>
      <c r="AA127" s="67">
        <f>ABS(Z127-Y127)</f>
        <v>23.285800000000002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>IF(LEN(A127)=6,"0"&amp;A127,A127)</f>
        <v>0215-27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/stypes="app*4007*20161228*" /stext=" 01:.+((SYSTEM_STATE.+slice.+state.+changed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6"/>
        <v>"%USERPROFILE%\Documents\GitHub\eaglep3\Utilities\RefineRTDCRunTimes.py" --tripid 215-27 --locoid 4007 --swversion DE.1.0.8.0 --startMP 204:433 --initTime 2016-12-27T17:57:47 --startdatetime 2016-12-27T18:00:14 --delay 1 --endMP 204:233291 --enddatetime 2016-12-27T18:34:56 --enforcementcount 1 &gt;&gt;C:\Users\stu\Documents\GitHub\eaglep3-reporting\EC\2016-12-27-refined-times.txt</v>
      </c>
      <c r="AI127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{"issue":{"subject":"","project_id":79,"tracker_id":40,"status_id":1,"priority_id":2,"assigned_to_id":23,"start_date":"2016-12-27","description":"","custom_fields":[{"id":1,"name":"Subdivision","value":"EC"},{"id":4,"name":"Milepost","value":"23.3291"},{"id":17,"name":"Train ID","value":"215-27"},{"id":16,"name":"Locomotive ID","value":"4007"},{"id":130,"name":"Impact","value":""},{"id":150,"name":"Time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619</v>
      </c>
      <c r="B128" s="7">
        <v>4008</v>
      </c>
      <c r="C128" s="22" t="s">
        <v>205</v>
      </c>
      <c r="D128" s="22" t="s">
        <v>261</v>
      </c>
      <c r="E128" s="13">
        <v>42731.780763888892</v>
      </c>
      <c r="F128" s="13">
        <v>42731.7891087963</v>
      </c>
      <c r="G128" s="7">
        <v>2</v>
      </c>
      <c r="H128" s="22" t="s">
        <v>192</v>
      </c>
      <c r="I128" s="13">
        <v>42731.819236111114</v>
      </c>
      <c r="J128" s="7">
        <v>1</v>
      </c>
      <c r="K128" s="109" t="str">
        <f>IF(ISEVEN(B128),(B128-1)&amp;"/"&amp;B128,B128&amp;"/"&amp;(B128+1))</f>
        <v>4007/4008</v>
      </c>
      <c r="L128" s="22" t="str">
        <f>VLOOKUP(A128,'Trips&amp;Operators'!$C$1:$G$99999,5,FALSE)</f>
        <v>BRANNON JEFFREY</v>
      </c>
      <c r="M128" s="6">
        <f>I128-F128</f>
        <v>3.0127314814308193E-2</v>
      </c>
      <c r="N128" s="7">
        <f>24*60*SUM($M128:$M128)</f>
        <v>43.383333332603797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https://search-rtdc-monitor-bjffxe2xuh6vdkpspy63sjmuny.us-east-1.es.amazonaws.com/_plugin/kibana/#/discover/Steve-Slow-Train-Analysis-(2080s-and-2083s)?_g=(refreshInterval:(display:Off,section:0,value:0),time:(from:'2016-12-27 17:44:18-700',mode:absolute,to:'2016-12-27 20:39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8" s="52" t="str">
        <f>IF(AA128&lt;IF(AG128="EC",23,5.65),"Y","N")</f>
        <v>N</v>
      </c>
      <c r="X128" s="177">
        <f>VALUE(LEFT(AD128,4))-VALUE(LEFT(AD127,4))</f>
        <v>1</v>
      </c>
      <c r="Y128" s="67">
        <f>RIGHT(D128,LEN(D128)-4)/10000</f>
        <v>23.297699999999999</v>
      </c>
      <c r="Z128" s="67">
        <f>RIGHT(H128,LEN(H128)-4)/10000</f>
        <v>1.43E-2</v>
      </c>
      <c r="AA128" s="67">
        <f>ABS(Z128-Y128)</f>
        <v>23.2834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>IF(LEN(A128)=6,"0"&amp;A128,A128)</f>
        <v>0216-27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/stypes="app*4008*20161228*" /stext=" 02:.+((SYSTEM_STATE.+slice.+state.+changed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6"/>
        <v>"%USERPROFILE%\Documents\GitHub\eaglep3\Utilities\RefineRTDCRunTimes.py" --tripid 216-27 --locoid 4008 --swversion DE.1.0.8.0 --startMP 204:232977 --initTime 2016-12-27T18:44:18 --startdatetime 2016-12-27T18:56:19 --delay 2 --endMP 204:143 --enddatetime 2016-12-27T19:39:42 --enforcementcount 1 &gt;&gt;C:\Users\stu\Documents\GitHub\eaglep3-reporting\EC\2016-12-27-refined-times.txt</v>
      </c>
      <c r="AI128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{"issue":{"subject":"","project_id":79,"tracker_id":40,"status_id":1,"priority_id":2,"assigned_to_id":23,"start_date":"2016-12-27","description":"","custom_fields":[{"id":1,"name":"Subdivision","value":"EC"},{"id":4,"name":"Milepost","value":"0.0143"},{"id":17,"name":"Train ID","value":"216-27"},{"id":16,"name":"Locomotive ID","value":"4008"},{"id":130,"name":"Impact","value":""},{"id":150,"name":"Time of Event (Mountain Time)","value":"19:39:42"},{"id":151,"name":"Denver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613</v>
      </c>
      <c r="B129" s="7">
        <v>4042</v>
      </c>
      <c r="C129" s="22" t="s">
        <v>205</v>
      </c>
      <c r="D129" s="22" t="s">
        <v>722</v>
      </c>
      <c r="E129" s="13">
        <v>42731.789340277777</v>
      </c>
      <c r="F129" s="13">
        <v>42731.790011574078</v>
      </c>
      <c r="G129" s="7">
        <v>0</v>
      </c>
      <c r="H129" s="22" t="s">
        <v>681</v>
      </c>
      <c r="I129" s="13">
        <v>42731.800717592596</v>
      </c>
      <c r="J129" s="7">
        <v>0</v>
      </c>
      <c r="K129" s="109" t="str">
        <f>IF(ISEVEN(B129),(B129-1)&amp;"/"&amp;B129,B129&amp;"/"&amp;(B129+1))</f>
        <v>4041/4042</v>
      </c>
      <c r="L129" s="22" t="str">
        <f>VLOOKUP(A129,'Trips&amp;Operators'!$C$1:$G$99999,5,FALSE)</f>
        <v>SIMONEAUX TERA</v>
      </c>
      <c r="M129" s="6">
        <f>I129-F129</f>
        <v>1.0706018518249039E-2</v>
      </c>
      <c r="N129" s="7"/>
      <c r="O129" s="7"/>
      <c r="P129" s="7">
        <f>24*60*SUM($M129:$M130)</f>
        <v>16.216666664695367</v>
      </c>
      <c r="Q129" s="23"/>
      <c r="R129" s="23" t="s">
        <v>823</v>
      </c>
      <c r="S129" s="35">
        <f>SUM(U129:U130)/IF(AG129="EC",12,1)</f>
        <v>0.83333333333333337</v>
      </c>
      <c r="T129" s="50" t="str">
        <f>IF(ISEVEN(LEFT(AD129,4)),"Southbound","NorthBound")</f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0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https://search-rtdc-monitor-bjffxe2xuh6vdkpspy63sjmuny.us-east-1.es.amazonaws.com/_plugin/kibana/#/discover/Steve-Slow-Train-Analysis-(2080s-and-2083s)?_g=(refreshInterval:(display:Off,section:0,value:0),time:(from:'2016-12-27 17:56:39-700',mode:absolute,to:'2016-12-27 20:13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>IF(AA129&lt;IF(AG129="EC",23,5.65),"Y","N")</f>
        <v>Y</v>
      </c>
      <c r="X129" s="177">
        <f>VALUE(LEFT(AD129,4))-VALUE(LEFT(AD128,4))</f>
        <v>1</v>
      </c>
      <c r="Y129" s="67">
        <f>RIGHT(D129,LEN(D129)-4)/10000</f>
        <v>12.8255</v>
      </c>
      <c r="Z129" s="67">
        <f>RIGHT(H129,LEN(H129)-4)/10000</f>
        <v>23.3309</v>
      </c>
      <c r="AA129" s="67">
        <f>ABS(Z129-Y129)</f>
        <v>10.5054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>IF(LEN(A129)=6,"0"&amp;A129,A129)</f>
        <v>0217-27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/stypes="app*4042*20161228*" /stext=" 02:.+((SYSTEM_STATE.+slice.+state.+changed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6"/>
        <v>"%USERPROFILE%\Documents\GitHub\eaglep3\Utilities\RefineRTDCRunTimes.py" --tripid 217-27 --locoid 4042 --swversion DE.1.0.8.0 --startMP 204:128255 --initTime 2016-12-27T18:56:39 --startdatetime 2016-12-27T18:57:37 --delay 0 --endMP 204:233309 --enddatetime 2016-12-27T19:13:02 --enforcementcount 0 &gt;&gt;C:\Users\stu\Documents\GitHub\eaglep3-reporting\EC\2016-12-27-refined-times.txt</v>
      </c>
      <c r="AI129" s="119" t="str">
        <f t="shared" si="7"/>
        <v>echo {"issue":{"subject":"CP Sable offline due to UP maintenance","project_id":79,"tracker_id":40,"status_id":1,"priority_id":2,"assigned_to_id":23,"start_date":"2016-12-27","description":"","custom_fields":[{"id":1,"name":"Subdivision","value":"EC"},{"id":4,"name":"Milepost","value":"23.3309"},{"id":17,"name":"Train ID","value":"217-27"},{"id":16,"name":"Locomotive ID","value":"4042"},{"id":130,"name":"Impact","value":""},{"id":150,"name":"Time of Event (Mountain Time)","value":"19:13:02"},{"id":151,"name":"Denver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613</v>
      </c>
      <c r="B130" s="7">
        <v>4042</v>
      </c>
      <c r="C130" s="22" t="s">
        <v>205</v>
      </c>
      <c r="D130" s="22" t="s">
        <v>342</v>
      </c>
      <c r="E130" s="13">
        <v>42731.76116898148</v>
      </c>
      <c r="F130" s="13">
        <v>42731.762743055559</v>
      </c>
      <c r="G130" s="7">
        <v>2</v>
      </c>
      <c r="H130" s="22" t="s">
        <v>723</v>
      </c>
      <c r="I130" s="13">
        <v>42731.763298611113</v>
      </c>
      <c r="J130" s="7">
        <v>0</v>
      </c>
      <c r="K130" s="109" t="str">
        <f>IF(ISEVEN(B130),(B130-1)&amp;"/"&amp;B130,B130&amp;"/"&amp;(B130+1))</f>
        <v>4041/4042</v>
      </c>
      <c r="L130" s="22" t="str">
        <f>VLOOKUP(A130,'Trips&amp;Operators'!$C$1:$G$99999,5,FALSE)</f>
        <v>SIMONEAUX TERA</v>
      </c>
      <c r="M130" s="6">
        <f>I130-F130</f>
        <v>5.5555555445607752E-4</v>
      </c>
      <c r="N130" s="7"/>
      <c r="O130" s="7"/>
      <c r="P130" s="7"/>
      <c r="Q130" s="23"/>
      <c r="R130" s="23"/>
      <c r="S130" s="35"/>
      <c r="T130" s="50" t="str">
        <f>IF(ISEVEN(LEFT(AD130,4)),"Southbound","NorthBound")</f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10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https://search-rtdc-monitor-bjffxe2xuh6vdkpspy63sjmuny.us-east-1.es.amazonaws.com/_plugin/kibana/#/discover/Steve-Slow-Train-Analysis-(2080s-and-2083s)?_g=(refreshInterval:(display:Off,section:0,value:0),time:(from:'2016-12-27 17:16:05-700',mode:absolute,to:'2016-12-27 19:19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0" s="52" t="str">
        <f>IF(AA130&lt;IF(AG130="EC",23,5.65),"Y","N")</f>
        <v>Y</v>
      </c>
      <c r="X130" s="177">
        <f>VALUE(LEFT(AD130,4))-VALUE(LEFT(AD129,4))</f>
        <v>0</v>
      </c>
      <c r="Y130" s="67">
        <f>RIGHT(D130,LEN(D130)-4)/10000</f>
        <v>4.8000000000000001E-2</v>
      </c>
      <c r="Z130" s="67">
        <v>10.3</v>
      </c>
      <c r="AA130" s="67">
        <f>ABS(Z130-Y130)</f>
        <v>10.252000000000001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>IF(LEN(A130)=6,"0"&amp;A130,A130)</f>
        <v>0217-27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/stypes="app*4042*20161228*" /stext=" 01:.+((SYSTEM_STATE.+slice.+state.+changed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6"/>
        <v>"%USERPROFILE%\Documents\GitHub\eaglep3\Utilities\RefineRTDCRunTimes.py" --tripid 217-27 --locoid 4042 --swversion DE.1.0.8.0 --startMP 204:480 --initTime 2016-12-27T18:16:05 --startdatetime 2016-12-27T18:18:21 --delay 2 --endMP 204:679 --enddatetime 2016-12-27T18:19:09 --enforcementcount 0 &gt;&gt;C:\Users\stu\Documents\GitHub\eaglep3-reporting\EC\2016-12-27-refined-times.txt</v>
      </c>
      <c r="AI130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{"issue":{"subject":"","project_id":79,"tracker_id":40,"status_id":1,"priority_id":2,"assigned_to_id":23,"start_date":"2016-12-27","description":"","custom_fields":[{"id":1,"name":"Subdivision","value":"EC"},{"id":4,"name":"Milepost","value":"10.3"},{"id":17,"name":"Train ID","value":"217-27"},{"id":16,"name":"Locomotive ID","value":"4042"},{"id":130,"name":"Impact","value":""},{"id":150,"name":"Time of Event (Mountain Time)","value":"18:19:09"},{"id":151,"name":"Denver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623</v>
      </c>
      <c r="B131" s="7">
        <v>4041</v>
      </c>
      <c r="C131" s="22" t="s">
        <v>205</v>
      </c>
      <c r="D131" s="22" t="s">
        <v>714</v>
      </c>
      <c r="E131" s="13">
        <v>42731.802511574075</v>
      </c>
      <c r="F131" s="13">
        <v>42731.804375</v>
      </c>
      <c r="G131" s="7">
        <v>2</v>
      </c>
      <c r="H131" s="22" t="s">
        <v>258</v>
      </c>
      <c r="I131" s="13">
        <v>42731.831712962965</v>
      </c>
      <c r="J131" s="7">
        <v>1</v>
      </c>
      <c r="K131" s="109" t="str">
        <f>IF(ISEVEN(B131),(B131-1)&amp;"/"&amp;B131,B131&amp;"/"&amp;(B131+1))</f>
        <v>4041/4042</v>
      </c>
      <c r="L131" s="22" t="str">
        <f>VLOOKUP(A131,'Trips&amp;Operators'!$C$1:$G$99999,5,FALSE)</f>
        <v>SIMONEAUX TERA</v>
      </c>
      <c r="M131" s="6">
        <f>I131-F131</f>
        <v>2.7337962965248153E-2</v>
      </c>
      <c r="N131" s="7">
        <f>24*60*SUM($M131:$M131)</f>
        <v>39.36666666995734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https://search-rtdc-monitor-bjffxe2xuh6vdkpspy63sjmuny.us-east-1.es.amazonaws.com/_plugin/kibana/#/discover/Steve-Slow-Train-Analysis-(2080s-and-2083s)?_g=(refreshInterval:(display:Off,section:0,value:0),time:(from:'2016-12-27 18:15:37-700',mode:absolute,to:'2016-12-27 20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1" s="52" t="str">
        <f>IF(AA131&lt;IF(AG131="EC",23,5.65),"Y","N")</f>
        <v>N</v>
      </c>
      <c r="X131" s="177">
        <f>VALUE(LEFT(AD131,4))-VALUE(LEFT(AD130,4))</f>
        <v>1</v>
      </c>
      <c r="Y131" s="67">
        <f>RIGHT(D131,LEN(D131)-4)/10000</f>
        <v>23.296500000000002</v>
      </c>
      <c r="Z131" s="67">
        <f>RIGHT(H131,LEN(H131)-4)/10000</f>
        <v>1.3899999999999999E-2</v>
      </c>
      <c r="AA131" s="67">
        <f>ABS(Z131-Y131)</f>
        <v>23.282600000000002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>IF(LEN(A131)=6,"0"&amp;A131,A131)</f>
        <v>0218-27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/stypes="app*4041*20161228*"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6"/>
        <v>"%USERPROFILE%\Documents\GitHub\eaglep3\Utilities\RefineRTDCRunTimes.py" --tripid 218-27 --locoid 4041 --swversion DE.1.0.8.0 --startMP 204:232965 --initTime 2016-12-27T19:15:37 --startdatetime 2016-12-27T19:18:18 --delay 2 --endMP 204:139 --enddatetime 2016-12-27T19:57:40 --enforcementcount 1 &gt;&gt;C:\Users\stu\Documents\GitHub\eaglep3-reporting\EC\2016-12-27-refined-times.txt</v>
      </c>
      <c r="AI131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{"issue":{"subject":"","project_id":79,"tracker_id":40,"status_id":1,"priority_id":2,"assigned_to_id":23,"start_date":"2016-12-27","description":"","custom_fields":[{"id":1,"name":"Subdivision","value":"EC"},{"id":4,"name":"Milepost","value":"0.0139"},{"id":17,"name":"Train ID","value":"218-27"},{"id":16,"name":"Locomotive ID","value":"4041"},{"id":130,"name":"Impact","value":""},{"id":150,"name":"Time of Event (Mountain Time)","value":"19:57:40"},{"id":151,"name":"Denver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 s="37" t="s">
        <v>614</v>
      </c>
      <c r="B132" s="7">
        <v>4002</v>
      </c>
      <c r="C132" s="22" t="s">
        <v>205</v>
      </c>
      <c r="D132" s="22" t="s">
        <v>724</v>
      </c>
      <c r="E132" s="13">
        <v>42731.794409722221</v>
      </c>
      <c r="F132" s="13">
        <v>42731.794930555552</v>
      </c>
      <c r="G132" s="7">
        <v>0</v>
      </c>
      <c r="H132" s="22" t="s">
        <v>725</v>
      </c>
      <c r="I132" s="13">
        <v>42731.806319444448</v>
      </c>
      <c r="J132" s="7">
        <v>0</v>
      </c>
      <c r="K132" s="109" t="str">
        <f>IF(ISEVEN(B132),(B132-1)&amp;"/"&amp;B132,B132&amp;"/"&amp;(B132+1))</f>
        <v>4001/4002</v>
      </c>
      <c r="L132" s="22" t="str">
        <f>VLOOKUP(A132,'Trips&amp;Operators'!$C$1:$G$99999,5,FALSE)</f>
        <v>STAMBAUGH JAMES</v>
      </c>
      <c r="M132" s="6">
        <f>I132-F132</f>
        <v>1.138888889545342E-2</v>
      </c>
      <c r="N132" s="7"/>
      <c r="O132" s="7"/>
      <c r="P132" s="7">
        <f>24*60*SUM($M132:$M133)</f>
        <v>40.750000012340024</v>
      </c>
      <c r="Q132" s="23"/>
      <c r="R132" s="23" t="s">
        <v>823</v>
      </c>
      <c r="S132" s="35">
        <f>SUM(U132:U133)/IF(AG132="EC",12,1)</f>
        <v>0.83333333333333337</v>
      </c>
      <c r="T132" s="50" t="str">
        <f>IF(ISEVEN(LEFT(AD132,4)),"Southbound","NorthBound")</f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https://search-rtdc-monitor-bjffxe2xuh6vdkpspy63sjmuny.us-east-1.es.amazonaws.com/_plugin/kibana/#/discover/Steve-Slow-Train-Analysis-(2080s-and-2083s)?_g=(refreshInterval:(display:Off,section:0,value:0),time:(from:'2016-12-27 18:03:57-700',mode:absolute,to:'2016-12-27 20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52" t="str">
        <f>IF(AA132&lt;IF(AG132="EC",23,5.65),"Y","N")</f>
        <v>Y</v>
      </c>
      <c r="X132" s="177">
        <f>VALUE(LEFT(AD132,4))-VALUE(LEFT(AD131,4))</f>
        <v>1</v>
      </c>
      <c r="Y132" s="67">
        <f>RIGHT(D132,LEN(D132)-4)/10000</f>
        <v>12.824400000000001</v>
      </c>
      <c r="Z132" s="67">
        <f>RIGHT(H132,LEN(H132)-4)/10000</f>
        <v>23.3385</v>
      </c>
      <c r="AA132" s="67">
        <f>ABS(Z132-Y132)</f>
        <v>10.514099999999999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>IF(LEN(A132)=6,"0"&amp;A132,A132)</f>
        <v>0219-27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/stypes="app*4002*20161228*"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6"/>
        <v>"%USERPROFILE%\Documents\GitHub\eaglep3\Utilities\RefineRTDCRunTimes.py" --tripid 219-27 --locoid 4002 --swversion DE.1.0.8.0 --startMP 204:128244 --initTime 2016-12-27T19:03:57 --startdatetime 2016-12-27T19:04:42 --delay 0 --endMP 204:233385 --enddatetime 2016-12-27T19:21:06 --enforcementcount 0 &gt;&gt;C:\Users\stu\Documents\GitHub\eaglep3-reporting\EC\2016-12-27-refined-times.txt</v>
      </c>
      <c r="AI132" s="119" t="str">
        <f t="shared" si="7"/>
        <v>echo {"issue":{"subject":"CP Sable offline due to UP maintenance","project_id":79,"tracker_id":40,"status_id":1,"priority_id":2,"assigned_to_id":23,"start_date":"2016-12-27","description":"","custom_fields":[{"id":1,"name":"Subdivision","value":"EC"},{"id":4,"name":"Milepost","value":"23.3385"},{"id":17,"name":"Train ID","value":"219-27"},{"id":16,"name":"Locomotive ID","value":"4002"},{"id":130,"name":"Impact","value":""},{"id":150,"name":"Time of Event (Mountain Time)","value":"19:21:06"},{"id":151,"name":"Denver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s="21" customFormat="1" x14ac:dyDescent="0.25">
      <c r="A133" s="37" t="s">
        <v>614</v>
      </c>
      <c r="B133" s="7">
        <v>4002</v>
      </c>
      <c r="C133" s="22" t="s">
        <v>205</v>
      </c>
      <c r="D133" s="22" t="s">
        <v>726</v>
      </c>
      <c r="E133" s="13">
        <v>42731.767997685187</v>
      </c>
      <c r="F133" s="13">
        <v>42731.769733796296</v>
      </c>
      <c r="G133" s="7">
        <v>2</v>
      </c>
      <c r="H133" s="22" t="s">
        <v>727</v>
      </c>
      <c r="I133" s="13">
        <v>42731.786643518521</v>
      </c>
      <c r="J133" s="7">
        <v>0</v>
      </c>
      <c r="K133" s="109" t="str">
        <f>IF(ISEVEN(B133),(B133-1)&amp;"/"&amp;B133,B133&amp;"/"&amp;(B133+1))</f>
        <v>4001/4002</v>
      </c>
      <c r="L133" s="22" t="str">
        <f>VLOOKUP(A133,'Trips&amp;Operators'!$C$1:$G$99999,5,FALSE)</f>
        <v>STAMBAUGH JAMES</v>
      </c>
      <c r="M133" s="6">
        <f>I133-F133</f>
        <v>1.6909722224227153E-2</v>
      </c>
      <c r="N133" s="7"/>
      <c r="O133" s="7"/>
      <c r="P133" s="7"/>
      <c r="Q133" s="23"/>
      <c r="R133" s="23"/>
      <c r="S133" s="35"/>
      <c r="T133" s="50" t="str">
        <f>IF(ISEVEN(LEFT(AD133,4)),"Southbound","NorthBound")</f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10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https://search-rtdc-monitor-bjffxe2xuh6vdkpspy63sjmuny.us-east-1.es.amazonaws.com/_plugin/kibana/#/discover/Steve-Slow-Train-Analysis-(2080s-and-2083s)?_g=(refreshInterval:(display:Off,section:0,value:0),time:(from:'2016-12-27 17:25:55-700',mode:absolute,to:'2016-12-27 19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3" s="52" t="str">
        <f>IF(AA133&lt;IF(AG133="EC",23,5.65),"Y","N")</f>
        <v>Y</v>
      </c>
      <c r="X133" s="177">
        <f>VALUE(LEFT(AD133,4))-VALUE(LEFT(AD132,4))</f>
        <v>0</v>
      </c>
      <c r="Y133" s="67">
        <f>RIGHT(D133,LEN(D133)-4)/10000</f>
        <v>5.04E-2</v>
      </c>
      <c r="Z133" s="67">
        <f>RIGHT(H133,LEN(H133)-4)/10000</f>
        <v>10.2982</v>
      </c>
      <c r="AA133" s="67">
        <f>ABS(Z133-Y133)</f>
        <v>10.2478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>IF(LEN(A133)=6,"0"&amp;A133,A133)</f>
        <v>0219-27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/stypes="app*4002*20161228*" /stext=" 01:.+((SYSTEM_STATE.+slice.+state.+changed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6"/>
        <v>"%USERPROFILE%\Documents\GitHub\eaglep3\Utilities\RefineRTDCRunTimes.py" --tripid 219-27 --locoid 4002 --swversion DE.1.0.8.0 --startMP 204:504 --initTime 2016-12-27T18:25:55 --startdatetime 2016-12-27T18:28:25 --delay 2 --endMP 204:102982 --enddatetime 2016-12-27T18:52:46 --enforcementcount 0 &gt;&gt;C:\Users\stu\Documents\GitHub\eaglep3-reporting\EC\2016-12-27-refined-times.txt</v>
      </c>
      <c r="AI133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{"issue":{"subject":"","project_id":79,"tracker_id":40,"status_id":1,"priority_id":2,"assigned_to_id":23,"start_date":"2016-12-27","description":"","custom_fields":[{"id":1,"name":"Subdivision","value":"EC"},{"id":4,"name":"Milepost","value":"10.2982"},{"id":17,"name":"Train ID","value":"219-27"},{"id":16,"name":"Locomotive ID","value":"4002"},{"id":130,"name":"Impact","value":""},{"id":150,"name":"Time of Event (Mountain Time)","value":"18:52:46"},{"id":151,"name":"Denver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624</v>
      </c>
      <c r="B134" s="7">
        <v>4001</v>
      </c>
      <c r="C134" s="22" t="s">
        <v>205</v>
      </c>
      <c r="D134" s="22" t="s">
        <v>728</v>
      </c>
      <c r="E134" s="13">
        <v>42731.808321759258</v>
      </c>
      <c r="F134" s="13">
        <v>42731.810520833336</v>
      </c>
      <c r="G134" s="7">
        <v>1</v>
      </c>
      <c r="H134" s="22" t="s">
        <v>233</v>
      </c>
      <c r="I134" s="13">
        <v>42731.836504629631</v>
      </c>
      <c r="J134" s="7">
        <v>1</v>
      </c>
      <c r="K134" s="109" t="str">
        <f>IF(ISEVEN(B134),(B134-1)&amp;"/"&amp;B134,B134&amp;"/"&amp;(B134+1))</f>
        <v>4001/4002</v>
      </c>
      <c r="L134" s="22" t="str">
        <f>VLOOKUP(A134,'Trips&amp;Operators'!$C$1:$G$99999,5,FALSE)</f>
        <v>STAMBAUGH JAMES</v>
      </c>
      <c r="M134" s="6">
        <f>I134-F134</f>
        <v>2.5983796294895001E-2</v>
      </c>
      <c r="N134" s="7">
        <f>24*60*SUM($M134:$M134)</f>
        <v>37.416666664648801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https://search-rtdc-monitor-bjffxe2xuh6vdkpspy63sjmuny.us-east-1.es.amazonaws.com/_plugin/kibana/#/discover/Steve-Slow-Train-Analysis-(2080s-and-2083s)?_g=(refreshInterval:(display:Off,section:0,value:0),time:(from:'2016-12-27 18:23:59-700',mode:absolute,to:'2016-12-27 21:04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4" s="52" t="str">
        <f>IF(AA134&lt;IF(AG134="EC",23,5.65),"Y","N")</f>
        <v>N</v>
      </c>
      <c r="X134" s="177">
        <f>VALUE(LEFT(AD134,4))-VALUE(LEFT(AD133,4))</f>
        <v>1</v>
      </c>
      <c r="Y134" s="67">
        <f>RIGHT(D134,LEN(D134)-4)/10000</f>
        <v>23.305700000000002</v>
      </c>
      <c r="Z134" s="67">
        <f>RIGHT(H134,LEN(H134)-4)/10000</f>
        <v>1.4500000000000001E-2</v>
      </c>
      <c r="AA134" s="67">
        <f>ABS(Z134-Y134)</f>
        <v>23.2912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>IF(LEN(A134)=6,"0"&amp;A134,A134)</f>
        <v>0220-27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/stypes="app*4001*20161228*" /stext=" 03:.+((SYSTEM_STATE.+slice.+state.+changed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6"/>
        <v>"%USERPROFILE%\Documents\GitHub\eaglep3\Utilities\RefineRTDCRunTimes.py" --tripid 220-27 --locoid 4001 --swversion DE.1.0.8.0 --startMP 204:233057 --initTime 2016-12-27T19:23:59 --startdatetime 2016-12-27T19:27:09 --delay 1 --endMP 204:145 --enddatetime 2016-12-27T20:04:34 --enforcementcount 1 &gt;&gt;C:\Users\stu\Documents\GitHub\eaglep3-reporting\EC\2016-12-27-refined-times.txt</v>
      </c>
      <c r="AI134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{"issue":{"subject":"","project_id":79,"tracker_id":40,"status_id":1,"priority_id":2,"assigned_to_id":23,"start_date":"2016-12-27","description":"","custom_fields":[{"id":1,"name":"Subdivision","value":"EC"},{"id":4,"name":"Milepost","value":"0.0145"},{"id":17,"name":"Train ID","value":"220-27"},{"id":16,"name":"Locomotive ID","value":"4001"},{"id":130,"name":"Impact","value":""},{"id":150,"name":"Time of Event (Mountain Time)","value":"20:04:34"},{"id":151,"name":"Denver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620</v>
      </c>
      <c r="B135" s="7">
        <v>4016</v>
      </c>
      <c r="C135" s="22" t="s">
        <v>205</v>
      </c>
      <c r="D135" s="22" t="s">
        <v>729</v>
      </c>
      <c r="E135" s="13">
        <v>42731.790196759262</v>
      </c>
      <c r="F135" s="13">
        <v>42731.831307870372</v>
      </c>
      <c r="G135" s="7">
        <v>1</v>
      </c>
      <c r="H135" s="22" t="s">
        <v>369</v>
      </c>
      <c r="I135" s="13">
        <v>42731.860625000001</v>
      </c>
      <c r="J135" s="7">
        <v>1</v>
      </c>
      <c r="K135" s="109" t="str">
        <f>IF(ISEVEN(B135),(B135-1)&amp;"/"&amp;B135,B135&amp;"/"&amp;(B135+1))</f>
        <v>4015/4016</v>
      </c>
      <c r="L135" s="22" t="str">
        <f>VLOOKUP(A135,'Trips&amp;Operators'!$C$1:$G$99999,5,FALSE)</f>
        <v>CHANDLER KELVIN</v>
      </c>
      <c r="M135" s="6">
        <f>I135-F135</f>
        <v>2.9317129628907423E-2</v>
      </c>
      <c r="N135" s="7">
        <f>24*60*SUM($M135:$M135)</f>
        <v>42.21666666562669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https://search-rtdc-monitor-bjffxe2xuh6vdkpspy63sjmuny.us-east-1.es.amazonaws.com/_plugin/kibana/#/discover/Steve-Slow-Train-Analysis-(2080s-and-2083s)?_g=(refreshInterval:(display:Off,section:0,value:0),time:(from:'2016-12-27 17:57:53-700',mode:absolute,to:'2016-12-27 21:39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5" s="52" t="str">
        <f>IF(AA135&lt;IF(AG135="EC",23,5.65),"Y","N")</f>
        <v>N</v>
      </c>
      <c r="X135" s="177">
        <f>VALUE(LEFT(AD135,4))-VALUE(LEFT(AD134,4))</f>
        <v>1</v>
      </c>
      <c r="Y135" s="67">
        <f>RIGHT(D135,LEN(D135)-4)/10000</f>
        <v>4.2700000000000002E-2</v>
      </c>
      <c r="Z135" s="67">
        <f>RIGHT(H135,LEN(H135)-4)/10000</f>
        <v>23.3306</v>
      </c>
      <c r="AA135" s="67">
        <f>ABS(Z135-Y135)</f>
        <v>23.2879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>IF(LEN(A135)=6,"0"&amp;A135,A135)</f>
        <v>0221-27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s3://rtdc.mdm.uploadarchive.raw/RTDC4016/ "%USERPROFILE%\AppData\Local\Temp\OnboardLogs"\RTDC4016\2016-12-27 --exclude "*" --recursive --include "*20161227*" &amp; "%USERPROFILE%\Documents\GitHub\mrs-test-scripts\Headless Mode &amp; Sideloading\WalkAndUnGZ.bat" "%USERPROFILE%\AppData\Local\Temp\OnboardLogs"\RTDC4016\2016-12-27 &amp; aws s3 cp s3://rtdc.mdm.uploadarchive.raw/RTDC4016/ "%USERPROFILE%\AppData\Local\Temp\OnboardLogs"\RTDC4016\2016-12-28 --exclude "*" --recursive --include "*20161228*" &amp; "%USERPROFILE%\Documents\GitHub\mrs-test-scripts\Headless Mode &amp; Sideloading\WalkAndUnGZ.bat" "%USERPROFILE%\AppData\Local\Temp\OnboardLogs"\RTDC4016\2016-12-28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/stypes="app*4016*20161228*"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6"/>
        <v>"%USERPROFILE%\Documents\GitHub\eaglep3\Utilities\RefineRTDCRunTimes.py" --tripid 221-27 --locoid 4016 --swversion DE.1.0.8.0 --startMP 204:427 --initTime 2016-12-27T18:57:53 --startdatetime 2016-12-27T19:57:05 --delay 1 --endMP 204:233306 --enddatetime 2016-12-27T20:39:18 --enforcementcount 1 &gt;&gt;C:\Users\stu\Documents\GitHub\eaglep3-reporting\EC\2016-12-27-refined-times.txt</v>
      </c>
      <c r="AI135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{"issue":{"subject":"","project_id":79,"tracker_id":40,"status_id":1,"priority_id":2,"assigned_to_id":23,"start_date":"2016-12-27","description":"","custom_fields":[{"id":1,"name":"Subdivision","value":"EC"},{"id":4,"name":"Milepost","value":"23.3306"},{"id":17,"name":"Train ID","value":"221-27"},{"id":16,"name":"Locomotive ID","value":"4016"},{"id":130,"name":"Impact","value":""},{"id":150,"name":"Time of Event (Mountain Time)","value":"20:39:18"},{"id":151,"name":"Denver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s="21" customFormat="1" x14ac:dyDescent="0.25">
      <c r="A136" s="37" t="s">
        <v>630</v>
      </c>
      <c r="B136" s="7">
        <v>4015</v>
      </c>
      <c r="C136" s="22" t="s">
        <v>205</v>
      </c>
      <c r="D136" s="22" t="s">
        <v>325</v>
      </c>
      <c r="E136" s="13">
        <v>42731.830254629633</v>
      </c>
      <c r="F136" s="13">
        <v>42731.831307870372</v>
      </c>
      <c r="G136" s="7">
        <v>1</v>
      </c>
      <c r="H136" s="22" t="s">
        <v>730</v>
      </c>
      <c r="I136" s="13">
        <v>42731.860625000001</v>
      </c>
      <c r="J136" s="7">
        <v>1</v>
      </c>
      <c r="K136" s="109" t="str">
        <f>IF(ISEVEN(B136),(B136-1)&amp;"/"&amp;B136,B136&amp;"/"&amp;(B136+1))</f>
        <v>4015/4016</v>
      </c>
      <c r="L136" s="22" t="str">
        <f>VLOOKUP(A136,'Trips&amp;Operators'!$C$1:$G$99999,5,FALSE)</f>
        <v>CHANDLER KELVIN</v>
      </c>
      <c r="M136" s="6">
        <f>I136-F136</f>
        <v>2.9317129628907423E-2</v>
      </c>
      <c r="N136" s="7">
        <f>24*60*SUM($M136:$M136)</f>
        <v>42.21666666562669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https://search-rtdc-monitor-bjffxe2xuh6vdkpspy63sjmuny.us-east-1.es.amazonaws.com/_plugin/kibana/#/discover/Steve-Slow-Train-Analysis-(2080s-and-2083s)?_g=(refreshInterval:(display:Off,section:0,value:0),time:(from:'2016-12-27 18:55:34-700',mode:absolute,to:'2016-12-27 21:39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6" s="52" t="str">
        <f>IF(AA136&lt;IF(AG136="EC",23,5.65),"Y","N")</f>
        <v>N</v>
      </c>
      <c r="X136" s="177">
        <f>VALUE(LEFT(AD136,4))-VALUE(LEFT(AD135,4))</f>
        <v>1</v>
      </c>
      <c r="Y136" s="67">
        <f>RIGHT(D136,LEN(D136)-4)/10000</f>
        <v>23.2987</v>
      </c>
      <c r="Z136" s="67">
        <f>RIGHT(H136,LEN(H136)-4)/10000</f>
        <v>1.32E-2</v>
      </c>
      <c r="AA136" s="67">
        <f>ABS(Z136-Y136)</f>
        <v>23.285499999999999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>IF(LEN(A136)=6,"0"&amp;A136,A136)</f>
        <v>0222-27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 &amp; aws s3 cp s3://rtdc.mdm.uploadarchive.raw/RTDC4015/ "%USERPROFILE%\AppData\Local\Temp\OnboardLogs"\RTDC4015\2016-12-28 --exclude "*" --recursive --include "*20161228*" &amp; "%USERPROFILE%\Documents\GitHub\mrs-test-scripts\Headless Mode &amp; Sideloading\WalkAndUnGZ.bat" "%USERPROFILE%\AppData\Local\Temp\OnboardLogs"\RTDC4015\2016-12-28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/stypes="app*4015*20161228*"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6"/>
        <v>"%USERPROFILE%\Documents\GitHub\eaglep3\Utilities\RefineRTDCRunTimes.py" --tripid 222-27 --locoid 4015 --swversion DE.1.0.8.0 --startMP 204:232987 --initTime 2016-12-27T19:55:34 --startdatetime 2016-12-27T19:57:05 --delay 1 --endMP 204:132 --enddatetime 2016-12-27T20:39:18 --enforcementcount 1 &gt;&gt;C:\Users\stu\Documents\GitHub\eaglep3-reporting\EC\2016-12-27-refined-times.txt</v>
      </c>
      <c r="AI136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{"issue":{"subject":"","project_id":79,"tracker_id":40,"status_id":1,"priority_id":2,"assigned_to_id":23,"start_date":"2016-12-27","description":"","custom_fields":[{"id":1,"name":"Subdivision","value":"EC"},{"id":4,"name":"Milepost","value":"0.0132"},{"id":17,"name":"Train ID","value":"222-27"},{"id":16,"name":"Locomotive ID","value":"4015"},{"id":130,"name":"Impact","value":""},{"id":150,"name":"Time of Event (Mountain Time)","value":"20:39:18"},{"id":151,"name":"Denver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626</v>
      </c>
      <c r="B137" s="7">
        <v>4051</v>
      </c>
      <c r="C137" s="22" t="s">
        <v>205</v>
      </c>
      <c r="D137" s="22" t="s">
        <v>344</v>
      </c>
      <c r="E137" s="13">
        <v>42731.8127662037</v>
      </c>
      <c r="F137" s="13">
        <v>42731.814768518518</v>
      </c>
      <c r="G137" s="7">
        <v>1</v>
      </c>
      <c r="H137" s="22" t="s">
        <v>310</v>
      </c>
      <c r="I137" s="13">
        <v>42731.839456018519</v>
      </c>
      <c r="J137" s="7">
        <v>1</v>
      </c>
      <c r="K137" s="109" t="str">
        <f>IF(ISEVEN(B137),(B137-1)&amp;"/"&amp;B137,B137&amp;"/"&amp;(B137+1))</f>
        <v>4051/4052</v>
      </c>
      <c r="L137" s="22" t="str">
        <f>VLOOKUP(A137,'Trips&amp;Operators'!$C$1:$G$99999,5,FALSE)</f>
        <v>LALONDE GREGORY</v>
      </c>
      <c r="M137" s="6">
        <f>I137-F137</f>
        <v>2.4687500001164153E-2</v>
      </c>
      <c r="N137" s="7">
        <f>24*60*SUM($M137:$M137)</f>
        <v>35.550000001676381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https://search-rtdc-monitor-bjffxe2xuh6vdkpspy63sjmuny.us-east-1.es.amazonaws.com/_plugin/kibana/#/discover/Steve-Slow-Train-Analysis-(2080s-and-2083s)?_g=(refreshInterval:(display:Off,section:0,value:0),time:(from:'2016-12-27 18:30:23-700',mode:absolute,to:'2016-12-27 21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37" s="52" t="str">
        <f>IF(AA137&lt;IF(AG137="EC",23,5.65),"Y","N")</f>
        <v>N</v>
      </c>
      <c r="X137" s="177">
        <f>VALUE(LEFT(AD137,4))-VALUE(LEFT(AD136,4))</f>
        <v>1</v>
      </c>
      <c r="Y137" s="67">
        <f>RIGHT(D137,LEN(D137)-4)/10000</f>
        <v>4.5699999999999998E-2</v>
      </c>
      <c r="Z137" s="67">
        <f>RIGHT(H137,LEN(H137)-4)/10000</f>
        <v>23.33</v>
      </c>
      <c r="AA137" s="67">
        <f>ABS(Z137-Y137)</f>
        <v>23.284299999999998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>IF(LEN(A137)=6,"0"&amp;A137,A137)</f>
        <v>0223-27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/stypes="app*4051*20161228*"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6"/>
        <v>"%USERPROFILE%\Documents\GitHub\eaglep3\Utilities\RefineRTDCRunTimes.py" --tripid 223-27 --locoid 4051 --swversion DE.1.0.8.0 --startMP 204:457 --initTime 2016-12-27T19:30:23 --startdatetime 2016-12-27T19:33:16 --delay 1 --endMP 204:233300 --enddatetime 2016-12-27T20:08:49 --enforcementcount 1 &gt;&gt;C:\Users\stu\Documents\GitHub\eaglep3-reporting\EC\2016-12-27-refined-times.txt</v>
      </c>
      <c r="AI137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{"issue":{"subject":"","project_id":79,"tracker_id":40,"status_id":1,"priority_id":2,"assigned_to_id":23,"start_date":"2016-12-27","description":"","custom_fields":[{"id":1,"name":"Subdivision","value":"EC"},{"id":4,"name":"Milepost","value":"23.33"},{"id":17,"name":"Train ID","value":"223-27"},{"id":16,"name":"Locomotive ID","value":"4051"},{"id":130,"name":"Impact","value":""},{"id":150,"name":"Time of Event (Mountain Time)","value":"20:08:49"},{"id":151,"name":"Denver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633</v>
      </c>
      <c r="B138" s="7">
        <v>4052</v>
      </c>
      <c r="C138" s="22" t="s">
        <v>205</v>
      </c>
      <c r="D138" s="22" t="s">
        <v>325</v>
      </c>
      <c r="E138" s="13">
        <v>42731.841365740744</v>
      </c>
      <c r="F138" s="13">
        <v>42731.851782407408</v>
      </c>
      <c r="G138" s="7">
        <v>1</v>
      </c>
      <c r="H138" s="22" t="s">
        <v>224</v>
      </c>
      <c r="I138" s="13">
        <v>42731.878969907404</v>
      </c>
      <c r="J138" s="7">
        <v>1</v>
      </c>
      <c r="K138" s="109" t="str">
        <f>IF(ISEVEN(B138),(B138-1)&amp;"/"&amp;B138,B138&amp;"/"&amp;(B138+1))</f>
        <v>4051/4052</v>
      </c>
      <c r="L138" s="22" t="str">
        <f>VLOOKUP(A138,'Trips&amp;Operators'!$C$1:$G$99999,5,FALSE)</f>
        <v>LALONDE GREGORY</v>
      </c>
      <c r="M138" s="6">
        <f>I138-F138</f>
        <v>2.7187499996216502E-2</v>
      </c>
      <c r="N138" s="7">
        <f>24*60*SUM($M138:$M138)</f>
        <v>39.149999994551763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https://search-rtdc-monitor-bjffxe2xuh6vdkpspy63sjmuny.us-east-1.es.amazonaws.com/_plugin/kibana/#/discover/Steve-Slow-Train-Analysis-(2080s-and-2083s)?_g=(refreshInterval:(display:Off,section:0,value:0),time:(from:'2016-12-27 19:11:34-700',mode:absolute,to:'2016-12-27 22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38" s="52" t="str">
        <f>IF(AA138&lt;IF(AG138="EC",23,5.65),"Y","N")</f>
        <v>N</v>
      </c>
      <c r="X138" s="177">
        <f>VALUE(LEFT(AD138,4))-VALUE(LEFT(AD137,4))</f>
        <v>1</v>
      </c>
      <c r="Y138" s="67">
        <f>RIGHT(D138,LEN(D138)-4)/10000</f>
        <v>23.2987</v>
      </c>
      <c r="Z138" s="67">
        <f>RIGHT(H138,LEN(H138)-4)/10000</f>
        <v>1.54E-2</v>
      </c>
      <c r="AA138" s="67">
        <f>ABS(Z138-Y138)</f>
        <v>23.283300000000001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>IF(LEN(A138)=6,"0"&amp;A138,A138)</f>
        <v>0224-27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/stypes="app*4052*20161228*"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6"/>
        <v>"%USERPROFILE%\Documents\GitHub\eaglep3\Utilities\RefineRTDCRunTimes.py" --tripid 224-27 --locoid 4052 --swversion DE.1.0.8.0 --startMP 204:232987 --initTime 2016-12-27T20:11:34 --startdatetime 2016-12-27T20:26:34 --delay 1 --endMP 204:154 --enddatetime 2016-12-27T21:05:43 --enforcementcount 1 &gt;&gt;C:\Users\stu\Documents\GitHub\eaglep3-reporting\EC\2016-12-27-refined-times.txt</v>
      </c>
      <c r="AI138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{"issue":{"subject":"","project_id":79,"tracker_id":40,"status_id":1,"priority_id":2,"assigned_to_id":23,"start_date":"2016-12-27","description":"","custom_fields":[{"id":1,"name":"Subdivision","value":"EC"},{"id":4,"name":"Milepost","value":"0.0154"},{"id":17,"name":"Train ID","value":"224-27"},{"id":16,"name":"Locomotive ID","value":"4052"},{"id":130,"name":"Impact","value":""},{"id":150,"name":"Time of Event (Mountain Time)","value":"21:05:43"},{"id":151,"name":"Denver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631</v>
      </c>
      <c r="B139" s="7">
        <v>4042</v>
      </c>
      <c r="C139" s="22" t="s">
        <v>205</v>
      </c>
      <c r="D139" s="22" t="s">
        <v>194</v>
      </c>
      <c r="E139" s="13">
        <v>42731.833055555559</v>
      </c>
      <c r="F139" s="13">
        <v>42731.834675925929</v>
      </c>
      <c r="G139" s="7">
        <v>1</v>
      </c>
      <c r="H139" s="22" t="s">
        <v>305</v>
      </c>
      <c r="I139" s="13">
        <v>42731.860219907408</v>
      </c>
      <c r="J139" s="7">
        <v>1</v>
      </c>
      <c r="K139" s="109" t="str">
        <f>IF(ISEVEN(B139),(B139-1)&amp;"/"&amp;B139,B139&amp;"/"&amp;(B139+1))</f>
        <v>4041/4042</v>
      </c>
      <c r="L139" s="22" t="str">
        <f>VLOOKUP(A139,'Trips&amp;Operators'!$C$1:$G$99999,5,FALSE)</f>
        <v>SIMONEAUX TERA</v>
      </c>
      <c r="M139" s="6">
        <f>I139-F139</f>
        <v>2.5543981479131617E-2</v>
      </c>
      <c r="N139" s="7">
        <f>24*60*SUM($M139:$M139)</f>
        <v>36.783333329949528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https://search-rtdc-monitor-bjffxe2xuh6vdkpspy63sjmuny.us-east-1.es.amazonaws.com/_plugin/kibana/#/discover/Steve-Slow-Train-Analysis-(2080s-and-2083s)?_g=(refreshInterval:(display:Off,section:0,value:0),time:(from:'2016-12-27 18:59:36-700',mode:absolute,to:'2016-12-27 21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9" s="52" t="str">
        <f>IF(AA139&lt;IF(AG139="EC",23,5.65),"Y","N")</f>
        <v>N</v>
      </c>
      <c r="X139" s="177">
        <f>VALUE(LEFT(AD139,4))-VALUE(LEFT(AD138,4))</f>
        <v>1</v>
      </c>
      <c r="Y139" s="67">
        <f>RIGHT(D139,LEN(D139)-4)/10000</f>
        <v>4.5100000000000001E-2</v>
      </c>
      <c r="Z139" s="67">
        <f>RIGHT(H139,LEN(H139)-4)/10000</f>
        <v>23.329699999999999</v>
      </c>
      <c r="AA139" s="67">
        <f>ABS(Z139-Y139)</f>
        <v>23.284599999999998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>IF(LEN(A139)=6,"0"&amp;A139,A139)</f>
        <v>0225-27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/stypes="app*4042*20161228*" /stext=" 03:.+((SYSTEM_STATE.+slice.+state.+changed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6"/>
        <v>"%USERPROFILE%\Documents\GitHub\eaglep3\Utilities\RefineRTDCRunTimes.py" --tripid 225-27 --locoid 4042 --swversion DE.1.0.8.0 --startMP 204:451 --initTime 2016-12-27T19:59:36 --startdatetime 2016-12-27T20:01:56 --delay 1 --endMP 204:233297 --enddatetime 2016-12-27T20:38:43 --enforcementcount 1 &gt;&gt;C:\Users\stu\Documents\GitHub\eaglep3-reporting\EC\2016-12-27-refined-times.txt</v>
      </c>
      <c r="AI139" s="119" t="str">
        <f t="shared" si="7"/>
        <v>echo {"issue":{"subject":"","project_id":79,"tracker_id":40,"status_id":1,"priority_id":2,"assigned_to_id":23,"start_date":"2016-12-27","description":"","custom_fields":[{"id":1,"name":"Subdivision","value":"EC"},{"id":4,"name":"Milepost","value":"23.3297"},{"id":17,"name":"Train ID","value":"225-27"},{"id":16,"name":"Locomotive ID","value":"4042"},{"id":130,"name":"Impact","value":""},{"id":150,"name":"Time of Event (Mountain Time)","value":"20:38:43"},{"id":151,"name":"Denver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454</v>
      </c>
      <c r="B140" s="7">
        <v>4041</v>
      </c>
      <c r="C140" s="22" t="s">
        <v>205</v>
      </c>
      <c r="D140" s="22" t="s">
        <v>254</v>
      </c>
      <c r="E140" s="13">
        <v>42731.866840277777</v>
      </c>
      <c r="F140" s="13">
        <v>42731.872766203705</v>
      </c>
      <c r="G140" s="7">
        <v>1</v>
      </c>
      <c r="H140" s="22" t="s">
        <v>262</v>
      </c>
      <c r="I140" s="13">
        <v>42731.90252314815</v>
      </c>
      <c r="J140" s="7">
        <v>1</v>
      </c>
      <c r="K140" s="109" t="str">
        <f>IF(ISEVEN(B140),(B140-1)&amp;"/"&amp;B140,B140&amp;"/"&amp;(B140+1))</f>
        <v>4041/4042</v>
      </c>
      <c r="L140" s="22" t="str">
        <f>VLOOKUP(A140,'Trips&amp;Operators'!$C$1:$G$99999,5,FALSE)</f>
        <v>SIMONEAUX TERA</v>
      </c>
      <c r="M140" s="6">
        <f>I140-F140</f>
        <v>2.9756944444670808E-2</v>
      </c>
      <c r="N140" s="7">
        <f>24*60*SUM($M140:$M140)</f>
        <v>42.850000000325963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https://search-rtdc-monitor-bjffxe2xuh6vdkpspy63sjmuny.us-east-1.es.amazonaws.com/_plugin/kibana/#/discover/Steve-Slow-Train-Analysis-(2080s-and-2083s)?_g=(refreshInterval:(display:Off,section:0,value:0),time:(from:'2016-12-27 19:48:15-700',mode:absolute,to:'2016-12-27 22:39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0" s="52" t="str">
        <f>IF(AA140&lt;IF(AG140="EC",23,5.65),"Y","N")</f>
        <v>N</v>
      </c>
      <c r="X140" s="177">
        <f>VALUE(LEFT(AD140,4))-VALUE(LEFT(AD139,4))</f>
        <v>1</v>
      </c>
      <c r="Y140" s="67">
        <f>RIGHT(D140,LEN(D140)-4)/10000</f>
        <v>23.299399999999999</v>
      </c>
      <c r="Z140" s="67">
        <f>RIGHT(H140,LEN(H140)-4)/10000</f>
        <v>1.61E-2</v>
      </c>
      <c r="AA140" s="67">
        <f>ABS(Z140-Y140)</f>
        <v>23.283299999999997</v>
      </c>
      <c r="AB140" s="64" t="str">
        <f>VLOOKUP(A140,Enforcements!$C$7:$K$19,8,0)</f>
        <v>Bulletin (2)</v>
      </c>
      <c r="AC140" s="60" t="str">
        <f>VLOOKUP(A140,Enforcements!$C$7:$E$19,3,0)</f>
        <v>GRADE CROSSING</v>
      </c>
      <c r="AD140" s="61" t="str">
        <f>IF(LEN(A140)=6,"0"&amp;A140,A140)</f>
        <v>0226-27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/stypes="app*4041*20161228*"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ref="AH140:AH204" si="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226-27 --locoid 4041 --swversion DE.1.0.8.0 --startMP 204:232994 --initTime 2016-12-27T20:48:15 --startdatetime 2016-12-27T20:56:47 --delay 1 --endMP 204:161 --enddatetime 2016-12-27T21:39:38 --enforcementcount 1 &gt;&gt;C:\Users\stu\Documents\GitHub\eaglep3-reporting\EC\2016-12-27-refined-times.txt</v>
      </c>
      <c r="AI140" s="119" t="str">
        <f t="shared" ref="AI140:AI204" si="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{"issue":{"subject":"","project_id":79,"tracker_id":40,"status_id":1,"priority_id":2,"assigned_to_id":23,"start_date":"2016-12-27","description":"","custom_fields":[{"id":1,"name":"Subdivision","value":"EC"},{"id":4,"name":"Milepost","value":"0.0161"},{"id":17,"name":"Train ID","value":"226-27"},{"id":16,"name":"Locomotive ID","value":"4041"},{"id":130,"name":"Impact","value":""},{"id":150,"name":"Time of Event (Mountain Time)","value":"21:39:38"},{"id":151,"name":"Denver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632</v>
      </c>
      <c r="B141" s="7">
        <v>4002</v>
      </c>
      <c r="C141" s="22" t="s">
        <v>205</v>
      </c>
      <c r="D141" s="22" t="s">
        <v>344</v>
      </c>
      <c r="E141" s="13">
        <v>42731.837685185186</v>
      </c>
      <c r="F141" s="13">
        <v>42731.854699074072</v>
      </c>
      <c r="G141" s="7">
        <v>1</v>
      </c>
      <c r="H141" s="22" t="s">
        <v>275</v>
      </c>
      <c r="I141" s="13">
        <v>42731.87841435185</v>
      </c>
      <c r="J141" s="7">
        <v>1</v>
      </c>
      <c r="K141" s="109" t="str">
        <f>IF(ISEVEN(B141),(B141-1)&amp;"/"&amp;B141,B141&amp;"/"&amp;(B141+1))</f>
        <v>4001/4002</v>
      </c>
      <c r="L141" s="22" t="str">
        <f>VLOOKUP(A141,'Trips&amp;Operators'!$C$1:$G$99999,5,FALSE)</f>
        <v>STAMBAUGH JAMES</v>
      </c>
      <c r="M141" s="6">
        <f>I141-F141</f>
        <v>2.3715277777228039E-2</v>
      </c>
      <c r="N141" s="7">
        <f>24*60*SUM($M141:$M141)</f>
        <v>34.149999999208376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https://search-rtdc-monitor-bjffxe2xuh6vdkpspy63sjmuny.us-east-1.es.amazonaws.com/_plugin/kibana/#/discover/Steve-Slow-Train-Analysis-(2080s-and-2083s)?_g=(refreshInterval:(display:Off,section:0,value:0),time:(from:'2016-12-27 19:06:16-700',mode:absolute,to:'2016-12-27 22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1" s="52" t="str">
        <f>IF(AA141&lt;IF(AG141="EC",23,5.65),"Y","N")</f>
        <v>N</v>
      </c>
      <c r="X141" s="177">
        <f>VALUE(LEFT(AD141,4))-VALUE(LEFT(AD140,4))</f>
        <v>1</v>
      </c>
      <c r="Y141" s="67">
        <f>RIGHT(D141,LEN(D141)-4)/10000</f>
        <v>4.5699999999999998E-2</v>
      </c>
      <c r="Z141" s="67">
        <f>RIGHT(H141,LEN(H141)-4)/10000</f>
        <v>23.329799999999999</v>
      </c>
      <c r="AA141" s="67">
        <f>ABS(Z141-Y141)</f>
        <v>23.284099999999999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>IF(LEN(A141)=6,"0"&amp;A141,A141)</f>
        <v>0227-27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/stypes="app*4002*20161228*"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8"/>
        <v>"%USERPROFILE%\Documents\GitHub\eaglep3\Utilities\RefineRTDCRunTimes.py" --tripid 227-27 --locoid 4002 --swversion DE.1.0.8.0 --startMP 204:457 --initTime 2016-12-27T20:06:16 --startdatetime 2016-12-27T20:30:46 --delay 1 --endMP 204:233298 --enddatetime 2016-12-27T21:04:55 --enforcementcount 1 &gt;&gt;C:\Users\stu\Documents\GitHub\eaglep3-reporting\EC\2016-12-27-refined-times.txt</v>
      </c>
      <c r="AI141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{"issue":{"subject":"","project_id":79,"tracker_id":40,"status_id":1,"priority_id":2,"assigned_to_id":23,"start_date":"2016-12-27","description":"","custom_fields":[{"id":1,"name":"Subdivision","value":"EC"},{"id":4,"name":"Milepost","value":"23.3298"},{"id":17,"name":"Train ID","value":"227-27"},{"id":16,"name":"Locomotive ID","value":"4002"},{"id":130,"name":"Impact","value":""},{"id":150,"name":"Time of Event (Mountain Time)","value":"21:04:55"},{"id":151,"name":"Denver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639</v>
      </c>
      <c r="B142" s="7">
        <v>4001</v>
      </c>
      <c r="C142" s="22" t="s">
        <v>205</v>
      </c>
      <c r="D142" s="22" t="s">
        <v>322</v>
      </c>
      <c r="E142" s="13">
        <v>42731.891504629632</v>
      </c>
      <c r="F142" s="13">
        <v>42731.893518518518</v>
      </c>
      <c r="G142" s="7">
        <v>1</v>
      </c>
      <c r="H142" s="22" t="s">
        <v>320</v>
      </c>
      <c r="I142" s="13">
        <v>42731.92015046296</v>
      </c>
      <c r="J142" s="7">
        <v>1</v>
      </c>
      <c r="K142" s="109" t="str">
        <f>IF(ISEVEN(B142),(B142-1)&amp;"/"&amp;B142,B142&amp;"/"&amp;(B142+1))</f>
        <v>4001/4002</v>
      </c>
      <c r="L142" s="22" t="str">
        <f>VLOOKUP(A142,'Trips&amp;Operators'!$C$1:$G$99999,5,FALSE)</f>
        <v>STAMBAUGH JAMES</v>
      </c>
      <c r="M142" s="6">
        <f>I142-F142</f>
        <v>2.6631944441760425E-2</v>
      </c>
      <c r="N142" s="7">
        <f>24*60*SUM($M142:$M142)</f>
        <v>38.349999996135011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https://search-rtdc-monitor-bjffxe2xuh6vdkpspy63sjmuny.us-east-1.es.amazonaws.com/_plugin/kibana/#/discover/Steve-Slow-Train-Analysis-(2080s-and-2083s)?_g=(refreshInterval:(display:Off,section:0,value:0),time:(from:'2016-12-27 20:23:46-700',mode:absolute,to:'2016-12-27 23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2" s="52" t="str">
        <f>IF(AA142&lt;IF(AG142="EC",23,5.65),"Y","N")</f>
        <v>N</v>
      </c>
      <c r="X142" s="177">
        <f>VALUE(LEFT(AD142,4))-VALUE(LEFT(AD141,4))</f>
        <v>1</v>
      </c>
      <c r="Y142" s="67">
        <f>RIGHT(D142,LEN(D142)-4)/10000</f>
        <v>23.296600000000002</v>
      </c>
      <c r="Z142" s="67">
        <f>RIGHT(H142,LEN(H142)-4)/10000</f>
        <v>1.5800000000000002E-2</v>
      </c>
      <c r="AA142" s="67">
        <f>ABS(Z142-Y142)</f>
        <v>23.280800000000003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>IF(LEN(A142)=6,"0"&amp;A142,A142)</f>
        <v>0228-27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/stypes="app*4001*20161228*" /stext=" 05:.+((SYSTEM_STATE.+slice.+state.+changed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si="8"/>
        <v>"%USERPROFILE%\Documents\GitHub\eaglep3\Utilities\RefineRTDCRunTimes.py" --tripid 228-27 --locoid 4001 --swversion DE.1.0.8.0 --startMP 204:232966 --initTime 2016-12-27T21:23:46 --startdatetime 2016-12-27T21:26:40 --delay 1 --endMP 204:158 --enddatetime 2016-12-27T22:05:01 --enforcementcount 1 &gt;&gt;C:\Users\stu\Documents\GitHub\eaglep3-reporting\EC\2016-12-27-refined-times.txt</v>
      </c>
      <c r="AI142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{"issue":{"subject":"","project_id":79,"tracker_id":40,"status_id":1,"priority_id":2,"assigned_to_id":23,"start_date":"2016-12-27","description":"","custom_fields":[{"id":1,"name":"Subdivision","value":"EC"},{"id":4,"name":"Milepost","value":"0.0158"},{"id":17,"name":"Train ID","value":"228-27"},{"id":16,"name":"Locomotive ID","value":"4001"},{"id":130,"name":"Impact","value":""},{"id":150,"name":"Time of Event (Mountain Time)","value":"22:05:01"},{"id":151,"name":"Denver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636</v>
      </c>
      <c r="B143" s="7">
        <v>4016</v>
      </c>
      <c r="C143" s="22" t="s">
        <v>205</v>
      </c>
      <c r="D143" s="22" t="s">
        <v>393</v>
      </c>
      <c r="E143" s="13">
        <v>42731.872314814813</v>
      </c>
      <c r="F143" s="13">
        <v>42731.875289351854</v>
      </c>
      <c r="G143" s="7">
        <v>1</v>
      </c>
      <c r="H143" s="22" t="s">
        <v>324</v>
      </c>
      <c r="I143" s="13">
        <v>42731.900127314817</v>
      </c>
      <c r="J143" s="7">
        <v>1</v>
      </c>
      <c r="K143" s="109" t="str">
        <f>IF(ISEVEN(B143),(B143-1)&amp;"/"&amp;B143,B143&amp;"/"&amp;(B143+1))</f>
        <v>4015/4016</v>
      </c>
      <c r="L143" s="22" t="str">
        <f>VLOOKUP(A143,'Trips&amp;Operators'!$C$1:$G$99999,5,FALSE)</f>
        <v>CHANDLER KELVIN</v>
      </c>
      <c r="M143" s="6">
        <f>I143-F143</f>
        <v>2.4837962962919846E-2</v>
      </c>
      <c r="N143" s="7">
        <f>24*60*SUM($M143:$M143)</f>
        <v>35.766666666604578</v>
      </c>
      <c r="O143" s="7"/>
      <c r="P143" s="7"/>
      <c r="Q143" s="23"/>
      <c r="R143" s="23"/>
      <c r="S143" s="35">
        <f>SUM(U143:U143)/IF(AG143="EC",12,1)</f>
        <v>1</v>
      </c>
      <c r="T143" s="50" t="str">
        <f>IF(ISEVEN(LEFT(AD143,4)),"Southbound","NorthBound")</f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https://search-rtdc-monitor-bjffxe2xuh6vdkpspy63sjmuny.us-east-1.es.amazonaws.com/_plugin/kibana/#/discover/Steve-Slow-Train-Analysis-(2080s-and-2083s)?_g=(refreshInterval:(display:Off,section:0,value:0),time:(from:'2016-12-27 19:56:08-700',mode:absolute,to:'2016-12-27 22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3" s="52" t="str">
        <f>IF(AA143&lt;IF(AG143="EC",23,5.65),"Y","N")</f>
        <v>N</v>
      </c>
      <c r="X143" s="177">
        <f>VALUE(LEFT(AD143,4))-VALUE(LEFT(AD142,4))</f>
        <v>1</v>
      </c>
      <c r="Y143" s="67">
        <f>RIGHT(D143,LEN(D143)-4)/10000</f>
        <v>4.4600000000000001E-2</v>
      </c>
      <c r="Z143" s="67">
        <f>RIGHT(H143,LEN(H143)-4)/10000</f>
        <v>23.330400000000001</v>
      </c>
      <c r="AA143" s="67">
        <f>ABS(Z143-Y143)</f>
        <v>23.285800000000002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>IF(LEN(A143)=6,"0"&amp;A143,A143)</f>
        <v>0229-27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s3://rtdc.mdm.uploadarchive.raw/RTDC4016/ "%USERPROFILE%\AppData\Local\Temp\OnboardLogs"\RTDC4016\2016-12-27 --exclude "*" --recursive --include "*20161227*" &amp; "%USERPROFILE%\Documents\GitHub\mrs-test-scripts\Headless Mode &amp; Sideloading\WalkAndUnGZ.bat" "%USERPROFILE%\AppData\Local\Temp\OnboardLogs"\RTDC4016\2016-12-27 &amp; aws s3 cp s3://rtdc.mdm.uploadarchive.raw/RTDC4016/ "%USERPROFILE%\AppData\Local\Temp\OnboardLogs"\RTDC4016\2016-12-28 --exclude "*" --recursive --include "*20161228*" &amp; "%USERPROFILE%\Documents\GitHub\mrs-test-scripts\Headless Mode &amp; Sideloading\WalkAndUnGZ.bat" "%USERPROFILE%\AppData\Local\Temp\OnboardLogs"\RTDC4016\2016-12-28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/stypes="app*4016*20161228*" /stext=" 04:.+((SYSTEM_STATE.+slice.+state.+changed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8"/>
        <v>"%USERPROFILE%\Documents\GitHub\eaglep3\Utilities\RefineRTDCRunTimes.py" --tripid 229-27 --locoid 4016 --swversion DE.1.0.8.0 --startMP 204:446 --initTime 2016-12-27T20:56:08 --startdatetime 2016-12-27T21:00:25 --delay 1 --endMP 204:233304 --enddatetime 2016-12-27T21:36:11 --enforcementcount 1 &gt;&gt;C:\Users\stu\Documents\GitHub\eaglep3-reporting\EC\2016-12-27-refined-times.txt</v>
      </c>
      <c r="AI143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{"issue":{"subject":"","project_id":79,"tracker_id":40,"status_id":1,"priority_id":2,"assigned_to_id":23,"start_date":"2016-12-27","description":"","custom_fields":[{"id":1,"name":"Subdivision","value":"EC"},{"id":4,"name":"Milepost","value":"23.3304"},{"id":17,"name":"Train ID","value":"229-27"},{"id":16,"name":"Locomotive ID","value":"4016"},{"id":130,"name":"Impact","value":""},{"id":150,"name":"Time of Event (Mountain Time)","value":"21:36:11"},{"id":151,"name":"Denver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642</v>
      </c>
      <c r="B144" s="7">
        <v>4015</v>
      </c>
      <c r="C144" s="22" t="s">
        <v>205</v>
      </c>
      <c r="D144" s="22" t="s">
        <v>360</v>
      </c>
      <c r="E144" s="13">
        <v>42731.914085648146</v>
      </c>
      <c r="F144" s="13">
        <v>42731.916250000002</v>
      </c>
      <c r="G144" s="7">
        <v>2</v>
      </c>
      <c r="H144" s="22" t="s">
        <v>263</v>
      </c>
      <c r="I144" s="13">
        <v>42731.944421296299</v>
      </c>
      <c r="J144" s="7">
        <v>1</v>
      </c>
      <c r="K144" s="109" t="str">
        <f>IF(ISEVEN(B144),(B144-1)&amp;"/"&amp;B144,B144&amp;"/"&amp;(B144+1))</f>
        <v>4015/4016</v>
      </c>
      <c r="L144" s="22" t="str">
        <f>VLOOKUP(A144,'Trips&amp;Operators'!$C$1:$G$99999,5,FALSE)</f>
        <v>CHANDLER KELVIN</v>
      </c>
      <c r="M144" s="6">
        <f>I144-F144</f>
        <v>2.8171296296932269E-2</v>
      </c>
      <c r="N144" s="7">
        <f>24*60*SUM($M144:$M144)</f>
        <v>40.566666667582467</v>
      </c>
      <c r="O144" s="7"/>
      <c r="P144" s="7"/>
      <c r="Q144" s="23"/>
      <c r="R144" s="23"/>
      <c r="S144" s="35">
        <f>SUM(U144:U144)/IF(AG144="EC",12,1)</f>
        <v>1</v>
      </c>
      <c r="T144" s="50" t="str">
        <f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https://search-rtdc-monitor-bjffxe2xuh6vdkpspy63sjmuny.us-east-1.es.amazonaws.com/_plugin/kibana/#/discover/Steve-Slow-Train-Analysis-(2080s-and-2083s)?_g=(refreshInterval:(display:Off,section:0,value:0),time:(from:'2016-12-27 20:56:17-700',mode:absolute,to:'2016-12-27 23:39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4" s="52" t="str">
        <f>IF(AA144&lt;IF(AG144="EC",23,5.65),"Y","N")</f>
        <v>N</v>
      </c>
      <c r="X144" s="177">
        <f>VALUE(LEFT(AD144,4))-VALUE(LEFT(AD143,4))</f>
        <v>1</v>
      </c>
      <c r="Y144" s="67">
        <f>RIGHT(D144,LEN(D144)-4)/10000</f>
        <v>23.2989</v>
      </c>
      <c r="Z144" s="67">
        <f>RIGHT(H144,LEN(H144)-4)/10000</f>
        <v>1.6E-2</v>
      </c>
      <c r="AA144" s="67">
        <f>ABS(Z144-Y144)</f>
        <v>23.282900000000001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>IF(LEN(A144)=6,"0"&amp;A144,A144)</f>
        <v>0230-27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 &amp; aws s3 cp s3://rtdc.mdm.uploadarchive.raw/RTDC4015/ "%USERPROFILE%\AppData\Local\Temp\OnboardLogs"\RTDC4015\2016-12-28 --exclude "*" --recursive --include "*20161228*" &amp; "%USERPROFILE%\Documents\GitHub\mrs-test-scripts\Headless Mode &amp; Sideloading\WalkAndUnGZ.bat" "%USERPROFILE%\AppData\Local\Temp\OnboardLogs"\RTDC4015\2016-12-28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/stypes="app*4015*20161228*"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8"/>
        <v>"%USERPROFILE%\Documents\GitHub\eaglep3\Utilities\RefineRTDCRunTimes.py" --tripid 230-27 --locoid 4015 --swversion DE.1.0.8.0 --startMP 204:232989 --initTime 2016-12-27T21:56:17 --startdatetime 2016-12-27T21:59:24 --delay 2 --endMP 204:160 --enddatetime 2016-12-27T22:39:58 --enforcementcount 1 &gt;&gt;C:\Users\stu\Documents\GitHub\eaglep3-reporting\EC\2016-12-27-refined-times.txt</v>
      </c>
      <c r="AI144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{"issue":{"subject":"","project_id":79,"tracker_id":40,"status_id":1,"priority_id":2,"assigned_to_id":23,"start_date":"2016-12-27","description":"","custom_fields":[{"id":1,"name":"Subdivision","value":"EC"},{"id":4,"name":"Milepost","value":"0.016"},{"id":17,"name":"Train ID","value":"230-27"},{"id":16,"name":"Locomotive ID","value":"4015"},{"id":130,"name":"Impact","value":""},{"id":150,"name":"Time of Event (Mountain Time)","value":"22:39:58"},{"id":151,"name":"Denver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638</v>
      </c>
      <c r="B145" s="7">
        <v>4051</v>
      </c>
      <c r="C145" s="22" t="s">
        <v>205</v>
      </c>
      <c r="D145" s="22" t="s">
        <v>398</v>
      </c>
      <c r="E145" s="13">
        <v>42731.880972222221</v>
      </c>
      <c r="F145" s="13">
        <v>42731.895995370367</v>
      </c>
      <c r="G145" s="7">
        <v>1</v>
      </c>
      <c r="H145" s="22" t="s">
        <v>369</v>
      </c>
      <c r="I145" s="13">
        <v>42731.92019675926</v>
      </c>
      <c r="J145" s="7">
        <v>1</v>
      </c>
      <c r="K145" s="109" t="str">
        <f>IF(ISEVEN(B145),(B145-1)&amp;"/"&amp;B145,B145&amp;"/"&amp;(B145+1))</f>
        <v>4051/4052</v>
      </c>
      <c r="L145" s="22" t="str">
        <f>VLOOKUP(A145,'Trips&amp;Operators'!$C$1:$G$99999,5,FALSE)</f>
        <v>NEWELL JAMES</v>
      </c>
      <c r="M145" s="6">
        <f>I145-F145</f>
        <v>2.4201388892834075E-2</v>
      </c>
      <c r="N145" s="7">
        <f>24*60*SUM($M145:$M145)</f>
        <v>34.850000005681068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https://search-rtdc-monitor-bjffxe2xuh6vdkpspy63sjmuny.us-east-1.es.amazonaws.com/_plugin/kibana/#/discover/Steve-Slow-Train-Analysis-(2080s-and-2083s)?_g=(refreshInterval:(display:Off,section:0,value:0),time:(from:'2016-12-27 20:08:36-700',mode:absolute,to:'2016-12-27 23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45" s="52" t="str">
        <f>IF(AA145&lt;IF(AG145="EC",23,5.65),"Y","N")</f>
        <v>N</v>
      </c>
      <c r="X145" s="177">
        <f>VALUE(LEFT(AD145,4))-VALUE(LEFT(AD144,4))</f>
        <v>1</v>
      </c>
      <c r="Y145" s="67">
        <f>RIGHT(D145,LEN(D145)-4)/10000</f>
        <v>4.6899999999999997E-2</v>
      </c>
      <c r="Z145" s="67">
        <f>RIGHT(H145,LEN(H145)-4)/10000</f>
        <v>23.3306</v>
      </c>
      <c r="AA145" s="67">
        <f>ABS(Z145-Y145)</f>
        <v>23.2837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>IF(LEN(A145)=6,"0"&amp;A145,A145)</f>
        <v>0231-27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/stypes="app*4051*20161228*" /stext=" 05:.+((SYSTEM_STATE.+slice.+state.+changed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8"/>
        <v>"%USERPROFILE%\Documents\GitHub\eaglep3\Utilities\RefineRTDCRunTimes.py" --tripid 231-27 --locoid 4051 --swversion DE.1.0.8.0 --startMP 204:469 --initTime 2016-12-27T21:08:36 --startdatetime 2016-12-27T21:30:14 --delay 1 --endMP 204:233306 --enddatetime 2016-12-27T22:05:05 --enforcementcount 1 &gt;&gt;C:\Users\stu\Documents\GitHub\eaglep3-reporting\EC\2016-12-27-refined-times.txt</v>
      </c>
      <c r="AI145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{"issue":{"subject":"","project_id":79,"tracker_id":40,"status_id":1,"priority_id":2,"assigned_to_id":23,"start_date":"2016-12-27","description":"","custom_fields":[{"id":1,"name":"Subdivision","value":"EC"},{"id":4,"name":"Milepost","value":"23.3306"},{"id":17,"name":"Train ID","value":"231-27"},{"id":16,"name":"Locomotive ID","value":"4051"},{"id":130,"name":"Impact","value":""},{"id":150,"name":"Time of Event (Mountain Time)","value":"22:05:05"},{"id":151,"name":"Denver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645</v>
      </c>
      <c r="B146" s="7">
        <v>4052</v>
      </c>
      <c r="C146" s="22" t="s">
        <v>205</v>
      </c>
      <c r="D146" s="22" t="s">
        <v>254</v>
      </c>
      <c r="E146" s="13">
        <v>42731.930787037039</v>
      </c>
      <c r="F146" s="13">
        <v>42731.935046296298</v>
      </c>
      <c r="G146" s="7">
        <v>1</v>
      </c>
      <c r="H146" s="22" t="s">
        <v>347</v>
      </c>
      <c r="I146" s="13">
        <v>42731.96303240741</v>
      </c>
      <c r="J146" s="7">
        <v>1</v>
      </c>
      <c r="K146" s="109" t="str">
        <f>IF(ISEVEN(B146),(B146-1)&amp;"/"&amp;B146,B146&amp;"/"&amp;(B146+1))</f>
        <v>4051/4052</v>
      </c>
      <c r="L146" s="22" t="str">
        <f>VLOOKUP(A146,'Trips&amp;Operators'!$C$1:$G$99999,5,FALSE)</f>
        <v>NEWELL JAMES</v>
      </c>
      <c r="M146" s="6">
        <f>I146-F146</f>
        <v>2.7986111112113576E-2</v>
      </c>
      <c r="N146" s="7">
        <f>24*60*SUM($M146:$M146)</f>
        <v>40.30000000144355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https://search-rtdc-monitor-bjffxe2xuh6vdkpspy63sjmuny.us-east-1.es.amazonaws.com/_plugin/kibana/#/discover/Steve-Slow-Train-Analysis-(2080s-and-2083s)?_g=(refreshInterval:(display:Off,section:0,value:0),time:(from:'2016-12-27 21:20:20-700',mode:absolute,to:'2016-12-28 00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46" s="52" t="str">
        <f>IF(AA146&lt;IF(AG146="EC",23,5.65),"Y","N")</f>
        <v>N</v>
      </c>
      <c r="X146" s="177">
        <f>VALUE(LEFT(AD146,4))-VALUE(LEFT(AD145,4))</f>
        <v>1</v>
      </c>
      <c r="Y146" s="67">
        <f>RIGHT(D146,LEN(D146)-4)/10000</f>
        <v>23.299399999999999</v>
      </c>
      <c r="Z146" s="67">
        <f>RIGHT(H146,LEN(H146)-4)/10000</f>
        <v>1.5599999999999999E-2</v>
      </c>
      <c r="AA146" s="67">
        <f>ABS(Z146-Y146)</f>
        <v>23.283799999999999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>IF(LEN(A146)=6,"0"&amp;A146,A146)</f>
        <v>0232-27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/stypes="app*4052*20161228*" /stext=" 06:.+((SYSTEM_STATE.+slice.+state.+changed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8"/>
        <v>"%USERPROFILE%\Documents\GitHub\eaglep3\Utilities\RefineRTDCRunTimes.py" --tripid 232-27 --locoid 4052 --swversion DE.1.0.8.0 --startMP 204:232994 --initTime 2016-12-27T22:20:20 --startdatetime 2016-12-27T22:26:28 --delay 1 --endMP 204:156 --enddatetime 2016-12-27T23:06:46 --enforcementcount 1 &gt;&gt;C:\Users\stu\Documents\GitHub\eaglep3-reporting\EC\2016-12-27-refined-times.txt</v>
      </c>
      <c r="AI146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{"issue":{"subject":"","project_id":79,"tracker_id":40,"status_id":1,"priority_id":2,"assigned_to_id":23,"start_date":"2016-12-27","description":"","custom_fields":[{"id":1,"name":"Subdivision","value":"EC"},{"id":4,"name":"Milepost","value":"0.0156"},{"id":17,"name":"Train ID","value":"232-27"},{"id":16,"name":"Locomotive ID","value":"4052"},{"id":130,"name":"Impact","value":""},{"id":150,"name":"Time of Event (Mountain Time)","value":"23:06:46"},{"id":151,"name":"Denver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641</v>
      </c>
      <c r="B147" s="7">
        <v>4042</v>
      </c>
      <c r="C147" s="22" t="s">
        <v>205</v>
      </c>
      <c r="D147" s="22" t="s">
        <v>321</v>
      </c>
      <c r="E147" s="13">
        <v>42731.910370370373</v>
      </c>
      <c r="F147" s="13">
        <v>42731.917129629626</v>
      </c>
      <c r="G147" s="7">
        <v>1</v>
      </c>
      <c r="H147" s="22" t="s">
        <v>699</v>
      </c>
      <c r="I147" s="13">
        <v>42731.944293981483</v>
      </c>
      <c r="J147" s="7">
        <v>1</v>
      </c>
      <c r="K147" s="109" t="str">
        <f>IF(ISEVEN(B147),(B147-1)&amp;"/"&amp;B147,B147&amp;"/"&amp;(B147+1))</f>
        <v>4041/4042</v>
      </c>
      <c r="L147" s="22" t="str">
        <f>VLOOKUP(A147,'Trips&amp;Operators'!$C$1:$G$99999,5,FALSE)</f>
        <v>SIMONEAUX TERA</v>
      </c>
      <c r="M147" s="6">
        <f>I147-F147</f>
        <v>2.7164351857209112E-2</v>
      </c>
      <c r="N147" s="7">
        <f>24*60*SUM($M147:$M147)</f>
        <v>39.116666674381122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https://search-rtdc-monitor-bjffxe2xuh6vdkpspy63sjmuny.us-east-1.es.amazonaws.com/_plugin/kibana/#/discover/Steve-Slow-Train-Analysis-(2080s-and-2083s)?_g=(refreshInterval:(display:Off,section:0,value:0),time:(from:'2016-12-27 20:50:56-700',mode:absolute,to:'2016-12-27 23:39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7" s="52" t="str">
        <f>IF(AA147&lt;IF(AG147="EC",23,5.65),"Y","N")</f>
        <v>N</v>
      </c>
      <c r="X147" s="177">
        <f>VALUE(LEFT(AD147,4))-VALUE(LEFT(AD146,4))</f>
        <v>1</v>
      </c>
      <c r="Y147" s="67">
        <f>RIGHT(D147,LEN(D147)-4)/10000</f>
        <v>4.7500000000000001E-2</v>
      </c>
      <c r="Z147" s="67">
        <f>RIGHT(H147,LEN(H147)-4)/10000</f>
        <v>23.332899999999999</v>
      </c>
      <c r="AA147" s="67">
        <f>ABS(Z147-Y147)</f>
        <v>23.285399999999999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>IF(LEN(A147)=6,"0"&amp;A147,A147)</f>
        <v>0233-27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s3://rtdc.mdm.uploadarchive.raw/RTDC4042/ "%USERPROFILE%\AppData\Local\Temp\OnboardLogs"\RTDC4042\2016-12-27 --exclude "*" --recursive --include "*20161227*" &amp; "%USERPROFILE%\Documents\GitHub\mrs-test-scripts\Headless Mode &amp; Sideloading\WalkAndUnGZ.bat" "%USERPROFILE%\AppData\Local\Temp\OnboardLogs"\RTDC4042\2016-12-27 &amp; 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/stypes="app*4042*20161228*" /stext=" 05:.+((SYSTEM_STATE.+slice.+state.+changed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8"/>
        <v>"%USERPROFILE%\Documents\GitHub\eaglep3\Utilities\RefineRTDCRunTimes.py" --tripid 233-27 --locoid 4042 --swversion DE.1.0.8.0 --startMP 204:475 --initTime 2016-12-27T21:50:56 --startdatetime 2016-12-27T22:00:40 --delay 1 --endMP 204:233329 --enddatetime 2016-12-27T22:39:47 --enforcementcount 1 &gt;&gt;C:\Users\stu\Documents\GitHub\eaglep3-reporting\EC\2016-12-27-refined-times.txt</v>
      </c>
      <c r="AI147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{"issue":{"subject":"","project_id":79,"tracker_id":40,"status_id":1,"priority_id":2,"assigned_to_id":23,"start_date":"2016-12-27","description":"","custom_fields":[{"id":1,"name":"Subdivision","value":"EC"},{"id":4,"name":"Milepost","value":"23.3329"},{"id":17,"name":"Train ID","value":"233-27"},{"id":16,"name":"Locomotive ID","value":"4042"},{"id":130,"name":"Impact","value":""},{"id":150,"name":"Time of Event (Mountain Time)","value":"22:39:47"},{"id":151,"name":"Denver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647</v>
      </c>
      <c r="B148" s="7">
        <v>4041</v>
      </c>
      <c r="C148" s="22" t="s">
        <v>205</v>
      </c>
      <c r="D148" s="22" t="s">
        <v>670</v>
      </c>
      <c r="E148" s="13">
        <v>42731.950694444444</v>
      </c>
      <c r="F148" s="13">
        <v>42731.955879629626</v>
      </c>
      <c r="G148" s="7">
        <v>1</v>
      </c>
      <c r="H148" s="22" t="s">
        <v>211</v>
      </c>
      <c r="I148" s="13">
        <v>42731.985810185186</v>
      </c>
      <c r="J148" s="7">
        <v>1</v>
      </c>
      <c r="K148" s="109" t="str">
        <f>IF(ISEVEN(B148),(B148-1)&amp;"/"&amp;B148,B148&amp;"/"&amp;(B148+1))</f>
        <v>4041/4042</v>
      </c>
      <c r="L148" s="22" t="str">
        <f>VLOOKUP(A148,'Trips&amp;Operators'!$C$1:$G$99999,5,FALSE)</f>
        <v>SIMONEAUX TERA</v>
      </c>
      <c r="M148" s="6">
        <f>I148-F148</f>
        <v>2.9930555559985805E-2</v>
      </c>
      <c r="N148" s="7">
        <f>24*60*SUM($M148:$M148)</f>
        <v>43.10000000637956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https://search-rtdc-monitor-bjffxe2xuh6vdkpspy63sjmuny.us-east-1.es.amazonaws.com/_plugin/kibana/#/discover/Steve-Slow-Train-Analysis-(2080s-and-2083s)?_g=(refreshInterval:(display:Off,section:0,value:0),time:(from:'2016-12-27 21:49:00-700',mode:absolute,to:'2016-12-28 00:39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8" s="52" t="str">
        <f>IF(AA148&lt;IF(AG148="EC",23,5.65),"Y","N")</f>
        <v>N</v>
      </c>
      <c r="X148" s="177">
        <f>VALUE(LEFT(AD148,4))-VALUE(LEFT(AD147,4))</f>
        <v>1</v>
      </c>
      <c r="Y148" s="67">
        <f>RIGHT(D148,LEN(D148)-4)/10000</f>
        <v>23.3002</v>
      </c>
      <c r="Z148" s="67">
        <f>RIGHT(H148,LEN(H148)-4)/10000</f>
        <v>1.4999999999999999E-2</v>
      </c>
      <c r="AA148" s="67">
        <f>ABS(Z148-Y148)</f>
        <v>23.2852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>IF(LEN(A148)=6,"0"&amp;A148,A148)</f>
        <v>0234-27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/stypes="app*4041*20161228*"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8"/>
        <v>"%USERPROFILE%\Documents\GitHub\eaglep3\Utilities\RefineRTDCRunTimes.py" --tripid 234-27 --locoid 4041 --swversion DE.1.0.8.0 --startMP 204:233002 --initTime 2016-12-27T22:49:00 --startdatetime 2016-12-27T22:56:28 --delay 1 --endMP 204:150 --enddatetime 2016-12-27T23:39:34 --enforcementcount 1 &gt;&gt;C:\Users\stu\Documents\GitHub\eaglep3-reporting\EC\2016-12-27-refined-times.txt</v>
      </c>
      <c r="AI148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{"issue":{"subject":"","project_id":79,"tracker_id":40,"status_id":1,"priority_id":2,"assigned_to_id":23,"start_date":"2016-12-27","description":"","custom_fields":[{"id":1,"name":"Subdivision","value":"EC"},{"id":4,"name":"Milepost","value":"0.015"},{"id":17,"name":"Train ID","value":"234-27"},{"id":16,"name":"Locomotive ID","value":"4041"},{"id":130,"name":"Impact","value":""},{"id":150,"name":"Time of Event (Mountain Time)","value":"23:39:34"},{"id":151,"name":"Denver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644</v>
      </c>
      <c r="B149" s="7">
        <v>4002</v>
      </c>
      <c r="C149" s="22" t="s">
        <v>205</v>
      </c>
      <c r="D149" s="22" t="s">
        <v>264</v>
      </c>
      <c r="E149" s="13">
        <v>42731.922303240739</v>
      </c>
      <c r="F149" s="13">
        <v>42731.937962962962</v>
      </c>
      <c r="G149" s="7">
        <v>1</v>
      </c>
      <c r="H149" s="22" t="s">
        <v>308</v>
      </c>
      <c r="I149" s="13">
        <v>42731.961840277778</v>
      </c>
      <c r="J149" s="7">
        <v>1</v>
      </c>
      <c r="K149" s="109" t="str">
        <f>IF(ISEVEN(B149),(B149-1)&amp;"/"&amp;B149,B149&amp;"/"&amp;(B149+1))</f>
        <v>4001/4002</v>
      </c>
      <c r="L149" s="22" t="str">
        <f>VLOOKUP(A149,'Trips&amp;Operators'!$C$1:$G$99999,5,FALSE)</f>
        <v>STAMBAUGH JAMES</v>
      </c>
      <c r="M149" s="6">
        <f>I149-F149</f>
        <v>2.3877314815763384E-2</v>
      </c>
      <c r="N149" s="7">
        <f>24*60*SUM($M149:$M149)</f>
        <v>34.383333334699273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https://search-rtdc-monitor-bjffxe2xuh6vdkpspy63sjmuny.us-east-1.es.amazonaws.com/_plugin/kibana/#/discover/Steve-Slow-Train-Analysis-(2080s-and-2083s)?_g=(refreshInterval:(display:Off,section:0,value:0),time:(from:'2016-12-27 21:08:07-700',mode:absolute,to:'2016-12-28 00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9" s="52" t="str">
        <f>IF(AA149&lt;IF(AG149="EC",23,5.65),"Y","N")</f>
        <v>N</v>
      </c>
      <c r="X149" s="177">
        <f>VALUE(LEFT(AD149,4))-VALUE(LEFT(AD148,4))</f>
        <v>1</v>
      </c>
      <c r="Y149" s="67">
        <f>RIGHT(D149,LEN(D149)-4)/10000</f>
        <v>4.6199999999999998E-2</v>
      </c>
      <c r="Z149" s="67">
        <f>RIGHT(H149,LEN(H149)-4)/10000</f>
        <v>23.331199999999999</v>
      </c>
      <c r="AA149" s="67">
        <f>ABS(Z149-Y149)</f>
        <v>23.285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>IF(LEN(A149)=6,"0"&amp;A149,A149)</f>
        <v>0235-27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/stypes="app*4002*20161228*"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8"/>
        <v>"%USERPROFILE%\Documents\GitHub\eaglep3\Utilities\RefineRTDCRunTimes.py" --tripid 235-27 --locoid 4002 --swversion DE.1.0.8.0 --startMP 204:462 --initTime 2016-12-27T22:08:07 --startdatetime 2016-12-27T22:30:40 --delay 1 --endMP 204:233312 --enddatetime 2016-12-27T23:05:03 --enforcementcount 1 &gt;&gt;C:\Users\stu\Documents\GitHub\eaglep3-reporting\EC\2016-12-27-refined-times.txt</v>
      </c>
      <c r="AI149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{"issue":{"subject":"","project_id":79,"tracker_id":40,"status_id":1,"priority_id":2,"assigned_to_id":23,"start_date":"2016-12-27","description":"","custom_fields":[{"id":1,"name":"Subdivision","value":"EC"},{"id":4,"name":"Milepost","value":"23.3312"},{"id":17,"name":"Train ID","value":"235-27"},{"id":16,"name":"Locomotive ID","value":"4002"},{"id":130,"name":"Impact","value":""},{"id":150,"name":"Time of Event (Mountain Time)","value":"23:05:03"},{"id":151,"name":"Denver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650</v>
      </c>
      <c r="B150" s="7">
        <v>4001</v>
      </c>
      <c r="C150" s="22" t="s">
        <v>205</v>
      </c>
      <c r="D150" s="22" t="s">
        <v>700</v>
      </c>
      <c r="E150" s="13">
        <v>42731.973333333335</v>
      </c>
      <c r="F150" s="13">
        <v>42731.977002314816</v>
      </c>
      <c r="G150" s="7">
        <v>1</v>
      </c>
      <c r="H150" s="22" t="s">
        <v>320</v>
      </c>
      <c r="I150" s="13">
        <v>42732.003078703703</v>
      </c>
      <c r="J150" s="7">
        <v>1</v>
      </c>
      <c r="K150" s="109" t="str">
        <f>IF(ISEVEN(B150),(B150-1)&amp;"/"&amp;B150,B150&amp;"/"&amp;(B150+1))</f>
        <v>4001/4002</v>
      </c>
      <c r="L150" s="22" t="str">
        <f>VLOOKUP(A150,'Trips&amp;Operators'!$C$1:$G$99999,5,FALSE)</f>
        <v>STAMBAUGH JAMES</v>
      </c>
      <c r="M150" s="6">
        <f>I150-F150</f>
        <v>2.6076388887304347E-2</v>
      </c>
      <c r="N150" s="7">
        <f>24*60*SUM($M150:$M150)</f>
        <v>37.54999999771826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https://search-rtdc-monitor-bjffxe2xuh6vdkpspy63sjmuny.us-east-1.es.amazonaws.com/_plugin/kibana/#/discover/Steve-Slow-Train-Analysis-(2080s-and-2083s)?_g=(refreshInterval:(display:Off,section:0,value:0),time:(from:'2016-12-27 22:21:36-700',mode:absolute,to:'2016-12-28 01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0" s="52" t="str">
        <f>IF(AA150&lt;IF(AG150="EC",23,5.65),"Y","N")</f>
        <v>N</v>
      </c>
      <c r="X150" s="177">
        <f>VALUE(LEFT(AD150,4))-VALUE(LEFT(AD149,4))</f>
        <v>1</v>
      </c>
      <c r="Y150" s="67">
        <f>RIGHT(D150,LEN(D150)-4)/10000</f>
        <v>23.299099999999999</v>
      </c>
      <c r="Z150" s="67">
        <f>RIGHT(H150,LEN(H150)-4)/10000</f>
        <v>1.5800000000000002E-2</v>
      </c>
      <c r="AA150" s="67">
        <f>ABS(Z150-Y150)</f>
        <v>23.283300000000001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>IF(LEN(A150)=6,"0"&amp;A150,A150)</f>
        <v>0236-27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/stypes="app*4001*20161228*" /stext=" 07:.+((SYSTEM_STATE.+slice.+state.+changed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8"/>
        <v>"%USERPROFILE%\Documents\GitHub\eaglep3\Utilities\RefineRTDCRunTimes.py" --tripid 236-27 --locoid 4001 --swversion DE.1.0.8.0 --startMP 204:232991 --initTime 2016-12-27T23:21:36 --startdatetime 2016-12-27T23:26:53 --delay 1 --endMP 204:158 --enddatetime 2016-12-28T00:04:26 --enforcementcount 1 &gt;&gt;C:\Users\stu\Documents\GitHub\eaglep3-reporting\EC\2016-12-27-refined-times.txt</v>
      </c>
      <c r="AI150" s="119" t="str">
        <f t="shared" si="9"/>
        <v>echo {"issue":{"subject":"","project_id":79,"tracker_id":40,"status_id":1,"priority_id":2,"assigned_to_id":23,"start_date":"2016-12-28","description":"","custom_fields":[{"id":1,"name":"Subdivision","value":"EC"},{"id":4,"name":"Milepost","value":"0.0158"},{"id":17,"name":"Train ID","value":"236-27"},{"id":16,"name":"Locomotive ID","value":"4001"},{"id":130,"name":"Impact","value":""},{"id":150,"name":"Time of Event (Mountain Time)","value":"00:04:26"},{"id":151,"name":"Denver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648</v>
      </c>
      <c r="B151" s="7">
        <v>4016</v>
      </c>
      <c r="C151" s="22" t="s">
        <v>205</v>
      </c>
      <c r="D151" s="22" t="s">
        <v>252</v>
      </c>
      <c r="E151" s="13">
        <v>42731.957465277781</v>
      </c>
      <c r="F151" s="13">
        <v>42731.959016203706</v>
      </c>
      <c r="G151" s="7">
        <v>1</v>
      </c>
      <c r="H151" s="22" t="s">
        <v>405</v>
      </c>
      <c r="I151" s="13">
        <v>42731.983599537038</v>
      </c>
      <c r="J151" s="7">
        <v>1</v>
      </c>
      <c r="K151" s="109" t="str">
        <f>IF(ISEVEN(B151),(B151-1)&amp;"/"&amp;B151,B151&amp;"/"&amp;(B151+1))</f>
        <v>4015/4016</v>
      </c>
      <c r="L151" s="22" t="str">
        <f>VLOOKUP(A151,'Trips&amp;Operators'!$C$1:$G$99999,5,FALSE)</f>
        <v>CHANDLER KELVIN</v>
      </c>
      <c r="M151" s="6">
        <f>I151-F151</f>
        <v>2.4583333331975155E-2</v>
      </c>
      <c r="N151" s="7">
        <f>24*60*SUM($M151:$M151)</f>
        <v>35.399999998044223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https://search-rtdc-monitor-bjffxe2xuh6vdkpspy63sjmuny.us-east-1.es.amazonaws.com/_plugin/kibana/#/discover/Steve-Slow-Train-Analysis-(2080s-and-2083s)?_g=(refreshInterval:(display:Off,section:0,value:0),time:(from:'2016-12-27 21:58:45-700',mode:absolute,to:'2016-12-28 00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1" s="52" t="str">
        <f>IF(AA151&lt;IF(AG151="EC",23,5.65),"Y","N")</f>
        <v>N</v>
      </c>
      <c r="X151" s="177">
        <f>VALUE(LEFT(AD151,4))-VALUE(LEFT(AD150,4))</f>
        <v>1</v>
      </c>
      <c r="Y151" s="67">
        <f>RIGHT(D151,LEN(D151)-4)/10000</f>
        <v>4.53E-2</v>
      </c>
      <c r="Z151" s="67">
        <f>RIGHT(H151,LEN(H151)-4)/10000</f>
        <v>23.328099999999999</v>
      </c>
      <c r="AA151" s="67">
        <f>ABS(Z151-Y151)</f>
        <v>23.282799999999998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>IF(LEN(A151)=6,"0"&amp;A151,A151)</f>
        <v>0237-27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s3://rtdc.mdm.uploadarchive.raw/RTDC4016/ "%USERPROFILE%\AppData\Local\Temp\OnboardLogs"\RTDC4016\2016-12-27 --exclude "*" --recursive --include "*20161227*" &amp; "%USERPROFILE%\Documents\GitHub\mrs-test-scripts\Headless Mode &amp; Sideloading\WalkAndUnGZ.bat" "%USERPROFILE%\AppData\Local\Temp\OnboardLogs"\RTDC4016\2016-12-27 &amp; aws s3 cp s3://rtdc.mdm.uploadarchive.raw/RTDC4016/ "%USERPROFILE%\AppData\Local\Temp\OnboardLogs"\RTDC4016\2016-12-28 --exclude "*" --recursive --include "*20161228*" &amp; "%USERPROFILE%\Documents\GitHub\mrs-test-scripts\Headless Mode &amp; Sideloading\WalkAndUnGZ.bat" "%USERPROFILE%\AppData\Local\Temp\OnboardLogs"\RTDC4016\2016-12-28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/stypes="app*4016*20161228*" /stext=" 06:.+((SYSTEM_STATE.+slice.+state.+changed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8"/>
        <v>"%USERPROFILE%\Documents\GitHub\eaglep3\Utilities\RefineRTDCRunTimes.py" --tripid 237-27 --locoid 4016 --swversion DE.1.0.8.0 --startMP 204:453 --initTime 2016-12-27T22:58:45 --startdatetime 2016-12-27T23:00:59 --delay 1 --endMP 204:233281 --enddatetime 2016-12-27T23:36:23 --enforcementcount 1 &gt;&gt;C:\Users\stu\Documents\GitHub\eaglep3-reporting\EC\2016-12-27-refined-times.txt</v>
      </c>
      <c r="AI151" s="119" t="str">
        <f t="shared" si="9"/>
        <v>echo {"issue":{"subject":"","project_id":79,"tracker_id":40,"status_id":1,"priority_id":2,"assigned_to_id":23,"start_date":"2016-12-27","description":"","custom_fields":[{"id":1,"name":"Subdivision","value":"EC"},{"id":4,"name":"Milepost","value":"23.3281"},{"id":17,"name":"Train ID","value":"237-27"},{"id":16,"name":"Locomotive ID","value":"4016"},{"id":130,"name":"Impact","value":""},{"id":150,"name":"Time of Event (Mountain Time)","value":"23:36:23"},{"id":151,"name":"Denver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652</v>
      </c>
      <c r="B152" s="7">
        <v>4015</v>
      </c>
      <c r="C152" s="22" t="s">
        <v>205</v>
      </c>
      <c r="D152" s="22" t="s">
        <v>346</v>
      </c>
      <c r="E152" s="13">
        <v>42731.992060185185</v>
      </c>
      <c r="F152" s="13">
        <v>42731.997499999998</v>
      </c>
      <c r="G152" s="7">
        <v>1</v>
      </c>
      <c r="H152" s="22" t="s">
        <v>243</v>
      </c>
      <c r="I152" s="13">
        <v>42732.025543981479</v>
      </c>
      <c r="J152" s="7">
        <v>1</v>
      </c>
      <c r="K152" s="109" t="str">
        <f>IF(ISEVEN(B152),(B152-1)&amp;"/"&amp;B152,B152&amp;"/"&amp;(B152+1))</f>
        <v>4015/4016</v>
      </c>
      <c r="L152" s="22" t="str">
        <f>VLOOKUP(A152,'Trips&amp;Operators'!$C$1:$G$99999,5,FALSE)</f>
        <v>CHANDLER KELVIN</v>
      </c>
      <c r="M152" s="6">
        <f>I152-F152</f>
        <v>2.8043981481459923E-2</v>
      </c>
      <c r="N152" s="7">
        <f>24*60*SUM($M152:$M152)</f>
        <v>40.383333333302289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https://search-rtdc-monitor-bjffxe2xuh6vdkpspy63sjmuny.us-east-1.es.amazonaws.com/_plugin/kibana/#/discover/Steve-Slow-Train-Analysis-(2080s-and-2083s)?_g=(refreshInterval:(display:Off,section:0,value:0),time:(from:'2016-12-27 22:48:34-700',mode:absolute,to:'2016-12-28 01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2" s="52" t="str">
        <f>IF(AA152&lt;IF(AG152="EC",23,5.65),"Y","N")</f>
        <v>N</v>
      </c>
      <c r="X152" s="177">
        <f>VALUE(LEFT(AD152,4))-VALUE(LEFT(AD151,4))</f>
        <v>1</v>
      </c>
      <c r="Y152" s="67">
        <f>RIGHT(D152,LEN(D152)-4)/10000</f>
        <v>23.297599999999999</v>
      </c>
      <c r="Z152" s="67">
        <f>RIGHT(H152,LEN(H152)-4)/10000</f>
        <v>1.6299999999999999E-2</v>
      </c>
      <c r="AA152" s="67">
        <f>ABS(Z152-Y152)</f>
        <v>23.281299999999998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>IF(LEN(A152)=6,"0"&amp;A152,A152)</f>
        <v>0238-27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 &amp; aws s3 cp s3://rtdc.mdm.uploadarchive.raw/RTDC4015/ "%USERPROFILE%\AppData\Local\Temp\OnboardLogs"\RTDC4015\2016-12-28 --exclude "*" --recursive --include "*20161228*" &amp; "%USERPROFILE%\Documents\GitHub\mrs-test-scripts\Headless Mode &amp; Sideloading\WalkAndUnGZ.bat" "%USERPROFILE%\AppData\Local\Temp\OnboardLogs"\RTDC4015\2016-12-28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/stypes="app*4015*20161228*"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8"/>
        <v>"%USERPROFILE%\Documents\GitHub\eaglep3\Utilities\RefineRTDCRunTimes.py" --tripid 238-27 --locoid 4015 --swversion DE.1.0.8.0 --startMP 204:232976 --initTime 2016-12-27T23:48:34 --startdatetime 2016-12-27T23:56:24 --delay 1 --endMP 204:163 --enddatetime 2016-12-28T00:36:47 --enforcementcount 1 &gt;&gt;C:\Users\stu\Documents\GitHub\eaglep3-reporting\EC\2016-12-27-refined-times.txt</v>
      </c>
      <c r="AI152" s="119" t="str">
        <f t="shared" si="9"/>
        <v>echo {"issue":{"subject":"","project_id":79,"tracker_id":40,"status_id":1,"priority_id":2,"assigned_to_id":23,"start_date":"2016-12-28","description":"","custom_fields":[{"id":1,"name":"Subdivision","value":"EC"},{"id":4,"name":"Milepost","value":"0.0163"},{"id":17,"name":"Train ID","value":"238-27"},{"id":16,"name":"Locomotive ID","value":"4015"},{"id":130,"name":"Impact","value":""},{"id":150,"name":"Time of Event (Mountain Time)","value":"00:36:47"},{"id":151,"name":"Denver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649</v>
      </c>
      <c r="B153" s="7">
        <v>4051</v>
      </c>
      <c r="C153" s="22" t="s">
        <v>205</v>
      </c>
      <c r="D153" s="22" t="s">
        <v>398</v>
      </c>
      <c r="E153" s="13">
        <v>42731.965486111112</v>
      </c>
      <c r="F153" s="13">
        <v>42731.979513888888</v>
      </c>
      <c r="G153" s="7">
        <v>1</v>
      </c>
      <c r="H153" s="22" t="s">
        <v>324</v>
      </c>
      <c r="I153" s="13">
        <v>42732.003460648149</v>
      </c>
      <c r="J153" s="7">
        <v>1</v>
      </c>
      <c r="K153" s="109" t="str">
        <f>IF(ISEVEN(B153),(B153-1)&amp;"/"&amp;B153,B153&amp;"/"&amp;(B153+1))</f>
        <v>4051/4052</v>
      </c>
      <c r="L153" s="22" t="str">
        <f>VLOOKUP(A153,'Trips&amp;Operators'!$C$1:$G$99999,5,FALSE)</f>
        <v>NEWELL JAMES</v>
      </c>
      <c r="M153" s="6">
        <f>I153-F153</f>
        <v>2.3946759261889383E-2</v>
      </c>
      <c r="N153" s="7">
        <f>24*60*SUM($M153:$M153)</f>
        <v>34.483333337120712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https://search-rtdc-monitor-bjffxe2xuh6vdkpspy63sjmuny.us-east-1.es.amazonaws.com/_plugin/kibana/#/discover/Steve-Slow-Train-Analysis-(2080s-and-2083s)?_g=(refreshInterval:(display:Off,section:0,value:0),time:(from:'2016-12-27 22:10:18-700',mode:absolute,to:'2016-12-28 01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53" s="52" t="str">
        <f>IF(AA153&lt;IF(AG153="EC",23,5.65),"Y","N")</f>
        <v>N</v>
      </c>
      <c r="X153" s="177">
        <f>VALUE(LEFT(AD153,4))-VALUE(LEFT(AD152,4))</f>
        <v>1</v>
      </c>
      <c r="Y153" s="67">
        <f>RIGHT(D153,LEN(D153)-4)/10000</f>
        <v>4.6899999999999997E-2</v>
      </c>
      <c r="Z153" s="67">
        <f>RIGHT(H153,LEN(H153)-4)/10000</f>
        <v>23.330400000000001</v>
      </c>
      <c r="AA153" s="67">
        <f>ABS(Z153-Y153)</f>
        <v>23.2835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>IF(LEN(A153)=6,"0"&amp;A153,A153)</f>
        <v>0239-27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/stypes="app*4051*20161228*"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8"/>
        <v>"%USERPROFILE%\Documents\GitHub\eaglep3\Utilities\RefineRTDCRunTimes.py" --tripid 239-27 --locoid 4051 --swversion DE.1.0.8.0 --startMP 204:469 --initTime 2016-12-27T23:10:18 --startdatetime 2016-12-27T23:30:30 --delay 1 --endMP 204:233304 --enddatetime 2016-12-28T00:04:59 --enforcementcount 1 &gt;&gt;C:\Users\stu\Documents\GitHub\eaglep3-reporting\EC\2016-12-27-refined-times.txt</v>
      </c>
      <c r="AI153" s="119" t="str">
        <f t="shared" si="9"/>
        <v>echo {"issue":{"subject":"","project_id":79,"tracker_id":40,"status_id":1,"priority_id":2,"assigned_to_id":23,"start_date":"2016-12-28","description":"","custom_fields":[{"id":1,"name":"Subdivision","value":"EC"},{"id":4,"name":"Milepost","value":"23.3304"},{"id":17,"name":"Train ID","value":"239-27"},{"id":16,"name":"Locomotive ID","value":"4051"},{"id":130,"name":"Impact","value":""},{"id":150,"name":"Time of Event (Mountain Time)","value":"00:04:59"},{"id":151,"name":"Denver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654</v>
      </c>
      <c r="B154" s="7">
        <v>4052</v>
      </c>
      <c r="C154" s="22" t="s">
        <v>205</v>
      </c>
      <c r="D154" s="22" t="s">
        <v>364</v>
      </c>
      <c r="E154" s="13">
        <v>42732.008449074077</v>
      </c>
      <c r="F154" s="13">
        <v>42732.018425925926</v>
      </c>
      <c r="G154" s="7">
        <v>0</v>
      </c>
      <c r="H154" s="22" t="s">
        <v>320</v>
      </c>
      <c r="I154" s="13">
        <v>42732.044363425928</v>
      </c>
      <c r="J154" s="7">
        <v>1</v>
      </c>
      <c r="K154" s="109" t="str">
        <f>IF(ISEVEN(B154),(B154-1)&amp;"/"&amp;B154,B154&amp;"/"&amp;(B154+1))</f>
        <v>4051/4052</v>
      </c>
      <c r="L154" s="22" t="str">
        <f>VLOOKUP(A154,'Trips&amp;Operators'!$C$1:$G$99999,5,FALSE)</f>
        <v>NEWELL JAMES</v>
      </c>
      <c r="M154" s="6">
        <f>I154-F154</f>
        <v>2.5937500002328306E-2</v>
      </c>
      <c r="N154" s="7">
        <f>24*60*SUM($M154:$M154)</f>
        <v>37.350000003352761</v>
      </c>
      <c r="O154" s="7"/>
      <c r="P154" s="7"/>
      <c r="Q154" s="23"/>
      <c r="R154" s="23"/>
      <c r="S154" s="35">
        <f>SUM(U154:U154)/IF(AG154="EC",12,1)</f>
        <v>1</v>
      </c>
      <c r="T154" s="50" t="str">
        <f>IF(ISEVEN(LEFT(AD154,4)),"Southbound","NorthBound")</f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https://search-rtdc-monitor-bjffxe2xuh6vdkpspy63sjmuny.us-east-1.es.amazonaws.com/_plugin/kibana/#/discover/Steve-Slow-Train-Analysis-(2080s-and-2083s)?_g=(refreshInterval:(display:Off,section:0,value:0),time:(from:'2016-12-27 23:12:10-700',mode:absolute,to:'2016-12-28 02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54" s="52" t="str">
        <f>IF(AA154&lt;IF(AG154="EC",23,5.65),"Y","N")</f>
        <v>N</v>
      </c>
      <c r="X154" s="177">
        <f>VALUE(LEFT(AD154,4))-VALUE(LEFT(AD153,4))</f>
        <v>1</v>
      </c>
      <c r="Y154" s="67">
        <f>RIGHT(D154,LEN(D154)-4)/10000</f>
        <v>23.298500000000001</v>
      </c>
      <c r="Z154" s="67">
        <f>RIGHT(H154,LEN(H154)-4)/10000</f>
        <v>1.5800000000000002E-2</v>
      </c>
      <c r="AA154" s="67">
        <f>ABS(Z154-Y154)</f>
        <v>23.282700000000002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>IF(LEN(A154)=6,"0"&amp;A154,A154)</f>
        <v>0240-27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 &amp; aws s3 cp s3://rtdc.mdm.uploadarchive.raw/RTDC4052/ "%USERPROFILE%\AppData\Local\Temp\OnboardLogs"\RTDC4052\2016-12-29 --exclude "*" --recursive --include "*20161229*" &amp; "%USERPROFILE%\Documents\GitHub\mrs-test-scripts\Headless Mode &amp; Sideloading\WalkAndUnGZ.bat" "%USERPROFILE%\AppData\Local\Temp\OnboardLogs"\RTDC4052\2016-12-29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/stypes="app*4052*20161228*" /stext=" 08:.+((SYSTEM_STATE.+slice.+state.+changed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8"/>
        <v>"%USERPROFILE%\Documents\GitHub\eaglep3\Utilities\RefineRTDCRunTimes.py" --tripid 240-27 --locoid 4052 --swversion DE.1.0.8.0 --startMP 204:232985 --initTime 2016-12-28T00:12:10 --startdatetime 2016-12-28T00:26:32 --delay 0 --endMP 204:158 --enddatetime 2016-12-28T01:03:53 --enforcementcount 1 &gt;&gt;C:\Users\stu\Documents\GitHub\eaglep3-reporting\EC\2016-12-27-refined-times.txt</v>
      </c>
      <c r="AI154" s="119" t="str">
        <f t="shared" si="9"/>
        <v>echo {"issue":{"subject":"","project_id":79,"tracker_id":40,"status_id":1,"priority_id":2,"assigned_to_id":23,"start_date":"2016-12-28","description":"","custom_fields":[{"id":1,"name":"Subdivision","value":"EC"},{"id":4,"name":"Milepost","value":"0.0158"},{"id":17,"name":"Train ID","value":"240-27"},{"id":16,"name":"Locomotive ID","value":"4052"},{"id":130,"name":"Impact","value":""},{"id":150,"name":"Time of Event (Mountain Time)","value":"01:03:53"},{"id":151,"name":"Denver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651</v>
      </c>
      <c r="B155" s="7">
        <v>4042</v>
      </c>
      <c r="C155" s="22" t="s">
        <v>205</v>
      </c>
      <c r="D155" s="22" t="s">
        <v>278</v>
      </c>
      <c r="E155" s="13">
        <v>42731.99145833333</v>
      </c>
      <c r="F155" s="13">
        <v>42732.000335648147</v>
      </c>
      <c r="G155" s="7">
        <v>1</v>
      </c>
      <c r="H155" s="22" t="s">
        <v>718</v>
      </c>
      <c r="I155" s="13">
        <v>42732.026446759257</v>
      </c>
      <c r="J155" s="7">
        <v>1</v>
      </c>
      <c r="K155" s="109" t="str">
        <f>IF(ISEVEN(B155),(B155-1)&amp;"/"&amp;B155,B155&amp;"/"&amp;(B155+1))</f>
        <v>4041/4042</v>
      </c>
      <c r="L155" s="22" t="str">
        <f>VLOOKUP(A155,'Trips&amp;Operators'!$C$1:$G$99999,5,FALSE)</f>
        <v>SIMONEAUX TERA</v>
      </c>
      <c r="M155" s="6">
        <f>I155-F155</f>
        <v>2.6111111110367347E-2</v>
      </c>
      <c r="N155" s="7">
        <f>24*60*SUM($M155:$M155)</f>
        <v>37.599999998928979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https://search-rtdc-monitor-bjffxe2xuh6vdkpspy63sjmuny.us-east-1.es.amazonaws.com/_plugin/kibana/#/discover/Steve-Slow-Train-Analysis-(2080s-and-2083s)?_g=(refreshInterval:(display:Off,section:0,value:0),time:(from:'2016-12-27 22:47:42-700',mode:absolute,to:'2016-12-28 01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5" s="52" t="str">
        <f>IF(AA155&lt;IF(AG155="EC",23,5.65),"Y","N")</f>
        <v>N</v>
      </c>
      <c r="X155" s="177">
        <f>VALUE(LEFT(AD155,4))-VALUE(LEFT(AD154,4))</f>
        <v>1</v>
      </c>
      <c r="Y155" s="67">
        <f>RIGHT(D155,LEN(D155)-4)/10000</f>
        <v>4.4900000000000002E-2</v>
      </c>
      <c r="Z155" s="67">
        <f>RIGHT(H155,LEN(H155)-4)/10000</f>
        <v>23.327999999999999</v>
      </c>
      <c r="AA155" s="67">
        <f>ABS(Z155-Y155)</f>
        <v>23.283100000000001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>IF(LEN(A155)=6,"0"&amp;A155,A155)</f>
        <v>0241-27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s3://rtdc.mdm.uploadarchive.raw/RTDC4042/ "%USERPROFILE%\AppData\Local\Temp\OnboardLogs"\RTDC4042\2016-12-28 --exclude "*" --recursive --include "*20161228*" &amp; "%USERPROFILE%\Documents\GitHub\mrs-test-scripts\Headless Mode &amp; Sideloading\WalkAndUnGZ.bat" "%USERPROFILE%\AppData\Local\Temp\OnboardLogs"\RTDC4042\2016-12-28 &amp; 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/stypes="app*4042*20161228*" /stext=" 07:.+((SYSTEM_STATE.+slice.+state.+changed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8"/>
        <v>"%USERPROFILE%\Documents\GitHub\eaglep3\Utilities\RefineRTDCRunTimes.py" --tripid 241-27 --locoid 4042 --swversion DE.1.0.8.0 --startMP 204:449 --initTime 2016-12-27T23:47:42 --startdatetime 2016-12-28T00:00:29 --delay 1 --endMP 204:233280 --enddatetime 2016-12-28T00:38:05 --enforcementcount 1 &gt;&gt;C:\Users\stu\Documents\GitHub\eaglep3-reporting\EC\2016-12-27-refined-times.txt</v>
      </c>
      <c r="AI155" s="119" t="str">
        <f t="shared" si="9"/>
        <v>echo {"issue":{"subject":"","project_id":79,"tracker_id":40,"status_id":1,"priority_id":2,"assigned_to_id":23,"start_date":"2016-12-28","description":"","custom_fields":[{"id":1,"name":"Subdivision","value":"EC"},{"id":4,"name":"Milepost","value":"23.328"},{"id":17,"name":"Train ID","value":"241-27"},{"id":16,"name":"Locomotive ID","value":"4042"},{"id":130,"name":"Impact","value":""},{"id":150,"name":"Time of Event (Mountain Time)","value":"00:38:05"},{"id":151,"name":"Denver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455</v>
      </c>
      <c r="B156" s="7">
        <v>4041</v>
      </c>
      <c r="C156" s="22" t="s">
        <v>205</v>
      </c>
      <c r="D156" s="22" t="s">
        <v>402</v>
      </c>
      <c r="E156" s="13">
        <v>42732.032835648148</v>
      </c>
      <c r="F156" s="13">
        <v>42732.039189814815</v>
      </c>
      <c r="G156" s="7">
        <v>2</v>
      </c>
      <c r="H156" s="22" t="s">
        <v>258</v>
      </c>
      <c r="I156" s="13">
        <v>42732.068749999999</v>
      </c>
      <c r="J156" s="7">
        <v>1</v>
      </c>
      <c r="K156" s="109" t="str">
        <f>IF(ISEVEN(B156),(B156-1)&amp;"/"&amp;B156,B156&amp;"/"&amp;(B156+1))</f>
        <v>4041/4042</v>
      </c>
      <c r="L156" s="22" t="str">
        <f>VLOOKUP(A156,'Trips&amp;Operators'!$C$1:$G$99999,5,FALSE)</f>
        <v>SIMONEAUX TERA</v>
      </c>
      <c r="M156" s="6">
        <f>I156-F156</f>
        <v>2.9560185183072463E-2</v>
      </c>
      <c r="N156" s="7">
        <f>24*60*SUM($M156:$M156)</f>
        <v>42.566666663624346</v>
      </c>
      <c r="O156" s="7"/>
      <c r="P156" s="7"/>
      <c r="Q156" s="23"/>
      <c r="R156" s="23"/>
      <c r="S156" s="35">
        <f>SUM(U156:U156)/IF(AG156="EC",12,1)</f>
        <v>1</v>
      </c>
      <c r="T156" s="50" t="str">
        <f>IF(ISEVEN(LEFT(AD156,4)),"Southbound","NorthBound")</f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https://search-rtdc-monitor-bjffxe2xuh6vdkpspy63sjmuny.us-east-1.es.amazonaws.com/_plugin/kibana/#/discover/Steve-Slow-Train-Analysis-(2080s-and-2083s)?_g=(refreshInterval:(display:Off,section:0,value:0),time:(from:'2016-12-27 23:47:17-700',mode:absolute,to:'2016-12-28 02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6" s="52" t="str">
        <f>IF(AA156&lt;IF(AG156="EC",23,5.65),"Y","N")</f>
        <v>N</v>
      </c>
      <c r="X156" s="177">
        <f>VALUE(LEFT(AD156,4))-VALUE(LEFT(AD155,4))</f>
        <v>1</v>
      </c>
      <c r="Y156" s="67">
        <f>RIGHT(D156,LEN(D156)-4)/10000</f>
        <v>23.297899999999998</v>
      </c>
      <c r="Z156" s="67">
        <f>RIGHT(H156,LEN(H156)-4)/10000</f>
        <v>1.3899999999999999E-2</v>
      </c>
      <c r="AA156" s="67">
        <f>ABS(Z156-Y156)</f>
        <v>23.283999999999999</v>
      </c>
      <c r="AB156" s="64" t="str">
        <f>VLOOKUP(A156,Enforcements!$C$7:$K$19,8,0)</f>
        <v>Bulletin (2)</v>
      </c>
      <c r="AC156" s="60" t="str">
        <f>VLOOKUP(A156,Enforcements!$C$7:$E$19,3,0)</f>
        <v>GRADE CROSSING</v>
      </c>
      <c r="AD156" s="61" t="str">
        <f>IF(LEN(A156)=6,"0"&amp;A156,A156)</f>
        <v>0242-27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 &amp; 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/stypes="app*4041*20161228*"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8"/>
        <v>"%USERPROFILE%\Documents\GitHub\eaglep3\Utilities\RefineRTDCRunTimes.py" --tripid 242-27 --locoid 4041 --swversion DE.1.0.8.0 --startMP 204:232979 --initTime 2016-12-28T00:47:17 --startdatetime 2016-12-28T00:56:26 --delay 2 --endMP 204:139 --enddatetime 2016-12-28T01:39:00 --enforcementcount 1 &gt;&gt;C:\Users\stu\Documents\GitHub\eaglep3-reporting\EC\2016-12-27-refined-times.txt</v>
      </c>
      <c r="AI156" s="119" t="str">
        <f t="shared" si="9"/>
        <v>echo {"issue":{"subject":"","project_id":79,"tracker_id":40,"status_id":1,"priority_id":2,"assigned_to_id":23,"start_date":"2016-12-28","description":"","custom_fields":[{"id":1,"name":"Subdivision","value":"EC"},{"id":4,"name":"Milepost","value":"0.0139"},{"id":17,"name":"Train ID","value":"242-27"},{"id":16,"name":"Locomotive ID","value":"4041"},{"id":130,"name":"Impact","value":""},{"id":150,"name":"Time of Event (Mountain Time)","value":"01:39:00"},{"id":151,"name":"Denver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653</v>
      </c>
      <c r="B157" s="7">
        <v>4002</v>
      </c>
      <c r="C157" s="22" t="s">
        <v>205</v>
      </c>
      <c r="D157" s="22" t="s">
        <v>241</v>
      </c>
      <c r="E157" s="13">
        <v>42732.005196759259</v>
      </c>
      <c r="F157" s="13">
        <v>42732.021319444444</v>
      </c>
      <c r="G157" s="7">
        <v>3</v>
      </c>
      <c r="H157" s="22" t="s">
        <v>731</v>
      </c>
      <c r="I157" s="13">
        <v>42732.044965277775</v>
      </c>
      <c r="J157" s="7">
        <v>1</v>
      </c>
      <c r="K157" s="109" t="str">
        <f>IF(ISEVEN(B157),(B157-1)&amp;"/"&amp;B157,B157&amp;"/"&amp;(B157+1))</f>
        <v>4001/4002</v>
      </c>
      <c r="L157" s="22" t="str">
        <f>VLOOKUP(A157,'Trips&amp;Operators'!$C$1:$G$99999,5,FALSE)</f>
        <v>STAMBAUGH JAMES</v>
      </c>
      <c r="M157" s="6">
        <f>I157-F157</f>
        <v>2.364583333110204E-2</v>
      </c>
      <c r="N157" s="7">
        <f>24*60*SUM($M157:$M157)</f>
        <v>34.049999996786937</v>
      </c>
      <c r="O157" s="7"/>
      <c r="P157" s="7"/>
      <c r="Q157" s="23"/>
      <c r="R157" s="23"/>
      <c r="S157" s="35">
        <f>SUM(U157:U157)/IF(AG157="EC",12,1)</f>
        <v>1</v>
      </c>
      <c r="T157" s="50" t="str">
        <f>IF(ISEVEN(LEFT(AD157,4)),"Southbound","NorthBound")</f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https://search-rtdc-monitor-bjffxe2xuh6vdkpspy63sjmuny.us-east-1.es.amazonaws.com/_plugin/kibana/#/discover/Steve-Slow-Train-Analysis-(2080s-and-2083s)?_g=(refreshInterval:(display:Off,section:0,value:0),time:(from:'2016-12-27 23:07:29-700',mode:absolute,to:'2016-12-28 02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7" s="52" t="str">
        <f>IF(AA157&lt;IF(AG157="EC",23,5.65),"Y","N")</f>
        <v>N</v>
      </c>
      <c r="X157" s="177">
        <f>VALUE(LEFT(AD157,4))-VALUE(LEFT(AD156,4))</f>
        <v>1</v>
      </c>
      <c r="Y157" s="67">
        <f>RIGHT(D157,LEN(D157)-4)/10000</f>
        <v>4.58E-2</v>
      </c>
      <c r="Z157" s="67">
        <f>RIGHT(H157,LEN(H157)-4)/10000</f>
        <v>23.333600000000001</v>
      </c>
      <c r="AA157" s="67">
        <f>ABS(Z157-Y157)</f>
        <v>23.287800000000001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>IF(LEN(A157)=6,"0"&amp;A157,A157)</f>
        <v>0243-27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 &amp; 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/stypes="app*4002*20161228*"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2" t="str">
        <f t="shared" si="8"/>
        <v>"%USERPROFILE%\Documents\GitHub\eaglep3\Utilities\RefineRTDCRunTimes.py" --tripid 243-27 --locoid 4002 --swversion DE.1.0.8.0 --startMP 204:458 --initTime 2016-12-28T00:07:29 --startdatetime 2016-12-28T00:30:42 --delay 3 --endMP 204:233336 --enddatetime 2016-12-28T01:04:45 --enforcementcount 1 &gt;&gt;C:\Users\stu\Documents\GitHub\eaglep3-reporting\EC\2016-12-27-refined-times.txt</v>
      </c>
      <c r="AI157" s="119" t="str">
        <f t="shared" si="9"/>
        <v>echo {"issue":{"subject":"","project_id":79,"tracker_id":40,"status_id":1,"priority_id":2,"assigned_to_id":23,"start_date":"2016-12-28","description":"","custom_fields":[{"id":1,"name":"Subdivision","value":"EC"},{"id":4,"name":"Milepost","value":"23.3336"},{"id":17,"name":"Train ID","value":"243-27"},{"id":16,"name":"Locomotive ID","value":"4002"},{"id":130,"name":"Impact","value":""},{"id":150,"name":"Time of Event (Mountain Time)","value":"01:04:45"},{"id":151,"name":"Denver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657</v>
      </c>
      <c r="B158" s="7">
        <v>4001</v>
      </c>
      <c r="C158" s="22" t="s">
        <v>205</v>
      </c>
      <c r="D158" s="22" t="s">
        <v>254</v>
      </c>
      <c r="E158" s="13">
        <v>42732.057268518518</v>
      </c>
      <c r="F158" s="13">
        <v>42732.060428240744</v>
      </c>
      <c r="G158" s="7">
        <v>1</v>
      </c>
      <c r="H158" s="22" t="s">
        <v>347</v>
      </c>
      <c r="I158" s="13">
        <v>42732.0859837963</v>
      </c>
      <c r="J158" s="7">
        <v>1</v>
      </c>
      <c r="K158" s="109" t="str">
        <f>IF(ISEVEN(B158),(B158-1)&amp;"/"&amp;B158,B158&amp;"/"&amp;(B158+1))</f>
        <v>4001/4002</v>
      </c>
      <c r="L158" s="22" t="str">
        <f>VLOOKUP(A158,'Trips&amp;Operators'!$C$1:$G$99999,5,FALSE)</f>
        <v>STAMBAUGH JAMES</v>
      </c>
      <c r="M158" s="6">
        <f>I158-F158</f>
        <v>2.5555555555911269E-2</v>
      </c>
      <c r="N158" s="7">
        <f>24*60*SUM($M158:$M158)</f>
        <v>36.800000000512227</v>
      </c>
      <c r="O158" s="7"/>
      <c r="P158" s="7"/>
      <c r="Q158" s="23"/>
      <c r="R158" s="23"/>
      <c r="S158" s="35">
        <f>SUM(U158:U158)/IF(AG158="EC",12,1)</f>
        <v>1</v>
      </c>
      <c r="T158" s="50" t="str">
        <f>IF(ISEVEN(LEFT(AD158,4)),"Southbound","NorthBound")</f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https://search-rtdc-monitor-bjffxe2xuh6vdkpspy63sjmuny.us-east-1.es.amazonaws.com/_plugin/kibana/#/discover/Steve-Slow-Train-Analysis-(2080s-and-2083s)?_g=(refreshInterval:(display:Off,section:0,value:0),time:(from:'2016-12-28 00:22:28-700',mode:absolute,to:'2016-12-28 03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8" s="52" t="str">
        <f>IF(AA158&lt;IF(AG158="EC",23,5.65),"Y","N")</f>
        <v>N</v>
      </c>
      <c r="X158" s="177">
        <f>VALUE(LEFT(AD158,4))-VALUE(LEFT(AD157,4))</f>
        <v>1</v>
      </c>
      <c r="Y158" s="67">
        <f>RIGHT(D158,LEN(D158)-4)/10000</f>
        <v>23.299399999999999</v>
      </c>
      <c r="Z158" s="67">
        <f>RIGHT(H158,LEN(H158)-4)/10000</f>
        <v>1.5599999999999999E-2</v>
      </c>
      <c r="AA158" s="67">
        <f>ABS(Z158-Y158)</f>
        <v>23.283799999999999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>IF(LEN(A158)=6,"0"&amp;A158,A158)</f>
        <v>0244-27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 &amp; 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/stypes="app*4001*20161228*" /stext=" 09:.+((SYSTEM_STATE.+slice.+state.+changed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2" t="str">
        <f t="shared" si="8"/>
        <v>"%USERPROFILE%\Documents\GitHub\eaglep3\Utilities\RefineRTDCRunTimes.py" --tripid 244-27 --locoid 4001 --swversion DE.1.0.8.0 --startMP 204:232994 --initTime 2016-12-28T01:22:28 --startdatetime 2016-12-28T01:27:01 --delay 1 --endMP 204:156 --enddatetime 2016-12-28T02:03:49 --enforcementcount 1 &gt;&gt;C:\Users\stu\Documents\GitHub\eaglep3-reporting\EC\2016-12-27-refined-times.txt</v>
      </c>
      <c r="AI158" s="119" t="str">
        <f t="shared" si="9"/>
        <v>echo {"issue":{"subject":"","project_id":79,"tracker_id":40,"status_id":1,"priority_id":2,"assigned_to_id":23,"start_date":"2016-12-28","description":"","custom_fields":[{"id":1,"name":"Subdivision","value":"EC"},{"id":4,"name":"Milepost","value":"0.0156"},{"id":17,"name":"Train ID","value":"244-27"},{"id":16,"name":"Locomotive ID","value":"4001"},{"id":130,"name":"Impact","value":""},{"id":150,"name":"Time of Event (Mountain Time)","value":"02:03:49"},{"id":151,"name":"Denver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473</v>
      </c>
      <c r="B159" s="7">
        <v>4004</v>
      </c>
      <c r="C159" s="22" t="s">
        <v>205</v>
      </c>
      <c r="D159" s="22" t="s">
        <v>749</v>
      </c>
      <c r="E159" s="13">
        <v>42731.211736111109</v>
      </c>
      <c r="F159" s="13">
        <v>42731.214548611111</v>
      </c>
      <c r="G159" s="7">
        <v>1</v>
      </c>
      <c r="H159" s="22" t="s">
        <v>750</v>
      </c>
      <c r="I159" s="13">
        <v>42731.225636574076</v>
      </c>
      <c r="J159" s="7">
        <v>1</v>
      </c>
      <c r="K159" s="109" t="str">
        <f>IF(ISEVEN(B159),(B159-1)&amp;"/"&amp;B159,B159&amp;"/"&amp;(B159+1))</f>
        <v>4003/4004</v>
      </c>
      <c r="L159" s="22" t="str">
        <f>VLOOKUP(A159,'Trips&amp;Operators'!$C$1:$G$99999,5,FALSE)</f>
        <v>YANG JAN</v>
      </c>
      <c r="M159" s="6">
        <f>I159-F159</f>
        <v>1.1087962964666076E-2</v>
      </c>
      <c r="N159" s="7">
        <f>24*60*SUM($M159:$M159)</f>
        <v>15.966666669119149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https://search-rtdc-monitor-bjffxe2xuh6vdkpspy63sjmuny.us-east-1.es.amazonaws.com/_plugin/kibana/#/discover/Steve-Slow-Train-Analysis-(2080s-and-2083s)?_g=(refreshInterval:(display:Off,section:0,value:0),time:(from:'2016-12-27 04:04:54-700',mode:absolute,to:'2016-12-27 06:24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9" s="52" t="str">
        <f>IF(AA159&lt;IF(AG159="EC",23,5.65),"Y","N")</f>
        <v>N</v>
      </c>
      <c r="X159" s="177">
        <f>VALUE(LEFT(AD159,4))-VALUE(LEFT(AD158,4))</f>
        <v>556</v>
      </c>
      <c r="Y159" s="67">
        <f>RIGHT(D159,LEN(D159)-4)/10000</f>
        <v>5.8630000000000004</v>
      </c>
      <c r="Z159" s="67">
        <f>RIGHT(H159,LEN(H159)-4)/10000</f>
        <v>7.3599999999999999E-2</v>
      </c>
      <c r="AA159" s="67">
        <f>ABS(Z159-Y159)</f>
        <v>5.7894000000000005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>IF(LEN(A159)=6,"0"&amp;A159,A159)</f>
        <v>0800-27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/stypes="app*4004*20161227*" /stext=" 12:.+((SYSTEM_STATE.+slice.+state.+changed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92" t="str">
        <f t="shared" si="8"/>
        <v>"%USERPROFILE%\Documents\GitHub\eaglep3\Utilities\RefineRTDCRunTimes.py" --tripid 800-27 --locoid 4004 --swversion DE.1.0.8.0 --startMP 300:58630 --initTime 2016-12-27T05:04:54 --startdatetime 2016-12-27T05:08:57 --delay 1 --endMP 204:736 --enddatetime 2016-12-27T05:24:55 --enforcementcount 1 &gt;&gt;C:\Users\stu\Documents\GitHub\eaglep3-reporting\EC\2016-12-27-refined-times.txt</v>
      </c>
      <c r="AI159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{"issue":{"subject":"","project_id":79,"tracker_id":40,"status_id":1,"priority_id":2,"assigned_to_id":23,"start_date":"2016-12-27","description":"","custom_fields":[{"id":1,"name":"Subdivision","value":"NW"},{"id":4,"name":"Milepost","value":"0.0736"},{"id":17,"name":"Train ID","value":"800-27"},{"id":16,"name":"Locomotive ID","value":"4004"},{"id":130,"name":"Impact","value":""},{"id":150,"name":"Time of Event (Mountain Time)","value":"05:24:55"},{"id":151,"name":"Denver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477</v>
      </c>
      <c r="B160" s="7">
        <v>4003</v>
      </c>
      <c r="C160" s="22" t="s">
        <v>205</v>
      </c>
      <c r="D160" s="22" t="s">
        <v>751</v>
      </c>
      <c r="E160" s="13">
        <v>42731.227962962963</v>
      </c>
      <c r="F160" s="13">
        <v>42731.244155092594</v>
      </c>
      <c r="G160" s="7">
        <v>1</v>
      </c>
      <c r="H160" s="22" t="s">
        <v>413</v>
      </c>
      <c r="I160" s="13">
        <v>42731.254629629628</v>
      </c>
      <c r="J160" s="7">
        <v>1</v>
      </c>
      <c r="K160" s="109" t="str">
        <f>IF(ISEVEN(B160),(B160-1)&amp;"/"&amp;B160,B160&amp;"/"&amp;(B160+1))</f>
        <v>4003/4004</v>
      </c>
      <c r="L160" s="22" t="str">
        <f>VLOOKUP(A160,'Trips&amp;Operators'!$C$1:$G$99999,5,FALSE)</f>
        <v>YANG JAN</v>
      </c>
      <c r="M160" s="6">
        <f>I160-F160</f>
        <v>1.0474537033587694E-2</v>
      </c>
      <c r="N160" s="7">
        <f>24*60*SUM($M160:$M160)</f>
        <v>15.08333332836628</v>
      </c>
      <c r="O160" s="7"/>
      <c r="P160" s="7"/>
      <c r="Q160" s="23"/>
      <c r="R160" s="23"/>
      <c r="S160" s="35">
        <f>SUM(U160:U160)/IF(AG160="EC",12,1)</f>
        <v>1</v>
      </c>
      <c r="T160" s="50" t="str">
        <f>IF(ISEVEN(LEFT(AD160,4)),"Southbound","NorthBound")</f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https://search-rtdc-monitor-bjffxe2xuh6vdkpspy63sjmuny.us-east-1.es.amazonaws.com/_plugin/kibana/#/discover/Steve-Slow-Train-Analysis-(2080s-and-2083s)?_g=(refreshInterval:(display:Off,section:0,value:0),time:(from:'2016-12-27 04:28:16-700',mode:absolute,to:'2016-12-27 07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0" s="52" t="str">
        <f>IF(AA160&lt;IF(AG160="EC",23,5.65),"Y","N")</f>
        <v>N</v>
      </c>
      <c r="X160" s="177">
        <f>VALUE(LEFT(AD160,4))-VALUE(LEFT(AD159,4))</f>
        <v>1</v>
      </c>
      <c r="Y160" s="67">
        <f>RIGHT(D160,LEN(D160)-4)/10000</f>
        <v>0.10299999999999999</v>
      </c>
      <c r="Z160" s="67">
        <f>RIGHT(H160,LEN(H160)-4)/10000</f>
        <v>5.8912000000000004</v>
      </c>
      <c r="AA160" s="67">
        <f>ABS(Z160-Y160)</f>
        <v>5.7882000000000007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>IF(LEN(A160)=6,"0"&amp;A160,A160)</f>
        <v>0801-27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/stypes="app*4003*20161227*"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2" t="str">
        <f t="shared" si="8"/>
        <v>"%USERPROFILE%\Documents\GitHub\eaglep3\Utilities\RefineRTDCRunTimes.py" --tripid 801-27 --locoid 4003 --swversion DE.1.0.8.0 --startMP 204:1030 --initTime 2016-12-27T05:28:16 --startdatetime 2016-12-27T05:51:35 --delay 1 --endMP 300:58912 --enddatetime 2016-12-27T06:06:40 --enforcementcount 1 &gt;&gt;C:\Users\stu\Documents\GitHub\eaglep3-reporting\EC\2016-12-27-refined-times.txt</v>
      </c>
      <c r="AI160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{"issue":{"subject":"","project_id":79,"tracker_id":40,"status_id":1,"priority_id":2,"assigned_to_id":23,"start_date":"2016-12-27","description":"","custom_fields":[{"id":1,"name":"Subdivision","value":"NW"},{"id":4,"name":"Milepost","value":"5.8912"},{"id":17,"name":"Train ID","value":"801-27"},{"id":16,"name":"Locomotive ID","value":"4003"},{"id":130,"name":"Impact","value":""},{"id":150,"name":"Time of Event (Mountain Time)","value":"06:06:40"},{"id":151,"name":"Denver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431</v>
      </c>
      <c r="B161" s="7">
        <v>4004</v>
      </c>
      <c r="C161" s="22" t="s">
        <v>205</v>
      </c>
      <c r="D161" s="22" t="s">
        <v>752</v>
      </c>
      <c r="E161" s="13">
        <v>42731.255972222221</v>
      </c>
      <c r="F161" s="13">
        <v>42731.258032407408</v>
      </c>
      <c r="G161" s="7">
        <v>1</v>
      </c>
      <c r="H161" s="22" t="s">
        <v>269</v>
      </c>
      <c r="I161" s="13">
        <v>42731.270046296297</v>
      </c>
      <c r="J161" s="7">
        <v>1</v>
      </c>
      <c r="K161" s="109" t="str">
        <f>IF(ISEVEN(B161),(B161-1)&amp;"/"&amp;B161,B161&amp;"/"&amp;(B161+1))</f>
        <v>4003/4004</v>
      </c>
      <c r="L161" s="22" t="str">
        <f>VLOOKUP(A161,'Trips&amp;Operators'!$C$1:$G$99999,5,FALSE)</f>
        <v>YANG JAN</v>
      </c>
      <c r="M161" s="6">
        <f>I161-F161</f>
        <v>1.2013888888759539E-2</v>
      </c>
      <c r="N161" s="7">
        <f>24*60*SUM($M161:$M161)</f>
        <v>17.299999999813735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https://search-rtdc-monitor-bjffxe2xuh6vdkpspy63sjmuny.us-east-1.es.amazonaws.com/_plugin/kibana/#/discover/Steve-Slow-Train-Analysis-(2080s-and-2083s)?_g=(refreshInterval:(display:Off,section:0,value:0),time:(from:'2016-12-27 05:08:36-700',mode:absolute,to:'2016-12-27 07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>IF(AA161&lt;IF(AG161="EC",23,5.65),"Y","N")</f>
        <v>N</v>
      </c>
      <c r="X161" s="177">
        <f>VALUE(LEFT(AD161,4))-VALUE(LEFT(AD160,4))</f>
        <v>1</v>
      </c>
      <c r="Y161" s="67">
        <f>RIGHT(D161,LEN(D161)-4)/10000</f>
        <v>5.8608000000000002</v>
      </c>
      <c r="Z161" s="67">
        <f>RIGHT(H161,LEN(H161)-4)/10000</f>
        <v>1.38E-2</v>
      </c>
      <c r="AA161" s="67">
        <f>ABS(Z161-Y161)</f>
        <v>5.8470000000000004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>IF(LEN(A161)=6,"0"&amp;A161,A161)</f>
        <v>0802-27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/stypes="app*4004*20161227*"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2" t="str">
        <f t="shared" si="8"/>
        <v>"%USERPROFILE%\Documents\GitHub\eaglep3\Utilities\RefineRTDCRunTimes.py" --tripid 802-27 --locoid 4004 --swversion DE.1.0.8.0 --startMP 300:58608 --initTime 2016-12-27T06:08:36 --startdatetime 2016-12-27T06:11:34 --delay 1 --endMP 204:138 --enddatetime 2016-12-27T06:28:52 --enforcementcount 1 &gt;&gt;C:\Users\stu\Documents\GitHub\eaglep3-reporting\EC\2016-12-27-refined-times.txt</v>
      </c>
      <c r="AI161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{"issue":{"subject":"","project_id":79,"tracker_id":40,"status_id":1,"priority_id":2,"assigned_to_id":23,"start_date":"2016-12-27","description":"","custom_fields":[{"id":1,"name":"Subdivision","value":"NW"},{"id":4,"name":"Milepost","value":"0.0138"},{"id":17,"name":"Train ID","value":"802-27"},{"id":16,"name":"Locomotive ID","value":"4004"},{"id":130,"name":"Impact","value":""},{"id":150,"name":"Time of Event (Mountain Time)","value":"06:28:52"},{"id":151,"name":"Denver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487</v>
      </c>
      <c r="B162" s="7">
        <v>4014</v>
      </c>
      <c r="C162" s="22" t="s">
        <v>205</v>
      </c>
      <c r="D162" s="22" t="s">
        <v>752</v>
      </c>
      <c r="E162" s="13">
        <v>42731.255972222221</v>
      </c>
      <c r="F162" s="13">
        <v>42731.263159722221</v>
      </c>
      <c r="G162" s="7">
        <v>1</v>
      </c>
      <c r="H162" s="22" t="s">
        <v>269</v>
      </c>
      <c r="I162" s="13">
        <v>42731.264594907407</v>
      </c>
      <c r="J162" s="7">
        <v>1</v>
      </c>
      <c r="K162" s="109" t="str">
        <f>IF(ISEVEN(B162),(B162-1)&amp;"/"&amp;B162,B162&amp;"/"&amp;(B162+1))</f>
        <v>4013/4014</v>
      </c>
      <c r="L162" s="22" t="str">
        <f>VLOOKUP(A162,'Trips&amp;Operators'!$C$1:$G$99999,5,FALSE)</f>
        <v>BROWN JACOB</v>
      </c>
      <c r="M162" s="6">
        <f>I162-F162</f>
        <v>1.4351851859828457E-3</v>
      </c>
      <c r="N162" s="7"/>
      <c r="O162" s="7"/>
      <c r="P162" s="7">
        <f>24*60*SUM($M162:$M162)</f>
        <v>2.0666666678152978</v>
      </c>
      <c r="Q162" s="23"/>
      <c r="R162" s="23" t="s">
        <v>423</v>
      </c>
      <c r="S162" s="35">
        <f>SUM(U162:U162)/IF(AG162="EC",12,1)</f>
        <v>0</v>
      </c>
      <c r="T162" s="50" t="str">
        <f>IF(ISEVEN(LEFT(AD162,4)),"Southbound","NorthBound")</f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https://search-rtdc-monitor-bjffxe2xuh6vdkpspy63sjmuny.us-east-1.es.amazonaws.com/_plugin/kibana/#/discover/Steve-Slow-Train-Analysis-(2080s-and-2083s)?_g=(refreshInterval:(display:Off,section:0,value:0),time:(from:'2016-12-27 05:08:36-700',mode:absolute,to:'2016-12-27 07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2" s="52" t="str">
        <f>IF(AA162&lt;IF(AG162="EC",23,5.65),"Y","N")</f>
        <v>Y</v>
      </c>
      <c r="X162" s="177">
        <f>VALUE(LEFT(AD162,4))-VALUE(LEFT(AD161,4))</f>
        <v>1</v>
      </c>
      <c r="Y162" s="67">
        <v>0</v>
      </c>
      <c r="Z162" s="67">
        <v>0</v>
      </c>
      <c r="AA162" s="67">
        <f>ABS(Z162-Y162)</f>
        <v>0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>IF(LEN(A162)=6,"0"&amp;A162,A162)</f>
        <v>0803-27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/stypes="app*4014*20161227*"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2" t="str">
        <f t="shared" ref="AH162" si="10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803-27 --locoid 4014 --swversion DE.1.0.8.0 --startMP 300:58608 --initTime 2016-12-27T06:08:36 --startdatetime 2016-12-27T06:18:57 --delay 1 --endMP 204:138 --enddatetime 2016-12-27T06:21:01 --enforcementcount 1 &gt;&gt;C:\Users\stu\Documents\GitHub\eaglep3-reporting\EC\2016-12-27-refined-times.txt</v>
      </c>
      <c r="AI162" s="119" t="str">
        <f t="shared" ref="AI162" si="11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failure","project_id":79,"tracker_id":40,"status_id":1,"priority_id":2,"assigned_to_id":23,"start_date":"2016-12-27","description":"","custom_fields":[{"id":1,"name":"Subdivision","value":"NW"},{"id":4,"name":"Milepost","value":"0"},{"id":17,"name":"Train ID","value":"803-27"},{"id":16,"name":"Locomotive ID","value":"4014"},{"id":130,"name":"Impact","value":""},{"id":150,"name":"Time of Event (Mountain Time)","value":"06:21:01"},{"id":151,"name":"Denver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493</v>
      </c>
      <c r="B163" s="7">
        <v>4013</v>
      </c>
      <c r="C163" s="22" t="s">
        <v>205</v>
      </c>
      <c r="D163" s="22" t="s">
        <v>328</v>
      </c>
      <c r="E163" s="13">
        <v>42731.282939814817</v>
      </c>
      <c r="F163" s="13">
        <v>42731.284074074072</v>
      </c>
      <c r="G163" s="7">
        <v>1</v>
      </c>
      <c r="H163" s="22" t="s">
        <v>753</v>
      </c>
      <c r="I163" s="13">
        <v>42731.293611111112</v>
      </c>
      <c r="J163" s="7">
        <v>1</v>
      </c>
      <c r="K163" s="109" t="str">
        <f>IF(ISEVEN(B163),(B163-1)&amp;"/"&amp;B163,B163&amp;"/"&amp;(B163+1))</f>
        <v>4013/4014</v>
      </c>
      <c r="L163" s="22" t="str">
        <f>VLOOKUP(A163,'Trips&amp;Operators'!$C$1:$G$99999,5,FALSE)</f>
        <v>BROWN JACOB</v>
      </c>
      <c r="M163" s="6">
        <f>I163-F163</f>
        <v>9.5370370399905369E-3</v>
      </c>
      <c r="N163" s="7">
        <f>24*60*SUM($M163:$M163)</f>
        <v>13.733333337586373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https://search-rtdc-monitor-bjffxe2xuh6vdkpspy63sjmuny.us-east-1.es.amazonaws.com/_plugin/kibana/#/discover/Steve-Slow-Train-Analysis-(2080s-and-2083s)?_g=(refreshInterval:(display:Off,section:0,value:0),time:(from:'2016-12-27 05:47:26-700',mode:absolute,to:'2016-12-27 08:02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3" s="52" t="str">
        <f>IF(AA163&lt;IF(AG163="EC",23,5.65),"Y","N")</f>
        <v>N</v>
      </c>
      <c r="X163" s="177">
        <f t="shared" ref="X163:X164" si="12">VALUE(LEFT(AD163,4))-VALUE(LEFT(AD162,4))</f>
        <v>1</v>
      </c>
      <c r="Y163" s="67">
        <f>RIGHT(D163,LEN(D163)-4)/10000</f>
        <v>5.8616999999999999</v>
      </c>
      <c r="Z163" s="67">
        <f>RIGHT(H163,LEN(H163)-4)/10000</f>
        <v>7.4999999999999997E-2</v>
      </c>
      <c r="AA163" s="67">
        <f>ABS(Z163-Y163)</f>
        <v>5.7866999999999997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>IF(LEN(A163)=6,"0"&amp;A163,A163)</f>
        <v>0804-27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/stypes="app*4013*20161227*" /stext=" 14:.+((SYSTEM_STATE.+slice.+state.+changed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8"/>
        <v>"%USERPROFILE%\Documents\GitHub\eaglep3\Utilities\RefineRTDCRunTimes.py" --tripid 804-27 --locoid 4013 --swversion DE.1.0.8.0 --startMP 300:58617 --initTime 2016-12-27T06:47:26 --startdatetime 2016-12-27T06:49:04 --delay 1 --endMP 204:750 --enddatetime 2016-12-27T07:02:48 --enforcementcount 1 &gt;&gt;C:\Users\stu\Documents\GitHub\eaglep3-reporting\EC\2016-12-27-refined-times.txt</v>
      </c>
      <c r="AI163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{"issue":{"subject":"","project_id":79,"tracker_id":40,"status_id":1,"priority_id":2,"assigned_to_id":23,"start_date":"2016-12-27","description":"","custom_fields":[{"id":1,"name":"Subdivision","value":"NW"},{"id":4,"name":"Milepost","value":"0.075"},{"id":17,"name":"Train ID","value":"804-27"},{"id":16,"name":"Locomotive ID","value":"4013"},{"id":130,"name":"Impact","value":""},{"id":150,"name":"Time of Event (Mountain Time)","value":"07:02:48"},{"id":151,"name":"Denver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490</v>
      </c>
      <c r="B164" s="7">
        <v>4003</v>
      </c>
      <c r="C164" s="22" t="s">
        <v>205</v>
      </c>
      <c r="D164" s="22" t="s">
        <v>194</v>
      </c>
      <c r="E164" s="13">
        <v>42731.270682870374</v>
      </c>
      <c r="F164" s="13">
        <v>42731.285775462966</v>
      </c>
      <c r="G164" s="7">
        <v>1</v>
      </c>
      <c r="H164" s="22" t="s">
        <v>409</v>
      </c>
      <c r="I164" s="13">
        <v>42731.296446759261</v>
      </c>
      <c r="J164" s="7">
        <v>1</v>
      </c>
      <c r="K164" s="109" t="str">
        <f>IF(ISEVEN(B164),(B164-1)&amp;"/"&amp;B164,B164&amp;"/"&amp;(B164+1))</f>
        <v>4003/4004</v>
      </c>
      <c r="L164" s="22" t="str">
        <f>VLOOKUP(A164,'Trips&amp;Operators'!$C$1:$G$99999,5,FALSE)</f>
        <v>YANG JAN</v>
      </c>
      <c r="M164" s="6">
        <f>I164-F164</f>
        <v>1.0671296295186039E-2</v>
      </c>
      <c r="N164" s="7">
        <f>24*60*SUM($M164:$M164)</f>
        <v>15.366666665067896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https://search-rtdc-monitor-bjffxe2xuh6vdkpspy63sjmuny.us-east-1.es.amazonaws.com/_plugin/kibana/#/discover/Steve-Slow-Train-Analysis-(2080s-and-2083s)?_g=(refreshInterval:(display:Off,section:0,value:0),time:(from:'2016-12-27 05:29:47-700',mode:absolute,to:'2016-12-27 08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2" t="str">
        <f>IF(AA164&lt;IF(AG164="EC",23,5.65),"Y","N")</f>
        <v>N</v>
      </c>
      <c r="X164" s="177">
        <f t="shared" si="12"/>
        <v>1</v>
      </c>
      <c r="Y164" s="67">
        <f>RIGHT(D164,LEN(D164)-4)/10000</f>
        <v>4.5100000000000001E-2</v>
      </c>
      <c r="Z164" s="67">
        <f>RIGHT(H164,LEN(H164)-4)/10000</f>
        <v>5.8929</v>
      </c>
      <c r="AA164" s="67">
        <f>ABS(Z164-Y164)</f>
        <v>5.8478000000000003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>IF(LEN(A164)=6,"0"&amp;A164,A164)</f>
        <v>0805-27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/stypes="app*4003*20161227*"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8"/>
        <v>"%USERPROFILE%\Documents\GitHub\eaglep3\Utilities\RefineRTDCRunTimes.py" --tripid 805-27 --locoid 4003 --swversion DE.1.0.8.0 --startMP 204:451 --initTime 2016-12-27T06:29:47 --startdatetime 2016-12-27T06:51:31 --delay 1 --endMP 300:58929 --enddatetime 2016-12-27T07:06:53 --enforcementcount 1 &gt;&gt;C:\Users\stu\Documents\GitHub\eaglep3-reporting\EC\2016-12-27-refined-times.txt</v>
      </c>
      <c r="AI164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{"issue":{"subject":"","project_id":79,"tracker_id":40,"status_id":1,"priority_id":2,"assigned_to_id":23,"start_date":"2016-12-27","description":"","custom_fields":[{"id":1,"name":"Subdivision","value":"NW"},{"id":4,"name":"Milepost","value":"5.8929"},{"id":17,"name":"Train ID","value":"805-27"},{"id":16,"name":"Locomotive ID","value":"4003"},{"id":130,"name":"Impact","value":""},{"id":150,"name":"Time of Event (Mountain Time)","value":"07:06:53"},{"id":151,"name":"Denver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497</v>
      </c>
      <c r="B165" s="7">
        <v>4004</v>
      </c>
      <c r="C165" s="22" t="s">
        <v>205</v>
      </c>
      <c r="D165" s="22" t="s">
        <v>328</v>
      </c>
      <c r="E165" s="13">
        <v>42731.297650462962</v>
      </c>
      <c r="F165" s="13">
        <v>42731.299328703702</v>
      </c>
      <c r="G165" s="7">
        <v>1</v>
      </c>
      <c r="H165" s="22" t="s">
        <v>754</v>
      </c>
      <c r="I165" s="13">
        <v>42731.310370370367</v>
      </c>
      <c r="J165" s="7">
        <v>1</v>
      </c>
      <c r="K165" s="109" t="str">
        <f>IF(ISEVEN(B165),(B165-1)&amp;"/"&amp;B165,B165&amp;"/"&amp;(B165+1))</f>
        <v>4003/4004</v>
      </c>
      <c r="L165" s="22" t="str">
        <f>VLOOKUP(A165,'Trips&amp;Operators'!$C$1:$G$99999,5,FALSE)</f>
        <v>YANG JAN</v>
      </c>
      <c r="M165" s="6">
        <f>I165-F165</f>
        <v>1.1041666664823424E-2</v>
      </c>
      <c r="N165" s="7">
        <f>24*60*SUM($M165:$M165)</f>
        <v>15.899999997345731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https://search-rtdc-monitor-bjffxe2xuh6vdkpspy63sjmuny.us-east-1.es.amazonaws.com/_plugin/kibana/#/discover/Steve-Slow-Train-Analysis-(2080s-and-2083s)?_g=(refreshInterval:(display:Off,section:0,value:0),time:(from:'2016-12-27 06:08:37-700',mode:absolute,to:'2016-12-27 08:26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2" t="str">
        <f>IF(AA165&lt;IF(AG165="EC",23,5.65),"Y","N")</f>
        <v>N</v>
      </c>
      <c r="X165" s="177">
        <f>VALUE(LEFT(AD165,4))-VALUE(LEFT(AD164,4))</f>
        <v>1</v>
      </c>
      <c r="Y165" s="67">
        <f>RIGHT(D165,LEN(D165)-4)/10000</f>
        <v>5.8616999999999999</v>
      </c>
      <c r="Z165" s="67">
        <f>RIGHT(H165,LEN(H165)-4)/10000</f>
        <v>7.5499999999999998E-2</v>
      </c>
      <c r="AA165" s="67">
        <f>ABS(Z165-Y165)</f>
        <v>5.7862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>IF(LEN(A165)=6,"0"&amp;A165,A165)</f>
        <v>0806-27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/stypes="app*4004*20161227*"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8"/>
        <v>"%USERPROFILE%\Documents\GitHub\eaglep3\Utilities\RefineRTDCRunTimes.py" --tripid 806-27 --locoid 4004 --swversion DE.1.0.8.0 --startMP 300:58617 --initTime 2016-12-27T07:08:37 --startdatetime 2016-12-27T07:11:02 --delay 1 --endMP 204:755 --enddatetime 2016-12-27T07:26:56 --enforcementcount 1 &gt;&gt;C:\Users\stu\Documents\GitHub\eaglep3-reporting\EC\2016-12-27-refined-times.txt</v>
      </c>
      <c r="AI165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{"issue":{"subject":"","project_id":79,"tracker_id":40,"status_id":1,"priority_id":2,"assigned_to_id":23,"start_date":"2016-12-27","description":"","custom_fields":[{"id":1,"name":"Subdivision","value":"NW"},{"id":4,"name":"Milepost","value":"0.0755"},{"id":17,"name":"Train ID","value":"806-27"},{"id":16,"name":"Locomotive ID","value":"4004"},{"id":130,"name":"Impact","value":""},{"id":150,"name":"Time of Event (Mountain Time)","value":"07:26:56"},{"id":151,"name":"Denver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499</v>
      </c>
      <c r="B166" s="7">
        <v>4014</v>
      </c>
      <c r="C166" s="22" t="s">
        <v>205</v>
      </c>
      <c r="D166" s="22" t="s">
        <v>328</v>
      </c>
      <c r="E166" s="13">
        <v>42731.297650462962</v>
      </c>
      <c r="F166" s="13">
        <v>42731.30064814815</v>
      </c>
      <c r="G166" s="7">
        <v>1</v>
      </c>
      <c r="H166" s="22" t="s">
        <v>754</v>
      </c>
      <c r="I166" s="13">
        <v>42731.318553240744</v>
      </c>
      <c r="J166" s="7">
        <v>1</v>
      </c>
      <c r="K166" s="109" t="str">
        <f>IF(ISEVEN(B166),(B166-1)&amp;"/"&amp;B166,B166&amp;"/"&amp;(B166+1))</f>
        <v>4013/4014</v>
      </c>
      <c r="L166" s="22" t="str">
        <f>VLOOKUP(A166,'Trips&amp;Operators'!$C$1:$G$99999,5,FALSE)</f>
        <v>BROWN JACOB</v>
      </c>
      <c r="M166" s="6">
        <f>I166-F166</f>
        <v>1.7905092594446614E-2</v>
      </c>
      <c r="N166" s="7"/>
      <c r="O166" s="7"/>
      <c r="P166" s="7">
        <f>24*60*SUM($M166:$M166)</f>
        <v>25.783333336003125</v>
      </c>
      <c r="Q166" s="23"/>
      <c r="R166" s="23" t="s">
        <v>824</v>
      </c>
      <c r="S166" s="35">
        <f>SUM(U166:U166)/IF(AG166="EC",12,1)</f>
        <v>0</v>
      </c>
      <c r="T166" s="50" t="str">
        <f>IF(ISEVEN(LEFT(AD166,4)),"Southbound","NorthBound")</f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0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https://search-rtdc-monitor-bjffxe2xuh6vdkpspy63sjmuny.us-east-1.es.amazonaws.com/_plugin/kibana/#/discover/Steve-Slow-Train-Analysis-(2080s-and-2083s)?_g=(refreshInterval:(display:Off,section:0,value:0),time:(from:'2016-12-27 06:08:37-700',mode:absolute,to:'2016-12-27 08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52" t="str">
        <f>IF(AA166&lt;IF(AG166="EC",23,5.65),"Y","N")</f>
        <v>Y</v>
      </c>
      <c r="X166" s="177">
        <f>VALUE(LEFT(AD166,4))-VALUE(LEFT(AD165,4))</f>
        <v>1</v>
      </c>
      <c r="Y166" s="67">
        <v>0</v>
      </c>
      <c r="Z166" s="67">
        <v>0</v>
      </c>
      <c r="AA166" s="67">
        <f>ABS(Z166-Y166)</f>
        <v>0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>IF(LEN(A166)=6,"0"&amp;A166,A166)</f>
        <v>0807-27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/stypes="app*4014*20161227*"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ref="AH166" si="13"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807-27 --locoid 4014 --swversion DE.1.0.8.0 --startMP 300:58617 --initTime 2016-12-27T07:08:37 --startdatetime 2016-12-27T07:12:56 --delay 1 --endMP 204:755 --enddatetime 2016-12-27T07:38:43 --enforcementcount 1 &gt;&gt;C:\Users\stu\Documents\GitHub\eaglep3-reporting\EC\2016-12-27-refined-times.txt</v>
      </c>
      <c r="AI166" s="119" t="str">
        <f t="shared" ref="AI166" si="14"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-X POST -H ""Content-Type: application/json"" -H ""X-Redmine-API-Key: "&amp;redm_api_key&amp;""" "&amp;redm_url&amp;" --data @-"</f>
        <v>echo {"issue":{"subject":"Multiple init attempts while BPP was low (83)","project_id":79,"tracker_id":40,"status_id":1,"priority_id":2,"assigned_to_id":23,"start_date":"2016-12-27","description":"","custom_fields":[{"id":1,"name":"Subdivision","value":"NW"},{"id":4,"name":"Milepost","value":"0"},{"id":17,"name":"Train ID","value":"807-27"},{"id":16,"name":"Locomotive ID","value":"4014"},{"id":130,"name":"Impact","value":""},{"id":150,"name":"Time of Event (Mountain Time)","value":"07:38:43"},{"id":151,"name":"Denver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505</v>
      </c>
      <c r="B167" s="7">
        <v>4013</v>
      </c>
      <c r="C167" s="22" t="s">
        <v>205</v>
      </c>
      <c r="D167" s="22" t="s">
        <v>755</v>
      </c>
      <c r="E167" s="13">
        <v>42731.320474537039</v>
      </c>
      <c r="F167" s="13">
        <v>42731.321666666663</v>
      </c>
      <c r="G167" s="7">
        <v>1</v>
      </c>
      <c r="H167" s="22" t="s">
        <v>663</v>
      </c>
      <c r="I167" s="13">
        <v>42731.330868055556</v>
      </c>
      <c r="J167" s="7">
        <v>1</v>
      </c>
      <c r="K167" s="109" t="str">
        <f>IF(ISEVEN(B167),(B167-1)&amp;"/"&amp;B167,B167&amp;"/"&amp;(B167+1))</f>
        <v>4013/4014</v>
      </c>
      <c r="L167" s="22" t="str">
        <f>VLOOKUP(A167,'Trips&amp;Operators'!$C$1:$G$99999,5,FALSE)</f>
        <v>BROWN JACOB</v>
      </c>
      <c r="M167" s="6">
        <f>I167-F167</f>
        <v>9.2013888934161514E-3</v>
      </c>
      <c r="N167" s="7">
        <f>24*60*SUM($M167:$M167)</f>
        <v>13.250000006519258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https://search-rtdc-monitor-bjffxe2xuh6vdkpspy63sjmuny.us-east-1.es.amazonaws.com/_plugin/kibana/#/discover/Steve-Slow-Train-Analysis-(2080s-and-2083s)?_g=(refreshInterval:(display:Off,section:0,value:0),time:(from:'2016-12-27 06:41:29-700',mode:absolute,to:'2016-12-27 08:56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7" s="52" t="str">
        <f>IF(AA167&lt;IF(AG167="EC",23,5.65),"Y","N")</f>
        <v>N</v>
      </c>
      <c r="X167" s="177">
        <f>VALUE(LEFT(AD167,4))-VALUE(LEFT(AD166,4))</f>
        <v>1</v>
      </c>
      <c r="Y167" s="67">
        <f>RIGHT(D167,LEN(D167)-4)/10000</f>
        <v>5.8647</v>
      </c>
      <c r="Z167" s="67">
        <f>RIGHT(H167,LEN(H167)-4)/10000</f>
        <v>7.4099999999999999E-2</v>
      </c>
      <c r="AA167" s="67">
        <f>ABS(Z167-Y167)</f>
        <v>5.7906000000000004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>IF(LEN(A167)=6,"0"&amp;A167,A167)</f>
        <v>0808-27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/stypes="app*4013*20161227*" /stext=" 14:.+((SYSTEM_STATE.+slice.+state.+changed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8"/>
        <v>"%USERPROFILE%\Documents\GitHub\eaglep3\Utilities\RefineRTDCRunTimes.py" --tripid 808-27 --locoid 4013 --swversion DE.1.0.8.0 --startMP 300:58647 --initTime 2016-12-27T07:41:29 --startdatetime 2016-12-27T07:43:12 --delay 1 --endMP 204:741 --enddatetime 2016-12-27T07:56:27 --enforcementcount 1 &gt;&gt;C:\Users\stu\Documents\GitHub\eaglep3-reporting\EC\2016-12-27-refined-times.txt</v>
      </c>
      <c r="AI167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{"issue":{"subject":"","project_id":79,"tracker_id":40,"status_id":1,"priority_id":2,"assigned_to_id":23,"start_date":"2016-12-27","description":"","custom_fields":[{"id":1,"name":"Subdivision","value":"NW"},{"id":4,"name":"Milepost","value":"0.0741"},{"id":17,"name":"Train ID","value":"808-27"},{"id":16,"name":"Locomotive ID","value":"4013"},{"id":130,"name":"Impact","value":""},{"id":150,"name":"Time of Event (Mountain Time)","value":"07:56:27"},{"id":151,"name":"Denver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502</v>
      </c>
      <c r="B168" s="7">
        <v>4003</v>
      </c>
      <c r="C168" s="22" t="s">
        <v>205</v>
      </c>
      <c r="D168" s="22" t="s">
        <v>751</v>
      </c>
      <c r="E168" s="13">
        <v>42731.312824074077</v>
      </c>
      <c r="F168" s="13">
        <v>42731.327384259261</v>
      </c>
      <c r="G168" s="7">
        <v>1</v>
      </c>
      <c r="H168" s="22" t="s">
        <v>417</v>
      </c>
      <c r="I168" s="13">
        <v>42731.337245370371</v>
      </c>
      <c r="J168" s="7">
        <v>1</v>
      </c>
      <c r="K168" s="109" t="str">
        <f>IF(ISEVEN(B168),(B168-1)&amp;"/"&amp;B168,B168&amp;"/"&amp;(B168+1))</f>
        <v>4003/4004</v>
      </c>
      <c r="L168" s="22" t="str">
        <f>VLOOKUP(A168,'Trips&amp;Operators'!$C$1:$G$99999,5,FALSE)</f>
        <v>YANG JAN</v>
      </c>
      <c r="M168" s="6">
        <f>I168-F168</f>
        <v>9.8611111097852699E-3</v>
      </c>
      <c r="N168" s="7">
        <f>24*60*SUM($M168:$M168)</f>
        <v>14.199999998090789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https://search-rtdc-monitor-bjffxe2xuh6vdkpspy63sjmuny.us-east-1.es.amazonaws.com/_plugin/kibana/#/discover/Steve-Slow-Train-Analysis-(2080s-and-2083s)?_g=(refreshInterval:(display:Off,section:0,value:0),time:(from:'2016-12-27 06:30:28-700',mode:absolute,to:'2016-12-27 09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2" t="str">
        <f>IF(AA168&lt;IF(AG168="EC",23,5.65),"Y","N")</f>
        <v>N</v>
      </c>
      <c r="X168" s="177">
        <f>VALUE(LEFT(AD168,4))-VALUE(LEFT(AD167,4))</f>
        <v>1</v>
      </c>
      <c r="Y168" s="67">
        <f>RIGHT(D168,LEN(D168)-4)/10000</f>
        <v>0.10299999999999999</v>
      </c>
      <c r="Z168" s="67">
        <f>RIGHT(H168,LEN(H168)-4)/10000</f>
        <v>5.8920000000000003</v>
      </c>
      <c r="AA168" s="67">
        <f>ABS(Z168-Y168)</f>
        <v>5.7890000000000006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>IF(LEN(A168)=6,"0"&amp;A168,A168)</f>
        <v>0809-27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/stypes="app*4003*20161227*" /stext=" 15:.+((SYSTEM_STATE.+slice.+state.+changed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8"/>
        <v>"%USERPROFILE%\Documents\GitHub\eaglep3\Utilities\RefineRTDCRunTimes.py" --tripid 809-27 --locoid 4003 --swversion DE.1.0.8.0 --startMP 204:1030 --initTime 2016-12-27T07:30:28 --startdatetime 2016-12-27T07:51:26 --delay 1 --endMP 300:58920 --enddatetime 2016-12-27T08:05:38 --enforcementcount 1 &gt;&gt;C:\Users\stu\Documents\GitHub\eaglep3-reporting\EC\2016-12-27-refined-times.txt</v>
      </c>
      <c r="AI168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{"issue":{"subject":"","project_id":79,"tracker_id":40,"status_id":1,"priority_id":2,"assigned_to_id":23,"start_date":"2016-12-27","description":"","custom_fields":[{"id":1,"name":"Subdivision","value":"NW"},{"id":4,"name":"Milepost","value":"5.892"},{"id":17,"name":"Train ID","value":"809-27"},{"id":16,"name":"Locomotive ID","value":"4003"},{"id":130,"name":"Impact","value":""},{"id":150,"name":"Time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510</v>
      </c>
      <c r="B169" s="7">
        <v>4004</v>
      </c>
      <c r="C169" s="22" t="s">
        <v>205</v>
      </c>
      <c r="D169" s="22" t="s">
        <v>756</v>
      </c>
      <c r="E169" s="13">
        <v>42731.33902777778</v>
      </c>
      <c r="F169" s="13">
        <v>42731.340520833335</v>
      </c>
      <c r="G169" s="7">
        <v>1</v>
      </c>
      <c r="H169" s="22" t="s">
        <v>757</v>
      </c>
      <c r="I169" s="13">
        <v>42731.351631944446</v>
      </c>
      <c r="J169" s="7">
        <v>1</v>
      </c>
      <c r="K169" s="109" t="str">
        <f>IF(ISEVEN(B169),(B169-1)&amp;"/"&amp;B169,B169&amp;"/"&amp;(B169+1))</f>
        <v>4003/4004</v>
      </c>
      <c r="L169" s="22" t="str">
        <f>VLOOKUP(A169,'Trips&amp;Operators'!$C$1:$G$99999,5,FALSE)</f>
        <v>YANG JAN</v>
      </c>
      <c r="M169" s="6">
        <f>I169-F169</f>
        <v>1.1111111110949423E-2</v>
      </c>
      <c r="N169" s="7">
        <f>24*60*SUM($M169:$M169)</f>
        <v>15.999999999767169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https://search-rtdc-monitor-bjffxe2xuh6vdkpspy63sjmuny.us-east-1.es.amazonaws.com/_plugin/kibana/#/discover/Steve-Slow-Train-Analysis-(2080s-and-2083s)?_g=(refreshInterval:(display:Off,section:0,value:0),time:(from:'2016-12-27 07:08:12-700',mode:absolute,to:'2016-12-27 09:26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2" t="str">
        <f>IF(AA169&lt;IF(AG169="EC",23,5.65),"Y","N")</f>
        <v>N</v>
      </c>
      <c r="X169" s="177">
        <f>VALUE(LEFT(AD169,4))-VALUE(LEFT(AD168,4))</f>
        <v>1</v>
      </c>
      <c r="Y169" s="67">
        <f>RIGHT(D169,LEN(D169)-4)/10000</f>
        <v>5.8613</v>
      </c>
      <c r="Z169" s="67">
        <f>RIGHT(H169,LEN(H169)-4)/10000</f>
        <v>8.5300000000000001E-2</v>
      </c>
      <c r="AA169" s="67">
        <f>ABS(Z169-Y169)</f>
        <v>5.7759999999999998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>IF(LEN(A169)=6,"0"&amp;A169,A169)</f>
        <v>0810-27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/stypes="app*4004*20161227*"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8"/>
        <v>"%USERPROFILE%\Documents\GitHub\eaglep3\Utilities\RefineRTDCRunTimes.py" --tripid 810-27 --locoid 4004 --swversion DE.1.0.8.0 --startMP 300:58613 --initTime 2016-12-27T08:08:12 --startdatetime 2016-12-27T08:10:21 --delay 1 --endMP 204:853 --enddatetime 2016-12-27T08:26:21 --enforcementcount 1 &gt;&gt;C:\Users\stu\Documents\GitHub\eaglep3-reporting\EC\2016-12-27-refined-times.txt</v>
      </c>
      <c r="AI169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{"issue":{"subject":"","project_id":79,"tracker_id":40,"status_id":1,"priority_id":2,"assigned_to_id":23,"start_date":"2016-12-27","description":"","custom_fields":[{"id":1,"name":"Subdivision","value":"NW"},{"id":4,"name":"Milepost","value":"0.0853"},{"id":17,"name":"Train ID","value":"810-27"},{"id":16,"name":"Locomotive ID","value":"4004"},{"id":130,"name":"Impact","value":""},{"id":150,"name":"Time of Event (Mountain Time)","value":"08:26:21"},{"id":151,"name":"Denver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508</v>
      </c>
      <c r="B170" s="7">
        <v>4014</v>
      </c>
      <c r="C170" s="22" t="s">
        <v>205</v>
      </c>
      <c r="D170" s="22" t="s">
        <v>758</v>
      </c>
      <c r="E170" s="13">
        <v>42731.346354166664</v>
      </c>
      <c r="F170" s="13">
        <v>42731.34883101852</v>
      </c>
      <c r="G170" s="7">
        <v>2</v>
      </c>
      <c r="H170" s="22" t="s">
        <v>759</v>
      </c>
      <c r="I170" s="13">
        <v>42731.358495370368</v>
      </c>
      <c r="J170" s="7">
        <v>1</v>
      </c>
      <c r="K170" s="109" t="str">
        <f>IF(ISEVEN(B170),(B170-1)&amp;"/"&amp;B170,B170&amp;"/"&amp;(B170+1))</f>
        <v>4013/4014</v>
      </c>
      <c r="L170" s="22" t="str">
        <f>VLOOKUP(A170,'Trips&amp;Operators'!$C$1:$G$99999,5,FALSE)</f>
        <v>BROWN JACOB</v>
      </c>
      <c r="M170" s="6">
        <f>I170-F170</f>
        <v>9.6643518481869251E-3</v>
      </c>
      <c r="N170" s="7">
        <f>24*60*SUM($M170:$M170)</f>
        <v>13.916666661389172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https://search-rtdc-monitor-bjffxe2xuh6vdkpspy63sjmuny.us-east-1.es.amazonaws.com/_plugin/kibana/#/discover/Steve-Slow-Train-Analysis-(2080s-and-2083s)?_g=(refreshInterval:(display:Off,section:0,value:0),time:(from:'2016-12-27 07:18:45-700',mode:absolute,to:'2016-12-27 09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52" t="str">
        <f>IF(AA170&lt;IF(AG170="EC",23,5.65),"Y","N")</f>
        <v>N</v>
      </c>
      <c r="X170" s="177">
        <f t="shared" ref="X170:X174" si="15">VALUE(LEFT(AD170,4))-VALUE(LEFT(AD169,4))</f>
        <v>1</v>
      </c>
      <c r="Y170" s="67">
        <f>RIGHT(D170,LEN(D170)-4)/10000</f>
        <v>0.1013</v>
      </c>
      <c r="Z170" s="67">
        <f>RIGHT(H170,LEN(H170)-4)/10000</f>
        <v>5.8936999999999999</v>
      </c>
      <c r="AA170" s="67">
        <f>ABS(Z170-Y170)</f>
        <v>5.7923999999999998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>IF(LEN(A170)=6,"0"&amp;A170,A170)</f>
        <v>0811-27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/stypes="app*4014*20161227*"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8"/>
        <v>"%USERPROFILE%\Documents\GitHub\eaglep3\Utilities\RefineRTDCRunTimes.py" --tripid 811-27 --locoid 4014 --swversion DE.1.0.8.0 --startMP 204:1013 --initTime 2016-12-27T08:18:45 --startdatetime 2016-12-27T08:22:19 --delay 2 --endMP 300:58937 --enddatetime 2016-12-27T08:36:14 --enforcementcount 1 &gt;&gt;C:\Users\stu\Documents\GitHub\eaglep3-reporting\EC\2016-12-27-refined-times.txt</v>
      </c>
      <c r="AI170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{"issue":{"subject":"","project_id":79,"tracker_id":40,"status_id":1,"priority_id":2,"assigned_to_id":23,"start_date":"2016-12-27","description":"","custom_fields":[{"id":1,"name":"Subdivision","value":"NW"},{"id":4,"name":"Milepost","value":"5.8937"},{"id":17,"name":"Train ID","value":"811-27"},{"id":16,"name":"Locomotive ID","value":"4014"},{"id":130,"name":"Impact","value":""},{"id":150,"name":"Time of Event (Mountain Time)","value":"08:36:14"},{"id":151,"name":"Denver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515</v>
      </c>
      <c r="B171" s="7">
        <v>4013</v>
      </c>
      <c r="C171" s="22" t="s">
        <v>205</v>
      </c>
      <c r="D171" s="22" t="s">
        <v>367</v>
      </c>
      <c r="E171" s="13">
        <v>42731.359502314815</v>
      </c>
      <c r="F171" s="13">
        <v>42731.360983796294</v>
      </c>
      <c r="G171" s="7">
        <v>1</v>
      </c>
      <c r="H171" s="22" t="s">
        <v>760</v>
      </c>
      <c r="I171" s="13">
        <v>42731.371400462966</v>
      </c>
      <c r="J171" s="7">
        <v>1</v>
      </c>
      <c r="K171" s="109" t="str">
        <f>IF(ISEVEN(B171),(B171-1)&amp;"/"&amp;B171,B171&amp;"/"&amp;(B171+1))</f>
        <v>4013/4014</v>
      </c>
      <c r="L171" s="22" t="str">
        <f>VLOOKUP(A171,'Trips&amp;Operators'!$C$1:$G$99999,5,FALSE)</f>
        <v>BROWN JACOB</v>
      </c>
      <c r="M171" s="6">
        <f>I171-F171</f>
        <v>1.0416666671517305E-2</v>
      </c>
      <c r="N171" s="7">
        <f>24*60*SUM($M171:$M171)</f>
        <v>15.000000006984919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https://search-rtdc-monitor-bjffxe2xuh6vdkpspy63sjmuny.us-east-1.es.amazonaws.com/_plugin/kibana/#/discover/Steve-Slow-Train-Analysis-(2080s-and-2083s)?_g=(refreshInterval:(display:Off,section:0,value:0),time:(from:'2016-12-27 07:37:41-700',mode:absolute,to:'2016-12-27 09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52" t="str">
        <f>IF(AA171&lt;IF(AG171="EC",23,5.65),"Y","N")</f>
        <v>N</v>
      </c>
      <c r="X171" s="177">
        <f t="shared" si="15"/>
        <v>1</v>
      </c>
      <c r="Y171" s="67">
        <f>RIGHT(D171,LEN(D171)-4)/10000</f>
        <v>5.8638000000000003</v>
      </c>
      <c r="Z171" s="67">
        <f>RIGHT(H171,LEN(H171)-4)/10000</f>
        <v>7.22E-2</v>
      </c>
      <c r="AA171" s="67">
        <f>ABS(Z171-Y171)</f>
        <v>5.7916000000000007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>IF(LEN(A171)=6,"0"&amp;A171,A171)</f>
        <v>0812-27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/stypes="app*4013*20161227*" /stext=" 15:.+((SYSTEM_STATE.+slice.+state.+changed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8"/>
        <v>"%USERPROFILE%\Documents\GitHub\eaglep3\Utilities\RefineRTDCRunTimes.py" --tripid 812-27 --locoid 4013 --swversion DE.1.0.8.0 --startMP 300:58638 --initTime 2016-12-27T08:37:41 --startdatetime 2016-12-27T08:39:49 --delay 1 --endMP 204:722 --enddatetime 2016-12-27T08:54:49 --enforcementcount 1 &gt;&gt;C:\Users\stu\Documents\GitHub\eaglep3-reporting\EC\2016-12-27-refined-times.txt</v>
      </c>
      <c r="AI171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{"issue":{"subject":"","project_id":79,"tracker_id":40,"status_id":1,"priority_id":2,"assigned_to_id":23,"start_date":"2016-12-27","description":"","custom_fields":[{"id":1,"name":"Subdivision","value":"NW"},{"id":4,"name":"Milepost","value":"0.0722"},{"id":17,"name":"Train ID","value":"812-27"},{"id":16,"name":"Locomotive ID","value":"4013"},{"id":130,"name":"Impact","value":""},{"id":150,"name":"Time of Event (Mountain Time)","value":"08:54:49"},{"id":151,"name":"Denver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521</v>
      </c>
      <c r="B172" s="7">
        <v>4014</v>
      </c>
      <c r="C172" s="22" t="s">
        <v>205</v>
      </c>
      <c r="D172" s="22" t="s">
        <v>415</v>
      </c>
      <c r="E172" s="13">
        <v>42731.376203703701</v>
      </c>
      <c r="F172" s="13">
        <v>42731.389745370368</v>
      </c>
      <c r="G172" s="7">
        <v>1</v>
      </c>
      <c r="H172" s="22" t="s">
        <v>420</v>
      </c>
      <c r="I172" s="13">
        <v>42731.398877314816</v>
      </c>
      <c r="J172" s="7">
        <v>1</v>
      </c>
      <c r="K172" s="109" t="str">
        <f>IF(ISEVEN(B172),(B172-1)&amp;"/"&amp;B172,B172&amp;"/"&amp;(B172+1))</f>
        <v>4013/4014</v>
      </c>
      <c r="L172" s="22" t="str">
        <f>VLOOKUP(A172,'Trips&amp;Operators'!$C$1:$G$99999,5,FALSE)</f>
        <v>BROWN JACOB</v>
      </c>
      <c r="M172" s="6">
        <f>I172-F172</f>
        <v>9.1319444472901523E-3</v>
      </c>
      <c r="N172" s="7">
        <f>24*60*SUM($M172:$M172)</f>
        <v>13.150000004097819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https://search-rtdc-monitor-bjffxe2xuh6vdkpspy63sjmuny.us-east-1.es.amazonaws.com/_plugin/kibana/#/discover/Steve-Slow-Train-Analysis-(2080s-and-2083s)?_g=(refreshInterval:(display:Off,section:0,value:0),time:(from:'2016-12-27 08:01:44-700',mode:absolute,to:'2016-12-27 10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2" s="52" t="str">
        <f>IF(AA172&lt;IF(AG172="EC",23,5.65),"Y","N")</f>
        <v>N</v>
      </c>
      <c r="X172" s="177">
        <f t="shared" si="15"/>
        <v>1</v>
      </c>
      <c r="Y172" s="67">
        <f>RIGHT(D172,LEN(D172)-4)/10000</f>
        <v>0.1002</v>
      </c>
      <c r="Z172" s="67">
        <f>RIGHT(H172,LEN(H172)-4)/10000</f>
        <v>5.8958000000000004</v>
      </c>
      <c r="AA172" s="67">
        <f>ABS(Z172-Y172)</f>
        <v>5.7956000000000003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>IF(LEN(A172)=6,"0"&amp;A172,A172)</f>
        <v>0813-27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/stypes="app*4014*20161227*" /stext=" 16:.+((SYSTEM_STATE.+slice.+state.+changed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8"/>
        <v>"%USERPROFILE%\Documents\GitHub\eaglep3\Utilities\RefineRTDCRunTimes.py" --tripid 813-27 --locoid 4014 --swversion DE.1.0.8.0 --startMP 204:1002 --initTime 2016-12-27T09:01:44 --startdatetime 2016-12-27T09:21:14 --delay 1 --endMP 300:58958 --enddatetime 2016-12-27T09:34:23 --enforcementcount 1 &gt;&gt;C:\Users\stu\Documents\GitHub\eaglep3-reporting\EC\2016-12-27-refined-times.txt</v>
      </c>
      <c r="AI172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{"issue":{"subject":"","project_id":79,"tracker_id":40,"status_id":1,"priority_id":2,"assigned_to_id":23,"start_date":"2016-12-27","description":"","custom_fields":[{"id":1,"name":"Subdivision","value":"NW"},{"id":4,"name":"Milepost","value":"5.8958"},{"id":17,"name":"Train ID","value":"813-27"},{"id":16,"name":"Locomotive ID","value":"4014"},{"id":130,"name":"Impact","value":""},{"id":150,"name":"Time of Event (Mountain Time)","value":"09:34:23"},{"id":151,"name":"Denver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527</v>
      </c>
      <c r="B173" s="7">
        <v>4013</v>
      </c>
      <c r="C173" s="22" t="s">
        <v>205</v>
      </c>
      <c r="D173" s="22" t="s">
        <v>761</v>
      </c>
      <c r="E173" s="13">
        <v>42731.399791666663</v>
      </c>
      <c r="F173" s="13">
        <v>42731.401180555556</v>
      </c>
      <c r="G173" s="7">
        <v>1</v>
      </c>
      <c r="H173" s="22" t="s">
        <v>760</v>
      </c>
      <c r="I173" s="13">
        <v>42731.412997685184</v>
      </c>
      <c r="J173" s="7">
        <v>1</v>
      </c>
      <c r="K173" s="109" t="str">
        <f>IF(ISEVEN(B173),(B173-1)&amp;"/"&amp;B173,B173&amp;"/"&amp;(B173+1))</f>
        <v>4013/4014</v>
      </c>
      <c r="L173" s="22" t="str">
        <f>VLOOKUP(A173,'Trips&amp;Operators'!$C$1:$G$99999,5,FALSE)</f>
        <v>BROWN JACOB</v>
      </c>
      <c r="M173" s="6">
        <f>I173-F173</f>
        <v>1.1817129627161194E-2</v>
      </c>
      <c r="N173" s="7">
        <f>24*60*SUM($M173:$M173)</f>
        <v>17.016666663112119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https://search-rtdc-monitor-bjffxe2xuh6vdkpspy63sjmuny.us-east-1.es.amazonaws.com/_plugin/kibana/#/discover/Steve-Slow-Train-Analysis-(2080s-and-2083s)?_g=(refreshInterval:(display:Off,section:0,value:0),time:(from:'2016-12-27 08:35:42-700',mode:absolute,to:'2016-12-27 10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3" s="52" t="str">
        <f>IF(AA173&lt;IF(AG173="EC",23,5.65),"Y","N")</f>
        <v>N</v>
      </c>
      <c r="X173" s="177">
        <f t="shared" si="15"/>
        <v>1</v>
      </c>
      <c r="Y173" s="67">
        <f>RIGHT(D173,LEN(D173)-4)/10000</f>
        <v>5.8639999999999999</v>
      </c>
      <c r="Z173" s="67">
        <f>RIGHT(H173,LEN(H173)-4)/10000</f>
        <v>7.22E-2</v>
      </c>
      <c r="AA173" s="67">
        <f>ABS(Z173-Y173)</f>
        <v>5.7918000000000003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>IF(LEN(A173)=6,"0"&amp;A173,A173)</f>
        <v>0814-27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/stypes="app*4013*20161227*" /stext=" 16:.+((SYSTEM_STATE.+slice.+state.+changed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8"/>
        <v>"%USERPROFILE%\Documents\GitHub\eaglep3\Utilities\RefineRTDCRunTimes.py" --tripid 814-27 --locoid 4013 --swversion DE.1.0.8.0 --startMP 300:58640 --initTime 2016-12-27T09:35:42 --startdatetime 2016-12-27T09:37:42 --delay 1 --endMP 204:722 --enddatetime 2016-12-27T09:54:43 --enforcementcount 1 &gt;&gt;C:\Users\stu\Documents\GitHub\eaglep3-reporting\EC\2016-12-27-refined-times.txt</v>
      </c>
      <c r="AI173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{"issue":{"subject":"","project_id":79,"tracker_id":40,"status_id":1,"priority_id":2,"assigned_to_id":23,"start_date":"2016-12-27","description":"","custom_fields":[{"id":1,"name":"Subdivision","value":"NW"},{"id":4,"name":"Milepost","value":"0.0722"},{"id":17,"name":"Train ID","value":"814-27"},{"id":16,"name":"Locomotive ID","value":"4013"},{"id":130,"name":"Impact","value":""},{"id":150,"name":"Time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532</v>
      </c>
      <c r="B174" s="7">
        <v>4014</v>
      </c>
      <c r="C174" s="22" t="s">
        <v>205</v>
      </c>
      <c r="D174" s="22" t="s">
        <v>762</v>
      </c>
      <c r="E174" s="13">
        <v>42731.420937499999</v>
      </c>
      <c r="F174" s="13">
        <v>42731.431562500002</v>
      </c>
      <c r="G174" s="7">
        <v>1</v>
      </c>
      <c r="H174" s="22" t="s">
        <v>365</v>
      </c>
      <c r="I174" s="13">
        <v>42731.440960648149</v>
      </c>
      <c r="J174" s="7">
        <v>1</v>
      </c>
      <c r="K174" s="109" t="str">
        <f>IF(ISEVEN(B174),(B174-1)&amp;"/"&amp;B174,B174&amp;"/"&amp;(B174+1))</f>
        <v>4013/4014</v>
      </c>
      <c r="L174" s="22" t="str">
        <f>VLOOKUP(A174,'Trips&amp;Operators'!$C$1:$G$99999,5,FALSE)</f>
        <v>BROWN JACOB</v>
      </c>
      <c r="M174" s="6">
        <f>I174-F174</f>
        <v>9.3981481477385387E-3</v>
      </c>
      <c r="N174" s="7">
        <f>24*60*SUM($M174:$M174)</f>
        <v>13.533333332743496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https://search-rtdc-monitor-bjffxe2xuh6vdkpspy63sjmuny.us-east-1.es.amazonaws.com/_plugin/kibana/#/discover/Steve-Slow-Train-Analysis-(2080s-and-2083s)?_g=(refreshInterval:(display:Off,section:0,value:0),time:(from:'2016-12-27 09:06:09-700',mode:absolute,to:'2016-12-27 11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4" s="52" t="str">
        <f>IF(AA174&lt;IF(AG174="EC",23,5.65),"Y","N")</f>
        <v>N</v>
      </c>
      <c r="X174" s="177">
        <f t="shared" si="15"/>
        <v>1</v>
      </c>
      <c r="Y174" s="67">
        <f>RIGHT(D174,LEN(D174)-4)/10000</f>
        <v>0.1016</v>
      </c>
      <c r="Z174" s="67">
        <f>RIGHT(H174,LEN(H174)-4)/10000</f>
        <v>5.8944000000000001</v>
      </c>
      <c r="AA174" s="67">
        <f>ABS(Z174-Y174)</f>
        <v>5.7927999999999997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>IF(LEN(A174)=6,"0"&amp;A174,A174)</f>
        <v>0815-27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/stypes="app*4014*20161227*" /stext=" 17:.+((SYSTEM_STATE.+slice.+state.+changed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8"/>
        <v>"%USERPROFILE%\Documents\GitHub\eaglep3\Utilities\RefineRTDCRunTimes.py" --tripid 815-27 --locoid 4014 --swversion DE.1.0.8.0 --startMP 204:1016 --initTime 2016-12-27T10:06:09 --startdatetime 2016-12-27T10:21:27 --delay 1 --endMP 300:58944 --enddatetime 2016-12-27T10:34:59 --enforcementcount 1 &gt;&gt;C:\Users\stu\Documents\GitHub\eaglep3-reporting\EC\2016-12-27-refined-times.txt</v>
      </c>
      <c r="AI174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{"issue":{"subject":"","project_id":79,"tracker_id":40,"status_id":1,"priority_id":2,"assigned_to_id":23,"start_date":"2016-12-27","description":"","custom_fields":[{"id":1,"name":"Subdivision","value":"NW"},{"id":4,"name":"Milepost","value":"5.8944"},{"id":17,"name":"Train ID","value":"815-27"},{"id":16,"name":"Locomotive ID","value":"4014"},{"id":130,"name":"Impact","value":""},{"id":150,"name":"Time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536</v>
      </c>
      <c r="B175" s="7">
        <v>4013</v>
      </c>
      <c r="C175" s="22" t="s">
        <v>205</v>
      </c>
      <c r="D175" s="22" t="s">
        <v>412</v>
      </c>
      <c r="E175" s="13">
        <v>42731.441689814812</v>
      </c>
      <c r="F175" s="13">
        <v>42731.443055555559</v>
      </c>
      <c r="G175" s="7">
        <v>1</v>
      </c>
      <c r="H175" s="22" t="s">
        <v>763</v>
      </c>
      <c r="I175" s="13">
        <v>42731.454432870371</v>
      </c>
      <c r="J175" s="7">
        <v>1</v>
      </c>
      <c r="K175" s="109" t="str">
        <f>IF(ISEVEN(B175),(B175-1)&amp;"/"&amp;B175,B175&amp;"/"&amp;(B175+1))</f>
        <v>4013/4014</v>
      </c>
      <c r="L175" s="22" t="str">
        <f>VLOOKUP(A175,'Trips&amp;Operators'!$C$1:$G$99999,5,FALSE)</f>
        <v>BROWN JACOB</v>
      </c>
      <c r="M175" s="6">
        <f>I175-F175</f>
        <v>1.137731481139781E-2</v>
      </c>
      <c r="N175" s="7">
        <f>24*60*SUM($M175:$M175)</f>
        <v>16.383333328412846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https://search-rtdc-monitor-bjffxe2xuh6vdkpspy63sjmuny.us-east-1.es.amazonaws.com/_plugin/kibana/#/discover/Steve-Slow-Train-Analysis-(2080s-and-2083s)?_g=(refreshInterval:(display:Off,section:0,value:0),time:(from:'2016-12-27 09:36:02-700',mode:absolute,to:'2016-12-27 11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5" s="52" t="str">
        <f>IF(AA175&lt;IF(AG175="EC",23,5.65),"Y","N")</f>
        <v>N</v>
      </c>
      <c r="X175" s="177">
        <f>VALUE(LEFT(AD175,4))-VALUE(LEFT(AD174,4))</f>
        <v>1</v>
      </c>
      <c r="Y175" s="67">
        <f>RIGHT(D175,LEN(D175)-4)/10000</f>
        <v>5.8628</v>
      </c>
      <c r="Z175" s="67">
        <f>RIGHT(H175,LEN(H175)-4)/10000</f>
        <v>7.2599999999999998E-2</v>
      </c>
      <c r="AA175" s="67">
        <f>ABS(Z175-Y175)</f>
        <v>5.7902000000000005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>IF(LEN(A175)=6,"0"&amp;A175,A175)</f>
        <v>0816-27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/stypes="app*4013*20161227*" /stext=" 17:.+((SYSTEM_STATE.+slice.+state.+changed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8"/>
        <v>"%USERPROFILE%\Documents\GitHub\eaglep3\Utilities\RefineRTDCRunTimes.py" --tripid 816-27 --locoid 4013 --swversion DE.1.0.8.0 --startMP 300:58628 --initTime 2016-12-27T10:36:02 --startdatetime 2016-12-27T10:38:00 --delay 1 --endMP 204:726 --enddatetime 2016-12-27T10:54:23 --enforcementcount 1 &gt;&gt;C:\Users\stu\Documents\GitHub\eaglep3-reporting\EC\2016-12-27-refined-times.txt</v>
      </c>
      <c r="AI175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{"issue":{"subject":"","project_id":79,"tracker_id":40,"status_id":1,"priority_id":2,"assigned_to_id":23,"start_date":"2016-12-27","description":"","custom_fields":[{"id":1,"name":"Subdivision","value":"NW"},{"id":4,"name":"Milepost","value":"0.0726"},{"id":17,"name":"Train ID","value":"816-27"},{"id":16,"name":"Locomotive ID","value":"4013"},{"id":130,"name":"Impact","value":""},{"id":150,"name":"Time of Event (Mountain Time)","value":"10:54:23"},{"id":151,"name":"Denver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437</v>
      </c>
      <c r="B176" s="7">
        <v>4014</v>
      </c>
      <c r="C176" s="22" t="s">
        <v>205</v>
      </c>
      <c r="D176" s="22" t="s">
        <v>419</v>
      </c>
      <c r="E176" s="13">
        <v>42731.464432870373</v>
      </c>
      <c r="F176" s="13">
        <v>42731.473078703704</v>
      </c>
      <c r="G176" s="7">
        <v>1</v>
      </c>
      <c r="H176" s="22" t="s">
        <v>366</v>
      </c>
      <c r="I176" s="13">
        <v>42731.482418981483</v>
      </c>
      <c r="J176" s="7">
        <v>1</v>
      </c>
      <c r="K176" s="109" t="str">
        <f>IF(ISEVEN(B176),(B176-1)&amp;"/"&amp;B176,B176&amp;"/"&amp;(B176+1))</f>
        <v>4013/4014</v>
      </c>
      <c r="L176" s="22" t="str">
        <f>VLOOKUP(A176,'Trips&amp;Operators'!$C$1:$G$99999,5,FALSE)</f>
        <v>BROWN JACOB</v>
      </c>
      <c r="M176" s="6">
        <f>I176-F176</f>
        <v>9.340277778392192E-3</v>
      </c>
      <c r="N176" s="7">
        <f>24*60*SUM($M176:$M176)</f>
        <v>13.450000000884756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https://search-rtdc-monitor-bjffxe2xuh6vdkpspy63sjmuny.us-east-1.es.amazonaws.com/_plugin/kibana/#/discover/Steve-Slow-Train-Analysis-(2080s-and-2083s)?_g=(refreshInterval:(display:Off,section:0,value:0),time:(from:'2016-12-27 10:08:47-700',mode:absolute,to:'2016-12-27 12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6" s="52" t="str">
        <f>IF(AA176&lt;IF(AG176="EC",23,5.65),"Y","N")</f>
        <v>N</v>
      </c>
      <c r="X176" s="177">
        <f>VALUE(LEFT(AD176,4))-VALUE(LEFT(AD175,4))</f>
        <v>1</v>
      </c>
      <c r="Y176" s="67">
        <f>RIGHT(D176,LEN(D176)-4)/10000</f>
        <v>0.1007</v>
      </c>
      <c r="Z176" s="67">
        <f>RIGHT(H176,LEN(H176)-4)/10000</f>
        <v>5.8939000000000004</v>
      </c>
      <c r="AA176" s="67">
        <f>ABS(Z176-Y176)</f>
        <v>5.7932000000000006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>IF(LEN(A176)=6,"0"&amp;A176,A176)</f>
        <v>0817-27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/stypes="app*4014*20161227*" /stext=" 18:.+((SYSTEM_STATE.+slice.+state.+changed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8"/>
        <v>"%USERPROFILE%\Documents\GitHub\eaglep3\Utilities\RefineRTDCRunTimes.py" --tripid 817-27 --locoid 4014 --swversion DE.1.0.8.0 --startMP 204:1007 --initTime 2016-12-27T11:08:47 --startdatetime 2016-12-27T11:21:14 --delay 1 --endMP 300:58939 --enddatetime 2016-12-27T11:34:41 --enforcementcount 1 &gt;&gt;C:\Users\stu\Documents\GitHub\eaglep3-reporting\EC\2016-12-27-refined-times.txt</v>
      </c>
      <c r="AI176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{"issue":{"subject":"","project_id":79,"tracker_id":40,"status_id":1,"priority_id":2,"assigned_to_id":23,"start_date":"2016-12-27","description":"","custom_fields":[{"id":1,"name":"Subdivision","value":"NW"},{"id":4,"name":"Milepost","value":"5.8939"},{"id":17,"name":"Train ID","value":"817-27"},{"id":16,"name":"Locomotive ID","value":"4014"},{"id":130,"name":"Impact","value":""},{"id":150,"name":"Time of Event (Mountain Time)","value":"11:34:41"},{"id":151,"name":"Denver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543</v>
      </c>
      <c r="B177" s="7">
        <v>4013</v>
      </c>
      <c r="C177" s="22" t="s">
        <v>205</v>
      </c>
      <c r="D177" s="22" t="s">
        <v>764</v>
      </c>
      <c r="E177" s="13">
        <v>42731.483136574076</v>
      </c>
      <c r="F177" s="13">
        <v>42731.485162037039</v>
      </c>
      <c r="G177" s="7">
        <v>1</v>
      </c>
      <c r="H177" s="22" t="s">
        <v>765</v>
      </c>
      <c r="I177" s="13">
        <v>42731.496006944442</v>
      </c>
      <c r="J177" s="7">
        <v>1</v>
      </c>
      <c r="K177" s="109" t="str">
        <f>IF(ISEVEN(B177),(B177-1)&amp;"/"&amp;B177,B177&amp;"/"&amp;(B177+1))</f>
        <v>4013/4014</v>
      </c>
      <c r="L177" s="22" t="str">
        <f>VLOOKUP(A177,'Trips&amp;Operators'!$C$1:$G$99999,5,FALSE)</f>
        <v>BROWN JACOB</v>
      </c>
      <c r="M177" s="6">
        <f>I177-F177</f>
        <v>1.0844907403225079E-2</v>
      </c>
      <c r="N177" s="7">
        <f>24*60*SUM($M177:$M177)</f>
        <v>15.616666660644114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https://search-rtdc-monitor-bjffxe2xuh6vdkpspy63sjmuny.us-east-1.es.amazonaws.com/_plugin/kibana/#/discover/Steve-Slow-Train-Analysis-(2080s-and-2083s)?_g=(refreshInterval:(display:Off,section:0,value:0),time:(from:'2016-12-27 10:35:43-700',mode:absolute,to:'2016-12-27 12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7" s="52" t="str">
        <f>IF(AA177&lt;IF(AG177="EC",23,5.65),"Y","N")</f>
        <v>N</v>
      </c>
      <c r="X177" s="177">
        <f>VALUE(LEFT(AD177,4))-VALUE(LEFT(AD176,4))</f>
        <v>1</v>
      </c>
      <c r="Y177" s="67">
        <f>RIGHT(D177,LEN(D177)-4)/10000</f>
        <v>5.8623000000000003</v>
      </c>
      <c r="Z177" s="67">
        <f>RIGHT(H177,LEN(H177)-4)/10000</f>
        <v>7.3099999999999998E-2</v>
      </c>
      <c r="AA177" s="67">
        <f>ABS(Z177-Y177)</f>
        <v>5.7892000000000001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>IF(LEN(A177)=6,"0"&amp;A177,A177)</f>
        <v>0818-27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/stypes="app*4013*20161227*" /stext=" 18:.+((SYSTEM_STATE.+slice.+state.+changed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8"/>
        <v>"%USERPROFILE%\Documents\GitHub\eaglep3\Utilities\RefineRTDCRunTimes.py" --tripid 818-27 --locoid 4013 --swversion DE.1.0.8.0 --startMP 300:58623 --initTime 2016-12-27T11:35:43 --startdatetime 2016-12-27T11:38:38 --delay 1 --endMP 204:731 --enddatetime 2016-12-27T11:54:15 --enforcementcount 1 &gt;&gt;C:\Users\stu\Documents\GitHub\eaglep3-reporting\EC\2016-12-27-refined-times.txt</v>
      </c>
      <c r="AI177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{"issue":{"subject":"","project_id":79,"tracker_id":40,"status_id":1,"priority_id":2,"assigned_to_id":23,"start_date":"2016-12-27","description":"","custom_fields":[{"id":1,"name":"Subdivision","value":"NW"},{"id":4,"name":"Milepost","value":"0.0731"},{"id":17,"name":"Train ID","value":"818-27"},{"id":16,"name":"Locomotive ID","value":"4013"},{"id":130,"name":"Impact","value":""},{"id":150,"name":"Time of Event (Mountain Time)","value":"11:54:15"},{"id":151,"name":"Denver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439</v>
      </c>
      <c r="B178" s="7">
        <v>4014</v>
      </c>
      <c r="C178" s="22" t="s">
        <v>205</v>
      </c>
      <c r="D178" s="22" t="s">
        <v>766</v>
      </c>
      <c r="E178" s="13">
        <v>42731.513321759259</v>
      </c>
      <c r="F178" s="13">
        <v>42731.515069444446</v>
      </c>
      <c r="G178" s="7">
        <v>1</v>
      </c>
      <c r="H178" s="22" t="s">
        <v>350</v>
      </c>
      <c r="I178" s="13">
        <v>42731.524270833332</v>
      </c>
      <c r="J178" s="7">
        <v>1</v>
      </c>
      <c r="K178" s="109" t="str">
        <f>IF(ISEVEN(B178),(B178-1)&amp;"/"&amp;B178,B178&amp;"/"&amp;(B178+1))</f>
        <v>4013/4014</v>
      </c>
      <c r="L178" s="22" t="str">
        <f>VLOOKUP(A178,'Trips&amp;Operators'!$C$1:$G$99999,5,FALSE)</f>
        <v>BROWN JACOB</v>
      </c>
      <c r="M178" s="6">
        <f>I178-F178</f>
        <v>9.2013888861401938E-3</v>
      </c>
      <c r="N178" s="7">
        <f>24*60*SUM($M178:$M178)</f>
        <v>13.249999996041879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https://search-rtdc-monitor-bjffxe2xuh6vdkpspy63sjmuny.us-east-1.es.amazonaws.com/_plugin/kibana/#/discover/Steve-Slow-Train-Analysis-(2080s-and-2083s)?_g=(refreshInterval:(display:Off,section:0,value:0),time:(from:'2016-12-27 11:19:11-700',mode:absolute,to:'2016-12-27 13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8" s="52" t="str">
        <f>IF(AA178&lt;IF(AG178="EC",23,5.65),"Y","N")</f>
        <v>N</v>
      </c>
      <c r="X178" s="177">
        <f>VALUE(LEFT(AD178,4))-VALUE(LEFT(AD177,4))</f>
        <v>1</v>
      </c>
      <c r="Y178" s="67">
        <f>RIGHT(D178,LEN(D178)-4)/10000</f>
        <v>0.1011</v>
      </c>
      <c r="Z178" s="67">
        <f>RIGHT(H178,LEN(H178)-4)/10000</f>
        <v>5.8930999999999996</v>
      </c>
      <c r="AA178" s="67">
        <f>ABS(Z178-Y178)</f>
        <v>5.7919999999999998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>IF(LEN(A178)=6,"0"&amp;A178,A178)</f>
        <v>0819-27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/stypes="app*4014*20161227*" /stext=" 19:.+((SYSTEM_STATE.+slice.+state.+changed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8"/>
        <v>"%USERPROFILE%\Documents\GitHub\eaglep3\Utilities\RefineRTDCRunTimes.py" --tripid 819-27 --locoid 4014 --swversion DE.1.0.8.0 --startMP 204:1011 --initTime 2016-12-27T12:19:11 --startdatetime 2016-12-27T12:21:42 --delay 1 --endMP 300:58931 --enddatetime 2016-12-27T12:34:57 --enforcementcount 1 &gt;&gt;C:\Users\stu\Documents\GitHub\eaglep3-reporting\EC\2016-12-27-refined-times.txt</v>
      </c>
      <c r="AI178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{"issue":{"subject":"","project_id":79,"tracker_id":40,"status_id":1,"priority_id":2,"assigned_to_id":23,"start_date":"2016-12-27","description":"","custom_fields":[{"id":1,"name":"Subdivision","value":"NW"},{"id":4,"name":"Milepost","value":"5.8931"},{"id":17,"name":"Train ID","value":"819-27"},{"id":16,"name":"Locomotive ID","value":"4014"},{"id":130,"name":"Impact","value":""},{"id":150,"name":"Time of Event (Mountain Time)","value":"12:34:57"},{"id":151,"name":"Denver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554</v>
      </c>
      <c r="B179" s="7">
        <v>4013</v>
      </c>
      <c r="C179" s="22" t="s">
        <v>205</v>
      </c>
      <c r="D179" s="22" t="s">
        <v>756</v>
      </c>
      <c r="E179" s="13">
        <v>42731.526261574072</v>
      </c>
      <c r="F179" s="13">
        <v>42731.527395833335</v>
      </c>
      <c r="G179" s="7">
        <v>1</v>
      </c>
      <c r="H179" s="22" t="s">
        <v>357</v>
      </c>
      <c r="I179" s="13">
        <v>42731.537708333337</v>
      </c>
      <c r="J179" s="7">
        <v>1</v>
      </c>
      <c r="K179" s="109" t="str">
        <f>IF(ISEVEN(B179),(B179-1)&amp;"/"&amp;B179,B179&amp;"/"&amp;(B179+1))</f>
        <v>4013/4014</v>
      </c>
      <c r="L179" s="22" t="str">
        <f>VLOOKUP(A179,'Trips&amp;Operators'!$C$1:$G$99999,5,FALSE)</f>
        <v>BROWN JACOB</v>
      </c>
      <c r="M179" s="6">
        <f>I179-F179</f>
        <v>1.0312500002328306E-2</v>
      </c>
      <c r="N179" s="7">
        <f>24*60*SUM($M179:$M179)</f>
        <v>14.850000003352761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https://search-rtdc-monitor-bjffxe2xuh6vdkpspy63sjmuny.us-east-1.es.amazonaws.com/_plugin/kibana/#/discover/Steve-Slow-Train-Analysis-(2080s-and-2083s)?_g=(refreshInterval:(display:Off,section:0,value:0),time:(from:'2016-12-27 11:37:49-700',mode:absolute,to:'2016-12-27 13:54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9" s="52" t="str">
        <f>IF(AA179&lt;IF(AG179="EC",23,5.65),"Y","N")</f>
        <v>N</v>
      </c>
      <c r="X179" s="177">
        <f>VALUE(LEFT(AD179,4))-VALUE(LEFT(AD178,4))</f>
        <v>1</v>
      </c>
      <c r="Y179" s="67">
        <f>RIGHT(D179,LEN(D179)-4)/10000</f>
        <v>5.8613</v>
      </c>
      <c r="Z179" s="67">
        <f>RIGHT(H179,LEN(H179)-4)/10000</f>
        <v>7.0800000000000002E-2</v>
      </c>
      <c r="AA179" s="67">
        <f>ABS(Z179-Y179)</f>
        <v>5.7904999999999998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>IF(LEN(A179)=6,"0"&amp;A179,A179)</f>
        <v>0820-27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/stypes="app*4013*20161227*" /stext=" 19:.+((SYSTEM_STATE.+slice.+state.+changed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8"/>
        <v>"%USERPROFILE%\Documents\GitHub\eaglep3\Utilities\RefineRTDCRunTimes.py" --tripid 820-27 --locoid 4013 --swversion DE.1.0.8.0 --startMP 300:58613 --initTime 2016-12-27T12:37:49 --startdatetime 2016-12-27T12:39:27 --delay 1 --endMP 204:708 --enddatetime 2016-12-27T12:54:18 --enforcementcount 1 &gt;&gt;C:\Users\stu\Documents\GitHub\eaglep3-reporting\EC\2016-12-27-refined-times.txt</v>
      </c>
      <c r="AI179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{"issue":{"subject":"","project_id":79,"tracker_id":40,"status_id":1,"priority_id":2,"assigned_to_id":23,"start_date":"2016-12-27","description":"","custom_fields":[{"id":1,"name":"Subdivision","value":"NW"},{"id":4,"name":"Milepost","value":"0.0708"},{"id":17,"name":"Train ID","value":"820-27"},{"id":16,"name":"Locomotive ID","value":"4013"},{"id":130,"name":"Impact","value":""},{"id":150,"name":"Time of Event (Mountain Time)","value":"12:54:18"},{"id":151,"name":"Denver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559</v>
      </c>
      <c r="B180" s="7">
        <v>4014</v>
      </c>
      <c r="C180" s="22" t="s">
        <v>205</v>
      </c>
      <c r="D180" s="22" t="s">
        <v>767</v>
      </c>
      <c r="E180" s="13">
        <v>42731.547349537039</v>
      </c>
      <c r="F180" s="13">
        <v>42731.556828703702</v>
      </c>
      <c r="G180" s="7">
        <v>4</v>
      </c>
      <c r="H180" s="22" t="s">
        <v>768</v>
      </c>
      <c r="I180" s="13">
        <v>42731.566689814812</v>
      </c>
      <c r="J180" s="7">
        <v>1</v>
      </c>
      <c r="K180" s="109" t="str">
        <f>IF(ISEVEN(B180),(B180-1)&amp;"/"&amp;B180,B180&amp;"/"&amp;(B180+1))</f>
        <v>4013/4014</v>
      </c>
      <c r="L180" s="22" t="str">
        <f>VLOOKUP(A180,'Trips&amp;Operators'!$C$1:$G$99999,5,FALSE)</f>
        <v>DE LA ROSA ALEX</v>
      </c>
      <c r="M180" s="6">
        <f>I180-F180</f>
        <v>9.8611111097852699E-3</v>
      </c>
      <c r="N180" s="7">
        <f>24*60*SUM($M180:$M180)</f>
        <v>14.199999998090789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https://search-rtdc-monitor-bjffxe2xuh6vdkpspy63sjmuny.us-east-1.es.amazonaws.com/_plugin/kibana/#/discover/Steve-Slow-Train-Analysis-(2080s-and-2083s)?_g=(refreshInterval:(display:Off,section:0,value:0),time:(from:'2016-12-27 12:08:11-700',mode:absolute,to:'2016-12-27 14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0" s="52" t="str">
        <f>IF(AA180&lt;IF(AG180="EC",23,5.65),"Y","N")</f>
        <v>N</v>
      </c>
      <c r="X180" s="177">
        <f>VALUE(LEFT(AD180,4))-VALUE(LEFT(AD179,4))</f>
        <v>1</v>
      </c>
      <c r="Y180" s="67">
        <f>RIGHT(D180,LEN(D180)-4)/10000</f>
        <v>0.1018</v>
      </c>
      <c r="Z180" s="67">
        <f>RIGHT(H180,LEN(H180)-4)/10000</f>
        <v>5.8948</v>
      </c>
      <c r="AA180" s="67">
        <f>ABS(Z180-Y180)</f>
        <v>5.7930000000000001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>IF(LEN(A180)=6,"0"&amp;A180,A180)</f>
        <v>0821-27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/stypes="app*4014*20161227*" /stext=" 20:.+((SYSTEM_STATE.+slice.+state.+changed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8"/>
        <v>"%USERPROFILE%\Documents\GitHub\eaglep3\Utilities\RefineRTDCRunTimes.py" --tripid 821-27 --locoid 4014 --swversion DE.1.0.8.0 --startMP 204:1018 --initTime 2016-12-27T13:08:11 --startdatetime 2016-12-27T13:21:50 --delay 4 --endMP 300:58948 --enddatetime 2016-12-27T13:36:02 --enforcementcount 1 &gt;&gt;C:\Users\stu\Documents\GitHub\eaglep3-reporting\EC\2016-12-27-refined-times.txt</v>
      </c>
      <c r="AI180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{"issue":{"subject":"","project_id":79,"tracker_id":40,"status_id":1,"priority_id":2,"assigned_to_id":23,"start_date":"2016-12-27","description":"","custom_fields":[{"id":1,"name":"Subdivision","value":"NW"},{"id":4,"name":"Milepost","value":"5.8948"},{"id":17,"name":"Train ID","value":"821-27"},{"id":16,"name":"Locomotive ID","value":"4014"},{"id":130,"name":"Impact","value":""},{"id":150,"name":"Time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564</v>
      </c>
      <c r="B181" s="7">
        <v>4013</v>
      </c>
      <c r="C181" s="22" t="s">
        <v>205</v>
      </c>
      <c r="D181" s="22" t="s">
        <v>769</v>
      </c>
      <c r="E181" s="13">
        <v>42731.567986111113</v>
      </c>
      <c r="F181" s="13">
        <v>42731.569664351853</v>
      </c>
      <c r="G181" s="7">
        <v>1</v>
      </c>
      <c r="H181" s="22" t="s">
        <v>770</v>
      </c>
      <c r="I181" s="13">
        <v>42731.580277777779</v>
      </c>
      <c r="J181" s="7">
        <v>1</v>
      </c>
      <c r="K181" s="109" t="str">
        <f>IF(ISEVEN(B181),(B181-1)&amp;"/"&amp;B181,B181&amp;"/"&amp;(B181+1))</f>
        <v>4013/4014</v>
      </c>
      <c r="L181" s="22" t="str">
        <f>VLOOKUP(A181,'Trips&amp;Operators'!$C$1:$G$99999,5,FALSE)</f>
        <v>DE LA ROSA ALEX</v>
      </c>
      <c r="M181" s="6">
        <f>I181-F181</f>
        <v>1.0613425925839692E-2</v>
      </c>
      <c r="N181" s="7">
        <f>24*60*SUM($M181:$M181)</f>
        <v>15.283333333209157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https://search-rtdc-monitor-bjffxe2xuh6vdkpspy63sjmuny.us-east-1.es.amazonaws.com/_plugin/kibana/#/discover/Steve-Slow-Train-Analysis-(2080s-and-2083s)?_g=(refreshInterval:(display:Off,section:0,value:0),time:(from:'2016-12-27 12:37:54-700',mode:absolute,to:'2016-12-27 14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1" s="52" t="str">
        <f>IF(AA181&lt;IF(AG181="EC",23,5.65),"Y","N")</f>
        <v>N</v>
      </c>
      <c r="X181" s="177">
        <f>VALUE(LEFT(AD181,4))-VALUE(LEFT(AD180,4))</f>
        <v>1</v>
      </c>
      <c r="Y181" s="67">
        <f>RIGHT(D181,LEN(D181)-4)/10000</f>
        <v>5.8640999999999996</v>
      </c>
      <c r="Z181" s="67">
        <f>RIGHT(H181,LEN(H181)-4)/10000</f>
        <v>7.4700000000000003E-2</v>
      </c>
      <c r="AA181" s="67">
        <f>ABS(Z181-Y181)</f>
        <v>5.7893999999999997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>IF(LEN(A181)=6,"0"&amp;A181,A181)</f>
        <v>0822-27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/stypes="app*4013*20161227*" /stext=" 20:.+((SYSTEM_STATE.+slice.+state.+changed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8"/>
        <v>"%USERPROFILE%\Documents\GitHub\eaglep3\Utilities\RefineRTDCRunTimes.py" --tripid 822-27 --locoid 4013 --swversion DE.1.0.8.0 --startMP 300:58641 --initTime 2016-12-27T13:37:54 --startdatetime 2016-12-27T13:40:19 --delay 1 --endMP 204:747 --enddatetime 2016-12-27T13:55:36 --enforcementcount 1 &gt;&gt;C:\Users\stu\Documents\GitHub\eaglep3-reporting\EC\2016-12-27-refined-times.txt</v>
      </c>
      <c r="AI181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{"issue":{"subject":"","project_id":79,"tracker_id":40,"status_id":1,"priority_id":2,"assigned_to_id":23,"start_date":"2016-12-27","description":"","custom_fields":[{"id":1,"name":"Subdivision","value":"NW"},{"id":4,"name":"Milepost","value":"0.0747"},{"id":17,"name":"Train ID","value":"822-27"},{"id":16,"name":"Locomotive ID","value":"4013"},{"id":130,"name":"Impact","value":""},{"id":150,"name":"Time of Event (Mountain Time)","value":"13:55:36"},{"id":151,"name":"Denver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569</v>
      </c>
      <c r="B182" s="7">
        <v>4014</v>
      </c>
      <c r="C182" s="22" t="s">
        <v>205</v>
      </c>
      <c r="D182" s="22" t="s">
        <v>771</v>
      </c>
      <c r="E182" s="13">
        <v>42731.594097222223</v>
      </c>
      <c r="F182" s="13">
        <v>42731.59820601852</v>
      </c>
      <c r="G182" s="7">
        <v>1</v>
      </c>
      <c r="H182" s="22" t="s">
        <v>772</v>
      </c>
      <c r="I182" s="13">
        <v>42731.607083333336</v>
      </c>
      <c r="J182" s="7">
        <v>1</v>
      </c>
      <c r="K182" s="109" t="str">
        <f>IF(ISEVEN(B182),(B182-1)&amp;"/"&amp;B182,B182&amp;"/"&amp;(B182+1))</f>
        <v>4013/4014</v>
      </c>
      <c r="L182" s="22" t="str">
        <f>VLOOKUP(A182,'Trips&amp;Operators'!$C$1:$G$99999,5,FALSE)</f>
        <v>DE LA ROSA ALEX</v>
      </c>
      <c r="M182" s="6">
        <f>I182-F182</f>
        <v>8.8773148163454607E-3</v>
      </c>
      <c r="N182" s="7">
        <f>24*60*SUM($M182:$M182)</f>
        <v>12.783333335537463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https://search-rtdc-monitor-bjffxe2xuh6vdkpspy63sjmuny.us-east-1.es.amazonaws.com/_plugin/kibana/#/discover/Steve-Slow-Train-Analysis-(2080s-and-2083s)?_g=(refreshInterval:(display:Off,section:0,value:0),time:(from:'2016-12-27 13:15:30-700',mode:absolute,to:'2016-12-27 15:34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2" s="52" t="str">
        <f>IF(AA182&lt;IF(AG182="EC",23,5.65),"Y","N")</f>
        <v>N</v>
      </c>
      <c r="X182" s="177">
        <f>VALUE(LEFT(AD182,4))-VALUE(LEFT(AD181,4))</f>
        <v>1</v>
      </c>
      <c r="Y182" s="67">
        <f>RIGHT(D182,LEN(D182)-4)/10000</f>
        <v>0.1032</v>
      </c>
      <c r="Z182" s="67">
        <f>RIGHT(H182,LEN(H182)-4)/10000</f>
        <v>5.8076999999999996</v>
      </c>
      <c r="AA182" s="67">
        <f>ABS(Z182-Y182)</f>
        <v>5.7044999999999995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>IF(LEN(A182)=6,"0"&amp;A182,A182)</f>
        <v>0823-27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/stypes="app*4014*20161227*" /stext=" 21:.+((SYSTEM_STATE.+slice.+state.+changed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8"/>
        <v>"%USERPROFILE%\Documents\GitHub\eaglep3\Utilities\RefineRTDCRunTimes.py" --tripid 823-27 --locoid 4014 --swversion DE.1.0.8.0 --startMP 204:1032 --initTime 2016-12-27T14:15:30 --startdatetime 2016-12-27T14:21:25 --delay 1 --endMP 300:58077 --enddatetime 2016-12-27T14:34:12 --enforcementcount 1 &gt;&gt;C:\Users\stu\Documents\GitHub\eaglep3-reporting\EC\2016-12-27-refined-times.txt</v>
      </c>
      <c r="AI182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{"issue":{"subject":"","project_id":79,"tracker_id":40,"status_id":1,"priority_id":2,"assigned_to_id":23,"start_date":"2016-12-27","description":"","custom_fields":[{"id":1,"name":"Subdivision","value":"NW"},{"id":4,"name":"Milepost","value":"5.8077"},{"id":17,"name":"Train ID","value":"823-27"},{"id":16,"name":"Locomotive ID","value":"4014"},{"id":130,"name":"Impact","value":""},{"id":150,"name":"Time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573</v>
      </c>
      <c r="B183" s="7">
        <v>4013</v>
      </c>
      <c r="C183" s="22" t="s">
        <v>205</v>
      </c>
      <c r="D183" s="22" t="s">
        <v>761</v>
      </c>
      <c r="E183" s="13">
        <v>42731.608888888892</v>
      </c>
      <c r="F183" s="13">
        <v>42731.610555555555</v>
      </c>
      <c r="G183" s="7">
        <v>1</v>
      </c>
      <c r="H183" s="22" t="s">
        <v>357</v>
      </c>
      <c r="I183" s="13">
        <v>42731.621620370373</v>
      </c>
      <c r="J183" s="7">
        <v>1</v>
      </c>
      <c r="K183" s="109" t="str">
        <f>IF(ISEVEN(B183),(B183-1)&amp;"/"&amp;B183,B183&amp;"/"&amp;(B183+1))</f>
        <v>4013/4014</v>
      </c>
      <c r="L183" s="22" t="str">
        <f>VLOOKUP(A183,'Trips&amp;Operators'!$C$1:$G$99999,5,FALSE)</f>
        <v>DE LA ROSA ALEX</v>
      </c>
      <c r="M183" s="6">
        <f>I183-F183</f>
        <v>1.1064814818382729E-2</v>
      </c>
      <c r="N183" s="7">
        <f>24*60*SUM($M183:$M183)</f>
        <v>15.93333333847113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https://search-rtdc-monitor-bjffxe2xuh6vdkpspy63sjmuny.us-east-1.es.amazonaws.com/_plugin/kibana/#/discover/Steve-Slow-Train-Analysis-(2080s-and-2083s)?_g=(refreshInterval:(display:Off,section:0,value:0),time:(from:'2016-12-27 13:36:48-700',mode:absolute,to:'2016-12-27 15:55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3" s="52" t="str">
        <f>IF(AA183&lt;IF(AG183="EC",23,5.65),"Y","N")</f>
        <v>N</v>
      </c>
      <c r="X183" s="177">
        <f>VALUE(LEFT(AD183,4))-VALUE(LEFT(AD182,4))</f>
        <v>1</v>
      </c>
      <c r="Y183" s="67">
        <f>RIGHT(D183,LEN(D183)-4)/10000</f>
        <v>5.8639999999999999</v>
      </c>
      <c r="Z183" s="67">
        <f>RIGHT(H183,LEN(H183)-4)/10000</f>
        <v>7.0800000000000002E-2</v>
      </c>
      <c r="AA183" s="67">
        <f>ABS(Z183-Y183)</f>
        <v>5.7931999999999997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>IF(LEN(A183)=6,"0"&amp;A183,A183)</f>
        <v>0824-27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/stypes="app*4013*20161227*" /stext=" 21:.+((SYSTEM_STATE.+slice.+state.+changed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8"/>
        <v>"%USERPROFILE%\Documents\GitHub\eaglep3\Utilities\RefineRTDCRunTimes.py" --tripid 824-27 --locoid 4013 --swversion DE.1.0.8.0 --startMP 300:58640 --initTime 2016-12-27T14:36:48 --startdatetime 2016-12-27T14:39:12 --delay 1 --endMP 204:708 --enddatetime 2016-12-27T14:55:08 --enforcementcount 1 &gt;&gt;C:\Users\stu\Documents\GitHub\eaglep3-reporting\EC\2016-12-27-refined-times.txt</v>
      </c>
      <c r="AI183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{"issue":{"subject":"","project_id":79,"tracker_id":40,"status_id":1,"priority_id":2,"assigned_to_id":23,"start_date":"2016-12-27","description":"","custom_fields":[{"id":1,"name":"Subdivision","value":"NW"},{"id":4,"name":"Milepost","value":"0.0708"},{"id":17,"name":"Train ID","value":"824-27"},{"id":16,"name":"Locomotive ID","value":"4013"},{"id":130,"name":"Impact","value":""},{"id":150,"name":"Time of Event (Mountain Time)","value":"14:55:08"},{"id":151,"name":"Denver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578</v>
      </c>
      <c r="B184" s="7">
        <v>4014</v>
      </c>
      <c r="C184" s="22" t="s">
        <v>205</v>
      </c>
      <c r="D184" s="22" t="s">
        <v>773</v>
      </c>
      <c r="E184" s="13">
        <v>42731.636053240742</v>
      </c>
      <c r="F184" s="13">
        <v>42731.639988425923</v>
      </c>
      <c r="G184" s="7">
        <v>1</v>
      </c>
      <c r="H184" s="22" t="s">
        <v>366</v>
      </c>
      <c r="I184" s="13">
        <v>42731.649733796294</v>
      </c>
      <c r="J184" s="7">
        <v>1</v>
      </c>
      <c r="K184" s="109" t="str">
        <f>IF(ISEVEN(B184),(B184-1)&amp;"/"&amp;B184,B184&amp;"/"&amp;(B184+1))</f>
        <v>4013/4014</v>
      </c>
      <c r="L184" s="22" t="str">
        <f>VLOOKUP(A184,'Trips&amp;Operators'!$C$1:$G$99999,5,FALSE)</f>
        <v>DE LA ROSA ALEX</v>
      </c>
      <c r="M184" s="6">
        <f>I184-F184</f>
        <v>9.7453703710925765E-3</v>
      </c>
      <c r="N184" s="7">
        <f>24*60*SUM($M184:$M184)</f>
        <v>14.03333333437331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https://search-rtdc-monitor-bjffxe2xuh6vdkpspy63sjmuny.us-east-1.es.amazonaws.com/_plugin/kibana/#/discover/Steve-Slow-Train-Analysis-(2080s-and-2083s)?_g=(refreshInterval:(display:Off,section:0,value:0),time:(from:'2016-12-27 14:15:55-700',mode:absolute,to:'2016-12-27 16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4" s="52" t="str">
        <f>IF(AA184&lt;IF(AG184="EC",23,5.65),"Y","N")</f>
        <v>N</v>
      </c>
      <c r="X184" s="177">
        <f>VALUE(LEFT(AD184,4))-VALUE(LEFT(AD183,4))</f>
        <v>1</v>
      </c>
      <c r="Y184" s="67">
        <f>RIGHT(D184,LEN(D184)-4)/10000</f>
        <v>9.9699999999999997E-2</v>
      </c>
      <c r="Z184" s="67">
        <f>RIGHT(H184,LEN(H184)-4)/10000</f>
        <v>5.8939000000000004</v>
      </c>
      <c r="AA184" s="67">
        <f>ABS(Z184-Y184)</f>
        <v>5.7942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>IF(LEN(A184)=6,"0"&amp;A184,A184)</f>
        <v>0825-27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/stypes="app*4014*20161227*" /stext=" 22:.+((SYSTEM_STATE.+slice.+state.+changed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8"/>
        <v>"%USERPROFILE%\Documents\GitHub\eaglep3\Utilities\RefineRTDCRunTimes.py" --tripid 825-27 --locoid 4014 --swversion DE.1.0.8.0 --startMP 204:997 --initTime 2016-12-27T15:15:55 --startdatetime 2016-12-27T15:21:35 --delay 1 --endMP 300:58939 --enddatetime 2016-12-27T15:35:37 --enforcementcount 1 &gt;&gt;C:\Users\stu\Documents\GitHub\eaglep3-reporting\EC\2016-12-27-refined-times.txt</v>
      </c>
      <c r="AI184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{"issue":{"subject":"","project_id":79,"tracker_id":40,"status_id":1,"priority_id":2,"assigned_to_id":23,"start_date":"2016-12-27","description":"","custom_fields":[{"id":1,"name":"Subdivision","value":"NW"},{"id":4,"name":"Milepost","value":"5.8939"},{"id":17,"name":"Train ID","value":"825-27"},{"id":16,"name":"Locomotive ID","value":"4014"},{"id":130,"name":"Impact","value":""},{"id":150,"name":"Time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582</v>
      </c>
      <c r="B185" s="7">
        <v>4013</v>
      </c>
      <c r="C185" s="22" t="s">
        <v>205</v>
      </c>
      <c r="D185" s="22" t="s">
        <v>418</v>
      </c>
      <c r="E185" s="13">
        <v>42731.650648148148</v>
      </c>
      <c r="F185" s="13">
        <v>42731.652465277781</v>
      </c>
      <c r="G185" s="7">
        <v>1</v>
      </c>
      <c r="H185" s="22" t="s">
        <v>765</v>
      </c>
      <c r="I185" s="13">
        <v>42731.6640162037</v>
      </c>
      <c r="J185" s="7">
        <v>1</v>
      </c>
      <c r="K185" s="109" t="str">
        <f>IF(ISEVEN(B185),(B185-1)&amp;"/"&amp;B185,B185&amp;"/"&amp;(B185+1))</f>
        <v>4013/4014</v>
      </c>
      <c r="L185" s="22" t="str">
        <f>VLOOKUP(A185,'Trips&amp;Operators'!$C$1:$G$99999,5,FALSE)</f>
        <v>DE LA ROSA ALEX</v>
      </c>
      <c r="M185" s="6">
        <f>I185-F185</f>
        <v>1.155092591943685E-2</v>
      </c>
      <c r="N185" s="7">
        <f>24*60*SUM($M185:$M185)</f>
        <v>16.633333323989064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https://search-rtdc-monitor-bjffxe2xuh6vdkpspy63sjmuny.us-east-1.es.amazonaws.com/_plugin/kibana/#/discover/Steve-Slow-Train-Analysis-(2080s-and-2083s)?_g=(refreshInterval:(display:Off,section:0,value:0),time:(from:'2016-12-27 14:36:56-700',mode:absolute,to:'2016-12-27 16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5" s="52" t="str">
        <f>IF(AA185&lt;IF(AG185="EC",23,5.65),"Y","N")</f>
        <v>N</v>
      </c>
      <c r="X185" s="177">
        <f>VALUE(LEFT(AD185,4))-VALUE(LEFT(AD184,4))</f>
        <v>1</v>
      </c>
      <c r="Y185" s="67">
        <f>RIGHT(D185,LEN(D185)-4)/10000</f>
        <v>5.8632</v>
      </c>
      <c r="Z185" s="67">
        <f>RIGHT(H185,LEN(H185)-4)/10000</f>
        <v>7.3099999999999998E-2</v>
      </c>
      <c r="AA185" s="67">
        <f>ABS(Z185-Y185)</f>
        <v>5.7900999999999998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>IF(LEN(A185)=6,"0"&amp;A185,A185)</f>
        <v>0826-27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/stypes="app*4013*20161227*" /stext=" 22:.+((SYSTEM_STATE.+slice.+state.+changed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8"/>
        <v>"%USERPROFILE%\Documents\GitHub\eaglep3\Utilities\RefineRTDCRunTimes.py" --tripid 826-27 --locoid 4013 --swversion DE.1.0.8.0 --startMP 300:58632 --initTime 2016-12-27T15:36:56 --startdatetime 2016-12-27T15:39:33 --delay 1 --endMP 204:731 --enddatetime 2016-12-27T15:56:11 --enforcementcount 1 &gt;&gt;C:\Users\stu\Documents\GitHub\eaglep3-reporting\EC\2016-12-27-refined-times.txt</v>
      </c>
      <c r="AI185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{"issue":{"subject":"","project_id":79,"tracker_id":40,"status_id":1,"priority_id":2,"assigned_to_id":23,"start_date":"2016-12-27","description":"","custom_fields":[{"id":1,"name":"Subdivision","value":"NW"},{"id":4,"name":"Milepost","value":"0.0731"},{"id":17,"name":"Train ID","value":"826-27"},{"id":16,"name":"Locomotive ID","value":"4013"},{"id":130,"name":"Impact","value":""},{"id":150,"name":"Time of Event (Mountain Time)","value":"15:56:11"},{"id":151,"name":"Denver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583</v>
      </c>
      <c r="B186" s="7">
        <v>4003</v>
      </c>
      <c r="C186" s="22" t="s">
        <v>205</v>
      </c>
      <c r="D186" s="22" t="s">
        <v>421</v>
      </c>
      <c r="E186" s="13">
        <v>42731.655451388891</v>
      </c>
      <c r="F186" s="13">
        <v>42731.67391203704</v>
      </c>
      <c r="G186" s="7">
        <v>1</v>
      </c>
      <c r="H186" s="22" t="s">
        <v>774</v>
      </c>
      <c r="I186" s="13">
        <v>42731.684884259259</v>
      </c>
      <c r="J186" s="7">
        <v>1</v>
      </c>
      <c r="K186" s="109" t="str">
        <f>IF(ISEVEN(B186),(B186-1)&amp;"/"&amp;B186,B186&amp;"/"&amp;(B186+1))</f>
        <v>4003/4004</v>
      </c>
      <c r="L186" s="22" t="str">
        <f>VLOOKUP(A186,'Trips&amp;Operators'!$C$1:$G$99999,5,FALSE)</f>
        <v>HILLS DUSTIN</v>
      </c>
      <c r="M186" s="6">
        <f>I186-F186</f>
        <v>1.0972222218697425E-2</v>
      </c>
      <c r="N186" s="7">
        <f>24*60*SUM($M186:$M186)</f>
        <v>15.799999994924292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https://search-rtdc-monitor-bjffxe2xuh6vdkpspy63sjmuny.us-east-1.es.amazonaws.com/_plugin/kibana/#/discover/Steve-Slow-Train-Analysis-(2080s-and-2083s)?_g=(refreshInterval:(display:Off,section:0,value:0),time:(from:'2016-12-27 14:43:51-700',mode:absolute,to:'2016-12-27 17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6" s="52" t="str">
        <f>IF(AA186&lt;IF(AG186="EC",23,5.65),"Y","N")</f>
        <v>N</v>
      </c>
      <c r="X186" s="177">
        <f>VALUE(LEFT(AD186,4))-VALUE(LEFT(AD185,4))</f>
        <v>1</v>
      </c>
      <c r="Y186" s="67">
        <f>RIGHT(D186,LEN(D186)-4)/10000</f>
        <v>9.6500000000000002E-2</v>
      </c>
      <c r="Z186" s="67">
        <f>RIGHT(H186,LEN(H186)-4)/10000</f>
        <v>5.8959999999999999</v>
      </c>
      <c r="AA186" s="67">
        <f>ABS(Z186-Y186)</f>
        <v>5.7995000000000001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>IF(LEN(A186)=6,"0"&amp;A186,A186)</f>
        <v>0827-27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/stypes="app*4003*20161227*"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8"/>
        <v>"%USERPROFILE%\Documents\GitHub\eaglep3\Utilities\RefineRTDCRunTimes.py" --tripid 827-27 --locoid 4003 --swversion DE.1.0.8.0 --startMP 204:965 --initTime 2016-12-27T15:43:51 --startdatetime 2016-12-27T16:10:26 --delay 1 --endMP 300:58960 --enddatetime 2016-12-27T16:26:14 --enforcementcount 1 &gt;&gt;C:\Users\stu\Documents\GitHub\eaglep3-reporting\EC\2016-12-27-refined-times.txt</v>
      </c>
      <c r="AI186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{"issue":{"subject":"","project_id":79,"tracker_id":40,"status_id":1,"priority_id":2,"assigned_to_id":23,"start_date":"2016-12-27","description":"","custom_fields":[{"id":1,"name":"Subdivision","value":"NW"},{"id":4,"name":"Milepost","value":"5.896"},{"id":17,"name":"Train ID","value":"827-27"},{"id":16,"name":"Locomotive ID","value":"4003"},{"id":130,"name":"Impact","value":""},{"id":150,"name":"Time of Event (Mountain Time)","value":"16:26:14"},{"id":151,"name":"Denver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447</v>
      </c>
      <c r="B187" s="7">
        <v>4004</v>
      </c>
      <c r="C187" s="22" t="s">
        <v>205</v>
      </c>
      <c r="D187" s="22" t="s">
        <v>775</v>
      </c>
      <c r="E187" s="13">
        <v>42731.672268518516</v>
      </c>
      <c r="F187" s="13">
        <v>42731.67391203704</v>
      </c>
      <c r="G187" s="7">
        <v>1</v>
      </c>
      <c r="H187" s="22" t="s">
        <v>411</v>
      </c>
      <c r="I187" s="13">
        <v>42731.684884259259</v>
      </c>
      <c r="J187" s="7">
        <v>1</v>
      </c>
      <c r="K187" s="109" t="str">
        <f>IF(ISEVEN(B187),(B187-1)&amp;"/"&amp;B187,B187&amp;"/"&amp;(B187+1))</f>
        <v>4003/4004</v>
      </c>
      <c r="L187" s="22" t="str">
        <f>VLOOKUP(A187,'Trips&amp;Operators'!$C$1:$G$99999,5,FALSE)</f>
        <v>HILLS DUSTIN</v>
      </c>
      <c r="M187" s="6">
        <f>I187-F187</f>
        <v>1.0972222218697425E-2</v>
      </c>
      <c r="N187" s="7">
        <f>24*60*SUM($M187:$M187)</f>
        <v>15.799999994924292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https://search-rtdc-monitor-bjffxe2xuh6vdkpspy63sjmuny.us-east-1.es.amazonaws.com/_plugin/kibana/#/discover/Steve-Slow-Train-Analysis-(2080s-and-2083s)?_g=(refreshInterval:(display:Off,section:0,value:0),time:(from:'2016-12-27 15:08:04-700',mode:absolute,to:'2016-12-27 17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7" s="52" t="str">
        <f>IF(AA187&lt;IF(AG187="EC",23,5.65),"Y","N")</f>
        <v>N</v>
      </c>
      <c r="X187" s="177">
        <f>VALUE(LEFT(AD187,4))-VALUE(LEFT(AD186,4))</f>
        <v>1</v>
      </c>
      <c r="Y187" s="67">
        <f>RIGHT(D187,LEN(D187)-4)/10000</f>
        <v>5.8648999999999996</v>
      </c>
      <c r="Z187" s="67">
        <f>RIGHT(H187,LEN(H187)-4)/10000</f>
        <v>6.2600000000000003E-2</v>
      </c>
      <c r="AA187" s="67">
        <f>ABS(Z187-Y187)</f>
        <v>5.8022999999999998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>IF(LEN(A187)=6,"0"&amp;A187,A187)</f>
        <v>0828-27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/stypes="app*4004*20161227*"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8"/>
        <v>"%USERPROFILE%\Documents\GitHub\eaglep3\Utilities\RefineRTDCRunTimes.py" --tripid 828-27 --locoid 4004 --swversion DE.1.0.8.0 --startMP 300:58649 --initTime 2016-12-27T16:08:04 --startdatetime 2016-12-27T16:10:26 --delay 1 --endMP 204:626 --enddatetime 2016-12-27T16:26:14 --enforcementcount 1 &gt;&gt;C:\Users\stu\Documents\GitHub\eaglep3-reporting\EC\2016-12-27-refined-times.txt</v>
      </c>
      <c r="AI187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{"issue":{"subject":"","project_id":79,"tracker_id":40,"status_id":1,"priority_id":2,"assigned_to_id":23,"start_date":"2016-12-27","description":"","custom_fields":[{"id":1,"name":"Subdivision","value":"NW"},{"id":4,"name":"Milepost","value":"0.0626"},{"id":17,"name":"Train ID","value":"828-27"},{"id":16,"name":"Locomotive ID","value":"4004"},{"id":130,"name":"Impact","value":""},{"id":150,"name":"Time of Event (Mountain Time)","value":"16:26:14"},{"id":151,"name":"Denver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585</v>
      </c>
      <c r="B188" s="7">
        <v>4014</v>
      </c>
      <c r="C188" s="22" t="s">
        <v>205</v>
      </c>
      <c r="D188" s="22" t="s">
        <v>762</v>
      </c>
      <c r="E188" s="13">
        <v>42731.674513888887</v>
      </c>
      <c r="F188" s="13">
        <v>42731.681446759256</v>
      </c>
      <c r="G188" s="7">
        <v>1</v>
      </c>
      <c r="H188" s="22" t="s">
        <v>776</v>
      </c>
      <c r="I188" s="13">
        <v>42731.691874999997</v>
      </c>
      <c r="J188" s="7">
        <v>1</v>
      </c>
      <c r="K188" s="109" t="str">
        <f>IF(ISEVEN(B188),(B188-1)&amp;"/"&amp;B188,B188&amp;"/"&amp;(B188+1))</f>
        <v>4013/4014</v>
      </c>
      <c r="L188" s="22" t="str">
        <f>VLOOKUP(A188,'Trips&amp;Operators'!$C$1:$G$99999,5,FALSE)</f>
        <v>DE LA ROSA ALEX</v>
      </c>
      <c r="M188" s="6">
        <f>I188-F188</f>
        <v>1.0428240741021E-2</v>
      </c>
      <c r="N188" s="7">
        <f>24*60*SUM($M188:$M188)</f>
        <v>15.01666666707024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https://search-rtdc-monitor-bjffxe2xuh6vdkpspy63sjmuny.us-east-1.es.amazonaws.com/_plugin/kibana/#/discover/Steve-Slow-Train-Analysis-(2080s-and-2083s)?_g=(refreshInterval:(display:Off,section:0,value:0),time:(from:'2016-12-27 15:11:18-700',mode:absolute,to:'2016-12-27 17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8" s="52" t="str">
        <f>IF(AA188&lt;IF(AG188="EC",23,5.65),"Y","N")</f>
        <v>N</v>
      </c>
      <c r="X188" s="177">
        <f>VALUE(LEFT(AD188,4))-VALUE(LEFT(AD187,4))</f>
        <v>1</v>
      </c>
      <c r="Y188" s="67">
        <f>RIGHT(D188,LEN(D188)-4)/10000</f>
        <v>0.1016</v>
      </c>
      <c r="Z188" s="67">
        <f>RIGHT(H188,LEN(H188)-4)/10000</f>
        <v>5.8943000000000003</v>
      </c>
      <c r="AA188" s="67">
        <f>ABS(Z188-Y188)</f>
        <v>5.7927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>IF(LEN(A188)=6,"0"&amp;A188,A188)</f>
        <v>0829-27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/stypes="app*4014*20161227*"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8"/>
        <v>"%USERPROFILE%\Documents\GitHub\eaglep3\Utilities\RefineRTDCRunTimes.py" --tripid 829-27 --locoid 4014 --swversion DE.1.0.8.0 --startMP 204:1016 --initTime 2016-12-27T16:11:18 --startdatetime 2016-12-27T16:21:17 --delay 1 --endMP 300:58943 --enddatetime 2016-12-27T16:36:18 --enforcementcount 1 &gt;&gt;C:\Users\stu\Documents\GitHub\eaglep3-reporting\EC\2016-12-27-refined-times.txt</v>
      </c>
      <c r="AI188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{"issue":{"subject":"","project_id":79,"tracker_id":40,"status_id":1,"priority_id":2,"assigned_to_id":23,"start_date":"2016-12-27","description":"","custom_fields":[{"id":1,"name":"Subdivision","value":"NW"},{"id":4,"name":"Milepost","value":"5.8943"},{"id":17,"name":"Train ID","value":"829-27"},{"id":16,"name":"Locomotive ID","value":"4014"},{"id":130,"name":"Impact","value":""},{"id":150,"name":"Time of Event (Mountain Time)","value":"16:36:18"},{"id":151,"name":"Denver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589</v>
      </c>
      <c r="B189" s="7">
        <v>4013</v>
      </c>
      <c r="C189" s="22" t="s">
        <v>205</v>
      </c>
      <c r="D189" s="22" t="s">
        <v>777</v>
      </c>
      <c r="E189" s="13">
        <v>42731.692835648151</v>
      </c>
      <c r="F189" s="13">
        <v>42731.694664351853</v>
      </c>
      <c r="G189" s="7">
        <v>1</v>
      </c>
      <c r="H189" s="22" t="s">
        <v>778</v>
      </c>
      <c r="I189" s="13">
        <v>42731.705578703702</v>
      </c>
      <c r="J189" s="7">
        <v>1</v>
      </c>
      <c r="K189" s="109" t="str">
        <f>IF(ISEVEN(B189),(B189-1)&amp;"/"&amp;B189,B189&amp;"/"&amp;(B189+1))</f>
        <v>4013/4014</v>
      </c>
      <c r="L189" s="22" t="str">
        <f>VLOOKUP(A189,'Trips&amp;Operators'!$C$1:$G$99999,5,FALSE)</f>
        <v>DE LA ROSA ALEX</v>
      </c>
      <c r="M189" s="6">
        <f>I189-F189</f>
        <v>1.0914351849351078E-2</v>
      </c>
      <c r="N189" s="7">
        <f>24*60*SUM($M189:$M189)</f>
        <v>15.716666663065553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https://search-rtdc-monitor-bjffxe2xuh6vdkpspy63sjmuny.us-east-1.es.amazonaws.com/_plugin/kibana/#/discover/Steve-Slow-Train-Analysis-(2080s-and-2083s)?_g=(refreshInterval:(display:Off,section:0,value:0),time:(from:'2016-12-27 15:37:41-700',mode:absolute,to:'2016-12-27 17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9" s="52" t="str">
        <f>IF(AA189&lt;IF(AG189="EC",23,5.65),"Y","N")</f>
        <v>N</v>
      </c>
      <c r="X189" s="177">
        <f>VALUE(LEFT(AD189,4))-VALUE(LEFT(AD188,4))</f>
        <v>1</v>
      </c>
      <c r="Y189" s="67">
        <f>RIGHT(D189,LEN(D189)-4)/10000</f>
        <v>5.8634000000000004</v>
      </c>
      <c r="Z189" s="67">
        <f>RIGHT(H189,LEN(H189)-4)/10000</f>
        <v>7.4499999999999997E-2</v>
      </c>
      <c r="AA189" s="67">
        <f>ABS(Z189-Y189)</f>
        <v>5.7889000000000008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>IF(LEN(A189)=6,"0"&amp;A189,A189)</f>
        <v>0830-27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/stypes="app*4013*20161227*" /stext=" 23:.+((SYSTEM_STATE.+slice.+state.+changed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8"/>
        <v>"%USERPROFILE%\Documents\GitHub\eaglep3\Utilities\RefineRTDCRunTimes.py" --tripid 830-27 --locoid 4013 --swversion DE.1.0.8.0 --startMP 300:58634 --initTime 2016-12-27T16:37:41 --startdatetime 2016-12-27T16:40:19 --delay 1 --endMP 204:745 --enddatetime 2016-12-27T16:56:02 --enforcementcount 1 &gt;&gt;C:\Users\stu\Documents\GitHub\eaglep3-reporting\EC\2016-12-27-refined-times.txt</v>
      </c>
      <c r="AI189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{"issue":{"subject":"","project_id":79,"tracker_id":40,"status_id":1,"priority_id":2,"assigned_to_id":23,"start_date":"2016-12-27","description":"","custom_fields":[{"id":1,"name":"Subdivision","value":"NW"},{"id":4,"name":"Milepost","value":"0.0745"},{"id":17,"name":"Train ID","value":"830-27"},{"id":16,"name":"Locomotive ID","value":"4013"},{"id":130,"name":"Impact","value":""},{"id":150,"name":"Time of Event (Mountain Time)","value":"16:56:02"},{"id":151,"name":"Denver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7" t="s">
        <v>451</v>
      </c>
      <c r="B190" s="7">
        <v>4003</v>
      </c>
      <c r="C190" s="22" t="s">
        <v>205</v>
      </c>
      <c r="D190" s="22" t="s">
        <v>779</v>
      </c>
      <c r="E190" s="13">
        <v>42731.686122685183</v>
      </c>
      <c r="F190" s="13">
        <v>42731.702453703707</v>
      </c>
      <c r="G190" s="7">
        <v>1</v>
      </c>
      <c r="H190" s="22" t="s">
        <v>780</v>
      </c>
      <c r="I190" s="13">
        <v>42731.712395833332</v>
      </c>
      <c r="J190" s="7">
        <v>1</v>
      </c>
      <c r="K190" s="109" t="str">
        <f>IF(ISEVEN(B190),(B190-1)&amp;"/"&amp;B190,B190&amp;"/"&amp;(B190+1))</f>
        <v>4003/4004</v>
      </c>
      <c r="L190" s="22" t="str">
        <f>VLOOKUP(A190,'Trips&amp;Operators'!$C$1:$G$99999,5,FALSE)</f>
        <v>HILLS DUSTIN</v>
      </c>
      <c r="M190" s="6">
        <f>I190-F190</f>
        <v>9.9421296254149638E-3</v>
      </c>
      <c r="N190" s="7">
        <f>24*60*SUM($M190:$M190)</f>
        <v>14.316666660597548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https://search-rtdc-monitor-bjffxe2xuh6vdkpspy63sjmuny.us-east-1.es.amazonaws.com/_plugin/kibana/#/discover/Steve-Slow-Train-Analysis-(2080s-and-2083s)?_g=(refreshInterval:(display:Off,section:0,value:0),time:(from:'2016-12-27 15:28:01-700',mode:absolute,to:'2016-12-27 18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0" s="52" t="str">
        <f>IF(AA190&lt;IF(AG190="EC",23,5.65),"Y","N")</f>
        <v>N</v>
      </c>
      <c r="X190" s="177">
        <f>VALUE(LEFT(AD190,4))-VALUE(LEFT(AD189,4))</f>
        <v>1</v>
      </c>
      <c r="Y190" s="67">
        <f>RIGHT(D190,LEN(D190)-4)/10000</f>
        <v>8.8999999999999996E-2</v>
      </c>
      <c r="Z190" s="67">
        <f>RIGHT(H190,LEN(H190)-4)/10000</f>
        <v>5.8986000000000001</v>
      </c>
      <c r="AA190" s="67">
        <f>ABS(Z190-Y190)</f>
        <v>5.8095999999999997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>IF(LEN(A190)=6,"0"&amp;A190,A190)</f>
        <v>0831-27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/stypes="app*4003*20161228*"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8"/>
        <v>"%USERPROFILE%\Documents\GitHub\eaglep3\Utilities\RefineRTDCRunTimes.py" --tripid 831-27 --locoid 4003 --swversion DE.1.0.8.0 --startMP 204:890 --initTime 2016-12-27T16:28:01 --startdatetime 2016-12-27T16:51:32 --delay 1 --endMP 300:58986 --enddatetime 2016-12-27T17:05:51 --enforcementcount 1 &gt;&gt;C:\Users\stu\Documents\GitHub\eaglep3-reporting\EC\2016-12-27-refined-times.txt</v>
      </c>
      <c r="AI190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{"issue":{"subject":"","project_id":79,"tracker_id":40,"status_id":1,"priority_id":2,"assigned_to_id":23,"start_date":"2016-12-27","description":"","custom_fields":[{"id":1,"name":"Subdivision","value":"NW"},{"id":4,"name":"Milepost","value":"5.8986"},{"id":17,"name":"Train ID","value":"831-27"},{"id":16,"name":"Locomotive ID","value":"4003"},{"id":130,"name":"Impact","value":""},{"id":150,"name":"Time of Event (Mountain Time)","value":"17:05:51"},{"id":151,"name":"Denver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595</v>
      </c>
      <c r="B191" s="7">
        <v>4004</v>
      </c>
      <c r="C191" s="22" t="s">
        <v>205</v>
      </c>
      <c r="D191" s="22" t="s">
        <v>781</v>
      </c>
      <c r="E191" s="13">
        <v>42731.714594907404</v>
      </c>
      <c r="F191" s="13">
        <v>42731.716192129628</v>
      </c>
      <c r="G191" s="7">
        <v>1</v>
      </c>
      <c r="H191" s="22" t="s">
        <v>782</v>
      </c>
      <c r="I191" s="13">
        <v>42731.726354166669</v>
      </c>
      <c r="J191" s="7">
        <v>1</v>
      </c>
      <c r="K191" s="109" t="str">
        <f>IF(ISEVEN(B191),(B191-1)&amp;"/"&amp;B191,B191&amp;"/"&amp;(B191+1))</f>
        <v>4003/4004</v>
      </c>
      <c r="L191" s="22" t="str">
        <f>VLOOKUP(A191,'Trips&amp;Operators'!$C$1:$G$99999,5,FALSE)</f>
        <v>HILLS DUSTIN</v>
      </c>
      <c r="M191" s="6">
        <f>I191-F191</f>
        <v>1.0162037040572613E-2</v>
      </c>
      <c r="N191" s="7">
        <f>24*60*SUM($M191:$M191)</f>
        <v>14.633333338424563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https://search-rtdc-monitor-bjffxe2xuh6vdkpspy63sjmuny.us-east-1.es.amazonaws.com/_plugin/kibana/#/discover/Steve-Slow-Train-Analysis-(2080s-and-2083s)?_g=(refreshInterval:(display:Off,section:0,value:0),time:(from:'2016-12-27 16:09:01-700',mode:absolute,to:'2016-12-27 18:25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1" s="52" t="str">
        <f>IF(AA191&lt;IF(AG191="EC",23,5.65),"Y","N")</f>
        <v>N</v>
      </c>
      <c r="X191" s="177">
        <f>VALUE(LEFT(AD191,4))-VALUE(LEFT(AD190,4))</f>
        <v>1</v>
      </c>
      <c r="Y191" s="67">
        <f>RIGHT(D191,LEN(D191)-4)/10000</f>
        <v>5.8667999999999996</v>
      </c>
      <c r="Z191" s="67">
        <f>RIGHT(H191,LEN(H191)-4)/10000</f>
        <v>6.3600000000000004E-2</v>
      </c>
      <c r="AA191" s="67">
        <f>ABS(Z191-Y191)</f>
        <v>5.8031999999999995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>IF(LEN(A191)=6,"0"&amp;A191,A191)</f>
        <v>0832-27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/stypes="app*4004*20161228*"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8"/>
        <v>"%USERPROFILE%\Documents\GitHub\eaglep3\Utilities\RefineRTDCRunTimes.py" --tripid 832-27 --locoid 4004 --swversion DE.1.0.8.0 --startMP 300:58668 --initTime 2016-12-27T17:09:01 --startdatetime 2016-12-27T17:11:19 --delay 1 --endMP 204:636 --enddatetime 2016-12-27T17:25:57 --enforcementcount 1 &gt;&gt;C:\Users\stu\Documents\GitHub\eaglep3-reporting\EC\2016-12-27-refined-times.txt</v>
      </c>
      <c r="AI191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{"issue":{"subject":"","project_id":79,"tracker_id":40,"status_id":1,"priority_id":2,"assigned_to_id":23,"start_date":"2016-12-27","description":"","custom_fields":[{"id":1,"name":"Subdivision","value":"NW"},{"id":4,"name":"Milepost","value":"0.0636"},{"id":17,"name":"Train ID","value":"832-27"},{"id":16,"name":"Locomotive ID","value":"4004"},{"id":130,"name":"Impact","value":""},{"id":150,"name":"Time of Event (Mountain Time)","value":"17:25:57"},{"id":151,"name":"Denver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597</v>
      </c>
      <c r="B192" s="7">
        <v>4014</v>
      </c>
      <c r="C192" s="22" t="s">
        <v>205</v>
      </c>
      <c r="D192" s="22" t="s">
        <v>771</v>
      </c>
      <c r="E192" s="13">
        <v>42731.717858796299</v>
      </c>
      <c r="F192" s="13">
        <v>42731.723298611112</v>
      </c>
      <c r="G192" s="7">
        <v>1</v>
      </c>
      <c r="H192" s="22" t="s">
        <v>768</v>
      </c>
      <c r="I192" s="13">
        <v>42731.733344907407</v>
      </c>
      <c r="J192" s="7">
        <v>1</v>
      </c>
      <c r="K192" s="109" t="str">
        <f>IF(ISEVEN(B192),(B192-1)&amp;"/"&amp;B192,B192&amp;"/"&amp;(B192+1))</f>
        <v>4013/4014</v>
      </c>
      <c r="L192" s="22" t="str">
        <f>VLOOKUP(A192,'Trips&amp;Operators'!$C$1:$G$99999,5,FALSE)</f>
        <v>DE LA ROSA ALEX</v>
      </c>
      <c r="M192" s="6">
        <f>I192-F192</f>
        <v>1.0046296294603962E-2</v>
      </c>
      <c r="N192" s="7">
        <f>24*60*SUM($M192:$M192)</f>
        <v>14.466666664229706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https://search-rtdc-monitor-bjffxe2xuh6vdkpspy63sjmuny.us-east-1.es.amazonaws.com/_plugin/kibana/#/discover/Steve-Slow-Train-Analysis-(2080s-and-2083s)?_g=(refreshInterval:(display:Off,section:0,value:0),time:(from:'2016-12-27 16:13:43-700',mode:absolute,to:'2016-12-27 18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2" s="52" t="str">
        <f>IF(AA192&lt;IF(AG192="EC",23,5.65),"Y","N")</f>
        <v>N</v>
      </c>
      <c r="X192" s="177">
        <f>VALUE(LEFT(AD192,4))-VALUE(LEFT(AD191,4))</f>
        <v>1</v>
      </c>
      <c r="Y192" s="67">
        <f>RIGHT(D192,LEN(D192)-4)/10000</f>
        <v>0.1032</v>
      </c>
      <c r="Z192" s="67">
        <f>RIGHT(H192,LEN(H192)-4)/10000</f>
        <v>5.8948</v>
      </c>
      <c r="AA192" s="67">
        <f>ABS(Z192-Y192)</f>
        <v>5.7915999999999999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>IF(LEN(A192)=6,"0"&amp;A192,A192)</f>
        <v>0833-27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/stypes="app*4014*20161228*"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8"/>
        <v>"%USERPROFILE%\Documents\GitHub\eaglep3\Utilities\RefineRTDCRunTimes.py" --tripid 833-27 --locoid 4014 --swversion DE.1.0.8.0 --startMP 204:1032 --initTime 2016-12-27T17:13:43 --startdatetime 2016-12-27T17:21:33 --delay 1 --endMP 300:58948 --enddatetime 2016-12-27T17:36:01 --enforcementcount 1 &gt;&gt;C:\Users\stu\Documents\GitHub\eaglep3-reporting\EC\2016-12-27-refined-times.txt</v>
      </c>
      <c r="AI192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{"issue":{"subject":"","project_id":79,"tracker_id":40,"status_id":1,"priority_id":2,"assigned_to_id":23,"start_date":"2016-12-27","description":"","custom_fields":[{"id":1,"name":"Subdivision","value":"NW"},{"id":4,"name":"Milepost","value":"5.8948"},{"id":17,"name":"Train ID","value":"833-27"},{"id":16,"name":"Locomotive ID","value":"4014"},{"id":130,"name":"Impact","value":""},{"id":150,"name":"Time of Event (Mountain Time)","value":"17:36:01"},{"id":151,"name":"Denver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604</v>
      </c>
      <c r="B193" s="7">
        <v>4013</v>
      </c>
      <c r="C193" s="22" t="s">
        <v>205</v>
      </c>
      <c r="D193" s="22" t="s">
        <v>783</v>
      </c>
      <c r="E193" s="13">
        <v>42731.734444444446</v>
      </c>
      <c r="F193" s="13">
        <v>42731.736087962963</v>
      </c>
      <c r="G193" s="7">
        <v>1</v>
      </c>
      <c r="H193" s="22" t="s">
        <v>416</v>
      </c>
      <c r="I193" s="13">
        <v>42731.74728009259</v>
      </c>
      <c r="J193" s="7">
        <v>1</v>
      </c>
      <c r="K193" s="109" t="str">
        <f>IF(ISEVEN(B193),(B193-1)&amp;"/"&amp;B193,B193&amp;"/"&amp;(B193+1))</f>
        <v>4013/4014</v>
      </c>
      <c r="L193" s="22" t="str">
        <f>VLOOKUP(A193,'Trips&amp;Operators'!$C$1:$G$99999,5,FALSE)</f>
        <v>DE LA ROSA ALEX</v>
      </c>
      <c r="M193" s="6">
        <f>I193-F193</f>
        <v>1.1192129626579117E-2</v>
      </c>
      <c r="N193" s="7">
        <f>24*60*SUM($M193:$M193)</f>
        <v>16.116666662273929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https://search-rtdc-monitor-bjffxe2xuh6vdkpspy63sjmuny.us-east-1.es.amazonaws.com/_plugin/kibana/#/discover/Steve-Slow-Train-Analysis-(2080s-and-2083s)?_g=(refreshInterval:(display:Off,section:0,value:0),time:(from:'2016-12-27 16:37:36-700',mode:absolute,to:'2016-12-27 18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3" s="52" t="str">
        <f>IF(AA193&lt;IF(AG193="EC",23,5.65),"Y","N")</f>
        <v>N</v>
      </c>
      <c r="X193" s="177">
        <f>VALUE(LEFT(AD193,4))-VALUE(LEFT(AD192,4))</f>
        <v>1</v>
      </c>
      <c r="Y193" s="67">
        <f>RIGHT(D193,LEN(D193)-4)/10000</f>
        <v>5.8635999999999999</v>
      </c>
      <c r="Z193" s="67">
        <f>RIGHT(H193,LEN(H193)-4)/10000</f>
        <v>7.0300000000000001E-2</v>
      </c>
      <c r="AA193" s="67">
        <f>ABS(Z193-Y193)</f>
        <v>5.7933000000000003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>IF(LEN(A193)=6,"0"&amp;A193,A193)</f>
        <v>0834-27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/stypes="app*4013*20161228*" /stext=" 00:.+((SYSTEM_STATE.+slice.+state.+changed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8"/>
        <v>"%USERPROFILE%\Documents\GitHub\eaglep3\Utilities\RefineRTDCRunTimes.py" --tripid 834-27 --locoid 4013 --swversion DE.1.0.8.0 --startMP 300:58636 --initTime 2016-12-27T17:37:36 --startdatetime 2016-12-27T17:39:58 --delay 1 --endMP 204:703 --enddatetime 2016-12-27T17:56:05 --enforcementcount 1 &gt;&gt;C:\Users\stu\Documents\GitHub\eaglep3-reporting\EC\2016-12-27-refined-times.txt</v>
      </c>
      <c r="AI193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{"issue":{"subject":"","project_id":79,"tracker_id":40,"status_id":1,"priority_id":2,"assigned_to_id":23,"start_date":"2016-12-27","description":"","custom_fields":[{"id":1,"name":"Subdivision","value":"NW"},{"id":4,"name":"Milepost","value":"0.0703"},{"id":17,"name":"Train ID","value":"834-27"},{"id":16,"name":"Locomotive ID","value":"4013"},{"id":130,"name":"Impact","value":""},{"id":150,"name":"Time of Event (Mountain Time)","value":"17:56:05"},{"id":151,"name":"Denver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603</v>
      </c>
      <c r="B194" s="7">
        <v>4003</v>
      </c>
      <c r="C194" s="22" t="s">
        <v>205</v>
      </c>
      <c r="D194" s="22" t="s">
        <v>784</v>
      </c>
      <c r="E194" s="13">
        <v>42731.727488425924</v>
      </c>
      <c r="F194" s="13">
        <v>42731.744027777779</v>
      </c>
      <c r="G194" s="7">
        <v>1</v>
      </c>
      <c r="H194" s="22" t="s">
        <v>785</v>
      </c>
      <c r="I194" s="13">
        <v>42731.756874999999</v>
      </c>
      <c r="J194" s="7">
        <v>1</v>
      </c>
      <c r="K194" s="109" t="str">
        <f>IF(ISEVEN(B194),(B194-1)&amp;"/"&amp;B194,B194&amp;"/"&amp;(B194+1))</f>
        <v>4003/4004</v>
      </c>
      <c r="L194" s="22" t="str">
        <f>VLOOKUP(A194,'Trips&amp;Operators'!$C$1:$G$99999,5,FALSE)</f>
        <v>HILLS DUSTIN</v>
      </c>
      <c r="M194" s="6">
        <f>I194-F194</f>
        <v>1.2847222220443655E-2</v>
      </c>
      <c r="N194" s="7">
        <f>24*60*SUM($M194:$M194)</f>
        <v>18.499999997438863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https://search-rtdc-monitor-bjffxe2xuh6vdkpspy63sjmuny.us-east-1.es.amazonaws.com/_plugin/kibana/#/discover/Steve-Slow-Train-Analysis-(2080s-and-2083s)?_g=(refreshInterval:(display:Off,section:0,value:0),time:(from:'2016-12-27 16:27:35-700',mode:absolute,to:'2016-12-27 19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4" s="52" t="str">
        <f>IF(AA194&lt;IF(AG194="EC",23,5.65),"Y","N")</f>
        <v>N</v>
      </c>
      <c r="X194" s="177">
        <f>VALUE(LEFT(AD194,4))-VALUE(LEFT(AD193,4))</f>
        <v>1</v>
      </c>
      <c r="Y194" s="67">
        <f>RIGHT(D194,LEN(D194)-4)/10000</f>
        <v>9.2700000000000005E-2</v>
      </c>
      <c r="Z194" s="67">
        <f>RIGHT(H194,LEN(H194)-4)/10000</f>
        <v>5.899</v>
      </c>
      <c r="AA194" s="67">
        <f>ABS(Z194-Y194)</f>
        <v>5.8063000000000002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>IF(LEN(A194)=6,"0"&amp;A194,A194)</f>
        <v>0835-27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/stypes="app*4003*20161228*"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8"/>
        <v>"%USERPROFILE%\Documents\GitHub\eaglep3\Utilities\RefineRTDCRunTimes.py" --tripid 835-27 --locoid 4003 --swversion DE.1.0.8.0 --startMP 204:927 --initTime 2016-12-27T17:27:35 --startdatetime 2016-12-27T17:51:24 --delay 1 --endMP 300:58990 --enddatetime 2016-12-27T18:09:54 --enforcementcount 1 &gt;&gt;C:\Users\stu\Documents\GitHub\eaglep3-reporting\EC\2016-12-27-refined-times.txt</v>
      </c>
      <c r="AI194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{"issue":{"subject":"","project_id":79,"tracker_id":40,"status_id":1,"priority_id":2,"assigned_to_id":23,"start_date":"2016-12-27","description":"","custom_fields":[{"id":1,"name":"Subdivision","value":"NW"},{"id":4,"name":"Milepost","value":"5.899"},{"id":17,"name":"Train ID","value":"835-27"},{"id":16,"name":"Locomotive ID","value":"4003"},{"id":130,"name":"Impact","value":""},{"id":150,"name":"Time of Event (Mountain Time)","value":"18:09:54"},{"id":151,"name":"Denver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453</v>
      </c>
      <c r="B195" s="7">
        <v>4004</v>
      </c>
      <c r="C195" s="22" t="s">
        <v>205</v>
      </c>
      <c r="D195" s="22" t="s">
        <v>781</v>
      </c>
      <c r="E195" s="13">
        <v>42731.758043981485</v>
      </c>
      <c r="F195" s="13">
        <v>42731.759780092594</v>
      </c>
      <c r="G195" s="7">
        <v>1</v>
      </c>
      <c r="H195" s="22" t="s">
        <v>786</v>
      </c>
      <c r="I195" s="13">
        <v>42731.768877314818</v>
      </c>
      <c r="J195" s="7">
        <v>1</v>
      </c>
      <c r="K195" s="109" t="str">
        <f>IF(ISEVEN(B195),(B195-1)&amp;"/"&amp;B195,B195&amp;"/"&amp;(B195+1))</f>
        <v>4003/4004</v>
      </c>
      <c r="L195" s="22" t="str">
        <f>VLOOKUP(A195,'Trips&amp;Operators'!$C$1:$G$99999,5,FALSE)</f>
        <v>HILLS DUSTIN</v>
      </c>
      <c r="M195" s="6">
        <f>I195-F195</f>
        <v>9.0972222242271528E-3</v>
      </c>
      <c r="N195" s="7">
        <f>24*60*SUM($M195:$M195)</f>
        <v>13.1000000028871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https://search-rtdc-monitor-bjffxe2xuh6vdkpspy63sjmuny.us-east-1.es.amazonaws.com/_plugin/kibana/#/discover/Steve-Slow-Train-Analysis-(2080s-and-2083s)?_g=(refreshInterval:(display:Off,section:0,value:0),time:(from:'2016-12-27 17:11:35-700',mode:absolute,to:'2016-12-27 19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5" s="52" t="str">
        <f>IF(AA195&lt;IF(AG195="EC",23,5.65),"Y","N")</f>
        <v>N</v>
      </c>
      <c r="X195" s="177">
        <f>VALUE(LEFT(AD195,4))-VALUE(LEFT(AD194,4))</f>
        <v>1</v>
      </c>
      <c r="Y195" s="67">
        <f>RIGHT(D195,LEN(D195)-4)/10000</f>
        <v>5.8667999999999996</v>
      </c>
      <c r="Z195" s="67">
        <f>RIGHT(H195,LEN(H195)-4)/10000</f>
        <v>7.8200000000000006E-2</v>
      </c>
      <c r="AA195" s="67">
        <f>ABS(Z195-Y195)</f>
        <v>5.7885999999999997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>IF(LEN(A195)=6,"0"&amp;A195,A195)</f>
        <v>0836-27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/stypes="app*4004*20161228*"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8"/>
        <v>"%USERPROFILE%\Documents\GitHub\eaglep3\Utilities\RefineRTDCRunTimes.py" --tripid 836-27 --locoid 4004 --swversion DE.1.0.8.0 --startMP 300:58668 --initTime 2016-12-27T18:11:35 --startdatetime 2016-12-27T18:14:05 --delay 1 --endMP 204:782 --enddatetime 2016-12-27T18:27:11 --enforcementcount 1 &gt;&gt;C:\Users\stu\Documents\GitHub\eaglep3-reporting\EC\2016-12-27-refined-times.txt</v>
      </c>
      <c r="AI195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{"issue":{"subject":"","project_id":79,"tracker_id":40,"status_id":1,"priority_id":2,"assigned_to_id":23,"start_date":"2016-12-27","description":"","custom_fields":[{"id":1,"name":"Subdivision","value":"NW"},{"id":4,"name":"Milepost","value":"0.0782"},{"id":17,"name":"Train ID","value":"836-27"},{"id":16,"name":"Locomotive ID","value":"4004"},{"id":130,"name":"Impact","value":""},{"id":150,"name":"Time of Event (Mountain Time)","value":"18:27:11"},{"id":151,"name":"Denver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612</v>
      </c>
      <c r="B196" s="7">
        <v>4014</v>
      </c>
      <c r="C196" s="22" t="s">
        <v>205</v>
      </c>
      <c r="D196" s="22" t="s">
        <v>422</v>
      </c>
      <c r="E196" s="13">
        <v>42731.760046296295</v>
      </c>
      <c r="F196" s="13">
        <v>42731.764791666668</v>
      </c>
      <c r="G196" s="7">
        <v>1</v>
      </c>
      <c r="H196" s="22" t="s">
        <v>776</v>
      </c>
      <c r="I196" s="13">
        <v>42731.775069444448</v>
      </c>
      <c r="J196" s="7">
        <v>1</v>
      </c>
      <c r="K196" s="109" t="str">
        <f>IF(ISEVEN(B196),(B196-1)&amp;"/"&amp;B196,B196&amp;"/"&amp;(B196+1))</f>
        <v>4013/4014</v>
      </c>
      <c r="L196" s="22" t="str">
        <f>VLOOKUP(A196,'Trips&amp;Operators'!$C$1:$G$99999,5,FALSE)</f>
        <v>DE LA ROSA ALEX</v>
      </c>
      <c r="M196" s="6">
        <f>I196-F196</f>
        <v>1.0277777779265307E-2</v>
      </c>
      <c r="N196" s="7">
        <f>24*60*SUM($M196:$M196)</f>
        <v>14.800000002142042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https://search-rtdc-monitor-bjffxe2xuh6vdkpspy63sjmuny.us-east-1.es.amazonaws.com/_plugin/kibana/#/discover/Steve-Slow-Train-Analysis-(2080s-and-2083s)?_g=(refreshInterval:(display:Off,section:0,value:0),time:(from:'2016-12-27 17:14:28-700',mode:absolute,to:'2016-12-27 19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6" s="52" t="str">
        <f>IF(AA196&lt;IF(AG196="EC",23,5.65),"Y","N")</f>
        <v>N</v>
      </c>
      <c r="X196" s="177">
        <f>VALUE(LEFT(AD196,4))-VALUE(LEFT(AD195,4))</f>
        <v>1</v>
      </c>
      <c r="Y196" s="67">
        <f>RIGHT(D196,LEN(D196)-4)/10000</f>
        <v>9.7900000000000001E-2</v>
      </c>
      <c r="Z196" s="67">
        <f>RIGHT(H196,LEN(H196)-4)/10000</f>
        <v>5.8943000000000003</v>
      </c>
      <c r="AA196" s="67">
        <f>ABS(Z196-Y196)</f>
        <v>5.7964000000000002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>IF(LEN(A196)=6,"0"&amp;A196,A196)</f>
        <v>0837-27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/stypes="app*4014*20161228*"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8"/>
        <v>"%USERPROFILE%\Documents\GitHub\eaglep3\Utilities\RefineRTDCRunTimes.py" --tripid 837-27 --locoid 4014 --swversion DE.1.0.8.0 --startMP 204:979 --initTime 2016-12-27T18:14:28 --startdatetime 2016-12-27T18:21:18 --delay 1 --endMP 300:58943 --enddatetime 2016-12-27T18:36:06 --enforcementcount 1 &gt;&gt;C:\Users\stu\Documents\GitHub\eaglep3-reporting\EC\2016-12-27-refined-times.txt</v>
      </c>
      <c r="AI196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{"issue":{"subject":"","project_id":79,"tracker_id":40,"status_id":1,"priority_id":2,"assigned_to_id":23,"start_date":"2016-12-27","description":"","custom_fields":[{"id":1,"name":"Subdivision","value":"NW"},{"id":4,"name":"Milepost","value":"5.8943"},{"id":17,"name":"Train ID","value":"837-27"},{"id":16,"name":"Locomotive ID","value":"4014"},{"id":130,"name":"Impact","value":""},{"id":150,"name":"Time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617</v>
      </c>
      <c r="B197" s="7">
        <v>4013</v>
      </c>
      <c r="C197" s="22" t="s">
        <v>205</v>
      </c>
      <c r="D197" s="22" t="s">
        <v>787</v>
      </c>
      <c r="E197" s="13">
        <v>42731.775937500002</v>
      </c>
      <c r="F197" s="13">
        <v>42731.777916666666</v>
      </c>
      <c r="G197" s="7">
        <v>1</v>
      </c>
      <c r="H197" s="22" t="s">
        <v>788</v>
      </c>
      <c r="I197" s="13">
        <v>42731.788877314815</v>
      </c>
      <c r="J197" s="7">
        <v>1</v>
      </c>
      <c r="K197" s="109" t="str">
        <f>IF(ISEVEN(B197),(B197-1)&amp;"/"&amp;B197,B197&amp;"/"&amp;(B197+1))</f>
        <v>4013/4014</v>
      </c>
      <c r="L197" s="22" t="str">
        <f>VLOOKUP(A197,'Trips&amp;Operators'!$C$1:$G$99999,5,FALSE)</f>
        <v>DE LA ROSA ALEX</v>
      </c>
      <c r="M197" s="6">
        <f>I197-F197</f>
        <v>1.096064814919373E-2</v>
      </c>
      <c r="N197" s="7">
        <f>24*60*SUM($M197:$M197)</f>
        <v>15.783333334838971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https://search-rtdc-monitor-bjffxe2xuh6vdkpspy63sjmuny.us-east-1.es.amazonaws.com/_plugin/kibana/#/discover/Steve-Slow-Train-Analysis-(2080s-and-2083s)?_g=(refreshInterval:(display:Off,section:0,value:0),time:(from:'2016-12-27 17:37:21-700',mode:absolute,to:'2016-12-27 19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7" s="52" t="str">
        <f>IF(AA197&lt;IF(AG197="EC",23,5.65),"Y","N")</f>
        <v>N</v>
      </c>
      <c r="X197" s="177">
        <f>VALUE(LEFT(AD197,4))-VALUE(LEFT(AD196,4))</f>
        <v>1</v>
      </c>
      <c r="Y197" s="67">
        <f>RIGHT(D197,LEN(D197)-4)/10000</f>
        <v>5.8625999999999996</v>
      </c>
      <c r="Z197" s="67">
        <f>RIGHT(H197,LEN(H197)-4)/10000</f>
        <v>7.7499999999999999E-2</v>
      </c>
      <c r="AA197" s="67">
        <f>ABS(Z197-Y197)</f>
        <v>5.7850999999999999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>IF(LEN(A197)=6,"0"&amp;A197,A197)</f>
        <v>0838-27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/stypes="app*4013*20161228*" /stext=" 01:.+((SYSTEM_STATE.+slice.+state.+changed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8"/>
        <v>"%USERPROFILE%\Documents\GitHub\eaglep3\Utilities\RefineRTDCRunTimes.py" --tripid 838-27 --locoid 4013 --swversion DE.1.0.8.0 --startMP 300:58626 --initTime 2016-12-27T18:37:21 --startdatetime 2016-12-27T18:40:12 --delay 1 --endMP 204:775 --enddatetime 2016-12-27T18:55:59 --enforcementcount 1 &gt;&gt;C:\Users\stu\Documents\GitHub\eaglep3-reporting\EC\2016-12-27-refined-times.txt</v>
      </c>
      <c r="AI197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{"issue":{"subject":"","project_id":79,"tracker_id":40,"status_id":1,"priority_id":2,"assigned_to_id":23,"start_date":"2016-12-27","description":"","custom_fields":[{"id":1,"name":"Subdivision","value":"NW"},{"id":4,"name":"Milepost","value":"0.0775"},{"id":17,"name":"Train ID","value":"838-27"},{"id":16,"name":"Locomotive ID","value":"4013"},{"id":130,"name":"Impact","value":""},{"id":150,"name":"Time of Event (Mountain Time)","value":"18:55:59"},{"id":151,"name":"Denver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615</v>
      </c>
      <c r="B198" s="7">
        <v>4003</v>
      </c>
      <c r="C198" s="22" t="s">
        <v>205</v>
      </c>
      <c r="D198" s="22" t="s">
        <v>789</v>
      </c>
      <c r="E198" s="13">
        <v>42731.770532407405</v>
      </c>
      <c r="F198" s="13">
        <v>42731.785902777781</v>
      </c>
      <c r="G198" s="7">
        <v>1</v>
      </c>
      <c r="H198" s="22" t="s">
        <v>790</v>
      </c>
      <c r="I198" s="13">
        <v>42731.796840277777</v>
      </c>
      <c r="J198" s="7">
        <v>1</v>
      </c>
      <c r="K198" s="109" t="str">
        <f>IF(ISEVEN(B198),(B198-1)&amp;"/"&amp;B198,B198&amp;"/"&amp;(B198+1))</f>
        <v>4003/4004</v>
      </c>
      <c r="L198" s="22" t="str">
        <f>VLOOKUP(A198,'Trips&amp;Operators'!$C$1:$G$99999,5,FALSE)</f>
        <v>HILLS DUSTIN</v>
      </c>
      <c r="M198" s="6">
        <f>I198-F198</f>
        <v>1.0937499995634425E-2</v>
      </c>
      <c r="N198" s="7">
        <f>24*60*SUM($M198:$M198)</f>
        <v>15.749999993713573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https://search-rtdc-monitor-bjffxe2xuh6vdkpspy63sjmuny.us-east-1.es.amazonaws.com/_plugin/kibana/#/discover/Steve-Slow-Train-Analysis-(2080s-and-2083s)?_g=(refreshInterval:(display:Off,section:0,value:0),time:(from:'2016-12-27 17:29:34-700',mode:absolute,to:'2016-12-27 20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8" s="52" t="str">
        <f>IF(AA198&lt;IF(AG198="EC",23,5.65),"Y","N")</f>
        <v>N</v>
      </c>
      <c r="X198" s="177">
        <f>VALUE(LEFT(AD198,4))-VALUE(LEFT(AD197,4))</f>
        <v>1</v>
      </c>
      <c r="Y198" s="67">
        <f>RIGHT(D198,LEN(D198)-4)/10000</f>
        <v>0.10580000000000001</v>
      </c>
      <c r="Z198" s="67">
        <f>RIGHT(H198,LEN(H198)-4)/10000</f>
        <v>5.8975</v>
      </c>
      <c r="AA198" s="67">
        <f>ABS(Z198-Y198)</f>
        <v>5.7916999999999996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>IF(LEN(A198)=6,"0"&amp;A198,A198)</f>
        <v>0839-27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/stypes="app*4003*20161228*"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8"/>
        <v>"%USERPROFILE%\Documents\GitHub\eaglep3\Utilities\RefineRTDCRunTimes.py" --tripid 839-27 --locoid 4003 --swversion DE.1.0.8.0 --startMP 204:1058 --initTime 2016-12-27T18:29:34 --startdatetime 2016-12-27T18:51:42 --delay 1 --endMP 300:58975 --enddatetime 2016-12-27T19:07:27 --enforcementcount 1 &gt;&gt;C:\Users\stu\Documents\GitHub\eaglep3-reporting\EC\2016-12-27-refined-times.txt</v>
      </c>
      <c r="AI198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{"issue":{"subject":"","project_id":79,"tracker_id":40,"status_id":1,"priority_id":2,"assigned_to_id":23,"start_date":"2016-12-27","description":"","custom_fields":[{"id":1,"name":"Subdivision","value":"NW"},{"id":4,"name":"Milepost","value":"5.8975"},{"id":17,"name":"Train ID","value":"839-27"},{"id":16,"name":"Locomotive ID","value":"4003"},{"id":130,"name":"Impact","value":""},{"id":150,"name":"Time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628</v>
      </c>
      <c r="B199" s="7">
        <v>4013</v>
      </c>
      <c r="C199" s="22" t="s">
        <v>205</v>
      </c>
      <c r="D199" s="22" t="s">
        <v>367</v>
      </c>
      <c r="E199" s="13">
        <v>42731.816921296297</v>
      </c>
      <c r="F199" s="13">
        <v>42731.81863425926</v>
      </c>
      <c r="G199" s="7">
        <v>1</v>
      </c>
      <c r="H199" s="22" t="s">
        <v>791</v>
      </c>
      <c r="I199" s="13">
        <v>42731.832106481481</v>
      </c>
      <c r="J199" s="7">
        <v>1</v>
      </c>
      <c r="K199" s="109" t="str">
        <f>IF(ISEVEN(B199),(B199-1)&amp;"/"&amp;B199,B199&amp;"/"&amp;(B199+1))</f>
        <v>4013/4014</v>
      </c>
      <c r="L199" s="22" t="str">
        <f>VLOOKUP(A199,'Trips&amp;Operators'!$C$1:$G$99999,5,FALSE)</f>
        <v>DE LA ROSA ALEX</v>
      </c>
      <c r="M199" s="6">
        <f>I199-F199</f>
        <v>1.3472222221025731E-2</v>
      </c>
      <c r="N199" s="7">
        <f>24*60*SUM($M199:$M199)</f>
        <v>19.399999998277053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https://search-rtdc-monitor-bjffxe2xuh6vdkpspy63sjmuny.us-east-1.es.amazonaws.com/_plugin/kibana/#/discover/Steve-Slow-Train-Analysis-(2080s-and-2083s)?_g=(refreshInterval:(display:Off,section:0,value:0),time:(from:'2016-12-27 18:36:22-700',mode:absolute,to:'2016-12-27 20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9" s="52" t="str">
        <f>IF(AA199&lt;IF(AG199="EC",23,5.65),"Y","N")</f>
        <v>N</v>
      </c>
      <c r="X199" s="177">
        <f>VALUE(LEFT(AD199,4))-VALUE(LEFT(AD198,4))</f>
        <v>1</v>
      </c>
      <c r="Y199" s="67">
        <f>RIGHT(D199,LEN(D199)-4)/10000</f>
        <v>5.8638000000000003</v>
      </c>
      <c r="Z199" s="67">
        <f>RIGHT(H199,LEN(H199)-4)/10000</f>
        <v>7.4800000000000005E-2</v>
      </c>
      <c r="AA199" s="67">
        <f>ABS(Z199-Y199)</f>
        <v>5.7890000000000006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>IF(LEN(A199)=6,"0"&amp;A199,A199)</f>
        <v>0840-27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/stypes="app*4013*20161228*"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8"/>
        <v>"%USERPROFILE%\Documents\GitHub\eaglep3\Utilities\RefineRTDCRunTimes.py" --tripid 840-27 --locoid 4013 --swversion DE.1.0.8.0 --startMP 300:58638 --initTime 2016-12-27T19:36:22 --startdatetime 2016-12-27T19:38:50 --delay 1 --endMP 204:748 --enddatetime 2016-12-27T19:58:14 --enforcementcount 1 &gt;&gt;C:\Users\stu\Documents\GitHub\eaglep3-reporting\EC\2016-12-27-refined-times.txt</v>
      </c>
      <c r="AI199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{"issue":{"subject":"","project_id":79,"tracker_id":40,"status_id":1,"priority_id":2,"assigned_to_id":23,"start_date":"2016-12-27","description":"","custom_fields":[{"id":1,"name":"Subdivision","value":"NW"},{"id":4,"name":"Milepost","value":"0.0748"},{"id":17,"name":"Train ID","value":"840-27"},{"id":16,"name":"Locomotive ID","value":"4013"},{"id":130,"name":"Impact","value":""},{"id":150,"name":"Time of Event (Mountain Time)","value":"19:58:14"},{"id":151,"name":"Denver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622</v>
      </c>
      <c r="B200" s="7">
        <v>4014</v>
      </c>
      <c r="C200" s="22" t="s">
        <v>205</v>
      </c>
      <c r="D200" s="22" t="s">
        <v>792</v>
      </c>
      <c r="E200" s="13">
        <v>42731.79896990741</v>
      </c>
      <c r="F200" s="13">
        <v>42731.806527777779</v>
      </c>
      <c r="G200" s="7">
        <v>4</v>
      </c>
      <c r="H200" s="22" t="s">
        <v>793</v>
      </c>
      <c r="I200" s="13">
        <v>42731.81590277778</v>
      </c>
      <c r="J200" s="7">
        <v>1</v>
      </c>
      <c r="K200" s="109" t="str">
        <f>IF(ISEVEN(B200),(B200-1)&amp;"/"&amp;B200,B200&amp;"/"&amp;(B200+1))</f>
        <v>4013/4014</v>
      </c>
      <c r="L200" s="22" t="str">
        <f>VLOOKUP(A200,'Trips&amp;Operators'!$C$1:$G$99999,5,FALSE)</f>
        <v>DE LA ROSA ALEX</v>
      </c>
      <c r="M200" s="6">
        <f>I200-F200</f>
        <v>9.3750000014551915E-3</v>
      </c>
      <c r="N200" s="7">
        <f>24*60*SUM($M200:$M200)</f>
        <v>13.500000002095476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https://search-rtdc-monitor-bjffxe2xuh6vdkpspy63sjmuny.us-east-1.es.amazonaws.com/_plugin/kibana/#/discover/Steve-Slow-Train-Analysis-(2080s-and-2083s)?_g=(refreshInterval:(display:Off,section:0,value:0),time:(from:'2016-12-27 18:10:31-700',mode:absolute,to:'2016-12-27 20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0" s="52" t="str">
        <f>IF(AA200&lt;IF(AG200="EC",23,5.65),"Y","N")</f>
        <v>N</v>
      </c>
      <c r="X200" s="177">
        <f>VALUE(LEFT(AD200,4))-VALUE(LEFT(AD199,4))</f>
        <v>1</v>
      </c>
      <c r="Y200" s="67">
        <f>RIGHT(D200,LEN(D200)-4)/10000</f>
        <v>0.1074</v>
      </c>
      <c r="Z200" s="67">
        <f>RIGHT(H200,LEN(H200)-4)/10000</f>
        <v>5.8954000000000004</v>
      </c>
      <c r="AA200" s="67">
        <f>ABS(Z200-Y200)</f>
        <v>5.7880000000000003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>IF(LEN(A200)=6,"0"&amp;A200,A200)</f>
        <v>0841-27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/stypes="app*4014*20161228*" /stext=" 02:.+((SYSTEM_STATE.+slice.+state.+changed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8"/>
        <v>"%USERPROFILE%\Documents\GitHub\eaglep3\Utilities\RefineRTDCRunTimes.py" --tripid 841-27 --locoid 4014 --swversion DE.1.0.8.0 --startMP 204:1074 --initTime 2016-12-27T19:10:31 --startdatetime 2016-12-27T19:21:24 --delay 4 --endMP 300:58954 --enddatetime 2016-12-27T19:34:54 --enforcementcount 1 &gt;&gt;C:\Users\stu\Documents\GitHub\eaglep3-reporting\EC\2016-12-27-refined-times.txt</v>
      </c>
      <c r="AI200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{"issue":{"subject":"","project_id":79,"tracker_id":40,"status_id":1,"priority_id":2,"assigned_to_id":23,"start_date":"2016-12-27","description":"","custom_fields":[{"id":1,"name":"Subdivision","value":"NW"},{"id":4,"name":"Milepost","value":"5.8954"},{"id":17,"name":"Train ID","value":"841-27"},{"id":16,"name":"Locomotive ID","value":"4014"},{"id":130,"name":"Impact","value":""},{"id":150,"name":"Time of Event (Mountain Time)","value":"19:34:54"},{"id":151,"name":"Denver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635</v>
      </c>
      <c r="B201" s="7">
        <v>4013</v>
      </c>
      <c r="C201" s="22" t="s">
        <v>205</v>
      </c>
      <c r="D201" s="22" t="s">
        <v>756</v>
      </c>
      <c r="E201" s="13">
        <v>42731.858773148146</v>
      </c>
      <c r="F201" s="13">
        <v>42731.860173611109</v>
      </c>
      <c r="G201" s="7">
        <v>1</v>
      </c>
      <c r="H201" s="22" t="s">
        <v>794</v>
      </c>
      <c r="I201" s="13">
        <v>42731.871412037035</v>
      </c>
      <c r="J201" s="7">
        <v>1</v>
      </c>
      <c r="K201" s="109" t="str">
        <f>IF(ISEVEN(B201),(B201-1)&amp;"/"&amp;B201,B201&amp;"/"&amp;(B201+1))</f>
        <v>4013/4014</v>
      </c>
      <c r="L201" s="22" t="str">
        <f>VLOOKUP(A201,'Trips&amp;Operators'!$C$1:$G$99999,5,FALSE)</f>
        <v>DE LA ROSA ALEX</v>
      </c>
      <c r="M201" s="6">
        <f>I201-F201</f>
        <v>1.1238425926421769E-2</v>
      </c>
      <c r="N201" s="7">
        <f>24*60*SUM($M201:$M201)</f>
        <v>16.183333334047347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https://search-rtdc-monitor-bjffxe2xuh6vdkpspy63sjmuny.us-east-1.es.amazonaws.com/_plugin/kibana/#/discover/Steve-Slow-Train-Analysis-(2080s-and-2083s)?_g=(refreshInterval:(display:Off,section:0,value:0),time:(from:'2016-12-27 19:36:38-700',mode:absolute,to:'2016-12-27 21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1" s="52" t="str">
        <f>IF(AA201&lt;IF(AG201="EC",23,5.65),"Y","N")</f>
        <v>N</v>
      </c>
      <c r="X201" s="177">
        <f>VALUE(LEFT(AD201,4))-VALUE(LEFT(AD200,4))</f>
        <v>1</v>
      </c>
      <c r="Y201" s="67">
        <f>RIGHT(D201,LEN(D201)-4)/10000</f>
        <v>5.8613</v>
      </c>
      <c r="Z201" s="67">
        <f>RIGHT(H201,LEN(H201)-4)/10000</f>
        <v>7.5399999999999995E-2</v>
      </c>
      <c r="AA201" s="67">
        <f>ABS(Z201-Y201)</f>
        <v>5.7858999999999998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>IF(LEN(A201)=6,"0"&amp;A201,A201)</f>
        <v>0842-27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/stypes="app*4013*20161228*" /stext=" 03:.+((SYSTEM_STATE.+slice.+state.+changed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8"/>
        <v>"%USERPROFILE%\Documents\GitHub\eaglep3\Utilities\RefineRTDCRunTimes.py" --tripid 842-27 --locoid 4013 --swversion DE.1.0.8.0 --startMP 300:58613 --initTime 2016-12-27T20:36:38 --startdatetime 2016-12-27T20:38:39 --delay 1 --endMP 204:754 --enddatetime 2016-12-27T20:54:50 --enforcementcount 1 &gt;&gt;C:\Users\stu\Documents\GitHub\eaglep3-reporting\EC\2016-12-27-refined-times.txt</v>
      </c>
      <c r="AI201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{"issue":{"subject":"","project_id":79,"tracker_id":40,"status_id":1,"priority_id":2,"assigned_to_id":23,"start_date":"2016-12-27","description":"","custom_fields":[{"id":1,"name":"Subdivision","value":"NW"},{"id":4,"name":"Milepost","value":"0.0754"},{"id":17,"name":"Train ID","value":"842-27"},{"id":16,"name":"Locomotive ID","value":"4013"},{"id":130,"name":"Impact","value":""},{"id":150,"name":"Time of Event (Mountain Time)","value":"20:54:50"},{"id":151,"name":"Denver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634</v>
      </c>
      <c r="B202" s="7">
        <v>4014</v>
      </c>
      <c r="C202" s="22" t="s">
        <v>205</v>
      </c>
      <c r="D202" s="22" t="s">
        <v>795</v>
      </c>
      <c r="E202" s="13">
        <v>42731.844305555554</v>
      </c>
      <c r="F202" s="13">
        <v>42731.848101851851</v>
      </c>
      <c r="G202" s="7">
        <v>1</v>
      </c>
      <c r="H202" s="22" t="s">
        <v>759</v>
      </c>
      <c r="I202" s="13">
        <v>42731.857777777775</v>
      </c>
      <c r="J202" s="7">
        <v>1</v>
      </c>
      <c r="K202" s="109" t="str">
        <f>IF(ISEVEN(B202),(B202-1)&amp;"/"&amp;B202,B202&amp;"/"&amp;(B202+1))</f>
        <v>4013/4014</v>
      </c>
      <c r="L202" s="22" t="str">
        <f>VLOOKUP(A202,'Trips&amp;Operators'!$C$1:$G$99999,5,FALSE)</f>
        <v>DE LA ROSA ALEX</v>
      </c>
      <c r="M202" s="6">
        <f>I202-F202</f>
        <v>9.6759259249665774E-3</v>
      </c>
      <c r="N202" s="7">
        <f>24*60*SUM($M202:$M202)</f>
        <v>13.933333331951872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https://search-rtdc-monitor-bjffxe2xuh6vdkpspy63sjmuny.us-east-1.es.amazonaws.com/_plugin/kibana/#/discover/Steve-Slow-Train-Analysis-(2080s-and-2083s)?_g=(refreshInterval:(display:Off,section:0,value:0),time:(from:'2016-12-27 19:15:48-700',mode:absolute,to:'2016-12-27 21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2" s="52" t="str">
        <f>IF(AA202&lt;IF(AG202="EC",23,5.65),"Y","N")</f>
        <v>N</v>
      </c>
      <c r="X202" s="177">
        <f>VALUE(LEFT(AD202,4))-VALUE(LEFT(AD201,4))</f>
        <v>1</v>
      </c>
      <c r="Y202" s="67">
        <f>RIGHT(D202,LEN(D202)-4)/10000</f>
        <v>0.1046</v>
      </c>
      <c r="Z202" s="67">
        <f>RIGHT(H202,LEN(H202)-4)/10000</f>
        <v>5.8936999999999999</v>
      </c>
      <c r="AA202" s="67">
        <f>ABS(Z202-Y202)</f>
        <v>5.7891000000000004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>IF(LEN(A202)=6,"0"&amp;A202,A202)</f>
        <v>0843-27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/stypes="app*4014*20161228*" /stext=" 03:.+((SYSTEM_STATE.+slice.+state.+changed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8"/>
        <v>"%USERPROFILE%\Documents\GitHub\eaglep3\Utilities\RefineRTDCRunTimes.py" --tripid 843-27 --locoid 4014 --swversion DE.1.0.8.0 --startMP 204:1046 --initTime 2016-12-27T20:15:48 --startdatetime 2016-12-27T20:21:16 --delay 1 --endMP 300:58937 --enddatetime 2016-12-27T20:35:12 --enforcementcount 1 &gt;&gt;C:\Users\stu\Documents\GitHub\eaglep3-reporting\EC\2016-12-27-refined-times.txt</v>
      </c>
      <c r="AI202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{"issue":{"subject":"","project_id":79,"tracker_id":40,"status_id":1,"priority_id":2,"assigned_to_id":23,"start_date":"2016-12-27","description":"","custom_fields":[{"id":1,"name":"Subdivision","value":"NW"},{"id":4,"name":"Milepost","value":"5.8937"},{"id":17,"name":"Train ID","value":"843-27"},{"id":16,"name":"Locomotive ID","value":"4014"},{"id":130,"name":"Impact","value":""},{"id":150,"name":"Time of Event (Mountain Time)","value":"20:35:12"},{"id":151,"name":"Denver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640</v>
      </c>
      <c r="B203" s="7">
        <v>4013</v>
      </c>
      <c r="C203" s="22" t="s">
        <v>205</v>
      </c>
      <c r="D203" s="22" t="s">
        <v>781</v>
      </c>
      <c r="E203" s="13">
        <v>42731.90388888889</v>
      </c>
      <c r="F203" s="13">
        <v>42731.905798611115</v>
      </c>
      <c r="G203" s="7">
        <v>1</v>
      </c>
      <c r="H203" s="22" t="s">
        <v>796</v>
      </c>
      <c r="I203" s="13">
        <v>42731.914618055554</v>
      </c>
      <c r="J203" s="7">
        <v>1</v>
      </c>
      <c r="K203" s="109" t="str">
        <f>IF(ISEVEN(B203),(B203-1)&amp;"/"&amp;B203,B203&amp;"/"&amp;(B203+1))</f>
        <v>4013/4014</v>
      </c>
      <c r="L203" s="22" t="str">
        <f>VLOOKUP(A203,'Trips&amp;Operators'!$C$1:$G$99999,5,FALSE)</f>
        <v>HILLS DUSTIN</v>
      </c>
      <c r="M203" s="6">
        <f>I203-F203</f>
        <v>8.8194444397231564E-3</v>
      </c>
      <c r="N203" s="7">
        <f>24*60*SUM($M203:$M203)</f>
        <v>12.699999993201345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https://search-rtdc-monitor-bjffxe2xuh6vdkpspy63sjmuny.us-east-1.es.amazonaws.com/_plugin/kibana/#/discover/Steve-Slow-Train-Analysis-(2080s-and-2083s)?_g=(refreshInterval:(display:Off,section:0,value:0),time:(from:'2016-12-27 20:41:36-700',mode:absolute,to:'2016-12-27 22:57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3" s="52" t="str">
        <f>IF(AA203&lt;IF(AG203="EC",23,5.65),"Y","N")</f>
        <v>N</v>
      </c>
      <c r="X203" s="177">
        <f>VALUE(LEFT(AD203,4))-VALUE(LEFT(AD202,4))</f>
        <v>1</v>
      </c>
      <c r="Y203" s="67">
        <f>RIGHT(D203,LEN(D203)-4)/10000</f>
        <v>5.8667999999999996</v>
      </c>
      <c r="Z203" s="67">
        <f>RIGHT(H203,LEN(H203)-4)/10000</f>
        <v>6.3100000000000003E-2</v>
      </c>
      <c r="AA203" s="67">
        <f>ABS(Z203-Y203)</f>
        <v>5.8036999999999992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>IF(LEN(A203)=6,"0"&amp;A203,A203)</f>
        <v>0844-27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/stypes="app*4013*20161228*" /stext=" 04:.+((SYSTEM_STATE.+slice.+state.+changed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si="8"/>
        <v>"%USERPROFILE%\Documents\GitHub\eaglep3\Utilities\RefineRTDCRunTimes.py" --tripid 844-27 --locoid 4013 --swversion DE.1.0.8.0 --startMP 300:58668 --initTime 2016-12-27T21:41:36 --startdatetime 2016-12-27T21:44:21 --delay 1 --endMP 204:631 --enddatetime 2016-12-27T21:57:03 --enforcementcount 1 &gt;&gt;C:\Users\stu\Documents\GitHub\eaglep3-reporting\EC\2016-12-27-refined-times.txt</v>
      </c>
      <c r="AI203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{"issue":{"subject":"","project_id":79,"tracker_id":40,"status_id":1,"priority_id":2,"assigned_to_id":23,"start_date":"2016-12-27","description":"","custom_fields":[{"id":1,"name":"Subdivision","value":"NW"},{"id":4,"name":"Milepost","value":"0.0631"},{"id":17,"name":"Train ID","value":"844-27"},{"id":16,"name":"Locomotive ID","value":"4013"},{"id":130,"name":"Impact","value":""},{"id":150,"name":"Time of Event (Mountain Time)","value":"21:57:03"},{"id":151,"name":"Denver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637</v>
      </c>
      <c r="B204" s="7">
        <v>4014</v>
      </c>
      <c r="C204" s="22" t="s">
        <v>205</v>
      </c>
      <c r="D204" s="22" t="s">
        <v>797</v>
      </c>
      <c r="E204" s="13">
        <v>42731.875208333331</v>
      </c>
      <c r="F204" s="13">
        <v>42731.889780092592</v>
      </c>
      <c r="G204" s="7">
        <v>2</v>
      </c>
      <c r="H204" s="22" t="s">
        <v>414</v>
      </c>
      <c r="I204" s="13">
        <v>42731.899918981479</v>
      </c>
      <c r="J204" s="7">
        <v>1</v>
      </c>
      <c r="K204" s="109" t="str">
        <f>IF(ISEVEN(B204),(B204-1)&amp;"/"&amp;B204,B204&amp;"/"&amp;(B204+1))</f>
        <v>4013/4014</v>
      </c>
      <c r="L204" s="22" t="str">
        <f>VLOOKUP(A204,'Trips&amp;Operators'!$C$1:$G$99999,5,FALSE)</f>
        <v>HILLS DUSTIN</v>
      </c>
      <c r="M204" s="6">
        <f>I204-F204</f>
        <v>1.0138888887013309E-2</v>
      </c>
      <c r="N204" s="7">
        <f>24*60*SUM($M204:$M204)</f>
        <v>14.599999997299165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https://search-rtdc-monitor-bjffxe2xuh6vdkpspy63sjmuny.us-east-1.es.amazonaws.com/_plugin/kibana/#/discover/Steve-Slow-Train-Analysis-(2080s-and-2083s)?_g=(refreshInterval:(display:Off,section:0,value:0),time:(from:'2016-12-27 20:00:18-700',mode:absolute,to:'2016-12-27 22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4" s="52" t="str">
        <f>IF(AA204&lt;IF(AG204="EC",23,5.65),"Y","N")</f>
        <v>N</v>
      </c>
      <c r="X204" s="177">
        <f>VALUE(LEFT(AD204,4))-VALUE(LEFT(AD203,4))</f>
        <v>1</v>
      </c>
      <c r="Y204" s="67">
        <f>RIGHT(D204,LEN(D204)-4)/10000</f>
        <v>0.1042</v>
      </c>
      <c r="Z204" s="67">
        <f>RIGHT(H204,LEN(H204)-4)/10000</f>
        <v>5.8975999999999997</v>
      </c>
      <c r="AA204" s="67">
        <f>ABS(Z204-Y204)</f>
        <v>5.7934000000000001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>IF(LEN(A204)=6,"0"&amp;A204,A204)</f>
        <v>0845-27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/stypes="app*4014*20161228*" /stext=" 04:.+((SYSTEM_STATE.+slice.+state.+changed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2" t="str">
        <f t="shared" si="8"/>
        <v>"%USERPROFILE%\Documents\GitHub\eaglep3\Utilities\RefineRTDCRunTimes.py" --tripid 845-27 --locoid 4014 --swversion DE.1.0.8.0 --startMP 204:1042 --initTime 2016-12-27T21:00:18 --startdatetime 2016-12-27T21:21:17 --delay 2 --endMP 300:58976 --enddatetime 2016-12-27T21:35:53 --enforcementcount 1 &gt;&gt;C:\Users\stu\Documents\GitHub\eaglep3-reporting\EC\2016-12-27-refined-times.txt</v>
      </c>
      <c r="AI204" s="119" t="str">
        <f t="shared" si="9"/>
        <v>echo {"issue":{"subject":"","project_id":79,"tracker_id":40,"status_id":1,"priority_id":2,"assigned_to_id":23,"start_date":"2016-12-27","description":"","custom_fields":[{"id":1,"name":"Subdivision","value":"NW"},{"id":4,"name":"Milepost","value":"5.8976"},{"id":17,"name":"Train ID","value":"845-27"},{"id":16,"name":"Locomotive ID","value":"4014"},{"id":130,"name":"Impact","value":""},{"id":150,"name":"Time of Event (Mountain Time)","value":"21:35:53"},{"id":151,"name":"Denver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643</v>
      </c>
      <c r="B205" s="7">
        <v>4014</v>
      </c>
      <c r="C205" s="22" t="s">
        <v>205</v>
      </c>
      <c r="D205" s="22" t="s">
        <v>798</v>
      </c>
      <c r="E205" s="13">
        <v>42731.921064814815</v>
      </c>
      <c r="F205" s="13">
        <v>42731.931469907409</v>
      </c>
      <c r="G205" s="7">
        <v>1</v>
      </c>
      <c r="H205" s="22" t="s">
        <v>799</v>
      </c>
      <c r="I205" s="13">
        <v>42731.94085648148</v>
      </c>
      <c r="J205" s="7">
        <v>1</v>
      </c>
      <c r="K205" s="109" t="str">
        <f>IF(ISEVEN(B205),(B205-1)&amp;"/"&amp;B205,B205&amp;"/"&amp;(B205+1))</f>
        <v>4013/4014</v>
      </c>
      <c r="L205" s="22" t="str">
        <f>VLOOKUP(A205,'Trips&amp;Operators'!$C$1:$G$99999,5,FALSE)</f>
        <v>HILLS DUSTIN</v>
      </c>
      <c r="M205" s="6">
        <f>I205-F205</f>
        <v>9.3865740709588863E-3</v>
      </c>
      <c r="N205" s="7">
        <f>24*60*SUM($M205:$M205)</f>
        <v>13.516666662180796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https://search-rtdc-monitor-bjffxe2xuh6vdkpspy63sjmuny.us-east-1.es.amazonaws.com/_plugin/kibana/#/discover/Steve-Slow-Train-Analysis-(2080s-and-2083s)?_g=(refreshInterval:(display:Off,section:0,value:0),time:(from:'2016-12-27 21:06:20-700',mode:absolute,to:'2016-12-27 23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5" s="52" t="str">
        <f>IF(AA205&lt;IF(AG205="EC",23,5.65),"Y","N")</f>
        <v>N</v>
      </c>
      <c r="X205" s="177">
        <f>VALUE(LEFT(AD205,4))-VALUE(LEFT(AD204,4))</f>
        <v>2</v>
      </c>
      <c r="Y205" s="67">
        <f>RIGHT(D205,LEN(D205)-4)/10000</f>
        <v>9.4399999999999998E-2</v>
      </c>
      <c r="Z205" s="67">
        <f>RIGHT(H205,LEN(H205)-4)/10000</f>
        <v>5.8960999999999997</v>
      </c>
      <c r="AA205" s="67">
        <f>ABS(Z205-Y205)</f>
        <v>5.8016999999999994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>IF(LEN(A205)=6,"0"&amp;A205,A205)</f>
        <v>0847-27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/stypes="app*4014*20161228*" /stext=" 05:.+((SYSTEM_STATE.+slice.+state.+changed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92" t="str">
        <f t="shared" ref="AH205:AH228" si="1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847-27 --locoid 4014 --swversion DE.1.0.8.0 --startMP 204:944 --initTime 2016-12-27T22:06:20 --startdatetime 2016-12-27T22:21:19 --delay 1 --endMP 300:58961 --enddatetime 2016-12-27T22:34:50 --enforcementcount 1 &gt;&gt;C:\Users\stu\Documents\GitHub\eaglep3-reporting\EC\2016-12-27-refined-times.txt</v>
      </c>
      <c r="AI205" s="119" t="str">
        <f t="shared" ref="AI205:AI228" si="1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{"issue":{"subject":"","project_id":79,"tracker_id":40,"status_id":1,"priority_id":2,"assigned_to_id":23,"start_date":"2016-12-27","description":"","custom_fields":[{"id":1,"name":"Subdivision","value":"NW"},{"id":4,"name":"Milepost","value":"5.8961"},{"id":17,"name":"Train ID","value":"847-27"},{"id":16,"name":"Locomotive ID","value":"4014"},{"id":130,"name":"Impact","value":""},{"id":150,"name":"Time of Event (Mountain Time)","value":"22:34:50"},{"id":151,"name":"Denver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457</v>
      </c>
      <c r="B206" s="7">
        <v>4019</v>
      </c>
      <c r="C206" s="22" t="s">
        <v>205</v>
      </c>
      <c r="D206" s="22" t="s">
        <v>732</v>
      </c>
      <c r="E206" s="13">
        <v>42731.113738425927</v>
      </c>
      <c r="F206" s="13">
        <v>42731.115729166668</v>
      </c>
      <c r="G206" s="7">
        <v>2</v>
      </c>
      <c r="H206" s="22" t="s">
        <v>730</v>
      </c>
      <c r="I206" s="13">
        <v>42731.123680555553</v>
      </c>
      <c r="J206" s="7">
        <v>1</v>
      </c>
      <c r="K206" s="109" t="str">
        <f>IF(ISEVEN(B206),(B206-1)&amp;"/"&amp;B206,B206&amp;"/"&amp;(B206+1))</f>
        <v>4019/4020</v>
      </c>
      <c r="L206" s="22" t="str">
        <f>VLOOKUP(A206,'Trips&amp;Operators'!$C$1:$G$99999,5,FALSE)</f>
        <v>YOUNG ELIZABETH</v>
      </c>
      <c r="M206" s="6">
        <f>I206-F206</f>
        <v>7.9513888849760406E-3</v>
      </c>
      <c r="N206" s="7">
        <f>24*60*SUM($M206:$M206)</f>
        <v>11.449999994365498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https://search-rtdc-monitor-bjffxe2xuh6vdkpspy63sjmuny.us-east-1.es.amazonaws.com/_plugin/kibana/#/discover/Steve-Slow-Train-Analysis-(2080s-and-2083s)?_g=(refreshInterval:(display:Off,section:0,value:0),time:(from:'2016-12-27 01:43:47-700',mode:absolute,to:'2016-12-27 03:58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6" s="52" t="str">
        <f>IF(AA206&lt;IF(AG206="EC",23,5.65),"Y","N")</f>
        <v>Y</v>
      </c>
      <c r="X206" s="177">
        <f>VALUE(LEFT(AD206,4))-VALUE(LEFT(AD205,4))</f>
        <v>-545</v>
      </c>
      <c r="Y206" s="67">
        <f>RIGHT(D206,LEN(D206)-4)/10000</f>
        <v>2.3203</v>
      </c>
      <c r="Z206" s="67">
        <f>RIGHT(H206,LEN(H206)-4)/10000</f>
        <v>1.32E-2</v>
      </c>
      <c r="AA206" s="67">
        <f>ABS(Z206-Y206)</f>
        <v>2.3071000000000002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>IF(LEN(A206)=6,"0"&amp;A206,A206)</f>
        <v>0302-27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s3://rtdc.mdm.uploadarchive.raw/RTDC4019/ "%USERPROFILE%\AppData\Local\Temp\OnboardLogs"\RTDC4019\2016-12-27 --exclude "*" --recursive --include "*20161227*" &amp; "%USERPROFILE%\Documents\GitHub\mrs-test-scripts\Headless Mode &amp; Sideloading\WalkAndUnGZ.bat" "%USERPROFILE%\AppData\Local\Temp\OnboardLogs"\RTDC4019\2016-12-27 &amp; 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/stypes="app*4019*20161227*" /stext=" 09:.+((SYSTEM_STATE.+slice.+state.+changed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2" t="str">
        <f t="shared" si="16"/>
        <v>"%USERPROFILE%\Documents\GitHub\eaglep3\Utilities\RefineRTDCRunTimes.py" --tripid 302-27 --locoid 4019 --swversion DE.1.0.8.0 --startMP 300:23203 --initTime 2016-12-27T02:43:47 --startdatetime 2016-12-27T02:46:39 --delay 2 --endMP 204:132 --enddatetime 2016-12-27T02:58:06 --enforcementcount 1 &gt;&gt;C:\Users\stu\Documents\GitHub\eaglep3-reporting\EC\2016-12-27-refined-times.txt</v>
      </c>
      <c r="AI206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{"issue":{"subject":"","project_id":79,"tracker_id":40,"status_id":1,"priority_id":2,"assigned_to_id":23,"start_date":"2016-12-27","description":"","custom_fields":[{"id":1,"name":"Subdivision","value":"Other"},{"id":4,"name":"Milepost","value":"0.0132"},{"id":17,"name":"Train ID","value":"302-27"},{"id":16,"name":"Locomotive ID","value":"4019"},{"id":130,"name":"Impact","value":""},{"id":150,"name":"Time of Event (Mountain Time)","value":"02:58:06"},{"id":151,"name":"Denver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618</v>
      </c>
      <c r="B207" s="7">
        <v>4027</v>
      </c>
      <c r="C207" s="22" t="s">
        <v>205</v>
      </c>
      <c r="D207" s="22" t="s">
        <v>733</v>
      </c>
      <c r="E207" s="13">
        <v>42731.778912037036</v>
      </c>
      <c r="F207" s="13">
        <v>42731.7890162037</v>
      </c>
      <c r="G207" s="7">
        <v>1</v>
      </c>
      <c r="H207" s="22" t="s">
        <v>734</v>
      </c>
      <c r="I207" s="13">
        <v>42731.795532407406</v>
      </c>
      <c r="J207" s="7">
        <v>1</v>
      </c>
      <c r="K207" s="109" t="str">
        <f>IF(ISEVEN(B207),(B207-1)&amp;"/"&amp;B207,B207&amp;"/"&amp;(B207+1))</f>
        <v>4027/4028</v>
      </c>
      <c r="L207" s="22" t="str">
        <f>VLOOKUP(A207,'Trips&amp;Operators'!$C$1:$G$99999,5,FALSE)</f>
        <v>CLARK KATHLEEN</v>
      </c>
      <c r="M207" s="6">
        <f>I207-F207</f>
        <v>6.5162037062691525E-3</v>
      </c>
      <c r="N207" s="7">
        <f>24*60*SUM($M207:$M207)</f>
        <v>9.3833333370275795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https://search-rtdc-monitor-bjffxe2xuh6vdkpspy63sjmuny.us-east-1.es.amazonaws.com/_plugin/kibana/#/discover/Steve-Slow-Train-Analysis-(2080s-and-2083s)?_g=(refreshInterval:(display:Off,section:0,value:0),time:(from:'2016-12-27 17:41:38-700',mode:absolute,to:'2016-12-27 20:05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7" s="52" t="str">
        <f>IF(AA207&lt;IF(AG207="EC",23,5.65),"Y","N")</f>
        <v>Y</v>
      </c>
      <c r="X207" s="177">
        <f>VALUE(LEFT(AD207,4))-VALUE(LEFT(AD206,4))</f>
        <v>1</v>
      </c>
      <c r="Y207" s="67">
        <f>RIGHT(D207,LEN(D207)-4)/10000</f>
        <v>4.8399999999999999E-2</v>
      </c>
      <c r="Z207" s="67">
        <f>RIGHT(H207,LEN(H207)-4)/10000</f>
        <v>2.3346</v>
      </c>
      <c r="AA207" s="67">
        <f>ABS(Z207-Y207)</f>
        <v>2.2862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>IF(LEN(A207)=6,"0"&amp;A207,A207)</f>
        <v>0303-27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/stypes="app*4027*20161228*" /stext=" 02:.+((SYSTEM_STATE.+slice.+state.+changed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2" t="str">
        <f t="shared" si="16"/>
        <v>"%USERPROFILE%\Documents\GitHub\eaglep3\Utilities\RefineRTDCRunTimes.py" --tripid 303-27 --locoid 4027 --swversion DE.1.0.8.0 --startMP 204:484 --initTime 2016-12-27T18:41:38 --startdatetime 2016-12-27T18:56:11 --delay 1 --endMP 300:23346 --enddatetime 2016-12-27T19:05:34 --enforcementcount 1 &gt;&gt;C:\Users\stu\Documents\GitHub\eaglep3-reporting\EC\2016-12-27-refined-times.txt</v>
      </c>
      <c r="AI207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{"issue":{"subject":"","project_id":79,"tracker_id":40,"status_id":1,"priority_id":2,"assigned_to_id":23,"start_date":"2016-12-27","description":"","custom_fields":[{"id":1,"name":"Subdivision","value":"Other"},{"id":4,"name":"Milepost","value":"2.3346"},{"id":17,"name":"Train ID","value":"303-27"},{"id":16,"name":"Locomotive ID","value":"4027"},{"id":130,"name":"Impact","value":""},{"id":150,"name":"Time of Event (Mountain Time)","value":"19:05:34"},{"id":151,"name":"Denver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618</v>
      </c>
      <c r="B208" s="7">
        <v>4027</v>
      </c>
      <c r="C208" s="22" t="s">
        <v>205</v>
      </c>
      <c r="D208" s="22" t="s">
        <v>734</v>
      </c>
      <c r="E208" s="13">
        <v>42731.778912037036</v>
      </c>
      <c r="F208" s="13">
        <v>42731.7890162037</v>
      </c>
      <c r="G208" s="7">
        <v>26</v>
      </c>
      <c r="H208" s="22" t="s">
        <v>734</v>
      </c>
      <c r="I208" s="13">
        <v>42731.795532407406</v>
      </c>
      <c r="J208" s="7">
        <v>1</v>
      </c>
      <c r="K208" s="109" t="str">
        <f>IF(ISEVEN(B208),(B208-1)&amp;"/"&amp;B208,B208&amp;"/"&amp;(B208+1))</f>
        <v>4027/4028</v>
      </c>
      <c r="L208" s="22" t="str">
        <f>VLOOKUP(A208,'Trips&amp;Operators'!$C$1:$G$99999,5,FALSE)</f>
        <v>CLARK KATHLEEN</v>
      </c>
      <c r="M208" s="6">
        <f>I208-F208</f>
        <v>6.5162037062691525E-3</v>
      </c>
      <c r="N208" s="7">
        <f>24*60*SUM($M208:$M208)</f>
        <v>9.3833333370275795</v>
      </c>
      <c r="O208" s="7"/>
      <c r="P208" s="7"/>
      <c r="Q208" s="23"/>
      <c r="R208" s="23"/>
      <c r="S208" s="35">
        <f>SUM(U208:U208)/IF(AG208="EC",12,1)</f>
        <v>0</v>
      </c>
      <c r="T208" s="50" t="str">
        <f>IF(ISEVEN(LEFT(AD208,4)),"Southbound","NorthBound")</f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https://search-rtdc-monitor-bjffxe2xuh6vdkpspy63sjmuny.us-east-1.es.amazonaws.com/_plugin/kibana/#/discover/Steve-Slow-Train-Analysis-(2080s-and-2083s)?_g=(refreshInterval:(display:Off,section:0,value:0),time:(from:'2016-12-27 17:41:38-700',mode:absolute,to:'2016-12-27 20:05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8" s="52" t="str">
        <f>IF(AA208&lt;IF(AG208="EC",23,5.65),"Y","N")</f>
        <v>Y</v>
      </c>
      <c r="X208" s="177">
        <f>VALUE(LEFT(AD208,4))-VALUE(LEFT(AD207,4))</f>
        <v>0</v>
      </c>
      <c r="Y208" s="67">
        <f>RIGHT(D208,LEN(D208)-4)/10000</f>
        <v>2.3346</v>
      </c>
      <c r="Z208" s="67">
        <f>RIGHT(H208,LEN(H208)-4)/10000</f>
        <v>2.3346</v>
      </c>
      <c r="AA208" s="67">
        <f>ABS(Z208-Y208)</f>
        <v>0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>IF(LEN(A208)=6,"0"&amp;A208,A208)</f>
        <v>0303-27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 &amp; 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/stypes="app*4027*20161228*" /stext=" 02:.+((SYSTEM_STATE.+slice.+state.+changed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2" t="str">
        <f t="shared" si="16"/>
        <v>"%USERPROFILE%\Documents\GitHub\eaglep3\Utilities\RefineRTDCRunTimes.py" --tripid 303-27 --locoid 4027 --swversion DE.1.0.8.0 --startMP 300:23346 --initTime 2016-12-27T18:41:38 --startdatetime 2016-12-27T18:56:11 --delay 26 --endMP 300:23346 --enddatetime 2016-12-27T19:05:34 --enforcementcount 1 &gt;&gt;C:\Users\stu\Documents\GitHub\eaglep3-reporting\EC\2016-12-27-refined-times.txt</v>
      </c>
      <c r="AI208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{"issue":{"subject":"","project_id":79,"tracker_id":40,"status_id":1,"priority_id":2,"assigned_to_id":23,"start_date":"2016-12-27","description":"","custom_fields":[{"id":1,"name":"Subdivision","value":"Other"},{"id":4,"name":"Milepost","value":"2.3346"},{"id":17,"name":"Train ID","value":"303-27"},{"id":16,"name":"Locomotive ID","value":"4027"},{"id":130,"name":"Impact","value":""},{"id":150,"name":"Time of Event (Mountain Time)","value":"19:05:34"},{"id":151,"name":"Denver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460</v>
      </c>
      <c r="B209" s="7">
        <v>4008</v>
      </c>
      <c r="C209" s="22" t="s">
        <v>205</v>
      </c>
      <c r="D209" s="22" t="s">
        <v>735</v>
      </c>
      <c r="E209" s="13">
        <v>42731.14162037037</v>
      </c>
      <c r="F209" s="13">
        <v>42731.145578703705</v>
      </c>
      <c r="G209" s="7">
        <v>5</v>
      </c>
      <c r="H209" s="22" t="s">
        <v>736</v>
      </c>
      <c r="I209" s="13">
        <v>42731.150775462964</v>
      </c>
      <c r="J209" s="7">
        <v>1</v>
      </c>
      <c r="K209" s="109" t="str">
        <f>IF(ISEVEN(B209),(B209-1)&amp;"/"&amp;B209,B209&amp;"/"&amp;(B209+1))</f>
        <v>4007/4008</v>
      </c>
      <c r="L209" s="22" t="str">
        <f>VLOOKUP(A209,'Trips&amp;Operators'!$C$1:$G$99999,5,FALSE)</f>
        <v>MAELZER KURT</v>
      </c>
      <c r="M209" s="6">
        <f>I209-F209</f>
        <v>5.1967592589790002E-3</v>
      </c>
      <c r="N209" s="7">
        <f>24*60*SUM($M209:$M209)</f>
        <v>7.4833333329297602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https://search-rtdc-monitor-bjffxe2xuh6vdkpspy63sjmuny.us-east-1.es.amazonaws.com/_plugin/kibana/#/discover/Steve-Slow-Train-Analysis-(2080s-and-2083s)?_g=(refreshInterval:(display:Off,section:0,value:0),time:(from:'2016-12-27 02:23:56-700',mode:absolute,to:'2016-12-27 04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9" s="52" t="str">
        <f>IF(AA209&lt;IF(AG209="EC",23,5.65),"Y","N")</f>
        <v>Y</v>
      </c>
      <c r="X209" s="177">
        <f>VALUE(LEFT(AD209,4))-VALUE(LEFT(AD208,4))</f>
        <v>1</v>
      </c>
      <c r="Y209" s="67">
        <f>RIGHT(D209,LEN(D209)-4)/10000</f>
        <v>1.9863</v>
      </c>
      <c r="Z209" s="67">
        <f>RIGHT(H209,LEN(H209)-4)/10000</f>
        <v>1.34E-2</v>
      </c>
      <c r="AA209" s="67">
        <f>ABS(Z209-Y209)</f>
        <v>1.9728999999999999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>IF(LEN(A209)=6,"0"&amp;A209,A209)</f>
        <v>0304-27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/stypes="app*4008*20161227*" /stext=" 10:.+((SYSTEM_STATE.+slice.+state.+changed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2" t="str">
        <f t="shared" si="16"/>
        <v>"%USERPROFILE%\Documents\GitHub\eaglep3\Utilities\RefineRTDCRunTimes.py" --tripid 304-27 --locoid 4008 --swversion DE.1.0.8.0 --startMP 300:19863 --initTime 2016-12-27T03:23:56 --startdatetime 2016-12-27T03:29:38 --delay 5 --endMP 204:134 --enddatetime 2016-12-27T03:37:07 --enforcementcount 1 &gt;&gt;C:\Users\stu\Documents\GitHub\eaglep3-reporting\EC\2016-12-27-refined-times.txt</v>
      </c>
      <c r="AI209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{"issue":{"subject":"","project_id":79,"tracker_id":40,"status_id":1,"priority_id":2,"assigned_to_id":23,"start_date":"2016-12-27","description":"","custom_fields":[{"id":1,"name":"Subdivision","value":"Other"},{"id":4,"name":"Milepost","value":"0.0134"},{"id":17,"name":"Train ID","value":"304-27"},{"id":16,"name":"Locomotive ID","value":"4008"},{"id":130,"name":"Impact","value":""},{"id":150,"name":"Time of Event (Mountain Time)","value":"03:37:07"},{"id":151,"name":"Denver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464</v>
      </c>
      <c r="B210" s="7">
        <v>4015</v>
      </c>
      <c r="C210" s="22" t="s">
        <v>205</v>
      </c>
      <c r="D210" s="22" t="s">
        <v>737</v>
      </c>
      <c r="E210" s="13">
        <v>42731.160046296296</v>
      </c>
      <c r="F210" s="13">
        <v>42731.162372685183</v>
      </c>
      <c r="G210" s="7">
        <v>1</v>
      </c>
      <c r="H210" s="22" t="s">
        <v>320</v>
      </c>
      <c r="I210" s="13">
        <v>42731.162569444445</v>
      </c>
      <c r="J210" s="7">
        <v>1</v>
      </c>
      <c r="K210" s="109" t="str">
        <f>IF(ISEVEN(B210),(B210-1)&amp;"/"&amp;B210,B210&amp;"/"&amp;(B210+1))</f>
        <v>4015/4016</v>
      </c>
      <c r="L210" s="22" t="str">
        <f>VLOOKUP(A210,'Trips&amp;Operators'!$C$1:$G$99999,5,FALSE)</f>
        <v>STARKS ANGELINA</v>
      </c>
      <c r="M210" s="6">
        <f>I210-F210</f>
        <v>1.9675926159834489E-4</v>
      </c>
      <c r="N210" s="7">
        <f>24*60*SUM($M210:$M210)</f>
        <v>0.28333333670161664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https://search-rtdc-monitor-bjffxe2xuh6vdkpspy63sjmuny.us-east-1.es.amazonaws.com/_plugin/kibana/#/discover/Steve-Slow-Train-Analysis-(2080s-and-2083s)?_g=(refreshInterval:(display:Off,section:0,value:0),time:(from:'2016-12-27 02:50:28-700',mode:absolute,to:'2016-12-27 04:54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0" s="52" t="str">
        <f>IF(AA210&lt;IF(AG210="EC",23,5.65),"Y","N")</f>
        <v>Y</v>
      </c>
      <c r="X210" s="177">
        <f>VALUE(LEFT(AD210,4))-VALUE(LEFT(AD209,4))</f>
        <v>2</v>
      </c>
      <c r="Y210" s="67">
        <f>RIGHT(D210,LEN(D210)-4)/10000</f>
        <v>2.5124</v>
      </c>
      <c r="Z210" s="67">
        <f>RIGHT(H210,LEN(H210)-4)/10000</f>
        <v>1.5800000000000002E-2</v>
      </c>
      <c r="AA210" s="67">
        <f>ABS(Z210-Y210)</f>
        <v>2.4965999999999999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>IF(LEN(A210)=6,"0"&amp;A210,A210)</f>
        <v>0306-27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 &amp; aws s3 cp s3://rtdc.mdm.uploadarchive.raw/RTDC4015/ "%USERPROFILE%\AppData\Local\Temp\OnboardLogs"\RTDC4015\2016-12-28 --exclude "*" --recursive --include "*20161228*" &amp; "%USERPROFILE%\Documents\GitHub\mrs-test-scripts\Headless Mode &amp; Sideloading\WalkAndUnGZ.bat" "%USERPROFILE%\AppData\Local\Temp\OnboardLogs"\RTDC4015\2016-12-28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/stypes="app*4015*20161227*" /stext=" 10:.+((SYSTEM_STATE.+slice.+state.+changed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16"/>
        <v>"%USERPROFILE%\Documents\GitHub\eaglep3\Utilities\RefineRTDCRunTimes.py" --tripid 306-27 --locoid 4015 --swversion DE.1.0.8.0 --startMP 300:25124 --initTime 2016-12-27T03:50:28 --startdatetime 2016-12-27T03:53:49 --delay 1 --endMP 204:158 --enddatetime 2016-12-27T03:54:06 --enforcementcount 1 &gt;&gt;C:\Users\stu\Documents\GitHub\eaglep3-reporting\EC\2016-12-27-refined-times.txt</v>
      </c>
      <c r="AI210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{"issue":{"subject":"","project_id":79,"tracker_id":40,"status_id":1,"priority_id":2,"assigned_to_id":23,"start_date":"2016-12-27","description":"","custom_fields":[{"id":1,"name":"Subdivision","value":"Other"},{"id":4,"name":"Milepost","value":"0.0158"},{"id":17,"name":"Train ID","value":"306-27"},{"id":16,"name":"Locomotive ID","value":"4015"},{"id":130,"name":"Impact","value":""},{"id":150,"name":"Time of Event (Mountain Time)","value":"03:54:06"},{"id":151,"name":"Denver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629</v>
      </c>
      <c r="B211" s="7">
        <v>4007</v>
      </c>
      <c r="C211" s="22" t="s">
        <v>205</v>
      </c>
      <c r="D211" s="22" t="s">
        <v>344</v>
      </c>
      <c r="E211" s="13">
        <v>42731.821261574078</v>
      </c>
      <c r="F211" s="13">
        <v>25568.708333333332</v>
      </c>
      <c r="G211" s="7">
        <v>1</v>
      </c>
      <c r="H211" s="22" t="s">
        <v>734</v>
      </c>
      <c r="I211" s="13">
        <v>25568.708333333332</v>
      </c>
      <c r="J211" s="7">
        <v>1</v>
      </c>
      <c r="K211" s="109" t="str">
        <f>IF(ISEVEN(B211),(B211-1)&amp;"/"&amp;B211,B211&amp;"/"&amp;(B211+1))</f>
        <v>4007/4008</v>
      </c>
      <c r="L211" s="22" t="str">
        <f>VLOOKUP(A211,'Trips&amp;Operators'!$C$1:$G$99999,5,FALSE)</f>
        <v>BRANNON JEFFREY</v>
      </c>
      <c r="M211" s="6">
        <f>I211-F211</f>
        <v>0</v>
      </c>
      <c r="N211" s="7">
        <f>24*60*SUM($M211:$M211)</f>
        <v>0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https://search-rtdc-monitor-bjffxe2xuh6vdkpspy63sjmuny.us-east-1.es.amazonaws.com/_plugin/kibana/#/discover/Steve-Slow-Train-Analysis-(2080s-and-2083s)?_g=(refreshInterval:(display:Off,section:0,value:0),time:(from:'2016-12-27 18:42:37-700',mode:absolute,to:'1969-12-31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1" s="52" t="str">
        <f>IF(AA211&lt;IF(AG211="EC",23,5.65),"Y","N")</f>
        <v>Y</v>
      </c>
      <c r="X211" s="177">
        <f>VALUE(LEFT(AD211,4))-VALUE(LEFT(AD210,4))</f>
        <v>1</v>
      </c>
      <c r="Y211" s="67">
        <f>RIGHT(D211,LEN(D211)-4)/10000</f>
        <v>4.5699999999999998E-2</v>
      </c>
      <c r="Z211" s="67">
        <f>RIGHT(H211,LEN(H211)-4)/10000</f>
        <v>2.3346</v>
      </c>
      <c r="AA211" s="67">
        <f>ABS(Z211-Y211)</f>
        <v>2.2888999999999999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>IF(LEN(A211)=6,"0"&amp;A211,A211)</f>
        <v>0307-27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16"/>
        <v>"%USERPROFILE%\Documents\GitHub\eaglep3\Utilities\RefineRTDCRunTimes.py" --tripid 307-27 --locoid 4007 --swversion DE.1.0.8.0 --startMP 204:457 --initTime 2016-12-27T19:42:37 --startdatetime 1969-12-31T17:00:00 --delay 1 --endMP 300:23346 --enddatetime 1969-12-31T17:00:00 --enforcementcount 1 &gt;&gt;C:\Users\stu\Documents\GitHub\eaglep3-reporting\EC\2016-12-27-refined-times.txt</v>
      </c>
      <c r="AI211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629</v>
      </c>
      <c r="B212" s="7">
        <v>4007</v>
      </c>
      <c r="C212" s="22" t="s">
        <v>205</v>
      </c>
      <c r="D212" s="22" t="s">
        <v>734</v>
      </c>
      <c r="E212" s="13">
        <v>42731.821261574078</v>
      </c>
      <c r="F212" s="13">
        <v>25568.708333333332</v>
      </c>
      <c r="G212" s="7">
        <v>11</v>
      </c>
      <c r="H212" s="22" t="s">
        <v>734</v>
      </c>
      <c r="I212" s="13">
        <v>25568.708333333332</v>
      </c>
      <c r="J212" s="7">
        <v>1</v>
      </c>
      <c r="K212" s="109" t="str">
        <f>IF(ISEVEN(B212),(B212-1)&amp;"/"&amp;B212,B212&amp;"/"&amp;(B212+1))</f>
        <v>4007/4008</v>
      </c>
      <c r="L212" s="22" t="str">
        <f>VLOOKUP(A212,'Trips&amp;Operators'!$C$1:$G$99999,5,FALSE)</f>
        <v>BRANNON JEFFREY</v>
      </c>
      <c r="M212" s="6">
        <f>I212-F212</f>
        <v>0</v>
      </c>
      <c r="N212" s="7">
        <f>24*60*SUM($M212:$M212)</f>
        <v>0</v>
      </c>
      <c r="O212" s="7"/>
      <c r="P212" s="7"/>
      <c r="Q212" s="23"/>
      <c r="R212" s="23"/>
      <c r="S212" s="35">
        <f>SUM(U212:U212)/IF(AG212="EC",12,1)</f>
        <v>0</v>
      </c>
      <c r="T212" s="50" t="str">
        <f>IF(ISEVEN(LEFT(AD212,4)),"Southbound","NorthBound")</f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https://search-rtdc-monitor-bjffxe2xuh6vdkpspy63sjmuny.us-east-1.es.amazonaws.com/_plugin/kibana/#/discover/Steve-Slow-Train-Analysis-(2080s-and-2083s)?_g=(refreshInterval:(display:Off,section:0,value:0),time:(from:'2016-12-27 18:42:37-700',mode:absolute,to:'1969-12-31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2" s="52" t="str">
        <f>IF(AA212&lt;IF(AG212="EC",23,5.65),"Y","N")</f>
        <v>Y</v>
      </c>
      <c r="X212" s="177">
        <f>VALUE(LEFT(AD212,4))-VALUE(LEFT(AD211,4))</f>
        <v>0</v>
      </c>
      <c r="Y212" s="67">
        <f>RIGHT(D212,LEN(D212)-4)/10000</f>
        <v>2.3346</v>
      </c>
      <c r="Z212" s="67">
        <f>RIGHT(H212,LEN(H212)-4)/10000</f>
        <v>2.3346</v>
      </c>
      <c r="AA212" s="67">
        <f>ABS(Z212-Y212)</f>
        <v>0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>IF(LEN(A212)=6,"0"&amp;A212,A212)</f>
        <v>0307-27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16"/>
        <v>"%USERPROFILE%\Documents\GitHub\eaglep3\Utilities\RefineRTDCRunTimes.py" --tripid 307-27 --locoid 4007 --swversion DE.1.0.8.0 --startMP 300:23346 --initTime 2016-12-27T19:42:37 --startdatetime 1969-12-31T17:00:00 --delay 11 --endMP 300:23346 --enddatetime 1969-12-31T17:00:00 --enforcementcount 1 &gt;&gt;C:\Users\stu\Documents\GitHub\eaglep3-reporting\EC\2016-12-27-refined-times.txt</v>
      </c>
      <c r="AI212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430</v>
      </c>
      <c r="B213" s="7">
        <v>4001</v>
      </c>
      <c r="C213" s="22" t="s">
        <v>205</v>
      </c>
      <c r="D213" s="22" t="s">
        <v>738</v>
      </c>
      <c r="E213" s="13">
        <v>42731.172430555554</v>
      </c>
      <c r="F213" s="13">
        <v>42731.173773148148</v>
      </c>
      <c r="G213" s="7">
        <v>0</v>
      </c>
      <c r="H213" s="22" t="s">
        <v>263</v>
      </c>
      <c r="I213" s="13">
        <v>42731.182187500002</v>
      </c>
      <c r="J213" s="7">
        <v>1</v>
      </c>
      <c r="K213" s="109" t="str">
        <f>IF(ISEVEN(B213),(B213-1)&amp;"/"&amp;B213,B213&amp;"/"&amp;(B213+1))</f>
        <v>4001/4002</v>
      </c>
      <c r="L213" s="22" t="str">
        <f>VLOOKUP(A213,'Trips&amp;Operators'!$C$1:$G$99999,5,FALSE)</f>
        <v>DUNCAN SHEILA</v>
      </c>
      <c r="M213" s="6">
        <f>I213-F213</f>
        <v>8.4143518542987294E-3</v>
      </c>
      <c r="N213" s="7">
        <f>24*60*SUM($M213:$M213)</f>
        <v>12.11666667019017</v>
      </c>
      <c r="O213" s="7"/>
      <c r="P213" s="7"/>
      <c r="Q213" s="23"/>
      <c r="R213" s="23"/>
      <c r="S213" s="35">
        <f>SUM(U213:U213)/IF(AG213="EC",12,1)</f>
        <v>1</v>
      </c>
      <c r="T213" s="50" t="str">
        <f>IF(ISEVEN(LEFT(AD213,4)),"Southbound","NorthBound")</f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https://search-rtdc-monitor-bjffxe2xuh6vdkpspy63sjmuny.us-east-1.es.amazonaws.com/_plugin/kibana/#/discover/Steve-Slow-Train-Analysis-(2080s-and-2083s)?_g=(refreshInterval:(display:Off,section:0,value:0),time:(from:'2016-12-27 03:08:18-700',mode:absolute,to:'2016-12-27 05:22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3" s="52" t="str">
        <f>IF(AA213&lt;IF(AG213="EC",23,5.65),"Y","N")</f>
        <v>Y</v>
      </c>
      <c r="X213" s="177">
        <f>VALUE(LEFT(AD213,4))-VALUE(LEFT(AD212,4))</f>
        <v>1</v>
      </c>
      <c r="Y213" s="67">
        <f>RIGHT(D213,LEN(D213)-4)/10000</f>
        <v>2.2069999999999999</v>
      </c>
      <c r="Z213" s="67">
        <f>RIGHT(H213,LEN(H213)-4)/10000</f>
        <v>1.6E-2</v>
      </c>
      <c r="AA213" s="67">
        <f>ABS(Z213-Y213)</f>
        <v>2.1909999999999998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>IF(LEN(A213)=6,"0"&amp;A213,A213)</f>
        <v>0308-27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/stypes="app*4001*20161227*" /stext=" 11:.+((SYSTEM_STATE.+slice.+state.+changed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16"/>
        <v>"%USERPROFILE%\Documents\GitHub\eaglep3\Utilities\RefineRTDCRunTimes.py" --tripid 308-27 --locoid 4001 --swversion DE.1.0.8.0 --startMP 300:22070 --initTime 2016-12-27T04:08:18 --startdatetime 2016-12-27T04:10:14 --delay 0 --endMP 204:160 --enddatetime 2016-12-27T04:22:21 --enforcementcount 1 &gt;&gt;C:\Users\stu\Documents\GitHub\eaglep3-reporting\EC\2016-12-27-refined-times.txt</v>
      </c>
      <c r="AI213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{"issue":{"subject":"","project_id":79,"tracker_id":40,"status_id":1,"priority_id":2,"assigned_to_id":23,"start_date":"2016-12-27","description":"","custom_fields":[{"id":1,"name":"Subdivision","value":"Other"},{"id":4,"name":"Milepost","value":"0.016"},{"id":17,"name":"Train ID","value":"308-27"},{"id":16,"name":"Locomotive ID","value":"4001"},{"id":130,"name":"Impact","value":""},{"id":150,"name":"Time of Event (Mountain Time)","value":"04:22:21"},{"id":151,"name":"Denver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655</v>
      </c>
      <c r="B214" s="7">
        <v>4016</v>
      </c>
      <c r="C214" s="22" t="s">
        <v>205</v>
      </c>
      <c r="D214" s="22" t="s">
        <v>704</v>
      </c>
      <c r="E214" s="13">
        <v>42732.029409722221</v>
      </c>
      <c r="F214" s="13">
        <v>42732.031354166669</v>
      </c>
      <c r="G214" s="7">
        <v>1</v>
      </c>
      <c r="H214" s="22" t="s">
        <v>739</v>
      </c>
      <c r="I214" s="13">
        <v>42732.038495370369</v>
      </c>
      <c r="J214" s="7">
        <v>1</v>
      </c>
      <c r="K214" s="109" t="str">
        <f>IF(ISEVEN(B214),(B214-1)&amp;"/"&amp;B214,B214&amp;"/"&amp;(B214+1))</f>
        <v>4015/4016</v>
      </c>
      <c r="L214" s="22" t="str">
        <f>VLOOKUP(A214,'Trips&amp;Operators'!$C$1:$G$99999,5,FALSE)</f>
        <v>CHANDLER KELVIN</v>
      </c>
      <c r="M214" s="6">
        <f>I214-F214</f>
        <v>7.1412036995752715E-3</v>
      </c>
      <c r="N214" s="7">
        <f>24*60*SUM($M214:$M214)</f>
        <v>10.283333327388391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https://search-rtdc-monitor-bjffxe2xuh6vdkpspy63sjmuny.us-east-1.es.amazonaws.com/_plugin/kibana/#/discover/Steve-Slow-Train-Analysis-(2080s-and-2083s)?_g=(refreshInterval:(display:Off,section:0,value:0),time:(from:'2016-12-27 23:42:21-700',mode:absolute,to:'2016-12-28 01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4" s="52" t="str">
        <f>IF(AA214&lt;IF(AG214="EC",23,5.65),"Y","N")</f>
        <v>Y</v>
      </c>
      <c r="X214" s="177">
        <f>VALUE(LEFT(AD214,4))-VALUE(LEFT(AD213,4))</f>
        <v>1</v>
      </c>
      <c r="Y214" s="67">
        <f>RIGHT(D214,LEN(D214)-4)/10000</f>
        <v>4.7100000000000003E-2</v>
      </c>
      <c r="Z214" s="67">
        <f>RIGHT(H214,LEN(H214)-4)/10000</f>
        <v>2.3298999999999999</v>
      </c>
      <c r="AA214" s="67">
        <f>ABS(Z214-Y214)</f>
        <v>2.2827999999999999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>IF(LEN(A214)=6,"0"&amp;A214,A214)</f>
        <v>0309-27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s3://rtdc.mdm.uploadarchive.raw/RTDC4016/ "%USERPROFILE%\AppData\Local\Temp\OnboardLogs"\RTDC4016\2016-12-28 --exclude "*" --recursive --include "*20161228*" &amp; "%USERPROFILE%\Documents\GitHub\mrs-test-scripts\Headless Mode &amp; Sideloading\WalkAndUnGZ.bat" "%USERPROFILE%\AppData\Local\Temp\OnboardLogs"\RTDC4016\2016-12-28 &amp; aws s3 cp s3://rtdc.mdm.uploadarchive.raw/RTDC4016/ "%USERPROFILE%\AppData\Local\Temp\OnboardLogs"\RTDC4016\2016-12-29 --exclude "*" --recursive --include "*20161229*" &amp; "%USERPROFILE%\Documents\GitHub\mrs-test-scripts\Headless Mode &amp; Sideloading\WalkAndUnGZ.bat" "%USERPROFILE%\AppData\Local\Temp\OnboardLogs"\RTDC4016\2016-12-29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/stypes="app*4016*20161228*" /stext=" 07:.+((SYSTEM_STATE.+slice.+state.+changed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16"/>
        <v>"%USERPROFILE%\Documents\GitHub\eaglep3\Utilities\RefineRTDCRunTimes.py" --tripid 309-27 --locoid 4016 --swversion DE.1.0.8.0 --startMP 204:471 --initTime 2016-12-28T00:42:21 --startdatetime 2016-12-28T00:45:09 --delay 1 --endMP 300:23299 --enddatetime 2016-12-28T00:55:26 --enforcementcount 1 &gt;&gt;C:\Users\stu\Documents\GitHub\eaglep3-reporting\EC\2016-12-27-refined-times.txt</v>
      </c>
      <c r="AI214" s="119" t="str">
        <f t="shared" si="17"/>
        <v>echo {"issue":{"subject":"","project_id":79,"tracker_id":40,"status_id":1,"priority_id":2,"assigned_to_id":23,"start_date":"2016-12-28","description":"","custom_fields":[{"id":1,"name":"Subdivision","value":"Other"},{"id":4,"name":"Milepost","value":"2.3299"},{"id":17,"name":"Train ID","value":"309-27"},{"id":16,"name":"Locomotive ID","value":"4016"},{"id":130,"name":"Impact","value":""},{"id":150,"name":"Time of Event (Mountain Time)","value":"00:55:26"},{"id":151,"name":"Denver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467</v>
      </c>
      <c r="B215" s="7">
        <v>4028</v>
      </c>
      <c r="C215" s="22" t="s">
        <v>205</v>
      </c>
      <c r="D215" s="22" t="s">
        <v>740</v>
      </c>
      <c r="E215" s="13">
        <v>42731.180046296293</v>
      </c>
      <c r="F215" s="13">
        <v>42731.181168981479</v>
      </c>
      <c r="G215" s="7">
        <v>1</v>
      </c>
      <c r="H215" s="22" t="s">
        <v>741</v>
      </c>
      <c r="I215" s="13">
        <v>42731.186689814815</v>
      </c>
      <c r="J215" s="7">
        <v>1</v>
      </c>
      <c r="K215" s="109" t="str">
        <f>IF(ISEVEN(B215),(B215-1)&amp;"/"&amp;B215,B215&amp;"/"&amp;(B215+1))</f>
        <v>4027/4028</v>
      </c>
      <c r="L215" s="22" t="str">
        <f>VLOOKUP(A215,'Trips&amp;Operators'!$C$1:$G$99999,5,FALSE)</f>
        <v>DAVIS WENDY</v>
      </c>
      <c r="M215" s="6">
        <f>I215-F215</f>
        <v>5.5208333360496908E-3</v>
      </c>
      <c r="N215" s="7">
        <f>24*60*SUM($M215:$M215)</f>
        <v>7.9500000039115548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https://search-rtdc-monitor-bjffxe2xuh6vdkpspy63sjmuny.us-east-1.es.amazonaws.com/_plugin/kibana/#/discover/Steve-Slow-Train-Analysis-(2080s-and-2083s)?_g=(refreshInterval:(display:Off,section:0,value:0),time:(from:'2016-12-27 03:19:16-700',mode:absolute,to:'2016-12-27 05:28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5" s="52" t="str">
        <f>IF(AA215&lt;IF(AG215="EC",23,5.65),"Y","N")</f>
        <v>Y</v>
      </c>
      <c r="X215" s="177">
        <f>VALUE(LEFT(AD215,4))-VALUE(LEFT(AD214,4))</f>
        <v>1</v>
      </c>
      <c r="Y215" s="67">
        <f>RIGHT(D215,LEN(D215)-4)/10000</f>
        <v>2.3357999999999999</v>
      </c>
      <c r="Z215" s="67">
        <f>RIGHT(H215,LEN(H215)-4)/10000</f>
        <v>0.28129999999999999</v>
      </c>
      <c r="AA215" s="67">
        <f>ABS(Z215-Y215)</f>
        <v>2.0545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>IF(LEN(A215)=6,"0"&amp;A215,A215)</f>
        <v>0310-27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/stypes="app*4028*20161227*" /stext=" 11:.+((SYSTEM_STATE.+slice.+state.+changed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16"/>
        <v>"%USERPROFILE%\Documents\GitHub\eaglep3\Utilities\RefineRTDCRunTimes.py" --tripid 310-27 --locoid 4028 --swversion DE.1.0.8.0 --startMP 300:23358 --initTime 2016-12-27T04:19:16 --startdatetime 2016-12-27T04:20:53 --delay 1 --endMP 204:2813 --enddatetime 2016-12-27T04:28:50 --enforcementcount 1 &gt;&gt;C:\Users\stu\Documents\GitHub\eaglep3-reporting\EC\2016-12-27-refined-times.txt</v>
      </c>
      <c r="AI215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{"issue":{"subject":"","project_id":79,"tracker_id":40,"status_id":1,"priority_id":2,"assigned_to_id":23,"start_date":"2016-12-27","description":"","custom_fields":[{"id":1,"name":"Subdivision","value":"Other"},{"id":4,"name":"Milepost","value":"0.2813"},{"id":17,"name":"Train ID","value":"310-27"},{"id":16,"name":"Locomotive ID","value":"4028"},{"id":130,"name":"Impact","value":""},{"id":150,"name":"Time of Event (Mountain Time)","value":"04:28:50"},{"id":151,"name":"Denver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656</v>
      </c>
      <c r="B216" s="7">
        <v>4051</v>
      </c>
      <c r="C216" s="22" t="s">
        <v>205</v>
      </c>
      <c r="D216" s="22" t="s">
        <v>228</v>
      </c>
      <c r="E216" s="13">
        <v>42732.04755787037</v>
      </c>
      <c r="F216" s="13">
        <v>25568.708333333332</v>
      </c>
      <c r="G216" s="7">
        <v>1</v>
      </c>
      <c r="H216" s="22" t="s">
        <v>742</v>
      </c>
      <c r="I216" s="13">
        <v>25568.708333333332</v>
      </c>
      <c r="J216" s="7">
        <v>1</v>
      </c>
      <c r="K216" s="109" t="str">
        <f>IF(ISEVEN(B216),(B216-1)&amp;"/"&amp;B216,B216&amp;"/"&amp;(B216+1))</f>
        <v>4051/4052</v>
      </c>
      <c r="L216" s="22" t="str">
        <f>VLOOKUP(A216,'Trips&amp;Operators'!$C$1:$G$99999,5,FALSE)</f>
        <v>NEWELL JAMES</v>
      </c>
      <c r="M216" s="6">
        <f>I216-F216</f>
        <v>0</v>
      </c>
      <c r="N216" s="7">
        <f>24*60*SUM($M216:$M216)</f>
        <v>0</v>
      </c>
      <c r="O216" s="7"/>
      <c r="P216" s="7"/>
      <c r="Q216" s="23"/>
      <c r="R216" s="23"/>
      <c r="S216" s="35">
        <f>SUM(U216:U216)/IF(AG216="EC",12,1)</f>
        <v>1</v>
      </c>
      <c r="T216" s="50" t="str">
        <f>IF(ISEVEN(LEFT(AD216,4)),"Southbound","NorthBound")</f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https://search-rtdc-monitor-bjffxe2xuh6vdkpspy63sjmuny.us-east-1.es.amazonaws.com/_plugin/kibana/#/discover/Steve-Slow-Train-Analysis-(2080s-and-2083s)?_g=(refreshInterval:(display:Off,section:0,value:0),time:(from:'2016-12-28 00:08:29-700',mode:absolute,to:'1969-12-31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6" s="52" t="str">
        <f>IF(AA216&lt;IF(AG216="EC",23,5.65),"Y","N")</f>
        <v>Y</v>
      </c>
      <c r="X216" s="177">
        <f>VALUE(LEFT(AD216,4))-VALUE(LEFT(AD215,4))</f>
        <v>1</v>
      </c>
      <c r="Y216" s="67">
        <f>RIGHT(D216,LEN(D216)-4)/10000</f>
        <v>4.5499999999999999E-2</v>
      </c>
      <c r="Z216" s="67">
        <f>RIGHT(H216,LEN(H216)-4)/10000</f>
        <v>2.3302</v>
      </c>
      <c r="AA216" s="67">
        <f>ABS(Z216-Y216)</f>
        <v>2.2847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>IF(LEN(A216)=6,"0"&amp;A216,A216)</f>
        <v>0311-27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16"/>
        <v>"%USERPROFILE%\Documents\GitHub\eaglep3\Utilities\RefineRTDCRunTimes.py" --tripid 311-27 --locoid 4051 --swversion DE.1.0.8.0 --startMP 204:455 --initTime 2016-12-28T01:08:29 --startdatetime 1969-12-31T17:00:00 --delay 1 --endMP 300:23302 --enddatetime 1969-12-31T17:00:00 --enforcementcount 1 &gt;&gt;C:\Users\stu\Documents\GitHub\eaglep3-reporting\EC\2016-12-27-refined-times.txt</v>
      </c>
      <c r="AI216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ID","value":"311-27"},{"id":16,"name":"Locomotive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658</v>
      </c>
      <c r="B217" s="7">
        <v>4042</v>
      </c>
      <c r="C217" s="22" t="s">
        <v>205</v>
      </c>
      <c r="D217" s="22" t="s">
        <v>264</v>
      </c>
      <c r="E217" s="13">
        <v>42732.070486111108</v>
      </c>
      <c r="F217" s="13">
        <v>25568.708333333332</v>
      </c>
      <c r="G217" s="7">
        <v>1</v>
      </c>
      <c r="H217" s="22" t="s">
        <v>743</v>
      </c>
      <c r="I217" s="13">
        <v>25568.708333333332</v>
      </c>
      <c r="J217" s="7">
        <v>1</v>
      </c>
      <c r="K217" s="109" t="str">
        <f>IF(ISEVEN(B217),(B217-1)&amp;"/"&amp;B217,B217&amp;"/"&amp;(B217+1))</f>
        <v>4041/4042</v>
      </c>
      <c r="L217" s="22" t="str">
        <f>VLOOKUP(A217,'Trips&amp;Operators'!$C$1:$G$99999,5,FALSE)</f>
        <v>SIMONEAUX TERA</v>
      </c>
      <c r="M217" s="6">
        <f>I217-F217</f>
        <v>0</v>
      </c>
      <c r="N217" s="7">
        <f>24*60*SUM($M217:$M217)</f>
        <v>0</v>
      </c>
      <c r="O217" s="7"/>
      <c r="P217" s="7"/>
      <c r="Q217" s="23"/>
      <c r="R217" s="23"/>
      <c r="S217" s="35">
        <f>SUM(U217:U217)/IF(AG217="EC",12,1)</f>
        <v>1</v>
      </c>
      <c r="T217" s="50" t="str">
        <f>IF(ISEVEN(LEFT(AD217,4)),"Southbound","NorthBound")</f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https://search-rtdc-monitor-bjffxe2xuh6vdkpspy63sjmuny.us-east-1.es.amazonaws.com/_plugin/kibana/#/discover/Steve-Slow-Train-Analysis-(2080s-and-2083s)?_g=(refreshInterval:(display:Off,section:0,value:0),time:(from:'2016-12-28 00:41:30-700',mode:absolute,to:'1969-12-31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7" s="52" t="str">
        <f>IF(AA217&lt;IF(AG217="EC",23,5.65),"Y","N")</f>
        <v>Y</v>
      </c>
      <c r="X217" s="177">
        <f>VALUE(LEFT(AD217,4))-VALUE(LEFT(AD216,4))</f>
        <v>2</v>
      </c>
      <c r="Y217" s="67">
        <f>RIGHT(D217,LEN(D217)-4)/10000</f>
        <v>4.6199999999999998E-2</v>
      </c>
      <c r="Z217" s="67">
        <f>RIGHT(H217,LEN(H217)-4)/10000</f>
        <v>2.3300999999999998</v>
      </c>
      <c r="AA217" s="67">
        <f>ABS(Z217-Y217)</f>
        <v>2.2839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>IF(LEN(A217)=6,"0"&amp;A217,A217)</f>
        <v>0313-27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16"/>
        <v>"%USERPROFILE%\Documents\GitHub\eaglep3\Utilities\RefineRTDCRunTimes.py" --tripid 313-27 --locoid 4042 --swversion DE.1.0.8.0 --startMP 204:462 --initTime 2016-12-28T01:41:30 --startdatetime 1969-12-31T17:00:00 --delay 1 --endMP 300:23301 --enddatetime 1969-12-31T17:00:00 --enforcementcount 1 &gt;&gt;C:\Users\stu\Documents\GitHub\eaglep3-reporting\EC\2016-12-27-refined-times.txt</v>
      </c>
      <c r="AI217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389</v>
      </c>
      <c r="B218" s="7">
        <v>4046</v>
      </c>
      <c r="C218" s="22" t="s">
        <v>205</v>
      </c>
      <c r="D218" s="22" t="s">
        <v>230</v>
      </c>
      <c r="E218" s="13">
        <v>42731.093148148146</v>
      </c>
      <c r="F218" s="13">
        <v>25568.708333333332</v>
      </c>
      <c r="G218" s="7">
        <v>1</v>
      </c>
      <c r="H218" s="22" t="s">
        <v>408</v>
      </c>
      <c r="I218" s="13">
        <v>25568.708333333332</v>
      </c>
      <c r="J218" s="7">
        <v>1</v>
      </c>
      <c r="K218" s="109" t="str">
        <f>IF(ISEVEN(B218),(B218-1)&amp;"/"&amp;B218,B218&amp;"/"&amp;(B218+1))</f>
        <v>4045/4046</v>
      </c>
      <c r="L218" s="22" t="str">
        <f>VLOOKUP(A218,'Trips&amp;Operators'!$C$1:$G$99999,5,FALSE)</f>
        <v>SIMONEAUX TERA</v>
      </c>
      <c r="M218" s="6">
        <f>I218-F218</f>
        <v>0</v>
      </c>
      <c r="N218" s="7">
        <f>24*60*SUM($M218:$M218)</f>
        <v>0</v>
      </c>
      <c r="O218" s="7"/>
      <c r="P218" s="7"/>
      <c r="Q218" s="23"/>
      <c r="R218" s="23"/>
      <c r="S218" s="35">
        <f>SUM(U218:U218)/IF(AG218="EC",12,1)</f>
        <v>1</v>
      </c>
      <c r="T218" s="50" t="str">
        <f>IF(ISEVEN(LEFT(AD218,4)),"Southbound","NorthBound")</f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https://search-rtdc-monitor-bjffxe2xuh6vdkpspy63sjmuny.us-east-1.es.amazonaws.com/_plugin/kibana/#/discover/Steve-Slow-Train-Analysis-(2080s-and-2083s)?_g=(refreshInterval:(display:Off,section:0,value:0),time:(from:'2016-12-27 01:14:08-700',mode:absolute,to:'1969-12-31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8" s="52" t="str">
        <f>IF(AA218&lt;IF(AG218="EC",23,5.65),"Y","N")</f>
        <v>Y</v>
      </c>
      <c r="X218" s="177">
        <f>VALUE(LEFT(AD218,4))-VALUE(LEFT(AD217,4))</f>
        <v>2</v>
      </c>
      <c r="Y218" s="67">
        <f>RIGHT(D218,LEN(D218)-4)/10000</f>
        <v>4.5999999999999999E-2</v>
      </c>
      <c r="Z218" s="67">
        <f>RIGHT(H218,LEN(H218)-4)/10000</f>
        <v>2.3170000000000002</v>
      </c>
      <c r="AA218" s="67">
        <f>ABS(Z218-Y218)</f>
        <v>2.2710000000000004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>IF(LEN(A218)=6,"0"&amp;A218,A218)</f>
        <v>0315-26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16"/>
        <v>"%USERPROFILE%\Documents\GitHub\eaglep3\Utilities\RefineRTDCRunTimes.py" --tripid 315-26 --locoid 4046 --swversion DE.1.0.8.0 --startMP 204:460 --initTime 2016-12-27T02:14:08 --startdatetime 1969-12-31T17:00:00 --delay 1 --endMP 300:23170 --enddatetime 1969-12-31T17:00:00 --enforcementcount 1 &gt;&gt;C:\Users\stu\Documents\GitHub\eaglep3-reporting\EC\2016-12-27-refined-times.txt</v>
      </c>
      <c r="AI218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{"issue":{"subject":"","project_id":79,"tracker_id":40,"status_id":1,"priority_id":2,"assigned_to_id":23,"start_date":"1969-12-31","description":"","custom_fields":[{"id":1,"name":"Subdivision","value":"Other"},{"id":4,"name":"Milepost","value":"2.317"},{"id":17,"name":"Train ID","value":"315-26"},{"id":16,"name":"Locomotive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659</v>
      </c>
      <c r="B219" s="7">
        <v>4002</v>
      </c>
      <c r="C219" s="22" t="s">
        <v>205</v>
      </c>
      <c r="D219" s="22" t="s">
        <v>683</v>
      </c>
      <c r="E219" s="13">
        <v>42732.087870370371</v>
      </c>
      <c r="F219" s="13">
        <v>25568.708333333332</v>
      </c>
      <c r="G219" s="7">
        <v>0</v>
      </c>
      <c r="H219" s="22" t="s">
        <v>349</v>
      </c>
      <c r="I219" s="13">
        <v>25568.708333333332</v>
      </c>
      <c r="J219" s="7">
        <v>1</v>
      </c>
      <c r="K219" s="109" t="str">
        <f>IF(ISEVEN(B219),(B219-1)&amp;"/"&amp;B219,B219&amp;"/"&amp;(B219+1))</f>
        <v>4001/4002</v>
      </c>
      <c r="L219" s="22" t="str">
        <f>VLOOKUP(A219,'Trips&amp;Operators'!$C$1:$G$99999,5,FALSE)</f>
        <v>STAMBAUGH JAMES</v>
      </c>
      <c r="M219" s="6">
        <f>I219-F219</f>
        <v>0</v>
      </c>
      <c r="N219" s="7">
        <f>24*60*SUM($M219:$M219)</f>
        <v>0</v>
      </c>
      <c r="O219" s="7"/>
      <c r="P219" s="7"/>
      <c r="Q219" s="23"/>
      <c r="R219" s="23"/>
      <c r="S219" s="35">
        <f>SUM(U219:U219)/IF(AG219="EC",12,1)</f>
        <v>1</v>
      </c>
      <c r="T219" s="50" t="str">
        <f>IF(ISEVEN(LEFT(AD219,4)),"Southbound","NorthBound")</f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https://search-rtdc-monitor-bjffxe2xuh6vdkpspy63sjmuny.us-east-1.es.amazonaws.com/_plugin/kibana/#/discover/Steve-Slow-Train-Analysis-(2080s-and-2083s)?_g=(refreshInterval:(display:Off,section:0,value:0),time:(from:'2016-12-28 01:06:32-700',mode:absolute,to:'1969-12-31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9" s="52" t="str">
        <f>IF(AA219&lt;IF(AG219="EC",23,5.65),"Y","N")</f>
        <v>Y</v>
      </c>
      <c r="X219" s="177">
        <f>VALUE(LEFT(AD219,4))-VALUE(LEFT(AD218,4))</f>
        <v>0</v>
      </c>
      <c r="Y219" s="67">
        <f>RIGHT(D219,LEN(D219)-4)/10000</f>
        <v>4.7800000000000002E-2</v>
      </c>
      <c r="Z219" s="67">
        <f>RIGHT(H219,LEN(H219)-4)/10000</f>
        <v>2.3304</v>
      </c>
      <c r="AA219" s="67">
        <f>ABS(Z219-Y219)</f>
        <v>2.2826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>IF(LEN(A219)=6,"0"&amp;A219,A219)</f>
        <v>0315-27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16"/>
        <v>"%USERPROFILE%\Documents\GitHub\eaglep3\Utilities\RefineRTDCRunTimes.py" --tripid 315-27 --locoid 4002 --swversion DE.1.0.8.0 --startMP 204:478 --initTime 2016-12-28T02:06:32 --startdatetime 1969-12-31T17:00:00 --delay 0 --endMP 300:23304 --enddatetime 1969-12-31T17:00:00 --enforcementcount 1 &gt;&gt;C:\Users\stu\Documents\GitHub\eaglep3-reporting\EC\2016-12-27-refined-times.txt</v>
      </c>
      <c r="AI219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ID","value":"315-27"},{"id":16,"name":"Locomotive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471</v>
      </c>
      <c r="B220" s="7">
        <v>4003</v>
      </c>
      <c r="C220" s="22" t="s">
        <v>205</v>
      </c>
      <c r="D220" s="22" t="s">
        <v>800</v>
      </c>
      <c r="E220" s="13">
        <v>42731.204247685186</v>
      </c>
      <c r="F220" s="13">
        <v>42731.205393518518</v>
      </c>
      <c r="G220" s="7">
        <v>1</v>
      </c>
      <c r="H220" s="22" t="s">
        <v>365</v>
      </c>
      <c r="I220" s="13">
        <v>42731.210532407407</v>
      </c>
      <c r="J220" s="7">
        <v>1</v>
      </c>
      <c r="K220" s="109" t="str">
        <f>IF(ISEVEN(B220),(B220-1)&amp;"/"&amp;B220,B220&amp;"/"&amp;(B220+1))</f>
        <v>4003/4004</v>
      </c>
      <c r="L220" s="22" t="str">
        <f>VLOOKUP(A220,'Trips&amp;Operators'!$C$1:$G$99999,5,FALSE)</f>
        <v>YANG JAN</v>
      </c>
      <c r="M220" s="6">
        <f>I220-F220</f>
        <v>5.1388888896326534E-3</v>
      </c>
      <c r="N220" s="7">
        <f>24*60*SUM($M220:$M220)</f>
        <v>7.400000001071021</v>
      </c>
      <c r="O220" s="7"/>
      <c r="P220" s="7"/>
      <c r="Q220" s="23"/>
      <c r="R220" s="23"/>
      <c r="S220" s="35">
        <f>SUM(U220:U220)/IF(AG220="EC",12,1)</f>
        <v>0</v>
      </c>
      <c r="T220" s="50" t="str">
        <f>IF(ISEVEN(LEFT(AD220,4)),"Southbound","NorthBound")</f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https://search-rtdc-monitor-bjffxe2xuh6vdkpspy63sjmuny.us-east-1.es.amazonaws.com/_plugin/kibana/#/discover/Steve-Slow-Train-Analysis-(2080s-and-2083s)?_g=(refreshInterval:(display:Off,section:0,value:0),time:(from:'2016-12-27 03:54:07-700',mode:absolute,to:'2016-12-27 06:03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0" s="52" t="str">
        <f>IF(AA220&lt;IF(AG220="EC",23,5.65),"Y","N")</f>
        <v>Y</v>
      </c>
      <c r="X220" s="177">
        <f>VALUE(LEFT(AD220,4))-VALUE(LEFT(AD219,4))</f>
        <v>586</v>
      </c>
      <c r="Y220" s="67">
        <f>RIGHT(D220,LEN(D220)-4)/10000</f>
        <v>3.0194999999999999</v>
      </c>
      <c r="Z220" s="67">
        <f>RIGHT(H220,LEN(H220)-4)/10000</f>
        <v>5.8944000000000001</v>
      </c>
      <c r="AA220" s="67">
        <f>ABS(Z220-Y220)</f>
        <v>2.8749000000000002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>IF(LEN(A220)=6,"0"&amp;A220,A220)</f>
        <v>0901-27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/stypes="app*4003*20161227*" /stext=" 12:.+((SYSTEM_STATE.+slice.+state.+changed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16"/>
        <v>"%USERPROFILE%\Documents\GitHub\eaglep3\Utilities\RefineRTDCRunTimes.py" --tripid 901-27 --locoid 4003 --swversion DE.1.0.8.0 --startMP 300:30195 --initTime 2016-12-27T04:54:07 --startdatetime 2016-12-27T04:55:46 --delay 1 --endMP 300:58944 --enddatetime 2016-12-27T05:03:10 --enforcementcount 1 &gt;&gt;C:\Users\stu\Documents\GitHub\eaglep3-reporting\EC\2016-12-27-refined-times.txt</v>
      </c>
      <c r="AI220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{"issue":{"subject":"","project_id":79,"tracker_id":40,"status_id":1,"priority_id":2,"assigned_to_id":23,"start_date":"2016-12-27","description":"","custom_fields":[{"id":1,"name":"Subdivision","value":"Other"},{"id":4,"name":"Milepost","value":"5.8944"},{"id":17,"name":"Train ID","value":"901-27"},{"id":16,"name":"Locomotive ID","value":"4003"},{"id":130,"name":"Impact","value":""},{"id":150,"name":"Time of Event (Mountain Time)","value":"05:03:10"},{"id":151,"name":"Denver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482</v>
      </c>
      <c r="B221" s="7">
        <v>4013</v>
      </c>
      <c r="C221" s="22" t="s">
        <v>205</v>
      </c>
      <c r="D221" s="22" t="s">
        <v>801</v>
      </c>
      <c r="E221" s="13">
        <v>42731.244131944448</v>
      </c>
      <c r="F221" s="13">
        <v>42731.245381944442</v>
      </c>
      <c r="G221" s="7">
        <v>1</v>
      </c>
      <c r="H221" s="22" t="s">
        <v>802</v>
      </c>
      <c r="I221" s="13">
        <v>42731.25209490741</v>
      </c>
      <c r="J221" s="7">
        <v>1</v>
      </c>
      <c r="K221" s="109" t="str">
        <f>IF(ISEVEN(B221),(B221-1)&amp;"/"&amp;B221,B221&amp;"/"&amp;(B221+1))</f>
        <v>4013/4014</v>
      </c>
      <c r="L221" s="22" t="str">
        <f>VLOOKUP(A221,'Trips&amp;Operators'!$C$1:$G$99999,5,FALSE)</f>
        <v>BROWN JACOB</v>
      </c>
      <c r="M221" s="6">
        <f>I221-F221</f>
        <v>6.7129629678674974E-3</v>
      </c>
      <c r="N221" s="7">
        <f>24*60*SUM($M221:$M221)</f>
        <v>9.6666666737291962</v>
      </c>
      <c r="O221" s="7"/>
      <c r="P221" s="7"/>
      <c r="Q221" s="23"/>
      <c r="R221" s="23"/>
      <c r="S221" s="35">
        <f>SUM(U221:U221)/IF(AG221="EC",12,1)</f>
        <v>1</v>
      </c>
      <c r="T221" s="50" t="str">
        <f>IF(ISEVEN(LEFT(AD221,4)),"Southbound","NorthBound")</f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https://search-rtdc-monitor-bjffxe2xuh6vdkpspy63sjmuny.us-east-1.es.amazonaws.com/_plugin/kibana/#/discover/Steve-Slow-Train-Analysis-(2080s-and-2083s)?_g=(refreshInterval:(display:Off,section:0,value:0),time:(from:'2016-12-27 04:51:33-700',mode:absolute,to:'2016-12-27 07:03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1" s="52" t="str">
        <f>IF(AA221&lt;IF(AG221="EC",23,5.65),"Y","N")</f>
        <v>Y</v>
      </c>
      <c r="X221" s="177">
        <f>VALUE(LEFT(AD221,4))-VALUE(LEFT(AD220,4))</f>
        <v>1</v>
      </c>
      <c r="Y221" s="67">
        <f>RIGHT(D221,LEN(D221)-4)/10000</f>
        <v>2.3262</v>
      </c>
      <c r="Z221" s="67">
        <f>RIGHT(H221,LEN(H221)-4)/10000</f>
        <v>7.0599999999999996E-2</v>
      </c>
      <c r="AA221" s="67">
        <f>ABS(Z221-Y221)</f>
        <v>2.2556000000000003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>IF(LEN(A221)=6,"0"&amp;A221,A221)</f>
        <v>0902-27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 &amp; 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/stypes="app*4013*20161227*" /stext=" 13:.+((SYSTEM_STATE.+slice.+state.+changed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16"/>
        <v>"%USERPROFILE%\Documents\GitHub\eaglep3\Utilities\RefineRTDCRunTimes.py" --tripid 902-27 --locoid 4013 --swversion DE.1.0.8.0 --startMP 300:23262 --initTime 2016-12-27T05:51:33 --startdatetime 2016-12-27T05:53:21 --delay 1 --endMP 204:706 --enddatetime 2016-12-27T06:03:01 --enforcementcount 1 &gt;&gt;C:\Users\stu\Documents\GitHub\eaglep3-reporting\EC\2016-12-27-refined-times.txt</v>
      </c>
      <c r="AI221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{"issue":{"subject":"","project_id":79,"tracker_id":40,"status_id":1,"priority_id":2,"assigned_to_id":23,"start_date":"2016-12-27","description":"","custom_fields":[{"id":1,"name":"Subdivision","value":"Other"},{"id":4,"name":"Milepost","value":"0.0706"},{"id":17,"name":"Train ID","value":"902-27"},{"id":16,"name":"Locomotive ID","value":"4013"},{"id":130,"name":"Impact","value":""},{"id":150,"name":"Time of Event (Mountain Time)","value":"06:03:01"},{"id":151,"name":"Denver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514</v>
      </c>
      <c r="B222" s="7">
        <v>4003</v>
      </c>
      <c r="C222" s="22" t="s">
        <v>205</v>
      </c>
      <c r="D222" s="22" t="s">
        <v>803</v>
      </c>
      <c r="E222" s="13">
        <v>42731.353020833332</v>
      </c>
      <c r="F222" s="13">
        <v>25568.708333333332</v>
      </c>
      <c r="G222" s="7">
        <v>1</v>
      </c>
      <c r="H222" s="22" t="s">
        <v>804</v>
      </c>
      <c r="I222" s="13">
        <v>25568.708333333332</v>
      </c>
      <c r="J222" s="7">
        <v>1</v>
      </c>
      <c r="K222" s="109" t="str">
        <f>IF(ISEVEN(B222),(B222-1)&amp;"/"&amp;B222,B222&amp;"/"&amp;(B222+1))</f>
        <v>4003/4004</v>
      </c>
      <c r="L222" s="22" t="str">
        <f>VLOOKUP(A222,'Trips&amp;Operators'!$C$1:$G$99999,5,FALSE)</f>
        <v>YANG JAN</v>
      </c>
      <c r="M222" s="6">
        <f>I222-F222</f>
        <v>0</v>
      </c>
      <c r="N222" s="7">
        <f>24*60*SUM($M222:$M222)</f>
        <v>0</v>
      </c>
      <c r="O222" s="7"/>
      <c r="P222" s="7"/>
      <c r="Q222" s="23"/>
      <c r="R222" s="23"/>
      <c r="S222" s="35">
        <f>SUM(U222:U222)/IF(AG222="EC",12,1)</f>
        <v>1</v>
      </c>
      <c r="T222" s="50" t="str">
        <f>IF(ISEVEN(LEFT(AD222,4)),"Southbound","NorthBound")</f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https://search-rtdc-monitor-bjffxe2xuh6vdkpspy63sjmuny.us-east-1.es.amazonaws.com/_plugin/kibana/#/discover/Steve-Slow-Train-Analysis-(2080s-and-2083s)?_g=(refreshInterval:(display:Off,section:0,value:0),time:(from:'2016-12-27 07:28:21-700',mode:absolute,to:'1969-12-31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2" s="52" t="str">
        <f>IF(AA222&lt;IF(AG222="EC",23,5.65),"Y","N")</f>
        <v>Y</v>
      </c>
      <c r="X222" s="177">
        <f>VALUE(LEFT(AD222,4))-VALUE(LEFT(AD221,4))</f>
        <v>1</v>
      </c>
      <c r="Y222" s="67">
        <f>RIGHT(D222,LEN(D222)-4)/10000</f>
        <v>0.1125</v>
      </c>
      <c r="Z222" s="67">
        <f>RIGHT(H222,LEN(H222)-4)/10000</f>
        <v>2.4224000000000001</v>
      </c>
      <c r="AA222" s="67">
        <f>ABS(Z222-Y222)</f>
        <v>2.3099000000000003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>IF(LEN(A222)=6,"0"&amp;A222,A222)</f>
        <v>0903-27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16"/>
        <v>"%USERPROFILE%\Documents\GitHub\eaglep3\Utilities\RefineRTDCRunTimes.py" --tripid 903-27 --locoid 4003 --swversion DE.1.0.8.0 --startMP 204:1125 --initTime 2016-12-27T08:28:21 --startdatetime 1969-12-31T17:00:00 --delay 1 --endMP 300:24224 --enddatetime 1969-12-31T17:00:00 --enforcementcount 1 &gt;&gt;C:\Users\stu\Documents\GitHub\eaglep3-reporting\EC\2016-12-27-refined-times.txt</v>
      </c>
      <c r="AI222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ID","value":"903-27"},{"id":16,"name":"Locomotive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580</v>
      </c>
      <c r="B223" s="7">
        <v>4004</v>
      </c>
      <c r="C223" s="22" t="s">
        <v>205</v>
      </c>
      <c r="D223" s="22" t="s">
        <v>805</v>
      </c>
      <c r="E223" s="13">
        <v>42731.644895833335</v>
      </c>
      <c r="F223" s="13">
        <v>42731.646504629629</v>
      </c>
      <c r="G223" s="7">
        <v>1</v>
      </c>
      <c r="H223" s="22" t="s">
        <v>410</v>
      </c>
      <c r="I223" s="13">
        <v>42731.653032407405</v>
      </c>
      <c r="J223" s="7">
        <v>1</v>
      </c>
      <c r="K223" s="109" t="str">
        <f>IF(ISEVEN(B223),(B223-1)&amp;"/"&amp;B223,B223&amp;"/"&amp;(B223+1))</f>
        <v>4003/4004</v>
      </c>
      <c r="L223" s="22" t="str">
        <f>VLOOKUP(A223,'Trips&amp;Operators'!$C$1:$G$99999,5,FALSE)</f>
        <v>HILLS DUSTIN</v>
      </c>
      <c r="M223" s="6">
        <f>I223-F223</f>
        <v>6.5277777757728472E-3</v>
      </c>
      <c r="N223" s="7">
        <f>24*60*SUM($M223:$M223)</f>
        <v>9.3999999971129</v>
      </c>
      <c r="O223" s="7"/>
      <c r="P223" s="7"/>
      <c r="Q223" s="23"/>
      <c r="R223" s="23"/>
      <c r="S223" s="35">
        <f>SUM(U223:U223)/IF(AG223="EC",12,1)</f>
        <v>1</v>
      </c>
      <c r="T223" s="50" t="str">
        <f>IF(ISEVEN(LEFT(AD223,4)),"Southbound","NorthBound")</f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https://search-rtdc-monitor-bjffxe2xuh6vdkpspy63sjmuny.us-east-1.es.amazonaws.com/_plugin/kibana/#/discover/Steve-Slow-Train-Analysis-(2080s-and-2083s)?_g=(refreshInterval:(display:Off,section:0,value:0),time:(from:'2016-12-27 14:28:39-700',mode:absolute,to:'2016-12-27 16:40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3" s="52" t="str">
        <f>IF(AA223&lt;IF(AG223="EC",23,5.65),"Y","N")</f>
        <v>Y</v>
      </c>
      <c r="X223" s="177">
        <f>VALUE(LEFT(AD223,4))-VALUE(LEFT(AD222,4))</f>
        <v>1</v>
      </c>
      <c r="Y223" s="67">
        <f>RIGHT(D223,LEN(D223)-4)/10000</f>
        <v>2.3205</v>
      </c>
      <c r="Z223" s="67">
        <f>RIGHT(H223,LEN(H223)-4)/10000</f>
        <v>6.6400000000000001E-2</v>
      </c>
      <c r="AA223" s="67">
        <f>ABS(Z223-Y223)</f>
        <v>2.2541000000000002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>IF(LEN(A223)=6,"0"&amp;A223,A223)</f>
        <v>0904-27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/stypes="app*4004*20161227*" /stext=" 22:.+((SYSTEM_STATE.+slice.+state.+changed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16"/>
        <v>"%USERPROFILE%\Documents\GitHub\eaglep3\Utilities\RefineRTDCRunTimes.py" --tripid 904-27 --locoid 4004 --swversion DE.1.0.8.0 --startMP 300:23205 --initTime 2016-12-27T15:28:39 --startdatetime 2016-12-27T15:30:58 --delay 1 --endMP 204:664 --enddatetime 2016-12-27T15:40:22 --enforcementcount 1 &gt;&gt;C:\Users\stu\Documents\GitHub\eaglep3-reporting\EC\2016-12-27-refined-times.txt</v>
      </c>
      <c r="AI223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{"issue":{"subject":"","project_id":79,"tracker_id":40,"status_id":1,"priority_id":2,"assigned_to_id":23,"start_date":"2016-12-27","description":"","custom_fields":[{"id":1,"name":"Subdivision","value":"Other"},{"id":4,"name":"Milepost","value":"0.0664"},{"id":17,"name":"Train ID","value":"904-27"},{"id":16,"name":"Locomotive ID","value":"4004"},{"id":130,"name":"Impact","value":""},{"id":150,"name":"Time of Event (Mountain Time)","value":"15:40:22"},{"id":151,"name":"Denver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646</v>
      </c>
      <c r="B224" s="7">
        <v>4013</v>
      </c>
      <c r="C224" s="22" t="s">
        <v>205</v>
      </c>
      <c r="D224" s="22" t="s">
        <v>806</v>
      </c>
      <c r="E224" s="13">
        <v>42731.94253472222</v>
      </c>
      <c r="F224" s="13">
        <v>25568.708333333332</v>
      </c>
      <c r="G224" s="7">
        <v>2</v>
      </c>
      <c r="H224" s="22" t="s">
        <v>807</v>
      </c>
      <c r="I224" s="13">
        <v>25568.708333333332</v>
      </c>
      <c r="J224" s="7">
        <v>1</v>
      </c>
      <c r="K224" s="109" t="str">
        <f>IF(ISEVEN(B224),(B224-1)&amp;"/"&amp;B224,B224&amp;"/"&amp;(B224+1))</f>
        <v>4013/4014</v>
      </c>
      <c r="L224" s="22" t="str">
        <f>VLOOKUP(A224,'Trips&amp;Operators'!$C$1:$G$99999,5,FALSE)</f>
        <v>HILLS DUSTIN</v>
      </c>
      <c r="M224" s="6">
        <f>I224-F224</f>
        <v>0</v>
      </c>
      <c r="N224" s="7">
        <f>24*60*SUM($M224:$M224)</f>
        <v>0</v>
      </c>
      <c r="O224" s="7"/>
      <c r="P224" s="7"/>
      <c r="Q224" s="23"/>
      <c r="R224" s="23"/>
      <c r="S224" s="35">
        <f>SUM(U224:U224)/IF(AG224="EC",12,1)</f>
        <v>0</v>
      </c>
      <c r="T224" s="50" t="str">
        <f>IF(ISEVEN(LEFT(AD224,4)),"Southbound","NorthBound")</f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https://search-rtdc-monitor-bjffxe2xuh6vdkpspy63sjmuny.us-east-1.es.amazonaws.com/_plugin/kibana/#/discover/Steve-Slow-Train-Analysis-(2080s-and-2083s)?_g=(refreshInterval:(display:Off,section:0,value:0),time:(from:'2016-12-27 21:37:15-700',mode:absolute,to:'1969-12-31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4" s="52" t="str">
        <f>IF(AA224&lt;IF(AG224="EC",23,5.65),"Y","N")</f>
        <v>Y</v>
      </c>
      <c r="X224" s="177">
        <f>VALUE(LEFT(AD224,4))-VALUE(LEFT(AD223,4))</f>
        <v>4</v>
      </c>
      <c r="Y224" s="67">
        <f>RIGHT(D224,LEN(D224)-4)/10000</f>
        <v>5.8654999999999999</v>
      </c>
      <c r="Z224" s="67">
        <f>RIGHT(H224,LEN(H224)-4)/10000</f>
        <v>2.1419999999999999</v>
      </c>
      <c r="AA224" s="67">
        <f>ABS(Z224-Y224)</f>
        <v>3.7235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>IF(LEN(A224)=6,"0"&amp;A224,A224)</f>
        <v>0908-27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/stypes="app*4013*19700101*" /stext=" 00:.+((SYSTEM_STATE.+slice.+state.+changed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16"/>
        <v>"%USERPROFILE%\Documents\GitHub\eaglep3\Utilities\RefineRTDCRunTimes.py" --tripid 908-27 --locoid 4013 --swversion DE.1.0.8.0 --startMP 300:58655 --initTime 2016-12-27T22:37:15 --startdatetime 1969-12-31T17:00:00 --delay 2 --endMP 300:21420 --enddatetime 1969-12-31T17:00:00 --enforcementcount 1 &gt;&gt;C:\Users\stu\Documents\GitHub\eaglep3-reporting\EC\2016-12-27-refined-times.txt</v>
      </c>
      <c r="AI224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{"issue":{"subject":"","project_id":79,"tracker_id":40,"status_id":1,"priority_id":2,"assigned_to_id":23,"start_date":"1969-12-31","description":"","custom_fields":[{"id":1,"name":"Subdivision","value":"Other"},{"id":4,"name":"Milepost","value":"2.142"},{"id":17,"name":"Train ID","value":"908-27"},{"id":16,"name":"Locomotive ID","value":"4013"},{"id":130,"name":"Impact","value":""},{"id":150,"name":"Time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593</v>
      </c>
      <c r="B225" s="7">
        <v>4017</v>
      </c>
      <c r="C225" s="22" t="s">
        <v>205</v>
      </c>
      <c r="D225" s="22" t="s">
        <v>744</v>
      </c>
      <c r="E225" s="13">
        <v>42731.710625</v>
      </c>
      <c r="F225" s="13">
        <v>42731.713796296295</v>
      </c>
      <c r="G225" s="7">
        <v>4</v>
      </c>
      <c r="H225" s="22" t="s">
        <v>745</v>
      </c>
      <c r="I225" s="13">
        <v>42731.719293981485</v>
      </c>
      <c r="J225" s="7">
        <v>1</v>
      </c>
      <c r="K225" s="109" t="str">
        <f>IF(ISEVEN(B225),(B225-1)&amp;"/"&amp;B225,B225&amp;"/"&amp;(B225+1))</f>
        <v>4017/4018</v>
      </c>
      <c r="L225" s="22" t="str">
        <f>VLOOKUP(A225,'Trips&amp;Operators'!$C$1:$G$99999,5,FALSE)</f>
        <v>NEWELL JAMES</v>
      </c>
      <c r="M225" s="6">
        <f>I225-F225</f>
        <v>5.4976851897663437E-3</v>
      </c>
      <c r="N225" s="7">
        <f>24*60*SUM($M225:$M225)</f>
        <v>7.9166666732635349</v>
      </c>
      <c r="O225" s="7"/>
      <c r="P225" s="7"/>
      <c r="Q225" s="23"/>
      <c r="R225" s="23"/>
      <c r="S225" s="35">
        <f>SUM(U225:U225)/IF(AG225="EC",12,1)</f>
        <v>0</v>
      </c>
      <c r="T225" s="50" t="e">
        <f>IF(ISEVEN(LEFT(AD225,4)),"Southbound","NorthBound")</f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https://search-rtdc-monitor-bjffxe2xuh6vdkpspy63sjmuny.us-east-1.es.amazonaws.com/_plugin/kibana/#/discover/Steve-Slow-Train-Analysis-(2080s-and-2083s)?_g=(refreshInterval:(display:Off,section:0,value:0),time:(from:'2016-12-27 16:03:18-700',mode:absolute,to:'2016-12-27 18:15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5" s="52" t="str">
        <f>IF(AA225&lt;IF(AG225="EC",23,5.65),"Y","N")</f>
        <v>Y</v>
      </c>
      <c r="X225" s="177" t="e">
        <f>VALUE(LEFT(AD225,4))-VALUE(LEFT(AD224,4))</f>
        <v>#VALUE!</v>
      </c>
      <c r="Y225" s="67">
        <f>RIGHT(D225,LEN(D225)-4)/10000</f>
        <v>2.2157</v>
      </c>
      <c r="Z225" s="67">
        <f>RIGHT(H225,LEN(H225)-4)/10000</f>
        <v>1.4800000000000001E-2</v>
      </c>
      <c r="AA225" s="67">
        <f>ABS(Z225-Y225)</f>
        <v>2.2008999999999999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>IF(LEN(A225)=6,"0"&amp;A225,A225)</f>
        <v>66-27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s3://rtdc.mdm.uploadarchive.raw/RTDC4017/ "%USERPROFILE%\AppData\Local\Temp\OnboardLogs"\RTDC4017\2016-12-27 --exclude "*" --recursive --include "*20161227*" &amp; "%USERPROFILE%\Documents\GitHub\mrs-test-scripts\Headless Mode &amp; Sideloading\WalkAndUnGZ.bat" "%USERPROFILE%\AppData\Local\Temp\OnboardLogs"\RTDC4017\2016-12-27 &amp; 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/stypes="app*4017*20161228*" /stext=" 00:.+((SYSTEM_STATE.+slice.+state.+changed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16"/>
        <v>"%USERPROFILE%\Documents\GitHub\eaglep3\Utilities\RefineRTDCRunTimes.py" --tripid 66-27 --locoid 4017 --swversion DE.1.0.8.0 --startMP 300:22157 --initTime 2016-12-27T17:03:18 --startdatetime 2016-12-27T17:07:52 --delay 4 --endMP 204:148 --enddatetime 2016-12-27T17:15:47 --enforcementcount 1 &gt;&gt;C:\Users\stu\Documents\GitHub\eaglep3-reporting\EC\2016-12-27-refined-times.txt</v>
      </c>
      <c r="AI225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{"issue":{"subject":"","project_id":79,"tracker_id":40,"status_id":1,"priority_id":2,"assigned_to_id":23,"start_date":"2016-12-27","description":"","custom_fields":[{"id":1,"name":"Subdivision","value":"Other"},{"id":4,"name":"Milepost","value":"0.0148"},{"id":17,"name":"Train ID","value":"66-27"},{"id":16,"name":"Locomotive ID","value":"4017"},{"id":130,"name":"Impact","value":""},{"id":150,"name":"Time of Event (Mountain Time)","value":"17:15:47"},{"id":151,"name":"Denver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607</v>
      </c>
      <c r="B226" s="7">
        <v>4032</v>
      </c>
      <c r="C226" s="22" t="s">
        <v>205</v>
      </c>
      <c r="D226" s="22" t="s">
        <v>746</v>
      </c>
      <c r="E226" s="13">
        <v>42731.749837962961</v>
      </c>
      <c r="F226" s="13">
        <v>42731.75105324074</v>
      </c>
      <c r="G226" s="7">
        <v>1</v>
      </c>
      <c r="H226" s="22" t="s">
        <v>747</v>
      </c>
      <c r="I226" s="13">
        <v>42731.758842592593</v>
      </c>
      <c r="J226" s="7">
        <v>1</v>
      </c>
      <c r="K226" s="109" t="str">
        <f>IF(ISEVEN(B226),(B226-1)&amp;"/"&amp;B226,B226&amp;"/"&amp;(B226+1))</f>
        <v>4031/4032</v>
      </c>
      <c r="L226" s="22" t="str">
        <f>VLOOKUP(A226,'Trips&amp;Operators'!$C$1:$G$99999,5,FALSE)</f>
        <v>SAFIEF AEIMEN</v>
      </c>
      <c r="M226" s="6">
        <f>I226-F226</f>
        <v>7.7893518537166528E-3</v>
      </c>
      <c r="N226" s="7">
        <f>24*60*SUM($M226:$M226)</f>
        <v>11.21666666935198</v>
      </c>
      <c r="O226" s="7"/>
      <c r="P226" s="7"/>
      <c r="Q226" s="23"/>
      <c r="R226" s="23"/>
      <c r="S226" s="35">
        <f>SUM(U226:U226)/IF(AG226="EC",12,1)</f>
        <v>0</v>
      </c>
      <c r="T226" s="50" t="e">
        <f>IF(ISEVEN(LEFT(AD226,4)),"Southbound","NorthBound")</f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https://search-rtdc-monitor-bjffxe2xuh6vdkpspy63sjmuny.us-east-1.es.amazonaws.com/_plugin/kibana/#/discover/Steve-Slow-Train-Analysis-(2080s-and-2083s)?_g=(refreshInterval:(display:Off,section:0,value:0),time:(from:'2016-12-27 16:59:46-700',mode:absolute,to:'2016-12-27 19:12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6" s="52" t="str">
        <f>IF(AA226&lt;IF(AG226="EC",23,5.65),"Y","N")</f>
        <v>Y</v>
      </c>
      <c r="X226" s="177" t="e">
        <f>VALUE(LEFT(AD226,4))-VALUE(LEFT(AD225,4))</f>
        <v>#VALUE!</v>
      </c>
      <c r="Y226" s="67">
        <f>RIGHT(D226,LEN(D226)-4)/10000</f>
        <v>2.1795</v>
      </c>
      <c r="Z226" s="67">
        <f>RIGHT(H226,LEN(H226)-4)/10000</f>
        <v>9.1800000000000007E-2</v>
      </c>
      <c r="AA226" s="67">
        <f>ABS(Z226-Y226)</f>
        <v>2.0876999999999999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>IF(LEN(A226)=6,"0"&amp;A226,A226)</f>
        <v>68-27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 &amp; aws s3 cp s3://rtdc.mdm.uploadarchive.raw/RTDC4032/ "%USERPROFILE%\AppData\Local\Temp\OnboardLogs"\RTDC4032\2016-12-28 --exclude "*" --recursive --include "*20161228*" &amp; "%USERPROFILE%\Documents\GitHub\mrs-test-scripts\Headless Mode &amp; Sideloading\WalkAndUnGZ.bat" "%USERPROFILE%\AppData\Local\Temp\OnboardLogs"\RTDC4032\2016-12-28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/stypes="app*4032*20161228*" /stext=" 01:.+((SYSTEM_STATE.+slice.+state.+changed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16"/>
        <v>"%USERPROFILE%\Documents\GitHub\eaglep3\Utilities\RefineRTDCRunTimes.py" --tripid 68-27 --locoid 4032 --swversion DE.1.0.8.0 --startMP 300:21795 --initTime 2016-12-27T17:59:46 --startdatetime 2016-12-27T18:01:31 --delay 1 --endMP 204:918 --enddatetime 2016-12-27T18:12:44 --enforcementcount 1 &gt;&gt;C:\Users\stu\Documents\GitHub\eaglep3-reporting\EC\2016-12-27-refined-times.txt</v>
      </c>
      <c r="AI226" s="119" t="str">
        <f t="shared" si="17"/>
        <v>echo {"issue":{"subject":"","project_id":79,"tracker_id":40,"status_id":1,"priority_id":2,"assigned_to_id":23,"start_date":"2016-12-27","description":"","custom_fields":[{"id":1,"name":"Subdivision","value":"Other"},{"id":4,"name":"Milepost","value":"0.0918"},{"id":17,"name":"Train ID","value":"68-27"},{"id":16,"name":"Locomotive ID","value":"4032"},{"id":130,"name":"Impact","value":""},{"id":150,"name":"Time of Event (Mountain Time)","value":"18:12:44"},{"id":151,"name":"Denver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610</v>
      </c>
      <c r="B227" s="7">
        <v>4018</v>
      </c>
      <c r="C227" s="22" t="s">
        <v>205</v>
      </c>
      <c r="D227" s="22" t="s">
        <v>194</v>
      </c>
      <c r="E227" s="13">
        <v>42731.756909722222</v>
      </c>
      <c r="F227" s="13">
        <v>25568.708333333332</v>
      </c>
      <c r="G227" s="7">
        <v>1</v>
      </c>
      <c r="H227" s="22" t="s">
        <v>739</v>
      </c>
      <c r="I227" s="13">
        <v>25568.708333333332</v>
      </c>
      <c r="J227" s="7">
        <v>1</v>
      </c>
      <c r="K227" s="109" t="str">
        <f>IF(ISEVEN(B227),(B227-1)&amp;"/"&amp;B227,B227&amp;"/"&amp;(B227+1))</f>
        <v>4017/4018</v>
      </c>
      <c r="L227" s="22" t="str">
        <f>VLOOKUP(A227,'Trips&amp;Operators'!$C$1:$G$99999,5,FALSE)</f>
        <v>DAVIS MICHAEL</v>
      </c>
      <c r="M227" s="6">
        <f>I227-F227</f>
        <v>0</v>
      </c>
      <c r="N227" s="7">
        <f>24*60*SUM($M227:$M227)</f>
        <v>0</v>
      </c>
      <c r="O227" s="7"/>
      <c r="P227" s="7"/>
      <c r="Q227" s="23"/>
      <c r="R227" s="23"/>
      <c r="S227" s="35">
        <f>SUM(U227:U227)/IF(AG227="EC",12,1)</f>
        <v>0</v>
      </c>
      <c r="T227" s="50" t="e">
        <f>IF(ISEVEN(LEFT(AD227,4)),"Southbound","NorthBound")</f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https://search-rtdc-monitor-bjffxe2xuh6vdkpspy63sjmuny.us-east-1.es.amazonaws.com/_plugin/kibana/#/discover/Steve-Slow-Train-Analysis-(2080s-and-2083s)?_g=(refreshInterval:(display:Off,section:0,value:0),time:(from:'2016-12-27 17:09:57-700',mode:absolute,to:'1969-12-31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7" s="52" t="str">
        <f>IF(AA227&lt;IF(AG227="EC",23,5.65),"Y","N")</f>
        <v>Y</v>
      </c>
      <c r="X227" s="177" t="e">
        <f>VALUE(LEFT(AD227,4))-VALUE(LEFT(AD226,4))</f>
        <v>#VALUE!</v>
      </c>
      <c r="Y227" s="67">
        <f>RIGHT(D227,LEN(D227)-4)/10000</f>
        <v>4.5100000000000001E-2</v>
      </c>
      <c r="Z227" s="67">
        <f>RIGHT(H227,LEN(H227)-4)/10000</f>
        <v>2.3298999999999999</v>
      </c>
      <c r="AA227" s="67">
        <f>ABS(Z227-Y227)</f>
        <v>2.2847999999999997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>IF(LEN(A227)=6,"0"&amp;A227,A227)</f>
        <v>71-27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16"/>
        <v>"%USERPROFILE%\Documents\GitHub\eaglep3\Utilities\RefineRTDCRunTimes.py" --tripid 71-27 --locoid 4018 --swversion DE.1.0.8.0 --startMP 204:451 --initTime 2016-12-27T18:09:57 --startdatetime 1969-12-31T17:00:00 --delay 1 --endMP 300:23299 --enddatetime 1969-12-31T17:00:00 --enforcementcount 1 &gt;&gt;C:\Users\stu\Documents\GitHub\eaglep3-reporting\EC\2016-12-27-refined-times.txt</v>
      </c>
      <c r="AI227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ID","value":"71-27"},{"id":16,"name":"Locomotive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598</v>
      </c>
      <c r="B228" s="7">
        <v>4011</v>
      </c>
      <c r="C228" s="22" t="s">
        <v>205</v>
      </c>
      <c r="D228" s="22" t="s">
        <v>748</v>
      </c>
      <c r="E228" s="13">
        <v>42731.720185185186</v>
      </c>
      <c r="F228" s="13">
        <v>25568.708333333332</v>
      </c>
      <c r="G228" s="7">
        <v>1</v>
      </c>
      <c r="H228" s="22" t="s">
        <v>407</v>
      </c>
      <c r="I228" s="13">
        <v>25568.708333333332</v>
      </c>
      <c r="J228" s="7">
        <v>1</v>
      </c>
      <c r="K228" s="109" t="str">
        <f>IF(ISEVEN(B228),(B228-1)&amp;"/"&amp;B228,B228&amp;"/"&amp;(B228+1))</f>
        <v>4011/4012</v>
      </c>
      <c r="L228" s="22" t="str">
        <f>VLOOKUP(A228,'Trips&amp;Operators'!$C$1:$G$99999,5,FALSE)</f>
        <v>SANTIZO D. EDY</v>
      </c>
      <c r="M228" s="6">
        <f>I228-F228</f>
        <v>0</v>
      </c>
      <c r="N228" s="7">
        <f>24*60*SUM($M228:$M228)</f>
        <v>0</v>
      </c>
      <c r="O228" s="7"/>
      <c r="P228" s="7"/>
      <c r="Q228" s="23"/>
      <c r="R228" s="23"/>
      <c r="S228" s="35">
        <f>SUM(U228:U228)/IF(AG228="EC",12,1)</f>
        <v>0</v>
      </c>
      <c r="T228" s="50" t="e">
        <f>IF(ISEVEN(LEFT(AD228,4)),"Southbound","NorthBound")</f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https://search-rtdc-monitor-bjffxe2xuh6vdkpspy63sjmuny.us-east-1.es.amazonaws.com/_plugin/kibana/#/discover/Steve-Slow-Train-Analysis-(2080s-and-2083s)?_g=(refreshInterval:(display:Off,section:0,value:0),time:(from:'2016-12-27 16:17:04-700',mode:absolute,to:'1969-12-31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8" s="52" t="str">
        <f>IF(AA228&lt;IF(AG228="EC",23,5.65),"Y","N")</f>
        <v>Y</v>
      </c>
      <c r="X228" s="177" t="e">
        <f>VALUE(LEFT(AD228,4))-VALUE(LEFT(AD227,4))</f>
        <v>#VALUE!</v>
      </c>
      <c r="Y228" s="67">
        <f>RIGHT(D228,LEN(D228)-4)/10000</f>
        <v>0.14810000000000001</v>
      </c>
      <c r="Z228" s="67">
        <f>RIGHT(H228,LEN(H228)-4)/10000</f>
        <v>2.331</v>
      </c>
      <c r="AA228" s="67">
        <f>ABS(Z228-Y228)</f>
        <v>2.1829000000000001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>IF(LEN(A228)=6,"0"&amp;A228,A228)</f>
        <v>75-27</v>
      </c>
      <c r="AE228" s="91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28" s="88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2" t="str">
        <f t="shared" si="16"/>
        <v>"%USERPROFILE%\Documents\GitHub\eaglep3\Utilities\RefineRTDCRunTimes.py" --tripid 75-27 --locoid 4011 --swversion DE.1.0.8.0 --startMP 204:1481 --initTime 2016-12-27T17:17:04 --startdatetime 1969-12-31T17:00:00 --delay 1 --endMP 300:23310 --enddatetime 1969-12-31T17:00:00 --enforcementcount 1 &gt;&gt;C:\Users\stu\Documents\GitHub\eaglep3-reporting\EC\2016-12-27-refined-times.txt</v>
      </c>
      <c r="AI228" s="119" t="str">
        <f t="shared" si="17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ID","value":"75-27"},{"id":16,"name":"Locomotive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</sheetData>
  <autoFilter ref="A12:AG224">
    <sortState ref="A13:AG229">
      <sortCondition ref="AG13:AG229"/>
      <sortCondition ref="AD13:AD229"/>
    </sortState>
  </autoFilter>
  <sortState ref="A13:AH200">
    <sortCondition ref="AG13:AG200"/>
    <sortCondition ref="AD13:AD200"/>
  </sortState>
  <mergeCells count="1">
    <mergeCell ref="A11:P11"/>
  </mergeCells>
  <conditionalFormatting sqref="W11:W12 W238:X1048576 W13:X228">
    <cfRule type="cellIs" dxfId="10" priority="352" operator="equal">
      <formula>"Y"</formula>
    </cfRule>
  </conditionalFormatting>
  <conditionalFormatting sqref="X238:X1048576 X13:X228">
    <cfRule type="cellIs" dxfId="9" priority="335" operator="greaterThan">
      <formula>1</formula>
    </cfRule>
  </conditionalFormatting>
  <conditionalFormatting sqref="X238:X1048576 X12:X228">
    <cfRule type="cellIs" dxfId="8" priority="332" operator="equal">
      <formula>0</formula>
    </cfRule>
  </conditionalFormatting>
  <conditionalFormatting sqref="A13:S228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="85" zoomScaleNormal="85" workbookViewId="0">
      <selection activeCell="P7" sqref="P7:P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5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22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- 2016-12-27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42731.145532407405</v>
      </c>
      <c r="B7" s="31" t="s">
        <v>214</v>
      </c>
      <c r="C7" s="31" t="s">
        <v>429</v>
      </c>
      <c r="D7" s="31" t="s">
        <v>98</v>
      </c>
      <c r="E7" s="31" t="s">
        <v>246</v>
      </c>
      <c r="F7" s="47">
        <v>140</v>
      </c>
      <c r="G7" s="47">
        <v>194</v>
      </c>
      <c r="H7" s="47">
        <v>30999</v>
      </c>
      <c r="I7" s="47">
        <v>31473</v>
      </c>
      <c r="J7" s="31" t="s">
        <v>247</v>
      </c>
      <c r="K7" s="47">
        <v>30830</v>
      </c>
      <c r="L7" s="154" t="s">
        <v>50</v>
      </c>
      <c r="M7" s="155">
        <f>CONVERT((I7-K7)/10000,"mi","ft")*IF(L7="Increasing Mileposts (1)",-1,1)</f>
        <v>-339.50399999999996</v>
      </c>
      <c r="N7" s="156" t="str">
        <f>VLOOKUP(C7,'Trips&amp;Operators'!$C$1:$G$99999,5,FALSE)</f>
        <v>YOUNG ELIZABETH</v>
      </c>
      <c r="O7" s="183" t="s">
        <v>195</v>
      </c>
      <c r="P7" s="157" t="s">
        <v>424</v>
      </c>
      <c r="Q7" s="31"/>
      <c r="R7" s="100" t="str">
        <f>VLOOKUP(C7,'Train Runs'!$A$13:$AE$9968,31,0)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S7" s="103" t="str">
        <f>VLOOKUP(C7,'Train Runs'!$A$13:$AE$9968,22,0)</f>
        <v>https://search-rtdc-monitor-bjffxe2xuh6vdkpspy63sjmuny.us-east-1.es.amazonaws.com/_plugin/kibana/#/discover/Steve-Slow-Train-Analysis-(2080s-and-2083s)?_g=(refreshInterval:(display:Off,section:0,value:0),time:(from:'2016-12-27 02:03:38-700',mode:absolute,to:'2016-12-27 05:03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/stypes="*4022*201612271*" /stext=" 10:.+((SYSTEM_STATE.+slice.+state.+changed )|(ment ac)|(multiple cpu faults)|(system.+state.+changed )|(\[timeout)|(PRM\|1\|D)|(kpr)|(kdp)|(\|lc)|(penalty))" /e /r /s</v>
      </c>
      <c r="U7" s="9" t="str">
        <f>MID(B7,13,4)</f>
        <v>4022</v>
      </c>
      <c r="V7" s="36">
        <f>A7-utc_offset/24</f>
        <v>42731.437199074069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arrival","project_id":79,"tracker_id":40,"status_id":1,"priority_id":2,"assigned_to_id":23,"start_date":"2016-12-27","description":"","custom_fields":[{"id":1,"name":"Subdivision","value":"EC"},{"id":4,"name":"Milepost","value":"3.083"},{"id":17,"name":"Train ID","value":"101-27"},{"id":16,"name":"Locomotive ID","value":"4022"},{"id":130,"name":"Impact","value":""},{"id":150,"name":"Time of Event (Mountain Time)","value":"03:29:34"},{"id":151,"name":"Denver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"%USERPROFILE%\AppData\Local\Temp\OnboardLogs"\RTDC4022\*4022*201612271*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"%USERPROFILE%\AppData\Local\Temp\OnboardLogs"\RTDC4022\*4022*201612271* &gt;&gt; 42731-slicedisagreementcheck.txt</v>
      </c>
    </row>
    <row r="8" spans="1:30" s="1" customFormat="1" x14ac:dyDescent="0.25">
      <c r="A8" s="36">
        <v>42731.538148148145</v>
      </c>
      <c r="B8" s="31" t="s">
        <v>435</v>
      </c>
      <c r="C8" s="31" t="s">
        <v>440</v>
      </c>
      <c r="D8" s="31" t="s">
        <v>49</v>
      </c>
      <c r="E8" s="31" t="s">
        <v>246</v>
      </c>
      <c r="F8" s="47">
        <v>300</v>
      </c>
      <c r="G8" s="47">
        <v>353</v>
      </c>
      <c r="H8" s="47">
        <v>32432</v>
      </c>
      <c r="I8" s="47">
        <v>33230</v>
      </c>
      <c r="J8" s="31" t="s">
        <v>247</v>
      </c>
      <c r="K8" s="47">
        <v>33137</v>
      </c>
      <c r="L8" s="154" t="s">
        <v>50</v>
      </c>
      <c r="M8" s="155">
        <f>CONVERT((I8-K8)/10000,"mi","ft")*IF(L8="Increasing Mileposts (1)",-1,1)</f>
        <v>-49.103999999999999</v>
      </c>
      <c r="N8" s="156" t="str">
        <f>VLOOKUP(C8,'Trips&amp;Operators'!$C$1:$G$99999,5,FALSE)</f>
        <v>DAVIS MICHAEL</v>
      </c>
      <c r="O8" s="183" t="s">
        <v>195</v>
      </c>
      <c r="P8" s="157" t="s">
        <v>424</v>
      </c>
      <c r="Q8" s="31"/>
      <c r="R8" s="100" t="str">
        <f>VLOOKUP(C8,'Train Runs'!$A$13:$AE$9968,31,0)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S8" s="103" t="str">
        <f>VLOOKUP(C8,'Train Runs'!$A$13:$AE$9968,22,0)</f>
        <v>https://search-rtdc-monitor-bjffxe2xuh6vdkpspy63sjmuny.us-east-1.es.amazonaws.com/_plugin/kibana/#/discover/Steve-Slow-Train-Analysis-(2080s-and-2083s)?_g=(refreshInterval:(display:Off,section:0,value:0),time:(from:'2016-12-27 11:42:48-700',mode:absolute,to:'2016-12-27 14:23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/stypes="*4007*201612271*" /stext=" 19:.+((SYSTEM_STATE.+slice.+state.+changed )|(ment ac)|(multiple cpu faults)|(system.+state.+changed )|(\[timeout)|(PRM\|1\|D)|(kpr)|(kdp)|(\|lc)|(penalty))" /e /r /s</v>
      </c>
      <c r="U8" s="9" t="str">
        <f>MID(B8,13,4)</f>
        <v>4007</v>
      </c>
      <c r="V8" s="36">
        <f>A8-utc_offset/24</f>
        <v>42731.82981481481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arrival","project_id":79,"tracker_id":40,"status_id":1,"priority_id":2,"assigned_to_id":23,"start_date":"2016-12-27","description":"","custom_fields":[{"id":1,"name":"Subdivision","value":"EC"},{"id":4,"name":"Milepost","value":"3.3137"},{"id":17,"name":"Train ID","value":"173-27"},{"id":16,"name":"Locomotive ID","value":"4007"},{"id":130,"name":"Impact","value":""},{"id":150,"name":"Time of Event (Mountain Time)","value":"12:54:56"},{"id":151,"name":"Denver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"%USERPROFILE%\AppData\Local\Temp\OnboardLogs"\RTDC4007\*4007*201612271*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"%USERPROFILE%\AppData\Local\Temp\OnboardLogs"\RTDC4007\*4007*201612271* &gt;&gt; 42731-slicedisagreementcheck.txt</v>
      </c>
    </row>
    <row r="9" spans="1:30" s="1" customFormat="1" x14ac:dyDescent="0.25">
      <c r="A9" s="36">
        <v>42731.664490740739</v>
      </c>
      <c r="B9" s="31" t="s">
        <v>214</v>
      </c>
      <c r="C9" s="31" t="s">
        <v>445</v>
      </c>
      <c r="D9" s="31" t="s">
        <v>49</v>
      </c>
      <c r="E9" s="31" t="s">
        <v>246</v>
      </c>
      <c r="F9" s="47">
        <v>260</v>
      </c>
      <c r="G9" s="47">
        <v>311</v>
      </c>
      <c r="H9" s="47">
        <v>31927</v>
      </c>
      <c r="I9" s="47">
        <v>32539</v>
      </c>
      <c r="J9" s="31" t="s">
        <v>247</v>
      </c>
      <c r="K9" s="47">
        <v>33137</v>
      </c>
      <c r="L9" s="154" t="s">
        <v>50</v>
      </c>
      <c r="M9" s="155">
        <f>CONVERT((I9-K9)/10000,"mi","ft")*IF(L9="Increasing Mileposts (1)",-1,1)</f>
        <v>315.74400000000003</v>
      </c>
      <c r="N9" s="156" t="str">
        <f>VLOOKUP(C9,'Trips&amp;Operators'!$C$1:$G$99999,5,FALSE)</f>
        <v>ADANE ELSHADAY</v>
      </c>
      <c r="O9" s="183" t="s">
        <v>195</v>
      </c>
      <c r="P9" s="157" t="s">
        <v>424</v>
      </c>
      <c r="Q9" s="31"/>
      <c r="R9" s="100" t="str">
        <f>VLOOKUP(C9,'Train Runs'!$A$13:$AE$9968,31,0)</f>
        <v>aws s3 cp s3://rtdc.mdm.uploadarchive.raw/RTDC4022/ "%USERPROFILE%\AppData\Local\Temp\OnboardLogs"\RTDC4022\2016-12-27 --exclude "*" --recursive --include "*20161227*" &amp; "%USERPROFILE%\Documents\GitHub\mrs-test-scripts\Headless Mode &amp; Sideloading\WalkAndUnGZ.bat" "%USERPROFILE%\AppData\Local\Temp\OnboardLogs"\RTDC4022\2016-12-27 &amp; aws s3 cp s3://rtdc.mdm.uploadarchive.raw/RTDC4022/ "%USERPROFILE%\AppData\Local\Temp\OnboardLogs"\RTDC4022\2016-12-28 --exclude "*" --recursive --include "*20161228*" &amp; "%USERPROFILE%\Documents\GitHub\mrs-test-scripts\Headless Mode &amp; Sideloading\WalkAndUnGZ.bat" "%USERPROFILE%\AppData\Local\Temp\OnboardLogs"\RTDC4022\2016-12-28</v>
      </c>
      <c r="S9" s="103" t="str">
        <f>VLOOKUP(C9,'Train Runs'!$A$13:$AE$9968,22,0)</f>
        <v>https://search-rtdc-monitor-bjffxe2xuh6vdkpspy63sjmuny.us-east-1.es.amazonaws.com/_plugin/kibana/#/discover/Steve-Slow-Train-Analysis-(2080s-and-2083s)?_g=(refreshInterval:(display:Off,section:0,value:0),time:(from:'2016-12-27 14:44:30-700',mode:absolute,to:'2016-12-27 17:26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/stypes="*4022*201612272*" /stext=" 22:.+((SYSTEM_STATE.+slice.+state.+changed )|(ment ac)|(multiple cpu faults)|(system.+state.+changed )|(\[timeout)|(PRM\|1\|D)|(kpr)|(kdp)|(\|lc)|(penalty))" /e /r /s</v>
      </c>
      <c r="U9" s="9" t="str">
        <f>MID(B9,13,4)</f>
        <v>4022</v>
      </c>
      <c r="V9" s="36">
        <f>A9-utc_offset/24</f>
        <v>42731.956157407403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arrival","project_id":79,"tracker_id":40,"status_id":1,"priority_id":2,"assigned_to_id":23,"start_date":"2016-12-27","description":"","custom_fields":[{"id":1,"name":"Subdivision","value":"EC"},{"id":4,"name":"Milepost","value":"3.3137"},{"id":17,"name":"Train ID","value":"197-27"},{"id":16,"name":"Locomotive ID","value":"4022"},{"id":130,"name":"Impact","value":""},{"id":150,"name":"Time of Event (Mountain Time)","value":"15:56:52"},{"id":151,"name":"Denver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"%USERPROFILE%\AppData\Local\Temp\OnboardLogs"\RTDC4022\*4022*201612272*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"%USERPROFILE%\AppData\Local\Temp\OnboardLogs"\RTDC4022\*4022*201612272* &gt;&gt; 42731-slicedisagreementcheck.txt</v>
      </c>
    </row>
    <row r="10" spans="1:30" s="1" customFormat="1" x14ac:dyDescent="0.25">
      <c r="A10" s="36">
        <v>42732.060497685183</v>
      </c>
      <c r="B10" s="31" t="s">
        <v>432</v>
      </c>
      <c r="C10" s="31" t="s">
        <v>455</v>
      </c>
      <c r="D10" s="31" t="s">
        <v>49</v>
      </c>
      <c r="E10" s="31" t="s">
        <v>246</v>
      </c>
      <c r="F10" s="47">
        <v>310</v>
      </c>
      <c r="G10" s="47">
        <v>370</v>
      </c>
      <c r="H10" s="47">
        <v>35665</v>
      </c>
      <c r="I10" s="47">
        <v>34680</v>
      </c>
      <c r="J10" s="31" t="s">
        <v>247</v>
      </c>
      <c r="K10" s="47">
        <v>33257</v>
      </c>
      <c r="L10" s="154" t="s">
        <v>51</v>
      </c>
      <c r="M10" s="155">
        <f>CONVERT((I10-K10)/10000,"mi","ft")*IF(L10="Increasing Mileposts (1)",-1,1)</f>
        <v>751.34400000000005</v>
      </c>
      <c r="N10" s="156" t="str">
        <f>VLOOKUP(C10,'Trips&amp;Operators'!$C$1:$G$99999,5,FALSE)</f>
        <v>SIMONEAUX TERA</v>
      </c>
      <c r="O10" s="183" t="s">
        <v>195</v>
      </c>
      <c r="P10" s="157" t="s">
        <v>424</v>
      </c>
      <c r="Q10" s="31"/>
      <c r="R10" s="100" t="str">
        <f>VLOOKUP(C10,'Train Runs'!$A$13:$AE$9968,31,0)</f>
        <v>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 &amp; 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</v>
      </c>
      <c r="S10" s="103" t="str">
        <f>VLOOKUP(C10,'Train Runs'!$A$13:$AE$9968,22,0)</f>
        <v>https://search-rtdc-monitor-bjffxe2xuh6vdkpspy63sjmuny.us-east-1.es.amazonaws.com/_plugin/kibana/#/discover/Steve-Slow-Train-Analysis-(2080s-and-2083s)?_g=(refreshInterval:(display:Off,section:0,value:0),time:(from:'2016-12-27 23:47:17-700',mode:absolute,to:'2016-12-28 02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/stypes="*4041*201612280*" /stext=" 08:.+((SYSTEM_STATE.+slice.+state.+changed )|(ment ac)|(multiple cpu faults)|(system.+state.+changed )|(\[timeout)|(PRM\|1\|D)|(kpr)|(kdp)|(\|lc)|(penalty))" /e /r /s</v>
      </c>
      <c r="U10" s="9" t="str">
        <f>MID(B10,13,4)</f>
        <v>4041</v>
      </c>
      <c r="V10" s="36">
        <f>A10-utc_offset/24</f>
        <v>42732.352164351847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arrival","project_id":79,"tracker_id":40,"status_id":1,"priority_id":2,"assigned_to_id":23,"start_date":"2016-12-28","description":"","custom_fields":[{"id":1,"name":"Subdivision","value":"EC"},{"id":4,"name":"Milepost","value":"3.3257"},{"id":17,"name":"Train ID","value":"242-27"},{"id":16,"name":"Locomotive ID","value":"4041"},{"id":130,"name":"Impact","value":""},{"id":150,"name":"Time of Event (Mountain Time)","value":"01:27:07"},{"id":151,"name":"Denver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"%USERPROFILE%\AppData\Local\Temp\OnboardLogs"\RTDC4041\*4041*201612280*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"%USERPROFILE%\AppData\Local\Temp\OnboardLogs"\RTDC4041\*4041*201612280* &gt;&gt; 42731-slicedisagreementcheck.txt</v>
      </c>
    </row>
    <row r="11" spans="1:30" s="1" customFormat="1" x14ac:dyDescent="0.25">
      <c r="A11" s="36">
        <v>42731.488229166665</v>
      </c>
      <c r="B11" s="31" t="s">
        <v>212</v>
      </c>
      <c r="C11" s="31" t="s">
        <v>438</v>
      </c>
      <c r="D11" s="31" t="s">
        <v>49</v>
      </c>
      <c r="E11" s="31" t="s">
        <v>246</v>
      </c>
      <c r="F11" s="47">
        <v>460</v>
      </c>
      <c r="G11" s="47">
        <v>590</v>
      </c>
      <c r="H11" s="47">
        <v>60888</v>
      </c>
      <c r="I11" s="47">
        <v>63281</v>
      </c>
      <c r="J11" s="31" t="s">
        <v>247</v>
      </c>
      <c r="K11" s="47">
        <v>63069</v>
      </c>
      <c r="L11" s="154" t="s">
        <v>50</v>
      </c>
      <c r="M11" s="155">
        <f>CONVERT((I11-K11)/10000,"mi","ft")*IF(L11="Increasing Mileposts (1)",-1,1)</f>
        <v>-111.93600000000001</v>
      </c>
      <c r="N11" s="156" t="str">
        <f>VLOOKUP(C11,'Trips&amp;Operators'!$C$1:$G$99999,5,FALSE)</f>
        <v>SIMMONS SHYHESHA</v>
      </c>
      <c r="O11" s="183" t="s">
        <v>195</v>
      </c>
      <c r="P11" s="157" t="s">
        <v>424</v>
      </c>
      <c r="Q11" s="31"/>
      <c r="R11" s="100" t="str">
        <f>VLOOKUP(C11,'Train Runs'!$A$13:$AE$9968,31,0)</f>
        <v>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 &amp; aws s3 cp s3://rtdc.mdm.uploadarchive.raw/RTDC4002/ "%USERPROFILE%\AppData\Local\Temp\OnboardLogs"\RTDC4002\2016-12-28 --exclude "*" --recursive --include "*20161228*" &amp; "%USERPROFILE%\Documents\GitHub\mrs-test-scripts\Headless Mode &amp; Sideloading\WalkAndUnGZ.bat" "%USERPROFILE%\AppData\Local\Temp\OnboardLogs"\RTDC4002\2016-12-28</v>
      </c>
      <c r="S11" s="103" t="str">
        <f>VLOOKUP(C11,'Train Runs'!$A$13:$AE$9968,22,0)</f>
        <v>https://search-rtdc-monitor-bjffxe2xuh6vdkpspy63sjmuny.us-east-1.es.amazonaws.com/_plugin/kibana/#/discover/Steve-Slow-Train-Analysis-(2080s-and-2083s)?_g=(refreshInterval:(display:Off,section:0,value:0),time:(from:'2016-12-27 10:24:39-700',mode:absolute,to:'2016-12-27 13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/stypes="*4002*201612271*" /stext=" 18:.+((SYSTEM_STATE.+slice.+state.+changed )|(ment ac)|(multiple cpu faults)|(system.+state.+changed )|(\[timeout)|(PRM\|1\|D)|(kpr)|(kdp)|(\|lc)|(penalty))" /e /r /s</v>
      </c>
      <c r="U11" s="9" t="str">
        <f>MID(B11,13,4)</f>
        <v>4002</v>
      </c>
      <c r="V11" s="36">
        <f>A11-utc_offset/24</f>
        <v>42731.77989583333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arrival","project_id":79,"tracker_id":40,"status_id":1,"priority_id":2,"assigned_to_id":23,"start_date":"2016-12-27","description":"","custom_fields":[{"id":1,"name":"Subdivision","value":"EC"},{"id":4,"name":"Milepost","value":"6.3069"},{"id":17,"name":"Train ID","value":"163-27"},{"id":16,"name":"Locomotive ID","value":"4002"},{"id":130,"name":"Impact","value":""},{"id":150,"name":"Time of Event (Mountain Time)","value":"11:43:03"},{"id":151,"name":"Denver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"%USERPROFILE%\AppData\Local\Temp\OnboardLogs"\RTDC4002\*4002*201612271*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"%USERPROFILE%\AppData\Local\Temp\OnboardLogs"\RTDC4002\*4002*201612271* &gt;&gt; 42731-slicedisagreementcheck.txt</v>
      </c>
    </row>
    <row r="12" spans="1:30" s="1" customFormat="1" x14ac:dyDescent="0.25">
      <c r="A12" s="36">
        <v>42731.885370370372</v>
      </c>
      <c r="B12" s="31" t="s">
        <v>432</v>
      </c>
      <c r="C12" s="31" t="s">
        <v>454</v>
      </c>
      <c r="D12" s="31" t="s">
        <v>49</v>
      </c>
      <c r="E12" s="31" t="s">
        <v>246</v>
      </c>
      <c r="F12" s="47">
        <v>0</v>
      </c>
      <c r="G12" s="47">
        <v>590</v>
      </c>
      <c r="H12" s="47">
        <v>104401</v>
      </c>
      <c r="I12" s="47">
        <v>102302</v>
      </c>
      <c r="J12" s="31" t="s">
        <v>247</v>
      </c>
      <c r="K12" s="47">
        <v>103800</v>
      </c>
      <c r="L12" s="154" t="s">
        <v>51</v>
      </c>
      <c r="M12" s="155">
        <f>CONVERT((I12-K12)/10000,"mi","ft")*IF(L12="Increasing Mileposts (1)",-1,1)</f>
        <v>-790.94399999999996</v>
      </c>
      <c r="N12" s="156" t="str">
        <f>VLOOKUP(C12,'Trips&amp;Operators'!$C$1:$G$99999,5,FALSE)</f>
        <v>SIMONEAUX TERA</v>
      </c>
      <c r="O12" s="183" t="s">
        <v>195</v>
      </c>
      <c r="P12" s="157" t="s">
        <v>424</v>
      </c>
      <c r="Q12" s="31"/>
      <c r="R12" s="100" t="str">
        <f>VLOOKUP(C12,'Train Runs'!$A$13:$AE$9968,31,0)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S12" s="103" t="str">
        <f>VLOOKUP(C12,'Train Runs'!$A$13:$AE$9968,22,0)</f>
        <v>https://search-rtdc-monitor-bjffxe2xuh6vdkpspy63sjmuny.us-east-1.es.amazonaws.com/_plugin/kibana/#/discover/Steve-Slow-Train-Analysis-(2080s-and-2083s)?_g=(refreshInterval:(display:Off,section:0,value:0),time:(from:'2016-12-27 19:48:15-700',mode:absolute,to:'2016-12-27 22:39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/stypes="*4041*201612280*" /stext=" 04:.+((SYSTEM_STATE.+slice.+state.+changed )|(ment ac)|(multiple cpu faults)|(system.+state.+changed )|(\[timeout)|(PRM\|1\|D)|(kpr)|(kdp)|(\|lc)|(penalty))" /e /r /s</v>
      </c>
      <c r="U12" s="9" t="str">
        <f>MID(B12,13,4)</f>
        <v>4041</v>
      </c>
      <c r="V12" s="36">
        <f>A12-utc_offset/24</f>
        <v>42732.177037037036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arrival","project_id":79,"tracker_id":40,"status_id":1,"priority_id":2,"assigned_to_id":23,"start_date":"2016-12-27","description":"","custom_fields":[{"id":1,"name":"Subdivision","value":"EC"},{"id":4,"name":"Milepost","value":"10.38"},{"id":17,"name":"Train ID","value":"226-27"},{"id":16,"name":"Locomotive ID","value":"4041"},{"id":130,"name":"Impact","value":""},{"id":150,"name":"Time of Event (Mountain Time)","value":"21:14:56"},{"id":151,"name":"Denver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"%USERPROFILE%\AppData\Local\Temp\OnboardLogs"\RTDC4041\*4041*201612280*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"%USERPROFILE%\AppData\Local\Temp\OnboardLogs"\RTDC4041\*4041*201612280* &gt;&gt; 42731-slicedisagreementcheck.txt</v>
      </c>
    </row>
    <row r="13" spans="1:30" s="1" customFormat="1" x14ac:dyDescent="0.25">
      <c r="A13" s="36">
        <v>42731.594768518517</v>
      </c>
      <c r="B13" s="31" t="s">
        <v>154</v>
      </c>
      <c r="C13" s="31" t="s">
        <v>441</v>
      </c>
      <c r="D13" s="31" t="s">
        <v>98</v>
      </c>
      <c r="E13" s="31" t="s">
        <v>196</v>
      </c>
      <c r="F13" s="47">
        <v>150</v>
      </c>
      <c r="G13" s="47">
        <v>201</v>
      </c>
      <c r="H13" s="47">
        <v>3342</v>
      </c>
      <c r="I13" s="47">
        <v>3648</v>
      </c>
      <c r="J13" s="31" t="s">
        <v>197</v>
      </c>
      <c r="K13" s="47">
        <v>0</v>
      </c>
      <c r="L13" s="154" t="s">
        <v>50</v>
      </c>
      <c r="M13" s="155">
        <f>CONVERT((I13-K13)/10000,"mi","ft")*IF(L13="Increasing Mileposts (1)",-1,1)</f>
        <v>-1926.144</v>
      </c>
      <c r="N13" s="156" t="str">
        <f>VLOOKUP(C13,'Trips&amp;Operators'!$C$1:$G$99999,5,FALSE)</f>
        <v>BRANNON JEFFREY</v>
      </c>
      <c r="O13" s="183" t="s">
        <v>195</v>
      </c>
      <c r="P13" s="157"/>
      <c r="Q13" s="31"/>
      <c r="R13" s="100" t="str">
        <f>VLOOKUP(C13,'Train Runs'!$A$13:$AE$9968,31,0)</f>
        <v>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 &amp; aws s3 cp s3://rtdc.mdm.uploadarchive.raw/RTDC4051/ "%USERPROFILE%\AppData\Local\Temp\OnboardLogs"\RTDC4051\2016-12-28 --exclude "*" --recursive --include "*20161228*" &amp; "%USERPROFILE%\Documents\GitHub\mrs-test-scripts\Headless Mode &amp; Sideloading\WalkAndUnGZ.bat" "%USERPROFILE%\AppData\Local\Temp\OnboardLogs"\RTDC4051\2016-12-28</v>
      </c>
      <c r="S13" s="103" t="str">
        <f>VLOOKUP(C13,'Train Runs'!$A$13:$AE$9968,22,0)</f>
        <v>https://search-rtdc-monitor-bjffxe2xuh6vdkpspy63sjmuny.us-east-1.es.amazonaws.com/_plugin/kibana/#/discover/Steve-Slow-Train-Analysis-(2080s-and-2083s)?_g=(refreshInterval:(display:Off,section:0,value:0),time:(from:'2016-12-27 13:06:46-700',mode:absolute,to:'2016-12-27 15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/stypes="*4051*201612272*" /stext=" 21:.+((SYSTEM_STATE.+slice.+state.+changed )|(ment ac)|(multiple cpu faults)|(system.+state.+changed )|(\[timeout)|(PRM\|1\|D)|(kpr)|(kdp)|(\|lc)|(penalty))" /e /r /s</v>
      </c>
      <c r="U13" s="9" t="str">
        <f>MID(B13,13,4)</f>
        <v>4051</v>
      </c>
      <c r="V13" s="36">
        <f>A13-utc_offset/24</f>
        <v>42731.886435185181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{"issue":{"subject":"","project_id":79,"tracker_id":40,"status_id":1,"priority_id":2,"assigned_to_id":23,"start_date":"2016-12-27","description":"","custom_fields":[{"id":1,"name":"Subdivision","value":"EC"},{"id":4,"name":"Milepost","value":"0"},{"id":17,"name":"Train ID","value":"185-27"},{"id":16,"name":"Locomotive ID","value":"4051"},{"id":130,"name":"Impact","value":""},{"id":150,"name":"Time of Event (Mountain Time)","value":"14:16:28"},{"id":151,"name":"Denver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"%USERPROFILE%\AppData\Local\Temp\OnboardLogs"\RTDC4051\*4051*201612272*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"%USERPROFILE%\AppData\Local\Temp\OnboardLogs"\RTDC4051\*4051*201612272* &gt;&gt; 42731-slicedisagreementcheck.txt</v>
      </c>
    </row>
    <row r="14" spans="1:30" s="1" customFormat="1" x14ac:dyDescent="0.25">
      <c r="A14" s="36">
        <v>42731.678391203706</v>
      </c>
      <c r="B14" s="31" t="s">
        <v>435</v>
      </c>
      <c r="C14" s="31" t="s">
        <v>446</v>
      </c>
      <c r="D14" s="31" t="s">
        <v>98</v>
      </c>
      <c r="E14" s="31" t="s">
        <v>196</v>
      </c>
      <c r="F14" s="47">
        <v>150</v>
      </c>
      <c r="G14" s="47">
        <v>200</v>
      </c>
      <c r="H14" s="47">
        <v>3179</v>
      </c>
      <c r="I14" s="47">
        <v>3633</v>
      </c>
      <c r="J14" s="31" t="s">
        <v>197</v>
      </c>
      <c r="K14" s="47">
        <v>0</v>
      </c>
      <c r="L14" s="154" t="s">
        <v>50</v>
      </c>
      <c r="M14" s="155">
        <f>CONVERT((I14-K14)/10000,"mi","ft")*IF(L14="Increasing Mileposts (1)",-1,1)</f>
        <v>-1918.2239999999999</v>
      </c>
      <c r="N14" s="156" t="str">
        <f>VLOOKUP(C14,'Trips&amp;Operators'!$C$1:$G$99999,5,FALSE)</f>
        <v>DAVIS MICHAEL</v>
      </c>
      <c r="O14" s="183" t="s">
        <v>195</v>
      </c>
      <c r="P14" s="157"/>
      <c r="Q14" s="31"/>
      <c r="R14" s="100" t="str">
        <f>VLOOKUP(C14,'Train Runs'!$A$13:$AE$9968,31,0)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S14" s="103" t="str">
        <f>VLOOKUP(C14,'Train Runs'!$A$13:$AE$9968,22,0)</f>
        <v>https://search-rtdc-monitor-bjffxe2xuh6vdkpspy63sjmuny.us-east-1.es.amazonaws.com/_plugin/kibana/#/discover/Steve-Slow-Train-Analysis-(2080s-and-2083s)?_g=(refreshInterval:(display:Off,section:0,value:0),time:(from:'2016-12-27 15:11:29-700',mode:absolute,to:'2016-12-27 18:01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/stypes="*4007*201612272*" /stext=" 23:.+((SYSTEM_STATE.+slice.+state.+changed )|(ment ac)|(multiple cpu faults)|(system.+state.+changed )|(\[timeout)|(PRM\|1\|D)|(kpr)|(kdp)|(\|lc)|(penalty))" /e /r /s</v>
      </c>
      <c r="U14" s="9" t="str">
        <f>MID(B14,13,4)</f>
        <v>4007</v>
      </c>
      <c r="V14" s="36">
        <f>A14-utc_offset/24</f>
        <v>42731.970057870371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{"issue":{"subject":"","project_id":79,"tracker_id":40,"status_id":1,"priority_id":2,"assigned_to_id":23,"start_date":"2016-12-27","description":"","custom_fields":[{"id":1,"name":"Subdivision","value":"EC"},{"id":4,"name":"Milepost","value":"0"},{"id":17,"name":"Train ID","value":"201-27"},{"id":16,"name":"Locomotive ID","value":"4007"},{"id":130,"name":"Impact","value":""},{"id":150,"name":"Time of Event (Mountain Time)","value":"16:16:53"},{"id":151,"name":"Denver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"%USERPROFILE%\AppData\Local\Temp\OnboardLogs"\RTDC4007\*4007*201612272*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"%USERPROFILE%\AppData\Local\Temp\OnboardLogs"\RTDC4007\*4007*201612272* &gt;&gt; 42731-slicedisagreementcheck.txt</v>
      </c>
    </row>
    <row r="15" spans="1:30" s="1" customFormat="1" x14ac:dyDescent="0.25">
      <c r="A15" s="36">
        <v>42731.601261574076</v>
      </c>
      <c r="B15" s="31" t="s">
        <v>442</v>
      </c>
      <c r="C15" s="31" t="s">
        <v>443</v>
      </c>
      <c r="D15" s="31" t="s">
        <v>49</v>
      </c>
      <c r="E15" s="31" t="s">
        <v>196</v>
      </c>
      <c r="F15" s="47">
        <v>200</v>
      </c>
      <c r="G15" s="47">
        <v>290</v>
      </c>
      <c r="H15" s="47">
        <v>6205</v>
      </c>
      <c r="I15" s="47">
        <v>5670</v>
      </c>
      <c r="J15" s="31" t="s">
        <v>197</v>
      </c>
      <c r="K15" s="47">
        <v>5457</v>
      </c>
      <c r="L15" s="154" t="s">
        <v>51</v>
      </c>
      <c r="M15" s="155">
        <f>CONVERT((I15-K15)/10000,"mi","ft")*IF(L15="Increasing Mileposts (1)",-1,1)</f>
        <v>112.464</v>
      </c>
      <c r="N15" s="156" t="str">
        <f>VLOOKUP(C15,'Trips&amp;Operators'!$C$1:$G$99999,5,FALSE)</f>
        <v>DAVIS MICHAEL</v>
      </c>
      <c r="O15" s="183" t="s">
        <v>195</v>
      </c>
      <c r="P15" s="157"/>
      <c r="Q15" s="31"/>
      <c r="R15" s="100" t="str">
        <f>VLOOKUP(C15,'Train Runs'!$A$13:$AE$9968,31,0)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S15" s="103" t="str">
        <f>VLOOKUP(C15,'Train Runs'!$A$13:$AE$9968,22,0)</f>
        <v>https://search-rtdc-monitor-bjffxe2xuh6vdkpspy63sjmuny.us-east-1.es.amazonaws.com/_plugin/kibana/#/discover/Steve-Slow-Train-Analysis-(2080s-and-2083s)?_g=(refreshInterval:(display:Off,section:0,value:0),time:(from:'2016-12-27 12:34:34-700',mode:absolute,to:'2016-12-27 15:29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/stypes="*4008*201612272*" /stext=" 21:.+((SYSTEM_STATE.+slice.+state.+changed )|(ment ac)|(multiple cpu faults)|(system.+state.+changed )|(\[timeout)|(PRM\|1\|D)|(kpr)|(kdp)|(\|lc)|(penalty))" /e /r /s</v>
      </c>
      <c r="U15" s="9" t="str">
        <f>MID(B15,13,4)</f>
        <v>4008</v>
      </c>
      <c r="V15" s="36">
        <f>A15-utc_offset/24</f>
        <v>42731.892928240741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{"issue":{"subject":"","project_id":79,"tracker_id":40,"status_id":1,"priority_id":2,"assigned_to_id":23,"start_date":"2016-12-27","description":"","custom_fields":[{"id":1,"name":"Subdivision","value":"EC"},{"id":4,"name":"Milepost","value":"0.5457"},{"id":17,"name":"Train ID","value":"174-27"},{"id":16,"name":"Locomotive ID","value":"4008"},{"id":130,"name":"Impact","value":""},{"id":150,"name":"Time of Event (Mountain Time)","value":"14:25:49"},{"id":151,"name":"Denver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"%USERPROFILE%\AppData\Local\Temp\OnboardLogs"\RTDC4008\*4008*201612272*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"%USERPROFILE%\AppData\Local\Temp\OnboardLogs"\RTDC4008\*4008*201612272* &gt;&gt; 42731-slicedisagreementcheck.txt</v>
      </c>
    </row>
    <row r="16" spans="1:30" s="1" customFormat="1" x14ac:dyDescent="0.25">
      <c r="A16" s="36">
        <v>42731.473414351851</v>
      </c>
      <c r="B16" s="31" t="s">
        <v>435</v>
      </c>
      <c r="C16" s="31" t="s">
        <v>436</v>
      </c>
      <c r="D16" s="31" t="s">
        <v>49</v>
      </c>
      <c r="E16" s="31" t="s">
        <v>196</v>
      </c>
      <c r="F16" s="47">
        <v>400</v>
      </c>
      <c r="G16" s="47">
        <v>623</v>
      </c>
      <c r="H16" s="47">
        <v>114302</v>
      </c>
      <c r="I16" s="47">
        <v>116463</v>
      </c>
      <c r="J16" s="31" t="s">
        <v>197</v>
      </c>
      <c r="K16" s="47">
        <v>116838</v>
      </c>
      <c r="L16" s="154" t="s">
        <v>50</v>
      </c>
      <c r="M16" s="155">
        <f>CONVERT((I16-K16)/10000,"mi","ft")*IF(L16="Increasing Mileposts (1)",-1,1)</f>
        <v>198</v>
      </c>
      <c r="N16" s="156" t="str">
        <f>VLOOKUP(C16,'Trips&amp;Operators'!$C$1:$G$99999,5,FALSE)</f>
        <v>DAVIS MICHAEL</v>
      </c>
      <c r="O16" s="183" t="s">
        <v>195</v>
      </c>
      <c r="P16" s="157"/>
      <c r="Q16" s="31"/>
      <c r="R16" s="100" t="str">
        <f>VLOOKUP(C16,'Train Runs'!$A$13:$AE$9968,31,0)</f>
        <v>aws s3 cp s3://rtdc.mdm.uploadarchive.raw/RTDC4007/ "%USERPROFILE%\AppData\Local\Temp\OnboardLogs"\RTDC4007\2016-12-27 --exclude "*" --recursive --include "*20161227*" &amp; "%USERPROFILE%\Documents\GitHub\mrs-test-scripts\Headless Mode &amp; Sideloading\WalkAndUnGZ.bat" "%USERPROFILE%\AppData\Local\Temp\OnboardLogs"\RTDC4007\2016-12-27 &amp; aws s3 cp s3://rtdc.mdm.uploadarchive.raw/RTDC4007/ "%USERPROFILE%\AppData\Local\Temp\OnboardLogs"\RTDC4007\2016-12-28 --exclude "*" --recursive --include "*20161228*" &amp; "%USERPROFILE%\Documents\GitHub\mrs-test-scripts\Headless Mode &amp; Sideloading\WalkAndUnGZ.bat" "%USERPROFILE%\AppData\Local\Temp\OnboardLogs"\RTDC4007\2016-12-28</v>
      </c>
      <c r="S16" s="103" t="str">
        <f>VLOOKUP(C16,'Train Runs'!$A$13:$AE$9968,22,0)</f>
        <v>https://search-rtdc-monitor-bjffxe2xuh6vdkpspy63sjmuny.us-east-1.es.amazonaws.com/_plugin/kibana/#/discover/Steve-Slow-Train-Analysis-(2080s-and-2083s)?_g=(refreshInterval:(display:Off,section:0,value:0),time:(from:'2016-12-27 09:54:52-700',mode:absolute,to:'2016-12-27 12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/stypes="*4007*201612271*" /stext=" 18:.+((SYSTEM_STATE.+slice.+state.+changed )|(ment ac)|(multiple cpu faults)|(system.+state.+changed )|(\[timeout)|(PRM\|1\|D)|(kpr)|(kdp)|(\|lc)|(penalty))" /e /r /s</v>
      </c>
      <c r="U16" s="9" t="str">
        <f>MID(B16,13,4)</f>
        <v>4007</v>
      </c>
      <c r="V16" s="36">
        <f>A16-utc_offset/24</f>
        <v>42731.765081018515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{"issue":{"subject":"","project_id":79,"tracker_id":40,"status_id":1,"priority_id":2,"assigned_to_id":23,"start_date":"2016-12-27","description":"","custom_fields":[{"id":1,"name":"Subdivision","value":"EC"},{"id":4,"name":"Milepost","value":"11.6838"},{"id":17,"name":"Train ID","value":"159-27"},{"id":16,"name":"Locomotive ID","value":"4007"},{"id":130,"name":"Impact","value":""},{"id":150,"name":"Time of Event (Mountain Time)","value":"11:21:43"},{"id":151,"name":"Denver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"%USERPROFILE%\AppData\Local\Temp\OnboardLogs"\RTDC4007\*4007*201612271*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"%USERPROFILE%\AppData\Local\Temp\OnboardLogs"\RTDC4007\*4007*201612271* &gt;&gt; 42731-slicedisagreementcheck.txt</v>
      </c>
    </row>
    <row r="17" spans="1:30" s="1" customFormat="1" x14ac:dyDescent="0.25">
      <c r="A17" s="36">
        <v>42731.636273148149</v>
      </c>
      <c r="B17" s="31" t="s">
        <v>155</v>
      </c>
      <c r="C17" s="31" t="s">
        <v>444</v>
      </c>
      <c r="D17" s="31" t="s">
        <v>49</v>
      </c>
      <c r="E17" s="31" t="s">
        <v>198</v>
      </c>
      <c r="F17" s="47">
        <v>0</v>
      </c>
      <c r="G17" s="47">
        <v>361</v>
      </c>
      <c r="H17" s="47">
        <v>193618</v>
      </c>
      <c r="I17" s="47">
        <v>192797</v>
      </c>
      <c r="J17" s="31" t="s">
        <v>199</v>
      </c>
      <c r="K17" s="47">
        <v>191723</v>
      </c>
      <c r="L17" s="154" t="s">
        <v>51</v>
      </c>
      <c r="M17" s="155">
        <f>CONVERT((I17-K17)/10000,"mi","ft")*IF(L17="Increasing Mileposts (1)",-1,1)</f>
        <v>567.072</v>
      </c>
      <c r="N17" s="156" t="str">
        <f>VLOOKUP(C17,'Trips&amp;Operators'!$C$1:$G$99999,5,FALSE)</f>
        <v>BRANNON JEFFREY</v>
      </c>
      <c r="O17" s="183" t="s">
        <v>195</v>
      </c>
      <c r="P17" s="157" t="s">
        <v>426</v>
      </c>
      <c r="Q17" s="31"/>
      <c r="R17" s="100" t="str">
        <f>VLOOKUP(C17,'Train Runs'!$A$13:$AE$9968,31,0)</f>
        <v>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 &amp; aws s3 cp s3://rtdc.mdm.uploadarchive.raw/RTDC4052/ "%USERPROFILE%\AppData\Local\Temp\OnboardLogs"\RTDC4052\2016-12-28 --exclude "*" --recursive --include "*20161228*" &amp; "%USERPROFILE%\Documents\GitHub\mrs-test-scripts\Headless Mode &amp; Sideloading\WalkAndUnGZ.bat" "%USERPROFILE%\AppData\Local\Temp\OnboardLogs"\RTDC4052\2016-12-28</v>
      </c>
      <c r="S17" s="103" t="str">
        <f>VLOOKUP(C17,'Train Runs'!$A$13:$AE$9968,22,0)</f>
        <v>https://search-rtdc-monitor-bjffxe2xuh6vdkpspy63sjmuny.us-east-1.es.amazonaws.com/_plugin/kibana/#/discover/Steve-Slow-Train-Analysis-(2080s-and-2083s)?_g=(refreshInterval:(display:Off,section:0,value:0),time:(from:'2016-12-27 14:08:49-700',mode:absolute,to:'2016-12-27 16:53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/stypes="*4052*201612272*" /stext=" 22:.+((SYSTEM_STATE.+slice.+state.+changed )|(ment ac)|(multiple cpu faults)|(system.+state.+changed )|(\[timeout)|(PRM\|1\|D)|(kpr)|(kdp)|(\|lc)|(penalty))" /e /r /s</v>
      </c>
      <c r="U17" s="9" t="str">
        <f>MID(B17,13,4)</f>
        <v>4052</v>
      </c>
      <c r="V17" s="36">
        <f>A17-utc_offset/24</f>
        <v>42731.927939814814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{"issue":{"subject":"Pena 4S STOP","project_id":79,"tracker_id":40,"status_id":1,"priority_id":2,"assigned_to_id":23,"start_date":"2016-12-27","description":"","custom_fields":[{"id":1,"name":"Subdivision","value":"EC"},{"id":4,"name":"Milepost","value":"19.1723"},{"id":17,"name":"Train ID","value":"186-27"},{"id":16,"name":"Locomotive ID","value":"4052"},{"id":130,"name":"Impact","value":""},{"id":150,"name":"Time of Event (Mountain Time)","value":"15:16:14"},{"id":151,"name":"Denver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"%USERPROFILE%\AppData\Local\Temp\OnboardLogs"\RTDC4052\*4052*201612272*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"%USERPROFILE%\AppData\Local\Temp\OnboardLogs"\RTDC4052\*4052*201612272* &gt;&gt; 42731-slicedisagreementcheck.txt</v>
      </c>
    </row>
    <row r="18" spans="1:30" s="1" customFormat="1" x14ac:dyDescent="0.25">
      <c r="A18" s="36">
        <v>42731.389664351853</v>
      </c>
      <c r="B18" s="31" t="s">
        <v>432</v>
      </c>
      <c r="C18" s="31" t="s">
        <v>433</v>
      </c>
      <c r="D18" s="31" t="s">
        <v>49</v>
      </c>
      <c r="E18" s="31" t="s">
        <v>200</v>
      </c>
      <c r="F18" s="47">
        <v>0</v>
      </c>
      <c r="G18" s="47">
        <v>72</v>
      </c>
      <c r="H18" s="47">
        <v>249</v>
      </c>
      <c r="I18" s="47">
        <v>178</v>
      </c>
      <c r="J18" s="31" t="s">
        <v>201</v>
      </c>
      <c r="K18" s="47">
        <v>1</v>
      </c>
      <c r="L18" s="154" t="s">
        <v>51</v>
      </c>
      <c r="M18" s="155">
        <f>CONVERT((I18-K18)/10000,"mi","ft")*IF(L18="Increasing Mileposts (1)",-1,1)</f>
        <v>93.456000000000003</v>
      </c>
      <c r="N18" s="156" t="str">
        <f>VLOOKUP(C18,'Trips&amp;Operators'!$C$1:$G$99999,5,FALSE)</f>
        <v>STARKS ANGELINA</v>
      </c>
      <c r="O18" s="183" t="s">
        <v>195</v>
      </c>
      <c r="P18" s="157"/>
      <c r="Q18" s="31"/>
      <c r="R18" s="100" t="str">
        <f>VLOOKUP(C18,'Train Runs'!$A$13:$AE$9968,31,0)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S18" s="103" t="str">
        <f>VLOOKUP(C18,'Train Runs'!$A$13:$AE$9968,22,0)</f>
        <v>https://search-rtdc-monitor-bjffxe2xuh6vdkpspy63sjmuny.us-east-1.es.amazonaws.com/_plugin/kibana/#/discover/Steve-Slow-Train-Analysis-(2080s-and-2083s)?_g=(refreshInterval:(display:Off,section:0,value:0),time:(from:'2016-12-27 07:38:14-700',mode:absolute,to:'2016-12-27 10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/stypes="*4041*201612271*" /stext=" 16:.+((SYSTEM_STATE.+slice.+state.+changed )|(ment ac)|(multiple cpu faults)|(system.+state.+changed )|(\[timeout)|(PRM\|1\|D)|(kpr)|(kdp)|(\|lc)|(penalty))" /e /r /s</v>
      </c>
      <c r="U18" s="9" t="str">
        <f>MID(B18,13,4)</f>
        <v>4041</v>
      </c>
      <c r="V18" s="36">
        <f>A18-utc_offset/24</f>
        <v>42731.681331018517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{"issue":{"subject":"","project_id":79,"tracker_id":40,"status_id":1,"priority_id":2,"assigned_to_id":23,"start_date":"2016-12-27","description":"","custom_fields":[{"id":1,"name":"Subdivision","value":"EC"},{"id":4,"name":"Milepost","value":"0.0001"},{"id":17,"name":"Train ID","value":"134-27"},{"id":16,"name":"Locomotive ID","value":"4041"},{"id":130,"name":"Impact","value":""},{"id":150,"name":"Time of Event (Mountain Time)","value":"09:21:07"},{"id":151,"name":"Denver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"%USERPROFILE%\AppData\Local\Temp\OnboardLogs"\RTDC4041\*4041*201612271*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"%USERPROFILE%\AppData\Local\Temp\OnboardLogs"\RTDC4041\*4041*201612271* &gt;&gt; 42731-slicedisagreementcheck.txt</v>
      </c>
    </row>
    <row r="19" spans="1:30" s="1" customFormat="1" x14ac:dyDescent="0.25">
      <c r="A19" s="36">
        <v>42731.472800925927</v>
      </c>
      <c r="B19" s="31" t="s">
        <v>370</v>
      </c>
      <c r="C19" s="31" t="s">
        <v>434</v>
      </c>
      <c r="D19" s="31" t="s">
        <v>49</v>
      </c>
      <c r="E19" s="31" t="s">
        <v>200</v>
      </c>
      <c r="F19" s="47">
        <v>0</v>
      </c>
      <c r="G19" s="47">
        <v>59</v>
      </c>
      <c r="H19" s="47">
        <v>220</v>
      </c>
      <c r="I19" s="47">
        <v>158</v>
      </c>
      <c r="J19" s="31" t="s">
        <v>201</v>
      </c>
      <c r="K19" s="47">
        <v>1</v>
      </c>
      <c r="L19" s="154" t="s">
        <v>51</v>
      </c>
      <c r="M19" s="155">
        <f>CONVERT((I19-K19)/10000,"mi","ft")*IF(L19="Increasing Mileposts (1)",-1,1)</f>
        <v>82.895999999999987</v>
      </c>
      <c r="N19" s="156" t="str">
        <f>VLOOKUP(C19,'Trips&amp;Operators'!$C$1:$G$99999,5,FALSE)</f>
        <v>DUNCAN SHEILA</v>
      </c>
      <c r="O19" s="183" t="s">
        <v>195</v>
      </c>
      <c r="P19" s="157"/>
      <c r="Q19" s="31"/>
      <c r="R19" s="100" t="str">
        <f>VLOOKUP(C19,'Train Runs'!$A$13:$AE$9968,31,0)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S19" s="103" t="str">
        <f>VLOOKUP(C19,'Train Runs'!$A$13:$AE$9968,22,0)</f>
        <v>https://search-rtdc-monitor-bjffxe2xuh6vdkpspy63sjmuny.us-east-1.es.amazonaws.com/_plugin/kibana/#/discover/Steve-Slow-Train-Analysis-(2080s-and-2083s)?_g=(refreshInterval:(display:Off,section:0,value:0),time:(from:'2016-12-27 09:25:49-700',mode:absolute,to:'2016-12-27 12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/stypes="*4001*201612271*" /stext=" 18:.+((SYSTEM_STATE.+slice.+state.+changed )|(ment ac)|(multiple cpu faults)|(system.+state.+changed )|(\[timeout)|(PRM\|1\|D)|(kpr)|(kdp)|(\|lc)|(penalty))" /e /r /s</v>
      </c>
      <c r="U19" s="9" t="str">
        <f>MID(B19,13,4)</f>
        <v>4001</v>
      </c>
      <c r="V19" s="36">
        <f>A19-utc_offset/24</f>
        <v>42731.764467592591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{"issue":{"subject":"","project_id":79,"tracker_id":40,"status_id":1,"priority_id":2,"assigned_to_id":23,"start_date":"2016-12-27","description":"","custom_fields":[{"id":1,"name":"Subdivision","value":"EC"},{"id":4,"name":"Milepost","value":"0.0001"},{"id":17,"name":"Train ID","value":"150-27"},{"id":16,"name":"Locomotive ID","value":"4001"},{"id":130,"name":"Impact","value":""},{"id":150,"name":"Time of Event (Mountain Time)","value":"11:20:50"},{"id":151,"name":"Denver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"%USERPROFILE%\AppData\Local\Temp\OnboardLogs"\RTDC4001\*4001*201612271*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"%USERPROFILE%\AppData\Local\Temp\OnboardLogs"\RTDC4001\*4001*201612271* &gt;&gt; 42731-slicedisagreementcheck.txt</v>
      </c>
    </row>
    <row r="20" spans="1:30" x14ac:dyDescent="0.25">
      <c r="A20" s="36">
        <v>42731.603622685187</v>
      </c>
      <c r="B20" s="31" t="s">
        <v>442</v>
      </c>
      <c r="C20" s="31" t="s">
        <v>443</v>
      </c>
      <c r="D20" s="31" t="s">
        <v>49</v>
      </c>
      <c r="E20" s="31" t="s">
        <v>200</v>
      </c>
      <c r="F20" s="47">
        <v>0</v>
      </c>
      <c r="G20" s="47">
        <v>40</v>
      </c>
      <c r="H20" s="47">
        <v>141</v>
      </c>
      <c r="I20" s="47">
        <v>118</v>
      </c>
      <c r="J20" s="31" t="s">
        <v>201</v>
      </c>
      <c r="K20" s="47">
        <v>1</v>
      </c>
      <c r="L20" s="154" t="s">
        <v>51</v>
      </c>
      <c r="M20" s="155">
        <f>CONVERT((I20-K20)/10000,"mi","ft")*IF(L20="Increasing Mileposts (1)",-1,1)</f>
        <v>61.776000000000003</v>
      </c>
      <c r="N20" s="156" t="str">
        <f>VLOOKUP(C20,'Trips&amp;Operators'!$C$1:$G$99999,5,FALSE)</f>
        <v>DAVIS MICHAEL</v>
      </c>
      <c r="O20" s="183" t="s">
        <v>195</v>
      </c>
      <c r="P20" s="157"/>
      <c r="Q20" s="31"/>
      <c r="R20" s="100" t="str">
        <f>VLOOKUP(C20,'Train Runs'!$A$13:$AE$9968,31,0)</f>
        <v>aws s3 cp s3://rtdc.mdm.uploadarchive.raw/RTDC4008/ "%USERPROFILE%\AppData\Local\Temp\OnboardLogs"\RTDC4008\2016-12-27 --exclude "*" --recursive --include "*20161227*" &amp; "%USERPROFILE%\Documents\GitHub\mrs-test-scripts\Headless Mode &amp; Sideloading\WalkAndUnGZ.bat" "%USERPROFILE%\AppData\Local\Temp\OnboardLogs"\RTDC4008\2016-12-27 &amp; aws s3 cp s3://rtdc.mdm.uploadarchive.raw/RTDC4008/ "%USERPROFILE%\AppData\Local\Temp\OnboardLogs"\RTDC4008\2016-12-28 --exclude "*" --recursive --include "*20161228*" &amp; "%USERPROFILE%\Documents\GitHub\mrs-test-scripts\Headless Mode &amp; Sideloading\WalkAndUnGZ.bat" "%USERPROFILE%\AppData\Local\Temp\OnboardLogs"\RTDC4008\2016-12-28</v>
      </c>
      <c r="S20" s="103" t="str">
        <f>VLOOKUP(C20,'Train Runs'!$A$13:$AE$9968,22,0)</f>
        <v>https://search-rtdc-monitor-bjffxe2xuh6vdkpspy63sjmuny.us-east-1.es.amazonaws.com/_plugin/kibana/#/discover/Steve-Slow-Train-Analysis-(2080s-and-2083s)?_g=(refreshInterval:(display:Off,section:0,value:0),time:(from:'2016-12-27 12:34:34-700',mode:absolute,to:'2016-12-27 15:29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/stypes="*4008*201612272*" /stext=" 21:.+((SYSTEM_STATE.+slice.+state.+changed )|(ment ac)|(multiple cpu faults)|(system.+state.+changed )|(\[timeout)|(PRM\|1\|D)|(kpr)|(kdp)|(\|lc)|(penalty))" /e /r /s</v>
      </c>
      <c r="U20" s="9" t="str">
        <f>MID(B20,13,4)</f>
        <v>4008</v>
      </c>
      <c r="V20" s="36">
        <f>A20-utc_offset/24</f>
        <v>42731.895289351851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{"issue":{"subject":"","project_id":79,"tracker_id":40,"status_id":1,"priority_id":2,"assigned_to_id":23,"start_date":"2016-12-27","description":"","custom_fields":[{"id":1,"name":"Subdivision","value":"EC"},{"id":4,"name":"Milepost","value":"0.0001"},{"id":17,"name":"Train ID","value":"174-27"},{"id":16,"name":"Locomotive ID","value":"4008"},{"id":130,"name":"Impact","value":""},{"id":150,"name":"Time of Event (Mountain Time)","value":"14:29:13"},{"id":151,"name":"Denver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"%USERPROFILE%\AppData\Local\Temp\OnboardLogs"\RTDC4008\*4008*201612272*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"%USERPROFILE%\AppData\Local\Temp\OnboardLogs"\RTDC4008\*4008*201612272* &gt;&gt; 42731-slicedisagreementcheck.txt</v>
      </c>
    </row>
    <row r="21" spans="1:30" x14ac:dyDescent="0.25">
      <c r="A21" s="36">
        <v>42731.683888888889</v>
      </c>
      <c r="B21" s="31" t="s">
        <v>432</v>
      </c>
      <c r="C21" s="31" t="s">
        <v>448</v>
      </c>
      <c r="D21" s="31" t="s">
        <v>49</v>
      </c>
      <c r="E21" s="31" t="s">
        <v>200</v>
      </c>
      <c r="F21" s="47">
        <v>0</v>
      </c>
      <c r="G21" s="47">
        <v>73</v>
      </c>
      <c r="H21" s="47">
        <v>243</v>
      </c>
      <c r="I21" s="47">
        <v>167</v>
      </c>
      <c r="J21" s="31" t="s">
        <v>201</v>
      </c>
      <c r="K21" s="47">
        <v>1</v>
      </c>
      <c r="L21" s="154" t="s">
        <v>51</v>
      </c>
      <c r="M21" s="155">
        <f>CONVERT((I21-K21)/10000,"mi","ft")*IF(L21="Increasing Mileposts (1)",-1,1)</f>
        <v>87.647999999999996</v>
      </c>
      <c r="N21" s="156" t="str">
        <f>VLOOKUP(C21,'Trips&amp;Operators'!$C$1:$G$99999,5,FALSE)</f>
        <v>STEWART MICHAEL</v>
      </c>
      <c r="O21" s="183" t="s">
        <v>195</v>
      </c>
      <c r="P21" s="157"/>
      <c r="Q21" s="31"/>
      <c r="R21" s="100" t="str">
        <f>VLOOKUP(C21,'Train Runs'!$A$13:$AE$9968,31,0)</f>
        <v>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 &amp; 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</v>
      </c>
      <c r="S21" s="103" t="str">
        <f>VLOOKUP(C21,'Train Runs'!$A$13:$AE$9968,22,0)</f>
        <v>https://search-rtdc-monitor-bjffxe2xuh6vdkpspy63sjmuny.us-east-1.es.amazonaws.com/_plugin/kibana/#/discover/Steve-Slow-Train-Analysis-(2080s-and-2083s)?_g=(refreshInterval:(display:Off,section:0,value:0),time:(from:'2016-12-27 14:39:04-700',mode:absolute,to:'2016-12-27 17:24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/stypes="*4041*201612272*" /stext=" 23:.+((SYSTEM_STATE.+slice.+state.+changed )|(ment ac)|(multiple cpu faults)|(system.+state.+changed )|(\[timeout)|(PRM\|1\|D)|(kpr)|(kdp)|(\|lc)|(penalty))" /e /r /s</v>
      </c>
      <c r="U21" s="9" t="str">
        <f>MID(B21,13,4)</f>
        <v>4041</v>
      </c>
      <c r="V21" s="36">
        <f>A21-utc_offset/24</f>
        <v>42731.975555555553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{"issue":{"subject":"","project_id":79,"tracker_id":40,"status_id":1,"priority_id":2,"assigned_to_id":23,"start_date":"2016-12-27","description":"","custom_fields":[{"id":1,"name":"Subdivision","value":"EC"},{"id":4,"name":"Milepost","value":"0.0001"},{"id":17,"name":"Train ID","value":"190-27"},{"id":16,"name":"Locomotive ID","value":"4041"},{"id":130,"name":"Impact","value":""},{"id":150,"name":"Time of Event (Mountain Time)","value":"16:24:48"},{"id":151,"name":"Denver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"%USERPROFILE%\AppData\Local\Temp\OnboardLogs"\RTDC4041\*4041*201612272*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"%USERPROFILE%\AppData\Local\Temp\OnboardLogs"\RTDC4041\*4041*201612272* &gt;&gt; 42731-slicedisagreementcheck.txt</v>
      </c>
    </row>
    <row r="22" spans="1:30" ht="15" customHeight="1" x14ac:dyDescent="0.25">
      <c r="A22" s="36">
        <v>42731.692974537036</v>
      </c>
      <c r="B22" s="31" t="s">
        <v>370</v>
      </c>
      <c r="C22" s="31" t="s">
        <v>449</v>
      </c>
      <c r="D22" s="31" t="s">
        <v>49</v>
      </c>
      <c r="E22" s="31" t="s">
        <v>200</v>
      </c>
      <c r="F22" s="47">
        <v>0</v>
      </c>
      <c r="G22" s="47">
        <v>54</v>
      </c>
      <c r="H22" s="47">
        <v>181</v>
      </c>
      <c r="I22" s="47">
        <v>134</v>
      </c>
      <c r="J22" s="31" t="s">
        <v>201</v>
      </c>
      <c r="K22" s="47">
        <v>1</v>
      </c>
      <c r="L22" s="154" t="s">
        <v>51</v>
      </c>
      <c r="M22" s="155">
        <f>CONVERT((I22-K22)/10000,"mi","ft")*IF(L22="Increasing Mileposts (1)",-1,1)</f>
        <v>70.224000000000004</v>
      </c>
      <c r="N22" s="156" t="str">
        <f>VLOOKUP(C22,'Trips&amp;Operators'!$C$1:$G$99999,5,FALSE)</f>
        <v>SIMMONS SHYHESHA</v>
      </c>
      <c r="O22" s="183" t="s">
        <v>195</v>
      </c>
      <c r="P22" s="157"/>
      <c r="Q22" s="31"/>
      <c r="R22" s="100" t="str">
        <f>VLOOKUP(C22,'Train Runs'!$A$13:$AE$9968,31,0)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S22" s="103" t="str">
        <f>VLOOKUP(C22,'Train Runs'!$A$13:$AE$9968,22,0)</f>
        <v>https://search-rtdc-monitor-bjffxe2xuh6vdkpspy63sjmuny.us-east-1.es.amazonaws.com/_plugin/kibana/#/discover/Steve-Slow-Train-Analysis-(2080s-and-2083s)?_g=(refreshInterval:(display:Off,section:0,value:0),time:(from:'2016-12-27 14:47:44-700',mode:absolute,to:'2016-12-27 17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/stypes="*4001*201612272*" /stext=" 23:.+((SYSTEM_STATE.+slice.+state.+changed )|(ment ac)|(multiple cpu faults)|(system.+state.+changed )|(\[timeout)|(PRM\|1\|D)|(kpr)|(kdp)|(\|lc)|(penalty))" /e /r /s</v>
      </c>
      <c r="U22" s="9" t="str">
        <f>MID(B22,13,4)</f>
        <v>4001</v>
      </c>
      <c r="V22" s="36">
        <f>A22-utc_offset/24</f>
        <v>42731.9846412037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{"issue":{"subject":"","project_id":79,"tracker_id":40,"status_id":1,"priority_id":2,"assigned_to_id":23,"start_date":"2016-12-27","description":"","custom_fields":[{"id":1,"name":"Subdivision","value":"EC"},{"id":4,"name":"Milepost","value":"0.0001"},{"id":17,"name":"Train ID","value":"192-27"},{"id":16,"name":"Locomotive ID","value":"4001"},{"id":130,"name":"Impact","value":""},{"id":150,"name":"Time of Event (Mountain Time)","value":"16:37:53"},{"id":151,"name":"Denver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"%USERPROFILE%\AppData\Local\Temp\OnboardLogs"\RTDC4001\*4001*201612272*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"%USERPROFILE%\AppData\Local\Temp\OnboardLogs"\RTDC4001\*4001*201612272* &gt;&gt; 42731-slicedisagreementcheck.txt</v>
      </c>
    </row>
    <row r="23" spans="1:30" x14ac:dyDescent="0.25">
      <c r="A23" s="36">
        <v>42731.706909722219</v>
      </c>
      <c r="B23" s="31" t="s">
        <v>283</v>
      </c>
      <c r="C23" s="31" t="s">
        <v>450</v>
      </c>
      <c r="D23" s="31" t="s">
        <v>49</v>
      </c>
      <c r="E23" s="31" t="s">
        <v>200</v>
      </c>
      <c r="F23" s="47">
        <v>0</v>
      </c>
      <c r="G23" s="47">
        <v>47</v>
      </c>
      <c r="H23" s="47">
        <v>169</v>
      </c>
      <c r="I23" s="47">
        <v>130</v>
      </c>
      <c r="J23" s="31" t="s">
        <v>201</v>
      </c>
      <c r="K23" s="47">
        <v>1</v>
      </c>
      <c r="L23" s="154" t="s">
        <v>51</v>
      </c>
      <c r="M23" s="155">
        <f>CONVERT((I23-K23)/10000,"mi","ft")*IF(L23="Increasing Mileposts (1)",-1,1)</f>
        <v>68.111999999999995</v>
      </c>
      <c r="N23" s="156" t="str">
        <f>VLOOKUP(C23,'Trips&amp;Operators'!$C$1:$G$99999,5,FALSE)</f>
        <v>CLARK KATHLEEN</v>
      </c>
      <c r="O23" s="183" t="s">
        <v>195</v>
      </c>
      <c r="P23" s="157"/>
      <c r="Q23" s="31"/>
      <c r="R23" s="100" t="str">
        <f>VLOOKUP(C23,'Train Runs'!$A$13:$AE$9968,31,0)</f>
        <v>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 &amp; 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</v>
      </c>
      <c r="S23" s="103" t="str">
        <f>VLOOKUP(C23,'Train Runs'!$A$13:$AE$9968,22,0)</f>
        <v>https://search-rtdc-monitor-bjffxe2xuh6vdkpspy63sjmuny.us-east-1.es.amazonaws.com/_plugin/kibana/#/discover/Steve-Slow-Train-Analysis-(2080s-and-2083s)?_g=(refreshInterval:(display:Off,section:0,value:0),time:(from:'2016-12-27 15:04:10-700',mode:absolute,to:'2016-12-27 17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/stypes="*4028*201612272*" /stext=" 23:.+((SYSTEM_STATE.+slice.+state.+changed )|(ment ac)|(multiple cpu faults)|(system.+state.+changed )|(\[timeout)|(PRM\|1\|D)|(kpr)|(kdp)|(\|lc)|(penalty))" /e /r /s</v>
      </c>
      <c r="U23" s="9" t="str">
        <f>MID(B23,13,4)</f>
        <v>4028</v>
      </c>
      <c r="V23" s="36">
        <f>A23-utc_offset/24</f>
        <v>42731.998576388884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{"issue":{"subject":"","project_id":79,"tracker_id":40,"status_id":1,"priority_id":2,"assigned_to_id":23,"start_date":"2016-12-27","description":"","custom_fields":[{"id":1,"name":"Subdivision","value":"EC"},{"id":4,"name":"Milepost","value":"0.0001"},{"id":17,"name":"Train ID","value":"194-27"},{"id":16,"name":"Locomotive ID","value":"4028"},{"id":130,"name":"Impact","value":""},{"id":150,"name":"Time of Event (Mountain Time)","value":"16:57:57"},{"id":151,"name":"Denver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"%USERPROFILE%\AppData\Local\Temp\OnboardLogs"\RTDC4028\*4028*201612272*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"%USERPROFILE%\AppData\Local\Temp\OnboardLogs"\RTDC4028\*4028*201612272* &gt;&gt; 42731-slicedisagreementcheck.txt</v>
      </c>
    </row>
    <row r="24" spans="1:30" x14ac:dyDescent="0.25">
      <c r="A24" s="36">
        <v>42731.76458333333</v>
      </c>
      <c r="B24" s="31" t="s">
        <v>370</v>
      </c>
      <c r="C24" s="31" t="s">
        <v>452</v>
      </c>
      <c r="D24" s="31" t="s">
        <v>49</v>
      </c>
      <c r="E24" s="31" t="s">
        <v>200</v>
      </c>
      <c r="F24" s="47">
        <v>0</v>
      </c>
      <c r="G24" s="47">
        <v>44</v>
      </c>
      <c r="H24" s="47">
        <v>181</v>
      </c>
      <c r="I24" s="47">
        <v>143</v>
      </c>
      <c r="J24" s="31" t="s">
        <v>201</v>
      </c>
      <c r="K24" s="47">
        <v>1</v>
      </c>
      <c r="L24" s="154" t="s">
        <v>51</v>
      </c>
      <c r="M24" s="155">
        <f>CONVERT((I24-K24)/10000,"mi","ft")*IF(L24="Increasing Mileposts (1)",-1,1)</f>
        <v>74.975999999999999</v>
      </c>
      <c r="N24" s="156" t="str">
        <f>VLOOKUP(C24,'Trips&amp;Operators'!$C$1:$G$99999,5,FALSE)</f>
        <v>SIMMONS SHYHESHA</v>
      </c>
      <c r="O24" s="183" t="s">
        <v>227</v>
      </c>
      <c r="P24" s="157" t="s">
        <v>428</v>
      </c>
      <c r="Q24" s="31"/>
      <c r="R24" s="100" t="str">
        <f>VLOOKUP(C24,'Train Runs'!$A$13:$AE$9968,31,0)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S24" s="103" t="str">
        <f>VLOOKUP(C24,'Train Runs'!$A$13:$AE$9968,22,0)</f>
        <v>https://search-rtdc-monitor-bjffxe2xuh6vdkpspy63sjmuny.us-east-1.es.amazonaws.com/_plugin/kibana/#/discover/Steve-Slow-Train-Analysis-(2080s-and-2083s)?_g=(refreshInterval:(display:Off,section:0,value:0),time:(from:'2016-12-27 16:33:37-700',mode:absolute,to:'2016-12-27 19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/stypes="*4001*201612280*" /stext=" 01:.+((SYSTEM_STATE.+slice.+state.+changed )|(ment ac)|(multiple cpu faults)|(system.+state.+changed )|(\[timeout)|(PRM\|1\|D)|(kpr)|(kdp)|(\|lc)|(penalty))" /e /r /s</v>
      </c>
      <c r="U24" s="9" t="str">
        <f>MID(B24,13,4)</f>
        <v>4001</v>
      </c>
      <c r="V24" s="36">
        <f>A24-utc_offset/24</f>
        <v>42732.056249999994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braking","project_id":79,"tracker_id":40,"status_id":1,"priority_id":2,"assigned_to_id":23,"start_date":"2016-12-27","description":"","custom_fields":[{"id":1,"name":"Subdivision","value":"EC"},{"id":4,"name":"Milepost","value":"0.0001"},{"id":17,"name":"Train ID","value":"206-27"},{"id":16,"name":"Locomotive ID","value":"4001"},{"id":130,"name":"Impact","value":""},{"id":150,"name":"Time of Event (Mountain Time)","value":"18:21:00"},{"id":151,"name":"Denver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"%USERPROFILE%\AppData\Local\Temp\OnboardLogs"\RTDC4001\*4001*201612280*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"%USERPROFILE%\AppData\Local\Temp\OnboardLogs"\RTDC4001\*4001*201612280* &gt;&gt; 42731-slicedisagreementcheck.txt</v>
      </c>
    </row>
    <row r="25" spans="1:30" x14ac:dyDescent="0.25">
      <c r="A25" s="36">
        <v>42732.068148148152</v>
      </c>
      <c r="B25" s="31" t="s">
        <v>432</v>
      </c>
      <c r="C25" s="31" t="s">
        <v>455</v>
      </c>
      <c r="D25" s="31" t="s">
        <v>49</v>
      </c>
      <c r="E25" s="31" t="s">
        <v>200</v>
      </c>
      <c r="F25" s="47">
        <v>0</v>
      </c>
      <c r="G25" s="47">
        <v>102</v>
      </c>
      <c r="H25" s="47">
        <v>400</v>
      </c>
      <c r="I25" s="47">
        <v>318</v>
      </c>
      <c r="J25" s="31" t="s">
        <v>201</v>
      </c>
      <c r="K25" s="47">
        <v>1</v>
      </c>
      <c r="L25" s="154" t="s">
        <v>51</v>
      </c>
      <c r="M25" s="155">
        <f>CONVERT((I25-K25)/10000,"mi","ft")*IF(L25="Increasing Mileposts (1)",-1,1)</f>
        <v>167.376</v>
      </c>
      <c r="N25" s="156" t="str">
        <f>VLOOKUP(C25,'Trips&amp;Operators'!$C$1:$G$99999,5,FALSE)</f>
        <v>SIMONEAUX TERA</v>
      </c>
      <c r="O25" s="183" t="s">
        <v>195</v>
      </c>
      <c r="P25" s="157"/>
      <c r="Q25" s="31"/>
      <c r="R25" s="100" t="str">
        <f>VLOOKUP(C25,'Train Runs'!$A$13:$AE$9968,31,0)</f>
        <v>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 &amp; 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</v>
      </c>
      <c r="S25" s="103" t="str">
        <f>VLOOKUP(C25,'Train Runs'!$A$13:$AE$9968,22,0)</f>
        <v>https://search-rtdc-monitor-bjffxe2xuh6vdkpspy63sjmuny.us-east-1.es.amazonaws.com/_plugin/kibana/#/discover/Steve-Slow-Train-Analysis-(2080s-and-2083s)?_g=(refreshInterval:(display:Off,section:0,value:0),time:(from:'2016-12-27 23:47:17-700',mode:absolute,to:'2016-12-28 02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/stypes="*4041*201612280*" /stext=" 08:.+((SYSTEM_STATE.+slice.+state.+changed )|(ment ac)|(multiple cpu faults)|(system.+state.+changed )|(\[timeout)|(PRM\|1\|D)|(kpr)|(kdp)|(\|lc)|(penalty))" /e /r /s</v>
      </c>
      <c r="U25" s="9" t="str">
        <f>MID(B25,13,4)</f>
        <v>4041</v>
      </c>
      <c r="V25" s="36">
        <f>A25-utc_offset/24</f>
        <v>42732.359814814816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ID","value":"242-27"},{"id":16,"name":"Locomotive ID","value":"4041"},{"id":130,"name":"Impact","value":""},{"id":150,"name":"Time of Event (Mountain Time)","value":"01:38:08"},{"id":151,"name":"Denver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"%USERPROFILE%\AppData\Local\Temp\OnboardLogs"\RTDC4041\*4041*201612280*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"%USERPROFILE%\AppData\Local\Temp\OnboardLogs"\RTDC4041\*4041*201612280* &gt;&gt; 42731-slicedisagreementcheck.txt</v>
      </c>
    </row>
    <row r="26" spans="1:30" x14ac:dyDescent="0.25">
      <c r="A26" s="36">
        <v>42731.681203703702</v>
      </c>
      <c r="B26" s="31" t="s">
        <v>267</v>
      </c>
      <c r="C26" s="31" t="s">
        <v>447</v>
      </c>
      <c r="D26" s="31" t="s">
        <v>49</v>
      </c>
      <c r="E26" s="31" t="s">
        <v>246</v>
      </c>
      <c r="F26" s="47">
        <v>90</v>
      </c>
      <c r="G26" s="47">
        <v>142</v>
      </c>
      <c r="H26" s="47">
        <v>11492</v>
      </c>
      <c r="I26" s="47">
        <v>11315</v>
      </c>
      <c r="J26" s="31" t="s">
        <v>247</v>
      </c>
      <c r="K26" s="47">
        <v>10988</v>
      </c>
      <c r="L26" s="154" t="s">
        <v>51</v>
      </c>
      <c r="M26" s="155">
        <f>CONVERT((I26-K26)/10000,"mi","ft")*IF(L26="Increasing Mileposts (1)",-1,1)</f>
        <v>172.65600000000001</v>
      </c>
      <c r="N26" s="156" t="str">
        <f>VLOOKUP(C26,'Trips&amp;Operators'!$C$1:$G$99999,5,FALSE)</f>
        <v>HILLS DUSTIN</v>
      </c>
      <c r="O26" s="183" t="s">
        <v>227</v>
      </c>
      <c r="P26" s="157" t="s">
        <v>895</v>
      </c>
      <c r="Q26" s="31"/>
      <c r="R26" s="100" t="str">
        <f>VLOOKUP(C26,'Train Runs'!$A$13:$AE$9968,31,0)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S26" s="103" t="str">
        <f>VLOOKUP(C26,'Train Runs'!$A$13:$AE$9968,22,0)</f>
        <v>https://search-rtdc-monitor-bjffxe2xuh6vdkpspy63sjmuny.us-east-1.es.amazonaws.com/_plugin/kibana/#/discover/Steve-Slow-Train-Analysis-(2080s-and-2083s)?_g=(refreshInterval:(display:Off,section:0,value:0),time:(from:'2016-12-27 15:08:04-700',mode:absolute,to:'2016-12-27 17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/stypes="*4004*201612272*" /stext=" 23:.+((SYSTEM_STATE.+slice.+state.+changed )|(ment ac)|(multiple cpu faults)|(system.+state.+changed )|(\[timeout)|(PRM\|1\|D)|(kpr)|(kdp)|(\|lc)|(penalty))" /e /r /s</v>
      </c>
      <c r="U26" s="9" t="str">
        <f>MID(B26,13,4)</f>
        <v>4004</v>
      </c>
      <c r="V26" s="36">
        <f>A26-utc_offset/24</f>
        <v>42731.972870370366</v>
      </c>
      <c r="W26" s="50" t="str">
        <f>IF(VALUE(LEFT(IF(LEN(C26)=6,"0"&amp;C26,C26),2))&lt;=2,"EC",IF(OR(VALUE(LEFT(IF(LEN(C26)=6,"0"&amp;C26,C26),2))=8,VALUE(LEFT(IF(LEN(C26)=6,"0"&amp;C26,C26),2))=18),"NW","Other"))</f>
        <v>NW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{"issue":{"subject":"Early arrival, banner without braking","project_id":79,"tracker_id":40,"status_id":1,"priority_id":2,"assigned_to_id":23,"start_date":"2016-12-27","description":"","custom_fields":[{"id":1,"name":"Subdivision","value":"NW"},{"id":4,"name":"Milepost","value":"1.0988"},{"id":17,"name":"Train ID","value":"828-27"},{"id":16,"name":"Locomotive ID","value":"4004"},{"id":130,"name":"Impact","value":""},{"id":150,"name":"Time of Event (Mountain Time)","value":"16:20:56"},{"id":151,"name":"Denver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"%USERPROFILE%\AppData\Local\Temp\OnboardLogs"\RTDC4004\*4004*201612272*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"%USERPROFILE%\AppData\Local\Temp\OnboardLogs"\RTDC4004\*4004*201612272* &gt;&gt; 42731-slicedisagreementcheck.txt</v>
      </c>
    </row>
    <row r="27" spans="1:30" x14ac:dyDescent="0.25">
      <c r="A27" s="36">
        <v>42731.264421296299</v>
      </c>
      <c r="B27" s="31" t="s">
        <v>267</v>
      </c>
      <c r="C27" s="31" t="s">
        <v>431</v>
      </c>
      <c r="D27" s="31" t="s">
        <v>49</v>
      </c>
      <c r="E27" s="31" t="s">
        <v>246</v>
      </c>
      <c r="F27" s="47">
        <v>260</v>
      </c>
      <c r="G27" s="47">
        <v>372</v>
      </c>
      <c r="H27" s="47">
        <v>16379</v>
      </c>
      <c r="I27" s="47">
        <v>15520</v>
      </c>
      <c r="J27" s="31" t="s">
        <v>247</v>
      </c>
      <c r="K27" s="47">
        <v>15777</v>
      </c>
      <c r="L27" s="154" t="s">
        <v>51</v>
      </c>
      <c r="M27" s="155">
        <f>CONVERT((I27-K27)/10000,"mi","ft")*IF(L27="Increasing Mileposts (1)",-1,1)</f>
        <v>-135.696</v>
      </c>
      <c r="N27" s="156" t="str">
        <f>VLOOKUP(C27,'Trips&amp;Operators'!$C$1:$G$99999,5,FALSE)</f>
        <v>YANG JAN</v>
      </c>
      <c r="O27" s="183" t="s">
        <v>227</v>
      </c>
      <c r="P27" s="157" t="s">
        <v>425</v>
      </c>
      <c r="Q27" s="31"/>
      <c r="R27" s="100" t="str">
        <f>VLOOKUP(C27,'Train Runs'!$A$13:$AE$9968,31,0)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S27" s="103" t="str">
        <f>VLOOKUP(C27,'Train Runs'!$A$13:$AE$9968,22,0)</f>
        <v>https://search-rtdc-monitor-bjffxe2xuh6vdkpspy63sjmuny.us-east-1.es.amazonaws.com/_plugin/kibana/#/discover/Steve-Slow-Train-Analysis-(2080s-and-2083s)?_g=(refreshInterval:(display:Off,section:0,value:0),time:(from:'2016-12-27 05:08:36-700',mode:absolute,to:'2016-12-27 07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/stypes="*4004*201612271*" /stext=" 13:.+((SYSTEM_STATE.+slice.+state.+changed )|(ment ac)|(multiple cpu faults)|(system.+state.+changed )|(\[timeout)|(PRM\|1\|D)|(kpr)|(kdp)|(\|lc)|(penalty))" /e /r /s</v>
      </c>
      <c r="U27" s="9" t="str">
        <f>MID(B27,13,4)</f>
        <v>4004</v>
      </c>
      <c r="V27" s="36">
        <f>A27-utc_offset/24</f>
        <v>42731.556087962963</v>
      </c>
      <c r="W27" s="50" t="str">
        <f>IF(VALUE(LEFT(IF(LEN(C27)=6,"0"&amp;C27,C27),2))&lt;=2,"EC",IF(OR(VALUE(LEFT(IF(LEN(C27)=6,"0"&amp;C27,C27),2))=8,VALUE(LEFT(IF(LEN(C27)=6,"0"&amp;C27,C27),2))=18),"NW","Other"))</f>
        <v>NW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{"issue":{"subject":"Early arrival (41st)","project_id":79,"tracker_id":40,"status_id":1,"priority_id":2,"assigned_to_id":23,"start_date":"2016-12-27","description":"","custom_fields":[{"id":1,"name":"Subdivision","value":"NW"},{"id":4,"name":"Milepost","value":"1.5777"},{"id":17,"name":"Train ID","value":"802-27"},{"id":16,"name":"Locomotive ID","value":"4004"},{"id":130,"name":"Impact","value":""},{"id":150,"name":"Time of Event (Mountain Time)","value":"06:20:46"},{"id":151,"name":"Denver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"%USERPROFILE%\AppData\Local\Temp\OnboardLogs"\RTDC4004\*4004*201612271*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"%USERPROFILE%\AppData\Local\Temp\OnboardLogs"\RTDC4004\*4004*201612271* &gt;&gt; 42731-slicedisagreementcheck.txt</v>
      </c>
    </row>
    <row r="28" spans="1:30" ht="15" customHeight="1" x14ac:dyDescent="0.25">
      <c r="A28" s="36">
        <v>42731.262743055559</v>
      </c>
      <c r="B28" s="31" t="s">
        <v>267</v>
      </c>
      <c r="C28" s="31" t="s">
        <v>431</v>
      </c>
      <c r="D28" s="31" t="s">
        <v>49</v>
      </c>
      <c r="E28" s="31" t="s">
        <v>198</v>
      </c>
      <c r="F28" s="47">
        <v>0</v>
      </c>
      <c r="G28" s="47">
        <v>641</v>
      </c>
      <c r="H28" s="47">
        <v>27924</v>
      </c>
      <c r="I28" s="47">
        <v>25067</v>
      </c>
      <c r="J28" s="31" t="s">
        <v>199</v>
      </c>
      <c r="K28" s="47">
        <v>24235</v>
      </c>
      <c r="L28" s="154" t="s">
        <v>51</v>
      </c>
      <c r="M28" s="155">
        <f>CONVERT((I28-K28)/10000,"mi","ft")*IF(L28="Increasing Mileposts (1)",-1,1)</f>
        <v>439.29599999999999</v>
      </c>
      <c r="N28" s="156" t="str">
        <f>VLOOKUP(C28,'Trips&amp;Operators'!$C$1:$G$99999,5,FALSE)</f>
        <v>YANG JAN</v>
      </c>
      <c r="O28" s="183" t="s">
        <v>195</v>
      </c>
      <c r="P28" s="157" t="s">
        <v>825</v>
      </c>
      <c r="Q28" s="31"/>
      <c r="R28" s="100" t="str">
        <f>VLOOKUP(C28,'Train Runs'!$A$13:$AE$9968,31,0)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S28" s="103" t="str">
        <f>VLOOKUP(C28,'Train Runs'!$A$13:$AE$9968,22,0)</f>
        <v>https://search-rtdc-monitor-bjffxe2xuh6vdkpspy63sjmuny.us-east-1.es.amazonaws.com/_plugin/kibana/#/discover/Steve-Slow-Train-Analysis-(2080s-and-2083s)?_g=(refreshInterval:(display:Off,section:0,value:0),time:(from:'2016-12-27 05:08:36-700',mode:absolute,to:'2016-12-27 07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/stypes="*4004*201612271*" /stext=" 13:.+((SYSTEM_STATE.+slice.+state.+changed )|(ment ac)|(multiple cpu faults)|(system.+state.+changed )|(\[timeout)|(PRM\|1\|D)|(kpr)|(kdp)|(\|lc)|(penalty))" /e /r /s</v>
      </c>
      <c r="U28" s="9" t="str">
        <f>MID(B28,13,4)</f>
        <v>4004</v>
      </c>
      <c r="V28" s="36">
        <f>A28-utc_offset/24</f>
        <v>42731.554409722223</v>
      </c>
      <c r="W28" s="50" t="str">
        <f>IF(VALUE(LEFT(IF(LEN(C28)=6,"0"&amp;C28,C28),2))&lt;=2,"EC",IF(OR(VALUE(LEFT(IF(LEN(C28)=6,"0"&amp;C28,C28),2))=8,VALUE(LEFT(IF(LEN(C28)=6,"0"&amp;C28,C28),2))=18),"NW","Other"))</f>
        <v>NW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{"issue":{"subject":"CRMFN 2S STOP, cleared 30 sec later","project_id":79,"tracker_id":40,"status_id":1,"priority_id":2,"assigned_to_id":23,"start_date":"2016-12-27","description":"","custom_fields":[{"id":1,"name":"Subdivision","value":"NW"},{"id":4,"name":"Milepost","value":"2.4235"},{"id":17,"name":"Train ID","value":"802-27"},{"id":16,"name":"Locomotive ID","value":"4004"},{"id":130,"name":"Impact","value":""},{"id":150,"name":"Time of Event (Mountain Time)","value":"06:18:21"},{"id":151,"name":"Denver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"%USERPROFILE%\AppData\Local\Temp\OnboardLogs"\RTDC4004\*4004*201612271*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"%USERPROFILE%\AppData\Local\Temp\OnboardLogs"\RTDC4004\*4004*201612271* &gt;&gt; 42731-slicedisagreementcheck.txt</v>
      </c>
    </row>
    <row r="29" spans="1:30" ht="15" customHeight="1" x14ac:dyDescent="0.25">
      <c r="A29" s="36">
        <v>42731.768877314818</v>
      </c>
      <c r="B29" s="31" t="s">
        <v>267</v>
      </c>
      <c r="C29" s="31" t="s">
        <v>453</v>
      </c>
      <c r="D29" s="31" t="s">
        <v>49</v>
      </c>
      <c r="E29" s="31" t="s">
        <v>200</v>
      </c>
      <c r="F29" s="47">
        <v>0</v>
      </c>
      <c r="G29" s="47">
        <v>83</v>
      </c>
      <c r="H29" s="47">
        <v>831</v>
      </c>
      <c r="I29" s="47">
        <v>754</v>
      </c>
      <c r="J29" s="31" t="s">
        <v>201</v>
      </c>
      <c r="K29" s="47">
        <v>575</v>
      </c>
      <c r="L29" s="154" t="s">
        <v>51</v>
      </c>
      <c r="M29" s="155">
        <f>CONVERT((I29-K29)/10000,"mi","ft")*IF(L29="Increasing Mileposts (1)",-1,1)</f>
        <v>94.512</v>
      </c>
      <c r="N29" s="156" t="str">
        <f>VLOOKUP(C29,'Trips&amp;Operators'!$C$1:$G$99999,5,FALSE)</f>
        <v>HILLS DUSTIN</v>
      </c>
      <c r="O29" s="183" t="s">
        <v>195</v>
      </c>
      <c r="P29" s="157"/>
      <c r="Q29" s="31"/>
      <c r="R29" s="100" t="str">
        <f>VLOOKUP(C29,'Train Runs'!$A$13:$AE$9968,31,0)</f>
        <v>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 &amp; 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</v>
      </c>
      <c r="S29" s="103" t="str">
        <f>VLOOKUP(C29,'Train Runs'!$A$13:$AE$9968,22,0)</f>
        <v>https://search-rtdc-monitor-bjffxe2xuh6vdkpspy63sjmuny.us-east-1.es.amazonaws.com/_plugin/kibana/#/discover/Steve-Slow-Train-Analysis-(2080s-and-2083s)?_g=(refreshInterval:(display:Off,section:0,value:0),time:(from:'2016-12-27 17:11:35-700',mode:absolute,to:'2016-12-27 19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/stypes="*4004*201612280*" /stext=" 01:.+((SYSTEM_STATE.+slice.+state.+changed )|(ment ac)|(multiple cpu faults)|(system.+state.+changed )|(\[timeout)|(PRM\|1\|D)|(kpr)|(kdp)|(\|lc)|(penalty))" /e /r /s</v>
      </c>
      <c r="U29" s="9" t="str">
        <f>MID(B29,13,4)</f>
        <v>4004</v>
      </c>
      <c r="V29" s="36">
        <f>A29-utc_offset/24</f>
        <v>42732.060543981483</v>
      </c>
      <c r="W29" s="50" t="str">
        <f>IF(VALUE(LEFT(IF(LEN(C29)=6,"0"&amp;C29,C29),2))&lt;=2,"EC",IF(OR(VALUE(LEFT(IF(LEN(C29)=6,"0"&amp;C29,C29),2))=8,VALUE(LEFT(IF(LEN(C29)=6,"0"&amp;C29,C29),2))=18),"NW","Other"))</f>
        <v>NW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{"issue":{"subject":"","project_id":79,"tracker_id":40,"status_id":1,"priority_id":2,"assigned_to_id":23,"start_date":"2016-12-27","description":"","custom_fields":[{"id":1,"name":"Subdivision","value":"NW"},{"id":4,"name":"Milepost","value":"0.0575"},{"id":17,"name":"Train ID","value":"836-27"},{"id":16,"name":"Locomotive ID","value":"4004"},{"id":130,"name":"Impact","value":""},{"id":150,"name":"Time of Event (Mountain Time)","value":"18:27:11"},{"id":151,"name":"Denver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"%USERPROFILE%\AppData\Local\Temp\OnboardLogs"\RTDC4004\*4004*201612280*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"%USERPROFILE%\AppData\Local\Temp\OnboardLogs"\RTDC4004\*4004*201612280* &gt;&gt; 42731-slicedisagreementcheck.txt</v>
      </c>
    </row>
    <row r="30" spans="1:30" x14ac:dyDescent="0.25">
      <c r="A30" s="36">
        <v>42731.482418981483</v>
      </c>
      <c r="B30" s="31" t="s">
        <v>225</v>
      </c>
      <c r="C30" s="31" t="s">
        <v>437</v>
      </c>
      <c r="D30" s="31" t="s">
        <v>49</v>
      </c>
      <c r="E30" s="31" t="s">
        <v>200</v>
      </c>
      <c r="F30" s="47">
        <v>0</v>
      </c>
      <c r="G30" s="47">
        <v>53</v>
      </c>
      <c r="H30" s="47">
        <v>58918</v>
      </c>
      <c r="I30" s="47">
        <v>58973</v>
      </c>
      <c r="J30" s="31" t="s">
        <v>201</v>
      </c>
      <c r="K30" s="47">
        <v>59048</v>
      </c>
      <c r="L30" s="154" t="s">
        <v>50</v>
      </c>
      <c r="M30" s="155">
        <f>CONVERT((I30-K30)/10000,"mi","ft")*IF(L30="Increasing Mileposts (1)",-1,1)</f>
        <v>39.6</v>
      </c>
      <c r="N30" s="156" t="str">
        <f>VLOOKUP(C30,'Trips&amp;Operators'!$C$1:$G$99999,5,FALSE)</f>
        <v>BROWN JACOB</v>
      </c>
      <c r="O30" s="183" t="s">
        <v>227</v>
      </c>
      <c r="P30" s="157" t="s">
        <v>428</v>
      </c>
      <c r="Q30" s="31"/>
      <c r="R30" s="100" t="str">
        <f>VLOOKUP(C30,'Train Runs'!$A$13:$AE$9968,31,0)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S30" s="103" t="str">
        <f>VLOOKUP(C30,'Train Runs'!$A$13:$AE$9968,22,0)</f>
        <v>https://search-rtdc-monitor-bjffxe2xuh6vdkpspy63sjmuny.us-east-1.es.amazonaws.com/_plugin/kibana/#/discover/Steve-Slow-Train-Analysis-(2080s-and-2083s)?_g=(refreshInterval:(display:Off,section:0,value:0),time:(from:'2016-12-27 10:08:47-700',mode:absolute,to:'2016-12-27 12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/stypes="*4014*201612271*" /stext=" 18:.+((SYSTEM_STATE.+slice.+state.+changed )|(ment ac)|(multiple cpu faults)|(system.+state.+changed )|(\[timeout)|(PRM\|1\|D)|(kpr)|(kdp)|(\|lc)|(penalty))" /e /r /s</v>
      </c>
      <c r="U30" s="9" t="str">
        <f>MID(B30,13,4)</f>
        <v>4014</v>
      </c>
      <c r="V30" s="36">
        <f>A30-utc_offset/24</f>
        <v>42731.774085648147</v>
      </c>
      <c r="W30" s="50" t="str">
        <f>IF(VALUE(LEFT(IF(LEN(C30)=6,"0"&amp;C30,C30),2))&lt;=2,"EC",IF(OR(VALUE(LEFT(IF(LEN(C30)=6,"0"&amp;C30,C30),2))=8,VALUE(LEFT(IF(LEN(C30)=6,"0"&amp;C30,C30),2))=18),"NW","Other"))</f>
        <v>NW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braking","project_id":79,"tracker_id":40,"status_id":1,"priority_id":2,"assigned_to_id":23,"start_date":"2016-12-27","description":"","custom_fields":[{"id":1,"name":"Subdivision","value":"NW"},{"id":4,"name":"Milepost","value":"5.9048"},{"id":17,"name":"Train ID","value":"817-27"},{"id":16,"name":"Locomotive ID","value":"4014"},{"id":130,"name":"Impact","value":""},{"id":150,"name":"Time of Event (Mountain Time)","value":"11:34:41"},{"id":151,"name":"Denver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"%USERPROFILE%\AppData\Local\Temp\OnboardLogs"\RTDC4014\*4014*201612271*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"%USERPROFILE%\AppData\Local\Temp\OnboardLogs"\RTDC4014\*4014*201612271* &gt;&gt; 42731-slicedisagreementcheck.txt</v>
      </c>
    </row>
    <row r="31" spans="1:30" x14ac:dyDescent="0.25">
      <c r="A31" s="36">
        <v>42731.524270833332</v>
      </c>
      <c r="B31" s="31" t="s">
        <v>225</v>
      </c>
      <c r="C31" s="31" t="s">
        <v>439</v>
      </c>
      <c r="D31" s="31" t="s">
        <v>49</v>
      </c>
      <c r="E31" s="31" t="s">
        <v>200</v>
      </c>
      <c r="F31" s="47">
        <v>0</v>
      </c>
      <c r="G31" s="47">
        <v>147</v>
      </c>
      <c r="H31" s="47">
        <v>57829</v>
      </c>
      <c r="I31" s="47">
        <v>58104</v>
      </c>
      <c r="J31" s="31" t="s">
        <v>201</v>
      </c>
      <c r="K31" s="47">
        <v>59048</v>
      </c>
      <c r="L31" s="154" t="s">
        <v>50</v>
      </c>
      <c r="M31" s="155">
        <f>CONVERT((I31-K31)/10000,"mi","ft")*IF(L31="Increasing Mileposts (1)",-1,1)</f>
        <v>498.43200000000002</v>
      </c>
      <c r="N31" s="156" t="str">
        <f>VLOOKUP(C31,'Trips&amp;Operators'!$C$1:$G$99999,5,FALSE)</f>
        <v>BROWN JACOB</v>
      </c>
      <c r="O31" s="183" t="s">
        <v>227</v>
      </c>
      <c r="P31" s="157" t="s">
        <v>428</v>
      </c>
      <c r="Q31" s="31"/>
      <c r="R31" s="100" t="str">
        <f>VLOOKUP(C31,'Train Runs'!$A$13:$AE$9968,31,0)</f>
        <v>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 &amp; 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</v>
      </c>
      <c r="S31" s="103" t="str">
        <f>VLOOKUP(C31,'Train Runs'!$A$13:$AE$9968,22,0)</f>
        <v>https://search-rtdc-monitor-bjffxe2xuh6vdkpspy63sjmuny.us-east-1.es.amazonaws.com/_plugin/kibana/#/discover/Steve-Slow-Train-Analysis-(2080s-and-2083s)?_g=(refreshInterval:(display:Off,section:0,value:0),time:(from:'2016-12-27 11:19:11-700',mode:absolute,to:'2016-12-27 13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/stypes="*4014*201612271*" /stext=" 19:.+((SYSTEM_STATE.+slice.+state.+changed )|(ment ac)|(multiple cpu faults)|(system.+state.+changed )|(\[timeout)|(PRM\|1\|D)|(kpr)|(kdp)|(\|lc)|(penalty))" /e /r /s</v>
      </c>
      <c r="U31" s="9" t="str">
        <f>MID(B31,13,4)</f>
        <v>4014</v>
      </c>
      <c r="V31" s="36">
        <f>A31-utc_offset/24</f>
        <v>42731.815937499996</v>
      </c>
      <c r="W31" s="50" t="str">
        <f>IF(VALUE(LEFT(IF(LEN(C31)=6,"0"&amp;C31,C31),2))&lt;=2,"EC",IF(OR(VALUE(LEFT(IF(LEN(C31)=6,"0"&amp;C31,C31),2))=8,VALUE(LEFT(IF(LEN(C31)=6,"0"&amp;C31,C31),2))=18),"NW","Other"))</f>
        <v>NW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braking","project_id":79,"tracker_id":40,"status_id":1,"priority_id":2,"assigned_to_id":23,"start_date":"2016-12-27","description":"","custom_fields":[{"id":1,"name":"Subdivision","value":"NW"},{"id":4,"name":"Milepost","value":"5.9048"},{"id":17,"name":"Train ID","value":"819-27"},{"id":16,"name":"Locomotive ID","value":"4014"},{"id":130,"name":"Impact","value":""},{"id":150,"name":"Time of Event (Mountain Time)","value":"12:34:57"},{"id":151,"name":"Denver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"%USERPROFILE%\AppData\Local\Temp\OnboardLogs"\RTDC4014\*4014*201612271*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"%USERPROFILE%\AppData\Local\Temp\OnboardLogs"\RTDC4014\*4014*201612271* &gt;&gt; 42731-slicedisagreementcheck.txt</v>
      </c>
    </row>
    <row r="32" spans="1:30" x14ac:dyDescent="0.25">
      <c r="A32" s="36">
        <v>42731.712395833332</v>
      </c>
      <c r="B32" s="31" t="s">
        <v>268</v>
      </c>
      <c r="C32" s="31" t="s">
        <v>451</v>
      </c>
      <c r="D32" s="31" t="s">
        <v>49</v>
      </c>
      <c r="E32" s="31" t="s">
        <v>200</v>
      </c>
      <c r="F32" s="47">
        <v>0</v>
      </c>
      <c r="G32" s="47">
        <v>71</v>
      </c>
      <c r="H32" s="47">
        <v>58816</v>
      </c>
      <c r="I32" s="47">
        <v>58888</v>
      </c>
      <c r="J32" s="31" t="s">
        <v>201</v>
      </c>
      <c r="K32" s="47">
        <v>59048</v>
      </c>
      <c r="L32" s="154" t="s">
        <v>50</v>
      </c>
      <c r="M32" s="155">
        <f>CONVERT((I32-K32)/10000,"mi","ft")*IF(L32="Increasing Mileposts (1)",-1,1)</f>
        <v>84.48</v>
      </c>
      <c r="N32" s="156" t="str">
        <f>VLOOKUP(C32,'Trips&amp;Operators'!$C$1:$G$99999,5,FALSE)</f>
        <v>HILLS DUSTIN</v>
      </c>
      <c r="O32" s="183" t="s">
        <v>195</v>
      </c>
      <c r="P32" s="157"/>
      <c r="Q32" s="31"/>
      <c r="R32" s="100" t="str">
        <f>VLOOKUP(C32,'Train Runs'!$A$13:$AE$9968,31,0)</f>
        <v>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 &amp; 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</v>
      </c>
      <c r="S32" s="103" t="str">
        <f>VLOOKUP(C32,'Train Runs'!$A$13:$AE$9968,22,0)</f>
        <v>https://search-rtdc-monitor-bjffxe2xuh6vdkpspy63sjmuny.us-east-1.es.amazonaws.com/_plugin/kibana/#/discover/Steve-Slow-Train-Analysis-(2080s-and-2083s)?_g=(refreshInterval:(display:Off,section:0,value:0),time:(from:'2016-12-27 15:28:01-700',mode:absolute,to:'2016-12-27 18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/stypes="*4003*201612280*" /stext=" 00:.+((SYSTEM_STATE.+slice.+state.+changed )|(ment ac)|(multiple cpu faults)|(system.+state.+changed )|(\[timeout)|(PRM\|1\|D)|(kpr)|(kdp)|(\|lc)|(penalty))" /e /r /s</v>
      </c>
      <c r="U32" s="9" t="str">
        <f>MID(B32,13,4)</f>
        <v>4003</v>
      </c>
      <c r="V32" s="36">
        <f>A32-utc_offset/24</f>
        <v>42732.004062499997</v>
      </c>
      <c r="W32" s="50" t="str">
        <f>IF(VALUE(LEFT(IF(LEN(C32)=6,"0"&amp;C32,C32),2))&lt;=2,"EC",IF(OR(VALUE(LEFT(IF(LEN(C32)=6,"0"&amp;C32,C32),2))=8,VALUE(LEFT(IF(LEN(C32)=6,"0"&amp;C32,C32),2))=18),"NW","Other"))</f>
        <v>NW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{"issue":{"subject":"","project_id":79,"tracker_id":40,"status_id":1,"priority_id":2,"assigned_to_id":23,"start_date":"2016-12-27","description":"","custom_fields":[{"id":1,"name":"Subdivision","value":"NW"},{"id":4,"name":"Milepost","value":"5.9048"},{"id":17,"name":"Train ID","value":"831-27"},{"id":16,"name":"Locomotive ID","value":"4003"},{"id":130,"name":"Impact","value":""},{"id":150,"name":"Time of Event (Mountain Time)","value":"17:05:51"},{"id":151,"name":"Denver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"%USERPROFILE%\AppData\Local\Temp\OnboardLogs"\RTDC4003\*4003*201612280*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"%USERPROFILE%\AppData\Local\Temp\OnboardLogs"\RTDC4003\*4003*201612280* &gt;&gt; 42731-slicedisagreementcheck.txt</v>
      </c>
    </row>
    <row r="33" spans="1:30" x14ac:dyDescent="0.25">
      <c r="A33" s="36">
        <v>42731.182175925926</v>
      </c>
      <c r="B33" s="31" t="s">
        <v>370</v>
      </c>
      <c r="C33" s="31" t="s">
        <v>430</v>
      </c>
      <c r="D33" s="31" t="s">
        <v>49</v>
      </c>
      <c r="E33" s="31" t="s">
        <v>200</v>
      </c>
      <c r="F33" s="47">
        <v>0</v>
      </c>
      <c r="G33" s="47">
        <v>45</v>
      </c>
      <c r="H33" s="47">
        <v>167</v>
      </c>
      <c r="I33" s="47">
        <v>127</v>
      </c>
      <c r="J33" s="31" t="s">
        <v>201</v>
      </c>
      <c r="K33" s="47">
        <v>1</v>
      </c>
      <c r="L33" s="154" t="s">
        <v>51</v>
      </c>
      <c r="M33" s="155">
        <f>CONVERT((I33-K33)/10000,"mi","ft")*IF(L33="Increasing Mileposts (1)",-1,1)</f>
        <v>66.528000000000006</v>
      </c>
      <c r="N33" s="156" t="str">
        <f>VLOOKUP(C33,'Trips&amp;Operators'!$C$1:$G$99999,5,FALSE)</f>
        <v>DUNCAN SHEILA</v>
      </c>
      <c r="O33" s="183" t="s">
        <v>195</v>
      </c>
      <c r="P33" s="157"/>
      <c r="Q33" s="31"/>
      <c r="R33" s="100" t="str">
        <f>VLOOKUP(C33,'Train Runs'!$A$13:$AE$9968,31,0)</f>
        <v>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 &amp; aws s3 cp s3://rtdc.mdm.uploadarchive.raw/RTDC4001/ "%USERPROFILE%\AppData\Local\Temp\OnboardLogs"\RTDC4001\2016-12-28 --exclude "*" --recursive --include "*20161228*" &amp; "%USERPROFILE%\Documents\GitHub\mrs-test-scripts\Headless Mode &amp; Sideloading\WalkAndUnGZ.bat" "%USERPROFILE%\AppData\Local\Temp\OnboardLogs"\RTDC4001\2016-12-28</v>
      </c>
      <c r="S33" s="103" t="str">
        <f>VLOOKUP(C33,'Train Runs'!$A$13:$AE$9968,22,0)</f>
        <v>https://search-rtdc-monitor-bjffxe2xuh6vdkpspy63sjmuny.us-east-1.es.amazonaws.com/_plugin/kibana/#/discover/Steve-Slow-Train-Analysis-(2080s-and-2083s)?_g=(refreshInterval:(display:Off,section:0,value:0),time:(from:'2016-12-27 03:08:18-700',mode:absolute,to:'2016-12-27 05:22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/stypes="*4001*201612271*" /stext=" 11:.+((SYSTEM_STATE.+slice.+state.+changed )|(ment ac)|(multiple cpu faults)|(system.+state.+changed )|(\[timeout)|(PRM\|1\|D)|(kpr)|(kdp)|(\|lc)|(penalty))" /e /r /s</v>
      </c>
      <c r="U33" s="9" t="str">
        <f>MID(B33,13,4)</f>
        <v>4001</v>
      </c>
      <c r="V33" s="36">
        <f>A33-utc_offset/24</f>
        <v>42731.47384259259</v>
      </c>
      <c r="W33" s="50" t="str">
        <f>IF(VALUE(LEFT(IF(LEN(C33)=6,"0"&amp;C33,C33),2))&lt;=2,"EC",IF(OR(VALUE(LEFT(IF(LEN(C33)=6,"0"&amp;C33,C33),2))=8,VALUE(LEFT(IF(LEN(C33)=6,"0"&amp;C33,C33),2))=18),"NW","Other"))</f>
        <v>Other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{"issue":{"subject":"","project_id":79,"tracker_id":40,"status_id":1,"priority_id":2,"assigned_to_id":23,"start_date":"2016-12-27","description":"","custom_fields":[{"id":1,"name":"Subdivision","value":"Other"},{"id":4,"name":"Milepost","value":"0.0001"},{"id":17,"name":"Train ID","value":"308-27"},{"id":16,"name":"Locomotive ID","value":"4001"},{"id":130,"name":"Impact","value":""},{"id":150,"name":"Time of Event (Mountain Time)","value":"04:22:20"},{"id":151,"name":"Denver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"%USERPROFILE%\AppData\Local\Temp\OnboardLogs"\RTDC4001\*4001*201612271*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"%USERPROFILE%\AppData\Local\Temp\OnboardLogs"\RTDC4001\*4001*201612271* &gt;&gt; 42731-slicedisagreementcheck.txt</v>
      </c>
    </row>
    <row r="34" spans="1:30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30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30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30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4">
      <sortCondition ref="V6:V44"/>
    </sortState>
  </autoFilter>
  <sortState ref="A7:AD33">
    <sortCondition ref="W7:W33"/>
    <sortCondition ref="E7:E33"/>
    <sortCondition ref="K7:K33"/>
    <sortCondition ref="C7:C33"/>
    <sortCondition ref="F7:F33"/>
  </sortState>
  <mergeCells count="1">
    <mergeCell ref="A5:O5"/>
  </mergeCells>
  <conditionalFormatting sqref="O6:P6 R6 O74:O1048576 O7:O3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3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I3" sqref="I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5" t="str">
        <f>"Trips that did not appear in PTC Data "&amp;TEXT(Variables!$A$2,"YYYY-mm-dd")</f>
        <v>Trips that did not appear in PTC Data 2016-12-27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803</v>
      </c>
      <c r="B3" s="47" t="str">
        <f>A3&amp;"-"&amp;IF(DAY(Variables!$A$2)&lt;10,0,"")&amp;DAY(Variables!$A$2)</f>
        <v>803-27</v>
      </c>
      <c r="C3" s="158"/>
      <c r="D3" s="163"/>
      <c r="E3" s="31"/>
      <c r="F3" s="22" t="str">
        <f>VLOOKUP(B3,'Trips&amp;Operators'!$C$2:$E$10000,3,FALSE)</f>
        <v>BROWN</v>
      </c>
      <c r="G3" s="22" t="str">
        <f>VLOOKUP(B3,'Trips&amp;Operators'!$C$1:$F$10000,4,FALSE)</f>
        <v>JACOB</v>
      </c>
      <c r="H3" s="30" t="str">
        <f>VLOOKUP(B3,'Trips&amp;Operators'!$C$1:$H$10000,5,FALSE)</f>
        <v>BROWN JACOB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22803-27%22)),sort:!(Time,asc))</v>
      </c>
      <c r="J3" s="31" t="str">
        <f>VLOOKUP(B3,'Train Runs'!$A$13:$A$99965,1,FALSE)</f>
        <v>803-27</v>
      </c>
      <c r="K3" s="31" t="e">
        <f>IF(VLOOKUP(A3,$K$26:$K$49,1,FALSE),"Cancelled")</f>
        <v>#N/A</v>
      </c>
    </row>
    <row r="4" spans="1:11" x14ac:dyDescent="0.25">
      <c r="A4" s="171">
        <v>807</v>
      </c>
      <c r="B4" s="47" t="str">
        <f>A4&amp;"-"&amp;IF(DAY(Variables!$A$2)&lt;10,0,"")&amp;DAY(Variables!$A$2)</f>
        <v>807-27</v>
      </c>
      <c r="C4" s="158"/>
      <c r="D4" s="163"/>
      <c r="E4" s="31"/>
      <c r="F4" s="22" t="str">
        <f>VLOOKUP(B4,'Trips&amp;Operators'!$C$2:$E$10000,3,FALSE)</f>
        <v>BROWN</v>
      </c>
      <c r="G4" s="22" t="str">
        <f>VLOOKUP(B4,'Trips&amp;Operators'!$C$1:$F$10000,4,FALSE)</f>
        <v>JACOB</v>
      </c>
      <c r="H4" s="30" t="str">
        <f>VLOOKUP(B4,'Trips&amp;Operators'!$C$1:$H$10000,5,FALSE)</f>
        <v>BROWN JACOB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22807-27%22)),sort:!(Time,asc))</v>
      </c>
      <c r="J4" s="31" t="str">
        <f>VLOOKUP(B4,'Train Runs'!$A$13:$A$99965,1,FALSE)</f>
        <v>807-27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-27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5" s="31" t="e">
        <f>VLOOKUP(B5,'Train Runs'!$A$13:$A$99965,1,FALSE)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-27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6" s="31" t="e">
        <f>VLOOKUP(B6,'Train Runs'!$A$13:$A$99965,1,FALSE)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-27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7" s="31" t="e">
        <f>VLOOKUP(B7,'Train Runs'!$A$13:$A$99965,1,FALSE)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-27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8" s="31" t="e">
        <f>VLOOKUP(B8,'Train Runs'!$A$13:$A$99965,1,FALSE)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-27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9" s="31" t="e">
        <f>VLOOKUP(B9,'Train Runs'!$A$13:$A$99965,1,FALSE)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-27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0" s="31" t="e">
        <f>VLOOKUP(B10,'Train Runs'!$A$13:$A$99965,1,FALSE)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-27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1" s="31" t="e">
        <f>VLOOKUP(B11,'Train Runs'!$A$13:$A$99965,1,FALSE)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-27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2" s="31" t="e">
        <f>VLOOKUP(B12,'Train Runs'!$A$13:$A$99965,1,FALSE)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-27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3" s="31" t="e">
        <f>VLOOKUP(B13,'Train Runs'!$A$13:$A$99965,1,FALSE)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-27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4" s="31" t="e">
        <f>VLOOKUP(B14,'Train Runs'!$A$13:$A$99965,1,FALSE)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-27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5" s="31" t="e">
        <f>VLOOKUP(B15,'Train Runs'!$A$13:$A$99965,1,FALSE)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-27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6" s="31" t="e">
        <f>VLOOKUP(B16,'Train Runs'!$A$13:$A$99965,1,FALSE)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-27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7" s="31" t="e">
        <f>VLOOKUP(B17,'Train Runs'!$A$13:$A$99965,1,FALSE)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-27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-27%22)),sort:!(Time,asc))</v>
      </c>
      <c r="J18" s="31" t="e">
        <f>VLOOKUP(B18,'Train Runs'!$A$13:$A$99965,1,FALSE)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250</v>
      </c>
      <c r="G1" s="8" t="s">
        <v>249</v>
      </c>
    </row>
    <row r="2" spans="1:7" x14ac:dyDescent="0.25">
      <c r="A2" s="8">
        <v>42731.037395833337</v>
      </c>
      <c r="B2" s="21" t="s">
        <v>330</v>
      </c>
      <c r="C2" s="21" t="s">
        <v>385</v>
      </c>
      <c r="D2" s="164">
        <v>2000000</v>
      </c>
      <c r="E2" s="21" t="s">
        <v>209</v>
      </c>
      <c r="F2" s="21" t="s">
        <v>248</v>
      </c>
      <c r="G2" s="8" t="str">
        <f>E2&amp;" "&amp;F2</f>
        <v>STAMBAUGH JAMES</v>
      </c>
    </row>
    <row r="3" spans="1:7" x14ac:dyDescent="0.25">
      <c r="A3" s="8">
        <v>42731.048356481479</v>
      </c>
      <c r="B3" s="21" t="s">
        <v>286</v>
      </c>
      <c r="C3" s="21" t="s">
        <v>386</v>
      </c>
      <c r="D3" s="164">
        <v>2230000</v>
      </c>
      <c r="E3" s="21" t="s">
        <v>276</v>
      </c>
      <c r="F3" s="21" t="s">
        <v>259</v>
      </c>
      <c r="G3" s="8" t="str">
        <f t="shared" ref="G3:G66" si="0">E3&amp;" "&amp;F3</f>
        <v>SMITH MICHAEL</v>
      </c>
    </row>
    <row r="4" spans="1:7" x14ac:dyDescent="0.25">
      <c r="A4" s="8">
        <v>42731.056851851848</v>
      </c>
      <c r="B4" s="21" t="s">
        <v>256</v>
      </c>
      <c r="C4" s="21" t="s">
        <v>387</v>
      </c>
      <c r="D4" s="164">
        <v>2720000</v>
      </c>
      <c r="E4" s="21" t="s">
        <v>383</v>
      </c>
      <c r="F4" s="21" t="s">
        <v>384</v>
      </c>
      <c r="G4" s="8" t="str">
        <f t="shared" si="0"/>
        <v>SIMONEAUX TERA</v>
      </c>
    </row>
    <row r="5" spans="1:7" x14ac:dyDescent="0.25">
      <c r="A5" s="8">
        <v>42731.067523148151</v>
      </c>
      <c r="B5" s="21" t="s">
        <v>329</v>
      </c>
      <c r="C5" s="21" t="s">
        <v>388</v>
      </c>
      <c r="D5" s="164">
        <v>2000000</v>
      </c>
      <c r="E5" s="21" t="s">
        <v>209</v>
      </c>
      <c r="F5" s="21" t="s">
        <v>248</v>
      </c>
      <c r="G5" s="8" t="str">
        <f t="shared" si="0"/>
        <v>STAMBAUGH JAMES</v>
      </c>
    </row>
    <row r="6" spans="1:7" x14ac:dyDescent="0.25">
      <c r="A6" s="8">
        <v>42731.093460648146</v>
      </c>
      <c r="B6" s="21" t="s">
        <v>229</v>
      </c>
      <c r="C6" s="21" t="s">
        <v>389</v>
      </c>
      <c r="D6" s="164">
        <v>2720000</v>
      </c>
      <c r="E6" s="21" t="s">
        <v>383</v>
      </c>
      <c r="F6" s="21" t="s">
        <v>384</v>
      </c>
      <c r="G6" s="8" t="str">
        <f t="shared" si="0"/>
        <v>SIMONEAUX TERA</v>
      </c>
    </row>
    <row r="7" spans="1:7" x14ac:dyDescent="0.25">
      <c r="A7" s="8">
        <v>42731.114884259259</v>
      </c>
      <c r="B7" s="21" t="s">
        <v>456</v>
      </c>
      <c r="C7" s="21" t="s">
        <v>457</v>
      </c>
      <c r="D7" s="164">
        <v>1140000</v>
      </c>
      <c r="E7" s="21" t="s">
        <v>458</v>
      </c>
      <c r="F7" s="21" t="s">
        <v>459</v>
      </c>
      <c r="G7" s="8" t="str">
        <f t="shared" si="0"/>
        <v>YOUNG ELIZABETH</v>
      </c>
    </row>
    <row r="8" spans="1:7" x14ac:dyDescent="0.25">
      <c r="A8" s="8">
        <v>42731.128136574072</v>
      </c>
      <c r="B8" s="21" t="s">
        <v>214</v>
      </c>
      <c r="C8" s="21" t="s">
        <v>429</v>
      </c>
      <c r="D8" s="164">
        <v>1140000</v>
      </c>
      <c r="E8" s="21" t="s">
        <v>458</v>
      </c>
      <c r="F8" s="21" t="s">
        <v>459</v>
      </c>
      <c r="G8" s="8" t="str">
        <f t="shared" si="0"/>
        <v>YOUNG ELIZABETH</v>
      </c>
    </row>
    <row r="9" spans="1:7" ht="15.75" thickBot="1" x14ac:dyDescent="0.3">
      <c r="A9" s="25">
        <v>42731.14199074074</v>
      </c>
      <c r="B9" s="21" t="s">
        <v>442</v>
      </c>
      <c r="C9" s="21" t="s">
        <v>460</v>
      </c>
      <c r="D9" s="164">
        <v>2010000</v>
      </c>
      <c r="E9" s="21" t="s">
        <v>461</v>
      </c>
      <c r="F9" s="21" t="s">
        <v>462</v>
      </c>
      <c r="G9" s="8" t="str">
        <f t="shared" si="0"/>
        <v>MAELZER KURT</v>
      </c>
    </row>
    <row r="10" spans="1:7" x14ac:dyDescent="0.25">
      <c r="A10" s="8">
        <v>42731.153391203705</v>
      </c>
      <c r="B10" s="21" t="s">
        <v>154</v>
      </c>
      <c r="C10" s="21" t="s">
        <v>463</v>
      </c>
      <c r="D10" s="164">
        <v>2010000</v>
      </c>
      <c r="E10" s="21" t="s">
        <v>461</v>
      </c>
      <c r="F10" s="21" t="s">
        <v>462</v>
      </c>
      <c r="G10" s="8" t="str">
        <f t="shared" si="0"/>
        <v>MAELZER KURT</v>
      </c>
    </row>
    <row r="11" spans="1:7" x14ac:dyDescent="0.25">
      <c r="A11" s="8">
        <v>42731.160671296297</v>
      </c>
      <c r="B11" s="21" t="s">
        <v>255</v>
      </c>
      <c r="C11" s="21" t="s">
        <v>464</v>
      </c>
      <c r="D11" s="164">
        <v>1110000</v>
      </c>
      <c r="E11" s="21" t="s">
        <v>373</v>
      </c>
      <c r="F11" s="21" t="s">
        <v>374</v>
      </c>
      <c r="G11" s="8" t="str">
        <f t="shared" si="0"/>
        <v>STARKS ANGELINA</v>
      </c>
    </row>
    <row r="12" spans="1:7" x14ac:dyDescent="0.25">
      <c r="A12" s="8">
        <v>42731.171631944446</v>
      </c>
      <c r="B12" s="21" t="s">
        <v>370</v>
      </c>
      <c r="C12" s="21" t="s">
        <v>430</v>
      </c>
      <c r="D12" s="164">
        <v>2680000</v>
      </c>
      <c r="E12" s="21" t="s">
        <v>375</v>
      </c>
      <c r="F12" s="21" t="s">
        <v>376</v>
      </c>
      <c r="G12" s="8" t="str">
        <f t="shared" si="0"/>
        <v>DUNCAN SHEILA</v>
      </c>
    </row>
    <row r="13" spans="1:7" x14ac:dyDescent="0.25">
      <c r="A13" s="8">
        <v>42731.172488425924</v>
      </c>
      <c r="B13" s="21" t="s">
        <v>456</v>
      </c>
      <c r="C13" s="21" t="s">
        <v>465</v>
      </c>
      <c r="D13" s="164">
        <v>1140000</v>
      </c>
      <c r="E13" s="21" t="s">
        <v>458</v>
      </c>
      <c r="F13" s="21" t="s">
        <v>459</v>
      </c>
      <c r="G13" s="8" t="str">
        <f t="shared" si="0"/>
        <v>YOUNG ELIZABETH</v>
      </c>
    </row>
    <row r="14" spans="1:7" x14ac:dyDescent="0.25">
      <c r="A14" s="8">
        <v>42731.172754629632</v>
      </c>
      <c r="B14" s="21" t="s">
        <v>370</v>
      </c>
      <c r="C14" s="21" t="s">
        <v>430</v>
      </c>
      <c r="D14" s="164">
        <v>2680000</v>
      </c>
      <c r="E14" s="21" t="s">
        <v>375</v>
      </c>
      <c r="F14" s="21" t="s">
        <v>376</v>
      </c>
      <c r="G14" s="8" t="str">
        <f t="shared" si="0"/>
        <v>DUNCAN SHEILA</v>
      </c>
    </row>
    <row r="15" spans="1:7" x14ac:dyDescent="0.25">
      <c r="A15" s="8">
        <v>42731.174386574072</v>
      </c>
      <c r="B15" s="21" t="s">
        <v>231</v>
      </c>
      <c r="C15" s="21" t="s">
        <v>466</v>
      </c>
      <c r="D15" s="164">
        <v>1110000</v>
      </c>
      <c r="E15" s="21" t="s">
        <v>373</v>
      </c>
      <c r="F15" s="21" t="s">
        <v>374</v>
      </c>
      <c r="G15" s="8" t="str">
        <f t="shared" si="0"/>
        <v>STARKS ANGELINA</v>
      </c>
    </row>
    <row r="16" spans="1:7" x14ac:dyDescent="0.25">
      <c r="A16" s="8">
        <v>42731.180567129632</v>
      </c>
      <c r="B16" s="21" t="s">
        <v>283</v>
      </c>
      <c r="C16" s="21" t="s">
        <v>467</v>
      </c>
      <c r="D16" s="164">
        <v>1990000</v>
      </c>
      <c r="E16" s="21" t="s">
        <v>260</v>
      </c>
      <c r="F16" s="21" t="s">
        <v>331</v>
      </c>
      <c r="G16" s="8" t="str">
        <f t="shared" si="0"/>
        <v>DAVIS WENDY</v>
      </c>
    </row>
    <row r="17" spans="1:7" x14ac:dyDescent="0.25">
      <c r="A17" s="8">
        <v>42731.184212962966</v>
      </c>
      <c r="B17" s="21" t="s">
        <v>212</v>
      </c>
      <c r="C17" s="21" t="s">
        <v>468</v>
      </c>
      <c r="D17" s="164">
        <v>2680000</v>
      </c>
      <c r="E17" s="21" t="s">
        <v>375</v>
      </c>
      <c r="F17" s="21" t="s">
        <v>376</v>
      </c>
      <c r="G17" s="8" t="str">
        <f t="shared" si="0"/>
        <v>DUNCAN SHEILA</v>
      </c>
    </row>
    <row r="18" spans="1:7" x14ac:dyDescent="0.25">
      <c r="A18" s="8">
        <v>42731.187465277777</v>
      </c>
      <c r="B18" s="21" t="s">
        <v>212</v>
      </c>
      <c r="C18" s="21" t="s">
        <v>468</v>
      </c>
      <c r="D18" s="164">
        <v>2680000</v>
      </c>
      <c r="E18" s="21" t="s">
        <v>375</v>
      </c>
      <c r="F18" s="21" t="s">
        <v>376</v>
      </c>
      <c r="G18" s="8" t="str">
        <f t="shared" si="0"/>
        <v>DUNCAN SHEILA</v>
      </c>
    </row>
    <row r="19" spans="1:7" x14ac:dyDescent="0.25">
      <c r="A19" s="8">
        <v>42731.18849537037</v>
      </c>
      <c r="B19" s="21" t="s">
        <v>442</v>
      </c>
      <c r="C19" s="21" t="s">
        <v>469</v>
      </c>
      <c r="D19" s="164">
        <v>2010000</v>
      </c>
      <c r="E19" s="21" t="s">
        <v>461</v>
      </c>
      <c r="F19" s="21" t="s">
        <v>462</v>
      </c>
      <c r="G19" s="8" t="str">
        <f t="shared" si="0"/>
        <v>MAELZER KURT</v>
      </c>
    </row>
    <row r="20" spans="1:7" x14ac:dyDescent="0.25">
      <c r="A20" s="8">
        <v>42731.195543981485</v>
      </c>
      <c r="B20" s="21" t="s">
        <v>284</v>
      </c>
      <c r="C20" s="21" t="s">
        <v>470</v>
      </c>
      <c r="D20" s="164">
        <v>1990000</v>
      </c>
      <c r="E20" s="21" t="s">
        <v>260</v>
      </c>
      <c r="F20" s="21" t="s">
        <v>331</v>
      </c>
      <c r="G20" s="8" t="str">
        <f t="shared" si="0"/>
        <v>DAVIS WENDY</v>
      </c>
    </row>
    <row r="21" spans="1:7" x14ac:dyDescent="0.25">
      <c r="A21" s="8">
        <v>42731.204618055555</v>
      </c>
      <c r="B21" s="21" t="s">
        <v>268</v>
      </c>
      <c r="C21" s="21" t="s">
        <v>471</v>
      </c>
      <c r="D21" s="164">
        <v>2730000</v>
      </c>
      <c r="E21" s="21" t="s">
        <v>306</v>
      </c>
      <c r="F21" s="21" t="s">
        <v>307</v>
      </c>
      <c r="G21" s="8" t="str">
        <f t="shared" si="0"/>
        <v>YANG JAN</v>
      </c>
    </row>
    <row r="22" spans="1:7" x14ac:dyDescent="0.25">
      <c r="A22" s="27">
        <v>42731.209687499999</v>
      </c>
      <c r="B22" s="21" t="s">
        <v>204</v>
      </c>
      <c r="C22" s="21" t="s">
        <v>472</v>
      </c>
      <c r="D22" s="164">
        <v>2610000</v>
      </c>
      <c r="E22" s="21" t="s">
        <v>371</v>
      </c>
      <c r="F22" s="21" t="s">
        <v>372</v>
      </c>
      <c r="G22" s="8" t="str">
        <f t="shared" si="0"/>
        <v>MAGEE KENYA</v>
      </c>
    </row>
    <row r="23" spans="1:7" x14ac:dyDescent="0.25">
      <c r="A23" s="8">
        <v>42731.212222222224</v>
      </c>
      <c r="B23" s="21" t="s">
        <v>267</v>
      </c>
      <c r="C23" s="21" t="s">
        <v>473</v>
      </c>
      <c r="D23" s="164">
        <v>2730000</v>
      </c>
      <c r="E23" s="21" t="s">
        <v>306</v>
      </c>
      <c r="F23" s="21" t="s">
        <v>307</v>
      </c>
      <c r="G23" s="8" t="str">
        <f t="shared" si="0"/>
        <v>YANG JAN</v>
      </c>
    </row>
    <row r="24" spans="1:7" x14ac:dyDescent="0.25">
      <c r="A24" s="8">
        <v>42731.214421296296</v>
      </c>
      <c r="B24" s="21" t="s">
        <v>255</v>
      </c>
      <c r="C24" s="21" t="s">
        <v>474</v>
      </c>
      <c r="D24" s="164">
        <v>1110000</v>
      </c>
      <c r="E24" s="21" t="s">
        <v>373</v>
      </c>
      <c r="F24" s="21" t="s">
        <v>374</v>
      </c>
      <c r="G24" s="8" t="str">
        <f t="shared" si="0"/>
        <v>STARKS ANGELINA</v>
      </c>
    </row>
    <row r="25" spans="1:7" x14ac:dyDescent="0.25">
      <c r="A25" s="8">
        <v>42731.216678240744</v>
      </c>
      <c r="B25" s="21" t="s">
        <v>214</v>
      </c>
      <c r="C25" s="21" t="s">
        <v>475</v>
      </c>
      <c r="D25" s="164">
        <v>1140000</v>
      </c>
      <c r="E25" s="21" t="s">
        <v>458</v>
      </c>
      <c r="F25" s="21" t="s">
        <v>459</v>
      </c>
      <c r="G25" s="8" t="str">
        <f t="shared" si="0"/>
        <v>YOUNG ELIZABETH</v>
      </c>
    </row>
    <row r="26" spans="1:7" x14ac:dyDescent="0.25">
      <c r="A26" s="8">
        <v>42731.217731481483</v>
      </c>
      <c r="B26" s="21" t="s">
        <v>370</v>
      </c>
      <c r="C26" s="21" t="s">
        <v>476</v>
      </c>
      <c r="D26" s="164">
        <v>2680000</v>
      </c>
      <c r="E26" s="21" t="s">
        <v>375</v>
      </c>
      <c r="F26" s="21" t="s">
        <v>376</v>
      </c>
      <c r="G26" s="8" t="str">
        <f t="shared" si="0"/>
        <v>DUNCAN SHEILA</v>
      </c>
    </row>
    <row r="27" spans="1:7" x14ac:dyDescent="0.25">
      <c r="A27" s="8">
        <v>42731.228379629632</v>
      </c>
      <c r="B27" s="21" t="s">
        <v>268</v>
      </c>
      <c r="C27" s="21" t="s">
        <v>477</v>
      </c>
      <c r="D27" s="164">
        <v>2730000</v>
      </c>
      <c r="E27" s="21" t="s">
        <v>306</v>
      </c>
      <c r="F27" s="21" t="s">
        <v>307</v>
      </c>
      <c r="G27" s="8" t="str">
        <f t="shared" si="0"/>
        <v>YANG JAN</v>
      </c>
    </row>
    <row r="28" spans="1:7" x14ac:dyDescent="0.25">
      <c r="A28" s="8">
        <v>42731.22929398148</v>
      </c>
      <c r="B28" s="21" t="s">
        <v>154</v>
      </c>
      <c r="C28" s="21" t="s">
        <v>478</v>
      </c>
      <c r="D28" s="164">
        <v>2670000</v>
      </c>
      <c r="E28" s="21" t="s">
        <v>377</v>
      </c>
      <c r="F28" s="21" t="s">
        <v>378</v>
      </c>
      <c r="G28" s="8" t="str">
        <f t="shared" si="0"/>
        <v>COMELLA JUSTIN</v>
      </c>
    </row>
    <row r="29" spans="1:7" x14ac:dyDescent="0.25">
      <c r="A29" s="8">
        <v>42731.230717592596</v>
      </c>
      <c r="B29" s="21" t="s">
        <v>435</v>
      </c>
      <c r="C29" s="21" t="s">
        <v>479</v>
      </c>
      <c r="D29" s="164">
        <v>2010000</v>
      </c>
      <c r="E29" s="21" t="s">
        <v>461</v>
      </c>
      <c r="F29" s="21" t="s">
        <v>462</v>
      </c>
      <c r="G29" s="8" t="str">
        <f t="shared" si="0"/>
        <v>MAELZER KURT</v>
      </c>
    </row>
    <row r="30" spans="1:7" x14ac:dyDescent="0.25">
      <c r="A30" s="8">
        <v>42731.233391203707</v>
      </c>
      <c r="B30" s="21" t="s">
        <v>283</v>
      </c>
      <c r="C30" s="21" t="s">
        <v>480</v>
      </c>
      <c r="D30" s="164">
        <v>1990000</v>
      </c>
      <c r="E30" s="21" t="s">
        <v>260</v>
      </c>
      <c r="F30" s="21" t="s">
        <v>331</v>
      </c>
      <c r="G30" s="8" t="str">
        <f t="shared" si="0"/>
        <v>DAVIS WENDY</v>
      </c>
    </row>
    <row r="31" spans="1:7" x14ac:dyDescent="0.25">
      <c r="A31" s="8">
        <v>42731.243923611109</v>
      </c>
      <c r="B31" s="21" t="s">
        <v>210</v>
      </c>
      <c r="C31" s="21" t="s">
        <v>481</v>
      </c>
      <c r="D31" s="164">
        <v>2610000</v>
      </c>
      <c r="E31" s="21" t="s">
        <v>371</v>
      </c>
      <c r="F31" s="21" t="s">
        <v>372</v>
      </c>
      <c r="G31" s="8" t="str">
        <f t="shared" si="0"/>
        <v>MAGEE KENYA</v>
      </c>
    </row>
    <row r="32" spans="1:7" x14ac:dyDescent="0.25">
      <c r="A32" s="8">
        <v>42731.244780092595</v>
      </c>
      <c r="B32" s="21" t="s">
        <v>266</v>
      </c>
      <c r="C32" s="21" t="s">
        <v>482</v>
      </c>
      <c r="D32" s="164">
        <v>2270000</v>
      </c>
      <c r="E32" s="21" t="s">
        <v>318</v>
      </c>
      <c r="F32" s="21" t="s">
        <v>319</v>
      </c>
      <c r="G32" s="8" t="str">
        <f t="shared" si="0"/>
        <v>BROWN JACOB</v>
      </c>
    </row>
    <row r="33" spans="1:7" x14ac:dyDescent="0.25">
      <c r="A33" s="8">
        <v>42731.249421296299</v>
      </c>
      <c r="B33" s="21" t="s">
        <v>231</v>
      </c>
      <c r="C33" s="21" t="s">
        <v>483</v>
      </c>
      <c r="D33" s="164">
        <v>1110000</v>
      </c>
      <c r="E33" s="21" t="s">
        <v>373</v>
      </c>
      <c r="F33" s="21" t="s">
        <v>374</v>
      </c>
      <c r="G33" s="8" t="str">
        <f t="shared" si="0"/>
        <v>STARKS ANGELINA</v>
      </c>
    </row>
    <row r="34" spans="1:7" x14ac:dyDescent="0.25">
      <c r="A34" s="8">
        <v>42731.253969907404</v>
      </c>
      <c r="B34" s="21" t="s">
        <v>484</v>
      </c>
      <c r="C34" s="21" t="s">
        <v>485</v>
      </c>
      <c r="D34" s="164">
        <v>1140000</v>
      </c>
      <c r="E34" s="21" t="s">
        <v>458</v>
      </c>
      <c r="F34" s="21" t="s">
        <v>459</v>
      </c>
      <c r="G34" s="8" t="str">
        <f t="shared" si="0"/>
        <v>YOUNG ELIZABETH</v>
      </c>
    </row>
    <row r="35" spans="1:7" x14ac:dyDescent="0.25">
      <c r="A35" s="8">
        <v>42731.256423611114</v>
      </c>
      <c r="B35" s="21" t="s">
        <v>267</v>
      </c>
      <c r="C35" s="21" t="s">
        <v>431</v>
      </c>
      <c r="D35" s="164">
        <v>2730000</v>
      </c>
      <c r="E35" s="21" t="s">
        <v>306</v>
      </c>
      <c r="F35" s="21" t="s">
        <v>307</v>
      </c>
      <c r="G35" s="8" t="str">
        <f t="shared" si="0"/>
        <v>YANG JAN</v>
      </c>
    </row>
    <row r="36" spans="1:7" x14ac:dyDescent="0.25">
      <c r="A36" s="8">
        <v>42731.258159722223</v>
      </c>
      <c r="B36" s="21" t="s">
        <v>212</v>
      </c>
      <c r="C36" s="21" t="s">
        <v>486</v>
      </c>
      <c r="D36" s="164">
        <v>2680000</v>
      </c>
      <c r="E36" s="21" t="s">
        <v>375</v>
      </c>
      <c r="F36" s="21" t="s">
        <v>376</v>
      </c>
      <c r="G36" s="8" t="str">
        <f t="shared" si="0"/>
        <v>DUNCAN SHEILA</v>
      </c>
    </row>
    <row r="37" spans="1:7" x14ac:dyDescent="0.25">
      <c r="A37" s="8">
        <v>42731.263229166667</v>
      </c>
      <c r="B37" s="21" t="s">
        <v>225</v>
      </c>
      <c r="C37" s="21" t="s">
        <v>487</v>
      </c>
      <c r="D37" s="164">
        <v>2270000</v>
      </c>
      <c r="E37" s="21" t="s">
        <v>318</v>
      </c>
      <c r="F37" s="21" t="s">
        <v>319</v>
      </c>
      <c r="G37" s="8" t="str">
        <f t="shared" si="0"/>
        <v>BROWN JACOB</v>
      </c>
    </row>
    <row r="38" spans="1:7" x14ac:dyDescent="0.25">
      <c r="A38" s="8">
        <v>42731.263298611113</v>
      </c>
      <c r="B38" s="21" t="s">
        <v>155</v>
      </c>
      <c r="C38" s="21" t="s">
        <v>488</v>
      </c>
      <c r="D38" s="164">
        <v>2670000</v>
      </c>
      <c r="E38" s="21" t="s">
        <v>377</v>
      </c>
      <c r="F38" s="21" t="s">
        <v>378</v>
      </c>
      <c r="G38" s="8" t="str">
        <f t="shared" si="0"/>
        <v>COMELLA JUSTIN</v>
      </c>
    </row>
    <row r="39" spans="1:7" x14ac:dyDescent="0.25">
      <c r="A39" s="8">
        <v>42731.267789351848</v>
      </c>
      <c r="B39" s="21" t="s">
        <v>284</v>
      </c>
      <c r="C39" s="21" t="s">
        <v>489</v>
      </c>
      <c r="D39" s="164">
        <v>1990000</v>
      </c>
      <c r="E39" s="21" t="s">
        <v>260</v>
      </c>
      <c r="F39" s="21" t="s">
        <v>331</v>
      </c>
      <c r="G39" s="8" t="str">
        <f t="shared" si="0"/>
        <v>DAVIS WENDY</v>
      </c>
    </row>
    <row r="40" spans="1:7" x14ac:dyDescent="0.25">
      <c r="A40" s="8">
        <v>42731.271157407406</v>
      </c>
      <c r="B40" s="26" t="s">
        <v>268</v>
      </c>
      <c r="C40" s="21" t="s">
        <v>490</v>
      </c>
      <c r="D40" s="164">
        <v>2730000</v>
      </c>
      <c r="E40" s="21" t="s">
        <v>306</v>
      </c>
      <c r="F40" s="21" t="s">
        <v>307</v>
      </c>
      <c r="G40" s="8" t="str">
        <f t="shared" si="0"/>
        <v>YANG JAN</v>
      </c>
    </row>
    <row r="41" spans="1:7" x14ac:dyDescent="0.25">
      <c r="A41" s="8">
        <v>42731.273310185185</v>
      </c>
      <c r="B41" s="21" t="s">
        <v>442</v>
      </c>
      <c r="C41" s="21" t="s">
        <v>491</v>
      </c>
      <c r="D41" s="164">
        <v>2010000</v>
      </c>
      <c r="E41" s="21" t="s">
        <v>461</v>
      </c>
      <c r="F41" s="21" t="s">
        <v>462</v>
      </c>
      <c r="G41" s="8" t="str">
        <f t="shared" si="0"/>
        <v>MAELZER KURT</v>
      </c>
    </row>
    <row r="42" spans="1:7" x14ac:dyDescent="0.25">
      <c r="A42" s="8">
        <v>42731.279270833336</v>
      </c>
      <c r="B42" s="21" t="s">
        <v>204</v>
      </c>
      <c r="C42" s="21" t="s">
        <v>492</v>
      </c>
      <c r="D42" s="164">
        <v>2610000</v>
      </c>
      <c r="E42" s="21" t="s">
        <v>371</v>
      </c>
      <c r="F42" s="21" t="s">
        <v>372</v>
      </c>
      <c r="G42" s="8" t="str">
        <f t="shared" si="0"/>
        <v>MAGEE KENYA</v>
      </c>
    </row>
    <row r="43" spans="1:7" x14ac:dyDescent="0.25">
      <c r="A43" s="8">
        <v>42731.28329861111</v>
      </c>
      <c r="B43" s="21" t="s">
        <v>266</v>
      </c>
      <c r="C43" s="21" t="s">
        <v>493</v>
      </c>
      <c r="D43" s="164">
        <v>2270000</v>
      </c>
      <c r="E43" s="21" t="s">
        <v>318</v>
      </c>
      <c r="F43" s="21" t="s">
        <v>319</v>
      </c>
      <c r="G43" s="8" t="str">
        <f t="shared" si="0"/>
        <v>BROWN JACOB</v>
      </c>
    </row>
    <row r="44" spans="1:7" x14ac:dyDescent="0.25">
      <c r="A44" s="8">
        <v>42731.284502314818</v>
      </c>
      <c r="B44" s="21" t="s">
        <v>432</v>
      </c>
      <c r="C44" s="21" t="s">
        <v>494</v>
      </c>
      <c r="D44" s="164">
        <v>1110000</v>
      </c>
      <c r="E44" s="21" t="s">
        <v>373</v>
      </c>
      <c r="F44" s="21" t="s">
        <v>374</v>
      </c>
      <c r="G44" s="8" t="str">
        <f t="shared" si="0"/>
        <v>STARKS ANGELINA</v>
      </c>
    </row>
    <row r="45" spans="1:7" x14ac:dyDescent="0.25">
      <c r="A45" s="8">
        <v>42731.289942129632</v>
      </c>
      <c r="B45" s="21" t="s">
        <v>214</v>
      </c>
      <c r="C45" s="21" t="s">
        <v>495</v>
      </c>
      <c r="D45" s="164">
        <v>1140000</v>
      </c>
      <c r="E45" s="21" t="s">
        <v>458</v>
      </c>
      <c r="F45" s="21" t="s">
        <v>459</v>
      </c>
      <c r="G45" s="8" t="str">
        <f t="shared" si="0"/>
        <v>YOUNG ELIZABETH</v>
      </c>
    </row>
    <row r="46" spans="1:7" x14ac:dyDescent="0.25">
      <c r="A46" s="8">
        <v>42731.290127314816</v>
      </c>
      <c r="B46" s="21" t="s">
        <v>370</v>
      </c>
      <c r="C46" s="21" t="s">
        <v>496</v>
      </c>
      <c r="D46" s="164">
        <v>2680000</v>
      </c>
      <c r="E46" s="21" t="s">
        <v>375</v>
      </c>
      <c r="F46" s="21" t="s">
        <v>376</v>
      </c>
      <c r="G46" s="8" t="str">
        <f t="shared" si="0"/>
        <v>DUNCAN SHEILA</v>
      </c>
    </row>
    <row r="47" spans="1:7" x14ac:dyDescent="0.25">
      <c r="A47" s="8">
        <v>42731.298055555555</v>
      </c>
      <c r="B47" s="21" t="s">
        <v>267</v>
      </c>
      <c r="C47" s="21" t="s">
        <v>497</v>
      </c>
      <c r="D47" s="164">
        <v>2730000</v>
      </c>
      <c r="E47" s="21" t="s">
        <v>306</v>
      </c>
      <c r="F47" s="21" t="s">
        <v>307</v>
      </c>
      <c r="G47" s="8" t="str">
        <f t="shared" si="0"/>
        <v>YANG JAN</v>
      </c>
    </row>
    <row r="48" spans="1:7" x14ac:dyDescent="0.25">
      <c r="A48" s="8">
        <v>42731.299409722225</v>
      </c>
      <c r="B48" s="21" t="s">
        <v>154</v>
      </c>
      <c r="C48" s="21" t="s">
        <v>498</v>
      </c>
      <c r="D48" s="164">
        <v>2670000</v>
      </c>
      <c r="E48" s="21" t="s">
        <v>377</v>
      </c>
      <c r="F48" s="21" t="s">
        <v>378</v>
      </c>
      <c r="G48" s="8" t="str">
        <f t="shared" si="0"/>
        <v>COMELLA JUSTIN</v>
      </c>
    </row>
    <row r="49" spans="1:7" x14ac:dyDescent="0.25">
      <c r="A49" s="8">
        <v>42731.300706018519</v>
      </c>
      <c r="B49" s="21" t="s">
        <v>225</v>
      </c>
      <c r="C49" s="21" t="s">
        <v>499</v>
      </c>
      <c r="D49" s="164">
        <v>2270000</v>
      </c>
      <c r="E49" s="21" t="s">
        <v>318</v>
      </c>
      <c r="F49" s="21" t="s">
        <v>319</v>
      </c>
      <c r="G49" s="8" t="str">
        <f t="shared" si="0"/>
        <v>BROWN JACOB</v>
      </c>
    </row>
    <row r="50" spans="1:7" x14ac:dyDescent="0.25">
      <c r="A50" s="8">
        <v>42731.301539351851</v>
      </c>
      <c r="B50" s="21" t="s">
        <v>225</v>
      </c>
      <c r="C50" s="21" t="s">
        <v>499</v>
      </c>
      <c r="D50" s="164">
        <v>2270000</v>
      </c>
      <c r="E50" s="21" t="s">
        <v>318</v>
      </c>
      <c r="F50" s="21" t="s">
        <v>319</v>
      </c>
      <c r="G50" s="8" t="str">
        <f t="shared" si="0"/>
        <v>BROWN JACOB</v>
      </c>
    </row>
    <row r="51" spans="1:7" x14ac:dyDescent="0.25">
      <c r="A51" s="8">
        <v>42731.30296296296</v>
      </c>
      <c r="B51" s="21" t="s">
        <v>225</v>
      </c>
      <c r="C51" s="21" t="s">
        <v>499</v>
      </c>
      <c r="D51" s="164">
        <v>2270000</v>
      </c>
      <c r="E51" s="21" t="s">
        <v>318</v>
      </c>
      <c r="F51" s="21" t="s">
        <v>319</v>
      </c>
      <c r="G51" s="8" t="str">
        <f t="shared" si="0"/>
        <v>BROWN JACOB</v>
      </c>
    </row>
    <row r="52" spans="1:7" x14ac:dyDescent="0.25">
      <c r="A52" s="8">
        <v>42731.304837962962</v>
      </c>
      <c r="B52" s="21" t="s">
        <v>225</v>
      </c>
      <c r="C52" s="21" t="s">
        <v>499</v>
      </c>
      <c r="D52" s="164">
        <v>2270000</v>
      </c>
      <c r="E52" s="21" t="s">
        <v>318</v>
      </c>
      <c r="F52" s="21" t="s">
        <v>319</v>
      </c>
      <c r="G52" s="8" t="str">
        <f t="shared" si="0"/>
        <v>BROWN JACOB</v>
      </c>
    </row>
    <row r="53" spans="1:7" x14ac:dyDescent="0.25">
      <c r="A53" s="8">
        <v>42731.306574074071</v>
      </c>
      <c r="B53" s="21" t="s">
        <v>283</v>
      </c>
      <c r="C53" s="21" t="s">
        <v>500</v>
      </c>
      <c r="D53" s="164">
        <v>1990000</v>
      </c>
      <c r="E53" s="21" t="s">
        <v>260</v>
      </c>
      <c r="F53" s="21" t="s">
        <v>331</v>
      </c>
      <c r="G53" s="8" t="str">
        <f t="shared" si="0"/>
        <v>DAVIS WENDY</v>
      </c>
    </row>
    <row r="54" spans="1:7" x14ac:dyDescent="0.25">
      <c r="A54" s="8">
        <v>42731.309224537035</v>
      </c>
      <c r="B54" s="21" t="s">
        <v>435</v>
      </c>
      <c r="C54" s="21" t="s">
        <v>501</v>
      </c>
      <c r="D54" s="164">
        <v>2010000</v>
      </c>
      <c r="E54" s="21" t="s">
        <v>461</v>
      </c>
      <c r="F54" s="21" t="s">
        <v>462</v>
      </c>
      <c r="G54" s="8" t="str">
        <f t="shared" si="0"/>
        <v>MAELZER KURT</v>
      </c>
    </row>
    <row r="55" spans="1:7" x14ac:dyDescent="0.25">
      <c r="A55" s="8">
        <v>42731.313321759262</v>
      </c>
      <c r="B55" s="21" t="s">
        <v>268</v>
      </c>
      <c r="C55" s="21" t="s">
        <v>502</v>
      </c>
      <c r="D55" s="164">
        <v>2730000</v>
      </c>
      <c r="E55" s="21" t="s">
        <v>306</v>
      </c>
      <c r="F55" s="21" t="s">
        <v>307</v>
      </c>
      <c r="G55" s="8" t="str">
        <f t="shared" si="0"/>
        <v>YANG JAN</v>
      </c>
    </row>
    <row r="56" spans="1:7" x14ac:dyDescent="0.25">
      <c r="A56" s="8">
        <v>42731.31689814815</v>
      </c>
      <c r="B56" s="21" t="s">
        <v>210</v>
      </c>
      <c r="C56" s="21" t="s">
        <v>503</v>
      </c>
      <c r="D56" s="164">
        <v>2610000</v>
      </c>
      <c r="E56" s="21" t="s">
        <v>371</v>
      </c>
      <c r="F56" s="21" t="s">
        <v>372</v>
      </c>
      <c r="G56" s="8" t="str">
        <f t="shared" si="0"/>
        <v>MAGEE KENYA</v>
      </c>
    </row>
    <row r="57" spans="1:7" x14ac:dyDescent="0.25">
      <c r="A57" s="8">
        <v>42731.319618055553</v>
      </c>
      <c r="B57" s="21" t="s">
        <v>231</v>
      </c>
      <c r="C57" s="21" t="s">
        <v>504</v>
      </c>
      <c r="D57" s="164">
        <v>1110000</v>
      </c>
      <c r="E57" s="21" t="s">
        <v>373</v>
      </c>
      <c r="F57" s="21" t="s">
        <v>374</v>
      </c>
      <c r="G57" s="8" t="str">
        <f t="shared" si="0"/>
        <v>STARKS ANGELINA</v>
      </c>
    </row>
    <row r="58" spans="1:7" x14ac:dyDescent="0.25">
      <c r="A58" s="8">
        <v>42731.320891203701</v>
      </c>
      <c r="B58" s="21" t="s">
        <v>266</v>
      </c>
      <c r="C58" s="21" t="s">
        <v>505</v>
      </c>
      <c r="D58" s="164">
        <v>2270000</v>
      </c>
      <c r="E58" s="21" t="s">
        <v>318</v>
      </c>
      <c r="F58" s="21" t="s">
        <v>319</v>
      </c>
      <c r="G58" s="8" t="str">
        <f t="shared" si="0"/>
        <v>BROWN JACOB</v>
      </c>
    </row>
    <row r="59" spans="1:7" x14ac:dyDescent="0.25">
      <c r="A59" s="8">
        <v>42731.323946759258</v>
      </c>
      <c r="B59" s="21" t="s">
        <v>484</v>
      </c>
      <c r="C59" s="21" t="s">
        <v>506</v>
      </c>
      <c r="D59" s="164">
        <v>1140000</v>
      </c>
      <c r="E59" s="21" t="s">
        <v>458</v>
      </c>
      <c r="F59" s="21" t="s">
        <v>459</v>
      </c>
      <c r="G59" s="8" t="str">
        <f t="shared" si="0"/>
        <v>YOUNG ELIZABETH</v>
      </c>
    </row>
    <row r="60" spans="1:7" x14ac:dyDescent="0.25">
      <c r="A60" s="8">
        <v>42731.328460648147</v>
      </c>
      <c r="B60" s="21" t="s">
        <v>212</v>
      </c>
      <c r="C60" s="21" t="s">
        <v>507</v>
      </c>
      <c r="D60" s="164">
        <v>2680000</v>
      </c>
      <c r="E60" s="21" t="s">
        <v>375</v>
      </c>
      <c r="F60" s="21" t="s">
        <v>376</v>
      </c>
      <c r="G60" s="8" t="str">
        <f t="shared" si="0"/>
        <v>DUNCAN SHEILA</v>
      </c>
    </row>
    <row r="61" spans="1:7" x14ac:dyDescent="0.25">
      <c r="A61" s="8">
        <v>42731.334050925929</v>
      </c>
      <c r="B61" s="21" t="s">
        <v>225</v>
      </c>
      <c r="C61" s="21" t="s">
        <v>508</v>
      </c>
      <c r="D61" s="164">
        <v>2270000</v>
      </c>
      <c r="E61" s="21" t="s">
        <v>318</v>
      </c>
      <c r="F61" s="21" t="s">
        <v>319</v>
      </c>
      <c r="G61" s="8" t="str">
        <f t="shared" si="0"/>
        <v>BROWN JACOB</v>
      </c>
    </row>
    <row r="62" spans="1:7" x14ac:dyDescent="0.25">
      <c r="A62" s="8">
        <v>42731.335370370369</v>
      </c>
      <c r="B62" s="21" t="s">
        <v>155</v>
      </c>
      <c r="C62" s="21" t="s">
        <v>509</v>
      </c>
      <c r="D62" s="164">
        <v>2670000</v>
      </c>
      <c r="E62" s="21" t="s">
        <v>377</v>
      </c>
      <c r="F62" s="21" t="s">
        <v>378</v>
      </c>
      <c r="G62" s="8" t="str">
        <f t="shared" si="0"/>
        <v>COMELLA JUSTIN</v>
      </c>
    </row>
    <row r="63" spans="1:7" x14ac:dyDescent="0.25">
      <c r="A63" s="8">
        <v>42731.339386574073</v>
      </c>
      <c r="B63" s="21" t="s">
        <v>267</v>
      </c>
      <c r="C63" s="21" t="s">
        <v>510</v>
      </c>
      <c r="D63" s="164">
        <v>2730000</v>
      </c>
      <c r="E63" s="21" t="s">
        <v>306</v>
      </c>
      <c r="F63" s="21" t="s">
        <v>307</v>
      </c>
      <c r="G63" s="8" t="str">
        <f t="shared" si="0"/>
        <v>YANG JAN</v>
      </c>
    </row>
    <row r="64" spans="1:7" x14ac:dyDescent="0.25">
      <c r="A64" s="27">
        <v>42731.340104166666</v>
      </c>
      <c r="B64" s="21" t="s">
        <v>284</v>
      </c>
      <c r="C64" s="21" t="s">
        <v>511</v>
      </c>
      <c r="D64" s="164">
        <v>1990000</v>
      </c>
      <c r="E64" s="21" t="s">
        <v>260</v>
      </c>
      <c r="F64" s="21" t="s">
        <v>331</v>
      </c>
      <c r="G64" s="8" t="str">
        <f t="shared" si="0"/>
        <v>DAVIS WENDY</v>
      </c>
    </row>
    <row r="65" spans="1:7" x14ac:dyDescent="0.25">
      <c r="A65" s="8">
        <v>42731.343356481484</v>
      </c>
      <c r="B65" s="21" t="s">
        <v>442</v>
      </c>
      <c r="C65" s="21" t="s">
        <v>512</v>
      </c>
      <c r="D65" s="164">
        <v>2010000</v>
      </c>
      <c r="E65" s="21" t="s">
        <v>461</v>
      </c>
      <c r="F65" s="21" t="s">
        <v>462</v>
      </c>
      <c r="G65" s="8" t="str">
        <f t="shared" si="0"/>
        <v>MAELZER KURT</v>
      </c>
    </row>
    <row r="66" spans="1:7" x14ac:dyDescent="0.25">
      <c r="A66" s="8">
        <v>42731.34684027778</v>
      </c>
      <c r="B66" s="21" t="s">
        <v>225</v>
      </c>
      <c r="C66" s="21" t="s">
        <v>508</v>
      </c>
      <c r="D66" s="164">
        <v>2270000</v>
      </c>
      <c r="E66" s="21" t="s">
        <v>318</v>
      </c>
      <c r="F66" s="21" t="s">
        <v>319</v>
      </c>
      <c r="G66" s="8" t="str">
        <f t="shared" si="0"/>
        <v>BROWN JACOB</v>
      </c>
    </row>
    <row r="67" spans="1:7" x14ac:dyDescent="0.25">
      <c r="A67" s="8">
        <v>42731.352662037039</v>
      </c>
      <c r="B67" s="21" t="s">
        <v>204</v>
      </c>
      <c r="C67" s="21" t="s">
        <v>513</v>
      </c>
      <c r="D67" s="164">
        <v>2610000</v>
      </c>
      <c r="E67" s="21" t="s">
        <v>371</v>
      </c>
      <c r="F67" s="21" t="s">
        <v>372</v>
      </c>
      <c r="G67" s="8" t="str">
        <f t="shared" ref="G67:G130" si="1">E67&amp;" "&amp;F67</f>
        <v>MAGEE KENYA</v>
      </c>
    </row>
    <row r="68" spans="1:7" x14ac:dyDescent="0.25">
      <c r="A68" s="8">
        <v>42731.353356481479</v>
      </c>
      <c r="B68" s="21" t="s">
        <v>268</v>
      </c>
      <c r="C68" s="21" t="s">
        <v>514</v>
      </c>
      <c r="D68" s="164">
        <v>2730000</v>
      </c>
      <c r="E68" s="21" t="s">
        <v>306</v>
      </c>
      <c r="F68" s="21" t="s">
        <v>307</v>
      </c>
      <c r="G68" s="8" t="str">
        <f t="shared" si="1"/>
        <v>YANG JAN</v>
      </c>
    </row>
    <row r="69" spans="1:7" x14ac:dyDescent="0.25">
      <c r="A69" s="8">
        <v>42731.359907407408</v>
      </c>
      <c r="B69" s="21" t="s">
        <v>266</v>
      </c>
      <c r="C69" s="21" t="s">
        <v>515</v>
      </c>
      <c r="D69" s="164">
        <v>2270000</v>
      </c>
      <c r="E69" s="21" t="s">
        <v>318</v>
      </c>
      <c r="F69" s="21" t="s">
        <v>319</v>
      </c>
      <c r="G69" s="8" t="str">
        <f t="shared" si="1"/>
        <v>BROWN JACOB</v>
      </c>
    </row>
    <row r="70" spans="1:7" x14ac:dyDescent="0.25">
      <c r="A70" s="8">
        <v>42731.36042824074</v>
      </c>
      <c r="B70" s="21" t="s">
        <v>432</v>
      </c>
      <c r="C70" s="21" t="s">
        <v>433</v>
      </c>
      <c r="D70" s="164">
        <v>1110000</v>
      </c>
      <c r="E70" s="21" t="s">
        <v>373</v>
      </c>
      <c r="F70" s="21" t="s">
        <v>374</v>
      </c>
      <c r="G70" s="8" t="str">
        <f t="shared" si="1"/>
        <v>STARKS ANGELINA</v>
      </c>
    </row>
    <row r="71" spans="1:7" x14ac:dyDescent="0.25">
      <c r="A71" s="8">
        <v>42731.362164351849</v>
      </c>
      <c r="B71" s="21" t="s">
        <v>370</v>
      </c>
      <c r="C71" s="21" t="s">
        <v>516</v>
      </c>
      <c r="D71" s="164">
        <v>2680000</v>
      </c>
      <c r="E71" s="21" t="s">
        <v>375</v>
      </c>
      <c r="F71" s="21" t="s">
        <v>376</v>
      </c>
      <c r="G71" s="8" t="str">
        <f t="shared" si="1"/>
        <v>DUNCAN SHEILA</v>
      </c>
    </row>
    <row r="72" spans="1:7" x14ac:dyDescent="0.25">
      <c r="A72" s="8">
        <v>42731.364074074074</v>
      </c>
      <c r="B72" s="21" t="s">
        <v>214</v>
      </c>
      <c r="C72" s="21" t="s">
        <v>517</v>
      </c>
      <c r="D72" s="164">
        <v>1200000</v>
      </c>
      <c r="E72" s="21" t="s">
        <v>518</v>
      </c>
      <c r="F72" s="21" t="s">
        <v>519</v>
      </c>
      <c r="G72" s="8" t="str">
        <f t="shared" si="1"/>
        <v>CUSHING HARRY</v>
      </c>
    </row>
    <row r="73" spans="1:7" x14ac:dyDescent="0.25">
      <c r="A73" s="8">
        <v>42731.371828703705</v>
      </c>
      <c r="B73" s="21" t="s">
        <v>154</v>
      </c>
      <c r="C73" s="21" t="s">
        <v>520</v>
      </c>
      <c r="D73" s="164">
        <v>2670000</v>
      </c>
      <c r="E73" s="21" t="s">
        <v>377</v>
      </c>
      <c r="F73" s="21" t="s">
        <v>378</v>
      </c>
      <c r="G73" s="8" t="str">
        <f t="shared" si="1"/>
        <v>COMELLA JUSTIN</v>
      </c>
    </row>
    <row r="74" spans="1:7" x14ac:dyDescent="0.25">
      <c r="A74" s="8">
        <v>42731.376527777778</v>
      </c>
      <c r="B74" s="21" t="s">
        <v>225</v>
      </c>
      <c r="C74" s="21" t="s">
        <v>521</v>
      </c>
      <c r="D74" s="164">
        <v>2270000</v>
      </c>
      <c r="E74" s="21" t="s">
        <v>318</v>
      </c>
      <c r="F74" s="21" t="s">
        <v>319</v>
      </c>
      <c r="G74" s="8" t="str">
        <f t="shared" si="1"/>
        <v>BROWN JACOB</v>
      </c>
    </row>
    <row r="75" spans="1:7" x14ac:dyDescent="0.25">
      <c r="A75" s="8">
        <v>42731.380613425928</v>
      </c>
      <c r="B75" s="21" t="s">
        <v>435</v>
      </c>
      <c r="C75" s="21" t="s">
        <v>522</v>
      </c>
      <c r="D75" s="164">
        <v>2010000</v>
      </c>
      <c r="E75" s="21" t="s">
        <v>461</v>
      </c>
      <c r="F75" s="21" t="s">
        <v>462</v>
      </c>
      <c r="G75" s="8" t="str">
        <f t="shared" si="1"/>
        <v>MAELZER KURT</v>
      </c>
    </row>
    <row r="76" spans="1:7" x14ac:dyDescent="0.25">
      <c r="A76" s="8">
        <v>42731.380891203706</v>
      </c>
      <c r="B76" s="21" t="s">
        <v>283</v>
      </c>
      <c r="C76" s="21" t="s">
        <v>523</v>
      </c>
      <c r="D76" s="164">
        <v>1990000</v>
      </c>
      <c r="E76" s="21" t="s">
        <v>260</v>
      </c>
      <c r="F76" s="21" t="s">
        <v>331</v>
      </c>
      <c r="G76" s="8" t="str">
        <f t="shared" si="1"/>
        <v>DAVIS WENDY</v>
      </c>
    </row>
    <row r="77" spans="1:7" x14ac:dyDescent="0.25">
      <c r="A77" s="8">
        <v>42731.387129629627</v>
      </c>
      <c r="B77" s="21" t="s">
        <v>210</v>
      </c>
      <c r="C77" s="21" t="s">
        <v>524</v>
      </c>
      <c r="D77" s="164">
        <v>2610000</v>
      </c>
      <c r="E77" s="21" t="s">
        <v>371</v>
      </c>
      <c r="F77" s="21" t="s">
        <v>372</v>
      </c>
      <c r="G77" s="8" t="str">
        <f t="shared" si="1"/>
        <v>MAGEE KENYA</v>
      </c>
    </row>
    <row r="78" spans="1:7" x14ac:dyDescent="0.25">
      <c r="A78" s="8">
        <v>42731.393726851849</v>
      </c>
      <c r="B78" s="21" t="s">
        <v>231</v>
      </c>
      <c r="C78" s="21" t="s">
        <v>525</v>
      </c>
      <c r="D78" s="164">
        <v>1110000</v>
      </c>
      <c r="E78" s="21" t="s">
        <v>373</v>
      </c>
      <c r="F78" s="21" t="s">
        <v>374</v>
      </c>
      <c r="G78" s="8" t="str">
        <f t="shared" si="1"/>
        <v>STARKS ANGELINA</v>
      </c>
    </row>
    <row r="79" spans="1:7" x14ac:dyDescent="0.25">
      <c r="A79" s="8">
        <v>42731.397696759261</v>
      </c>
      <c r="B79" s="21" t="s">
        <v>484</v>
      </c>
      <c r="C79" s="21" t="s">
        <v>526</v>
      </c>
      <c r="D79" s="164">
        <v>1200000</v>
      </c>
      <c r="E79" s="21" t="s">
        <v>518</v>
      </c>
      <c r="F79" s="21" t="s">
        <v>519</v>
      </c>
      <c r="G79" s="8" t="str">
        <f t="shared" si="1"/>
        <v>CUSHING HARRY</v>
      </c>
    </row>
    <row r="80" spans="1:7" x14ac:dyDescent="0.25">
      <c r="A80" s="8">
        <v>42731.400300925925</v>
      </c>
      <c r="B80" s="21" t="s">
        <v>266</v>
      </c>
      <c r="C80" s="21" t="s">
        <v>527</v>
      </c>
      <c r="D80" s="164">
        <v>2270000</v>
      </c>
      <c r="E80" s="21" t="s">
        <v>318</v>
      </c>
      <c r="F80" s="21" t="s">
        <v>319</v>
      </c>
      <c r="G80" s="8" t="str">
        <f t="shared" si="1"/>
        <v>BROWN JACOB</v>
      </c>
    </row>
    <row r="81" spans="1:7" x14ac:dyDescent="0.25">
      <c r="A81" s="8">
        <v>42731.401666666665</v>
      </c>
      <c r="B81" s="21" t="s">
        <v>212</v>
      </c>
      <c r="C81" s="21" t="s">
        <v>528</v>
      </c>
      <c r="D81" s="164">
        <v>2680000</v>
      </c>
      <c r="E81" s="21" t="s">
        <v>375</v>
      </c>
      <c r="F81" s="21" t="s">
        <v>376</v>
      </c>
      <c r="G81" s="8" t="str">
        <f t="shared" si="1"/>
        <v>DUNCAN SHEILA</v>
      </c>
    </row>
    <row r="82" spans="1:7" x14ac:dyDescent="0.25">
      <c r="A82" s="8">
        <v>42731.408379629633</v>
      </c>
      <c r="B82" s="21" t="s">
        <v>155</v>
      </c>
      <c r="C82" s="21" t="s">
        <v>529</v>
      </c>
      <c r="D82" s="164">
        <v>2670000</v>
      </c>
      <c r="E82" s="21" t="s">
        <v>377</v>
      </c>
      <c r="F82" s="21" t="s">
        <v>378</v>
      </c>
      <c r="G82" s="8" t="str">
        <f t="shared" si="1"/>
        <v>COMELLA JUSTIN</v>
      </c>
    </row>
    <row r="83" spans="1:7" x14ac:dyDescent="0.25">
      <c r="A83" s="8">
        <v>42731.413124999999</v>
      </c>
      <c r="B83" s="21" t="s">
        <v>284</v>
      </c>
      <c r="C83" s="21" t="s">
        <v>530</v>
      </c>
      <c r="D83" s="164">
        <v>1990000</v>
      </c>
      <c r="E83" s="21" t="s">
        <v>260</v>
      </c>
      <c r="F83" s="21" t="s">
        <v>331</v>
      </c>
      <c r="G83" s="8" t="str">
        <f t="shared" si="1"/>
        <v>DAVIS WENDY</v>
      </c>
    </row>
    <row r="84" spans="1:7" x14ac:dyDescent="0.25">
      <c r="A84" s="8">
        <v>42731.418807870374</v>
      </c>
      <c r="B84" s="21" t="s">
        <v>442</v>
      </c>
      <c r="C84" s="21" t="s">
        <v>531</v>
      </c>
      <c r="D84" s="164">
        <v>2010000</v>
      </c>
      <c r="E84" s="21" t="s">
        <v>461</v>
      </c>
      <c r="F84" s="21" t="s">
        <v>462</v>
      </c>
      <c r="G84" s="8" t="str">
        <f t="shared" si="1"/>
        <v>MAELZER KURT</v>
      </c>
    </row>
    <row r="85" spans="1:7" x14ac:dyDescent="0.25">
      <c r="A85" s="8">
        <v>42731.421435185184</v>
      </c>
      <c r="B85" s="21" t="s">
        <v>225</v>
      </c>
      <c r="C85" s="21" t="s">
        <v>532</v>
      </c>
      <c r="D85" s="164">
        <v>2270000</v>
      </c>
      <c r="E85" s="21" t="s">
        <v>318</v>
      </c>
      <c r="F85" s="21" t="s">
        <v>319</v>
      </c>
      <c r="G85" s="8" t="str">
        <f t="shared" si="1"/>
        <v>BROWN JACOB</v>
      </c>
    </row>
    <row r="86" spans="1:7" x14ac:dyDescent="0.25">
      <c r="A86" s="8">
        <v>42731.423182870371</v>
      </c>
      <c r="B86" s="21" t="s">
        <v>204</v>
      </c>
      <c r="C86" s="21" t="s">
        <v>533</v>
      </c>
      <c r="D86" s="164">
        <v>2610000</v>
      </c>
      <c r="E86" s="21" t="s">
        <v>371</v>
      </c>
      <c r="F86" s="21" t="s">
        <v>372</v>
      </c>
      <c r="G86" s="8" t="str">
        <f t="shared" si="1"/>
        <v>MAGEE KENYA</v>
      </c>
    </row>
    <row r="87" spans="1:7" x14ac:dyDescent="0.25">
      <c r="A87" s="8">
        <v>42731.432743055557</v>
      </c>
      <c r="B87" s="21" t="s">
        <v>432</v>
      </c>
      <c r="C87" s="21" t="s">
        <v>534</v>
      </c>
      <c r="D87" s="164">
        <v>1110000</v>
      </c>
      <c r="E87" s="21" t="s">
        <v>373</v>
      </c>
      <c r="F87" s="21" t="s">
        <v>374</v>
      </c>
      <c r="G87" s="8" t="str">
        <f t="shared" si="1"/>
        <v>STARKS ANGELINA</v>
      </c>
    </row>
    <row r="88" spans="1:7" x14ac:dyDescent="0.25">
      <c r="A88" s="8">
        <v>42731.435115740744</v>
      </c>
      <c r="B88" s="21" t="s">
        <v>370</v>
      </c>
      <c r="C88" s="21" t="s">
        <v>434</v>
      </c>
      <c r="D88" s="164">
        <v>2680000</v>
      </c>
      <c r="E88" s="21" t="s">
        <v>375</v>
      </c>
      <c r="F88" s="21" t="s">
        <v>376</v>
      </c>
      <c r="G88" s="8" t="str">
        <f t="shared" si="1"/>
        <v>DUNCAN SHEILA</v>
      </c>
    </row>
    <row r="89" spans="1:7" x14ac:dyDescent="0.25">
      <c r="A89" s="8">
        <v>42731.436064814814</v>
      </c>
      <c r="B89" s="21" t="s">
        <v>214</v>
      </c>
      <c r="C89" s="21" t="s">
        <v>535</v>
      </c>
      <c r="D89" s="164">
        <v>2730000</v>
      </c>
      <c r="E89" s="21" t="s">
        <v>306</v>
      </c>
      <c r="F89" s="21" t="s">
        <v>307</v>
      </c>
      <c r="G89" s="8" t="str">
        <f t="shared" si="1"/>
        <v>YANG JAN</v>
      </c>
    </row>
    <row r="90" spans="1:7" x14ac:dyDescent="0.25">
      <c r="A90" s="8">
        <v>42731.442152777781</v>
      </c>
      <c r="B90" s="21" t="s">
        <v>266</v>
      </c>
      <c r="C90" s="21" t="s">
        <v>536</v>
      </c>
      <c r="D90" s="164">
        <v>2270000</v>
      </c>
      <c r="E90" s="21" t="s">
        <v>318</v>
      </c>
      <c r="F90" s="21" t="s">
        <v>319</v>
      </c>
      <c r="G90" s="8" t="str">
        <f t="shared" si="1"/>
        <v>BROWN JACOB</v>
      </c>
    </row>
    <row r="91" spans="1:7" x14ac:dyDescent="0.25">
      <c r="A91" s="8">
        <v>42731.443518518521</v>
      </c>
      <c r="B91" s="21" t="s">
        <v>154</v>
      </c>
      <c r="C91" s="21" t="s">
        <v>537</v>
      </c>
      <c r="D91" s="164">
        <v>2670000</v>
      </c>
      <c r="E91" s="21" t="s">
        <v>377</v>
      </c>
      <c r="F91" s="21" t="s">
        <v>378</v>
      </c>
      <c r="G91" s="8" t="str">
        <f t="shared" si="1"/>
        <v>COMELLA JUSTIN</v>
      </c>
    </row>
    <row r="92" spans="1:7" x14ac:dyDescent="0.25">
      <c r="A92" s="8">
        <v>42731.451238425929</v>
      </c>
      <c r="B92" s="21" t="s">
        <v>283</v>
      </c>
      <c r="C92" s="21" t="s">
        <v>538</v>
      </c>
      <c r="D92" s="164">
        <v>1990000</v>
      </c>
      <c r="E92" s="21" t="s">
        <v>260</v>
      </c>
      <c r="F92" s="21" t="s">
        <v>331</v>
      </c>
      <c r="G92" s="8" t="str">
        <f t="shared" si="1"/>
        <v>DAVIS WENDY</v>
      </c>
    </row>
    <row r="93" spans="1:7" x14ac:dyDescent="0.25">
      <c r="A93" s="8">
        <v>42731.455740740741</v>
      </c>
      <c r="B93" s="21" t="s">
        <v>435</v>
      </c>
      <c r="C93" s="21" t="s">
        <v>436</v>
      </c>
      <c r="D93" s="164">
        <v>920000</v>
      </c>
      <c r="E93" s="21" t="s">
        <v>260</v>
      </c>
      <c r="F93" s="21" t="s">
        <v>259</v>
      </c>
      <c r="G93" s="8" t="str">
        <f t="shared" si="1"/>
        <v>DAVIS MICHAEL</v>
      </c>
    </row>
    <row r="94" spans="1:7" x14ac:dyDescent="0.25">
      <c r="A94" s="8">
        <v>42731.463067129633</v>
      </c>
      <c r="B94" s="21" t="s">
        <v>210</v>
      </c>
      <c r="C94" s="21" t="s">
        <v>539</v>
      </c>
      <c r="D94" s="164">
        <v>2610000</v>
      </c>
      <c r="E94" s="21" t="s">
        <v>371</v>
      </c>
      <c r="F94" s="21" t="s">
        <v>372</v>
      </c>
      <c r="G94" s="8" t="str">
        <f t="shared" si="1"/>
        <v>MAGEE KENYA</v>
      </c>
    </row>
    <row r="95" spans="1:7" x14ac:dyDescent="0.25">
      <c r="A95" s="8">
        <v>42731.464837962965</v>
      </c>
      <c r="B95" s="21" t="s">
        <v>225</v>
      </c>
      <c r="C95" s="21" t="s">
        <v>437</v>
      </c>
      <c r="D95" s="164">
        <v>2270000</v>
      </c>
      <c r="E95" s="21" t="s">
        <v>318</v>
      </c>
      <c r="F95" s="21" t="s">
        <v>319</v>
      </c>
      <c r="G95" s="8" t="str">
        <f t="shared" si="1"/>
        <v>BROWN JACOB</v>
      </c>
    </row>
    <row r="96" spans="1:7" x14ac:dyDescent="0.25">
      <c r="A96" s="8">
        <v>42731.465474537035</v>
      </c>
      <c r="B96" s="21" t="s">
        <v>484</v>
      </c>
      <c r="C96" s="21" t="s">
        <v>540</v>
      </c>
      <c r="D96" s="164">
        <v>2730000</v>
      </c>
      <c r="E96" s="21" t="s">
        <v>306</v>
      </c>
      <c r="F96" s="21" t="s">
        <v>307</v>
      </c>
      <c r="G96" s="8" t="str">
        <f t="shared" si="1"/>
        <v>YANG JAN</v>
      </c>
    </row>
    <row r="97" spans="1:7" x14ac:dyDescent="0.25">
      <c r="A97" s="8">
        <v>42731.465543981481</v>
      </c>
      <c r="B97" s="21" t="s">
        <v>210</v>
      </c>
      <c r="C97" s="21" t="s">
        <v>539</v>
      </c>
      <c r="D97" s="164">
        <v>2610000</v>
      </c>
      <c r="E97" s="21" t="s">
        <v>371</v>
      </c>
      <c r="F97" s="21" t="s">
        <v>372</v>
      </c>
      <c r="G97" s="8" t="str">
        <f t="shared" si="1"/>
        <v>MAGEE KENYA</v>
      </c>
    </row>
    <row r="98" spans="1:7" x14ac:dyDescent="0.25">
      <c r="A98" s="8">
        <v>42731.467013888891</v>
      </c>
      <c r="B98" s="21" t="s">
        <v>231</v>
      </c>
      <c r="C98" s="21" t="s">
        <v>541</v>
      </c>
      <c r="D98" s="164">
        <v>880000</v>
      </c>
      <c r="E98" s="21" t="s">
        <v>334</v>
      </c>
      <c r="F98" s="21" t="s">
        <v>259</v>
      </c>
      <c r="G98" s="8" t="str">
        <f t="shared" si="1"/>
        <v>STEWART MICHAEL</v>
      </c>
    </row>
    <row r="99" spans="1:7" x14ac:dyDescent="0.25">
      <c r="A99" s="8">
        <v>42731.476087962961</v>
      </c>
      <c r="B99" s="21" t="s">
        <v>212</v>
      </c>
      <c r="C99" s="21" t="s">
        <v>438</v>
      </c>
      <c r="D99" s="164">
        <v>2710000</v>
      </c>
      <c r="E99" s="21" t="s">
        <v>381</v>
      </c>
      <c r="F99" s="21" t="s">
        <v>382</v>
      </c>
      <c r="G99" s="8" t="str">
        <f t="shared" si="1"/>
        <v>SIMMONS SHYHESHA</v>
      </c>
    </row>
    <row r="100" spans="1:7" x14ac:dyDescent="0.25">
      <c r="A100" s="8">
        <v>42731.481817129628</v>
      </c>
      <c r="B100" s="21" t="s">
        <v>155</v>
      </c>
      <c r="C100" s="21" t="s">
        <v>542</v>
      </c>
      <c r="D100" s="164">
        <v>2670000</v>
      </c>
      <c r="E100" s="21" t="s">
        <v>377</v>
      </c>
      <c r="F100" s="21" t="s">
        <v>378</v>
      </c>
      <c r="G100" s="8" t="str">
        <f t="shared" si="1"/>
        <v>COMELLA JUSTIN</v>
      </c>
    </row>
    <row r="101" spans="1:7" x14ac:dyDescent="0.25">
      <c r="A101" s="8">
        <v>42731.483587962961</v>
      </c>
      <c r="B101" s="21" t="s">
        <v>266</v>
      </c>
      <c r="C101" s="21" t="s">
        <v>543</v>
      </c>
      <c r="D101" s="164">
        <v>2270000</v>
      </c>
      <c r="E101" s="21" t="s">
        <v>318</v>
      </c>
      <c r="F101" s="21" t="s">
        <v>319</v>
      </c>
      <c r="G101" s="8" t="str">
        <f t="shared" si="1"/>
        <v>BROWN JACOB</v>
      </c>
    </row>
    <row r="102" spans="1:7" x14ac:dyDescent="0.25">
      <c r="A102" s="8">
        <v>42731.485729166663</v>
      </c>
      <c r="B102" s="21" t="s">
        <v>284</v>
      </c>
      <c r="C102" s="21" t="s">
        <v>544</v>
      </c>
      <c r="D102" s="164">
        <v>930000</v>
      </c>
      <c r="E102" s="21" t="s">
        <v>379</v>
      </c>
      <c r="F102" s="21" t="s">
        <v>380</v>
      </c>
      <c r="G102" s="8" t="str">
        <f t="shared" si="1"/>
        <v>CLARK KATHLEEN</v>
      </c>
    </row>
    <row r="103" spans="1:7" x14ac:dyDescent="0.25">
      <c r="A103" s="8">
        <v>42731.494768518518</v>
      </c>
      <c r="B103" s="21" t="s">
        <v>442</v>
      </c>
      <c r="C103" s="21" t="s">
        <v>545</v>
      </c>
      <c r="D103" s="164">
        <v>920000</v>
      </c>
      <c r="E103" s="21" t="s">
        <v>260</v>
      </c>
      <c r="F103" s="21" t="s">
        <v>259</v>
      </c>
      <c r="G103" s="8" t="str">
        <f t="shared" si="1"/>
        <v>DAVIS MICHAEL</v>
      </c>
    </row>
    <row r="104" spans="1:7" x14ac:dyDescent="0.25">
      <c r="A104" s="8">
        <v>42731.496620370373</v>
      </c>
      <c r="B104" s="21" t="s">
        <v>204</v>
      </c>
      <c r="C104" s="21" t="s">
        <v>546</v>
      </c>
      <c r="D104" s="164">
        <v>2250000</v>
      </c>
      <c r="E104" s="21" t="s">
        <v>355</v>
      </c>
      <c r="F104" s="21" t="s">
        <v>356</v>
      </c>
      <c r="G104" s="8" t="str">
        <f t="shared" si="1"/>
        <v>CRAYTON QUNTRELL</v>
      </c>
    </row>
    <row r="105" spans="1:7" x14ac:dyDescent="0.25">
      <c r="A105" s="8">
        <v>42731.50445601852</v>
      </c>
      <c r="B105" s="21" t="s">
        <v>432</v>
      </c>
      <c r="C105" s="21" t="s">
        <v>547</v>
      </c>
      <c r="D105" s="164">
        <v>880000</v>
      </c>
      <c r="E105" s="21" t="s">
        <v>334</v>
      </c>
      <c r="F105" s="21" t="s">
        <v>259</v>
      </c>
      <c r="G105" s="8" t="str">
        <f t="shared" si="1"/>
        <v>STEWART MICHAEL</v>
      </c>
    </row>
    <row r="106" spans="1:7" x14ac:dyDescent="0.25">
      <c r="A106" s="8">
        <v>42731.509039351855</v>
      </c>
      <c r="B106" s="21" t="s">
        <v>214</v>
      </c>
      <c r="C106" s="21" t="s">
        <v>548</v>
      </c>
      <c r="D106" s="164">
        <v>1820000</v>
      </c>
      <c r="E106" s="21" t="s">
        <v>353</v>
      </c>
      <c r="F106" s="21" t="s">
        <v>354</v>
      </c>
      <c r="G106" s="8" t="str">
        <f t="shared" si="1"/>
        <v>ADANE ELSHADAY</v>
      </c>
    </row>
    <row r="107" spans="1:7" x14ac:dyDescent="0.25">
      <c r="A107" s="8">
        <v>42731.513726851852</v>
      </c>
      <c r="B107" s="21" t="s">
        <v>225</v>
      </c>
      <c r="C107" s="21" t="s">
        <v>439</v>
      </c>
      <c r="D107" s="164">
        <v>2270000</v>
      </c>
      <c r="E107" s="21" t="s">
        <v>318</v>
      </c>
      <c r="F107" s="21" t="s">
        <v>319</v>
      </c>
      <c r="G107" s="8" t="str">
        <f t="shared" si="1"/>
        <v>BROWN JACOB</v>
      </c>
    </row>
    <row r="108" spans="1:7" x14ac:dyDescent="0.25">
      <c r="A108" s="8">
        <v>42731.513842592591</v>
      </c>
      <c r="B108" s="21" t="s">
        <v>370</v>
      </c>
      <c r="C108" s="21" t="s">
        <v>549</v>
      </c>
      <c r="D108" s="164">
        <v>2710000</v>
      </c>
      <c r="E108" s="21" t="s">
        <v>381</v>
      </c>
      <c r="F108" s="21" t="s">
        <v>382</v>
      </c>
      <c r="G108" s="8" t="str">
        <f t="shared" si="1"/>
        <v>SIMMONS SHYHESHA</v>
      </c>
    </row>
    <row r="109" spans="1:7" x14ac:dyDescent="0.25">
      <c r="A109" s="8">
        <v>42731.517569444448</v>
      </c>
      <c r="B109" s="21" t="s">
        <v>214</v>
      </c>
      <c r="C109" s="21" t="s">
        <v>548</v>
      </c>
      <c r="D109" s="164">
        <v>1820000</v>
      </c>
      <c r="E109" s="21" t="s">
        <v>353</v>
      </c>
      <c r="F109" s="21" t="s">
        <v>354</v>
      </c>
      <c r="G109" s="8" t="str">
        <f t="shared" si="1"/>
        <v>ADANE ELSHADAY</v>
      </c>
    </row>
    <row r="110" spans="1:7" x14ac:dyDescent="0.25">
      <c r="A110" s="8">
        <v>42731.51840277778</v>
      </c>
      <c r="B110" s="21" t="s">
        <v>154</v>
      </c>
      <c r="C110" s="21" t="s">
        <v>550</v>
      </c>
      <c r="D110" s="164">
        <v>1190000</v>
      </c>
      <c r="E110" s="21" t="s">
        <v>551</v>
      </c>
      <c r="F110" s="21" t="s">
        <v>552</v>
      </c>
      <c r="G110" s="8" t="str">
        <f t="shared" si="1"/>
        <v>BRANNON JEFFREY</v>
      </c>
    </row>
    <row r="111" spans="1:7" x14ac:dyDescent="0.25">
      <c r="A111" s="8">
        <v>42731.524664351855</v>
      </c>
      <c r="B111" s="21" t="s">
        <v>283</v>
      </c>
      <c r="C111" s="21" t="s">
        <v>553</v>
      </c>
      <c r="D111" s="164">
        <v>930000</v>
      </c>
      <c r="E111" s="21" t="s">
        <v>379</v>
      </c>
      <c r="F111" s="21" t="s">
        <v>380</v>
      </c>
      <c r="G111" s="8" t="str">
        <f t="shared" si="1"/>
        <v>CLARK KATHLEEN</v>
      </c>
    </row>
    <row r="112" spans="1:7" x14ac:dyDescent="0.25">
      <c r="A112" s="8">
        <v>42731.526608796295</v>
      </c>
      <c r="B112" s="21" t="s">
        <v>266</v>
      </c>
      <c r="C112" s="21" t="s">
        <v>554</v>
      </c>
      <c r="D112" s="164">
        <v>2270000</v>
      </c>
      <c r="E112" s="21" t="s">
        <v>318</v>
      </c>
      <c r="F112" s="21" t="s">
        <v>319</v>
      </c>
      <c r="G112" s="8" t="str">
        <f t="shared" si="1"/>
        <v>BROWN JACOB</v>
      </c>
    </row>
    <row r="113" spans="1:7" x14ac:dyDescent="0.25">
      <c r="A113" s="8">
        <v>42731.530057870368</v>
      </c>
      <c r="B113" s="21" t="s">
        <v>435</v>
      </c>
      <c r="C113" s="21" t="s">
        <v>440</v>
      </c>
      <c r="D113" s="164">
        <v>920000</v>
      </c>
      <c r="E113" s="21" t="s">
        <v>260</v>
      </c>
      <c r="F113" s="21" t="s">
        <v>259</v>
      </c>
      <c r="G113" s="8" t="str">
        <f t="shared" si="1"/>
        <v>DAVIS MICHAEL</v>
      </c>
    </row>
    <row r="114" spans="1:7" x14ac:dyDescent="0.25">
      <c r="A114" s="8">
        <v>42731.532268518517</v>
      </c>
      <c r="B114" s="21" t="s">
        <v>210</v>
      </c>
      <c r="C114" s="21" t="s">
        <v>555</v>
      </c>
      <c r="D114" s="164">
        <v>2250000</v>
      </c>
      <c r="E114" s="21" t="s">
        <v>355</v>
      </c>
      <c r="F114" s="21" t="s">
        <v>356</v>
      </c>
      <c r="G114" s="8" t="str">
        <f t="shared" si="1"/>
        <v>CRAYTON QUNTRELL</v>
      </c>
    </row>
    <row r="115" spans="1:7" x14ac:dyDescent="0.25">
      <c r="A115" s="8">
        <v>42731.539386574077</v>
      </c>
      <c r="B115" s="21" t="s">
        <v>231</v>
      </c>
      <c r="C115" s="21" t="s">
        <v>556</v>
      </c>
      <c r="D115" s="164">
        <v>880000</v>
      </c>
      <c r="E115" s="21" t="s">
        <v>334</v>
      </c>
      <c r="F115" s="21" t="s">
        <v>259</v>
      </c>
      <c r="G115" s="8" t="str">
        <f t="shared" si="1"/>
        <v>STEWART MICHAEL</v>
      </c>
    </row>
    <row r="116" spans="1:7" x14ac:dyDescent="0.25">
      <c r="A116" s="8">
        <v>42731.545763888891</v>
      </c>
      <c r="B116" s="21" t="s">
        <v>484</v>
      </c>
      <c r="C116" s="21" t="s">
        <v>557</v>
      </c>
      <c r="D116" s="164">
        <v>1820000</v>
      </c>
      <c r="E116" s="21" t="s">
        <v>353</v>
      </c>
      <c r="F116" s="21" t="s">
        <v>354</v>
      </c>
      <c r="G116" s="8" t="str">
        <f t="shared" si="1"/>
        <v>ADANE ELSHADAY</v>
      </c>
    </row>
    <row r="117" spans="1:7" x14ac:dyDescent="0.25">
      <c r="A117" s="8">
        <v>42731.548460648148</v>
      </c>
      <c r="B117" s="21" t="s">
        <v>212</v>
      </c>
      <c r="C117" s="21" t="s">
        <v>558</v>
      </c>
      <c r="D117" s="164">
        <v>2710000</v>
      </c>
      <c r="E117" s="21" t="s">
        <v>381</v>
      </c>
      <c r="F117" s="21" t="s">
        <v>382</v>
      </c>
      <c r="G117" s="8" t="str">
        <f t="shared" si="1"/>
        <v>SIMMONS SHYHESHA</v>
      </c>
    </row>
    <row r="118" spans="1:7" x14ac:dyDescent="0.25">
      <c r="A118" s="8">
        <v>42731.54960648148</v>
      </c>
      <c r="B118" s="21" t="s">
        <v>225</v>
      </c>
      <c r="C118" s="21" t="s">
        <v>559</v>
      </c>
      <c r="D118" s="164">
        <v>1780000</v>
      </c>
      <c r="E118" s="21" t="s">
        <v>560</v>
      </c>
      <c r="F118" s="21" t="s">
        <v>561</v>
      </c>
      <c r="G118" s="8" t="str">
        <f t="shared" si="1"/>
        <v>DE LA ROSA ALEX</v>
      </c>
    </row>
    <row r="119" spans="1:7" x14ac:dyDescent="0.25">
      <c r="A119" s="8">
        <v>42731.55190972222</v>
      </c>
      <c r="B119" s="21" t="s">
        <v>155</v>
      </c>
      <c r="C119" s="21" t="s">
        <v>562</v>
      </c>
      <c r="D119" s="164">
        <v>1190000</v>
      </c>
      <c r="E119" s="21" t="s">
        <v>551</v>
      </c>
      <c r="F119" s="21" t="s">
        <v>552</v>
      </c>
      <c r="G119" s="8" t="str">
        <f t="shared" si="1"/>
        <v>BRANNON JEFFREY</v>
      </c>
    </row>
    <row r="120" spans="1:7" x14ac:dyDescent="0.25">
      <c r="A120" s="8">
        <v>42731.55976851852</v>
      </c>
      <c r="B120" s="21" t="s">
        <v>284</v>
      </c>
      <c r="C120" s="21" t="s">
        <v>563</v>
      </c>
      <c r="D120" s="164">
        <v>930000</v>
      </c>
      <c r="E120" s="21" t="s">
        <v>379</v>
      </c>
      <c r="F120" s="21" t="s">
        <v>380</v>
      </c>
      <c r="G120" s="8" t="str">
        <f t="shared" si="1"/>
        <v>CLARK KATHLEEN</v>
      </c>
    </row>
    <row r="121" spans="1:7" x14ac:dyDescent="0.25">
      <c r="A121" s="8">
        <v>42731.566064814811</v>
      </c>
      <c r="B121" s="21" t="s">
        <v>442</v>
      </c>
      <c r="C121" s="21" t="s">
        <v>443</v>
      </c>
      <c r="D121" s="164">
        <v>920000</v>
      </c>
      <c r="E121" s="21" t="s">
        <v>260</v>
      </c>
      <c r="F121" s="21" t="s">
        <v>259</v>
      </c>
      <c r="G121" s="8" t="str">
        <f t="shared" si="1"/>
        <v>DAVIS MICHAEL</v>
      </c>
    </row>
    <row r="122" spans="1:7" x14ac:dyDescent="0.25">
      <c r="A122" s="8">
        <v>42731.568495370368</v>
      </c>
      <c r="B122" s="26" t="s">
        <v>266</v>
      </c>
      <c r="C122" s="21" t="s">
        <v>564</v>
      </c>
      <c r="D122" s="164">
        <v>1780000</v>
      </c>
      <c r="E122" s="21" t="s">
        <v>560</v>
      </c>
      <c r="F122" s="21" t="s">
        <v>561</v>
      </c>
      <c r="G122" s="8" t="str">
        <f t="shared" si="1"/>
        <v>DE LA ROSA ALEX</v>
      </c>
    </row>
    <row r="123" spans="1:7" x14ac:dyDescent="0.25">
      <c r="A123" s="8">
        <v>42731.569722222222</v>
      </c>
      <c r="B123" s="21" t="s">
        <v>204</v>
      </c>
      <c r="C123" s="21" t="s">
        <v>565</v>
      </c>
      <c r="D123" s="164">
        <v>2250000</v>
      </c>
      <c r="E123" s="21" t="s">
        <v>355</v>
      </c>
      <c r="F123" s="21" t="s">
        <v>356</v>
      </c>
      <c r="G123" s="8" t="str">
        <f t="shared" si="1"/>
        <v>CRAYTON QUNTRELL</v>
      </c>
    </row>
    <row r="124" spans="1:7" x14ac:dyDescent="0.25">
      <c r="A124" s="8">
        <v>42731.577592592592</v>
      </c>
      <c r="B124" s="21" t="s">
        <v>432</v>
      </c>
      <c r="C124" s="21" t="s">
        <v>566</v>
      </c>
      <c r="D124" s="164">
        <v>880000</v>
      </c>
      <c r="E124" s="21" t="s">
        <v>334</v>
      </c>
      <c r="F124" s="21" t="s">
        <v>259</v>
      </c>
      <c r="G124" s="8" t="str">
        <f t="shared" si="1"/>
        <v>STEWART MICHAEL</v>
      </c>
    </row>
    <row r="125" spans="1:7" x14ac:dyDescent="0.25">
      <c r="A125" s="8">
        <v>42731.57984953704</v>
      </c>
      <c r="B125" s="21" t="s">
        <v>214</v>
      </c>
      <c r="C125" s="21" t="s">
        <v>567</v>
      </c>
      <c r="D125" s="164">
        <v>1820000</v>
      </c>
      <c r="E125" s="21" t="s">
        <v>353</v>
      </c>
      <c r="F125" s="21" t="s">
        <v>354</v>
      </c>
      <c r="G125" s="8" t="str">
        <f t="shared" si="1"/>
        <v>ADANE ELSHADAY</v>
      </c>
    </row>
    <row r="126" spans="1:7" x14ac:dyDescent="0.25">
      <c r="A126" s="8">
        <v>42731.587141203701</v>
      </c>
      <c r="B126" s="21" t="s">
        <v>370</v>
      </c>
      <c r="C126" s="21" t="s">
        <v>568</v>
      </c>
      <c r="D126" s="164">
        <v>2710000</v>
      </c>
      <c r="E126" s="21" t="s">
        <v>381</v>
      </c>
      <c r="F126" s="21" t="s">
        <v>382</v>
      </c>
      <c r="G126" s="8" t="str">
        <f t="shared" si="1"/>
        <v>SIMMONS SHYHESHA</v>
      </c>
    </row>
    <row r="127" spans="1:7" x14ac:dyDescent="0.25">
      <c r="A127" s="8">
        <v>42731.588425925926</v>
      </c>
      <c r="B127" s="21" t="s">
        <v>154</v>
      </c>
      <c r="C127" s="21" t="s">
        <v>441</v>
      </c>
      <c r="D127" s="164">
        <v>1190000</v>
      </c>
      <c r="E127" s="21" t="s">
        <v>551</v>
      </c>
      <c r="F127" s="21" t="s">
        <v>552</v>
      </c>
      <c r="G127" s="8" t="str">
        <f t="shared" si="1"/>
        <v>BRANNON JEFFREY</v>
      </c>
    </row>
    <row r="128" spans="1:7" x14ac:dyDescent="0.25">
      <c r="A128" s="8">
        <v>42731.594490740739</v>
      </c>
      <c r="B128" s="21" t="s">
        <v>225</v>
      </c>
      <c r="C128" s="21" t="s">
        <v>569</v>
      </c>
      <c r="D128" s="164">
        <v>1780000</v>
      </c>
      <c r="E128" s="21" t="s">
        <v>560</v>
      </c>
      <c r="F128" s="21" t="s">
        <v>561</v>
      </c>
      <c r="G128" s="8" t="str">
        <f t="shared" si="1"/>
        <v>DE LA ROSA ALEX</v>
      </c>
    </row>
    <row r="129" spans="1:7" x14ac:dyDescent="0.25">
      <c r="A129" s="8">
        <v>42731.596319444441</v>
      </c>
      <c r="B129" s="21" t="s">
        <v>283</v>
      </c>
      <c r="C129" s="21" t="s">
        <v>570</v>
      </c>
      <c r="D129" s="164">
        <v>930000</v>
      </c>
      <c r="E129" s="21" t="s">
        <v>379</v>
      </c>
      <c r="F129" s="21" t="s">
        <v>380</v>
      </c>
      <c r="G129" s="8" t="str">
        <f t="shared" si="1"/>
        <v>CLARK KATHLEEN</v>
      </c>
    </row>
    <row r="130" spans="1:7" x14ac:dyDescent="0.25">
      <c r="A130" s="8">
        <v>42731.603645833333</v>
      </c>
      <c r="B130" s="21" t="s">
        <v>210</v>
      </c>
      <c r="C130" s="21" t="s">
        <v>571</v>
      </c>
      <c r="D130" s="164">
        <v>2250000</v>
      </c>
      <c r="E130" s="21" t="s">
        <v>355</v>
      </c>
      <c r="F130" s="21" t="s">
        <v>356</v>
      </c>
      <c r="G130" s="8" t="str">
        <f t="shared" si="1"/>
        <v>CRAYTON QUNTRELL</v>
      </c>
    </row>
    <row r="131" spans="1:7" x14ac:dyDescent="0.25">
      <c r="A131" s="8">
        <v>42731.605821759258</v>
      </c>
      <c r="B131" s="21" t="s">
        <v>435</v>
      </c>
      <c r="C131" s="21" t="s">
        <v>572</v>
      </c>
      <c r="D131" s="164">
        <v>920000</v>
      </c>
      <c r="E131" s="21" t="s">
        <v>260</v>
      </c>
      <c r="F131" s="21" t="s">
        <v>259</v>
      </c>
      <c r="G131" s="8" t="str">
        <f t="shared" ref="G131:G194" si="2">E131&amp;" "&amp;F131</f>
        <v>DAVIS MICHAEL</v>
      </c>
    </row>
    <row r="132" spans="1:7" x14ac:dyDescent="0.25">
      <c r="A132" s="8">
        <v>42731.609351851854</v>
      </c>
      <c r="B132" s="21" t="s">
        <v>266</v>
      </c>
      <c r="C132" s="21" t="s">
        <v>573</v>
      </c>
      <c r="D132" s="164">
        <v>1780000</v>
      </c>
      <c r="E132" s="21" t="s">
        <v>560</v>
      </c>
      <c r="F132" s="21" t="s">
        <v>561</v>
      </c>
      <c r="G132" s="8" t="str">
        <f t="shared" si="2"/>
        <v>DE LA ROSA ALEX</v>
      </c>
    </row>
    <row r="133" spans="1:7" x14ac:dyDescent="0.25">
      <c r="A133" s="8">
        <v>42731.613078703704</v>
      </c>
      <c r="B133" s="21" t="s">
        <v>484</v>
      </c>
      <c r="C133" s="21" t="s">
        <v>574</v>
      </c>
      <c r="D133" s="164">
        <v>1820000</v>
      </c>
      <c r="E133" s="21" t="s">
        <v>353</v>
      </c>
      <c r="F133" s="21" t="s">
        <v>354</v>
      </c>
      <c r="G133" s="8" t="str">
        <f t="shared" si="2"/>
        <v>ADANE ELSHADAY</v>
      </c>
    </row>
    <row r="134" spans="1:7" x14ac:dyDescent="0.25">
      <c r="A134" s="8">
        <v>42731.613587962966</v>
      </c>
      <c r="B134" s="21" t="s">
        <v>231</v>
      </c>
      <c r="C134" s="21" t="s">
        <v>575</v>
      </c>
      <c r="D134" s="164">
        <v>880000</v>
      </c>
      <c r="E134" s="21" t="s">
        <v>334</v>
      </c>
      <c r="F134" s="21" t="s">
        <v>259</v>
      </c>
      <c r="G134" s="8" t="str">
        <f t="shared" si="2"/>
        <v>STEWART MICHAEL</v>
      </c>
    </row>
    <row r="135" spans="1:7" x14ac:dyDescent="0.25">
      <c r="A135" s="8">
        <v>42731.624178240738</v>
      </c>
      <c r="B135" s="21" t="s">
        <v>212</v>
      </c>
      <c r="C135" s="21" t="s">
        <v>576</v>
      </c>
      <c r="D135" s="164">
        <v>2710000</v>
      </c>
      <c r="E135" s="21" t="s">
        <v>381</v>
      </c>
      <c r="F135" s="21" t="s">
        <v>382</v>
      </c>
      <c r="G135" s="8" t="str">
        <f t="shared" si="2"/>
        <v>SIMMONS SHYHESHA</v>
      </c>
    </row>
    <row r="136" spans="1:7" x14ac:dyDescent="0.25">
      <c r="A136" s="8">
        <v>42731.63175925926</v>
      </c>
      <c r="B136" s="21" t="s">
        <v>155</v>
      </c>
      <c r="C136" s="21" t="s">
        <v>444</v>
      </c>
      <c r="D136" s="164">
        <v>1190000</v>
      </c>
      <c r="E136" s="21" t="s">
        <v>551</v>
      </c>
      <c r="F136" s="21" t="s">
        <v>552</v>
      </c>
      <c r="G136" s="8" t="str">
        <f t="shared" si="2"/>
        <v>BRANNON JEFFREY</v>
      </c>
    </row>
    <row r="137" spans="1:7" x14ac:dyDescent="0.25">
      <c r="A137" s="8">
        <v>42731.635185185187</v>
      </c>
      <c r="B137" s="21" t="s">
        <v>284</v>
      </c>
      <c r="C137" s="21" t="s">
        <v>577</v>
      </c>
      <c r="D137" s="164">
        <v>930000</v>
      </c>
      <c r="E137" s="21" t="s">
        <v>379</v>
      </c>
      <c r="F137" s="21" t="s">
        <v>380</v>
      </c>
      <c r="G137" s="8" t="str">
        <f t="shared" si="2"/>
        <v>CLARK KATHLEEN</v>
      </c>
    </row>
    <row r="138" spans="1:7" x14ac:dyDescent="0.25">
      <c r="A138" s="8">
        <v>42731.636562500003</v>
      </c>
      <c r="B138" s="21" t="s">
        <v>225</v>
      </c>
      <c r="C138" s="21" t="s">
        <v>578</v>
      </c>
      <c r="D138" s="164">
        <v>1780000</v>
      </c>
      <c r="E138" s="21" t="s">
        <v>560</v>
      </c>
      <c r="F138" s="21" t="s">
        <v>561</v>
      </c>
      <c r="G138" s="8" t="str">
        <f t="shared" si="2"/>
        <v>DE LA ROSA ALEX</v>
      </c>
    </row>
    <row r="139" spans="1:7" x14ac:dyDescent="0.25">
      <c r="A139" s="8">
        <v>42731.64025462963</v>
      </c>
      <c r="B139" s="21" t="s">
        <v>442</v>
      </c>
      <c r="C139" s="21" t="s">
        <v>579</v>
      </c>
      <c r="D139" s="164">
        <v>920000</v>
      </c>
      <c r="E139" s="21" t="s">
        <v>260</v>
      </c>
      <c r="F139" s="21" t="s">
        <v>259</v>
      </c>
      <c r="G139" s="8" t="str">
        <f t="shared" si="2"/>
        <v>DAVIS MICHAEL</v>
      </c>
    </row>
    <row r="140" spans="1:7" x14ac:dyDescent="0.25">
      <c r="A140" s="8">
        <v>42731.64570601852</v>
      </c>
      <c r="B140" s="21" t="s">
        <v>267</v>
      </c>
      <c r="C140" s="21" t="s">
        <v>580</v>
      </c>
      <c r="D140" s="164">
        <v>2220000</v>
      </c>
      <c r="E140" s="21" t="s">
        <v>316</v>
      </c>
      <c r="F140" s="21" t="s">
        <v>317</v>
      </c>
      <c r="G140" s="8" t="str">
        <f t="shared" si="2"/>
        <v>HILLS DUSTIN</v>
      </c>
    </row>
    <row r="141" spans="1:7" x14ac:dyDescent="0.25">
      <c r="A141" s="8">
        <v>42731.646550925929</v>
      </c>
      <c r="B141" s="21" t="s">
        <v>204</v>
      </c>
      <c r="C141" s="21" t="s">
        <v>581</v>
      </c>
      <c r="D141" s="164">
        <v>2250000</v>
      </c>
      <c r="E141" s="21" t="s">
        <v>355</v>
      </c>
      <c r="F141" s="21" t="s">
        <v>356</v>
      </c>
      <c r="G141" s="8" t="str">
        <f t="shared" si="2"/>
        <v>CRAYTON QUNTRELL</v>
      </c>
    </row>
    <row r="142" spans="1:7" x14ac:dyDescent="0.25">
      <c r="A142" s="8">
        <v>42731.651145833333</v>
      </c>
      <c r="B142" s="21" t="s">
        <v>266</v>
      </c>
      <c r="C142" s="21" t="s">
        <v>582</v>
      </c>
      <c r="D142" s="164">
        <v>1780000</v>
      </c>
      <c r="E142" s="21" t="s">
        <v>560</v>
      </c>
      <c r="F142" s="21" t="s">
        <v>561</v>
      </c>
      <c r="G142" s="8" t="str">
        <f t="shared" si="2"/>
        <v>DE LA ROSA ALEX</v>
      </c>
    </row>
    <row r="143" spans="1:7" x14ac:dyDescent="0.25">
      <c r="A143" s="8">
        <v>42731.652627314812</v>
      </c>
      <c r="B143" s="21" t="s">
        <v>432</v>
      </c>
      <c r="C143" s="21" t="s">
        <v>448</v>
      </c>
      <c r="D143" s="164">
        <v>880000</v>
      </c>
      <c r="E143" s="21" t="s">
        <v>334</v>
      </c>
      <c r="F143" s="21" t="s">
        <v>259</v>
      </c>
      <c r="G143" s="8" t="str">
        <f t="shared" si="2"/>
        <v>STEWART MICHAEL</v>
      </c>
    </row>
    <row r="144" spans="1:7" x14ac:dyDescent="0.25">
      <c r="A144" s="8">
        <v>42731.656226851854</v>
      </c>
      <c r="B144" s="21" t="s">
        <v>214</v>
      </c>
      <c r="C144" s="21" t="s">
        <v>445</v>
      </c>
      <c r="D144" s="164">
        <v>1820000</v>
      </c>
      <c r="E144" s="21" t="s">
        <v>353</v>
      </c>
      <c r="F144" s="21" t="s">
        <v>354</v>
      </c>
      <c r="G144" s="8" t="str">
        <f t="shared" si="2"/>
        <v>ADANE ELSHADAY</v>
      </c>
    </row>
    <row r="145" spans="1:7" x14ac:dyDescent="0.25">
      <c r="A145" s="8">
        <v>42731.656377314815</v>
      </c>
      <c r="B145" s="21" t="s">
        <v>268</v>
      </c>
      <c r="C145" s="21" t="s">
        <v>583</v>
      </c>
      <c r="D145" s="164">
        <v>2220000</v>
      </c>
      <c r="E145" s="21" t="s">
        <v>316</v>
      </c>
      <c r="F145" s="21" t="s">
        <v>317</v>
      </c>
      <c r="G145" s="8" t="str">
        <f t="shared" si="2"/>
        <v>HILLS DUSTIN</v>
      </c>
    </row>
    <row r="146" spans="1:7" x14ac:dyDescent="0.25">
      <c r="A146" s="8">
        <v>42731.658576388887</v>
      </c>
      <c r="B146" s="21" t="s">
        <v>370</v>
      </c>
      <c r="C146" s="21" t="s">
        <v>449</v>
      </c>
      <c r="D146" s="164">
        <v>2710000</v>
      </c>
      <c r="E146" s="21" t="s">
        <v>381</v>
      </c>
      <c r="F146" s="21" t="s">
        <v>382</v>
      </c>
      <c r="G146" s="8" t="str">
        <f t="shared" si="2"/>
        <v>SIMMONS SHYHESHA</v>
      </c>
    </row>
    <row r="147" spans="1:7" x14ac:dyDescent="0.25">
      <c r="A147" s="8">
        <v>42731.663761574076</v>
      </c>
      <c r="B147" s="21" t="s">
        <v>154</v>
      </c>
      <c r="C147" s="21" t="s">
        <v>584</v>
      </c>
      <c r="D147" s="164">
        <v>1190000</v>
      </c>
      <c r="E147" s="21" t="s">
        <v>551</v>
      </c>
      <c r="F147" s="21" t="s">
        <v>552</v>
      </c>
      <c r="G147" s="8" t="str">
        <f t="shared" si="2"/>
        <v>BRANNON JEFFREY</v>
      </c>
    </row>
    <row r="148" spans="1:7" x14ac:dyDescent="0.25">
      <c r="A148" s="8">
        <v>42731.669895833336</v>
      </c>
      <c r="B148" s="21" t="s">
        <v>283</v>
      </c>
      <c r="C148" s="21" t="s">
        <v>450</v>
      </c>
      <c r="D148" s="164">
        <v>930000</v>
      </c>
      <c r="E148" s="21" t="s">
        <v>379</v>
      </c>
      <c r="F148" s="21" t="s">
        <v>380</v>
      </c>
      <c r="G148" s="8" t="str">
        <f t="shared" si="2"/>
        <v>CLARK KATHLEEN</v>
      </c>
    </row>
    <row r="149" spans="1:7" x14ac:dyDescent="0.25">
      <c r="A149" s="8">
        <v>42731.671898148146</v>
      </c>
      <c r="B149" s="21" t="s">
        <v>267</v>
      </c>
      <c r="C149" s="21" t="s">
        <v>583</v>
      </c>
      <c r="D149" s="164">
        <v>2220000</v>
      </c>
      <c r="E149" s="21" t="s">
        <v>316</v>
      </c>
      <c r="F149" s="21" t="s">
        <v>317</v>
      </c>
      <c r="G149" s="8" t="str">
        <f t="shared" si="2"/>
        <v>HILLS DUSTIN</v>
      </c>
    </row>
    <row r="150" spans="1:7" x14ac:dyDescent="0.25">
      <c r="A150" s="8">
        <v>42731.672696759262</v>
      </c>
      <c r="B150" s="21" t="s">
        <v>267</v>
      </c>
      <c r="C150" s="21" t="s">
        <v>447</v>
      </c>
      <c r="D150" s="164">
        <v>2220000</v>
      </c>
      <c r="E150" s="21" t="s">
        <v>316</v>
      </c>
      <c r="F150" s="21" t="s">
        <v>317</v>
      </c>
      <c r="G150" s="8" t="str">
        <f t="shared" si="2"/>
        <v>HILLS DUSTIN</v>
      </c>
    </row>
    <row r="151" spans="1:7" x14ac:dyDescent="0.25">
      <c r="A151" s="8">
        <v>42731.675127314818</v>
      </c>
      <c r="B151" s="21" t="s">
        <v>435</v>
      </c>
      <c r="C151" s="21" t="s">
        <v>446</v>
      </c>
      <c r="D151" s="164">
        <v>920000</v>
      </c>
      <c r="E151" s="21" t="s">
        <v>260</v>
      </c>
      <c r="F151" s="21" t="s">
        <v>259</v>
      </c>
      <c r="G151" s="8" t="str">
        <f t="shared" si="2"/>
        <v>DAVIS MICHAEL</v>
      </c>
    </row>
    <row r="152" spans="1:7" x14ac:dyDescent="0.25">
      <c r="A152" s="8">
        <v>42731.67528935185</v>
      </c>
      <c r="B152" s="21" t="s">
        <v>225</v>
      </c>
      <c r="C152" s="21" t="s">
        <v>585</v>
      </c>
      <c r="D152" s="164">
        <v>1780000</v>
      </c>
      <c r="E152" s="21" t="s">
        <v>560</v>
      </c>
      <c r="F152" s="21" t="s">
        <v>561</v>
      </c>
      <c r="G152" s="8" t="str">
        <f t="shared" si="2"/>
        <v>DE LA ROSA ALEX</v>
      </c>
    </row>
    <row r="153" spans="1:7" x14ac:dyDescent="0.25">
      <c r="A153" s="8">
        <v>42731.678726851853</v>
      </c>
      <c r="B153" s="21" t="s">
        <v>210</v>
      </c>
      <c r="C153" s="21" t="s">
        <v>586</v>
      </c>
      <c r="D153" s="164">
        <v>2250000</v>
      </c>
      <c r="E153" s="21" t="s">
        <v>355</v>
      </c>
      <c r="F153" s="21" t="s">
        <v>356</v>
      </c>
      <c r="G153" s="8" t="str">
        <f t="shared" si="2"/>
        <v>CRAYTON QUNTRELL</v>
      </c>
    </row>
    <row r="154" spans="1:7" x14ac:dyDescent="0.25">
      <c r="A154" s="8">
        <v>42731.686562499999</v>
      </c>
      <c r="B154" s="21" t="s">
        <v>268</v>
      </c>
      <c r="C154" s="21" t="s">
        <v>451</v>
      </c>
      <c r="D154" s="164">
        <v>2220000</v>
      </c>
      <c r="E154" s="21" t="s">
        <v>316</v>
      </c>
      <c r="F154" s="21" t="s">
        <v>317</v>
      </c>
      <c r="G154" s="8" t="str">
        <f t="shared" si="2"/>
        <v>HILLS DUSTIN</v>
      </c>
    </row>
    <row r="155" spans="1:7" x14ac:dyDescent="0.25">
      <c r="A155" s="8">
        <v>42731.686701388891</v>
      </c>
      <c r="B155" s="21" t="s">
        <v>231</v>
      </c>
      <c r="C155" s="21" t="s">
        <v>587</v>
      </c>
      <c r="D155" s="164">
        <v>880000</v>
      </c>
      <c r="E155" s="21" t="s">
        <v>334</v>
      </c>
      <c r="F155" s="21" t="s">
        <v>259</v>
      </c>
      <c r="G155" s="8" t="str">
        <f t="shared" si="2"/>
        <v>STEWART MICHAEL</v>
      </c>
    </row>
    <row r="156" spans="1:7" x14ac:dyDescent="0.25">
      <c r="A156" s="8">
        <v>42731.686932870369</v>
      </c>
      <c r="B156" s="21" t="s">
        <v>484</v>
      </c>
      <c r="C156" s="21" t="s">
        <v>588</v>
      </c>
      <c r="D156" s="164">
        <v>1820000</v>
      </c>
      <c r="E156" s="21" t="s">
        <v>353</v>
      </c>
      <c r="F156" s="21" t="s">
        <v>354</v>
      </c>
      <c r="G156" s="8" t="str">
        <f t="shared" si="2"/>
        <v>ADANE ELSHADAY</v>
      </c>
    </row>
    <row r="157" spans="1:7" x14ac:dyDescent="0.25">
      <c r="A157" s="8">
        <v>42731.693379629629</v>
      </c>
      <c r="B157" s="21" t="s">
        <v>266</v>
      </c>
      <c r="C157" s="21" t="s">
        <v>589</v>
      </c>
      <c r="D157" s="164">
        <v>1780000</v>
      </c>
      <c r="E157" s="21" t="s">
        <v>560</v>
      </c>
      <c r="F157" s="21" t="s">
        <v>561</v>
      </c>
      <c r="G157" s="8" t="str">
        <f t="shared" si="2"/>
        <v>DE LA ROSA ALEX</v>
      </c>
    </row>
    <row r="158" spans="1:7" x14ac:dyDescent="0.25">
      <c r="A158" s="8">
        <v>42731.694791666669</v>
      </c>
      <c r="B158" s="21" t="s">
        <v>212</v>
      </c>
      <c r="C158" s="21" t="s">
        <v>590</v>
      </c>
      <c r="D158" s="164">
        <v>2710000</v>
      </c>
      <c r="E158" s="21" t="s">
        <v>381</v>
      </c>
      <c r="F158" s="21" t="s">
        <v>382</v>
      </c>
      <c r="G158" s="8" t="str">
        <f t="shared" si="2"/>
        <v>SIMMONS SHYHESHA</v>
      </c>
    </row>
    <row r="159" spans="1:7" x14ac:dyDescent="0.25">
      <c r="A159" s="8">
        <v>42731.697245370371</v>
      </c>
      <c r="B159" s="21" t="s">
        <v>155</v>
      </c>
      <c r="C159" s="21" t="s">
        <v>591</v>
      </c>
      <c r="D159" s="164">
        <v>1190000</v>
      </c>
      <c r="E159" s="21" t="s">
        <v>551</v>
      </c>
      <c r="F159" s="21" t="s">
        <v>552</v>
      </c>
      <c r="G159" s="8" t="str">
        <f t="shared" si="2"/>
        <v>BRANNON JEFFREY</v>
      </c>
    </row>
    <row r="160" spans="1:7" x14ac:dyDescent="0.25">
      <c r="A160" s="8">
        <v>42731.708298611113</v>
      </c>
      <c r="B160" s="21" t="s">
        <v>284</v>
      </c>
      <c r="C160" s="21" t="s">
        <v>592</v>
      </c>
      <c r="D160" s="164">
        <v>930000</v>
      </c>
      <c r="E160" s="21" t="s">
        <v>379</v>
      </c>
      <c r="F160" s="21" t="s">
        <v>380</v>
      </c>
      <c r="G160" s="8" t="str">
        <f t="shared" si="2"/>
        <v>CLARK KATHLEEN</v>
      </c>
    </row>
    <row r="161" spans="1:7" x14ac:dyDescent="0.25">
      <c r="A161" s="8">
        <v>42731.711064814815</v>
      </c>
      <c r="B161" s="21" t="s">
        <v>351</v>
      </c>
      <c r="C161" s="21" t="s">
        <v>593</v>
      </c>
      <c r="D161" s="164">
        <v>1810000</v>
      </c>
      <c r="E161" s="21" t="s">
        <v>277</v>
      </c>
      <c r="F161" s="21" t="s">
        <v>248</v>
      </c>
      <c r="G161" s="8" t="str">
        <f t="shared" si="2"/>
        <v>NEWELL JAMES</v>
      </c>
    </row>
    <row r="162" spans="1:7" x14ac:dyDescent="0.25">
      <c r="A162" s="8">
        <v>42731.714224537034</v>
      </c>
      <c r="B162" s="21" t="s">
        <v>442</v>
      </c>
      <c r="C162" s="21" t="s">
        <v>594</v>
      </c>
      <c r="D162" s="164">
        <v>920000</v>
      </c>
      <c r="E162" s="21" t="s">
        <v>260</v>
      </c>
      <c r="F162" s="21" t="s">
        <v>259</v>
      </c>
      <c r="G162" s="8" t="str">
        <f t="shared" si="2"/>
        <v>DAVIS MICHAEL</v>
      </c>
    </row>
    <row r="163" spans="1:7" x14ac:dyDescent="0.25">
      <c r="A163" s="8">
        <v>42731.715138888889</v>
      </c>
      <c r="B163" s="21" t="s">
        <v>267</v>
      </c>
      <c r="C163" s="21" t="s">
        <v>595</v>
      </c>
      <c r="D163" s="164">
        <v>2220000</v>
      </c>
      <c r="E163" s="21" t="s">
        <v>316</v>
      </c>
      <c r="F163" s="21" t="s">
        <v>317</v>
      </c>
      <c r="G163" s="8" t="str">
        <f t="shared" si="2"/>
        <v>HILLS DUSTIN</v>
      </c>
    </row>
    <row r="164" spans="1:7" x14ac:dyDescent="0.25">
      <c r="A164" s="8">
        <v>42731.717118055552</v>
      </c>
      <c r="B164" s="21" t="s">
        <v>242</v>
      </c>
      <c r="C164" s="21" t="s">
        <v>596</v>
      </c>
      <c r="D164" s="164">
        <v>1800000</v>
      </c>
      <c r="E164" s="21" t="s">
        <v>235</v>
      </c>
      <c r="F164" s="21" t="s">
        <v>251</v>
      </c>
      <c r="G164" s="8" t="str">
        <f t="shared" si="2"/>
        <v>CHANDLER KELVIN</v>
      </c>
    </row>
    <row r="165" spans="1:7" x14ac:dyDescent="0.25">
      <c r="A165" s="8">
        <v>42731.718402777777</v>
      </c>
      <c r="B165" s="21" t="s">
        <v>225</v>
      </c>
      <c r="C165" s="21" t="s">
        <v>597</v>
      </c>
      <c r="D165" s="164">
        <v>1780000</v>
      </c>
      <c r="E165" s="21" t="s">
        <v>560</v>
      </c>
      <c r="F165" s="21" t="s">
        <v>561</v>
      </c>
      <c r="G165" s="8" t="str">
        <f t="shared" si="2"/>
        <v>DE LA ROSA ALEX</v>
      </c>
    </row>
    <row r="166" spans="1:7" x14ac:dyDescent="0.25">
      <c r="A166" s="8">
        <v>42731.720682870371</v>
      </c>
      <c r="B166" s="21" t="s">
        <v>204</v>
      </c>
      <c r="C166" s="21" t="s">
        <v>598</v>
      </c>
      <c r="D166" s="164">
        <v>1360000</v>
      </c>
      <c r="E166" s="21" t="s">
        <v>599</v>
      </c>
      <c r="F166" s="21" t="s">
        <v>600</v>
      </c>
      <c r="G166" s="8" t="str">
        <f t="shared" si="2"/>
        <v>SANTIZO D. EDY</v>
      </c>
    </row>
    <row r="167" spans="1:7" x14ac:dyDescent="0.25">
      <c r="A167" s="8">
        <v>42731.723576388889</v>
      </c>
      <c r="B167" s="21" t="s">
        <v>214</v>
      </c>
      <c r="C167" s="21" t="s">
        <v>601</v>
      </c>
      <c r="D167" s="164">
        <v>2250000</v>
      </c>
      <c r="E167" s="21" t="s">
        <v>355</v>
      </c>
      <c r="F167" s="21" t="s">
        <v>356</v>
      </c>
      <c r="G167" s="8" t="str">
        <f t="shared" si="2"/>
        <v>CRAYTON QUNTRELL</v>
      </c>
    </row>
    <row r="168" spans="1:7" x14ac:dyDescent="0.25">
      <c r="A168" s="8">
        <v>42731.724374999998</v>
      </c>
      <c r="B168" s="21" t="s">
        <v>432</v>
      </c>
      <c r="C168" s="21" t="s">
        <v>602</v>
      </c>
      <c r="D168" s="164">
        <v>880000</v>
      </c>
      <c r="E168" s="21" t="s">
        <v>334</v>
      </c>
      <c r="F168" s="21" t="s">
        <v>259</v>
      </c>
      <c r="G168" s="8" t="str">
        <f t="shared" si="2"/>
        <v>STEWART MICHAEL</v>
      </c>
    </row>
    <row r="169" spans="1:7" x14ac:dyDescent="0.25">
      <c r="A169" s="8">
        <v>42731.728182870371</v>
      </c>
      <c r="B169" s="21" t="s">
        <v>268</v>
      </c>
      <c r="C169" s="21" t="s">
        <v>603</v>
      </c>
      <c r="D169" s="164">
        <v>2220000</v>
      </c>
      <c r="E169" s="21" t="s">
        <v>316</v>
      </c>
      <c r="F169" s="21" t="s">
        <v>317</v>
      </c>
      <c r="G169" s="8" t="str">
        <f t="shared" si="2"/>
        <v>HILLS DUSTIN</v>
      </c>
    </row>
    <row r="170" spans="1:7" x14ac:dyDescent="0.25">
      <c r="A170" s="8">
        <v>42731.732199074075</v>
      </c>
      <c r="B170" s="21" t="s">
        <v>370</v>
      </c>
      <c r="C170" s="21" t="s">
        <v>452</v>
      </c>
      <c r="D170" s="164">
        <v>2710000</v>
      </c>
      <c r="E170" s="21" t="s">
        <v>381</v>
      </c>
      <c r="F170" s="21" t="s">
        <v>382</v>
      </c>
      <c r="G170" s="8" t="str">
        <f t="shared" si="2"/>
        <v>SIMMONS SHYHESHA</v>
      </c>
    </row>
    <row r="171" spans="1:7" x14ac:dyDescent="0.25">
      <c r="A171" s="8">
        <v>42731.734837962962</v>
      </c>
      <c r="B171" s="21" t="s">
        <v>266</v>
      </c>
      <c r="C171" s="21" t="s">
        <v>604</v>
      </c>
      <c r="D171" s="164">
        <v>1780000</v>
      </c>
      <c r="E171" s="21" t="s">
        <v>560</v>
      </c>
      <c r="F171" s="21" t="s">
        <v>561</v>
      </c>
      <c r="G171" s="8" t="str">
        <f t="shared" si="2"/>
        <v>DE LA ROSA ALEX</v>
      </c>
    </row>
    <row r="172" spans="1:7" x14ac:dyDescent="0.25">
      <c r="A172" s="8">
        <v>42731.735659722224</v>
      </c>
      <c r="B172" s="21" t="s">
        <v>154</v>
      </c>
      <c r="C172" s="21" t="s">
        <v>605</v>
      </c>
      <c r="D172" s="164">
        <v>1810000</v>
      </c>
      <c r="E172" s="21" t="s">
        <v>277</v>
      </c>
      <c r="F172" s="21" t="s">
        <v>248</v>
      </c>
      <c r="G172" s="8" t="str">
        <f t="shared" si="2"/>
        <v>NEWELL JAMES</v>
      </c>
    </row>
    <row r="173" spans="1:7" x14ac:dyDescent="0.25">
      <c r="A173" s="8">
        <v>42731.741770833331</v>
      </c>
      <c r="B173" s="21" t="s">
        <v>283</v>
      </c>
      <c r="C173" s="21" t="s">
        <v>606</v>
      </c>
      <c r="D173" s="164">
        <v>930000</v>
      </c>
      <c r="E173" s="21" t="s">
        <v>379</v>
      </c>
      <c r="F173" s="21" t="s">
        <v>380</v>
      </c>
      <c r="G173" s="8" t="str">
        <f t="shared" si="2"/>
        <v>CLARK KATHLEEN</v>
      </c>
    </row>
    <row r="174" spans="1:7" x14ac:dyDescent="0.25">
      <c r="A174" s="8">
        <v>42731.746076388888</v>
      </c>
      <c r="B174" s="21" t="s">
        <v>234</v>
      </c>
      <c r="C174" s="21" t="s">
        <v>607</v>
      </c>
      <c r="D174" s="164">
        <v>2630000</v>
      </c>
      <c r="E174" s="21" t="s">
        <v>332</v>
      </c>
      <c r="F174" s="21" t="s">
        <v>333</v>
      </c>
      <c r="G174" s="8" t="str">
        <f t="shared" si="2"/>
        <v>SAFIEF AEIMEN</v>
      </c>
    </row>
    <row r="175" spans="1:7" x14ac:dyDescent="0.25">
      <c r="A175" s="8">
        <v>42731.747314814813</v>
      </c>
      <c r="B175" s="21" t="s">
        <v>234</v>
      </c>
      <c r="C175" s="21" t="s">
        <v>607</v>
      </c>
      <c r="D175" s="164">
        <v>2630000</v>
      </c>
      <c r="E175" s="21" t="s">
        <v>332</v>
      </c>
      <c r="F175" s="21" t="s">
        <v>333</v>
      </c>
      <c r="G175" s="8" t="str">
        <f t="shared" si="2"/>
        <v>SAFIEF AEIMEN</v>
      </c>
    </row>
    <row r="176" spans="1:7" x14ac:dyDescent="0.25">
      <c r="A176" s="8">
        <v>42731.748784722222</v>
      </c>
      <c r="B176" s="21" t="s">
        <v>234</v>
      </c>
      <c r="C176" s="21" t="s">
        <v>607</v>
      </c>
      <c r="D176" s="164">
        <v>2630000</v>
      </c>
      <c r="E176" s="21" t="s">
        <v>332</v>
      </c>
      <c r="F176" s="21" t="s">
        <v>333</v>
      </c>
      <c r="G176" s="8" t="str">
        <f t="shared" si="2"/>
        <v>SAFIEF AEIMEN</v>
      </c>
    </row>
    <row r="177" spans="1:7" x14ac:dyDescent="0.25">
      <c r="A177" s="8">
        <v>42731.749062499999</v>
      </c>
      <c r="B177" s="21" t="s">
        <v>435</v>
      </c>
      <c r="C177" s="21" t="s">
        <v>608</v>
      </c>
      <c r="D177" s="164">
        <v>1190000</v>
      </c>
      <c r="E177" s="21" t="s">
        <v>551</v>
      </c>
      <c r="F177" s="21" t="s">
        <v>552</v>
      </c>
      <c r="G177" s="8" t="str">
        <f t="shared" si="2"/>
        <v>BRANNON JEFFREY</v>
      </c>
    </row>
    <row r="178" spans="1:7" x14ac:dyDescent="0.25">
      <c r="A178" s="8">
        <v>42731.750243055554</v>
      </c>
      <c r="B178" s="21" t="s">
        <v>234</v>
      </c>
      <c r="C178" s="21" t="s">
        <v>607</v>
      </c>
      <c r="D178" s="164">
        <v>2630000</v>
      </c>
      <c r="E178" s="21" t="s">
        <v>332</v>
      </c>
      <c r="F178" s="21" t="s">
        <v>333</v>
      </c>
      <c r="G178" s="8" t="str">
        <f t="shared" si="2"/>
        <v>SAFIEF AEIMEN</v>
      </c>
    </row>
    <row r="179" spans="1:7" x14ac:dyDescent="0.25">
      <c r="A179" s="8">
        <v>42731.756851851853</v>
      </c>
      <c r="B179" s="21" t="s">
        <v>255</v>
      </c>
      <c r="C179" s="21" t="s">
        <v>609</v>
      </c>
      <c r="D179" s="164">
        <v>1800000</v>
      </c>
      <c r="E179" s="21" t="s">
        <v>235</v>
      </c>
      <c r="F179" s="21" t="s">
        <v>251</v>
      </c>
      <c r="G179" s="8" t="str">
        <f t="shared" si="2"/>
        <v>CHANDLER KELVIN</v>
      </c>
    </row>
    <row r="180" spans="1:7" x14ac:dyDescent="0.25">
      <c r="A180" s="8">
        <v>42731.757708333331</v>
      </c>
      <c r="B180" s="21" t="s">
        <v>352</v>
      </c>
      <c r="C180" s="21" t="s">
        <v>610</v>
      </c>
      <c r="D180" s="164">
        <v>920000</v>
      </c>
      <c r="E180" s="21" t="s">
        <v>260</v>
      </c>
      <c r="F180" s="21" t="s">
        <v>259</v>
      </c>
      <c r="G180" s="8" t="str">
        <f t="shared" si="2"/>
        <v>DAVIS MICHAEL</v>
      </c>
    </row>
    <row r="181" spans="1:7" x14ac:dyDescent="0.25">
      <c r="A181" s="8">
        <v>42731.758506944447</v>
      </c>
      <c r="B181" s="21" t="s">
        <v>267</v>
      </c>
      <c r="C181" s="21" t="s">
        <v>453</v>
      </c>
      <c r="D181" s="164">
        <v>2220000</v>
      </c>
      <c r="E181" s="21" t="s">
        <v>316</v>
      </c>
      <c r="F181" s="21" t="s">
        <v>317</v>
      </c>
      <c r="G181" s="8" t="str">
        <f t="shared" si="2"/>
        <v>HILLS DUSTIN</v>
      </c>
    </row>
    <row r="182" spans="1:7" x14ac:dyDescent="0.25">
      <c r="A182" s="8">
        <v>42731.760127314818</v>
      </c>
      <c r="B182" s="21" t="s">
        <v>484</v>
      </c>
      <c r="C182" s="21" t="s">
        <v>611</v>
      </c>
      <c r="D182" s="164">
        <v>2250000</v>
      </c>
      <c r="E182" s="21" t="s">
        <v>355</v>
      </c>
      <c r="F182" s="21" t="s">
        <v>356</v>
      </c>
      <c r="G182" s="8" t="str">
        <f t="shared" si="2"/>
        <v>CRAYTON QUNTRELL</v>
      </c>
    </row>
    <row r="183" spans="1:7" x14ac:dyDescent="0.25">
      <c r="A183" s="8">
        <v>42731.76090277778</v>
      </c>
      <c r="B183" s="21" t="s">
        <v>225</v>
      </c>
      <c r="C183" s="21" t="s">
        <v>612</v>
      </c>
      <c r="D183" s="164">
        <v>1780000</v>
      </c>
      <c r="E183" s="21" t="s">
        <v>560</v>
      </c>
      <c r="F183" s="21" t="s">
        <v>561</v>
      </c>
      <c r="G183" s="8" t="str">
        <f t="shared" si="2"/>
        <v>DE LA ROSA ALEX</v>
      </c>
    </row>
    <row r="184" spans="1:7" x14ac:dyDescent="0.25">
      <c r="A184" s="8">
        <v>42731.762013888889</v>
      </c>
      <c r="B184" s="21" t="s">
        <v>231</v>
      </c>
      <c r="C184" s="21" t="s">
        <v>613</v>
      </c>
      <c r="D184" s="164">
        <v>2720000</v>
      </c>
      <c r="E184" s="21" t="s">
        <v>383</v>
      </c>
      <c r="F184" s="21" t="s">
        <v>384</v>
      </c>
      <c r="G184" s="8" t="str">
        <f t="shared" si="2"/>
        <v>SIMONEAUX TERA</v>
      </c>
    </row>
    <row r="185" spans="1:7" x14ac:dyDescent="0.25">
      <c r="A185" s="8">
        <v>42731.769074074073</v>
      </c>
      <c r="B185" s="21" t="s">
        <v>212</v>
      </c>
      <c r="C185" s="21" t="s">
        <v>614</v>
      </c>
      <c r="D185" s="164">
        <v>2000000</v>
      </c>
      <c r="E185" s="21" t="s">
        <v>209</v>
      </c>
      <c r="F185" s="21" t="s">
        <v>248</v>
      </c>
      <c r="G185" s="8" t="str">
        <f t="shared" si="2"/>
        <v>STAMBAUGH JAMES</v>
      </c>
    </row>
    <row r="186" spans="1:7" x14ac:dyDescent="0.25">
      <c r="A186" s="8">
        <v>42731.77103009259</v>
      </c>
      <c r="B186" s="21" t="s">
        <v>268</v>
      </c>
      <c r="C186" s="21" t="s">
        <v>615</v>
      </c>
      <c r="D186" s="164">
        <v>2220000</v>
      </c>
      <c r="E186" s="21" t="s">
        <v>316</v>
      </c>
      <c r="F186" s="21" t="s">
        <v>317</v>
      </c>
      <c r="G186" s="8" t="str">
        <f t="shared" si="2"/>
        <v>HILLS DUSTIN</v>
      </c>
    </row>
    <row r="187" spans="1:7" x14ac:dyDescent="0.25">
      <c r="A187" s="8">
        <v>42731.771261574075</v>
      </c>
      <c r="B187" s="21" t="s">
        <v>155</v>
      </c>
      <c r="C187" s="21" t="s">
        <v>616</v>
      </c>
      <c r="D187" s="164">
        <v>1810000</v>
      </c>
      <c r="E187" s="21" t="s">
        <v>277</v>
      </c>
      <c r="F187" s="21" t="s">
        <v>248</v>
      </c>
      <c r="G187" s="8" t="str">
        <f t="shared" si="2"/>
        <v>NEWELL JAMES</v>
      </c>
    </row>
    <row r="188" spans="1:7" x14ac:dyDescent="0.25">
      <c r="A188" s="8">
        <v>42731.776620370372</v>
      </c>
      <c r="B188" s="21" t="s">
        <v>266</v>
      </c>
      <c r="C188" s="21" t="s">
        <v>617</v>
      </c>
      <c r="D188" s="164">
        <v>1780000</v>
      </c>
      <c r="E188" s="21" t="s">
        <v>560</v>
      </c>
      <c r="F188" s="21" t="s">
        <v>561</v>
      </c>
      <c r="G188" s="8" t="str">
        <f t="shared" si="2"/>
        <v>DE LA ROSA ALEX</v>
      </c>
    </row>
    <row r="189" spans="1:7" x14ac:dyDescent="0.25">
      <c r="A189" s="8">
        <v>42731.779282407406</v>
      </c>
      <c r="B189" s="21" t="s">
        <v>284</v>
      </c>
      <c r="C189" s="21" t="s">
        <v>618</v>
      </c>
      <c r="D189" s="164">
        <v>930000</v>
      </c>
      <c r="E189" s="21" t="s">
        <v>379</v>
      </c>
      <c r="F189" s="21" t="s">
        <v>380</v>
      </c>
      <c r="G189" s="8" t="str">
        <f t="shared" si="2"/>
        <v>CLARK KATHLEEN</v>
      </c>
    </row>
    <row r="190" spans="1:7" x14ac:dyDescent="0.25">
      <c r="A190" s="8">
        <v>42731.781608796293</v>
      </c>
      <c r="B190" s="21" t="s">
        <v>442</v>
      </c>
      <c r="C190" s="21" t="s">
        <v>619</v>
      </c>
      <c r="D190" s="164">
        <v>1190000</v>
      </c>
      <c r="E190" s="21" t="s">
        <v>551</v>
      </c>
      <c r="F190" s="21" t="s">
        <v>552</v>
      </c>
      <c r="G190" s="8" t="str">
        <f t="shared" si="2"/>
        <v>BRANNON JEFFREY</v>
      </c>
    </row>
    <row r="191" spans="1:7" x14ac:dyDescent="0.25">
      <c r="A191" s="8">
        <v>42731.789652777778</v>
      </c>
      <c r="B191" s="21" t="s">
        <v>231</v>
      </c>
      <c r="C191" s="21" t="s">
        <v>613</v>
      </c>
      <c r="D191" s="164">
        <v>2720000</v>
      </c>
      <c r="E191" s="21" t="s">
        <v>383</v>
      </c>
      <c r="F191" s="21" t="s">
        <v>384</v>
      </c>
      <c r="G191" s="8" t="str">
        <f t="shared" si="2"/>
        <v>SIMONEAUX TERA</v>
      </c>
    </row>
    <row r="192" spans="1:7" x14ac:dyDescent="0.25">
      <c r="A192" s="8">
        <v>42731.791006944448</v>
      </c>
      <c r="B192" s="21" t="s">
        <v>242</v>
      </c>
      <c r="C192" s="21" t="s">
        <v>620</v>
      </c>
      <c r="D192" s="164">
        <v>1800000</v>
      </c>
      <c r="E192" s="21" t="s">
        <v>235</v>
      </c>
      <c r="F192" s="21" t="s">
        <v>251</v>
      </c>
      <c r="G192" s="8" t="str">
        <f t="shared" si="2"/>
        <v>CHANDLER KELVIN</v>
      </c>
    </row>
    <row r="193" spans="1:7" x14ac:dyDescent="0.25">
      <c r="A193" s="8">
        <v>42731.794583333336</v>
      </c>
      <c r="B193" s="21" t="s">
        <v>212</v>
      </c>
      <c r="C193" s="21" t="s">
        <v>614</v>
      </c>
      <c r="D193" s="164">
        <v>2000000</v>
      </c>
      <c r="E193" s="21" t="s">
        <v>209</v>
      </c>
      <c r="F193" s="21" t="s">
        <v>248</v>
      </c>
      <c r="G193" s="8" t="str">
        <f t="shared" si="2"/>
        <v>STAMBAUGH JAMES</v>
      </c>
    </row>
    <row r="194" spans="1:7" x14ac:dyDescent="0.25">
      <c r="A194" s="8">
        <v>42731.799027777779</v>
      </c>
      <c r="B194" s="21" t="s">
        <v>267</v>
      </c>
      <c r="C194" s="21" t="s">
        <v>621</v>
      </c>
      <c r="D194" s="164">
        <v>2220000</v>
      </c>
      <c r="E194" s="21" t="s">
        <v>316</v>
      </c>
      <c r="F194" s="21" t="s">
        <v>317</v>
      </c>
      <c r="G194" s="8" t="str">
        <f t="shared" si="2"/>
        <v>HILLS DUSTIN</v>
      </c>
    </row>
    <row r="195" spans="1:7" x14ac:dyDescent="0.25">
      <c r="A195" s="8">
        <v>42731.801527777781</v>
      </c>
      <c r="B195" s="21" t="s">
        <v>225</v>
      </c>
      <c r="C195" s="21" t="s">
        <v>622</v>
      </c>
      <c r="D195" s="164">
        <v>1780000</v>
      </c>
      <c r="E195" s="21" t="s">
        <v>560</v>
      </c>
      <c r="F195" s="21" t="s">
        <v>561</v>
      </c>
      <c r="G195" s="8" t="str">
        <f t="shared" ref="G195:G258" si="3">E195&amp;" "&amp;F195</f>
        <v>DE LA ROSA ALEX</v>
      </c>
    </row>
    <row r="196" spans="1:7" x14ac:dyDescent="0.25">
      <c r="A196" s="8">
        <v>42731.803159722222</v>
      </c>
      <c r="B196" s="21" t="s">
        <v>432</v>
      </c>
      <c r="C196" s="21" t="s">
        <v>623</v>
      </c>
      <c r="D196" s="164">
        <v>2720000</v>
      </c>
      <c r="E196" s="21" t="s">
        <v>383</v>
      </c>
      <c r="F196" s="21" t="s">
        <v>384</v>
      </c>
      <c r="G196" s="8" t="str">
        <f t="shared" si="3"/>
        <v>SIMONEAUX TERA</v>
      </c>
    </row>
    <row r="197" spans="1:7" x14ac:dyDescent="0.25">
      <c r="A197" s="8">
        <v>42731.808796296296</v>
      </c>
      <c r="B197" s="21" t="s">
        <v>370</v>
      </c>
      <c r="C197" s="21" t="s">
        <v>624</v>
      </c>
      <c r="D197" s="164">
        <v>2000000</v>
      </c>
      <c r="E197" s="21" t="s">
        <v>209</v>
      </c>
      <c r="F197" s="21" t="s">
        <v>248</v>
      </c>
      <c r="G197" s="8" t="str">
        <f t="shared" si="3"/>
        <v>STAMBAUGH JAMES</v>
      </c>
    </row>
    <row r="198" spans="1:7" x14ac:dyDescent="0.25">
      <c r="A198" s="8">
        <v>42731.810914351852</v>
      </c>
      <c r="B198" s="21" t="s">
        <v>214</v>
      </c>
      <c r="C198" s="21" t="s">
        <v>625</v>
      </c>
      <c r="D198" s="164">
        <v>2250000</v>
      </c>
      <c r="E198" s="21" t="s">
        <v>355</v>
      </c>
      <c r="F198" s="21" t="s">
        <v>356</v>
      </c>
      <c r="G198" s="8" t="str">
        <f t="shared" si="3"/>
        <v>CRAYTON QUNTRELL</v>
      </c>
    </row>
    <row r="199" spans="1:7" x14ac:dyDescent="0.25">
      <c r="A199" s="8">
        <v>42731.813275462962</v>
      </c>
      <c r="B199" s="21" t="s">
        <v>154</v>
      </c>
      <c r="C199" s="21" t="s">
        <v>626</v>
      </c>
      <c r="D199" s="164">
        <v>2530000</v>
      </c>
      <c r="E199" s="21" t="s">
        <v>236</v>
      </c>
      <c r="F199" s="21" t="s">
        <v>627</v>
      </c>
      <c r="G199" s="8" t="str">
        <f t="shared" si="3"/>
        <v>LALONDE GREGORY</v>
      </c>
    </row>
    <row r="200" spans="1:7" x14ac:dyDescent="0.25">
      <c r="A200" s="8">
        <v>42731.817488425928</v>
      </c>
      <c r="B200" s="21" t="s">
        <v>266</v>
      </c>
      <c r="C200" s="21" t="s">
        <v>628</v>
      </c>
      <c r="D200" s="164">
        <v>1780000</v>
      </c>
      <c r="E200" s="21" t="s">
        <v>560</v>
      </c>
      <c r="F200" s="21" t="s">
        <v>561</v>
      </c>
      <c r="G200" s="8" t="str">
        <f t="shared" si="3"/>
        <v>DE LA ROSA ALEX</v>
      </c>
    </row>
    <row r="201" spans="1:7" x14ac:dyDescent="0.25">
      <c r="A201" s="8">
        <v>42731.821701388886</v>
      </c>
      <c r="B201" s="21" t="s">
        <v>435</v>
      </c>
      <c r="C201" s="21" t="s">
        <v>629</v>
      </c>
      <c r="D201" s="164">
        <v>1190000</v>
      </c>
      <c r="E201" s="21" t="s">
        <v>551</v>
      </c>
      <c r="F201" s="21" t="s">
        <v>552</v>
      </c>
      <c r="G201" s="8" t="str">
        <f t="shared" si="3"/>
        <v>BRANNON JEFFREY</v>
      </c>
    </row>
    <row r="202" spans="1:7" x14ac:dyDescent="0.25">
      <c r="A202" s="27">
        <v>42731.829224537039</v>
      </c>
      <c r="B202" s="21" t="s">
        <v>255</v>
      </c>
      <c r="C202" s="21" t="s">
        <v>620</v>
      </c>
      <c r="D202" s="164">
        <v>1800000</v>
      </c>
      <c r="E202" s="21" t="s">
        <v>235</v>
      </c>
      <c r="F202" s="21" t="s">
        <v>251</v>
      </c>
      <c r="G202" s="8" t="str">
        <f t="shared" si="3"/>
        <v>CHANDLER KELVIN</v>
      </c>
    </row>
    <row r="203" spans="1:7" x14ac:dyDescent="0.25">
      <c r="A203" s="8">
        <v>42731.830636574072</v>
      </c>
      <c r="B203" s="21" t="s">
        <v>255</v>
      </c>
      <c r="C203" s="21" t="s">
        <v>630</v>
      </c>
      <c r="D203" s="164">
        <v>1800000</v>
      </c>
      <c r="E203" s="21" t="s">
        <v>235</v>
      </c>
      <c r="F203" s="21" t="s">
        <v>251</v>
      </c>
      <c r="G203" s="8" t="str">
        <f t="shared" si="3"/>
        <v>CHANDLER KELVIN</v>
      </c>
    </row>
    <row r="204" spans="1:7" x14ac:dyDescent="0.25">
      <c r="A204" s="8">
        <v>42731.833437499998</v>
      </c>
      <c r="B204" s="21" t="s">
        <v>231</v>
      </c>
      <c r="C204" s="21" t="s">
        <v>631</v>
      </c>
      <c r="D204" s="164">
        <v>2720000</v>
      </c>
      <c r="E204" s="21" t="s">
        <v>383</v>
      </c>
      <c r="F204" s="21" t="s">
        <v>384</v>
      </c>
      <c r="G204" s="8" t="str">
        <f t="shared" si="3"/>
        <v>SIMONEAUX TERA</v>
      </c>
    </row>
    <row r="205" spans="1:7" x14ac:dyDescent="0.25">
      <c r="A205" s="8">
        <v>42731.838101851848</v>
      </c>
      <c r="B205" s="21" t="s">
        <v>212</v>
      </c>
      <c r="C205" s="21" t="s">
        <v>632</v>
      </c>
      <c r="D205" s="164">
        <v>2000000</v>
      </c>
      <c r="E205" s="21" t="s">
        <v>209</v>
      </c>
      <c r="F205" s="21" t="s">
        <v>248</v>
      </c>
      <c r="G205" s="8" t="str">
        <f t="shared" si="3"/>
        <v>STAMBAUGH JAMES</v>
      </c>
    </row>
    <row r="206" spans="1:7" x14ac:dyDescent="0.25">
      <c r="A206" s="8">
        <v>42731.842013888891</v>
      </c>
      <c r="B206" s="21" t="s">
        <v>155</v>
      </c>
      <c r="C206" s="21" t="s">
        <v>633</v>
      </c>
      <c r="D206" s="164">
        <v>2530000</v>
      </c>
      <c r="E206" s="21" t="s">
        <v>236</v>
      </c>
      <c r="F206" s="21" t="s">
        <v>627</v>
      </c>
      <c r="G206" s="8" t="str">
        <f t="shared" si="3"/>
        <v>LALONDE GREGORY</v>
      </c>
    </row>
    <row r="207" spans="1:7" x14ac:dyDescent="0.25">
      <c r="A207" s="8">
        <v>42731.844756944447</v>
      </c>
      <c r="B207" s="21" t="s">
        <v>225</v>
      </c>
      <c r="C207" s="21" t="s">
        <v>634</v>
      </c>
      <c r="D207" s="164">
        <v>1780000</v>
      </c>
      <c r="E207" s="21" t="s">
        <v>560</v>
      </c>
      <c r="F207" s="21" t="s">
        <v>561</v>
      </c>
      <c r="G207" s="8" t="str">
        <f t="shared" si="3"/>
        <v>DE LA ROSA ALEX</v>
      </c>
    </row>
    <row r="208" spans="1:7" x14ac:dyDescent="0.25">
      <c r="A208" s="8">
        <v>42731.859155092592</v>
      </c>
      <c r="B208" s="21" t="s">
        <v>266</v>
      </c>
      <c r="C208" s="21" t="s">
        <v>635</v>
      </c>
      <c r="D208" s="164">
        <v>1780000</v>
      </c>
      <c r="E208" s="21" t="s">
        <v>560</v>
      </c>
      <c r="F208" s="21" t="s">
        <v>561</v>
      </c>
      <c r="G208" s="8" t="str">
        <f t="shared" si="3"/>
        <v>DE LA ROSA ALEX</v>
      </c>
    </row>
    <row r="209" spans="1:7" x14ac:dyDescent="0.25">
      <c r="A209" s="8">
        <v>42731.8672337963</v>
      </c>
      <c r="B209" s="21" t="s">
        <v>432</v>
      </c>
      <c r="C209" s="21" t="s">
        <v>454</v>
      </c>
      <c r="D209" s="164">
        <v>2720000</v>
      </c>
      <c r="E209" s="21" t="s">
        <v>383</v>
      </c>
      <c r="F209" s="21" t="s">
        <v>384</v>
      </c>
      <c r="G209" s="8" t="str">
        <f t="shared" si="3"/>
        <v>SIMONEAUX TERA</v>
      </c>
    </row>
    <row r="210" spans="1:7" x14ac:dyDescent="0.25">
      <c r="A210" s="8">
        <v>42731.872719907406</v>
      </c>
      <c r="B210" s="21" t="s">
        <v>242</v>
      </c>
      <c r="C210" s="21" t="s">
        <v>636</v>
      </c>
      <c r="D210" s="164">
        <v>1800000</v>
      </c>
      <c r="E210" s="21" t="s">
        <v>235</v>
      </c>
      <c r="F210" s="21" t="s">
        <v>251</v>
      </c>
      <c r="G210" s="8" t="str">
        <f t="shared" si="3"/>
        <v>CHANDLER KELVIN</v>
      </c>
    </row>
    <row r="211" spans="1:7" x14ac:dyDescent="0.25">
      <c r="A211" s="8">
        <v>42731.875798611109</v>
      </c>
      <c r="B211" s="21" t="s">
        <v>225</v>
      </c>
      <c r="C211" s="21" t="s">
        <v>637</v>
      </c>
      <c r="D211" s="164">
        <v>2220000</v>
      </c>
      <c r="E211" s="21" t="s">
        <v>316</v>
      </c>
      <c r="F211" s="21" t="s">
        <v>317</v>
      </c>
      <c r="G211" s="8" t="str">
        <f t="shared" si="3"/>
        <v>HILLS DUSTIN</v>
      </c>
    </row>
    <row r="212" spans="1:7" x14ac:dyDescent="0.25">
      <c r="A212" s="8">
        <v>42731.881458333337</v>
      </c>
      <c r="B212" s="21" t="s">
        <v>154</v>
      </c>
      <c r="C212" s="21" t="s">
        <v>638</v>
      </c>
      <c r="D212" s="164">
        <v>1810000</v>
      </c>
      <c r="E212" s="21" t="s">
        <v>277</v>
      </c>
      <c r="F212" s="21" t="s">
        <v>248</v>
      </c>
      <c r="G212" s="8" t="str">
        <f t="shared" si="3"/>
        <v>NEWELL JAMES</v>
      </c>
    </row>
    <row r="213" spans="1:7" x14ac:dyDescent="0.25">
      <c r="A213" s="8">
        <v>42731.891863425924</v>
      </c>
      <c r="B213" s="21" t="s">
        <v>370</v>
      </c>
      <c r="C213" s="21" t="s">
        <v>639</v>
      </c>
      <c r="D213" s="164">
        <v>2000000</v>
      </c>
      <c r="E213" s="21" t="s">
        <v>209</v>
      </c>
      <c r="F213" s="21" t="s">
        <v>248</v>
      </c>
      <c r="G213" s="8" t="str">
        <f t="shared" si="3"/>
        <v>STAMBAUGH JAMES</v>
      </c>
    </row>
    <row r="214" spans="1:7" x14ac:dyDescent="0.25">
      <c r="A214" s="8">
        <v>42731.904687499999</v>
      </c>
      <c r="B214" s="21" t="s">
        <v>266</v>
      </c>
      <c r="C214" s="21" t="s">
        <v>640</v>
      </c>
      <c r="D214" s="164">
        <v>2220000</v>
      </c>
      <c r="E214" s="21" t="s">
        <v>316</v>
      </c>
      <c r="F214" s="21" t="s">
        <v>317</v>
      </c>
      <c r="G214" s="8" t="str">
        <f t="shared" si="3"/>
        <v>HILLS DUSTIN</v>
      </c>
    </row>
    <row r="215" spans="1:7" x14ac:dyDescent="0.25">
      <c r="A215" s="8">
        <v>42731.910740740743</v>
      </c>
      <c r="B215" s="21" t="s">
        <v>231</v>
      </c>
      <c r="C215" s="21" t="s">
        <v>641</v>
      </c>
      <c r="D215" s="164">
        <v>2720000</v>
      </c>
      <c r="E215" s="21" t="s">
        <v>383</v>
      </c>
      <c r="F215" s="21" t="s">
        <v>384</v>
      </c>
      <c r="G215" s="8" t="str">
        <f t="shared" si="3"/>
        <v>SIMONEAUX TERA</v>
      </c>
    </row>
    <row r="216" spans="1:7" x14ac:dyDescent="0.25">
      <c r="A216" s="8">
        <v>42731.914375</v>
      </c>
      <c r="B216" s="21" t="s">
        <v>255</v>
      </c>
      <c r="C216" s="21" t="s">
        <v>642</v>
      </c>
      <c r="D216" s="164">
        <v>1800000</v>
      </c>
      <c r="E216" s="21" t="s">
        <v>235</v>
      </c>
      <c r="F216" s="21" t="s">
        <v>251</v>
      </c>
      <c r="G216" s="8" t="str">
        <f t="shared" si="3"/>
        <v>CHANDLER KELVIN</v>
      </c>
    </row>
    <row r="217" spans="1:7" x14ac:dyDescent="0.25">
      <c r="A217" s="8">
        <v>42731.921493055554</v>
      </c>
      <c r="B217" s="21" t="s">
        <v>225</v>
      </c>
      <c r="C217" s="21" t="s">
        <v>643</v>
      </c>
      <c r="D217" s="164">
        <v>2220000</v>
      </c>
      <c r="E217" s="21" t="s">
        <v>316</v>
      </c>
      <c r="F217" s="21" t="s">
        <v>317</v>
      </c>
      <c r="G217" s="8" t="str">
        <f t="shared" si="3"/>
        <v>HILLS DUSTIN</v>
      </c>
    </row>
    <row r="218" spans="1:7" x14ac:dyDescent="0.25">
      <c r="A218" s="8">
        <v>42731.922650462962</v>
      </c>
      <c r="B218" s="21" t="s">
        <v>212</v>
      </c>
      <c r="C218" s="21" t="s">
        <v>644</v>
      </c>
      <c r="D218" s="164">
        <v>2000000</v>
      </c>
      <c r="E218" s="21" t="s">
        <v>209</v>
      </c>
      <c r="F218" s="21" t="s">
        <v>248</v>
      </c>
      <c r="G218" s="8" t="str">
        <f t="shared" si="3"/>
        <v>STAMBAUGH JAMES</v>
      </c>
    </row>
    <row r="219" spans="1:7" x14ac:dyDescent="0.25">
      <c r="A219" s="8">
        <v>42731.931331018517</v>
      </c>
      <c r="B219" s="21" t="s">
        <v>155</v>
      </c>
      <c r="C219" s="21" t="s">
        <v>645</v>
      </c>
      <c r="D219" s="164">
        <v>1810000</v>
      </c>
      <c r="E219" s="21" t="s">
        <v>277</v>
      </c>
      <c r="F219" s="21" t="s">
        <v>248</v>
      </c>
      <c r="G219" s="8" t="str">
        <f t="shared" si="3"/>
        <v>NEWELL JAMES</v>
      </c>
    </row>
    <row r="220" spans="1:7" x14ac:dyDescent="0.25">
      <c r="A220" s="8">
        <v>42731.943333333336</v>
      </c>
      <c r="B220" s="21" t="s">
        <v>266</v>
      </c>
      <c r="C220" s="21" t="s">
        <v>646</v>
      </c>
      <c r="D220" s="164">
        <v>2220000</v>
      </c>
      <c r="E220" s="21" t="s">
        <v>316</v>
      </c>
      <c r="F220" s="21" t="s">
        <v>317</v>
      </c>
      <c r="G220" s="8" t="str">
        <f t="shared" si="3"/>
        <v>HILLS DUSTIN</v>
      </c>
    </row>
    <row r="221" spans="1:7" x14ac:dyDescent="0.25">
      <c r="A221" s="8">
        <v>42731.951122685183</v>
      </c>
      <c r="B221" s="21" t="s">
        <v>432</v>
      </c>
      <c r="C221" s="21" t="s">
        <v>647</v>
      </c>
      <c r="D221" s="164">
        <v>2720000</v>
      </c>
      <c r="E221" s="21" t="s">
        <v>383</v>
      </c>
      <c r="F221" s="21" t="s">
        <v>384</v>
      </c>
      <c r="G221" s="8" t="str">
        <f t="shared" si="3"/>
        <v>SIMONEAUX TERA</v>
      </c>
    </row>
    <row r="222" spans="1:7" x14ac:dyDescent="0.25">
      <c r="A222" s="8">
        <v>42731.951817129629</v>
      </c>
      <c r="B222" s="21" t="s">
        <v>225</v>
      </c>
      <c r="C222" s="21" t="s">
        <v>646</v>
      </c>
      <c r="D222" s="164">
        <v>2220000</v>
      </c>
      <c r="E222" s="21" t="s">
        <v>316</v>
      </c>
      <c r="F222" s="21" t="s">
        <v>317</v>
      </c>
      <c r="G222" s="8" t="str">
        <f t="shared" si="3"/>
        <v>HILLS DUSTIN</v>
      </c>
    </row>
    <row r="223" spans="1:7" x14ac:dyDescent="0.25">
      <c r="A223" s="8">
        <v>42731.957800925928</v>
      </c>
      <c r="B223" s="21" t="s">
        <v>242</v>
      </c>
      <c r="C223" s="21" t="s">
        <v>648</v>
      </c>
      <c r="D223" s="164">
        <v>1800000</v>
      </c>
      <c r="E223" s="21" t="s">
        <v>235</v>
      </c>
      <c r="F223" s="21" t="s">
        <v>251</v>
      </c>
      <c r="G223" s="8" t="str">
        <f t="shared" si="3"/>
        <v>CHANDLER KELVIN</v>
      </c>
    </row>
    <row r="224" spans="1:7" x14ac:dyDescent="0.25">
      <c r="A224" s="8">
        <v>42731.965752314813</v>
      </c>
      <c r="B224" t="s">
        <v>154</v>
      </c>
      <c r="C224" t="s">
        <v>649</v>
      </c>
      <c r="D224" s="164">
        <v>1810000</v>
      </c>
      <c r="E224" t="s">
        <v>277</v>
      </c>
      <c r="F224" s="21" t="s">
        <v>248</v>
      </c>
      <c r="G224" s="8" t="str">
        <f t="shared" si="3"/>
        <v>NEWELL JAMES</v>
      </c>
    </row>
    <row r="225" spans="1:7" x14ac:dyDescent="0.25">
      <c r="A225" s="8">
        <v>42731.974085648151</v>
      </c>
      <c r="B225" t="s">
        <v>370</v>
      </c>
      <c r="C225" t="s">
        <v>650</v>
      </c>
      <c r="D225" s="164">
        <v>2000000</v>
      </c>
      <c r="E225" t="s">
        <v>209</v>
      </c>
      <c r="F225" s="21" t="s">
        <v>248</v>
      </c>
      <c r="G225" s="8" t="str">
        <f t="shared" si="3"/>
        <v>STAMBAUGH JAMES</v>
      </c>
    </row>
    <row r="226" spans="1:7" x14ac:dyDescent="0.25">
      <c r="A226" s="8">
        <v>42731.991863425923</v>
      </c>
      <c r="B226" t="s">
        <v>231</v>
      </c>
      <c r="C226" t="s">
        <v>651</v>
      </c>
      <c r="D226" s="164">
        <v>2720000</v>
      </c>
      <c r="E226" t="s">
        <v>383</v>
      </c>
      <c r="F226" s="21" t="s">
        <v>384</v>
      </c>
      <c r="G226" s="8" t="str">
        <f t="shared" si="3"/>
        <v>SIMONEAUX TERA</v>
      </c>
    </row>
    <row r="227" spans="1:7" x14ac:dyDescent="0.25">
      <c r="A227" s="8">
        <v>42731.992361111108</v>
      </c>
      <c r="B227" t="s">
        <v>255</v>
      </c>
      <c r="C227" t="s">
        <v>652</v>
      </c>
      <c r="D227" s="164">
        <v>1800000</v>
      </c>
      <c r="E227" t="s">
        <v>235</v>
      </c>
      <c r="F227" s="21" t="s">
        <v>251</v>
      </c>
      <c r="G227" s="8" t="str">
        <f t="shared" si="3"/>
        <v>CHANDLER KELVIN</v>
      </c>
    </row>
    <row r="228" spans="1:7" x14ac:dyDescent="0.25">
      <c r="A228" s="8">
        <v>42732.006666666668</v>
      </c>
      <c r="B228" t="s">
        <v>212</v>
      </c>
      <c r="C228" t="s">
        <v>653</v>
      </c>
      <c r="D228" s="164">
        <v>2000000</v>
      </c>
      <c r="E228" t="s">
        <v>209</v>
      </c>
      <c r="F228" s="21" t="s">
        <v>248</v>
      </c>
      <c r="G228" s="8" t="str">
        <f t="shared" si="3"/>
        <v>STAMBAUGH JAMES</v>
      </c>
    </row>
    <row r="229" spans="1:7" x14ac:dyDescent="0.25">
      <c r="A229" s="8">
        <v>42732.008738425924</v>
      </c>
      <c r="B229" t="s">
        <v>155</v>
      </c>
      <c r="C229" t="s">
        <v>654</v>
      </c>
      <c r="D229" s="164">
        <v>1810000</v>
      </c>
      <c r="E229" t="s">
        <v>277</v>
      </c>
      <c r="F229" s="21" t="s">
        <v>248</v>
      </c>
      <c r="G229" s="8" t="str">
        <f t="shared" si="3"/>
        <v>NEWELL JAMES</v>
      </c>
    </row>
    <row r="230" spans="1:7" x14ac:dyDescent="0.25">
      <c r="A230" s="8">
        <v>42732.029803240737</v>
      </c>
      <c r="B230" t="s">
        <v>242</v>
      </c>
      <c r="C230" t="s">
        <v>655</v>
      </c>
      <c r="D230" s="164">
        <v>1800000</v>
      </c>
      <c r="E230" t="s">
        <v>235</v>
      </c>
      <c r="F230" s="21" t="s">
        <v>251</v>
      </c>
      <c r="G230" s="8" t="str">
        <f t="shared" si="3"/>
        <v>CHANDLER KELVIN</v>
      </c>
    </row>
    <row r="231" spans="1:7" x14ac:dyDescent="0.25">
      <c r="A231" s="8">
        <v>42732.033206018517</v>
      </c>
      <c r="B231" t="s">
        <v>432</v>
      </c>
      <c r="C231" t="s">
        <v>455</v>
      </c>
      <c r="D231" s="164">
        <v>2720000</v>
      </c>
      <c r="E231" t="s">
        <v>383</v>
      </c>
      <c r="F231" s="21" t="s">
        <v>384</v>
      </c>
      <c r="G231" s="8" t="str">
        <f t="shared" si="3"/>
        <v>SIMONEAUX TERA</v>
      </c>
    </row>
    <row r="232" spans="1:7" x14ac:dyDescent="0.25">
      <c r="A232" s="8">
        <v>42732.046516203707</v>
      </c>
      <c r="B232" t="s">
        <v>154</v>
      </c>
      <c r="C232" t="s">
        <v>656</v>
      </c>
      <c r="D232" s="164">
        <v>1810000</v>
      </c>
      <c r="E232" t="s">
        <v>277</v>
      </c>
      <c r="F232" s="21" t="s">
        <v>248</v>
      </c>
      <c r="G232" s="8" t="str">
        <f t="shared" si="3"/>
        <v>NEWELL JAMES</v>
      </c>
    </row>
    <row r="233" spans="1:7" x14ac:dyDescent="0.25">
      <c r="A233" s="8">
        <v>42732.047847222224</v>
      </c>
      <c r="B233" t="s">
        <v>154</v>
      </c>
      <c r="C233" t="s">
        <v>656</v>
      </c>
      <c r="D233" s="164">
        <v>1810000</v>
      </c>
      <c r="E233" t="s">
        <v>277</v>
      </c>
      <c r="F233" s="21" t="s">
        <v>248</v>
      </c>
      <c r="G233" s="8" t="str">
        <f t="shared" si="3"/>
        <v>NEWELL JAMES</v>
      </c>
    </row>
    <row r="234" spans="1:7" x14ac:dyDescent="0.25">
      <c r="A234" s="8">
        <v>42732.057754629626</v>
      </c>
      <c r="B234" t="s">
        <v>370</v>
      </c>
      <c r="C234" t="s">
        <v>657</v>
      </c>
      <c r="D234" s="164">
        <v>2000000</v>
      </c>
      <c r="E234" t="s">
        <v>209</v>
      </c>
      <c r="F234" s="21" t="s">
        <v>248</v>
      </c>
      <c r="G234" s="8" t="str">
        <f t="shared" si="3"/>
        <v>STAMBAUGH JAMES</v>
      </c>
    </row>
    <row r="235" spans="1:7" x14ac:dyDescent="0.25">
      <c r="A235" s="8">
        <v>42732.070798611108</v>
      </c>
      <c r="B235" t="s">
        <v>231</v>
      </c>
      <c r="C235" t="s">
        <v>658</v>
      </c>
      <c r="D235" s="164">
        <v>2720000</v>
      </c>
      <c r="E235" t="s">
        <v>383</v>
      </c>
      <c r="F235" s="21" t="s">
        <v>384</v>
      </c>
      <c r="G235" s="8" t="str">
        <f t="shared" si="3"/>
        <v>SIMONEAUX TERA</v>
      </c>
    </row>
    <row r="236" spans="1:7" x14ac:dyDescent="0.25">
      <c r="A236" s="8">
        <v>42732.088171296295</v>
      </c>
      <c r="B236" t="s">
        <v>212</v>
      </c>
      <c r="C236" t="s">
        <v>659</v>
      </c>
      <c r="D236" s="164">
        <v>2000000</v>
      </c>
      <c r="E236" t="s">
        <v>209</v>
      </c>
      <c r="F236" s="21" t="s">
        <v>248</v>
      </c>
      <c r="G236" s="8" t="str">
        <f t="shared" si="3"/>
        <v>STAMBAUGH JAMES</v>
      </c>
    </row>
    <row r="237" spans="1:7" x14ac:dyDescent="0.25">
      <c r="A237" s="8">
        <v>42728.056018518517</v>
      </c>
      <c r="B237" t="s">
        <v>155</v>
      </c>
      <c r="C237" t="s">
        <v>335</v>
      </c>
      <c r="D237" s="164">
        <v>2220000</v>
      </c>
      <c r="E237" t="s">
        <v>316</v>
      </c>
      <c r="F237" s="21" t="s">
        <v>317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335</v>
      </c>
      <c r="D238" s="164">
        <v>2220000</v>
      </c>
      <c r="E238" t="s">
        <v>316</v>
      </c>
      <c r="F238" s="21" t="s">
        <v>317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335</v>
      </c>
      <c r="D239" s="164">
        <v>2220000</v>
      </c>
      <c r="E239" t="s">
        <v>316</v>
      </c>
      <c r="F239" s="21" t="s">
        <v>317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335</v>
      </c>
      <c r="D240" s="164">
        <v>2220000</v>
      </c>
      <c r="E240" t="s">
        <v>316</v>
      </c>
      <c r="F240" s="21" t="s">
        <v>317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242</v>
      </c>
      <c r="C241" t="s">
        <v>336</v>
      </c>
      <c r="D241" s="164">
        <v>2000000</v>
      </c>
      <c r="E241" t="s">
        <v>209</v>
      </c>
      <c r="F241" s="21" t="s">
        <v>248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330</v>
      </c>
      <c r="C242" t="s">
        <v>337</v>
      </c>
      <c r="D242" s="164">
        <v>2270000</v>
      </c>
      <c r="E242" t="s">
        <v>318</v>
      </c>
      <c r="F242" s="21" t="s">
        <v>319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338</v>
      </c>
      <c r="D243" s="164">
        <v>2220000</v>
      </c>
      <c r="E243" t="s">
        <v>316</v>
      </c>
      <c r="F243" s="21" t="s">
        <v>317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338</v>
      </c>
      <c r="D244" s="164">
        <v>2220000</v>
      </c>
      <c r="E244" t="s">
        <v>316</v>
      </c>
      <c r="F244" s="21" t="s">
        <v>317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329</v>
      </c>
      <c r="C245" t="s">
        <v>339</v>
      </c>
      <c r="D245" s="164">
        <v>2270000</v>
      </c>
      <c r="E245" t="s">
        <v>318</v>
      </c>
      <c r="F245" s="21" t="s">
        <v>319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287</v>
      </c>
      <c r="C246" t="s">
        <v>290</v>
      </c>
      <c r="D246" s="164">
        <v>2000000</v>
      </c>
      <c r="E246" t="s">
        <v>209</v>
      </c>
      <c r="F246" s="21" t="s">
        <v>248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268</v>
      </c>
      <c r="C247" t="s">
        <v>291</v>
      </c>
      <c r="D247" s="164">
        <v>1810000</v>
      </c>
      <c r="E247" t="s">
        <v>277</v>
      </c>
      <c r="F247" s="21" t="s">
        <v>248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292</v>
      </c>
      <c r="D248" s="164">
        <v>2230000</v>
      </c>
      <c r="E248" t="s">
        <v>276</v>
      </c>
      <c r="F248" s="21" t="s">
        <v>259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293</v>
      </c>
      <c r="D249" s="164">
        <v>1800000</v>
      </c>
      <c r="E249" t="s">
        <v>235</v>
      </c>
      <c r="F249" s="21" t="s">
        <v>251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267</v>
      </c>
      <c r="C250" t="s">
        <v>294</v>
      </c>
      <c r="D250" s="164">
        <v>1810000</v>
      </c>
      <c r="E250" t="s">
        <v>277</v>
      </c>
      <c r="F250" s="21" t="s">
        <v>248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285</v>
      </c>
      <c r="C251" t="s">
        <v>295</v>
      </c>
      <c r="D251" s="164">
        <v>2000000</v>
      </c>
      <c r="E251" t="s">
        <v>209</v>
      </c>
      <c r="F251" s="21" t="s">
        <v>248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296</v>
      </c>
      <c r="D252" s="164">
        <v>1800000</v>
      </c>
      <c r="E252" t="s">
        <v>235</v>
      </c>
      <c r="F252" s="21" t="s">
        <v>251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266</v>
      </c>
      <c r="C253" t="s">
        <v>297</v>
      </c>
      <c r="D253" s="164">
        <v>2230000</v>
      </c>
      <c r="E253" t="s">
        <v>276</v>
      </c>
      <c r="F253" s="21" t="s">
        <v>259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268</v>
      </c>
      <c r="C254" t="s">
        <v>298</v>
      </c>
      <c r="D254" s="164">
        <v>1810000</v>
      </c>
      <c r="E254" t="s">
        <v>277</v>
      </c>
      <c r="F254" s="21" t="s">
        <v>248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287</v>
      </c>
      <c r="C255" t="s">
        <v>299</v>
      </c>
      <c r="D255" s="164">
        <v>2000000</v>
      </c>
      <c r="E255" t="s">
        <v>209</v>
      </c>
      <c r="F255" s="21" t="s">
        <v>248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300</v>
      </c>
      <c r="D256" s="164">
        <v>2230000</v>
      </c>
      <c r="E256" t="s">
        <v>276</v>
      </c>
      <c r="F256" s="21" t="s">
        <v>259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285</v>
      </c>
      <c r="C257" t="s">
        <v>301</v>
      </c>
      <c r="D257" s="164">
        <v>2000000</v>
      </c>
      <c r="E257" t="s">
        <v>209</v>
      </c>
      <c r="F257" s="21" t="s">
        <v>248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302</v>
      </c>
      <c r="D258" s="164">
        <v>2110000</v>
      </c>
      <c r="E258" t="s">
        <v>288</v>
      </c>
      <c r="F258" s="21" t="s">
        <v>289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302</v>
      </c>
      <c r="D259" s="164">
        <v>2110000</v>
      </c>
      <c r="E259" t="s">
        <v>288</v>
      </c>
      <c r="F259" s="21" t="s">
        <v>289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238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237</v>
      </c>
      <c r="D261" s="164">
        <v>2530000</v>
      </c>
      <c r="E261" t="s">
        <v>236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239</v>
      </c>
      <c r="D262" s="164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171</v>
      </c>
      <c r="I1" s="179" t="s">
        <v>172</v>
      </c>
      <c r="J1" s="179" t="s">
        <v>166</v>
      </c>
      <c r="K1" s="179" t="s">
        <v>164</v>
      </c>
      <c r="L1" s="179" t="s">
        <v>159</v>
      </c>
      <c r="M1" s="179" t="s">
        <v>169</v>
      </c>
      <c r="N1" s="179" t="s">
        <v>163</v>
      </c>
      <c r="O1" s="179" t="s">
        <v>170</v>
      </c>
      <c r="P1" s="179" t="s">
        <v>167</v>
      </c>
      <c r="Q1"/>
      <c r="R1"/>
    </row>
    <row r="2" spans="1:18" x14ac:dyDescent="0.25">
      <c r="A2" s="169">
        <v>24.16</v>
      </c>
      <c r="B2" s="169">
        <v>0.22</v>
      </c>
      <c r="C2" s="169">
        <v>13.65</v>
      </c>
      <c r="D2" s="8">
        <v>42731</v>
      </c>
      <c r="E2" s="169">
        <v>0.64</v>
      </c>
      <c r="F2" s="169" t="s">
        <v>341</v>
      </c>
      <c r="G2" s="169">
        <v>296.57</v>
      </c>
      <c r="H2" s="169">
        <v>0</v>
      </c>
      <c r="I2" s="169">
        <v>0</v>
      </c>
      <c r="J2" s="169">
        <v>1027.5</v>
      </c>
      <c r="K2" s="169" t="s">
        <v>340</v>
      </c>
      <c r="L2" s="169">
        <v>24.16</v>
      </c>
      <c r="M2" s="169">
        <v>1482822000</v>
      </c>
      <c r="N2" s="169">
        <v>5.2</v>
      </c>
      <c r="O2" s="169">
        <v>243</v>
      </c>
      <c r="P2" s="169">
        <v>0.57999999999999996</v>
      </c>
      <c r="Q2"/>
      <c r="R2"/>
    </row>
    <row r="3" spans="1:18" x14ac:dyDescent="0.25">
      <c r="A3" s="169">
        <v>22.85</v>
      </c>
      <c r="B3" s="169">
        <v>0.24</v>
      </c>
      <c r="C3" s="169">
        <v>13.88</v>
      </c>
      <c r="D3" s="8">
        <v>42731.041666666664</v>
      </c>
      <c r="E3" s="169">
        <v>0.68</v>
      </c>
      <c r="F3" s="169" t="s">
        <v>341</v>
      </c>
      <c r="G3" s="169">
        <v>297.63</v>
      </c>
      <c r="H3" s="169">
        <v>0</v>
      </c>
      <c r="I3" s="169">
        <v>0</v>
      </c>
      <c r="J3" s="169">
        <v>1027.3699999999999</v>
      </c>
      <c r="K3" s="169" t="s">
        <v>340</v>
      </c>
      <c r="L3" s="169">
        <v>22.85</v>
      </c>
      <c r="M3" s="169">
        <v>1482825600</v>
      </c>
      <c r="N3" s="169">
        <v>10</v>
      </c>
      <c r="O3" s="169">
        <v>263</v>
      </c>
      <c r="P3" s="169">
        <v>0.51</v>
      </c>
      <c r="Q3"/>
      <c r="R3"/>
    </row>
    <row r="4" spans="1:18" x14ac:dyDescent="0.25">
      <c r="A4" s="169">
        <v>21.04</v>
      </c>
      <c r="B4" s="169">
        <v>0.27</v>
      </c>
      <c r="C4" s="169">
        <v>12.49</v>
      </c>
      <c r="D4" s="8">
        <v>42731.083333333336</v>
      </c>
      <c r="E4" s="169">
        <v>0.69</v>
      </c>
      <c r="F4" s="169" t="s">
        <v>240</v>
      </c>
      <c r="G4" s="169">
        <v>298.69</v>
      </c>
      <c r="H4" s="169">
        <v>0</v>
      </c>
      <c r="I4" s="169">
        <v>0</v>
      </c>
      <c r="J4" s="169">
        <v>1027.24</v>
      </c>
      <c r="K4" s="169" t="s">
        <v>245</v>
      </c>
      <c r="L4" s="169">
        <v>21.04</v>
      </c>
      <c r="M4" s="169">
        <v>1482829200</v>
      </c>
      <c r="N4" s="169">
        <v>4.33</v>
      </c>
      <c r="O4" s="169">
        <v>280</v>
      </c>
      <c r="P4" s="169">
        <v>1.21</v>
      </c>
      <c r="Q4"/>
      <c r="R4"/>
    </row>
    <row r="5" spans="1:18" x14ac:dyDescent="0.25">
      <c r="A5" s="169">
        <v>21.16</v>
      </c>
      <c r="B5" s="169">
        <v>0.27</v>
      </c>
      <c r="C5" s="169">
        <v>11.26</v>
      </c>
      <c r="D5" s="8">
        <v>42731.125</v>
      </c>
      <c r="E5" s="169">
        <v>0.65</v>
      </c>
      <c r="F5" s="169" t="s">
        <v>240</v>
      </c>
      <c r="G5" s="169">
        <v>298.49</v>
      </c>
      <c r="H5" s="169">
        <v>0</v>
      </c>
      <c r="I5" s="169">
        <v>0</v>
      </c>
      <c r="J5" s="169">
        <v>1027.17</v>
      </c>
      <c r="K5" s="169" t="s">
        <v>245</v>
      </c>
      <c r="L5" s="169">
        <v>21.16</v>
      </c>
      <c r="M5" s="169">
        <v>1482832800</v>
      </c>
      <c r="N5" s="169">
        <v>3.94</v>
      </c>
      <c r="O5" s="169">
        <v>276</v>
      </c>
      <c r="P5" s="169">
        <v>1.93</v>
      </c>
      <c r="Q5"/>
      <c r="R5"/>
    </row>
    <row r="6" spans="1:18" x14ac:dyDescent="0.25">
      <c r="A6" s="169">
        <v>21.44</v>
      </c>
      <c r="B6" s="169">
        <v>0.28999999999999998</v>
      </c>
      <c r="C6" s="169">
        <v>10.66</v>
      </c>
      <c r="D6" s="8">
        <v>42731.166666666664</v>
      </c>
      <c r="E6" s="169">
        <v>0.63</v>
      </c>
      <c r="F6" s="169" t="s">
        <v>240</v>
      </c>
      <c r="G6" s="169">
        <v>297.76</v>
      </c>
      <c r="H6" s="169">
        <v>0</v>
      </c>
      <c r="I6" s="169">
        <v>0</v>
      </c>
      <c r="J6" s="169">
        <v>1027.1099999999999</v>
      </c>
      <c r="K6" s="169" t="s">
        <v>245</v>
      </c>
      <c r="L6" s="169">
        <v>21.44</v>
      </c>
      <c r="M6" s="169">
        <v>1482836400</v>
      </c>
      <c r="N6" s="169">
        <v>4.3499999999999996</v>
      </c>
      <c r="O6" s="169">
        <v>245</v>
      </c>
      <c r="P6" s="169">
        <v>2.64</v>
      </c>
      <c r="Q6"/>
      <c r="R6"/>
    </row>
    <row r="7" spans="1:18" x14ac:dyDescent="0.25">
      <c r="A7" s="169">
        <v>21.21</v>
      </c>
      <c r="B7" s="169">
        <v>0.27</v>
      </c>
      <c r="C7" s="169">
        <v>9.4499999999999993</v>
      </c>
      <c r="D7" s="8">
        <v>42731.208333333336</v>
      </c>
      <c r="E7" s="169">
        <v>0.6</v>
      </c>
      <c r="F7" s="169" t="s">
        <v>240</v>
      </c>
      <c r="G7" s="169">
        <v>297.17</v>
      </c>
      <c r="H7" s="169">
        <v>0</v>
      </c>
      <c r="I7" s="169">
        <v>0</v>
      </c>
      <c r="J7" s="169">
        <v>1026.97</v>
      </c>
      <c r="K7" s="169" t="s">
        <v>245</v>
      </c>
      <c r="L7" s="169">
        <v>21.21</v>
      </c>
      <c r="M7" s="169">
        <v>1482840000</v>
      </c>
      <c r="N7" s="169">
        <v>5.85</v>
      </c>
      <c r="O7" s="169">
        <v>222</v>
      </c>
      <c r="P7" s="169">
        <v>2</v>
      </c>
      <c r="Q7"/>
      <c r="R7"/>
    </row>
    <row r="8" spans="1:18" x14ac:dyDescent="0.25">
      <c r="A8" s="169">
        <v>20.57</v>
      </c>
      <c r="B8" s="169">
        <v>0.3</v>
      </c>
      <c r="C8" s="169">
        <v>9</v>
      </c>
      <c r="D8" s="8">
        <v>42731.25</v>
      </c>
      <c r="E8" s="169">
        <v>0.6</v>
      </c>
      <c r="F8" s="169" t="s">
        <v>240</v>
      </c>
      <c r="G8" s="169">
        <v>297.05</v>
      </c>
      <c r="H8" s="169">
        <v>0</v>
      </c>
      <c r="I8" s="169">
        <v>0</v>
      </c>
      <c r="J8" s="169">
        <v>1027.04</v>
      </c>
      <c r="K8" s="169" t="s">
        <v>245</v>
      </c>
      <c r="L8" s="169">
        <v>20.57</v>
      </c>
      <c r="M8" s="169">
        <v>1482843600</v>
      </c>
      <c r="N8" s="169">
        <v>5.0999999999999996</v>
      </c>
      <c r="O8" s="169">
        <v>215</v>
      </c>
      <c r="P8" s="169">
        <v>2.42</v>
      </c>
      <c r="Q8"/>
      <c r="R8"/>
    </row>
    <row r="9" spans="1:18" x14ac:dyDescent="0.25">
      <c r="A9" s="169">
        <v>22.11</v>
      </c>
      <c r="B9" s="169">
        <v>0.3</v>
      </c>
      <c r="C9" s="169">
        <v>10.36</v>
      </c>
      <c r="D9" s="8">
        <v>42731.291666666664</v>
      </c>
      <c r="E9" s="169">
        <v>0.6</v>
      </c>
      <c r="F9" s="169" t="s">
        <v>240</v>
      </c>
      <c r="G9" s="169">
        <v>297.07</v>
      </c>
      <c r="H9" s="169">
        <v>0</v>
      </c>
      <c r="I9" s="169">
        <v>0</v>
      </c>
      <c r="J9" s="169">
        <v>1027.01</v>
      </c>
      <c r="K9" s="169" t="s">
        <v>245</v>
      </c>
      <c r="L9" s="169">
        <v>22.11</v>
      </c>
      <c r="M9" s="169">
        <v>1482847200</v>
      </c>
      <c r="N9" s="169">
        <v>10</v>
      </c>
      <c r="O9" s="169">
        <v>200</v>
      </c>
      <c r="P9" s="169">
        <v>2.09</v>
      </c>
      <c r="Q9"/>
      <c r="R9"/>
    </row>
    <row r="10" spans="1:18" x14ac:dyDescent="0.25">
      <c r="A10" s="169">
        <v>22.87</v>
      </c>
      <c r="B10" s="169">
        <v>0.3</v>
      </c>
      <c r="C10" s="169">
        <v>10.4</v>
      </c>
      <c r="D10" s="8">
        <v>42731.333333333336</v>
      </c>
      <c r="E10" s="169">
        <v>0.57999999999999996</v>
      </c>
      <c r="F10" s="169" t="s">
        <v>660</v>
      </c>
      <c r="G10" s="169">
        <v>296.91000000000003</v>
      </c>
      <c r="H10" s="169">
        <v>0</v>
      </c>
      <c r="I10" s="169">
        <v>0</v>
      </c>
      <c r="J10" s="169">
        <v>1026.1099999999999</v>
      </c>
      <c r="K10" s="169" t="s">
        <v>245</v>
      </c>
      <c r="L10" s="169">
        <v>22.87</v>
      </c>
      <c r="M10" s="169">
        <v>1482850800</v>
      </c>
      <c r="N10" s="169">
        <v>4.0199999999999996</v>
      </c>
      <c r="O10" s="169">
        <v>230</v>
      </c>
      <c r="P10" s="169">
        <v>2.1</v>
      </c>
      <c r="Q10"/>
      <c r="R10"/>
    </row>
    <row r="11" spans="1:18" x14ac:dyDescent="0.25">
      <c r="A11" s="169">
        <v>27.2</v>
      </c>
      <c r="B11" s="169">
        <v>0.31</v>
      </c>
      <c r="C11" s="169">
        <v>11.09</v>
      </c>
      <c r="D11" s="8">
        <v>42731.375</v>
      </c>
      <c r="E11" s="169">
        <v>0.5</v>
      </c>
      <c r="F11" s="169" t="s">
        <v>660</v>
      </c>
      <c r="G11" s="169">
        <v>296.14999999999998</v>
      </c>
      <c r="H11" s="169">
        <v>0</v>
      </c>
      <c r="I11" s="169">
        <v>0</v>
      </c>
      <c r="J11" s="169">
        <v>1023.51</v>
      </c>
      <c r="K11" s="169" t="s">
        <v>245</v>
      </c>
      <c r="L11" s="169">
        <v>27.2</v>
      </c>
      <c r="M11" s="169">
        <v>1482854400</v>
      </c>
      <c r="N11" s="169">
        <v>3.96</v>
      </c>
      <c r="O11" s="169">
        <v>218</v>
      </c>
      <c r="P11" s="169">
        <v>1.79</v>
      </c>
      <c r="Q11"/>
      <c r="R11"/>
    </row>
    <row r="12" spans="1:18" x14ac:dyDescent="0.25">
      <c r="A12" s="169">
        <v>34.44</v>
      </c>
      <c r="B12" s="169">
        <v>0.3</v>
      </c>
      <c r="C12" s="169">
        <v>15.52</v>
      </c>
      <c r="D12" s="8">
        <v>42731.416666666664</v>
      </c>
      <c r="E12" s="169">
        <v>0.45</v>
      </c>
      <c r="F12" s="169" t="s">
        <v>660</v>
      </c>
      <c r="G12" s="169">
        <v>295.22000000000003</v>
      </c>
      <c r="H12" s="169">
        <v>0</v>
      </c>
      <c r="I12" s="169">
        <v>0</v>
      </c>
      <c r="J12" s="169">
        <v>1020.91</v>
      </c>
      <c r="K12" s="169" t="s">
        <v>245</v>
      </c>
      <c r="L12" s="169">
        <v>34.44</v>
      </c>
      <c r="M12" s="169">
        <v>1482858000</v>
      </c>
      <c r="N12" s="169">
        <v>4</v>
      </c>
      <c r="O12" s="169">
        <v>198</v>
      </c>
      <c r="P12" s="169">
        <v>1.9</v>
      </c>
      <c r="Q12"/>
      <c r="R12"/>
    </row>
    <row r="13" spans="1:18" x14ac:dyDescent="0.25">
      <c r="A13" s="169">
        <v>40.19</v>
      </c>
      <c r="B13" s="169">
        <v>0.3</v>
      </c>
      <c r="C13" s="169">
        <v>15.39</v>
      </c>
      <c r="D13" s="8">
        <v>42731.458333333336</v>
      </c>
      <c r="E13" s="169">
        <v>0.36</v>
      </c>
      <c r="F13" s="169" t="s">
        <v>660</v>
      </c>
      <c r="G13" s="169">
        <v>295.11</v>
      </c>
      <c r="H13" s="169">
        <v>0</v>
      </c>
      <c r="I13" s="169">
        <v>0</v>
      </c>
      <c r="J13" s="169">
        <v>1018.8</v>
      </c>
      <c r="K13" s="169" t="s">
        <v>245</v>
      </c>
      <c r="L13" s="169">
        <v>40.19</v>
      </c>
      <c r="M13" s="169">
        <v>1482861600</v>
      </c>
      <c r="N13" s="169">
        <v>4.08</v>
      </c>
      <c r="O13" s="169">
        <v>207</v>
      </c>
      <c r="P13" s="169">
        <v>2.4</v>
      </c>
      <c r="Q13"/>
      <c r="R13"/>
    </row>
    <row r="14" spans="1:18" x14ac:dyDescent="0.25">
      <c r="A14" s="169">
        <v>44.72</v>
      </c>
      <c r="B14" s="169">
        <v>0.28999999999999998</v>
      </c>
      <c r="C14" s="169">
        <v>15.18</v>
      </c>
      <c r="D14" s="8">
        <v>42731.5</v>
      </c>
      <c r="E14" s="169">
        <v>0.3</v>
      </c>
      <c r="F14" s="169" t="s">
        <v>660</v>
      </c>
      <c r="G14" s="169">
        <v>297.08</v>
      </c>
      <c r="H14" s="169">
        <v>0</v>
      </c>
      <c r="I14" s="169">
        <v>0</v>
      </c>
      <c r="J14" s="169">
        <v>1017.13</v>
      </c>
      <c r="K14" s="169" t="s">
        <v>245</v>
      </c>
      <c r="L14" s="169">
        <v>44.72</v>
      </c>
      <c r="M14" s="169">
        <v>1482865200</v>
      </c>
      <c r="N14" s="169">
        <v>4.17</v>
      </c>
      <c r="O14" s="169">
        <v>144</v>
      </c>
      <c r="P14" s="169">
        <v>0.11</v>
      </c>
      <c r="Q14"/>
      <c r="R14"/>
    </row>
    <row r="15" spans="1:18" x14ac:dyDescent="0.25">
      <c r="A15" s="169">
        <v>47.97</v>
      </c>
      <c r="B15" s="169">
        <v>0.28999999999999998</v>
      </c>
      <c r="C15" s="169">
        <v>18.7</v>
      </c>
      <c r="D15" s="8">
        <v>42731.541666666664</v>
      </c>
      <c r="E15" s="169">
        <v>0.3</v>
      </c>
      <c r="F15" s="169" t="s">
        <v>660</v>
      </c>
      <c r="G15" s="169">
        <v>299.88</v>
      </c>
      <c r="H15" s="169">
        <v>0</v>
      </c>
      <c r="I15" s="169">
        <v>0</v>
      </c>
      <c r="J15" s="169">
        <v>1015.66</v>
      </c>
      <c r="K15" s="169" t="s">
        <v>245</v>
      </c>
      <c r="L15" s="169">
        <v>48.85</v>
      </c>
      <c r="M15" s="169">
        <v>1482868800</v>
      </c>
      <c r="N15" s="169">
        <v>4.26</v>
      </c>
      <c r="O15" s="169">
        <v>337</v>
      </c>
      <c r="P15" s="169">
        <v>3.46</v>
      </c>
      <c r="Q15"/>
      <c r="R15"/>
    </row>
    <row r="16" spans="1:18" x14ac:dyDescent="0.25">
      <c r="A16" s="169">
        <v>46.13</v>
      </c>
      <c r="B16" s="169">
        <v>0.27</v>
      </c>
      <c r="C16" s="169">
        <v>21.36</v>
      </c>
      <c r="D16" s="8">
        <v>42731.583333333336</v>
      </c>
      <c r="E16" s="169">
        <v>0.35</v>
      </c>
      <c r="F16" s="169" t="s">
        <v>660</v>
      </c>
      <c r="G16" s="169">
        <v>300.76</v>
      </c>
      <c r="H16" s="169">
        <v>0</v>
      </c>
      <c r="I16" s="169">
        <v>0</v>
      </c>
      <c r="J16" s="169">
        <v>1014.58</v>
      </c>
      <c r="K16" s="169" t="s">
        <v>245</v>
      </c>
      <c r="L16" s="169">
        <v>47.33</v>
      </c>
      <c r="M16" s="169">
        <v>1482872400</v>
      </c>
      <c r="N16" s="169">
        <v>4.37</v>
      </c>
      <c r="O16" s="169">
        <v>332</v>
      </c>
      <c r="P16" s="169">
        <v>3.58</v>
      </c>
      <c r="Q16"/>
      <c r="R16"/>
    </row>
    <row r="17" spans="1:18" x14ac:dyDescent="0.25">
      <c r="A17" s="169">
        <v>46.72</v>
      </c>
      <c r="B17" s="169">
        <v>0.35</v>
      </c>
      <c r="C17" s="169">
        <v>20.52</v>
      </c>
      <c r="D17" s="8">
        <v>42731.625</v>
      </c>
      <c r="E17" s="169">
        <v>0.35</v>
      </c>
      <c r="F17" s="169" t="s">
        <v>660</v>
      </c>
      <c r="G17" s="169">
        <v>297.64999999999998</v>
      </c>
      <c r="H17" s="169">
        <v>0</v>
      </c>
      <c r="I17" s="169">
        <v>0</v>
      </c>
      <c r="J17" s="169">
        <v>1014.03</v>
      </c>
      <c r="K17" s="169" t="s">
        <v>245</v>
      </c>
      <c r="L17" s="169">
        <v>46.72</v>
      </c>
      <c r="M17" s="169">
        <v>1482876000</v>
      </c>
      <c r="N17" s="169">
        <v>4.58</v>
      </c>
      <c r="O17" s="169">
        <v>341</v>
      </c>
      <c r="P17" s="169">
        <v>0.97</v>
      </c>
      <c r="Q17"/>
      <c r="R17"/>
    </row>
    <row r="18" spans="1:18" x14ac:dyDescent="0.25">
      <c r="A18" s="169">
        <v>45.15</v>
      </c>
      <c r="B18" s="169">
        <v>0.4</v>
      </c>
      <c r="C18" s="169">
        <v>19.3</v>
      </c>
      <c r="D18" s="8">
        <v>42731.666666666664</v>
      </c>
      <c r="E18" s="169">
        <v>0.35</v>
      </c>
      <c r="F18" s="169" t="s">
        <v>660</v>
      </c>
      <c r="G18" s="169">
        <v>292.63</v>
      </c>
      <c r="H18" s="169">
        <v>0</v>
      </c>
      <c r="I18" s="169">
        <v>0</v>
      </c>
      <c r="J18" s="169">
        <v>1013.91</v>
      </c>
      <c r="K18" s="169" t="s">
        <v>245</v>
      </c>
      <c r="L18" s="169">
        <v>45.15</v>
      </c>
      <c r="M18" s="169">
        <v>1482879600</v>
      </c>
      <c r="N18" s="169">
        <v>7.24</v>
      </c>
      <c r="O18" s="169">
        <v>283</v>
      </c>
      <c r="P18" s="169">
        <v>1.51</v>
      </c>
      <c r="Q18"/>
      <c r="R18"/>
    </row>
    <row r="19" spans="1:18" x14ac:dyDescent="0.25">
      <c r="A19" s="169">
        <v>41.29</v>
      </c>
      <c r="B19" s="169">
        <v>0.5</v>
      </c>
      <c r="C19" s="169">
        <v>16.89</v>
      </c>
      <c r="D19" s="8">
        <v>42731.708333333336</v>
      </c>
      <c r="E19" s="169">
        <v>0.37</v>
      </c>
      <c r="F19" s="169" t="s">
        <v>240</v>
      </c>
      <c r="G19" s="169">
        <v>289.18</v>
      </c>
      <c r="H19" s="169">
        <v>0</v>
      </c>
      <c r="I19" s="169">
        <v>0</v>
      </c>
      <c r="J19" s="169">
        <v>1013.85</v>
      </c>
      <c r="K19" s="169" t="s">
        <v>245</v>
      </c>
      <c r="L19" s="169">
        <v>41.29</v>
      </c>
      <c r="M19" s="169">
        <v>1482883200</v>
      </c>
      <c r="N19" s="169">
        <v>10</v>
      </c>
      <c r="O19" s="169">
        <v>263</v>
      </c>
      <c r="P19" s="169">
        <v>1.97</v>
      </c>
      <c r="Q19"/>
      <c r="R19"/>
    </row>
    <row r="20" spans="1:18" x14ac:dyDescent="0.25">
      <c r="A20" s="169">
        <v>40.82</v>
      </c>
      <c r="B20" s="169">
        <v>0.42</v>
      </c>
      <c r="C20" s="169">
        <v>16.54</v>
      </c>
      <c r="D20" s="8">
        <v>42731.75</v>
      </c>
      <c r="E20" s="169">
        <v>0.37</v>
      </c>
      <c r="F20" s="169" t="s">
        <v>240</v>
      </c>
      <c r="G20" s="169">
        <v>288.89999999999998</v>
      </c>
      <c r="H20" s="169">
        <v>0</v>
      </c>
      <c r="I20" s="169">
        <v>0</v>
      </c>
      <c r="J20" s="169">
        <v>1013.55</v>
      </c>
      <c r="K20" s="169" t="s">
        <v>245</v>
      </c>
      <c r="L20" s="169">
        <v>40.82</v>
      </c>
      <c r="M20" s="169">
        <v>1482886800</v>
      </c>
      <c r="N20" s="169">
        <v>8.27</v>
      </c>
      <c r="O20" s="169">
        <v>265</v>
      </c>
      <c r="P20" s="169">
        <v>1.9</v>
      </c>
      <c r="Q20"/>
      <c r="R20"/>
    </row>
    <row r="21" spans="1:18" x14ac:dyDescent="0.25">
      <c r="A21" s="169">
        <v>39.85</v>
      </c>
      <c r="B21" s="169">
        <v>0.28000000000000003</v>
      </c>
      <c r="C21" s="169">
        <v>17.39</v>
      </c>
      <c r="D21" s="8">
        <v>42731.791666666664</v>
      </c>
      <c r="E21" s="169">
        <v>0.4</v>
      </c>
      <c r="F21" s="169" t="s">
        <v>240</v>
      </c>
      <c r="G21" s="169">
        <v>290.2</v>
      </c>
      <c r="H21" s="169">
        <v>0</v>
      </c>
      <c r="I21" s="169">
        <v>0</v>
      </c>
      <c r="J21" s="169">
        <v>1014.03</v>
      </c>
      <c r="K21" s="169" t="s">
        <v>245</v>
      </c>
      <c r="L21" s="169">
        <v>39.85</v>
      </c>
      <c r="M21" s="169">
        <v>1482890400</v>
      </c>
      <c r="N21" s="169">
        <v>9.06</v>
      </c>
      <c r="O21" s="169">
        <v>232</v>
      </c>
      <c r="P21" s="169">
        <v>2.15</v>
      </c>
      <c r="Q21"/>
      <c r="R21"/>
    </row>
    <row r="22" spans="1:18" x14ac:dyDescent="0.25">
      <c r="A22" s="169">
        <v>39.090000000000003</v>
      </c>
      <c r="B22" s="169">
        <v>0.21</v>
      </c>
      <c r="C22" s="169">
        <v>17.79</v>
      </c>
      <c r="D22" s="8">
        <v>42731.833333333336</v>
      </c>
      <c r="E22" s="169">
        <v>0.42</v>
      </c>
      <c r="F22" s="169" t="s">
        <v>341</v>
      </c>
      <c r="G22" s="169">
        <v>291.76</v>
      </c>
      <c r="H22" s="169">
        <v>0</v>
      </c>
      <c r="I22" s="169">
        <v>0</v>
      </c>
      <c r="J22" s="169">
        <v>1014.36</v>
      </c>
      <c r="K22" s="169" t="s">
        <v>340</v>
      </c>
      <c r="L22" s="169">
        <v>39.090000000000003</v>
      </c>
      <c r="M22" s="169">
        <v>1482894000</v>
      </c>
      <c r="N22" s="169">
        <v>8.44</v>
      </c>
      <c r="O22" s="169">
        <v>255</v>
      </c>
      <c r="P22" s="169">
        <v>1.38</v>
      </c>
      <c r="Q22"/>
      <c r="R22"/>
    </row>
    <row r="23" spans="1:18" x14ac:dyDescent="0.25">
      <c r="A23" s="169">
        <v>35.56</v>
      </c>
      <c r="B23" s="169">
        <v>0.26</v>
      </c>
      <c r="C23" s="169">
        <v>16.18</v>
      </c>
      <c r="D23" s="8">
        <v>42731.875</v>
      </c>
      <c r="E23" s="169">
        <v>0.41</v>
      </c>
      <c r="F23" s="169" t="s">
        <v>240</v>
      </c>
      <c r="G23" s="169">
        <v>293.51</v>
      </c>
      <c r="H23" s="169">
        <v>0</v>
      </c>
      <c r="I23" s="169">
        <v>0</v>
      </c>
      <c r="J23" s="169">
        <v>1013.76</v>
      </c>
      <c r="K23" s="169" t="s">
        <v>245</v>
      </c>
      <c r="L23" s="169">
        <v>37.57</v>
      </c>
      <c r="M23" s="169">
        <v>1482897600</v>
      </c>
      <c r="N23" s="169">
        <v>7.98</v>
      </c>
      <c r="O23" s="169">
        <v>223</v>
      </c>
      <c r="P23" s="169">
        <v>3.05</v>
      </c>
      <c r="Q23"/>
      <c r="R23"/>
    </row>
    <row r="24" spans="1:18" x14ac:dyDescent="0.25">
      <c r="A24" s="169">
        <v>38.39</v>
      </c>
      <c r="B24" s="169">
        <v>0.26</v>
      </c>
      <c r="C24" s="169">
        <v>15.39</v>
      </c>
      <c r="D24" s="8">
        <v>42731.916666666664</v>
      </c>
      <c r="E24" s="169">
        <v>0.39</v>
      </c>
      <c r="F24" s="169" t="s">
        <v>240</v>
      </c>
      <c r="G24" s="169">
        <v>295.52999999999997</v>
      </c>
      <c r="H24" s="169">
        <v>0</v>
      </c>
      <c r="I24" s="169">
        <v>0</v>
      </c>
      <c r="J24" s="169">
        <v>1012.71</v>
      </c>
      <c r="K24" s="169" t="s">
        <v>245</v>
      </c>
      <c r="L24" s="169">
        <v>38.39</v>
      </c>
      <c r="M24" s="169">
        <v>1482901200</v>
      </c>
      <c r="N24" s="169">
        <v>8.1</v>
      </c>
      <c r="O24" s="169">
        <v>254</v>
      </c>
      <c r="P24" s="169">
        <v>2.86</v>
      </c>
      <c r="Q24"/>
      <c r="R24"/>
    </row>
    <row r="25" spans="1:18" x14ac:dyDescent="0.25">
      <c r="A25" s="169">
        <v>35.04</v>
      </c>
      <c r="B25" s="169">
        <v>0.27</v>
      </c>
      <c r="C25" s="169">
        <v>16.07</v>
      </c>
      <c r="D25" s="8">
        <v>42731.958333333336</v>
      </c>
      <c r="E25" s="169">
        <v>0.4</v>
      </c>
      <c r="F25" s="169" t="s">
        <v>240</v>
      </c>
      <c r="G25" s="169">
        <v>296.74</v>
      </c>
      <c r="H25" s="169">
        <v>0</v>
      </c>
      <c r="I25" s="169">
        <v>0</v>
      </c>
      <c r="J25" s="169">
        <v>1011.94</v>
      </c>
      <c r="K25" s="169" t="s">
        <v>245</v>
      </c>
      <c r="L25" s="169">
        <v>38.4</v>
      </c>
      <c r="M25" s="169">
        <v>1482904800</v>
      </c>
      <c r="N25" s="169">
        <v>8.51</v>
      </c>
      <c r="O25" s="169">
        <v>263</v>
      </c>
      <c r="P25" s="169">
        <v>4.46</v>
      </c>
      <c r="Q25"/>
      <c r="R25"/>
    </row>
    <row r="26" spans="1:18" x14ac:dyDescent="0.25">
      <c r="A26" s="169">
        <v>34.11</v>
      </c>
      <c r="B26" s="169">
        <v>0.34</v>
      </c>
      <c r="C26" s="169">
        <v>15.64</v>
      </c>
      <c r="D26" s="8">
        <v>42732</v>
      </c>
      <c r="E26" s="169">
        <v>0.42</v>
      </c>
      <c r="F26" s="169" t="s">
        <v>240</v>
      </c>
      <c r="G26" s="169">
        <v>295.97000000000003</v>
      </c>
      <c r="H26" s="169">
        <v>0</v>
      </c>
      <c r="I26" s="169">
        <v>0</v>
      </c>
      <c r="J26" s="169">
        <v>1013.07</v>
      </c>
      <c r="K26" s="169" t="s">
        <v>245</v>
      </c>
      <c r="L26" s="169">
        <v>36.44</v>
      </c>
      <c r="M26" s="169">
        <v>1482908400</v>
      </c>
      <c r="N26" s="169">
        <v>8.7799999999999994</v>
      </c>
      <c r="O26" s="169">
        <v>237</v>
      </c>
      <c r="P26" s="169">
        <v>3.18</v>
      </c>
      <c r="Q26"/>
      <c r="R26"/>
    </row>
    <row r="27" spans="1:18" x14ac:dyDescent="0.25">
      <c r="A27" s="169">
        <v>34.92</v>
      </c>
      <c r="B27" s="169">
        <v>0.34</v>
      </c>
      <c r="C27" s="169">
        <v>17.54</v>
      </c>
      <c r="D27" s="8">
        <v>42732.041666666664</v>
      </c>
      <c r="E27" s="169">
        <v>0.43</v>
      </c>
      <c r="F27" s="169" t="s">
        <v>240</v>
      </c>
      <c r="G27" s="169">
        <v>295.2</v>
      </c>
      <c r="H27" s="169">
        <v>0</v>
      </c>
      <c r="I27" s="169">
        <v>0</v>
      </c>
      <c r="J27" s="169">
        <v>1013.91</v>
      </c>
      <c r="K27" s="169" t="s">
        <v>245</v>
      </c>
      <c r="L27" s="169">
        <v>37.97</v>
      </c>
      <c r="M27" s="169">
        <v>1482912000</v>
      </c>
      <c r="N27" s="169">
        <v>8.64</v>
      </c>
      <c r="O27" s="169">
        <v>249</v>
      </c>
      <c r="P27" s="169">
        <v>4.0599999999999996</v>
      </c>
      <c r="Q27"/>
      <c r="R27"/>
    </row>
    <row r="28" spans="1:18" x14ac:dyDescent="0.25">
      <c r="A28" s="169">
        <v>39.81</v>
      </c>
      <c r="B28" s="169">
        <v>0.49</v>
      </c>
      <c r="C28" s="169">
        <v>22.29</v>
      </c>
      <c r="D28" s="8">
        <v>42732.083333333336</v>
      </c>
      <c r="E28" s="169">
        <v>0.46</v>
      </c>
      <c r="F28" s="169" t="s">
        <v>240</v>
      </c>
      <c r="G28" s="169">
        <v>294.44</v>
      </c>
      <c r="H28" s="169">
        <v>0</v>
      </c>
      <c r="I28" s="169">
        <v>0</v>
      </c>
      <c r="J28" s="169">
        <v>1014.63</v>
      </c>
      <c r="K28" s="169" t="s">
        <v>245</v>
      </c>
      <c r="L28" s="169">
        <v>41.77</v>
      </c>
      <c r="M28" s="169">
        <v>1482915600</v>
      </c>
      <c r="N28" s="169">
        <v>7.13</v>
      </c>
      <c r="O28" s="169">
        <v>261</v>
      </c>
      <c r="P28" s="169">
        <v>3.53</v>
      </c>
      <c r="Q28"/>
      <c r="R28"/>
    </row>
    <row r="29" spans="1:18" x14ac:dyDescent="0.25">
      <c r="A29" s="169">
        <v>34.08</v>
      </c>
      <c r="B29" s="169">
        <v>0.54</v>
      </c>
      <c r="C29" s="169">
        <v>19.100000000000001</v>
      </c>
      <c r="D29" s="8">
        <v>42732.125</v>
      </c>
      <c r="E29" s="169">
        <v>0.47</v>
      </c>
      <c r="F29" s="169" t="s">
        <v>240</v>
      </c>
      <c r="G29" s="169">
        <v>293.75</v>
      </c>
      <c r="H29" s="169">
        <v>0</v>
      </c>
      <c r="I29" s="169">
        <v>0</v>
      </c>
      <c r="J29" s="169">
        <v>1015.2</v>
      </c>
      <c r="K29" s="169" t="s">
        <v>245</v>
      </c>
      <c r="L29" s="169">
        <v>37.49</v>
      </c>
      <c r="M29" s="169">
        <v>1482919200</v>
      </c>
      <c r="N29" s="169">
        <v>8.1999999999999993</v>
      </c>
      <c r="O29" s="169">
        <v>253</v>
      </c>
      <c r="P29" s="169">
        <v>4.3499999999999996</v>
      </c>
      <c r="Q29"/>
      <c r="R29"/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1"/>
  <sheetViews>
    <sheetView workbookViewId="0">
      <selection activeCell="C25" sqref="C25:C3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42731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808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809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810</v>
      </c>
      <c r="J20" t="s">
        <v>87</v>
      </c>
      <c r="M20" s="164" t="s">
        <v>244</v>
      </c>
    </row>
    <row r="21" spans="3:13" x14ac:dyDescent="0.25">
      <c r="C21" t="s">
        <v>811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812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813</v>
      </c>
      <c r="J23" s="29" t="s">
        <v>95</v>
      </c>
      <c r="K23" s="21"/>
      <c r="M23" s="164">
        <v>-7</v>
      </c>
    </row>
    <row r="24" spans="3:13" x14ac:dyDescent="0.25">
      <c r="C24" t="s">
        <v>814</v>
      </c>
      <c r="J24" s="21" t="s">
        <v>108</v>
      </c>
      <c r="K24" s="21"/>
      <c r="M24" s="164" t="s">
        <v>110</v>
      </c>
    </row>
    <row r="25" spans="3:13" x14ac:dyDescent="0.25">
      <c r="C25" t="s">
        <v>815</v>
      </c>
      <c r="J25" t="s">
        <v>151</v>
      </c>
      <c r="M25" s="164" t="b">
        <v>1</v>
      </c>
    </row>
    <row r="26" spans="3:13" x14ac:dyDescent="0.25">
      <c r="C26" t="s">
        <v>816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C:\Users\stu\Documents\GitHub\eaglep3-reporting\EC\2016-12-27-refined-times.txt</v>
      </c>
    </row>
    <row r="27" spans="3:13" x14ac:dyDescent="0.25">
      <c r="C27" t="s">
        <v>817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C:\Users\stu\Documents\GitHub\eaglep3-reporting\EC\2016-12-27-Enforcements.txt</v>
      </c>
    </row>
    <row r="28" spans="3:13" x14ac:dyDescent="0.25">
      <c r="C28" t="s">
        <v>818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C:\Users\stu\Documents\GitHub\eaglep3-reporting\EC\2016-12-27-Runs-refined.txt</v>
      </c>
    </row>
    <row r="29" spans="3:13" x14ac:dyDescent="0.25">
      <c r="C29" t="s">
        <v>819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C:\Users\stu\Documents\GitHub\eaglep3-reporting\EC\2016-12-27-Trips.txt</v>
      </c>
    </row>
    <row r="30" spans="3:13" x14ac:dyDescent="0.25">
      <c r="C30" t="s">
        <v>820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C:\Users\stu\Documents\GitHub\eaglep3-reporting\EC\2016-12-27-Weather.txt</v>
      </c>
    </row>
    <row r="31" spans="3:13" x14ac:dyDescent="0.25">
      <c r="C31" t="s">
        <v>821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826</v>
      </c>
      <c r="B1" t="str">
        <f t="shared" ref="B1:B52" si="0">MID(A1,6,23)</f>
        <v>2016/12/27 10:29:20.855</v>
      </c>
      <c r="C1" t="e">
        <f>ABS(B1-#REF!)</f>
        <v>#REF!</v>
      </c>
    </row>
    <row r="2" spans="1:3" x14ac:dyDescent="0.25">
      <c r="A2" t="s">
        <v>827</v>
      </c>
      <c r="B2" s="21" t="str">
        <f t="shared" si="0"/>
        <v>2016/12/27 10:29:21.104</v>
      </c>
      <c r="C2">
        <f>ABS(B2-B1)</f>
        <v>2.8819413273595273E-6</v>
      </c>
    </row>
    <row r="3" spans="1:3" x14ac:dyDescent="0.25">
      <c r="A3" t="s">
        <v>828</v>
      </c>
      <c r="B3" s="21" t="str">
        <f t="shared" si="0"/>
        <v>2016/12/27 10:29:21.283</v>
      </c>
      <c r="C3" s="21">
        <f t="shared" ref="C3:C52" si="1">ABS(B3-B2)</f>
        <v>2.0717634470202029E-6</v>
      </c>
    </row>
    <row r="4" spans="1:3" x14ac:dyDescent="0.25">
      <c r="A4" t="s">
        <v>829</v>
      </c>
      <c r="B4" s="21" t="str">
        <f t="shared" si="0"/>
        <v>2016/12/27 11:22:12.743</v>
      </c>
      <c r="C4" s="21">
        <f t="shared" si="1"/>
        <v>3.6706712962768506E-2</v>
      </c>
    </row>
    <row r="5" spans="1:3" x14ac:dyDescent="0.25">
      <c r="A5" t="s">
        <v>830</v>
      </c>
      <c r="B5" s="21" t="str">
        <f t="shared" si="0"/>
        <v>2016/12/27 13:17:52.097</v>
      </c>
      <c r="C5" s="21">
        <f t="shared" si="1"/>
        <v>8.0316597217461094E-2</v>
      </c>
    </row>
    <row r="6" spans="1:3" x14ac:dyDescent="0.25">
      <c r="A6" t="s">
        <v>831</v>
      </c>
      <c r="B6" s="21" t="str">
        <f t="shared" si="0"/>
        <v>2016/12/27 13:17:53.240</v>
      </c>
      <c r="C6" s="21">
        <f t="shared" si="1"/>
        <v>1.3229167961981148E-5</v>
      </c>
    </row>
    <row r="7" spans="1:3" x14ac:dyDescent="0.25">
      <c r="A7" t="s">
        <v>832</v>
      </c>
      <c r="B7" s="21" t="str">
        <f t="shared" si="0"/>
        <v>2016/12/27 13:17:53.476</v>
      </c>
      <c r="C7" s="21">
        <f t="shared" si="1"/>
        <v>2.7314817998558283E-6</v>
      </c>
    </row>
    <row r="8" spans="1:3" x14ac:dyDescent="0.25">
      <c r="A8" t="s">
        <v>833</v>
      </c>
      <c r="B8" s="21" t="str">
        <f t="shared" si="0"/>
        <v>2016/12/27 13:20:29.044</v>
      </c>
      <c r="C8" s="21">
        <f t="shared" si="1"/>
        <v>1.800555553927552E-3</v>
      </c>
    </row>
    <row r="9" spans="1:3" x14ac:dyDescent="0.25">
      <c r="A9" t="s">
        <v>834</v>
      </c>
      <c r="B9" s="21" t="str">
        <f t="shared" si="0"/>
        <v>2016/12/27 13:20:29.246</v>
      </c>
      <c r="C9" s="21">
        <f t="shared" si="1"/>
        <v>2.3379689082503319E-6</v>
      </c>
    </row>
    <row r="10" spans="1:3" x14ac:dyDescent="0.25">
      <c r="A10" t="s">
        <v>835</v>
      </c>
      <c r="B10" s="21" t="str">
        <f t="shared" si="0"/>
        <v>2016/12/27 13:20:29.469</v>
      </c>
      <c r="C10" s="21">
        <f t="shared" si="1"/>
        <v>2.581014996394515E-6</v>
      </c>
    </row>
    <row r="11" spans="1:3" x14ac:dyDescent="0.25">
      <c r="A11" t="s">
        <v>836</v>
      </c>
      <c r="B11" s="21" t="str">
        <f t="shared" si="0"/>
        <v>2016/12/27 14:18:12.039</v>
      </c>
      <c r="C11" s="21">
        <f t="shared" si="1"/>
        <v>4.0076041666907258E-2</v>
      </c>
    </row>
    <row r="12" spans="1:3" x14ac:dyDescent="0.25">
      <c r="A12" t="s">
        <v>837</v>
      </c>
      <c r="B12" s="21" t="str">
        <f t="shared" si="0"/>
        <v>2016/12/27 14:36:31.442</v>
      </c>
      <c r="C12" s="21">
        <f t="shared" si="1"/>
        <v>1.2724571759463288E-2</v>
      </c>
    </row>
    <row r="13" spans="1:3" x14ac:dyDescent="0.25">
      <c r="A13" t="s">
        <v>838</v>
      </c>
      <c r="B13" s="21" t="str">
        <f t="shared" si="0"/>
        <v>2016/12/27 16:21:00.445</v>
      </c>
      <c r="C13" s="21">
        <f t="shared" si="1"/>
        <v>7.255790509225335E-2</v>
      </c>
    </row>
    <row r="14" spans="1:3" x14ac:dyDescent="0.25">
      <c r="A14" t="s">
        <v>839</v>
      </c>
      <c r="B14" s="21" t="str">
        <f t="shared" si="0"/>
        <v>2016/12/27 16:21:00.625</v>
      </c>
      <c r="C14" s="21">
        <f t="shared" si="1"/>
        <v>2.0833322196267545E-6</v>
      </c>
    </row>
    <row r="15" spans="1:3" x14ac:dyDescent="0.25">
      <c r="A15" t="s">
        <v>840</v>
      </c>
      <c r="B15" s="21" t="str">
        <f t="shared" si="0"/>
        <v>2016/12/27 16:21:00.731</v>
      </c>
      <c r="C15" s="21">
        <f t="shared" si="1"/>
        <v>1.2268501450307667E-6</v>
      </c>
    </row>
    <row r="16" spans="1:3" x14ac:dyDescent="0.25">
      <c r="A16" t="s">
        <v>841</v>
      </c>
      <c r="B16" s="21" t="str">
        <f t="shared" si="0"/>
        <v>2016/12/27 18:20:43.172</v>
      </c>
      <c r="C16" s="21">
        <f t="shared" si="1"/>
        <v>8.3130104168958496E-2</v>
      </c>
    </row>
    <row r="17" spans="1:3" x14ac:dyDescent="0.25">
      <c r="A17" t="s">
        <v>842</v>
      </c>
      <c r="B17" s="21" t="str">
        <f t="shared" si="0"/>
        <v>2016/12/27 18:20:43.388</v>
      </c>
      <c r="C17" s="21">
        <f t="shared" si="1"/>
        <v>2.4999972083605826E-6</v>
      </c>
    </row>
    <row r="18" spans="1:3" x14ac:dyDescent="0.25">
      <c r="A18" t="s">
        <v>843</v>
      </c>
      <c r="B18" s="21" t="str">
        <f t="shared" si="0"/>
        <v>2016/12/27 18:20:43.738</v>
      </c>
      <c r="C18" s="21">
        <f t="shared" si="1"/>
        <v>4.0509330574423075E-6</v>
      </c>
    </row>
    <row r="19" spans="1:3" x14ac:dyDescent="0.25">
      <c r="A19" t="s">
        <v>844</v>
      </c>
      <c r="B19" s="21" t="str">
        <f t="shared" si="0"/>
        <v>2016/12/27 18:21:19.447</v>
      </c>
      <c r="C19" s="21">
        <f t="shared" si="1"/>
        <v>4.1329860687255859E-4</v>
      </c>
    </row>
    <row r="20" spans="1:3" x14ac:dyDescent="0.25">
      <c r="A20" t="s">
        <v>845</v>
      </c>
      <c r="B20" s="21" t="str">
        <f t="shared" si="0"/>
        <v>2016/12/27 18:21:19.814</v>
      </c>
      <c r="C20" s="21">
        <f t="shared" si="1"/>
        <v>4.2476895032450557E-6</v>
      </c>
    </row>
    <row r="21" spans="1:3" x14ac:dyDescent="0.25">
      <c r="A21" t="s">
        <v>846</v>
      </c>
      <c r="B21" s="21" t="str">
        <f t="shared" si="0"/>
        <v>2016/12/27 18:21:20.692</v>
      </c>
      <c r="C21" s="21">
        <f t="shared" si="1"/>
        <v>1.0162031685467809E-5</v>
      </c>
    </row>
    <row r="22" spans="1:3" x14ac:dyDescent="0.25">
      <c r="A22" t="s">
        <v>847</v>
      </c>
      <c r="B22" s="21" t="str">
        <f t="shared" si="0"/>
        <v>2016/12/27 18:34:34.465</v>
      </c>
      <c r="C22" s="21">
        <f t="shared" si="1"/>
        <v>9.1871875047218055E-3</v>
      </c>
    </row>
    <row r="23" spans="1:3" x14ac:dyDescent="0.25">
      <c r="A23" t="s">
        <v>848</v>
      </c>
      <c r="B23" s="21" t="str">
        <f t="shared" si="0"/>
        <v>2016/12/27 18:42:34.482</v>
      </c>
      <c r="C23" s="21">
        <f t="shared" si="1"/>
        <v>5.5557523082825355E-3</v>
      </c>
    </row>
    <row r="24" spans="1:3" x14ac:dyDescent="0.25">
      <c r="A24" t="s">
        <v>849</v>
      </c>
      <c r="B24" s="21" t="str">
        <f t="shared" si="0"/>
        <v>2016/12/27 18:42:35.112</v>
      </c>
      <c r="C24" s="21">
        <f t="shared" si="1"/>
        <v>7.2916736826300621E-6</v>
      </c>
    </row>
    <row r="25" spans="1:3" x14ac:dyDescent="0.25">
      <c r="A25" t="s">
        <v>850</v>
      </c>
      <c r="B25" s="21" t="str">
        <f t="shared" si="0"/>
        <v>2016/12/27 18:42:35.345</v>
      </c>
      <c r="C25" s="21">
        <f t="shared" si="1"/>
        <v>2.6967536541633308E-6</v>
      </c>
    </row>
    <row r="26" spans="1:3" x14ac:dyDescent="0.25">
      <c r="A26" t="s">
        <v>851</v>
      </c>
      <c r="B26" s="21" t="str">
        <f t="shared" si="0"/>
        <v>2016/12/27 19:34:46.473</v>
      </c>
      <c r="C26" s="21">
        <f t="shared" si="1"/>
        <v>3.6239907407434657E-2</v>
      </c>
    </row>
    <row r="27" spans="1:3" x14ac:dyDescent="0.25">
      <c r="A27" t="s">
        <v>852</v>
      </c>
      <c r="B27" s="21" t="str">
        <f t="shared" si="0"/>
        <v>2016/12/27 19:54:38.450</v>
      </c>
      <c r="C27" s="21">
        <f t="shared" si="1"/>
        <v>1.3796030092635192E-2</v>
      </c>
    </row>
    <row r="28" spans="1:3" x14ac:dyDescent="0.25">
      <c r="A28" t="s">
        <v>853</v>
      </c>
      <c r="B28" s="21" t="str">
        <f t="shared" si="0"/>
        <v>2016/12/27 19:54:38.692</v>
      </c>
      <c r="C28" s="21">
        <f t="shared" si="1"/>
        <v>2.8009308152832091E-6</v>
      </c>
    </row>
    <row r="29" spans="1:3" x14ac:dyDescent="0.25">
      <c r="A29" t="s">
        <v>854</v>
      </c>
      <c r="B29" s="21" t="str">
        <f t="shared" si="0"/>
        <v>2016/12/27 19:54:39.921</v>
      </c>
      <c r="C29" s="21">
        <f t="shared" si="1"/>
        <v>1.4224533515516669E-5</v>
      </c>
    </row>
    <row r="30" spans="1:3" x14ac:dyDescent="0.25">
      <c r="A30" t="s">
        <v>855</v>
      </c>
      <c r="B30" s="21" t="str">
        <f t="shared" si="0"/>
        <v>2016/12/27 21:10:13.673</v>
      </c>
      <c r="C30" s="21">
        <f t="shared" si="1"/>
        <v>5.2473981479124632E-2</v>
      </c>
    </row>
    <row r="31" spans="1:3" x14ac:dyDescent="0.25">
      <c r="A31" t="s">
        <v>856</v>
      </c>
      <c r="B31" s="21" t="str">
        <f t="shared" si="0"/>
        <v>2016/12/27 21:16:16.341</v>
      </c>
      <c r="C31" s="21">
        <f t="shared" si="1"/>
        <v>4.1975463027483784E-3</v>
      </c>
    </row>
    <row r="32" spans="1:3" x14ac:dyDescent="0.25">
      <c r="A32" t="s">
        <v>857</v>
      </c>
      <c r="B32" s="21" t="str">
        <f t="shared" si="0"/>
        <v>2016/12/27 21:16:17.506</v>
      </c>
      <c r="C32" s="21">
        <f t="shared" si="1"/>
        <v>1.3483790098689497E-5</v>
      </c>
    </row>
    <row r="33" spans="1:3" x14ac:dyDescent="0.25">
      <c r="A33" t="s">
        <v>858</v>
      </c>
      <c r="B33" s="21" t="str">
        <f t="shared" si="0"/>
        <v>2016/12/27 21:16:17.608</v>
      </c>
      <c r="C33" s="21">
        <f t="shared" si="1"/>
        <v>1.1805605026893318E-6</v>
      </c>
    </row>
    <row r="34" spans="1:3" x14ac:dyDescent="0.25">
      <c r="A34" t="s">
        <v>859</v>
      </c>
      <c r="B34" s="21" t="str">
        <f t="shared" si="0"/>
        <v>2016/12/27 21:25:33.168</v>
      </c>
      <c r="C34" s="21">
        <f t="shared" si="1"/>
        <v>6.4300925878342241E-3</v>
      </c>
    </row>
    <row r="35" spans="1:3" x14ac:dyDescent="0.25">
      <c r="A35" t="s">
        <v>860</v>
      </c>
      <c r="B35" s="21" t="str">
        <f t="shared" si="0"/>
        <v>2016/12/27 21:25:33.542</v>
      </c>
      <c r="C35" s="21">
        <f t="shared" si="1"/>
        <v>4.3287072912789881E-6</v>
      </c>
    </row>
    <row r="36" spans="1:3" x14ac:dyDescent="0.25">
      <c r="A36" t="s">
        <v>861</v>
      </c>
      <c r="B36" s="21" t="str">
        <f t="shared" si="0"/>
        <v>2016/12/27 21:25:34.485</v>
      </c>
      <c r="C36" s="21">
        <f t="shared" si="1"/>
        <v>1.0914351150859147E-5</v>
      </c>
    </row>
    <row r="37" spans="1:3" x14ac:dyDescent="0.25">
      <c r="A37" t="s">
        <v>862</v>
      </c>
      <c r="B37" s="21" t="str">
        <f t="shared" si="0"/>
        <v>2016/12/27 21:29:08.015</v>
      </c>
      <c r="C37" s="21">
        <f t="shared" si="1"/>
        <v>2.4714120372664183E-3</v>
      </c>
    </row>
    <row r="38" spans="1:3" x14ac:dyDescent="0.25">
      <c r="A38" t="s">
        <v>863</v>
      </c>
      <c r="B38" s="21" t="str">
        <f t="shared" si="0"/>
        <v>2016/12/27 21:29:08.474</v>
      </c>
      <c r="C38" s="21">
        <f t="shared" si="1"/>
        <v>5.3124967962503433E-6</v>
      </c>
    </row>
    <row r="39" spans="1:3" x14ac:dyDescent="0.25">
      <c r="A39" t="s">
        <v>864</v>
      </c>
      <c r="B39" s="21" t="str">
        <f t="shared" si="0"/>
        <v>2016/12/27 21:29:08.541</v>
      </c>
      <c r="C39" s="21">
        <f t="shared" si="1"/>
        <v>7.7546428656205535E-7</v>
      </c>
    </row>
    <row r="40" spans="1:3" x14ac:dyDescent="0.25">
      <c r="A40" t="s">
        <v>865</v>
      </c>
      <c r="B40" s="21" t="str">
        <f t="shared" si="0"/>
        <v>2016/12/27 22:15:56.999</v>
      </c>
      <c r="C40" s="21">
        <f t="shared" si="1"/>
        <v>3.2505300929187797E-2</v>
      </c>
    </row>
    <row r="41" spans="1:3" x14ac:dyDescent="0.25">
      <c r="A41" t="s">
        <v>866</v>
      </c>
      <c r="B41" s="21" t="str">
        <f t="shared" si="0"/>
        <v>2016/12/27 22:15:57.114</v>
      </c>
      <c r="C41" s="21">
        <f t="shared" si="1"/>
        <v>1.3310200301930308E-6</v>
      </c>
    </row>
    <row r="42" spans="1:3" x14ac:dyDescent="0.25">
      <c r="A42" t="s">
        <v>867</v>
      </c>
      <c r="B42" s="21" t="str">
        <f t="shared" si="0"/>
        <v>2016/12/27 22:15:57.484</v>
      </c>
      <c r="C42" s="21">
        <f t="shared" si="1"/>
        <v>4.2824030970223248E-6</v>
      </c>
    </row>
    <row r="43" spans="1:3" x14ac:dyDescent="0.25">
      <c r="A43" t="s">
        <v>868</v>
      </c>
      <c r="B43" s="21" t="str">
        <f t="shared" si="0"/>
        <v>2016/12/27 22:56:38.859</v>
      </c>
      <c r="C43" s="21">
        <f t="shared" si="1"/>
        <v>2.8256655095901806E-2</v>
      </c>
    </row>
    <row r="44" spans="1:3" x14ac:dyDescent="0.25">
      <c r="A44" t="s">
        <v>869</v>
      </c>
      <c r="B44" s="21" t="str">
        <f t="shared" si="0"/>
        <v>2016/12/27 22:56:39.115</v>
      </c>
      <c r="C44" s="21">
        <f t="shared" si="1"/>
        <v>2.9629591153934598E-6</v>
      </c>
    </row>
    <row r="45" spans="1:3" x14ac:dyDescent="0.25">
      <c r="A45" t="s">
        <v>870</v>
      </c>
      <c r="B45" s="21" t="str">
        <f t="shared" si="0"/>
        <v>2016/12/27 22:56:39.290</v>
      </c>
      <c r="C45" s="21">
        <f t="shared" si="1"/>
        <v>2.0254665287211537E-6</v>
      </c>
    </row>
    <row r="46" spans="1:3" x14ac:dyDescent="0.25">
      <c r="A46" t="s">
        <v>871</v>
      </c>
      <c r="B46" s="21" t="str">
        <f t="shared" si="0"/>
        <v>2016/12/27 23:16:39.693</v>
      </c>
      <c r="C46" s="21">
        <f t="shared" si="1"/>
        <v>1.389355323772179E-2</v>
      </c>
    </row>
    <row r="47" spans="1:3" x14ac:dyDescent="0.25">
      <c r="A47" t="s">
        <v>872</v>
      </c>
      <c r="B47" s="21" t="str">
        <f t="shared" si="0"/>
        <v>2016/12/27 23:16:40.463</v>
      </c>
      <c r="C47" s="21">
        <f t="shared" si="1"/>
        <v>8.9120367192663252E-6</v>
      </c>
    </row>
    <row r="48" spans="1:3" x14ac:dyDescent="0.25">
      <c r="A48" t="s">
        <v>873</v>
      </c>
      <c r="B48" s="21" t="str">
        <f t="shared" si="0"/>
        <v>2016/12/27 23:16:40.821</v>
      </c>
      <c r="C48" s="21">
        <f t="shared" si="1"/>
        <v>4.1435196180827916E-6</v>
      </c>
    </row>
    <row r="49" spans="1:3" x14ac:dyDescent="0.25">
      <c r="A49" t="s">
        <v>874</v>
      </c>
      <c r="B49" s="21" t="str">
        <f t="shared" si="0"/>
        <v>2016/12/27 23:20:46.535</v>
      </c>
      <c r="C49" s="21">
        <f t="shared" si="1"/>
        <v>2.8439120360417292E-3</v>
      </c>
    </row>
    <row r="50" spans="1:3" x14ac:dyDescent="0.25">
      <c r="A50" t="s">
        <v>875</v>
      </c>
      <c r="B50" s="21" t="str">
        <f t="shared" si="0"/>
        <v>2016/12/27 23:23:52.459</v>
      </c>
      <c r="C50" s="21">
        <f t="shared" si="1"/>
        <v>2.1518981520785019E-3</v>
      </c>
    </row>
    <row r="51" spans="1:3" x14ac:dyDescent="0.25">
      <c r="A51" t="s">
        <v>876</v>
      </c>
      <c r="B51" s="21" t="str">
        <f t="shared" si="0"/>
        <v>2016/12/27 23:23:52.732</v>
      </c>
      <c r="C51" s="21">
        <f t="shared" si="1"/>
        <v>3.1597228371538222E-6</v>
      </c>
    </row>
    <row r="52" spans="1:3" x14ac:dyDescent="0.25">
      <c r="A52" t="s">
        <v>877</v>
      </c>
      <c r="B52" s="21" t="str">
        <f t="shared" si="0"/>
        <v>2016/12/27 23:24:40.442</v>
      </c>
      <c r="C52" s="21">
        <f t="shared" si="1"/>
        <v>5.5219906789716333E-4</v>
      </c>
    </row>
    <row r="53" spans="1:3" x14ac:dyDescent="0.25">
      <c r="A53" t="s">
        <v>878</v>
      </c>
      <c r="B53" s="21" t="str">
        <f t="shared" ref="B53:B80" si="2">MID(A53,6,23)</f>
        <v>2016/12/27 23:24:40.621</v>
      </c>
      <c r="C53" s="21">
        <f t="shared" ref="C53:C80" si="3">ABS(B53-B52)</f>
        <v>2.0717634470202029E-6</v>
      </c>
    </row>
    <row r="54" spans="1:3" x14ac:dyDescent="0.25">
      <c r="A54" t="s">
        <v>879</v>
      </c>
      <c r="B54" s="21" t="str">
        <f t="shared" si="2"/>
        <v>2016/12/27 23:24:40.731</v>
      </c>
      <c r="C54" s="21">
        <f t="shared" si="3"/>
        <v>1.2731470633298159E-6</v>
      </c>
    </row>
    <row r="55" spans="1:3" x14ac:dyDescent="0.25">
      <c r="A55" t="s">
        <v>880</v>
      </c>
      <c r="B55" s="21" t="str">
        <f t="shared" si="2"/>
        <v>2016/12/27 23:37:47.176</v>
      </c>
      <c r="C55" s="21">
        <f t="shared" si="3"/>
        <v>9.1023726854473352E-3</v>
      </c>
    </row>
    <row r="56" spans="1:3" x14ac:dyDescent="0.25">
      <c r="A56" t="s">
        <v>881</v>
      </c>
      <c r="B56" s="21" t="str">
        <f t="shared" si="2"/>
        <v>2016/12/27 23:37:47.387</v>
      </c>
      <c r="C56" s="21">
        <f t="shared" si="3"/>
        <v>2.4421315174549818E-6</v>
      </c>
    </row>
    <row r="57" spans="1:3" x14ac:dyDescent="0.25">
      <c r="A57" t="s">
        <v>882</v>
      </c>
      <c r="B57" s="21" t="str">
        <f t="shared" si="2"/>
        <v>2016/12/28 00:05:42.422</v>
      </c>
      <c r="C57" s="21">
        <f t="shared" si="3"/>
        <v>1.9386979161936324E-2</v>
      </c>
    </row>
    <row r="58" spans="1:3" x14ac:dyDescent="0.25">
      <c r="A58" t="s">
        <v>883</v>
      </c>
      <c r="B58" s="21" t="str">
        <f t="shared" si="2"/>
        <v>2016/12/28 00:05:43.008</v>
      </c>
      <c r="C58" s="21">
        <f t="shared" si="3"/>
        <v>6.7824075813405216E-6</v>
      </c>
    </row>
    <row r="59" spans="1:3" x14ac:dyDescent="0.25">
      <c r="A59" t="s">
        <v>884</v>
      </c>
      <c r="B59" s="21" t="str">
        <f t="shared" si="2"/>
        <v>2016/12/28 00:05:43.065</v>
      </c>
      <c r="C59" s="21">
        <f t="shared" si="3"/>
        <v>6.5972562879323959E-7</v>
      </c>
    </row>
    <row r="60" spans="1:3" x14ac:dyDescent="0.25">
      <c r="A60" t="s">
        <v>885</v>
      </c>
      <c r="B60" s="21" t="str">
        <f t="shared" si="2"/>
        <v>2016/12/28 01:09:46.022</v>
      </c>
      <c r="C60" s="21">
        <f t="shared" si="3"/>
        <v>4.4478668976807967E-2</v>
      </c>
    </row>
    <row r="61" spans="1:3" x14ac:dyDescent="0.25">
      <c r="A61" t="s">
        <v>886</v>
      </c>
      <c r="B61" s="21" t="str">
        <f t="shared" si="2"/>
        <v>2016/12/28 01:20:54.385</v>
      </c>
      <c r="C61" s="21">
        <f t="shared" si="3"/>
        <v>7.7356828769552521E-3</v>
      </c>
    </row>
    <row r="62" spans="1:3" x14ac:dyDescent="0.25">
      <c r="A62" t="s">
        <v>887</v>
      </c>
      <c r="B62" s="21" t="str">
        <f t="shared" si="2"/>
        <v>2016/12/28 01:27:04.232</v>
      </c>
      <c r="C62" s="21">
        <f t="shared" si="3"/>
        <v>4.2806365672731772E-3</v>
      </c>
    </row>
    <row r="63" spans="1:3" x14ac:dyDescent="0.25">
      <c r="A63" t="s">
        <v>888</v>
      </c>
      <c r="B63" s="21" t="str">
        <f t="shared" si="2"/>
        <v>2016/12/28 01:27:04.466</v>
      </c>
      <c r="C63" s="21">
        <f t="shared" si="3"/>
        <v>2.7083369786851108E-6</v>
      </c>
    </row>
    <row r="64" spans="1:3" x14ac:dyDescent="0.25">
      <c r="A64" t="s">
        <v>889</v>
      </c>
      <c r="B64" s="21" t="str">
        <f t="shared" si="2"/>
        <v>2016/12/28 01:27:04.525</v>
      </c>
      <c r="C64" s="21">
        <f t="shared" si="3"/>
        <v>6.8287044996395707E-7</v>
      </c>
    </row>
    <row r="65" spans="1:3" x14ac:dyDescent="0.25">
      <c r="A65" t="s">
        <v>890</v>
      </c>
      <c r="B65" s="21" t="str">
        <f t="shared" si="2"/>
        <v>2016/12/28 02:02:07.433</v>
      </c>
      <c r="C65" s="21">
        <f t="shared" si="3"/>
        <v>2.4339212963241152E-2</v>
      </c>
    </row>
    <row r="66" spans="1:3" x14ac:dyDescent="0.25">
      <c r="A66" t="s">
        <v>891</v>
      </c>
      <c r="B66" s="21" t="str">
        <f t="shared" si="2"/>
        <v>2016/12/28 02:02:08.026</v>
      </c>
      <c r="C66" s="21">
        <f t="shared" si="3"/>
        <v>6.863425369374454E-6</v>
      </c>
    </row>
    <row r="67" spans="1:3" x14ac:dyDescent="0.25">
      <c r="A67" t="s">
        <v>892</v>
      </c>
      <c r="B67" s="21" t="str">
        <f t="shared" si="2"/>
        <v>2016/12/28 04:14:30.462</v>
      </c>
      <c r="C67" s="21">
        <f t="shared" si="3"/>
        <v>9.1926342589431442E-2</v>
      </c>
    </row>
    <row r="68" spans="1:3" x14ac:dyDescent="0.25">
      <c r="A68" t="s">
        <v>893</v>
      </c>
      <c r="B68" s="21" t="str">
        <f t="shared" si="2"/>
        <v>2016/12/28 04:14:31.670</v>
      </c>
      <c r="C68" s="21">
        <f t="shared" si="3"/>
        <v>1.3981487427372485E-5</v>
      </c>
    </row>
    <row r="69" spans="1:3" x14ac:dyDescent="0.25">
      <c r="A69" t="s">
        <v>894</v>
      </c>
      <c r="B69" s="21" t="str">
        <f t="shared" si="2"/>
        <v>2016/12/28 04:14:31.759</v>
      </c>
      <c r="C69" s="21">
        <f t="shared" si="3"/>
        <v>1.0300864232704043E-6</v>
      </c>
    </row>
    <row r="70" spans="1:3" x14ac:dyDescent="0.25">
      <c r="B70" s="21"/>
      <c r="C70" s="21"/>
    </row>
    <row r="71" spans="1:3" x14ac:dyDescent="0.25">
      <c r="B71" s="21"/>
      <c r="C71" s="21"/>
    </row>
    <row r="72" spans="1:3" x14ac:dyDescent="0.25">
      <c r="B72" s="21"/>
      <c r="C72" s="21"/>
    </row>
    <row r="73" spans="1:3" x14ac:dyDescent="0.25">
      <c r="B73" s="21"/>
      <c r="C73" s="21"/>
    </row>
    <row r="74" spans="1:3" x14ac:dyDescent="0.25">
      <c r="B74" s="21"/>
      <c r="C74" s="21"/>
    </row>
    <row r="75" spans="1:3" x14ac:dyDescent="0.25">
      <c r="B75" s="21"/>
      <c r="C75" s="21"/>
    </row>
    <row r="76" spans="1:3" x14ac:dyDescent="0.25">
      <c r="B76" s="21"/>
      <c r="C76" s="21"/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2016-12-28T20:06:56Z</dcterms:modified>
</cp:coreProperties>
</file>